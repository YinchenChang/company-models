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SRC_ZP" sheetId="2" state="visible" r:id="rId4"/>
    <sheet name="TK_Link" sheetId="3" state="visible" r:id="rId5"/>
    <sheet name="OAI_Link" sheetId="4" state="visible" r:id="rId6"/>
    <sheet name="Inputs" sheetId="5" state="visible" r:id="rId7"/>
    <sheet name="Demand" sheetId="6" state="visible" r:id="rId8"/>
    <sheet name="Revenue" sheetId="7" state="visible" r:id="rId9"/>
    <sheet name="Compute" sheetId="8" state="visible" r:id="rId10"/>
    <sheet name="Cost" sheetId="9" state="visible" r:id="rId11"/>
    <sheet name="Funding" sheetId="10" state="visible" r:id="rId12"/>
    <sheet name="Reverse" sheetId="11" state="visible" r:id="rId13"/>
    <sheet name="Checks" sheetId="12" state="visible" r:id="rId14"/>
    <sheet name="_Defaults" sheetId="13" state="hidden" r:id="rId15"/>
  </sheets>
  <definedNames>
    <definedName function="false" hidden="false" name="CHK_Errors" vbProcedure="false">Checks!$C$107</definedName>
    <definedName function="false" hidden="false" name="CMP_CapFactor" vbProcedure="false">Compute!$D$125:$I$125</definedName>
    <definedName function="false" hidden="false" name="CMP_CapFlag" vbProcedure="false">Compute!$D$126:$I$126</definedName>
    <definedName function="false" hidden="false" name="CMP_CapFree" vbProcedure="false">Compute!$D$75:$I$75</definedName>
    <definedName function="false" hidden="false" name="CMP_CapPaid" vbProcedure="false">Compute!$D$71:$I$71</definedName>
    <definedName function="false" hidden="false" name="CMP_ChipGW" vbProcedure="false">Compute!$L$142</definedName>
    <definedName function="false" hidden="false" name="CMP_ChipGWGap" vbProcedure="false">Compute!$L$146</definedName>
    <definedName function="false" hidden="false" name="CMP_ComputeFee" vbProcedure="false">Compute!$D$87:$I$87</definedName>
    <definedName function="false" hidden="false" name="CMP_DemandGW" vbProcedure="false">Compute!$D$128:$I$128</definedName>
    <definedName function="false" hidden="false" name="CMP_DomesticGW" vbProcedure="false">Compute!$D$144:$I$144</definedName>
    <definedName function="false" hidden="false" name="CMP_Eta" vbProcedure="false">Compute!$D$110:$I$110</definedName>
    <definedName function="false" hidden="false" name="CMP_Eta1H26" vbProcedure="false">Compute!$K$108</definedName>
    <definedName function="false" hidden="false" name="CMP_Eta2025" vbProcedure="false">Compute!$D$107</definedName>
    <definedName function="false" hidden="false" name="CMP_EtaD8r" vbProcedure="false">Compute!$D$220:$I$220</definedName>
    <definedName function="false" hidden="false" name="CMP_EtaOld" vbProcedure="false">Compute!$D$109:$I$109</definedName>
    <definedName function="false" hidden="false" name="CMP_InfAvailGW" vbProcedure="false">Compute!$D$123:$I$123</definedName>
    <definedName function="false" hidden="false" name="CMP_InfFee" vbProcedure="false">Compute!$D$80:$I$80</definedName>
    <definedName function="false" hidden="false" name="CMP_InfGW" vbProcedure="false">Compute!$D$124:$I$124</definedName>
    <definedName function="false" hidden="false" name="CMP_InfGW_Eff" vbProcedure="false">Compute!$D$111:$I$111</definedName>
    <definedName function="false" hidden="false" name="CMP_InfGW_VReq" vbProcedure="false">Compute!$D$138:$I$138</definedName>
    <definedName function="false" hidden="false" name="CMP_OwnedAmort" vbProcedure="false">Compute!$D$202:$I$202</definedName>
    <definedName function="false" hidden="false" name="CMP_OwnedCapex" vbProcedure="false">Compute!$D$117:$I$117</definedName>
    <definedName function="false" hidden="false" name="CMP_OwnedOpex" vbProcedure="false">Compute!$D$200:$I$200</definedName>
    <definedName function="false" hidden="false" name="CMP_PricePerGW" vbProcedure="false">Compute!$D$102:$I$102</definedName>
    <definedName function="false" hidden="false" name="CMP_R4Mult" vbProcedure="false">Compute!$D$154:$I$154</definedName>
    <definedName function="false" hidden="false" name="CMP_RDFee" vbProcedure="false">Compute!$D$84:$I$84</definedName>
    <definedName function="false" hidden="false" name="CMP_RDGW" vbProcedure="false">Compute!$D$127:$I$127</definedName>
    <definedName function="false" hidden="false" name="CMP_RDGW_VReq" vbProcedure="false">Compute!$D$139:$I$139</definedName>
    <definedName function="false" hidden="false" name="CMP_RDShare" vbProcedure="false">Compute!$D$113:$I$113</definedName>
    <definedName function="false" hidden="false" name="CMP_Share_Domestic" vbProcedure="false">Compute!$D$23:$I$23</definedName>
    <definedName function="false" hidden="false" name="CMP_Share_H20" vbProcedure="false">Compute!$D$24:$I$24</definedName>
    <definedName function="false" hidden="false" name="CMP_Share_Hopper" vbProcedure="false">Compute!$D$25:$I$25</definedName>
    <definedName function="false" hidden="false" name="CMP_SpendGW" vbProcedure="false">Compute!$D$105:$I$105</definedName>
    <definedName function="false" hidden="false" name="CMP_SupplyGW" vbProcedure="false">Compute!$D$119:$I$119</definedName>
    <definedName function="false" hidden="false" name="CMP_SupplyRentGW" vbProcedure="false">Compute!$D$120:$I$120</definedName>
    <definedName function="false" hidden="false" name="CMP_Supply_Owned" vbProcedure="false">Compute!$D$118:$I$118</definedName>
    <definedName function="false" hidden="false" name="CMP_Supply_VReq" vbProcedure="false">Compute!$D$137:$I$137</definedName>
    <definedName function="false" hidden="false" name="CMP_TokGW" vbProcedure="false">Compute!$D$65:$I$65</definedName>
    <definedName function="false" hidden="false" name="CMP_TokGW_Free" vbProcedure="false">Compute!$D$64:$I$64</definedName>
    <definedName function="false" hidden="false" name="CMP_TokGW_Old" vbProcedure="false">Compute!$D$76:$I$76</definedName>
    <definedName function="false" hidden="false" name="CMP_TokGW_Paid" vbProcedure="false">Compute!$D$63:$I$63</definedName>
    <definedName function="false" hidden="false" name="CMP_VReqFactor" vbProcedure="false">Compute!$D$136:$I$136</definedName>
    <definedName function="false" hidden="false" name="COST_CloudGM" vbProcedure="false">Cost!$D$23:$I$23</definedName>
    <definedName function="false" hidden="false" name="COST_CloudGMPct" vbProcedure="false">Cost!$D$24:$I$24</definedName>
    <definedName function="false" hidden="false" name="COST_CloudRevCapped" vbProcedure="false">Cost!$D$47:$I$47</definedName>
    <definedName function="false" hidden="false" name="COST_Compute" vbProcedure="false">Cost!$D$12:$I$12</definedName>
    <definedName function="false" hidden="false" name="COST_ComputeRent" vbProcedure="false">Cost!$D$10:$I$10</definedName>
    <definedName function="false" hidden="false" name="COST_Coverage" vbProcedure="false">Cost!$D$63:$I$63</definedName>
    <definedName function="false" hidden="false" name="COST_CoverageCloud" vbProcedure="false">Cost!$D$64:$I$64</definedName>
    <definedName function="false" hidden="false" name="COST_Coverage_Amort" vbProcedure="false">Cost!$D$95:$I$95</definedName>
    <definedName function="false" hidden="false" name="COST_FullAmort" vbProcedure="false">Cost!$D$93:$I$93</definedName>
    <definedName function="false" hidden="false" name="COST_FullCash" vbProcedure="false">Cost!$D$43:$I$43</definedName>
    <definedName function="false" hidden="false" name="COST_FullExSBC" vbProcedure="false">Cost!$D$44:$I$44</definedName>
    <definedName function="false" hidden="false" name="COST_GapCash" vbProcedure="false">Cost!$D$48:$I$48</definedName>
    <definedName function="false" hidden="false" name="COST_GapCash_USD" vbProcedure="false">Cost!$D$75:$I$75</definedName>
    <definedName function="false" hidden="false" name="COST_Headcount" vbProcedure="false">Cost!$D$37:$I$37</definedName>
    <definedName function="false" hidden="false" name="COST_HoldW" vbProcedure="false">Cost!$D$21:$I$21</definedName>
    <definedName function="false" hidden="false" name="COST_InfCompute" vbProcedure="false">Cost!$D$13:$I$13</definedName>
    <definedName function="false" hidden="false" name="COST_NonCompExSBC" vbProcedure="false">Cost!$D$40:$I$40</definedName>
    <definedName function="false" hidden="false" name="COST_OnPremDelivery" vbProcedure="false">Cost!$D$28:$I$28</definedName>
    <definedName function="false" hidden="false" name="COST_PropCloudRev_VR" vbProcedure="false">Cost!$D$53:$I$53</definedName>
    <definedName function="false" hidden="false" name="COST_PropCompute_VR" vbProcedure="false">Cost!$D$54:$I$54</definedName>
    <definedName function="false" hidden="false" name="COST_PropCompute_VR_USD" vbProcedure="false">Cost!$D$68:$I$68</definedName>
    <definedName function="false" hidden="false" name="COST_PropFullExSBC_VR" vbProcedure="false">Cost!$D$59:$I$59</definedName>
    <definedName function="false" hidden="false" name="COST_PropFull_Phys" vbProcedure="false">Cost!$D$84:$I$84</definedName>
    <definedName function="false" hidden="false" name="COST_PropFull_Phys_USD" vbProcedure="false">Cost!$D$87:$I$87</definedName>
    <definedName function="false" hidden="false" name="COST_PropFull_VR" vbProcedure="false">Cost!$D$58:$I$58</definedName>
    <definedName function="false" hidden="false" name="COST_PropFull_VR_USD" vbProcedure="false">Cost!$D$69:$I$69</definedName>
    <definedName function="false" hidden="false" name="COST_PropGapExSBC_VR" vbProcedure="false">Cost!$D$61:$I$61</definedName>
    <definedName function="false" hidden="false" name="COST_PropGap_Phys" vbProcedure="false">Cost!$D$85:$I$85</definedName>
    <definedName function="false" hidden="false" name="COST_PropGap_Phys_USD" vbProcedure="false">Cost!$D$88:$I$88</definedName>
    <definedName function="false" hidden="false" name="COST_PropGap_VR" vbProcedure="false">Cost!$D$60:$I$60</definedName>
    <definedName function="false" hidden="false" name="COST_PropGap_VR_Amort" vbProcedure="false">Cost!$D$94:$I$94</definedName>
    <definedName function="false" hidden="false" name="COST_PropGap_VR_Cloud" vbProcedure="false">Cost!$D$62:$I$62</definedName>
    <definedName function="false" hidden="false" name="COST_PropGap_VR_Cloud_USD" vbProcedure="false">Cost!$D$72:$I$72</definedName>
    <definedName function="false" hidden="false" name="COST_PropGap_VR_USD" vbProcedure="false">Cost!$D$70:$I$70</definedName>
    <definedName function="false" hidden="false" name="COST_PropNonComp_VR" vbProcedure="false">Cost!$D$56:$I$56</definedName>
    <definedName function="false" hidden="false" name="COST_PropOnPrem_VR" vbProcedure="false">Cost!$D$55:$I$55</definedName>
    <definedName function="false" hidden="false" name="COST_PropRev_Phys" vbProcedure="false">Cost!$D$83:$I$83</definedName>
    <definedName function="false" hidden="false" name="COST_PropRev_Phys_USD" vbProcedure="false">Cost!$D$86:$I$86</definedName>
    <definedName function="false" hidden="false" name="COST_PropRev_VR" vbProcedure="false">Cost!$D$52:$I$52</definedName>
    <definedName function="false" hidden="false" name="COST_PropRev_VR_USD" vbProcedure="false">Cost!$D$66:$I$66</definedName>
    <definedName function="false" hidden="false" name="COST_PropSBC_VR" vbProcedure="false">Cost!$D$57:$I$57</definedName>
    <definedName function="false" hidden="false" name="COST_RDCompute" vbProcedure="false">Cost!$D$14:$I$14</definedName>
    <definedName function="false" hidden="false" name="COST_Recon" vbProcedure="false">Cost!$D$45:$I$45</definedName>
    <definedName function="false" hidden="false" name="COST_Reported" vbProcedure="false">Cost!$D$34:$I$34</definedName>
    <definedName function="false" hidden="false" name="COST_SBC" vbProcedure="false">Cost!$D$41:$I$41</definedName>
    <definedName function="false" hidden="false" name="COST_SupplierHold" vbProcedure="false">Cost!$D$22:$I$22</definedName>
    <definedName function="false" hidden="false" name="DEM_ApiBilledRatio2025" vbProcedure="false">Demand!$D$48</definedName>
    <definedName function="false" hidden="false" name="DEM_ImpliedVolGrowth" vbProcedure="false">Demand!$K$43</definedName>
    <definedName function="false" hidden="false" name="DEM_Subs_CP" vbProcedure="false">Demand!$D$16:$I$16</definedName>
    <definedName function="false" hidden="false" name="DEM_Subs_CP_H" vbProcedure="false">Demand!$K$16:$L$16</definedName>
    <definedName function="false" hidden="false" name="DEM_Subs_Lite" vbProcedure="false">Demand!$D$17:$I$17</definedName>
    <definedName function="false" hidden="false" name="DEM_Subs_Max" vbProcedure="false">Demand!$D$19:$I$19</definedName>
    <definedName function="false" hidden="false" name="DEM_Subs_Pro" vbProcedure="false">Demand!$D$18:$I$18</definedName>
    <definedName function="false" hidden="false" name="DEM_Tok_API" vbProcedure="false">Demand!$D$11:$I$11</definedName>
    <definedName function="false" hidden="false" name="DEM_Tok_APIFree" vbProcedure="false">Demand!$D$14:$I$14</definedName>
    <definedName function="false" hidden="false" name="DEM_Tok_API_H" vbProcedure="false">Demand!$K$11:$L$11</definedName>
    <definedName function="false" hidden="false" name="DEM_Tok_API_Luna" vbProcedure="false">Demand!$D$13:$I$13</definedName>
    <definedName function="false" hidden="false" name="DEM_Tok_API_Sol" vbProcedure="false">Demand!$D$12:$I$12</definedName>
    <definedName function="false" hidden="false" name="DEM_Tok_Consumer" vbProcedure="false">Demand!$D$31:$I$31</definedName>
    <definedName function="false" hidden="false" name="DEM_Tok_CP" vbProcedure="false">Demand!$D$26:$I$26</definedName>
    <definedName function="false" hidden="false" name="DEM_Tok_CP_H" vbProcedure="false">Demand!$K$26:$L$26</definedName>
    <definedName function="false" hidden="false" name="DEM_Tok_Free" vbProcedure="false">Demand!$D$40:$I$40</definedName>
    <definedName function="false" hidden="false" name="DEM_Tok_Free_Luna" vbProcedure="false">Demand!$D$38:$I$38</definedName>
    <definedName function="false" hidden="false" name="DEM_Tok_Free_Sol" vbProcedure="false">Demand!$D$37:$I$37</definedName>
    <definedName function="false" hidden="false" name="DEM_Tok_Paid" vbProcedure="false">Demand!$D$39:$I$39</definedName>
    <definedName function="false" hidden="false" name="DEM_Tok_Paid_Luna" vbProcedure="false">Demand!$D$36:$I$36</definedName>
    <definedName function="false" hidden="false" name="DEM_Tok_Paid_Sol" vbProcedure="false">Demand!$D$35:$I$35</definedName>
    <definedName function="false" hidden="false" name="DEM_Tok_Total" vbProcedure="false">Demand!$D$41:$I$41</definedName>
    <definedName function="false" hidden="false" name="DEM_Users_Consumer" vbProcedure="false">Demand!$D$30:$I$30</definedName>
    <definedName function="false" hidden="false" name="FND_BankLoans" vbProcedure="false">Funding!$D$29:$I$29</definedName>
    <definedName function="false" hidden="false" name="FND_CashEnd" vbProcedure="false">Funding!$D$39:$I$39</definedName>
    <definedName function="false" hidden="false" name="FND_CashEndConv" vbProcedure="false">Funding!$D$54:$I$54</definedName>
    <definedName function="false" hidden="false" name="FND_CashEndConv_USD" vbProcedure="false">Funding!$D$90:$I$90</definedName>
    <definedName function="false" hidden="false" name="FND_CashEnd_H" vbProcedure="false">Funding!$K$39:$L$39</definedName>
    <definedName function="false" hidden="false" name="FND_CashEnd_USD" vbProcedure="false">Funding!$D$88:$I$88</definedName>
    <definedName function="false" hidden="false" name="FND_CashNoExt" vbProcedure="false">Funding!$D$44:$I$44</definedName>
    <definedName function="false" hidden="false" name="FND_CashOpen" vbProcedure="false">Funding!$D$35:$I$35</definedName>
    <definedName function="false" hidden="false" name="FND_CashRecon" vbProcedure="false">Funding!$D$81:$I$81</definedName>
    <definedName function="false" hidden="false" name="FND_Committed" vbProcedure="false">Funding!$D$31:$I$31</definedName>
    <definedName function="false" hidden="false" name="FND_Committed_USD" vbProcedure="false">Funding!$D$85:$I$85</definedName>
    <definedName function="false" hidden="false" name="FND_Contingent" vbProcedure="false">Funding!$D$58</definedName>
    <definedName function="false" hidden="false" name="FND_DebtRepay" vbProcedure="false">Funding!$D$32:$I$32</definedName>
    <definedName function="false" hidden="false" name="FND_EquityIn" vbProcedure="false">Funding!$D$26:$I$26</definedName>
    <definedName function="false" hidden="false" name="FND_ExtNeed" vbProcedure="false">Funding!$D$38:$I$38</definedName>
    <definedName function="false" hidden="false" name="FND_ExtNeedCum" vbProcedure="false">Funding!$D$40:$I$40</definedName>
    <definedName function="false" hidden="false" name="FND_ExtNeedCumConv" vbProcedure="false">Funding!$D$55:$I$55</definedName>
    <definedName function="false" hidden="false" name="FND_ExtNeedCumConv_USD" vbProcedure="false">Funding!$D$89:$I$89</definedName>
    <definedName function="false" hidden="false" name="FND_ExtNeedCum_USD" vbProcedure="false">Funding!$D$87:$I$87</definedName>
    <definedName function="false" hidden="false" name="FND_ExtNeed_USD" vbProcedure="false">Funding!$D$86:$I$86</definedName>
    <definedName function="false" hidden="false" name="FND_FCF" vbProcedure="false">Funding!$D$16:$I$16</definedName>
    <definedName function="false" hidden="false" name="FND_FCF_H" vbProcedure="false">Funding!$K$16:$L$16</definedName>
    <definedName function="false" hidden="false" name="FND_FCF_USD" vbProcedure="false">Funding!$D$84:$I$84</definedName>
    <definedName function="false" hidden="false" name="FND_FirstGapYear" vbProcedure="false">Funding!$D$46</definedName>
    <definedName function="false" hidden="false" name="FND_Gap" vbProcedure="false">Funding!$D$13:$I$13</definedName>
    <definedName function="false" hidden="false" name="FND_GapFlag" vbProcedure="false">Funding!$D$41:$I$41</definedName>
    <definedName function="false" hidden="false" name="FND_Interest" vbProcedure="false">Funding!$D$15:$I$15</definedName>
    <definedName function="false" hidden="false" name="FND_LeaseLiab" vbProcedure="false">Funding!$D$101</definedName>
    <definedName function="false" hidden="false" name="FND_MA" vbProcedure="false">Funding!$D$20:$I$20</definedName>
    <definedName function="false" hidden="false" name="FND_MinCash" vbProcedure="false">Funding!$D$34:$I$34</definedName>
    <definedName function="false" hidden="false" name="FND_NetOp" vbProcedure="false">Funding!$D$21:$I$21</definedName>
    <definedName function="false" hidden="false" name="FND_NoExtFailYear" vbProcedure="false">Funding!$D$49</definedName>
    <definedName function="false" hidden="false" name="FND_PeakExtNeed" vbProcedure="false">Funding!$D$48</definedName>
    <definedName function="false" hidden="false" name="FND_PeakYear" vbProcedure="false">Funding!$D$47</definedName>
    <definedName function="false" hidden="false" name="FND_RunwayAfter2030" vbProcedure="false">Funding!$D$50</definedName>
    <definedName function="false" hidden="false" name="FND_UseVsModel" vbProcedure="false">Funding!$L$67</definedName>
    <definedName function="false" hidden="false" name="INP_001" vbProcedure="false">Inputs!$F$5</definedName>
    <definedName function="false" hidden="false" name="INP_002" vbProcedure="false">Inputs!$F$6</definedName>
    <definedName function="false" hidden="false" name="INP_003" vbProcedure="false">Inputs!$F$7</definedName>
    <definedName function="false" hidden="false" name="INP_004" vbProcedure="false">Inputs!$F$8</definedName>
    <definedName function="false" hidden="false" name="INP_005" vbProcedure="false">Inputs!$F$9</definedName>
    <definedName function="false" hidden="false" name="INP_006" vbProcedure="false">Inputs!$F$10</definedName>
    <definedName function="false" hidden="false" name="INP_007" vbProcedure="false">Inputs!$F$11</definedName>
    <definedName function="false" hidden="false" name="INP_008" vbProcedure="false">Inputs!$F$12</definedName>
    <definedName function="false" hidden="false" name="INP_009" vbProcedure="false">Inputs!$F$13</definedName>
    <definedName function="false" hidden="false" name="INP_010" vbProcedure="false">Inputs!$F$14</definedName>
    <definedName function="false" hidden="false" name="INP_011" vbProcedure="false">Inputs!$F$15</definedName>
    <definedName function="false" hidden="false" name="INP_012" vbProcedure="false">Inputs!$F$16</definedName>
    <definedName function="false" hidden="false" name="INP_013" vbProcedure="false">Inputs!$F$17</definedName>
    <definedName function="false" hidden="false" name="INP_014" vbProcedure="false">Inputs!$F$18</definedName>
    <definedName function="false" hidden="false" name="INP_015" vbProcedure="false">Inputs!$F$19</definedName>
    <definedName function="false" hidden="false" name="INP_016" vbProcedure="false">Inputs!$F$20</definedName>
    <definedName function="false" hidden="false" name="INP_017" vbProcedure="false">Inputs!$F$21</definedName>
    <definedName function="false" hidden="false" name="INP_018" vbProcedure="false">Inputs!$F$22</definedName>
    <definedName function="false" hidden="false" name="INP_019" vbProcedure="false">Inputs!$F$23</definedName>
    <definedName function="false" hidden="false" name="INP_020" vbProcedure="false">Inputs!$F$24</definedName>
    <definedName function="false" hidden="false" name="INP_021" vbProcedure="false">Inputs!$F$25</definedName>
    <definedName function="false" hidden="false" name="INP_022" vbProcedure="false">Inputs!$F$26</definedName>
    <definedName function="false" hidden="false" name="INP_023" vbProcedure="false">Inputs!$F$27</definedName>
    <definedName function="false" hidden="false" name="INP_024" vbProcedure="false">Inputs!$F$28</definedName>
    <definedName function="false" hidden="false" name="INP_025" vbProcedure="false">Inputs!$F$29</definedName>
    <definedName function="false" hidden="false" name="INP_026" vbProcedure="false">Inputs!$F$30</definedName>
    <definedName function="false" hidden="false" name="INP_027" vbProcedure="false">Inputs!$F$31</definedName>
    <definedName function="false" hidden="false" name="INP_028" vbProcedure="false">Inputs!$F$32</definedName>
    <definedName function="false" hidden="false" name="INP_029" vbProcedure="false">Inputs!$F$33</definedName>
    <definedName function="false" hidden="false" name="INP_030" vbProcedure="false">Inputs!$F$34</definedName>
    <definedName function="false" hidden="false" name="INP_031" vbProcedure="false">Inputs!$F$35</definedName>
    <definedName function="false" hidden="false" name="INP_032" vbProcedure="false">Inputs!$F$36</definedName>
    <definedName function="false" hidden="false" name="INP_033" vbProcedure="false">Inputs!$F$37</definedName>
    <definedName function="false" hidden="false" name="INP_034" vbProcedure="false">Inputs!$F$38</definedName>
    <definedName function="false" hidden="false" name="INP_035" vbProcedure="false">Inputs!$F$39</definedName>
    <definedName function="false" hidden="false" name="INP_036" vbProcedure="false">Inputs!$F$40</definedName>
    <definedName function="false" hidden="false" name="INP_037" vbProcedure="false">Inputs!$F$41</definedName>
    <definedName function="false" hidden="false" name="INP_038" vbProcedure="false">Inputs!$F$42</definedName>
    <definedName function="false" hidden="false" name="INP_039" vbProcedure="false">Inputs!$F$43</definedName>
    <definedName function="false" hidden="false" name="INP_040" vbProcedure="false">Inputs!$F$44</definedName>
    <definedName function="false" hidden="false" name="INP_041" vbProcedure="false">Inputs!$F$45</definedName>
    <definedName function="false" hidden="false" name="INP_042" vbProcedure="false">Inputs!$F$46</definedName>
    <definedName function="false" hidden="false" name="INP_043" vbProcedure="false">Inputs!$F$47</definedName>
    <definedName function="false" hidden="false" name="INP_044" vbProcedure="false">Inputs!$F$48</definedName>
    <definedName function="false" hidden="false" name="INP_045" vbProcedure="false">Inputs!$F$49</definedName>
    <definedName function="false" hidden="false" name="INP_046" vbProcedure="false">Inputs!$F$50</definedName>
    <definedName function="false" hidden="false" name="INP_047" vbProcedure="false">Inputs!$F$51</definedName>
    <definedName function="false" hidden="false" name="INP_048" vbProcedure="false">Inputs!$F$52</definedName>
    <definedName function="false" hidden="false" name="INP_049" vbProcedure="false">Inputs!$F$53</definedName>
    <definedName function="false" hidden="false" name="INP_050" vbProcedure="false">Inputs!$F$54</definedName>
    <definedName function="false" hidden="false" name="INP_051" vbProcedure="false">Inputs!$F$55</definedName>
    <definedName function="false" hidden="false" name="INP_052" vbProcedure="false">Inputs!$F$56</definedName>
    <definedName function="false" hidden="false" name="INP_053" vbProcedure="false">Inputs!$F$57</definedName>
    <definedName function="false" hidden="false" name="INP_054" vbProcedure="false">Inputs!$F$58</definedName>
    <definedName function="false" hidden="false" name="INP_055" vbProcedure="false">Inputs!$F$59</definedName>
    <definedName function="false" hidden="false" name="INP_056" vbProcedure="false">Inputs!$F$60</definedName>
    <definedName function="false" hidden="false" name="INP_057" vbProcedure="false">Inputs!$F$61</definedName>
    <definedName function="false" hidden="false" name="INP_058" vbProcedure="false">Inputs!$F$62</definedName>
    <definedName function="false" hidden="false" name="INP_059" vbProcedure="false">Inputs!$F$63</definedName>
    <definedName function="false" hidden="false" name="INP_060" vbProcedure="false">Inputs!$F$64</definedName>
    <definedName function="false" hidden="false" name="INP_061" vbProcedure="false">Inputs!$F$65</definedName>
    <definedName function="false" hidden="false" name="INP_062" vbProcedure="false">Inputs!$F$66</definedName>
    <definedName function="false" hidden="false" name="INP_063" vbProcedure="false">Inputs!$F$67</definedName>
    <definedName function="false" hidden="false" name="INP_064" vbProcedure="false">Inputs!$F$68</definedName>
    <definedName function="false" hidden="false" name="INP_065" vbProcedure="false">Inputs!$F$69</definedName>
    <definedName function="false" hidden="false" name="INP_066" vbProcedure="false">Inputs!$F$70</definedName>
    <definedName function="false" hidden="false" name="INP_067" vbProcedure="false">Inputs!$F$71</definedName>
    <definedName function="false" hidden="false" name="INP_068" vbProcedure="false">Inputs!$F$72</definedName>
    <definedName function="false" hidden="false" name="INP_069" vbProcedure="false">Inputs!$F$73</definedName>
    <definedName function="false" hidden="false" name="INP_070" vbProcedure="false">Inputs!$F$74</definedName>
    <definedName function="false" hidden="false" name="INP_071" vbProcedure="false">Inputs!$F$75</definedName>
    <definedName function="false" hidden="false" name="INP_073" vbProcedure="false">Inputs!$F$76</definedName>
    <definedName function="false" hidden="false" name="INP_074" vbProcedure="false">Inputs!$F$77</definedName>
    <definedName function="false" hidden="false" name="INP_075" vbProcedure="false">Inputs!$F$78</definedName>
    <definedName function="false" hidden="false" name="INP_076" vbProcedure="false">Inputs!$F$79</definedName>
    <definedName function="false" hidden="false" name="INP_077" vbProcedure="false">Inputs!$F$80</definedName>
    <definedName function="false" hidden="false" name="INP_078" vbProcedure="false">Inputs!$F$81</definedName>
    <definedName function="false" hidden="false" name="INP_079" vbProcedure="false">Inputs!$F$82</definedName>
    <definedName function="false" hidden="false" name="INP_080" vbProcedure="false">Inputs!$F$83</definedName>
    <definedName function="false" hidden="false" name="INP_081" vbProcedure="false">Inputs!$F$84</definedName>
    <definedName function="false" hidden="false" name="INP_082" vbProcedure="false">Inputs!$F$85</definedName>
    <definedName function="false" hidden="false" name="INP_083" vbProcedure="false">Inputs!$F$86</definedName>
    <definedName function="false" hidden="false" name="INP_084" vbProcedure="false">Inputs!$F$87</definedName>
    <definedName function="false" hidden="false" name="INP_085" vbProcedure="false">Inputs!$F$88</definedName>
    <definedName function="false" hidden="false" name="INP_086" vbProcedure="false">Inputs!$F$89</definedName>
    <definedName function="false" hidden="false" name="INP_087" vbProcedure="false">Inputs!$F$90</definedName>
    <definedName function="false" hidden="false" name="INP_088" vbProcedure="false">Inputs!$F$91</definedName>
    <definedName function="false" hidden="false" name="INP_089" vbProcedure="false">Inputs!$F$92</definedName>
    <definedName function="false" hidden="false" name="INP_090" vbProcedure="false">Inputs!$F$93</definedName>
    <definedName function="false" hidden="false" name="INP_091" vbProcedure="false">Inputs!$F$94</definedName>
    <definedName function="false" hidden="false" name="INP_092" vbProcedure="false">Inputs!$F$95</definedName>
    <definedName function="false" hidden="false" name="INP_093" vbProcedure="false">Inputs!$F$96</definedName>
    <definedName function="false" hidden="false" name="INP_094" vbProcedure="false">Inputs!$F$97</definedName>
    <definedName function="false" hidden="false" name="INP_095" vbProcedure="false">Inputs!$F$98</definedName>
    <definedName function="false" hidden="false" name="INP_096" vbProcedure="false">Inputs!$F$99</definedName>
    <definedName function="false" hidden="false" name="INP_097" vbProcedure="false">Inputs!$F$100</definedName>
    <definedName function="false" hidden="false" name="INP_098" vbProcedure="false">Inputs!$F$101</definedName>
    <definedName function="false" hidden="false" name="INP_099" vbProcedure="false">Inputs!$F$102</definedName>
    <definedName function="false" hidden="false" name="INP_100" vbProcedure="false">Inputs!$F$103</definedName>
    <definedName function="false" hidden="false" name="INP_101" vbProcedure="false">Inputs!$F$104</definedName>
    <definedName function="false" hidden="false" name="INP_102" vbProcedure="false">Inputs!$F$105</definedName>
    <definedName function="false" hidden="false" name="INP_103" vbProcedure="false">Inputs!$F$106</definedName>
    <definedName function="false" hidden="false" name="INP_104" vbProcedure="false">Inputs!$F$107</definedName>
    <definedName function="false" hidden="false" name="INP_105" vbProcedure="false">Inputs!$F$108</definedName>
    <definedName function="false" hidden="false" name="INP_106" vbProcedure="false">Inputs!$F$110</definedName>
    <definedName function="false" hidden="false" name="INP_107" vbProcedure="false">Inputs!$F$111</definedName>
    <definedName function="false" hidden="false" name="INP_108" vbProcedure="false">Inputs!$F$112</definedName>
    <definedName function="false" hidden="false" name="INP_109" vbProcedure="false">Inputs!$F$113</definedName>
    <definedName function="false" hidden="false" name="INP_110" vbProcedure="false">Inputs!$F$115</definedName>
    <definedName function="false" hidden="false" name="INP_111" vbProcedure="false">Inputs!$F$116</definedName>
    <definedName function="false" hidden="false" name="INP_112" vbProcedure="false">Inputs!$F$117</definedName>
    <definedName function="false" hidden="false" name="INP_113" vbProcedure="false">Inputs!$F$118</definedName>
    <definedName function="false" hidden="false" name="INP_114" vbProcedure="false">Inputs!$F$119</definedName>
    <definedName function="false" hidden="false" name="INP_115" vbProcedure="false">Inputs!$F$120</definedName>
    <definedName function="false" hidden="false" name="INP_116" vbProcedure="false">Inputs!$F$121</definedName>
    <definedName function="false" hidden="false" name="INP_117" vbProcedure="false">Inputs!$F$122</definedName>
    <definedName function="false" hidden="false" name="INP_118" vbProcedure="false">Inputs!$F$123</definedName>
    <definedName function="false" hidden="false" name="INP_119" vbProcedure="false">Inputs!$F$124</definedName>
    <definedName function="false" hidden="false" name="INP_120" vbProcedure="false">Inputs!$F$114</definedName>
    <definedName function="false" hidden="false" name="INP_121" vbProcedure="false">Inputs!$F$109</definedName>
    <definedName function="false" hidden="false" name="INP_122" vbProcedure="false">Inputs!$F$125</definedName>
    <definedName function="false" hidden="false" name="INP_123" vbProcedure="false">Inputs!$F$126</definedName>
    <definedName function="false" hidden="false" name="INP_124" vbProcedure="false">Inputs!$F$127</definedName>
    <definedName function="false" hidden="false" name="INP_125" vbProcedure="false">Inputs!$F$128</definedName>
    <definedName function="false" hidden="false" name="INP_126" vbProcedure="false">Inputs!$F$129</definedName>
    <definedName function="false" hidden="false" name="INP_127" vbProcedure="false">Inputs!$F$130</definedName>
    <definedName function="false" hidden="false" name="INP_128" vbProcedure="false">Inputs!$F$131</definedName>
    <definedName function="false" hidden="false" name="INP_129" vbProcedure="false">Inputs!$F$132</definedName>
    <definedName function="false" hidden="false" name="INP_130" vbProcedure="false">Inputs!$F$133</definedName>
    <definedName function="false" hidden="false" name="INP_131" vbProcedure="false">Inputs!$F$134</definedName>
    <definedName function="false" hidden="false" name="INP_132" vbProcedure="false">Inputs!$F$135</definedName>
    <definedName function="false" hidden="false" name="INP_133" vbProcedure="false">Inputs!$F$136</definedName>
    <definedName function="false" hidden="false" name="INP_134" vbProcedure="false">Inputs!$F$137</definedName>
    <definedName function="false" hidden="false" name="INP_135" vbProcedure="false">Inputs!$F$138</definedName>
    <definedName function="false" hidden="false" name="INP_136" vbProcedure="false">Inputs!$F$139</definedName>
    <definedName function="false" hidden="false" name="INP_137" vbProcedure="false">Inputs!$F$140</definedName>
    <definedName function="false" hidden="false" name="INP_138" vbProcedure="false">Inputs!$F$141</definedName>
    <definedName function="false" hidden="false" name="INP_139" vbProcedure="false">Inputs!$F$142</definedName>
    <definedName function="false" hidden="false" name="INP_140" vbProcedure="false">Inputs!$F$143</definedName>
    <definedName function="false" hidden="false" name="INP_141" vbProcedure="false">Inputs!$F$144</definedName>
    <definedName function="false" hidden="false" name="OAI_CMP_InfGW_Eff" vbProcedure="false">OAI_Link!$F$13:$K$13</definedName>
    <definedName function="false" hidden="false" name="OAI_CMP_Supply_VReq" vbProcedure="false">OAI_Link!$F$14:$K$14</definedName>
    <definedName function="false" hidden="false" name="OAI_COST_Compute" vbProcedure="false">OAI_Link!$F$15:$K$15</definedName>
    <definedName function="false" hidden="false" name="OAI_COST_Coverage" vbProcedure="false">OAI_Link!$F$20:$K$20</definedName>
    <definedName function="false" hidden="false" name="OAI_COST_FullCash" vbProcedure="false">OAI_Link!$F$16:$K$16</definedName>
    <definedName function="false" hidden="false" name="OAI_COST_PropFull_VR" vbProcedure="false">OAI_Link!$F$18:$K$18</definedName>
    <definedName function="false" hidden="false" name="OAI_COST_PropGap_VR" vbProcedure="false">OAI_Link!$F$19:$K$19</definedName>
    <definedName function="false" hidden="false" name="OAI_COST_PropRev_VR" vbProcedure="false">OAI_Link!$F$17:$K$17</definedName>
    <definedName function="false" hidden="false" name="OAI_DEM_Tok_Total" vbProcedure="false">OAI_Link!$F$12:$K$12</definedName>
    <definedName function="false" hidden="false" name="OAI_File" vbProcedure="false">OAI_Link!$B$3</definedName>
    <definedName function="false" hidden="false" name="OAI_FND_CashEnd" vbProcedure="false">OAI_Link!$F$24:$K$24</definedName>
    <definedName function="false" hidden="false" name="OAI_FND_Committed" vbProcedure="false">OAI_Link!$F$25:$K$25</definedName>
    <definedName function="false" hidden="false" name="OAI_FND_ExtNeed" vbProcedure="false">OAI_Link!$F$22:$K$22</definedName>
    <definedName function="false" hidden="false" name="OAI_FND_ExtNeedCum" vbProcedure="false">OAI_Link!$F$23:$K$23</definedName>
    <definedName function="false" hidden="false" name="OAI_FND_FCF" vbProcedure="false">OAI_Link!$F$21:$K$21</definedName>
    <definedName function="false" hidden="false" name="OAI_ReadDate" vbProcedure="false">OAI_Link!$B$6</definedName>
    <definedName function="false" hidden="false" name="OAI_Ref" vbProcedure="false">OAI_Link!$B$5</definedName>
    <definedName function="false" hidden="false" name="OAI_REV_Gross" vbProcedure="false">OAI_Link!$F$10:$K$10</definedName>
    <definedName function="false" hidden="false" name="OAI_REV_NetCapped" vbProcedure="false">OAI_Link!$F$11:$K$11</definedName>
    <definedName function="false" hidden="false" name="OAI_RVS_ExtNeedCum" vbProcedure="false">OAI_Link!$F$26:$K$26</definedName>
    <definedName function="false" hidden="false" name="OAI_SHA256" vbProcedure="false">OAI_Link!$B$4</definedName>
    <definedName function="false" hidden="false" name="REV_Ads" vbProcedure="false">Revenue!$D$53:$I$53</definedName>
    <definedName function="false" hidden="false" name="REV_API" vbProcedure="false">Revenue!$D$48:$I$48</definedName>
    <definedName function="false" hidden="false" name="REV_ApiPrice" vbProcedure="false">Revenue!$D$24:$I$24</definedName>
    <definedName function="false" hidden="false" name="REV_ApiPrice_H" vbProcedure="false">Revenue!$K$24:$L$24</definedName>
    <definedName function="false" hidden="false" name="REV_API_H" vbProcedure="false">Revenue!$K$48:$L$48</definedName>
    <definedName function="false" hidden="false" name="REV_API_Luna" vbProcedure="false">Revenue!$D$46:$I$46</definedName>
    <definedName function="false" hidden="false" name="REV_API_PayGo" vbProcedure="false">Revenue!$D$47:$I$47</definedName>
    <definedName function="false" hidden="false" name="REV_API_Sol" vbProcedure="false">Revenue!$D$45:$I$45</definedName>
    <definedName function="false" hidden="false" name="REV_ARRGapMaaS" vbProcedure="false">Revenue!$L$84</definedName>
    <definedName function="false" hidden="false" name="REV_ARRGapTotal" vbProcedure="false">Revenue!$L$87</definedName>
    <definedName function="false" hidden="false" name="REV_CapFactor" vbProcedure="false">Revenue!$D$57:$I$57</definedName>
    <definedName function="false" hidden="false" name="REV_Cloud" vbProcedure="false">Revenue!$D$56:$I$56</definedName>
    <definedName function="false" hidden="false" name="REV_CP_ARPU" vbProcedure="false">Revenue!$D$38:$I$38</definedName>
    <definedName function="false" hidden="false" name="REV_EffPrice_Luna" vbProcedure="false">Revenue!$D$21:$I$21</definedName>
    <definedName function="false" hidden="false" name="REV_EffPrice_Sol" vbProcedure="false">Revenue!$D$20:$I$20</definedName>
    <definedName function="false" hidden="false" name="REV_Enterprise" vbProcedure="false">Revenue!$D$60:$I$60</definedName>
    <definedName function="false" hidden="false" name="REV_Gap1H26" vbProcedure="false">Revenue!$K$75</definedName>
    <definedName function="false" hidden="false" name="REV_Gap2025" vbProcedure="false">Revenue!$D$74</definedName>
    <definedName function="false" hidden="false" name="REV_GapUncal2025" vbProcedure="false">Revenue!$D$77</definedName>
    <definedName function="false" hidden="false" name="REV_Gross" vbProcedure="false">Revenue!$D$54:$I$54</definedName>
    <definedName function="false" hidden="false" name="REV_GrossCapped" vbProcedure="false">Revenue!$D$58:$I$58</definedName>
    <definedName function="false" hidden="false" name="REV_Gross_H" vbProcedure="false">Revenue!$K$54:$L$54</definedName>
    <definedName function="false" hidden="false" name="REV_Individual" vbProcedure="false">Revenue!$D$61:$I$61</definedName>
    <definedName function="false" hidden="false" name="REV_ListPrice_Luna_Cache" vbProcedure="false">Revenue!$D$17:$I$17</definedName>
    <definedName function="false" hidden="false" name="REV_ListPrice_Luna_In" vbProcedure="false">Revenue!$D$16:$I$16</definedName>
    <definedName function="false" hidden="false" name="REV_ListPrice_Luna_Out" vbProcedure="false">Revenue!$D$18:$I$18</definedName>
    <definedName function="false" hidden="false" name="REV_ListPrice_Sol_Cache" vbProcedure="false">Revenue!$D$14:$I$14</definedName>
    <definedName function="false" hidden="false" name="REV_ListPrice_Sol_In" vbProcedure="false">Revenue!$D$13:$I$13</definedName>
    <definedName function="false" hidden="false" name="REV_ListPrice_Sol_Out" vbProcedure="false">Revenue!$D$15:$I$15</definedName>
    <definedName function="false" hidden="false" name="REV_Net" vbProcedure="false">Revenue!$D$55:$I$55</definedName>
    <definedName function="false" hidden="false" name="REV_NetCapped" vbProcedure="false">Revenue!$D$59:$I$59</definedName>
    <definedName function="false" hidden="false" name="REV_OnPrem" vbProcedure="false">Revenue!$D$52:$I$52</definedName>
    <definedName function="false" hidden="false" name="REV_OnPrem_Agent" vbProcedure="false">Revenue!$D$49:$I$49</definedName>
    <definedName function="false" hidden="false" name="REV_OnPrem_GPLLM" vbProcedure="false">Revenue!$D$50:$I$50</definedName>
    <definedName function="false" hidden="false" name="REV_OnPrem_H" vbProcedure="false">Revenue!$K$52:$L$52</definedName>
    <definedName function="false" hidden="false" name="REV_Other" vbProcedure="false">Revenue!$D$51:$I$51</definedName>
    <definedName function="false" hidden="false" name="REV_SegGap_Cloud1H26" vbProcedure="false">Revenue!$K$111</definedName>
    <definedName function="false" hidden="false" name="REV_SegGap_Cloud2025" vbProcedure="false">Revenue!$D$103</definedName>
    <definedName function="false" hidden="false" name="REV_SegGap_OnPrem1H26" vbProcedure="false">Revenue!$K$107</definedName>
    <definedName function="false" hidden="false" name="REV_SegGap_OnPrem2025" vbProcedure="false">Revenue!$D$99</definedName>
    <definedName function="false" hidden="false" name="REV_Sub" vbProcedure="false">Revenue!$D$43:$I$43</definedName>
    <definedName function="false" hidden="false" name="REV_Sub_H" vbProcedure="false">Revenue!$K$43:$L$43</definedName>
    <definedName function="false" hidden="false" name="REV_Sub_Lite" vbProcedure="false">Revenue!$D$40:$I$40</definedName>
    <definedName function="false" hidden="false" name="REV_Sub_Max" vbProcedure="false">Revenue!$D$42:$I$42</definedName>
    <definedName function="false" hidden="false" name="REV_Sub_Pro" vbProcedure="false">Revenue!$D$41:$I$41</definedName>
    <definedName function="false" hidden="false" name="RVS_CashEnd" vbProcedure="false">Reverse!$D$47:$I$47</definedName>
    <definedName function="false" hidden="false" name="RVS_Coverage" vbProcedure="false">Reverse!$D$41:$I$41</definedName>
    <definedName function="false" hidden="false" name="RVS_EV" vbProcedure="false">Reverse!$D$56</definedName>
    <definedName function="false" hidden="false" name="RVS_ExtNeedCum" vbProcedure="false">Reverse!$D$48:$I$48</definedName>
    <definedName function="false" hidden="false" name="RVS_FCF" vbProcedure="false">Reverse!$D$43:$I$43</definedName>
    <definedName function="false" hidden="false" name="RVS_FwdOverImplied" vbProcedure="false">Reverse!$D$71:$I$71</definedName>
    <definedName function="false" hidden="false" name="RVS_Gap" vbProcedure="false">Reverse!$D$29:$I$29</definedName>
    <definedName function="false" hidden="false" name="RVS_MktCap" vbProcedure="false">Reverse!$D$53</definedName>
    <definedName function="false" hidden="false" name="RVS_MktImpliedRev" vbProcedure="false">Reverse!$D$65</definedName>
    <definedName function="false" hidden="false" name="RVS_MktImpliedRevHi" vbProcedure="false">Reverse!$D$66</definedName>
    <definedName function="false" hidden="false" name="RVS_MktImpliedRevLo" vbProcedure="false">Reverse!$D$67</definedName>
    <definedName function="false" hidden="false" name="RVS_MktImpliedYear" vbProcedure="false">Reverse!$D$73</definedName>
    <definedName function="false" hidden="false" name="RVS_MultAPI" vbProcedure="false">Reverse!$D$34:$I$34</definedName>
    <definedName function="false" hidden="false" name="RVS_MultProp" vbProcedure="false">Reverse!$D$36:$I$36</definedName>
    <definedName function="false" hidden="false" name="RVS_MultSub" vbProcedure="false">Reverse!$D$35:$I$35</definedName>
    <definedName function="false" hidden="false" name="RVS_NetCash" vbProcedure="false">Reverse!$D$54</definedName>
    <definedName function="false" hidden="false" name="RVS_PeerMult" vbProcedure="false">Reverse!$D$62</definedName>
    <definedName function="false" hidden="false" name="RVS_Ratio" vbProcedure="false">Reverse!$D$30:$I$30</definedName>
    <definedName function="false" hidden="false" name="RVS_Target" vbProcedure="false">Reverse!$D$21:$I$21</definedName>
    <definedName function="false" hidden="false" name="RVS_TargetHi" vbProcedure="false">Reverse!$D$23:$I$23</definedName>
    <definedName function="false" hidden="false" name="RVS_TargetLo" vbProcedure="false">Reverse!$D$22:$I$22</definedName>
    <definedName function="false" hidden="false" name="SRC_ZP_001" vbProcedure="false">SRC_ZP!$D$5</definedName>
    <definedName function="false" hidden="false" name="SRC_ZP_002" vbProcedure="false">SRC_ZP!$D$6</definedName>
    <definedName function="false" hidden="false" name="SRC_ZP_003" vbProcedure="false">SRC_ZP!$D$7</definedName>
    <definedName function="false" hidden="false" name="SRC_ZP_004" vbProcedure="false">SRC_ZP!$D$8</definedName>
    <definedName function="false" hidden="false" name="SRC_ZP_005" vbProcedure="false">SRC_ZP!$D$9</definedName>
    <definedName function="false" hidden="false" name="SRC_ZP_006" vbProcedure="false">SRC_ZP!$D$10</definedName>
    <definedName function="false" hidden="false" name="SRC_ZP_007" vbProcedure="false">SRC_ZP!$D$11</definedName>
    <definedName function="false" hidden="false" name="SRC_ZP_008" vbProcedure="false">SRC_ZP!$D$12</definedName>
    <definedName function="false" hidden="false" name="SRC_ZP_009" vbProcedure="false">SRC_ZP!$D$13</definedName>
    <definedName function="false" hidden="false" name="SRC_ZP_010" vbProcedure="false">SRC_ZP!$D$14</definedName>
    <definedName function="false" hidden="false" name="SRC_ZP_011" vbProcedure="false">SRC_ZP!$D$15</definedName>
    <definedName function="false" hidden="false" name="SRC_ZP_012" vbProcedure="false">SRC_ZP!$D$16</definedName>
    <definedName function="false" hidden="false" name="SRC_ZP_013" vbProcedure="false">SRC_ZP!$D$17</definedName>
    <definedName function="false" hidden="false" name="SRC_ZP_014" vbProcedure="false">SRC_ZP!$D$18</definedName>
    <definedName function="false" hidden="false" name="SRC_ZP_015" vbProcedure="false">SRC_ZP!$D$19</definedName>
    <definedName function="false" hidden="false" name="SRC_ZP_016" vbProcedure="false">SRC_ZP!$D$20</definedName>
    <definedName function="false" hidden="false" name="SRC_ZP_017" vbProcedure="false">SRC_ZP!$D$21</definedName>
    <definedName function="false" hidden="false" name="SRC_ZP_018" vbProcedure="false">SRC_ZP!$D$22</definedName>
    <definedName function="false" hidden="false" name="SRC_ZP_019" vbProcedure="false">SRC_ZP!$D$23</definedName>
    <definedName function="false" hidden="false" name="SRC_ZP_020" vbProcedure="false">SRC_ZP!$D$24</definedName>
    <definedName function="false" hidden="false" name="SRC_ZP_021" vbProcedure="false">SRC_ZP!$D$25</definedName>
    <definedName function="false" hidden="false" name="SRC_ZP_022" vbProcedure="false">SRC_ZP!$D$26</definedName>
    <definedName function="false" hidden="false" name="SRC_ZP_023" vbProcedure="false">SRC_ZP!$D$27</definedName>
    <definedName function="false" hidden="false" name="SRC_ZP_024" vbProcedure="false">SRC_ZP!$D$28</definedName>
    <definedName function="false" hidden="false" name="SRC_ZP_025" vbProcedure="false">SRC_ZP!$D$29</definedName>
    <definedName function="false" hidden="false" name="SRC_ZP_026" vbProcedure="false">SRC_ZP!$D$30</definedName>
    <definedName function="false" hidden="false" name="SRC_ZP_027" vbProcedure="false">SRC_ZP!$D$31</definedName>
    <definedName function="false" hidden="false" name="SRC_ZP_028" vbProcedure="false">SRC_ZP!$D$32</definedName>
    <definedName function="false" hidden="false" name="SRC_ZP_029" vbProcedure="false">SRC_ZP!$D$33</definedName>
    <definedName function="false" hidden="false" name="SRC_ZP_030" vbProcedure="false">SRC_ZP!$D$34</definedName>
    <definedName function="false" hidden="false" name="SRC_ZP_031" vbProcedure="false">SRC_ZP!$D$35</definedName>
    <definedName function="false" hidden="false" name="SRC_ZP_032" vbProcedure="false">SRC_ZP!$D$36</definedName>
    <definedName function="false" hidden="false" name="SRC_ZP_033" vbProcedure="false">SRC_ZP!$D$37</definedName>
    <definedName function="false" hidden="false" name="SRC_ZP_034" vbProcedure="false">SRC_ZP!$D$38</definedName>
    <definedName function="false" hidden="false" name="SRC_ZP_035" vbProcedure="false">SRC_ZP!$D$39</definedName>
    <definedName function="false" hidden="false" name="SRC_ZP_036" vbProcedure="false">SRC_ZP!$D$40</definedName>
    <definedName function="false" hidden="false" name="SRC_ZP_037" vbProcedure="false">SRC_ZP!$D$41</definedName>
    <definedName function="false" hidden="false" name="SRC_ZP_038" vbProcedure="false">SRC_ZP!$D$42</definedName>
    <definedName function="false" hidden="false" name="SRC_ZP_039" vbProcedure="false">SRC_ZP!$D$43</definedName>
    <definedName function="false" hidden="false" name="SRC_ZP_040" vbProcedure="false">SRC_ZP!$D$44</definedName>
    <definedName function="false" hidden="false" name="SRC_ZP_041" vbProcedure="false">SRC_ZP!$D$45</definedName>
    <definedName function="false" hidden="false" name="SRC_ZP_042" vbProcedure="false">SRC_ZP!$D$46</definedName>
    <definedName function="false" hidden="false" name="SRC_ZP_043" vbProcedure="false">SRC_ZP!$D$47</definedName>
    <definedName function="false" hidden="false" name="SRC_ZP_044" vbProcedure="false">SRC_ZP!$D$48</definedName>
    <definedName function="false" hidden="false" name="SRC_ZP_045" vbProcedure="false">SRC_ZP!$D$49</definedName>
    <definedName function="false" hidden="false" name="SRC_ZP_046" vbProcedure="false">SRC_ZP!$D$50</definedName>
    <definedName function="false" hidden="false" name="SRC_ZP_047" vbProcedure="false">SRC_ZP!$D$51</definedName>
    <definedName function="false" hidden="false" name="SRC_ZP_048" vbProcedure="false">SRC_ZP!$D$52</definedName>
    <definedName function="false" hidden="false" name="SRC_ZP_049" vbProcedure="false">SRC_ZP!$D$53</definedName>
    <definedName function="false" hidden="false" name="SRC_ZP_050" vbProcedure="false">SRC_ZP!$D$54</definedName>
    <definedName function="false" hidden="false" name="SRC_ZP_051" vbProcedure="false">SRC_ZP!$D$55</definedName>
    <definedName function="false" hidden="false" name="SRC_ZP_052" vbProcedure="false">SRC_ZP!$D$56</definedName>
    <definedName function="false" hidden="false" name="SRC_ZP_053" vbProcedure="false">SRC_ZP!$D$57</definedName>
    <definedName function="false" hidden="false" name="SRC_ZP_054" vbProcedure="false">SRC_ZP!$D$58</definedName>
    <definedName function="false" hidden="false" name="SRC_ZP_055" vbProcedure="false">SRC_ZP!$D$59</definedName>
    <definedName function="false" hidden="false" name="SRC_ZP_056" vbProcedure="false">SRC_ZP!$D$60</definedName>
    <definedName function="false" hidden="false" name="SRC_ZP_057" vbProcedure="false">SRC_ZP!$D$61</definedName>
    <definedName function="false" hidden="false" name="SRC_ZP_058" vbProcedure="false">SRC_ZP!$D$62</definedName>
    <definedName function="false" hidden="false" name="SRC_ZP_059" vbProcedure="false">SRC_ZP!$D$63</definedName>
    <definedName function="false" hidden="false" name="SRC_ZP_060" vbProcedure="false">SRC_ZP!$D$64</definedName>
    <definedName function="false" hidden="false" name="SRC_ZP_061" vbProcedure="false">SRC_ZP!$D$65</definedName>
    <definedName function="false" hidden="false" name="SRC_ZP_062" vbProcedure="false">SRC_ZP!$D$66</definedName>
    <definedName function="false" hidden="false" name="SRC_ZP_063" vbProcedure="false">SRC_ZP!$D$67</definedName>
    <definedName function="false" hidden="false" name="SRC_ZP_064" vbProcedure="false">SRC_ZP!$D$68</definedName>
    <definedName function="false" hidden="false" name="SRC_ZP_065" vbProcedure="false">SRC_ZP!$D$69</definedName>
    <definedName function="false" hidden="false" name="SRC_ZP_066" vbProcedure="false">SRC_ZP!$D$70</definedName>
    <definedName function="false" hidden="false" name="SRC_ZP_067" vbProcedure="false">SRC_ZP!$D$71</definedName>
    <definedName function="false" hidden="false" name="SRC_ZP_068" vbProcedure="false">SRC_ZP!$D$72</definedName>
    <definedName function="false" hidden="false" name="SRC_ZP_069" vbProcedure="false">SRC_ZP!$D$73</definedName>
    <definedName function="false" hidden="false" name="SRC_ZP_070" vbProcedure="false">SRC_ZP!$D$74</definedName>
    <definedName function="false" hidden="false" name="SRC_ZP_071" vbProcedure="false">SRC_ZP!$D$75</definedName>
    <definedName function="false" hidden="false" name="SRC_ZP_072" vbProcedure="false">SRC_ZP!$D$76</definedName>
    <definedName function="false" hidden="false" name="SRC_ZP_073" vbProcedure="false">SRC_ZP!$D$77</definedName>
    <definedName function="false" hidden="false" name="SRC_ZP_074" vbProcedure="false">SRC_ZP!$D$78</definedName>
    <definedName function="false" hidden="false" name="SRC_ZP_075" vbProcedure="false">SRC_ZP!$D$79</definedName>
    <definedName function="false" hidden="false" name="SRC_ZP_076" vbProcedure="false">SRC_ZP!$D$80</definedName>
    <definedName function="false" hidden="false" name="SRC_ZP_077" vbProcedure="false">SRC_ZP!$D$81</definedName>
    <definedName function="false" hidden="false" name="SRC_ZP_078" vbProcedure="false">SRC_ZP!$D$82</definedName>
    <definedName function="false" hidden="false" name="SRC_ZP_079" vbProcedure="false">SRC_ZP!$D$83</definedName>
    <definedName function="false" hidden="false" name="SRC_ZP_080" vbProcedure="false">SRC_ZP!$D$84</definedName>
    <definedName function="false" hidden="false" name="SRC_ZP_081" vbProcedure="false">SRC_ZP!$D$85</definedName>
    <definedName function="false" hidden="false" name="SRC_ZP_082" vbProcedure="false">SRC_ZP!$D$86</definedName>
    <definedName function="false" hidden="false" name="SRC_ZP_083" vbProcedure="false">SRC_ZP!$D$87</definedName>
    <definedName function="false" hidden="false" name="SRC_ZP_084" vbProcedure="false">SRC_ZP!$D$88</definedName>
    <definedName function="false" hidden="false" name="SRC_ZP_085" vbProcedure="false">SRC_ZP!$D$89</definedName>
    <definedName function="false" hidden="false" name="SRC_ZP_086" vbProcedure="false">SRC_ZP!$D$90</definedName>
    <definedName function="false" hidden="false" name="SRC_ZP_087" vbProcedure="false">SRC_ZP!$D$91</definedName>
    <definedName function="false" hidden="false" name="SRC_ZP_088" vbProcedure="false">SRC_ZP!$D$92</definedName>
    <definedName function="false" hidden="false" name="SRC_ZP_089" vbProcedure="false">SRC_ZP!$D$93</definedName>
    <definedName function="false" hidden="false" name="SRC_ZP_090" vbProcedure="false">SRC_ZP!$D$94</definedName>
    <definedName function="false" hidden="false" name="SRC_ZP_091" vbProcedure="false">SRC_ZP!$D$95</definedName>
    <definedName function="false" hidden="false" name="SRC_ZP_092" vbProcedure="false">SRC_ZP!$D$96</definedName>
    <definedName function="false" hidden="false" name="SRC_ZP_093" vbProcedure="false">SRC_ZP!$D$97</definedName>
    <definedName function="false" hidden="false" name="SRC_ZP_094" vbProcedure="false">SRC_ZP!$D$98</definedName>
    <definedName function="false" hidden="false" name="SRC_ZP_095" vbProcedure="false">SRC_ZP!$D$99</definedName>
    <definedName function="false" hidden="false" name="SRC_ZP_096" vbProcedure="false">SRC_ZP!$D$100</definedName>
    <definedName function="false" hidden="false" name="SRC_ZP_097" vbProcedure="false">SRC_ZP!$D$101</definedName>
    <definedName function="false" hidden="false" name="SRC_ZP_098" vbProcedure="false">SRC_ZP!$D$102</definedName>
    <definedName function="false" hidden="false" name="SRC_ZP_099" vbProcedure="false">SRC_ZP!$D$103</definedName>
    <definedName function="false" hidden="false" name="SRC_ZP_100" vbProcedure="false">SRC_ZP!$D$104</definedName>
    <definedName function="false" hidden="false" name="SRC_ZP_1000" vbProcedure="false">SRC_ZP!$D$1004</definedName>
    <definedName function="false" hidden="false" name="SRC_ZP_1001" vbProcedure="false">SRC_ZP!$D$1005</definedName>
    <definedName function="false" hidden="false" name="SRC_ZP_1002" vbProcedure="false">SRC_ZP!$D$1006</definedName>
    <definedName function="false" hidden="false" name="SRC_ZP_1003" vbProcedure="false">SRC_ZP!$D$1007</definedName>
    <definedName function="false" hidden="false" name="SRC_ZP_1004" vbProcedure="false">SRC_ZP!$D$1008</definedName>
    <definedName function="false" hidden="false" name="SRC_ZP_1005" vbProcedure="false">SRC_ZP!$D$1009</definedName>
    <definedName function="false" hidden="false" name="SRC_ZP_1006" vbProcedure="false">SRC_ZP!$D$1010</definedName>
    <definedName function="false" hidden="false" name="SRC_ZP_1007" vbProcedure="false">SRC_ZP!$D$1011</definedName>
    <definedName function="false" hidden="false" name="SRC_ZP_1008" vbProcedure="false">SRC_ZP!$D$1012</definedName>
    <definedName function="false" hidden="false" name="SRC_ZP_1009" vbProcedure="false">SRC_ZP!$D$1013</definedName>
    <definedName function="false" hidden="false" name="SRC_ZP_101" vbProcedure="false">SRC_ZP!$D$105</definedName>
    <definedName function="false" hidden="false" name="SRC_ZP_1010" vbProcedure="false">SRC_ZP!$D$1014</definedName>
    <definedName function="false" hidden="false" name="SRC_ZP_1011" vbProcedure="false">SRC_ZP!$D$1015</definedName>
    <definedName function="false" hidden="false" name="SRC_ZP_1012" vbProcedure="false">SRC_ZP!$D$1016</definedName>
    <definedName function="false" hidden="false" name="SRC_ZP_1013" vbProcedure="false">SRC_ZP!$D$1017</definedName>
    <definedName function="false" hidden="false" name="SRC_ZP_1014" vbProcedure="false">SRC_ZP!$D$1018</definedName>
    <definedName function="false" hidden="false" name="SRC_ZP_1015" vbProcedure="false">SRC_ZP!$D$1019</definedName>
    <definedName function="false" hidden="false" name="SRC_ZP_1016" vbProcedure="false">SRC_ZP!$D$1020</definedName>
    <definedName function="false" hidden="false" name="SRC_ZP_1018" vbProcedure="false">SRC_ZP!$D$1022</definedName>
    <definedName function="false" hidden="false" name="SRC_ZP_1019" vbProcedure="false">SRC_ZP!$D$1023</definedName>
    <definedName function="false" hidden="false" name="SRC_ZP_102" vbProcedure="false">SRC_ZP!$D$106</definedName>
    <definedName function="false" hidden="false" name="SRC_ZP_1020" vbProcedure="false">SRC_ZP!$D$1024</definedName>
    <definedName function="false" hidden="false" name="SRC_ZP_1021" vbProcedure="false">SRC_ZP!$D$1025</definedName>
    <definedName function="false" hidden="false" name="SRC_ZP_1022" vbProcedure="false">SRC_ZP!$D$1026</definedName>
    <definedName function="false" hidden="false" name="SRC_ZP_1023" vbProcedure="false">SRC_ZP!$D$1027</definedName>
    <definedName function="false" hidden="false" name="SRC_ZP_1024" vbProcedure="false">SRC_ZP!$D$1028</definedName>
    <definedName function="false" hidden="false" name="SRC_ZP_1025" vbProcedure="false">SRC_ZP!$D$1029</definedName>
    <definedName function="false" hidden="false" name="SRC_ZP_1026" vbProcedure="false">SRC_ZP!$D$1030</definedName>
    <definedName function="false" hidden="false" name="SRC_ZP_1027" vbProcedure="false">SRC_ZP!$D$1031</definedName>
    <definedName function="false" hidden="false" name="SRC_ZP_1028" vbProcedure="false">SRC_ZP!$D$1032</definedName>
    <definedName function="false" hidden="false" name="SRC_ZP_1029" vbProcedure="false">SRC_ZP!$D$1033</definedName>
    <definedName function="false" hidden="false" name="SRC_ZP_103" vbProcedure="false">SRC_ZP!$D$107</definedName>
    <definedName function="false" hidden="false" name="SRC_ZP_1030" vbProcedure="false">SRC_ZP!$D$1034</definedName>
    <definedName function="false" hidden="false" name="SRC_ZP_1031" vbProcedure="false">SRC_ZP!$D$1035</definedName>
    <definedName function="false" hidden="false" name="SRC_ZP_1032" vbProcedure="false">SRC_ZP!$D$1036</definedName>
    <definedName function="false" hidden="false" name="SRC_ZP_1032_Hi" vbProcedure="false">SRC_ZP!$F$1036</definedName>
    <definedName function="false" hidden="false" name="SRC_ZP_1032_Lo" vbProcedure="false">SRC_ZP!$E$1036</definedName>
    <definedName function="false" hidden="false" name="SRC_ZP_1033" vbProcedure="false">SRC_ZP!$D$1037</definedName>
    <definedName function="false" hidden="false" name="SRC_ZP_1034" vbProcedure="false">SRC_ZP!$D$1038</definedName>
    <definedName function="false" hidden="false" name="SRC_ZP_1035" vbProcedure="false">SRC_ZP!$D$1039</definedName>
    <definedName function="false" hidden="false" name="SRC_ZP_1036" vbProcedure="false">SRC_ZP!$D$1040</definedName>
    <definedName function="false" hidden="false" name="SRC_ZP_1037" vbProcedure="false">SRC_ZP!$D$1041</definedName>
    <definedName function="false" hidden="false" name="SRC_ZP_1038" vbProcedure="false">SRC_ZP!$D$1042</definedName>
    <definedName function="false" hidden="false" name="SRC_ZP_1039" vbProcedure="false">SRC_ZP!$D$1043</definedName>
    <definedName function="false" hidden="false" name="SRC_ZP_104" vbProcedure="false">SRC_ZP!$D$108</definedName>
    <definedName function="false" hidden="false" name="SRC_ZP_1040" vbProcedure="false">SRC_ZP!$D$1044</definedName>
    <definedName function="false" hidden="false" name="SRC_ZP_1041" vbProcedure="false">SRC_ZP!$D$1045</definedName>
    <definedName function="false" hidden="false" name="SRC_ZP_1042" vbProcedure="false">SRC_ZP!$D$1046</definedName>
    <definedName function="false" hidden="false" name="SRC_ZP_1043" vbProcedure="false">SRC_ZP!$D$1047</definedName>
    <definedName function="false" hidden="false" name="SRC_ZP_1044" vbProcedure="false">SRC_ZP!$D$1048</definedName>
    <definedName function="false" hidden="false" name="SRC_ZP_1045" vbProcedure="false">SRC_ZP!$D$1049</definedName>
    <definedName function="false" hidden="false" name="SRC_ZP_1046" vbProcedure="false">SRC_ZP!$D$1050</definedName>
    <definedName function="false" hidden="false" name="SRC_ZP_1047" vbProcedure="false">SRC_ZP!$D$1051</definedName>
    <definedName function="false" hidden="false" name="SRC_ZP_1048" vbProcedure="false">SRC_ZP!$D$1052</definedName>
    <definedName function="false" hidden="false" name="SRC_ZP_1049" vbProcedure="false">SRC_ZP!$D$1053</definedName>
    <definedName function="false" hidden="false" name="SRC_ZP_105" vbProcedure="false">SRC_ZP!$D$109</definedName>
    <definedName function="false" hidden="false" name="SRC_ZP_1051" vbProcedure="false">SRC_ZP!$D$1055</definedName>
    <definedName function="false" hidden="false" name="SRC_ZP_1052" vbProcedure="false">SRC_ZP!$D$1056</definedName>
    <definedName function="false" hidden="false" name="SRC_ZP_1053" vbProcedure="false">SRC_ZP!$D$1057</definedName>
    <definedName function="false" hidden="false" name="SRC_ZP_1054" vbProcedure="false">SRC_ZP!$D$1058</definedName>
    <definedName function="false" hidden="false" name="SRC_ZP_106" vbProcedure="false">SRC_ZP!$D$110</definedName>
    <definedName function="false" hidden="false" name="SRC_ZP_107" vbProcedure="false">SRC_ZP!$D$111</definedName>
    <definedName function="false" hidden="false" name="SRC_ZP_108" vbProcedure="false">SRC_ZP!$D$112</definedName>
    <definedName function="false" hidden="false" name="SRC_ZP_109" vbProcedure="false">SRC_ZP!$D$113</definedName>
    <definedName function="false" hidden="false" name="SRC_ZP_110" vbProcedure="false">SRC_ZP!$D$114</definedName>
    <definedName function="false" hidden="false" name="SRC_ZP_111" vbProcedure="false">SRC_ZP!$D$115</definedName>
    <definedName function="false" hidden="false" name="SRC_ZP_112" vbProcedure="false">SRC_ZP!$D$116</definedName>
    <definedName function="false" hidden="false" name="SRC_ZP_113" vbProcedure="false">SRC_ZP!$D$117</definedName>
    <definedName function="false" hidden="false" name="SRC_ZP_114" vbProcedure="false">SRC_ZP!$D$118</definedName>
    <definedName function="false" hidden="false" name="SRC_ZP_115" vbProcedure="false">SRC_ZP!$D$119</definedName>
    <definedName function="false" hidden="false" name="SRC_ZP_116" vbProcedure="false">SRC_ZP!$D$120</definedName>
    <definedName function="false" hidden="false" name="SRC_ZP_117" vbProcedure="false">SRC_ZP!$D$121</definedName>
    <definedName function="false" hidden="false" name="SRC_ZP_118" vbProcedure="false">SRC_ZP!$D$122</definedName>
    <definedName function="false" hidden="false" name="SRC_ZP_119" vbProcedure="false">SRC_ZP!$D$123</definedName>
    <definedName function="false" hidden="false" name="SRC_ZP_120" vbProcedure="false">SRC_ZP!$D$124</definedName>
    <definedName function="false" hidden="false" name="SRC_ZP_121" vbProcedure="false">SRC_ZP!$D$125</definedName>
    <definedName function="false" hidden="false" name="SRC_ZP_122" vbProcedure="false">SRC_ZP!$D$126</definedName>
    <definedName function="false" hidden="false" name="SRC_ZP_123" vbProcedure="false">SRC_ZP!$D$127</definedName>
    <definedName function="false" hidden="false" name="SRC_ZP_124" vbProcedure="false">SRC_ZP!$D$128</definedName>
    <definedName function="false" hidden="false" name="SRC_ZP_125" vbProcedure="false">SRC_ZP!$D$129</definedName>
    <definedName function="false" hidden="false" name="SRC_ZP_126" vbProcedure="false">SRC_ZP!$D$130</definedName>
    <definedName function="false" hidden="false" name="SRC_ZP_127" vbProcedure="false">SRC_ZP!$D$131</definedName>
    <definedName function="false" hidden="false" name="SRC_ZP_128" vbProcedure="false">SRC_ZP!$D$132</definedName>
    <definedName function="false" hidden="false" name="SRC_ZP_129" vbProcedure="false">SRC_ZP!$D$133</definedName>
    <definedName function="false" hidden="false" name="SRC_ZP_130" vbProcedure="false">SRC_ZP!$D$134</definedName>
    <definedName function="false" hidden="false" name="SRC_ZP_131" vbProcedure="false">SRC_ZP!$D$135</definedName>
    <definedName function="false" hidden="false" name="SRC_ZP_132" vbProcedure="false">SRC_ZP!$D$136</definedName>
    <definedName function="false" hidden="false" name="SRC_ZP_133" vbProcedure="false">SRC_ZP!$D$137</definedName>
    <definedName function="false" hidden="false" name="SRC_ZP_134" vbProcedure="false">SRC_ZP!$D$138</definedName>
    <definedName function="false" hidden="false" name="SRC_ZP_135" vbProcedure="false">SRC_ZP!$D$139</definedName>
    <definedName function="false" hidden="false" name="SRC_ZP_136" vbProcedure="false">SRC_ZP!$D$140</definedName>
    <definedName function="false" hidden="false" name="SRC_ZP_137" vbProcedure="false">SRC_ZP!$D$141</definedName>
    <definedName function="false" hidden="false" name="SRC_ZP_138" vbProcedure="false">SRC_ZP!$D$142</definedName>
    <definedName function="false" hidden="false" name="SRC_ZP_139" vbProcedure="false">SRC_ZP!$D$143</definedName>
    <definedName function="false" hidden="false" name="SRC_ZP_140" vbProcedure="false">SRC_ZP!$D$144</definedName>
    <definedName function="false" hidden="false" name="SRC_ZP_141" vbProcedure="false">SRC_ZP!$D$145</definedName>
    <definedName function="false" hidden="false" name="SRC_ZP_142" vbProcedure="false">SRC_ZP!$D$146</definedName>
    <definedName function="false" hidden="false" name="SRC_ZP_143" vbProcedure="false">SRC_ZP!$D$147</definedName>
    <definedName function="false" hidden="false" name="SRC_ZP_144" vbProcedure="false">SRC_ZP!$D$148</definedName>
    <definedName function="false" hidden="false" name="SRC_ZP_145" vbProcedure="false">SRC_ZP!$D$149</definedName>
    <definedName function="false" hidden="false" name="SRC_ZP_146" vbProcedure="false">SRC_ZP!$D$150</definedName>
    <definedName function="false" hidden="false" name="SRC_ZP_147" vbProcedure="false">SRC_ZP!$D$151</definedName>
    <definedName function="false" hidden="false" name="SRC_ZP_148" vbProcedure="false">SRC_ZP!$D$152</definedName>
    <definedName function="false" hidden="false" name="SRC_ZP_149" vbProcedure="false">SRC_ZP!$D$153</definedName>
    <definedName function="false" hidden="false" name="SRC_ZP_150" vbProcedure="false">SRC_ZP!$D$154</definedName>
    <definedName function="false" hidden="false" name="SRC_ZP_151" vbProcedure="false">SRC_ZP!$D$155</definedName>
    <definedName function="false" hidden="false" name="SRC_ZP_152" vbProcedure="false">SRC_ZP!$D$156</definedName>
    <definedName function="false" hidden="false" name="SRC_ZP_153" vbProcedure="false">SRC_ZP!$D$157</definedName>
    <definedName function="false" hidden="false" name="SRC_ZP_154" vbProcedure="false">SRC_ZP!$D$158</definedName>
    <definedName function="false" hidden="false" name="SRC_ZP_155" vbProcedure="false">SRC_ZP!$D$159</definedName>
    <definedName function="false" hidden="false" name="SRC_ZP_156" vbProcedure="false">SRC_ZP!$D$160</definedName>
    <definedName function="false" hidden="false" name="SRC_ZP_157" vbProcedure="false">SRC_ZP!$D$161</definedName>
    <definedName function="false" hidden="false" name="SRC_ZP_158" vbProcedure="false">SRC_ZP!$D$162</definedName>
    <definedName function="false" hidden="false" name="SRC_ZP_159" vbProcedure="false">SRC_ZP!$D$163</definedName>
    <definedName function="false" hidden="false" name="SRC_ZP_160" vbProcedure="false">SRC_ZP!$D$164</definedName>
    <definedName function="false" hidden="false" name="SRC_ZP_161" vbProcedure="false">SRC_ZP!$D$165</definedName>
    <definedName function="false" hidden="false" name="SRC_ZP_162" vbProcedure="false">SRC_ZP!$D$166</definedName>
    <definedName function="false" hidden="false" name="SRC_ZP_163" vbProcedure="false">SRC_ZP!$D$167</definedName>
    <definedName function="false" hidden="false" name="SRC_ZP_164" vbProcedure="false">SRC_ZP!$D$168</definedName>
    <definedName function="false" hidden="false" name="SRC_ZP_166" vbProcedure="false">SRC_ZP!$D$170</definedName>
    <definedName function="false" hidden="false" name="SRC_ZP_168" vbProcedure="false">SRC_ZP!$D$172</definedName>
    <definedName function="false" hidden="false" name="SRC_ZP_168_Lo" vbProcedure="false">SRC_ZP!$E$172</definedName>
    <definedName function="false" hidden="false" name="SRC_ZP_169" vbProcedure="false">SRC_ZP!$D$173</definedName>
    <definedName function="false" hidden="false" name="SRC_ZP_170" vbProcedure="false">SRC_ZP!$D$174</definedName>
    <definedName function="false" hidden="false" name="SRC_ZP_171" vbProcedure="false">SRC_ZP!$D$175</definedName>
    <definedName function="false" hidden="false" name="SRC_ZP_172" vbProcedure="false">SRC_ZP!$D$176</definedName>
    <definedName function="false" hidden="false" name="SRC_ZP_173" vbProcedure="false">SRC_ZP!$D$177</definedName>
    <definedName function="false" hidden="false" name="SRC_ZP_174" vbProcedure="false">SRC_ZP!$D$178</definedName>
    <definedName function="false" hidden="false" name="SRC_ZP_175" vbProcedure="false">SRC_ZP!$D$179</definedName>
    <definedName function="false" hidden="false" name="SRC_ZP_176" vbProcedure="false">SRC_ZP!$D$180</definedName>
    <definedName function="false" hidden="false" name="SRC_ZP_177" vbProcedure="false">SRC_ZP!$D$181</definedName>
    <definedName function="false" hidden="false" name="SRC_ZP_178" vbProcedure="false">SRC_ZP!$D$182</definedName>
    <definedName function="false" hidden="false" name="SRC_ZP_179" vbProcedure="false">SRC_ZP!$D$183</definedName>
    <definedName function="false" hidden="false" name="SRC_ZP_180" vbProcedure="false">SRC_ZP!$D$184</definedName>
    <definedName function="false" hidden="false" name="SRC_ZP_181" vbProcedure="false">SRC_ZP!$D$185</definedName>
    <definedName function="false" hidden="false" name="SRC_ZP_182" vbProcedure="false">SRC_ZP!$D$186</definedName>
    <definedName function="false" hidden="false" name="SRC_ZP_183" vbProcedure="false">SRC_ZP!$D$187</definedName>
    <definedName function="false" hidden="false" name="SRC_ZP_184" vbProcedure="false">SRC_ZP!$D$188</definedName>
    <definedName function="false" hidden="false" name="SRC_ZP_185" vbProcedure="false">SRC_ZP!$D$189</definedName>
    <definedName function="false" hidden="false" name="SRC_ZP_186" vbProcedure="false">SRC_ZP!$D$190</definedName>
    <definedName function="false" hidden="false" name="SRC_ZP_187" vbProcedure="false">SRC_ZP!$D$191</definedName>
    <definedName function="false" hidden="false" name="SRC_ZP_188" vbProcedure="false">SRC_ZP!$D$192</definedName>
    <definedName function="false" hidden="false" name="SRC_ZP_189" vbProcedure="false">SRC_ZP!$D$193</definedName>
    <definedName function="false" hidden="false" name="SRC_ZP_190" vbProcedure="false">SRC_ZP!$D$194</definedName>
    <definedName function="false" hidden="false" name="SRC_ZP_191" vbProcedure="false">SRC_ZP!$D$195</definedName>
    <definedName function="false" hidden="false" name="SRC_ZP_192" vbProcedure="false">SRC_ZP!$D$196</definedName>
    <definedName function="false" hidden="false" name="SRC_ZP_193" vbProcedure="false">SRC_ZP!$D$197</definedName>
    <definedName function="false" hidden="false" name="SRC_ZP_194" vbProcedure="false">SRC_ZP!$D$198</definedName>
    <definedName function="false" hidden="false" name="SRC_ZP_195" vbProcedure="false">SRC_ZP!$D$199</definedName>
    <definedName function="false" hidden="false" name="SRC_ZP_196" vbProcedure="false">SRC_ZP!$D$200</definedName>
    <definedName function="false" hidden="false" name="SRC_ZP_197" vbProcedure="false">SRC_ZP!$D$201</definedName>
    <definedName function="false" hidden="false" name="SRC_ZP_198" vbProcedure="false">SRC_ZP!$D$202</definedName>
    <definedName function="false" hidden="false" name="SRC_ZP_199" vbProcedure="false">SRC_ZP!$D$203</definedName>
    <definedName function="false" hidden="false" name="SRC_ZP_200" vbProcedure="false">SRC_ZP!$D$204</definedName>
    <definedName function="false" hidden="false" name="SRC_ZP_201" vbProcedure="false">SRC_ZP!$D$205</definedName>
    <definedName function="false" hidden="false" name="SRC_ZP_202" vbProcedure="false">SRC_ZP!$D$206</definedName>
    <definedName function="false" hidden="false" name="SRC_ZP_203" vbProcedure="false">SRC_ZP!$D$207</definedName>
    <definedName function="false" hidden="false" name="SRC_ZP_204" vbProcedure="false">SRC_ZP!$D$208</definedName>
    <definedName function="false" hidden="false" name="SRC_ZP_205" vbProcedure="false">SRC_ZP!$D$209</definedName>
    <definedName function="false" hidden="false" name="SRC_ZP_206" vbProcedure="false">SRC_ZP!$D$210</definedName>
    <definedName function="false" hidden="false" name="SRC_ZP_207" vbProcedure="false">SRC_ZP!$D$211</definedName>
    <definedName function="false" hidden="false" name="SRC_ZP_208" vbProcedure="false">SRC_ZP!$D$212</definedName>
    <definedName function="false" hidden="false" name="SRC_ZP_209" vbProcedure="false">SRC_ZP!$D$213</definedName>
    <definedName function="false" hidden="false" name="SRC_ZP_210" vbProcedure="false">SRC_ZP!$D$214</definedName>
    <definedName function="false" hidden="false" name="SRC_ZP_211" vbProcedure="false">SRC_ZP!$D$215</definedName>
    <definedName function="false" hidden="false" name="SRC_ZP_212" vbProcedure="false">SRC_ZP!$D$216</definedName>
    <definedName function="false" hidden="false" name="SRC_ZP_213" vbProcedure="false">SRC_ZP!$D$217</definedName>
    <definedName function="false" hidden="false" name="SRC_ZP_214" vbProcedure="false">SRC_ZP!$D$218</definedName>
    <definedName function="false" hidden="false" name="SRC_ZP_215" vbProcedure="false">SRC_ZP!$D$219</definedName>
    <definedName function="false" hidden="false" name="SRC_ZP_216" vbProcedure="false">SRC_ZP!$D$220</definedName>
    <definedName function="false" hidden="false" name="SRC_ZP_217" vbProcedure="false">SRC_ZP!$D$221</definedName>
    <definedName function="false" hidden="false" name="SRC_ZP_218" vbProcedure="false">SRC_ZP!$D$222</definedName>
    <definedName function="false" hidden="false" name="SRC_ZP_219" vbProcedure="false">SRC_ZP!$D$223</definedName>
    <definedName function="false" hidden="false" name="SRC_ZP_220" vbProcedure="false">SRC_ZP!$D$224</definedName>
    <definedName function="false" hidden="false" name="SRC_ZP_221" vbProcedure="false">SRC_ZP!$D$225</definedName>
    <definedName function="false" hidden="false" name="SRC_ZP_222" vbProcedure="false">SRC_ZP!$D$226</definedName>
    <definedName function="false" hidden="false" name="SRC_ZP_223" vbProcedure="false">SRC_ZP!$D$227</definedName>
    <definedName function="false" hidden="false" name="SRC_ZP_224" vbProcedure="false">SRC_ZP!$D$228</definedName>
    <definedName function="false" hidden="false" name="SRC_ZP_225" vbProcedure="false">SRC_ZP!$D$229</definedName>
    <definedName function="false" hidden="false" name="SRC_ZP_226" vbProcedure="false">SRC_ZP!$D$230</definedName>
    <definedName function="false" hidden="false" name="SRC_ZP_227" vbProcedure="false">SRC_ZP!$D$231</definedName>
    <definedName function="false" hidden="false" name="SRC_ZP_229" vbProcedure="false">SRC_ZP!$D$233</definedName>
    <definedName function="false" hidden="false" name="SRC_ZP_229_Lo" vbProcedure="false">SRC_ZP!$E$233</definedName>
    <definedName function="false" hidden="false" name="SRC_ZP_230" vbProcedure="false">SRC_ZP!$D$234</definedName>
    <definedName function="false" hidden="false" name="SRC_ZP_231" vbProcedure="false">SRC_ZP!$D$235</definedName>
    <definedName function="false" hidden="false" name="SRC_ZP_232" vbProcedure="false">SRC_ZP!$D$236</definedName>
    <definedName function="false" hidden="false" name="SRC_ZP_233" vbProcedure="false">SRC_ZP!$D$237</definedName>
    <definedName function="false" hidden="false" name="SRC_ZP_234" vbProcedure="false">SRC_ZP!$D$238</definedName>
    <definedName function="false" hidden="false" name="SRC_ZP_234_Lo" vbProcedure="false">SRC_ZP!$E$238</definedName>
    <definedName function="false" hidden="false" name="SRC_ZP_235" vbProcedure="false">SRC_ZP!$D$239</definedName>
    <definedName function="false" hidden="false" name="SRC_ZP_236" vbProcedure="false">SRC_ZP!$D$240</definedName>
    <definedName function="false" hidden="false" name="SRC_ZP_237" vbProcedure="false">SRC_ZP!$D$241</definedName>
    <definedName function="false" hidden="false" name="SRC_ZP_238" vbProcedure="false">SRC_ZP!$D$242</definedName>
    <definedName function="false" hidden="false" name="SRC_ZP_239" vbProcedure="false">SRC_ZP!$D$243</definedName>
    <definedName function="false" hidden="false" name="SRC_ZP_240" vbProcedure="false">SRC_ZP!$D$244</definedName>
    <definedName function="false" hidden="false" name="SRC_ZP_241" vbProcedure="false">SRC_ZP!$D$245</definedName>
    <definedName function="false" hidden="false" name="SRC_ZP_242" vbProcedure="false">SRC_ZP!$D$246</definedName>
    <definedName function="false" hidden="false" name="SRC_ZP_243" vbProcedure="false">SRC_ZP!$D$247</definedName>
    <definedName function="false" hidden="false" name="SRC_ZP_244" vbProcedure="false">SRC_ZP!$D$248</definedName>
    <definedName function="false" hidden="false" name="SRC_ZP_245" vbProcedure="false">SRC_ZP!$D$249</definedName>
    <definedName function="false" hidden="false" name="SRC_ZP_246" vbProcedure="false">SRC_ZP!$D$250</definedName>
    <definedName function="false" hidden="false" name="SRC_ZP_247" vbProcedure="false">SRC_ZP!$D$251</definedName>
    <definedName function="false" hidden="false" name="SRC_ZP_248" vbProcedure="false">SRC_ZP!$D$252</definedName>
    <definedName function="false" hidden="false" name="SRC_ZP_249" vbProcedure="false">SRC_ZP!$D$253</definedName>
    <definedName function="false" hidden="false" name="SRC_ZP_250" vbProcedure="false">SRC_ZP!$D$254</definedName>
    <definedName function="false" hidden="false" name="SRC_ZP_251" vbProcedure="false">SRC_ZP!$D$255</definedName>
    <definedName function="false" hidden="false" name="SRC_ZP_252" vbProcedure="false">SRC_ZP!$D$256</definedName>
    <definedName function="false" hidden="false" name="SRC_ZP_253" vbProcedure="false">SRC_ZP!$D$257</definedName>
    <definedName function="false" hidden="false" name="SRC_ZP_254" vbProcedure="false">SRC_ZP!$D$258</definedName>
    <definedName function="false" hidden="false" name="SRC_ZP_255" vbProcedure="false">SRC_ZP!$D$259</definedName>
    <definedName function="false" hidden="false" name="SRC_ZP_256" vbProcedure="false">SRC_ZP!$D$260</definedName>
    <definedName function="false" hidden="false" name="SRC_ZP_257" vbProcedure="false">SRC_ZP!$D$261</definedName>
    <definedName function="false" hidden="false" name="SRC_ZP_258" vbProcedure="false">SRC_ZP!$D$262</definedName>
    <definedName function="false" hidden="false" name="SRC_ZP_259" vbProcedure="false">SRC_ZP!$D$263</definedName>
    <definedName function="false" hidden="false" name="SRC_ZP_260" vbProcedure="false">SRC_ZP!$D$264</definedName>
    <definedName function="false" hidden="false" name="SRC_ZP_261" vbProcedure="false">SRC_ZP!$D$265</definedName>
    <definedName function="false" hidden="false" name="SRC_ZP_262" vbProcedure="false">SRC_ZP!$D$266</definedName>
    <definedName function="false" hidden="false" name="SRC_ZP_263" vbProcedure="false">SRC_ZP!$D$267</definedName>
    <definedName function="false" hidden="false" name="SRC_ZP_264" vbProcedure="false">SRC_ZP!$D$268</definedName>
    <definedName function="false" hidden="false" name="SRC_ZP_265" vbProcedure="false">SRC_ZP!$D$269</definedName>
    <definedName function="false" hidden="false" name="SRC_ZP_266" vbProcedure="false">SRC_ZP!$D$270</definedName>
    <definedName function="false" hidden="false" name="SRC_ZP_267" vbProcedure="false">SRC_ZP!$D$271</definedName>
    <definedName function="false" hidden="false" name="SRC_ZP_268" vbProcedure="false">SRC_ZP!$D$272</definedName>
    <definedName function="false" hidden="false" name="SRC_ZP_269" vbProcedure="false">SRC_ZP!$D$273</definedName>
    <definedName function="false" hidden="false" name="SRC_ZP_270" vbProcedure="false">SRC_ZP!$D$274</definedName>
    <definedName function="false" hidden="false" name="SRC_ZP_271" vbProcedure="false">SRC_ZP!$D$275</definedName>
    <definedName function="false" hidden="false" name="SRC_ZP_272" vbProcedure="false">SRC_ZP!$D$276</definedName>
    <definedName function="false" hidden="false" name="SRC_ZP_273" vbProcedure="false">SRC_ZP!$D$277</definedName>
    <definedName function="false" hidden="false" name="SRC_ZP_274" vbProcedure="false">SRC_ZP!$D$278</definedName>
    <definedName function="false" hidden="false" name="SRC_ZP_275" vbProcedure="false">SRC_ZP!$D$279</definedName>
    <definedName function="false" hidden="false" name="SRC_ZP_276" vbProcedure="false">SRC_ZP!$D$280</definedName>
    <definedName function="false" hidden="false" name="SRC_ZP_277" vbProcedure="false">SRC_ZP!$D$281</definedName>
    <definedName function="false" hidden="false" name="SRC_ZP_278" vbProcedure="false">SRC_ZP!$D$282</definedName>
    <definedName function="false" hidden="false" name="SRC_ZP_279" vbProcedure="false">SRC_ZP!$D$283</definedName>
    <definedName function="false" hidden="false" name="SRC_ZP_280" vbProcedure="false">SRC_ZP!$D$284</definedName>
    <definedName function="false" hidden="false" name="SRC_ZP_281" vbProcedure="false">SRC_ZP!$D$285</definedName>
    <definedName function="false" hidden="false" name="SRC_ZP_282" vbProcedure="false">SRC_ZP!$D$286</definedName>
    <definedName function="false" hidden="false" name="SRC_ZP_283" vbProcedure="false">SRC_ZP!$D$287</definedName>
    <definedName function="false" hidden="false" name="SRC_ZP_284" vbProcedure="false">SRC_ZP!$D$288</definedName>
    <definedName function="false" hidden="false" name="SRC_ZP_285" vbProcedure="false">SRC_ZP!$D$289</definedName>
    <definedName function="false" hidden="false" name="SRC_ZP_286" vbProcedure="false">SRC_ZP!$D$290</definedName>
    <definedName function="false" hidden="false" name="SRC_ZP_287" vbProcedure="false">SRC_ZP!$D$291</definedName>
    <definedName function="false" hidden="false" name="SRC_ZP_288" vbProcedure="false">SRC_ZP!$D$292</definedName>
    <definedName function="false" hidden="false" name="SRC_ZP_289" vbProcedure="false">SRC_ZP!$D$293</definedName>
    <definedName function="false" hidden="false" name="SRC_ZP_290" vbProcedure="false">SRC_ZP!$D$294</definedName>
    <definedName function="false" hidden="false" name="SRC_ZP_291" vbProcedure="false">SRC_ZP!$D$295</definedName>
    <definedName function="false" hidden="false" name="SRC_ZP_292" vbProcedure="false">SRC_ZP!$D$296</definedName>
    <definedName function="false" hidden="false" name="SRC_ZP_293" vbProcedure="false">SRC_ZP!$D$297</definedName>
    <definedName function="false" hidden="false" name="SRC_ZP_294" vbProcedure="false">SRC_ZP!$D$298</definedName>
    <definedName function="false" hidden="false" name="SRC_ZP_295" vbProcedure="false">SRC_ZP!$D$299</definedName>
    <definedName function="false" hidden="false" name="SRC_ZP_296" vbProcedure="false">SRC_ZP!$D$300</definedName>
    <definedName function="false" hidden="false" name="SRC_ZP_297" vbProcedure="false">SRC_ZP!$D$301</definedName>
    <definedName function="false" hidden="false" name="SRC_ZP_298" vbProcedure="false">SRC_ZP!$D$302</definedName>
    <definedName function="false" hidden="false" name="SRC_ZP_299" vbProcedure="false">SRC_ZP!$D$303</definedName>
    <definedName function="false" hidden="false" name="SRC_ZP_300" vbProcedure="false">SRC_ZP!$D$304</definedName>
    <definedName function="false" hidden="false" name="SRC_ZP_301" vbProcedure="false">SRC_ZP!$D$305</definedName>
    <definedName function="false" hidden="false" name="SRC_ZP_302" vbProcedure="false">SRC_ZP!$D$306</definedName>
    <definedName function="false" hidden="false" name="SRC_ZP_303" vbProcedure="false">SRC_ZP!$D$307</definedName>
    <definedName function="false" hidden="false" name="SRC_ZP_304" vbProcedure="false">SRC_ZP!$D$308</definedName>
    <definedName function="false" hidden="false" name="SRC_ZP_305" vbProcedure="false">SRC_ZP!$D$309</definedName>
    <definedName function="false" hidden="false" name="SRC_ZP_306" vbProcedure="false">SRC_ZP!$D$310</definedName>
    <definedName function="false" hidden="false" name="SRC_ZP_307" vbProcedure="false">SRC_ZP!$D$311</definedName>
    <definedName function="false" hidden="false" name="SRC_ZP_308" vbProcedure="false">SRC_ZP!$D$312</definedName>
    <definedName function="false" hidden="false" name="SRC_ZP_309" vbProcedure="false">SRC_ZP!$D$313</definedName>
    <definedName function="false" hidden="false" name="SRC_ZP_310" vbProcedure="false">SRC_ZP!$D$314</definedName>
    <definedName function="false" hidden="false" name="SRC_ZP_311" vbProcedure="false">SRC_ZP!$D$315</definedName>
    <definedName function="false" hidden="false" name="SRC_ZP_312" vbProcedure="false">SRC_ZP!$D$316</definedName>
    <definedName function="false" hidden="false" name="SRC_ZP_313" vbProcedure="false">SRC_ZP!$D$317</definedName>
    <definedName function="false" hidden="false" name="SRC_ZP_314" vbProcedure="false">SRC_ZP!$D$318</definedName>
    <definedName function="false" hidden="false" name="SRC_ZP_315" vbProcedure="false">SRC_ZP!$D$319</definedName>
    <definedName function="false" hidden="false" name="SRC_ZP_316" vbProcedure="false">SRC_ZP!$D$320</definedName>
    <definedName function="false" hidden="false" name="SRC_ZP_317" vbProcedure="false">SRC_ZP!$D$321</definedName>
    <definedName function="false" hidden="false" name="SRC_ZP_318" vbProcedure="false">SRC_ZP!$D$322</definedName>
    <definedName function="false" hidden="false" name="SRC_ZP_319" vbProcedure="false">SRC_ZP!$D$323</definedName>
    <definedName function="false" hidden="false" name="SRC_ZP_320" vbProcedure="false">SRC_ZP!$D$324</definedName>
    <definedName function="false" hidden="false" name="SRC_ZP_321" vbProcedure="false">SRC_ZP!$D$325</definedName>
    <definedName function="false" hidden="false" name="SRC_ZP_322" vbProcedure="false">SRC_ZP!$D$326</definedName>
    <definedName function="false" hidden="false" name="SRC_ZP_323" vbProcedure="false">SRC_ZP!$D$327</definedName>
    <definedName function="false" hidden="false" name="SRC_ZP_324" vbProcedure="false">SRC_ZP!$D$328</definedName>
    <definedName function="false" hidden="false" name="SRC_ZP_325" vbProcedure="false">SRC_ZP!$D$329</definedName>
    <definedName function="false" hidden="false" name="SRC_ZP_326" vbProcedure="false">SRC_ZP!$D$330</definedName>
    <definedName function="false" hidden="false" name="SRC_ZP_327" vbProcedure="false">SRC_ZP!$D$331</definedName>
    <definedName function="false" hidden="false" name="SRC_ZP_328" vbProcedure="false">SRC_ZP!$D$332</definedName>
    <definedName function="false" hidden="false" name="SRC_ZP_329" vbProcedure="false">SRC_ZP!$D$333</definedName>
    <definedName function="false" hidden="false" name="SRC_ZP_330" vbProcedure="false">SRC_ZP!$D$334</definedName>
    <definedName function="false" hidden="false" name="SRC_ZP_331" vbProcedure="false">SRC_ZP!$D$335</definedName>
    <definedName function="false" hidden="false" name="SRC_ZP_332" vbProcedure="false">SRC_ZP!$D$336</definedName>
    <definedName function="false" hidden="false" name="SRC_ZP_333" vbProcedure="false">SRC_ZP!$D$337</definedName>
    <definedName function="false" hidden="false" name="SRC_ZP_334_Hi" vbProcedure="false">SRC_ZP!$F$338</definedName>
    <definedName function="false" hidden="false" name="SRC_ZP_334_Lo" vbProcedure="false">SRC_ZP!$E$338</definedName>
    <definedName function="false" hidden="false" name="SRC_ZP_335_Hi" vbProcedure="false">SRC_ZP!$F$339</definedName>
    <definedName function="false" hidden="false" name="SRC_ZP_335_Lo" vbProcedure="false">SRC_ZP!$E$339</definedName>
    <definedName function="false" hidden="false" name="SRC_ZP_336" vbProcedure="false">SRC_ZP!$D$340</definedName>
    <definedName function="false" hidden="false" name="SRC_ZP_337" vbProcedure="false">SRC_ZP!$D$341</definedName>
    <definedName function="false" hidden="false" name="SRC_ZP_338" vbProcedure="false">SRC_ZP!$D$342</definedName>
    <definedName function="false" hidden="false" name="SRC_ZP_339" vbProcedure="false">SRC_ZP!$D$343</definedName>
    <definedName function="false" hidden="false" name="SRC_ZP_339_Hi" vbProcedure="false">SRC_ZP!$F$343</definedName>
    <definedName function="false" hidden="false" name="SRC_ZP_339_Lo" vbProcedure="false">SRC_ZP!$E$343</definedName>
    <definedName function="false" hidden="false" name="SRC_ZP_340" vbProcedure="false">SRC_ZP!$D$344</definedName>
    <definedName function="false" hidden="false" name="SRC_ZP_340_Hi" vbProcedure="false">SRC_ZP!$F$344</definedName>
    <definedName function="false" hidden="false" name="SRC_ZP_340_Lo" vbProcedure="false">SRC_ZP!$E$344</definedName>
    <definedName function="false" hidden="false" name="SRC_ZP_341" vbProcedure="false">SRC_ZP!$D$345</definedName>
    <definedName function="false" hidden="false" name="SRC_ZP_342_Hi" vbProcedure="false">SRC_ZP!$F$346</definedName>
    <definedName function="false" hidden="false" name="SRC_ZP_342_Lo" vbProcedure="false">SRC_ZP!$E$346</definedName>
    <definedName function="false" hidden="false" name="SRC_ZP_343" vbProcedure="false">SRC_ZP!$D$347</definedName>
    <definedName function="false" hidden="false" name="SRC_ZP_344_Hi" vbProcedure="false">SRC_ZP!$F$348</definedName>
    <definedName function="false" hidden="false" name="SRC_ZP_344_Lo" vbProcedure="false">SRC_ZP!$E$348</definedName>
    <definedName function="false" hidden="false" name="SRC_ZP_345" vbProcedure="false">SRC_ZP!$D$349</definedName>
    <definedName function="false" hidden="false" name="SRC_ZP_346" vbProcedure="false">SRC_ZP!$D$350</definedName>
    <definedName function="false" hidden="false" name="SRC_ZP_347" vbProcedure="false">SRC_ZP!$D$351</definedName>
    <definedName function="false" hidden="false" name="SRC_ZP_348" vbProcedure="false">SRC_ZP!$D$352</definedName>
    <definedName function="false" hidden="false" name="SRC_ZP_349" vbProcedure="false">SRC_ZP!$D$353</definedName>
    <definedName function="false" hidden="false" name="SRC_ZP_349_Lo" vbProcedure="false">SRC_ZP!$E$353</definedName>
    <definedName function="false" hidden="false" name="SRC_ZP_350" vbProcedure="false">SRC_ZP!$D$354</definedName>
    <definedName function="false" hidden="false" name="SRC_ZP_351_Hi" vbProcedure="false">SRC_ZP!$F$355</definedName>
    <definedName function="false" hidden="false" name="SRC_ZP_351_Lo" vbProcedure="false">SRC_ZP!$E$355</definedName>
    <definedName function="false" hidden="false" name="SRC_ZP_352_Hi" vbProcedure="false">SRC_ZP!$F$356</definedName>
    <definedName function="false" hidden="false" name="SRC_ZP_352_Lo" vbProcedure="false">SRC_ZP!$E$356</definedName>
    <definedName function="false" hidden="false" name="SRC_ZP_354_Hi" vbProcedure="false">SRC_ZP!$F$358</definedName>
    <definedName function="false" hidden="false" name="SRC_ZP_354_Lo" vbProcedure="false">SRC_ZP!$E$358</definedName>
    <definedName function="false" hidden="false" name="SRC_ZP_355" vbProcedure="false">SRC_ZP!$D$359</definedName>
    <definedName function="false" hidden="false" name="SRC_ZP_355_Hi" vbProcedure="false">SRC_ZP!$F$359</definedName>
    <definedName function="false" hidden="false" name="SRC_ZP_355_Lo" vbProcedure="false">SRC_ZP!$E$359</definedName>
    <definedName function="false" hidden="false" name="SRC_ZP_356" vbProcedure="false">SRC_ZP!$D$360</definedName>
    <definedName function="false" hidden="false" name="SRC_ZP_357" vbProcedure="false">SRC_ZP!$D$361</definedName>
    <definedName function="false" hidden="false" name="SRC_ZP_358" vbProcedure="false">SRC_ZP!$D$362</definedName>
    <definedName function="false" hidden="false" name="SRC_ZP_359" vbProcedure="false">SRC_ZP!$D$363</definedName>
    <definedName function="false" hidden="false" name="SRC_ZP_360" vbProcedure="false">SRC_ZP!$D$364</definedName>
    <definedName function="false" hidden="false" name="SRC_ZP_361" vbProcedure="false">SRC_ZP!$D$365</definedName>
    <definedName function="false" hidden="false" name="SRC_ZP_362" vbProcedure="false">SRC_ZP!$D$366</definedName>
    <definedName function="false" hidden="false" name="SRC_ZP_363" vbProcedure="false">SRC_ZP!$D$367</definedName>
    <definedName function="false" hidden="false" name="SRC_ZP_364" vbProcedure="false">SRC_ZP!$D$368</definedName>
    <definedName function="false" hidden="false" name="SRC_ZP_365" vbProcedure="false">SRC_ZP!$D$369</definedName>
    <definedName function="false" hidden="false" name="SRC_ZP_366" vbProcedure="false">SRC_ZP!$D$370</definedName>
    <definedName function="false" hidden="false" name="SRC_ZP_367" vbProcedure="false">SRC_ZP!$D$371</definedName>
    <definedName function="false" hidden="false" name="SRC_ZP_368" vbProcedure="false">SRC_ZP!$D$372</definedName>
    <definedName function="false" hidden="false" name="SRC_ZP_369" vbProcedure="false">SRC_ZP!$D$373</definedName>
    <definedName function="false" hidden="false" name="SRC_ZP_370" vbProcedure="false">SRC_ZP!$D$374</definedName>
    <definedName function="false" hidden="false" name="SRC_ZP_371" vbProcedure="false">SRC_ZP!$D$375</definedName>
    <definedName function="false" hidden="false" name="SRC_ZP_372" vbProcedure="false">SRC_ZP!$D$376</definedName>
    <definedName function="false" hidden="false" name="SRC_ZP_373" vbProcedure="false">SRC_ZP!$D$377</definedName>
    <definedName function="false" hidden="false" name="SRC_ZP_374" vbProcedure="false">SRC_ZP!$D$378</definedName>
    <definedName function="false" hidden="false" name="SRC_ZP_375" vbProcedure="false">SRC_ZP!$D$379</definedName>
    <definedName function="false" hidden="false" name="SRC_ZP_376" vbProcedure="false">SRC_ZP!$D$380</definedName>
    <definedName function="false" hidden="false" name="SRC_ZP_377" vbProcedure="false">SRC_ZP!$D$381</definedName>
    <definedName function="false" hidden="false" name="SRC_ZP_378" vbProcedure="false">SRC_ZP!$D$382</definedName>
    <definedName function="false" hidden="false" name="SRC_ZP_379_Hi" vbProcedure="false">SRC_ZP!$F$383</definedName>
    <definedName function="false" hidden="false" name="SRC_ZP_379_Lo" vbProcedure="false">SRC_ZP!$E$383</definedName>
    <definedName function="false" hidden="false" name="SRC_ZP_380" vbProcedure="false">SRC_ZP!$D$384</definedName>
    <definedName function="false" hidden="false" name="SRC_ZP_381" vbProcedure="false">SRC_ZP!$D$385</definedName>
    <definedName function="false" hidden="false" name="SRC_ZP_382" vbProcedure="false">SRC_ZP!$D$386</definedName>
    <definedName function="false" hidden="false" name="SRC_ZP_383" vbProcedure="false">SRC_ZP!$D$387</definedName>
    <definedName function="false" hidden="false" name="SRC_ZP_384" vbProcedure="false">SRC_ZP!$D$388</definedName>
    <definedName function="false" hidden="false" name="SRC_ZP_385" vbProcedure="false">SRC_ZP!$D$389</definedName>
    <definedName function="false" hidden="false" name="SRC_ZP_397" vbProcedure="false">SRC_ZP!$D$401</definedName>
    <definedName function="false" hidden="false" name="SRC_ZP_398" vbProcedure="false">SRC_ZP!$D$402</definedName>
    <definedName function="false" hidden="false" name="SRC_ZP_399" vbProcedure="false">SRC_ZP!$D$403</definedName>
    <definedName function="false" hidden="false" name="SRC_ZP_400" vbProcedure="false">SRC_ZP!$D$404</definedName>
    <definedName function="false" hidden="false" name="SRC_ZP_401" vbProcedure="false">SRC_ZP!$D$405</definedName>
    <definedName function="false" hidden="false" name="SRC_ZP_402" vbProcedure="false">SRC_ZP!$D$406</definedName>
    <definedName function="false" hidden="false" name="SRC_ZP_403" vbProcedure="false">SRC_ZP!$D$407</definedName>
    <definedName function="false" hidden="false" name="SRC_ZP_404" vbProcedure="false">SRC_ZP!$D$408</definedName>
    <definedName function="false" hidden="false" name="SRC_ZP_405" vbProcedure="false">SRC_ZP!$D$409</definedName>
    <definedName function="false" hidden="false" name="SRC_ZP_406" vbProcedure="false">SRC_ZP!$D$410</definedName>
    <definedName function="false" hidden="false" name="SRC_ZP_407" vbProcedure="false">SRC_ZP!$D$411</definedName>
    <definedName function="false" hidden="false" name="SRC_ZP_408" vbProcedure="false">SRC_ZP!$D$412</definedName>
    <definedName function="false" hidden="false" name="SRC_ZP_409" vbProcedure="false">SRC_ZP!$D$413</definedName>
    <definedName function="false" hidden="false" name="SRC_ZP_410" vbProcedure="false">SRC_ZP!$D$414</definedName>
    <definedName function="false" hidden="false" name="SRC_ZP_411" vbProcedure="false">SRC_ZP!$D$415</definedName>
    <definedName function="false" hidden="false" name="SRC_ZP_412" vbProcedure="false">SRC_ZP!$D$416</definedName>
    <definedName function="false" hidden="false" name="SRC_ZP_413" vbProcedure="false">SRC_ZP!$D$417</definedName>
    <definedName function="false" hidden="false" name="SRC_ZP_414" vbProcedure="false">SRC_ZP!$D$418</definedName>
    <definedName function="false" hidden="false" name="SRC_ZP_415" vbProcedure="false">SRC_ZP!$D$419</definedName>
    <definedName function="false" hidden="false" name="SRC_ZP_416" vbProcedure="false">SRC_ZP!$D$420</definedName>
    <definedName function="false" hidden="false" name="SRC_ZP_417" vbProcedure="false">SRC_ZP!$D$421</definedName>
    <definedName function="false" hidden="false" name="SRC_ZP_418" vbProcedure="false">SRC_ZP!$D$422</definedName>
    <definedName function="false" hidden="false" name="SRC_ZP_419" vbProcedure="false">SRC_ZP!$D$423</definedName>
    <definedName function="false" hidden="false" name="SRC_ZP_420" vbProcedure="false">SRC_ZP!$D$424</definedName>
    <definedName function="false" hidden="false" name="SRC_ZP_421" vbProcedure="false">SRC_ZP!$D$425</definedName>
    <definedName function="false" hidden="false" name="SRC_ZP_423" vbProcedure="false">SRC_ZP!$D$427</definedName>
    <definedName function="false" hidden="false" name="SRC_ZP_424" vbProcedure="false">SRC_ZP!$D$428</definedName>
    <definedName function="false" hidden="false" name="SRC_ZP_425" vbProcedure="false">SRC_ZP!$D$429</definedName>
    <definedName function="false" hidden="false" name="SRC_ZP_426" vbProcedure="false">SRC_ZP!$D$430</definedName>
    <definedName function="false" hidden="false" name="SRC_ZP_427" vbProcedure="false">SRC_ZP!$D$431</definedName>
    <definedName function="false" hidden="false" name="SRC_ZP_428" vbProcedure="false">SRC_ZP!$D$432</definedName>
    <definedName function="false" hidden="false" name="SRC_ZP_429" vbProcedure="false">SRC_ZP!$D$433</definedName>
    <definedName function="false" hidden="false" name="SRC_ZP_430" vbProcedure="false">SRC_ZP!$D$434</definedName>
    <definedName function="false" hidden="false" name="SRC_ZP_431" vbProcedure="false">SRC_ZP!$D$435</definedName>
    <definedName function="false" hidden="false" name="SRC_ZP_432" vbProcedure="false">SRC_ZP!$D$436</definedName>
    <definedName function="false" hidden="false" name="SRC_ZP_433" vbProcedure="false">SRC_ZP!$D$437</definedName>
    <definedName function="false" hidden="false" name="SRC_ZP_435" vbProcedure="false">SRC_ZP!$D$439</definedName>
    <definedName function="false" hidden="false" name="SRC_ZP_435_Hi" vbProcedure="false">SRC_ZP!$F$439</definedName>
    <definedName function="false" hidden="false" name="SRC_ZP_435_Lo" vbProcedure="false">SRC_ZP!$E$439</definedName>
    <definedName function="false" hidden="false" name="SRC_ZP_436" vbProcedure="false">SRC_ZP!$D$440</definedName>
    <definedName function="false" hidden="false" name="SRC_ZP_436_Hi" vbProcedure="false">SRC_ZP!$F$440</definedName>
    <definedName function="false" hidden="false" name="SRC_ZP_436_Lo" vbProcedure="false">SRC_ZP!$E$440</definedName>
    <definedName function="false" hidden="false" name="SRC_ZP_437" vbProcedure="false">SRC_ZP!$D$441</definedName>
    <definedName function="false" hidden="false" name="SRC_ZP_437_Hi" vbProcedure="false">SRC_ZP!$F$441</definedName>
    <definedName function="false" hidden="false" name="SRC_ZP_437_Lo" vbProcedure="false">SRC_ZP!$E$441</definedName>
    <definedName function="false" hidden="false" name="SRC_ZP_438" vbProcedure="false">SRC_ZP!$D$442</definedName>
    <definedName function="false" hidden="false" name="SRC_ZP_438_Hi" vbProcedure="false">SRC_ZP!$F$442</definedName>
    <definedName function="false" hidden="false" name="SRC_ZP_438_Lo" vbProcedure="false">SRC_ZP!$E$442</definedName>
    <definedName function="false" hidden="false" name="SRC_ZP_439" vbProcedure="false">SRC_ZP!$D$443</definedName>
    <definedName function="false" hidden="false" name="SRC_ZP_440" vbProcedure="false">SRC_ZP!$D$444</definedName>
    <definedName function="false" hidden="false" name="SRC_ZP_441" vbProcedure="false">SRC_ZP!$D$445</definedName>
    <definedName function="false" hidden="false" name="SRC_ZP_442" vbProcedure="false">SRC_ZP!$D$446</definedName>
    <definedName function="false" hidden="false" name="SRC_ZP_443" vbProcedure="false">SRC_ZP!$D$447</definedName>
    <definedName function="false" hidden="false" name="SRC_ZP_444" vbProcedure="false">SRC_ZP!$D$448</definedName>
    <definedName function="false" hidden="false" name="SRC_ZP_445" vbProcedure="false">SRC_ZP!$D$449</definedName>
    <definedName function="false" hidden="false" name="SRC_ZP_446" vbProcedure="false">SRC_ZP!$D$450</definedName>
    <definedName function="false" hidden="false" name="SRC_ZP_447" vbProcedure="false">SRC_ZP!$D$451</definedName>
    <definedName function="false" hidden="false" name="SRC_ZP_448" vbProcedure="false">SRC_ZP!$D$452</definedName>
    <definedName function="false" hidden="false" name="SRC_ZP_449" vbProcedure="false">SRC_ZP!$D$453</definedName>
    <definedName function="false" hidden="false" name="SRC_ZP_450" vbProcedure="false">SRC_ZP!$D$454</definedName>
    <definedName function="false" hidden="false" name="SRC_ZP_451" vbProcedure="false">SRC_ZP!$D$455</definedName>
    <definedName function="false" hidden="false" name="SRC_ZP_452" vbProcedure="false">SRC_ZP!$D$456</definedName>
    <definedName function="false" hidden="false" name="SRC_ZP_453" vbProcedure="false">SRC_ZP!$D$457</definedName>
    <definedName function="false" hidden="false" name="SRC_ZP_454" vbProcedure="false">SRC_ZP!$D$458</definedName>
    <definedName function="false" hidden="false" name="SRC_ZP_455" vbProcedure="false">SRC_ZP!$D$459</definedName>
    <definedName function="false" hidden="false" name="SRC_ZP_456" vbProcedure="false">SRC_ZP!$D$460</definedName>
    <definedName function="false" hidden="false" name="SRC_ZP_457" vbProcedure="false">SRC_ZP!$D$461</definedName>
    <definedName function="false" hidden="false" name="SRC_ZP_458" vbProcedure="false">SRC_ZP!$D$462</definedName>
    <definedName function="false" hidden="false" name="SRC_ZP_460" vbProcedure="false">SRC_ZP!$D$464</definedName>
    <definedName function="false" hidden="false" name="SRC_ZP_461" vbProcedure="false">SRC_ZP!$D$465</definedName>
    <definedName function="false" hidden="false" name="SRC_ZP_462" vbProcedure="false">SRC_ZP!$D$466</definedName>
    <definedName function="false" hidden="false" name="SRC_ZP_462_Hi" vbProcedure="false">SRC_ZP!$F$466</definedName>
    <definedName function="false" hidden="false" name="SRC_ZP_462_Lo" vbProcedure="false">SRC_ZP!$E$466</definedName>
    <definedName function="false" hidden="false" name="SRC_ZP_463" vbProcedure="false">SRC_ZP!$D$467</definedName>
    <definedName function="false" hidden="false" name="SRC_ZP_463_Hi" vbProcedure="false">SRC_ZP!$F$467</definedName>
    <definedName function="false" hidden="false" name="SRC_ZP_463_Lo" vbProcedure="false">SRC_ZP!$E$467</definedName>
    <definedName function="false" hidden="false" name="SRC_ZP_464" vbProcedure="false">SRC_ZP!$D$468</definedName>
    <definedName function="false" hidden="false" name="SRC_ZP_464_Hi" vbProcedure="false">SRC_ZP!$F$468</definedName>
    <definedName function="false" hidden="false" name="SRC_ZP_464_Lo" vbProcedure="false">SRC_ZP!$E$468</definedName>
    <definedName function="false" hidden="false" name="SRC_ZP_465" vbProcedure="false">SRC_ZP!$D$469</definedName>
    <definedName function="false" hidden="false" name="SRC_ZP_465_Hi" vbProcedure="false">SRC_ZP!$F$469</definedName>
    <definedName function="false" hidden="false" name="SRC_ZP_465_Lo" vbProcedure="false">SRC_ZP!$E$469</definedName>
    <definedName function="false" hidden="false" name="SRC_ZP_466" vbProcedure="false">SRC_ZP!$D$470</definedName>
    <definedName function="false" hidden="false" name="SRC_ZP_466_Hi" vbProcedure="false">SRC_ZP!$F$470</definedName>
    <definedName function="false" hidden="false" name="SRC_ZP_466_Lo" vbProcedure="false">SRC_ZP!$E$470</definedName>
    <definedName function="false" hidden="false" name="SRC_ZP_467" vbProcedure="false">SRC_ZP!$D$471</definedName>
    <definedName function="false" hidden="false" name="SRC_ZP_467_Hi" vbProcedure="false">SRC_ZP!$F$471</definedName>
    <definedName function="false" hidden="false" name="SRC_ZP_467_Lo" vbProcedure="false">SRC_ZP!$E$471</definedName>
    <definedName function="false" hidden="false" name="SRC_ZP_468" vbProcedure="false">SRC_ZP!$D$472</definedName>
    <definedName function="false" hidden="false" name="SRC_ZP_468_Hi" vbProcedure="false">SRC_ZP!$F$472</definedName>
    <definedName function="false" hidden="false" name="SRC_ZP_468_Lo" vbProcedure="false">SRC_ZP!$E$472</definedName>
    <definedName function="false" hidden="false" name="SRC_ZP_469" vbProcedure="false">SRC_ZP!$D$473</definedName>
    <definedName function="false" hidden="false" name="SRC_ZP_469_Hi" vbProcedure="false">SRC_ZP!$F$473</definedName>
    <definedName function="false" hidden="false" name="SRC_ZP_469_Lo" vbProcedure="false">SRC_ZP!$E$473</definedName>
    <definedName function="false" hidden="false" name="SRC_ZP_470" vbProcedure="false">SRC_ZP!$D$474</definedName>
    <definedName function="false" hidden="false" name="SRC_ZP_470_Hi" vbProcedure="false">SRC_ZP!$F$474</definedName>
    <definedName function="false" hidden="false" name="SRC_ZP_470_Lo" vbProcedure="false">SRC_ZP!$E$474</definedName>
    <definedName function="false" hidden="false" name="SRC_ZP_471" vbProcedure="false">SRC_ZP!$D$475</definedName>
    <definedName function="false" hidden="false" name="SRC_ZP_471_Hi" vbProcedure="false">SRC_ZP!$F$475</definedName>
    <definedName function="false" hidden="false" name="SRC_ZP_471_Lo" vbProcedure="false">SRC_ZP!$E$475</definedName>
    <definedName function="false" hidden="false" name="SRC_ZP_472" vbProcedure="false">SRC_ZP!$D$476</definedName>
    <definedName function="false" hidden="false" name="SRC_ZP_472_Hi" vbProcedure="false">SRC_ZP!$F$476</definedName>
    <definedName function="false" hidden="false" name="SRC_ZP_472_Lo" vbProcedure="false">SRC_ZP!$E$476</definedName>
    <definedName function="false" hidden="false" name="SRC_ZP_473" vbProcedure="false">SRC_ZP!$D$477</definedName>
    <definedName function="false" hidden="false" name="SRC_ZP_473_Hi" vbProcedure="false">SRC_ZP!$F$477</definedName>
    <definedName function="false" hidden="false" name="SRC_ZP_473_Lo" vbProcedure="false">SRC_ZP!$E$477</definedName>
    <definedName function="false" hidden="false" name="SRC_ZP_474" vbProcedure="false">SRC_ZP!$D$478</definedName>
    <definedName function="false" hidden="false" name="SRC_ZP_475" vbProcedure="false">SRC_ZP!$D$479</definedName>
    <definedName function="false" hidden="false" name="SRC_ZP_476" vbProcedure="false">SRC_ZP!$D$480</definedName>
    <definedName function="false" hidden="false" name="SRC_ZP_477" vbProcedure="false">SRC_ZP!$D$481</definedName>
    <definedName function="false" hidden="false" name="SRC_ZP_478" vbProcedure="false">SRC_ZP!$D$482</definedName>
    <definedName function="false" hidden="false" name="SRC_ZP_478_Hi" vbProcedure="false">SRC_ZP!$F$482</definedName>
    <definedName function="false" hidden="false" name="SRC_ZP_478_Lo" vbProcedure="false">SRC_ZP!$E$482</definedName>
    <definedName function="false" hidden="false" name="SRC_ZP_479" vbProcedure="false">SRC_ZP!$D$483</definedName>
    <definedName function="false" hidden="false" name="SRC_ZP_479_Hi" vbProcedure="false">SRC_ZP!$F$483</definedName>
    <definedName function="false" hidden="false" name="SRC_ZP_479_Lo" vbProcedure="false">SRC_ZP!$E$483</definedName>
    <definedName function="false" hidden="false" name="SRC_ZP_480" vbProcedure="false">SRC_ZP!$D$484</definedName>
    <definedName function="false" hidden="false" name="SRC_ZP_480_Hi" vbProcedure="false">SRC_ZP!$F$484</definedName>
    <definedName function="false" hidden="false" name="SRC_ZP_480_Lo" vbProcedure="false">SRC_ZP!$E$484</definedName>
    <definedName function="false" hidden="false" name="SRC_ZP_481" vbProcedure="false">SRC_ZP!$D$485</definedName>
    <definedName function="false" hidden="false" name="SRC_ZP_481_Hi" vbProcedure="false">SRC_ZP!$F$485</definedName>
    <definedName function="false" hidden="false" name="SRC_ZP_481_Lo" vbProcedure="false">SRC_ZP!$E$485</definedName>
    <definedName function="false" hidden="false" name="SRC_ZP_482" vbProcedure="false">SRC_ZP!$D$486</definedName>
    <definedName function="false" hidden="false" name="SRC_ZP_482_Hi" vbProcedure="false">SRC_ZP!$F$486</definedName>
    <definedName function="false" hidden="false" name="SRC_ZP_482_Lo" vbProcedure="false">SRC_ZP!$E$486</definedName>
    <definedName function="false" hidden="false" name="SRC_ZP_483" vbProcedure="false">SRC_ZP!$D$487</definedName>
    <definedName function="false" hidden="false" name="SRC_ZP_483_Hi" vbProcedure="false">SRC_ZP!$F$487</definedName>
    <definedName function="false" hidden="false" name="SRC_ZP_483_Lo" vbProcedure="false">SRC_ZP!$E$487</definedName>
    <definedName function="false" hidden="false" name="SRC_ZP_484" vbProcedure="false">SRC_ZP!$D$488</definedName>
    <definedName function="false" hidden="false" name="SRC_ZP_484_Hi" vbProcedure="false">SRC_ZP!$F$488</definedName>
    <definedName function="false" hidden="false" name="SRC_ZP_484_Lo" vbProcedure="false">SRC_ZP!$E$488</definedName>
    <definedName function="false" hidden="false" name="SRC_ZP_485" vbProcedure="false">SRC_ZP!$D$489</definedName>
    <definedName function="false" hidden="false" name="SRC_ZP_486" vbProcedure="false">SRC_ZP!$D$490</definedName>
    <definedName function="false" hidden="false" name="SRC_ZP_487" vbProcedure="false">SRC_ZP!$D$491</definedName>
    <definedName function="false" hidden="false" name="SRC_ZP_488" vbProcedure="false">SRC_ZP!$D$492</definedName>
    <definedName function="false" hidden="false" name="SRC_ZP_489" vbProcedure="false">SRC_ZP!$D$493</definedName>
    <definedName function="false" hidden="false" name="SRC_ZP_490" vbProcedure="false">SRC_ZP!$D$494</definedName>
    <definedName function="false" hidden="false" name="SRC_ZP_490_Hi" vbProcedure="false">SRC_ZP!$F$494</definedName>
    <definedName function="false" hidden="false" name="SRC_ZP_490_Lo" vbProcedure="false">SRC_ZP!$E$494</definedName>
    <definedName function="false" hidden="false" name="SRC_ZP_491" vbProcedure="false">SRC_ZP!$D$495</definedName>
    <definedName function="false" hidden="false" name="SRC_ZP_491_Hi" vbProcedure="false">SRC_ZP!$F$495</definedName>
    <definedName function="false" hidden="false" name="SRC_ZP_491_Lo" vbProcedure="false">SRC_ZP!$E$495</definedName>
    <definedName function="false" hidden="false" name="SRC_ZP_492" vbProcedure="false">SRC_ZP!$D$496</definedName>
    <definedName function="false" hidden="false" name="SRC_ZP_493" vbProcedure="false">SRC_ZP!$D$497</definedName>
    <definedName function="false" hidden="false" name="SRC_ZP_493_Hi" vbProcedure="false">SRC_ZP!$F$497</definedName>
    <definedName function="false" hidden="false" name="SRC_ZP_493_Lo" vbProcedure="false">SRC_ZP!$E$497</definedName>
    <definedName function="false" hidden="false" name="SRC_ZP_494" vbProcedure="false">SRC_ZP!$D$498</definedName>
    <definedName function="false" hidden="false" name="SRC_ZP_495" vbProcedure="false">SRC_ZP!$D$499</definedName>
    <definedName function="false" hidden="false" name="SRC_ZP_496" vbProcedure="false">SRC_ZP!$D$500</definedName>
    <definedName function="false" hidden="false" name="SRC_ZP_497" vbProcedure="false">SRC_ZP!$D$501</definedName>
    <definedName function="false" hidden="false" name="SRC_ZP_498" vbProcedure="false">SRC_ZP!$D$502</definedName>
    <definedName function="false" hidden="false" name="SRC_ZP_499" vbProcedure="false">SRC_ZP!$D$503</definedName>
    <definedName function="false" hidden="false" name="SRC_ZP_500" vbProcedure="false">SRC_ZP!$D$504</definedName>
    <definedName function="false" hidden="false" name="SRC_ZP_501" vbProcedure="false">SRC_ZP!$D$505</definedName>
    <definedName function="false" hidden="false" name="SRC_ZP_502" vbProcedure="false">SRC_ZP!$D$506</definedName>
    <definedName function="false" hidden="false" name="SRC_ZP_503" vbProcedure="false">SRC_ZP!$D$507</definedName>
    <definedName function="false" hidden="false" name="SRC_ZP_504" vbProcedure="false">SRC_ZP!$D$508</definedName>
    <definedName function="false" hidden="false" name="SRC_ZP_505_Lo" vbProcedure="false">SRC_ZP!$E$509</definedName>
    <definedName function="false" hidden="false" name="SRC_ZP_506" vbProcedure="false">SRC_ZP!$D$510</definedName>
    <definedName function="false" hidden="false" name="SRC_ZP_507" vbProcedure="false">SRC_ZP!$D$511</definedName>
    <definedName function="false" hidden="false" name="SRC_ZP_508" vbProcedure="false">SRC_ZP!$D$512</definedName>
    <definedName function="false" hidden="false" name="SRC_ZP_509" vbProcedure="false">SRC_ZP!$D$513</definedName>
    <definedName function="false" hidden="false" name="SRC_ZP_510_Lo" vbProcedure="false">SRC_ZP!$E$514</definedName>
    <definedName function="false" hidden="false" name="SRC_ZP_511" vbProcedure="false">SRC_ZP!$D$515</definedName>
    <definedName function="false" hidden="false" name="SRC_ZP_512" vbProcedure="false">SRC_ZP!$D$516</definedName>
    <definedName function="false" hidden="false" name="SRC_ZP_513" vbProcedure="false">SRC_ZP!$D$517</definedName>
    <definedName function="false" hidden="false" name="SRC_ZP_514_Lo" vbProcedure="false">SRC_ZP!$E$518</definedName>
    <definedName function="false" hidden="false" name="SRC_ZP_515" vbProcedure="false">SRC_ZP!$D$519</definedName>
    <definedName function="false" hidden="false" name="SRC_ZP_516" vbProcedure="false">SRC_ZP!$D$520</definedName>
    <definedName function="false" hidden="false" name="SRC_ZP_517" vbProcedure="false">SRC_ZP!$D$521</definedName>
    <definedName function="false" hidden="false" name="SRC_ZP_518" vbProcedure="false">SRC_ZP!$D$522</definedName>
    <definedName function="false" hidden="false" name="SRC_ZP_519" vbProcedure="false">SRC_ZP!$D$523</definedName>
    <definedName function="false" hidden="false" name="SRC_ZP_520" vbProcedure="false">SRC_ZP!$D$524</definedName>
    <definedName function="false" hidden="false" name="SRC_ZP_521" vbProcedure="false">SRC_ZP!$D$525</definedName>
    <definedName function="false" hidden="false" name="SRC_ZP_522" vbProcedure="false">SRC_ZP!$D$526</definedName>
    <definedName function="false" hidden="false" name="SRC_ZP_523" vbProcedure="false">SRC_ZP!$D$527</definedName>
    <definedName function="false" hidden="false" name="SRC_ZP_524" vbProcedure="false">SRC_ZP!$D$528</definedName>
    <definedName function="false" hidden="false" name="SRC_ZP_525" vbProcedure="false">SRC_ZP!$D$529</definedName>
    <definedName function="false" hidden="false" name="SRC_ZP_526" vbProcedure="false">SRC_ZP!$D$530</definedName>
    <definedName function="false" hidden="false" name="SRC_ZP_527" vbProcedure="false">SRC_ZP!$D$531</definedName>
    <definedName function="false" hidden="false" name="SRC_ZP_528" vbProcedure="false">SRC_ZP!$D$532</definedName>
    <definedName function="false" hidden="false" name="SRC_ZP_529" vbProcedure="false">SRC_ZP!$D$533</definedName>
    <definedName function="false" hidden="false" name="SRC_ZP_530" vbProcedure="false">SRC_ZP!$D$534</definedName>
    <definedName function="false" hidden="false" name="SRC_ZP_531" vbProcedure="false">SRC_ZP!$D$535</definedName>
    <definedName function="false" hidden="false" name="SRC_ZP_532" vbProcedure="false">SRC_ZP!$D$536</definedName>
    <definedName function="false" hidden="false" name="SRC_ZP_533" vbProcedure="false">SRC_ZP!$D$537</definedName>
    <definedName function="false" hidden="false" name="SRC_ZP_534" vbProcedure="false">SRC_ZP!$D$538</definedName>
    <definedName function="false" hidden="false" name="SRC_ZP_535" vbProcedure="false">SRC_ZP!$D$539</definedName>
    <definedName function="false" hidden="false" name="SRC_ZP_536" vbProcedure="false">SRC_ZP!$D$540</definedName>
    <definedName function="false" hidden="false" name="SRC_ZP_538" vbProcedure="false">SRC_ZP!$D$542</definedName>
    <definedName function="false" hidden="false" name="SRC_ZP_539" vbProcedure="false">SRC_ZP!$D$543</definedName>
    <definedName function="false" hidden="false" name="SRC_ZP_540" vbProcedure="false">SRC_ZP!$D$544</definedName>
    <definedName function="false" hidden="false" name="SRC_ZP_541" vbProcedure="false">SRC_ZP!$D$545</definedName>
    <definedName function="false" hidden="false" name="SRC_ZP_542" vbProcedure="false">SRC_ZP!$D$546</definedName>
    <definedName function="false" hidden="false" name="SRC_ZP_543" vbProcedure="false">SRC_ZP!$D$547</definedName>
    <definedName function="false" hidden="false" name="SRC_ZP_544" vbProcedure="false">SRC_ZP!$D$548</definedName>
    <definedName function="false" hidden="false" name="SRC_ZP_545" vbProcedure="false">SRC_ZP!$D$549</definedName>
    <definedName function="false" hidden="false" name="SRC_ZP_546" vbProcedure="false">SRC_ZP!$D$550</definedName>
    <definedName function="false" hidden="false" name="SRC_ZP_547" vbProcedure="false">SRC_ZP!$D$551</definedName>
    <definedName function="false" hidden="false" name="SRC_ZP_548" vbProcedure="false">SRC_ZP!$D$552</definedName>
    <definedName function="false" hidden="false" name="SRC_ZP_549" vbProcedure="false">SRC_ZP!$D$553</definedName>
    <definedName function="false" hidden="false" name="SRC_ZP_550" vbProcedure="false">SRC_ZP!$D$554</definedName>
    <definedName function="false" hidden="false" name="SRC_ZP_551" vbProcedure="false">SRC_ZP!$D$555</definedName>
    <definedName function="false" hidden="false" name="SRC_ZP_552" vbProcedure="false">SRC_ZP!$D$556</definedName>
    <definedName function="false" hidden="false" name="SRC_ZP_553" vbProcedure="false">SRC_ZP!$D$557</definedName>
    <definedName function="false" hidden="false" name="SRC_ZP_554" vbProcedure="false">SRC_ZP!$D$558</definedName>
    <definedName function="false" hidden="false" name="SRC_ZP_555" vbProcedure="false">SRC_ZP!$D$559</definedName>
    <definedName function="false" hidden="false" name="SRC_ZP_556" vbProcedure="false">SRC_ZP!$D$560</definedName>
    <definedName function="false" hidden="false" name="SRC_ZP_557" vbProcedure="false">SRC_ZP!$D$561</definedName>
    <definedName function="false" hidden="false" name="SRC_ZP_558" vbProcedure="false">SRC_ZP!$D$562</definedName>
    <definedName function="false" hidden="false" name="SRC_ZP_560" vbProcedure="false">SRC_ZP!$D$564</definedName>
    <definedName function="false" hidden="false" name="SRC_ZP_561" vbProcedure="false">SRC_ZP!$D$565</definedName>
    <definedName function="false" hidden="false" name="SRC_ZP_562" vbProcedure="false">SRC_ZP!$D$566</definedName>
    <definedName function="false" hidden="false" name="SRC_ZP_563" vbProcedure="false">SRC_ZP!$D$567</definedName>
    <definedName function="false" hidden="false" name="SRC_ZP_564" vbProcedure="false">SRC_ZP!$D$568</definedName>
    <definedName function="false" hidden="false" name="SRC_ZP_565" vbProcedure="false">SRC_ZP!$D$569</definedName>
    <definedName function="false" hidden="false" name="SRC_ZP_566" vbProcedure="false">SRC_ZP!$D$570</definedName>
    <definedName function="false" hidden="false" name="SRC_ZP_567" vbProcedure="false">SRC_ZP!$D$571</definedName>
    <definedName function="false" hidden="false" name="SRC_ZP_568_Lo" vbProcedure="false">SRC_ZP!$E$572</definedName>
    <definedName function="false" hidden="false" name="SRC_ZP_569" vbProcedure="false">SRC_ZP!$D$573</definedName>
    <definedName function="false" hidden="false" name="SRC_ZP_570" vbProcedure="false">SRC_ZP!$D$574</definedName>
    <definedName function="false" hidden="false" name="SRC_ZP_571" vbProcedure="false">SRC_ZP!$D$575</definedName>
    <definedName function="false" hidden="false" name="SRC_ZP_572" vbProcedure="false">SRC_ZP!$D$576</definedName>
    <definedName function="false" hidden="false" name="SRC_ZP_573" vbProcedure="false">SRC_ZP!$D$577</definedName>
    <definedName function="false" hidden="false" name="SRC_ZP_574" vbProcedure="false">SRC_ZP!$D$578</definedName>
    <definedName function="false" hidden="false" name="SRC_ZP_575" vbProcedure="false">SRC_ZP!$D$579</definedName>
    <definedName function="false" hidden="false" name="SRC_ZP_576" vbProcedure="false">SRC_ZP!$D$580</definedName>
    <definedName function="false" hidden="false" name="SRC_ZP_577" vbProcedure="false">SRC_ZP!$D$581</definedName>
    <definedName function="false" hidden="false" name="SRC_ZP_578" vbProcedure="false">SRC_ZP!$D$582</definedName>
    <definedName function="false" hidden="false" name="SRC_ZP_579" vbProcedure="false">SRC_ZP!$D$583</definedName>
    <definedName function="false" hidden="false" name="SRC_ZP_579_Hi" vbProcedure="false">SRC_ZP!$F$583</definedName>
    <definedName function="false" hidden="false" name="SRC_ZP_580" vbProcedure="false">SRC_ZP!$D$584</definedName>
    <definedName function="false" hidden="false" name="SRC_ZP_582" vbProcedure="false">SRC_ZP!$D$586</definedName>
    <definedName function="false" hidden="false" name="SRC_ZP_583" vbProcedure="false">SRC_ZP!$D$587</definedName>
    <definedName function="false" hidden="false" name="SRC_ZP_584" vbProcedure="false">SRC_ZP!$D$588</definedName>
    <definedName function="false" hidden="false" name="SRC_ZP_585" vbProcedure="false">SRC_ZP!$D$589</definedName>
    <definedName function="false" hidden="false" name="SRC_ZP_586" vbProcedure="false">SRC_ZP!$D$590</definedName>
    <definedName function="false" hidden="false" name="SRC_ZP_587" vbProcedure="false">SRC_ZP!$D$591</definedName>
    <definedName function="false" hidden="false" name="SRC_ZP_588" vbProcedure="false">SRC_ZP!$D$592</definedName>
    <definedName function="false" hidden="false" name="SRC_ZP_588_Hi" vbProcedure="false">SRC_ZP!$F$592</definedName>
    <definedName function="false" hidden="false" name="SRC_ZP_588_Lo" vbProcedure="false">SRC_ZP!$E$592</definedName>
    <definedName function="false" hidden="false" name="SRC_ZP_589" vbProcedure="false">SRC_ZP!$D$593</definedName>
    <definedName function="false" hidden="false" name="SRC_ZP_590" vbProcedure="false">SRC_ZP!$D$594</definedName>
    <definedName function="false" hidden="false" name="SRC_ZP_591" vbProcedure="false">SRC_ZP!$D$595</definedName>
    <definedName function="false" hidden="false" name="SRC_ZP_592" vbProcedure="false">SRC_ZP!$D$596</definedName>
    <definedName function="false" hidden="false" name="SRC_ZP_593" vbProcedure="false">SRC_ZP!$D$597</definedName>
    <definedName function="false" hidden="false" name="SRC_ZP_594" vbProcedure="false">SRC_ZP!$D$598</definedName>
    <definedName function="false" hidden="false" name="SRC_ZP_595" vbProcedure="false">SRC_ZP!$D$599</definedName>
    <definedName function="false" hidden="false" name="SRC_ZP_596" vbProcedure="false">SRC_ZP!$D$600</definedName>
    <definedName function="false" hidden="false" name="SRC_ZP_597" vbProcedure="false">SRC_ZP!$D$601</definedName>
    <definedName function="false" hidden="false" name="SRC_ZP_598" vbProcedure="false">SRC_ZP!$D$602</definedName>
    <definedName function="false" hidden="false" name="SRC_ZP_599" vbProcedure="false">SRC_ZP!$D$603</definedName>
    <definedName function="false" hidden="false" name="SRC_ZP_600" vbProcedure="false">SRC_ZP!$D$604</definedName>
    <definedName function="false" hidden="false" name="SRC_ZP_601" vbProcedure="false">SRC_ZP!$D$605</definedName>
    <definedName function="false" hidden="false" name="SRC_ZP_602" vbProcedure="false">SRC_ZP!$D$606</definedName>
    <definedName function="false" hidden="false" name="SRC_ZP_603" vbProcedure="false">SRC_ZP!$D$607</definedName>
    <definedName function="false" hidden="false" name="SRC_ZP_605" vbProcedure="false">SRC_ZP!$D$609</definedName>
    <definedName function="false" hidden="false" name="SRC_ZP_606" vbProcedure="false">SRC_ZP!$D$610</definedName>
    <definedName function="false" hidden="false" name="SRC_ZP_607" vbProcedure="false">SRC_ZP!$D$611</definedName>
    <definedName function="false" hidden="false" name="SRC_ZP_608" vbProcedure="false">SRC_ZP!$D$612</definedName>
    <definedName function="false" hidden="false" name="SRC_ZP_609" vbProcedure="false">SRC_ZP!$D$613</definedName>
    <definedName function="false" hidden="false" name="SRC_ZP_610" vbProcedure="false">SRC_ZP!$D$614</definedName>
    <definedName function="false" hidden="false" name="SRC_ZP_611" vbProcedure="false">SRC_ZP!$D$615</definedName>
    <definedName function="false" hidden="false" name="SRC_ZP_612" vbProcedure="false">SRC_ZP!$D$616</definedName>
    <definedName function="false" hidden="false" name="SRC_ZP_613" vbProcedure="false">SRC_ZP!$D$617</definedName>
    <definedName function="false" hidden="false" name="SRC_ZP_614" vbProcedure="false">SRC_ZP!$D$618</definedName>
    <definedName function="false" hidden="false" name="SRC_ZP_615" vbProcedure="false">SRC_ZP!$D$619</definedName>
    <definedName function="false" hidden="false" name="SRC_ZP_616" vbProcedure="false">SRC_ZP!$D$620</definedName>
    <definedName function="false" hidden="false" name="SRC_ZP_617" vbProcedure="false">SRC_ZP!$D$621</definedName>
    <definedName function="false" hidden="false" name="SRC_ZP_618" vbProcedure="false">SRC_ZP!$D$622</definedName>
    <definedName function="false" hidden="false" name="SRC_ZP_619" vbProcedure="false">SRC_ZP!$D$623</definedName>
    <definedName function="false" hidden="false" name="SRC_ZP_620" vbProcedure="false">SRC_ZP!$D$624</definedName>
    <definedName function="false" hidden="false" name="SRC_ZP_621" vbProcedure="false">SRC_ZP!$D$625</definedName>
    <definedName function="false" hidden="false" name="SRC_ZP_622" vbProcedure="false">SRC_ZP!$D$626</definedName>
    <definedName function="false" hidden="false" name="SRC_ZP_623" vbProcedure="false">SRC_ZP!$D$627</definedName>
    <definedName function="false" hidden="false" name="SRC_ZP_624" vbProcedure="false">SRC_ZP!$D$628</definedName>
    <definedName function="false" hidden="false" name="SRC_ZP_625" vbProcedure="false">SRC_ZP!$D$629</definedName>
    <definedName function="false" hidden="false" name="SRC_ZP_626" vbProcedure="false">SRC_ZP!$D$630</definedName>
    <definedName function="false" hidden="false" name="SRC_ZP_627" vbProcedure="false">SRC_ZP!$D$631</definedName>
    <definedName function="false" hidden="false" name="SRC_ZP_628" vbProcedure="false">SRC_ZP!$D$632</definedName>
    <definedName function="false" hidden="false" name="SRC_ZP_629" vbProcedure="false">SRC_ZP!$D$633</definedName>
    <definedName function="false" hidden="false" name="SRC_ZP_630" vbProcedure="false">SRC_ZP!$D$634</definedName>
    <definedName function="false" hidden="false" name="SRC_ZP_631" vbProcedure="false">SRC_ZP!$D$635</definedName>
    <definedName function="false" hidden="false" name="SRC_ZP_632" vbProcedure="false">SRC_ZP!$D$636</definedName>
    <definedName function="false" hidden="false" name="SRC_ZP_633" vbProcedure="false">SRC_ZP!$D$637</definedName>
    <definedName function="false" hidden="false" name="SRC_ZP_634" vbProcedure="false">SRC_ZP!$D$638</definedName>
    <definedName function="false" hidden="false" name="SRC_ZP_635" vbProcedure="false">SRC_ZP!$D$639</definedName>
    <definedName function="false" hidden="false" name="SRC_ZP_636" vbProcedure="false">SRC_ZP!$D$640</definedName>
    <definedName function="false" hidden="false" name="SRC_ZP_637" vbProcedure="false">SRC_ZP!$D$641</definedName>
    <definedName function="false" hidden="false" name="SRC_ZP_638" vbProcedure="false">SRC_ZP!$D$642</definedName>
    <definedName function="false" hidden="false" name="SRC_ZP_639" vbProcedure="false">SRC_ZP!$D$643</definedName>
    <definedName function="false" hidden="false" name="SRC_ZP_640" vbProcedure="false">SRC_ZP!$D$644</definedName>
    <definedName function="false" hidden="false" name="SRC_ZP_641" vbProcedure="false">SRC_ZP!$D$645</definedName>
    <definedName function="false" hidden="false" name="SRC_ZP_642" vbProcedure="false">SRC_ZP!$D$646</definedName>
    <definedName function="false" hidden="false" name="SRC_ZP_643" vbProcedure="false">SRC_ZP!$D$647</definedName>
    <definedName function="false" hidden="false" name="SRC_ZP_644" vbProcedure="false">SRC_ZP!$D$648</definedName>
    <definedName function="false" hidden="false" name="SRC_ZP_645" vbProcedure="false">SRC_ZP!$D$649</definedName>
    <definedName function="false" hidden="false" name="SRC_ZP_648" vbProcedure="false">SRC_ZP!$D$652</definedName>
    <definedName function="false" hidden="false" name="SRC_ZP_649" vbProcedure="false">SRC_ZP!$D$653</definedName>
    <definedName function="false" hidden="false" name="SRC_ZP_650" vbProcedure="false">SRC_ZP!$D$654</definedName>
    <definedName function="false" hidden="false" name="SRC_ZP_651" vbProcedure="false">SRC_ZP!$D$655</definedName>
    <definedName function="false" hidden="false" name="SRC_ZP_652" vbProcedure="false">SRC_ZP!$D$656</definedName>
    <definedName function="false" hidden="false" name="SRC_ZP_653" vbProcedure="false">SRC_ZP!$D$657</definedName>
    <definedName function="false" hidden="false" name="SRC_ZP_654" vbProcedure="false">SRC_ZP!$D$658</definedName>
    <definedName function="false" hidden="false" name="SRC_ZP_655" vbProcedure="false">SRC_ZP!$D$659</definedName>
    <definedName function="false" hidden="false" name="SRC_ZP_656" vbProcedure="false">SRC_ZP!$D$660</definedName>
    <definedName function="false" hidden="false" name="SRC_ZP_657" vbProcedure="false">SRC_ZP!$D$661</definedName>
    <definedName function="false" hidden="false" name="SRC_ZP_658" vbProcedure="false">SRC_ZP!$D$662</definedName>
    <definedName function="false" hidden="false" name="SRC_ZP_659" vbProcedure="false">SRC_ZP!$D$663</definedName>
    <definedName function="false" hidden="false" name="SRC_ZP_660" vbProcedure="false">SRC_ZP!$D$664</definedName>
    <definedName function="false" hidden="false" name="SRC_ZP_661" vbProcedure="false">SRC_ZP!$D$665</definedName>
    <definedName function="false" hidden="false" name="SRC_ZP_662" vbProcedure="false">SRC_ZP!$D$666</definedName>
    <definedName function="false" hidden="false" name="SRC_ZP_663" vbProcedure="false">SRC_ZP!$D$667</definedName>
    <definedName function="false" hidden="false" name="SRC_ZP_664" vbProcedure="false">SRC_ZP!$D$668</definedName>
    <definedName function="false" hidden="false" name="SRC_ZP_665" vbProcedure="false">SRC_ZP!$D$669</definedName>
    <definedName function="false" hidden="false" name="SRC_ZP_666" vbProcedure="false">SRC_ZP!$D$670</definedName>
    <definedName function="false" hidden="false" name="SRC_ZP_667" vbProcedure="false">SRC_ZP!$D$671</definedName>
    <definedName function="false" hidden="false" name="SRC_ZP_668" vbProcedure="false">SRC_ZP!$D$672</definedName>
    <definedName function="false" hidden="false" name="SRC_ZP_669" vbProcedure="false">SRC_ZP!$D$673</definedName>
    <definedName function="false" hidden="false" name="SRC_ZP_670" vbProcedure="false">SRC_ZP!$D$674</definedName>
    <definedName function="false" hidden="false" name="SRC_ZP_671" vbProcedure="false">SRC_ZP!$D$675</definedName>
    <definedName function="false" hidden="false" name="SRC_ZP_672" vbProcedure="false">SRC_ZP!$D$676</definedName>
    <definedName function="false" hidden="false" name="SRC_ZP_673" vbProcedure="false">SRC_ZP!$D$677</definedName>
    <definedName function="false" hidden="false" name="SRC_ZP_674" vbProcedure="false">SRC_ZP!$D$678</definedName>
    <definedName function="false" hidden="false" name="SRC_ZP_675" vbProcedure="false">SRC_ZP!$D$679</definedName>
    <definedName function="false" hidden="false" name="SRC_ZP_676" vbProcedure="false">SRC_ZP!$D$680</definedName>
    <definedName function="false" hidden="false" name="SRC_ZP_677" vbProcedure="false">SRC_ZP!$D$681</definedName>
    <definedName function="false" hidden="false" name="SRC_ZP_678" vbProcedure="false">SRC_ZP!$D$682</definedName>
    <definedName function="false" hidden="false" name="SRC_ZP_679" vbProcedure="false">SRC_ZP!$D$683</definedName>
    <definedName function="false" hidden="false" name="SRC_ZP_680" vbProcedure="false">SRC_ZP!$D$684</definedName>
    <definedName function="false" hidden="false" name="SRC_ZP_681" vbProcedure="false">SRC_ZP!$D$685</definedName>
    <definedName function="false" hidden="false" name="SRC_ZP_682" vbProcedure="false">SRC_ZP!$D$686</definedName>
    <definedName function="false" hidden="false" name="SRC_ZP_683" vbProcedure="false">SRC_ZP!$D$687</definedName>
    <definedName function="false" hidden="false" name="SRC_ZP_684" vbProcedure="false">SRC_ZP!$D$688</definedName>
    <definedName function="false" hidden="false" name="SRC_ZP_685" vbProcedure="false">SRC_ZP!$D$689</definedName>
    <definedName function="false" hidden="false" name="SRC_ZP_686" vbProcedure="false">SRC_ZP!$D$690</definedName>
    <definedName function="false" hidden="false" name="SRC_ZP_687" vbProcedure="false">SRC_ZP!$D$691</definedName>
    <definedName function="false" hidden="false" name="SRC_ZP_688" vbProcedure="false">SRC_ZP!$D$692</definedName>
    <definedName function="false" hidden="false" name="SRC_ZP_689" vbProcedure="false">SRC_ZP!$D$693</definedName>
    <definedName function="false" hidden="false" name="SRC_ZP_690" vbProcedure="false">SRC_ZP!$D$694</definedName>
    <definedName function="false" hidden="false" name="SRC_ZP_691" vbProcedure="false">SRC_ZP!$D$695</definedName>
    <definedName function="false" hidden="false" name="SRC_ZP_692" vbProcedure="false">SRC_ZP!$D$696</definedName>
    <definedName function="false" hidden="false" name="SRC_ZP_693" vbProcedure="false">SRC_ZP!$D$697</definedName>
    <definedName function="false" hidden="false" name="SRC_ZP_694" vbProcedure="false">SRC_ZP!$D$698</definedName>
    <definedName function="false" hidden="false" name="SRC_ZP_695" vbProcedure="false">SRC_ZP!$D$699</definedName>
    <definedName function="false" hidden="false" name="SRC_ZP_696" vbProcedure="false">SRC_ZP!$D$700</definedName>
    <definedName function="false" hidden="false" name="SRC_ZP_697" vbProcedure="false">SRC_ZP!$D$701</definedName>
    <definedName function="false" hidden="false" name="SRC_ZP_698" vbProcedure="false">SRC_ZP!$D$702</definedName>
    <definedName function="false" hidden="false" name="SRC_ZP_699" vbProcedure="false">SRC_ZP!$D$703</definedName>
    <definedName function="false" hidden="false" name="SRC_ZP_700" vbProcedure="false">SRC_ZP!$D$704</definedName>
    <definedName function="false" hidden="false" name="SRC_ZP_701" vbProcedure="false">SRC_ZP!$D$705</definedName>
    <definedName function="false" hidden="false" name="SRC_ZP_702" vbProcedure="false">SRC_ZP!$D$706</definedName>
    <definedName function="false" hidden="false" name="SRC_ZP_703" vbProcedure="false">SRC_ZP!$D$707</definedName>
    <definedName function="false" hidden="false" name="SRC_ZP_704" vbProcedure="false">SRC_ZP!$D$708</definedName>
    <definedName function="false" hidden="false" name="SRC_ZP_705" vbProcedure="false">SRC_ZP!$D$709</definedName>
    <definedName function="false" hidden="false" name="SRC_ZP_706" vbProcedure="false">SRC_ZP!$D$710</definedName>
    <definedName function="false" hidden="false" name="SRC_ZP_707" vbProcedure="false">SRC_ZP!$D$711</definedName>
    <definedName function="false" hidden="false" name="SRC_ZP_708" vbProcedure="false">SRC_ZP!$D$712</definedName>
    <definedName function="false" hidden="false" name="SRC_ZP_709" vbProcedure="false">SRC_ZP!$D$713</definedName>
    <definedName function="false" hidden="false" name="SRC_ZP_710" vbProcedure="false">SRC_ZP!$D$714</definedName>
    <definedName function="false" hidden="false" name="SRC_ZP_711" vbProcedure="false">SRC_ZP!$D$715</definedName>
    <definedName function="false" hidden="false" name="SRC_ZP_712" vbProcedure="false">SRC_ZP!$D$716</definedName>
    <definedName function="false" hidden="false" name="SRC_ZP_713" vbProcedure="false">SRC_ZP!$D$717</definedName>
    <definedName function="false" hidden="false" name="SRC_ZP_714" vbProcedure="false">SRC_ZP!$D$718</definedName>
    <definedName function="false" hidden="false" name="SRC_ZP_715" vbProcedure="false">SRC_ZP!$D$719</definedName>
    <definedName function="false" hidden="false" name="SRC_ZP_716" vbProcedure="false">SRC_ZP!$D$720</definedName>
    <definedName function="false" hidden="false" name="SRC_ZP_718" vbProcedure="false">SRC_ZP!$D$722</definedName>
    <definedName function="false" hidden="false" name="SRC_ZP_719" vbProcedure="false">SRC_ZP!$D$723</definedName>
    <definedName function="false" hidden="false" name="SRC_ZP_720" vbProcedure="false">SRC_ZP!$D$724</definedName>
    <definedName function="false" hidden="false" name="SRC_ZP_721" vbProcedure="false">SRC_ZP!$D$725</definedName>
    <definedName function="false" hidden="false" name="SRC_ZP_722" vbProcedure="false">SRC_ZP!$D$726</definedName>
    <definedName function="false" hidden="false" name="SRC_ZP_723" vbProcedure="false">SRC_ZP!$D$727</definedName>
    <definedName function="false" hidden="false" name="SRC_ZP_724" vbProcedure="false">SRC_ZP!$D$728</definedName>
    <definedName function="false" hidden="false" name="SRC_ZP_725" vbProcedure="false">SRC_ZP!$D$729</definedName>
    <definedName function="false" hidden="false" name="SRC_ZP_726" vbProcedure="false">SRC_ZP!$D$730</definedName>
    <definedName function="false" hidden="false" name="SRC_ZP_727" vbProcedure="false">SRC_ZP!$D$731</definedName>
    <definedName function="false" hidden="false" name="SRC_ZP_728" vbProcedure="false">SRC_ZP!$D$732</definedName>
    <definedName function="false" hidden="false" name="SRC_ZP_729" vbProcedure="false">SRC_ZP!$D$733</definedName>
    <definedName function="false" hidden="false" name="SRC_ZP_730" vbProcedure="false">SRC_ZP!$D$734</definedName>
    <definedName function="false" hidden="false" name="SRC_ZP_731" vbProcedure="false">SRC_ZP!$D$735</definedName>
    <definedName function="false" hidden="false" name="SRC_ZP_732" vbProcedure="false">SRC_ZP!$D$736</definedName>
    <definedName function="false" hidden="false" name="SRC_ZP_733" vbProcedure="false">SRC_ZP!$D$737</definedName>
    <definedName function="false" hidden="false" name="SRC_ZP_734" vbProcedure="false">SRC_ZP!$D$738</definedName>
    <definedName function="false" hidden="false" name="SRC_ZP_735" vbProcedure="false">SRC_ZP!$D$739</definedName>
    <definedName function="false" hidden="false" name="SRC_ZP_736" vbProcedure="false">SRC_ZP!$D$740</definedName>
    <definedName function="false" hidden="false" name="SRC_ZP_737" vbProcedure="false">SRC_ZP!$D$741</definedName>
    <definedName function="false" hidden="false" name="SRC_ZP_738" vbProcedure="false">SRC_ZP!$D$742</definedName>
    <definedName function="false" hidden="false" name="SRC_ZP_739" vbProcedure="false">SRC_ZP!$D$743</definedName>
    <definedName function="false" hidden="false" name="SRC_ZP_740" vbProcedure="false">SRC_ZP!$D$744</definedName>
    <definedName function="false" hidden="false" name="SRC_ZP_741" vbProcedure="false">SRC_ZP!$D$745</definedName>
    <definedName function="false" hidden="false" name="SRC_ZP_742" vbProcedure="false">SRC_ZP!$D$746</definedName>
    <definedName function="false" hidden="false" name="SRC_ZP_743" vbProcedure="false">SRC_ZP!$D$747</definedName>
    <definedName function="false" hidden="false" name="SRC_ZP_744" vbProcedure="false">SRC_ZP!$D$748</definedName>
    <definedName function="false" hidden="false" name="SRC_ZP_745" vbProcedure="false">SRC_ZP!$D$749</definedName>
    <definedName function="false" hidden="false" name="SRC_ZP_746" vbProcedure="false">SRC_ZP!$D$750</definedName>
    <definedName function="false" hidden="false" name="SRC_ZP_747" vbProcedure="false">SRC_ZP!$D$751</definedName>
    <definedName function="false" hidden="false" name="SRC_ZP_748" vbProcedure="false">SRC_ZP!$D$752</definedName>
    <definedName function="false" hidden="false" name="SRC_ZP_749" vbProcedure="false">SRC_ZP!$D$753</definedName>
    <definedName function="false" hidden="false" name="SRC_ZP_750" vbProcedure="false">SRC_ZP!$D$754</definedName>
    <definedName function="false" hidden="false" name="SRC_ZP_751" vbProcedure="false">SRC_ZP!$D$755</definedName>
    <definedName function="false" hidden="false" name="SRC_ZP_752" vbProcedure="false">SRC_ZP!$D$756</definedName>
    <definedName function="false" hidden="false" name="SRC_ZP_753" vbProcedure="false">SRC_ZP!$D$757</definedName>
    <definedName function="false" hidden="false" name="SRC_ZP_754" vbProcedure="false">SRC_ZP!$D$758</definedName>
    <definedName function="false" hidden="false" name="SRC_ZP_755" vbProcedure="false">SRC_ZP!$D$759</definedName>
    <definedName function="false" hidden="false" name="SRC_ZP_756" vbProcedure="false">SRC_ZP!$D$760</definedName>
    <definedName function="false" hidden="false" name="SRC_ZP_757" vbProcedure="false">SRC_ZP!$D$761</definedName>
    <definedName function="false" hidden="false" name="SRC_ZP_758" vbProcedure="false">SRC_ZP!$D$762</definedName>
    <definedName function="false" hidden="false" name="SRC_ZP_759" vbProcedure="false">SRC_ZP!$D$763</definedName>
    <definedName function="false" hidden="false" name="SRC_ZP_760" vbProcedure="false">SRC_ZP!$D$764</definedName>
    <definedName function="false" hidden="false" name="SRC_ZP_761" vbProcedure="false">SRC_ZP!$D$765</definedName>
    <definedName function="false" hidden="false" name="SRC_ZP_762" vbProcedure="false">SRC_ZP!$D$766</definedName>
    <definedName function="false" hidden="false" name="SRC_ZP_763" vbProcedure="false">SRC_ZP!$D$767</definedName>
    <definedName function="false" hidden="false" name="SRC_ZP_764" vbProcedure="false">SRC_ZP!$D$768</definedName>
    <definedName function="false" hidden="false" name="SRC_ZP_765" vbProcedure="false">SRC_ZP!$D$769</definedName>
    <definedName function="false" hidden="false" name="SRC_ZP_766" vbProcedure="false">SRC_ZP!$D$770</definedName>
    <definedName function="false" hidden="false" name="SRC_ZP_767" vbProcedure="false">SRC_ZP!$D$771</definedName>
    <definedName function="false" hidden="false" name="SRC_ZP_768" vbProcedure="false">SRC_ZP!$D$772</definedName>
    <definedName function="false" hidden="false" name="SRC_ZP_769" vbProcedure="false">SRC_ZP!$D$773</definedName>
    <definedName function="false" hidden="false" name="SRC_ZP_770" vbProcedure="false">SRC_ZP!$D$774</definedName>
    <definedName function="false" hidden="false" name="SRC_ZP_771" vbProcedure="false">SRC_ZP!$D$775</definedName>
    <definedName function="false" hidden="false" name="SRC_ZP_772" vbProcedure="false">SRC_ZP!$D$776</definedName>
    <definedName function="false" hidden="false" name="SRC_ZP_773" vbProcedure="false">SRC_ZP!$D$777</definedName>
    <definedName function="false" hidden="false" name="SRC_ZP_774" vbProcedure="false">SRC_ZP!$D$778</definedName>
    <definedName function="false" hidden="false" name="SRC_ZP_775" vbProcedure="false">SRC_ZP!$D$779</definedName>
    <definedName function="false" hidden="false" name="SRC_ZP_776" vbProcedure="false">SRC_ZP!$D$780</definedName>
    <definedName function="false" hidden="false" name="SRC_ZP_777" vbProcedure="false">SRC_ZP!$D$781</definedName>
    <definedName function="false" hidden="false" name="SRC_ZP_778" vbProcedure="false">SRC_ZP!$D$782</definedName>
    <definedName function="false" hidden="false" name="SRC_ZP_779" vbProcedure="false">SRC_ZP!$D$783</definedName>
    <definedName function="false" hidden="false" name="SRC_ZP_781" vbProcedure="false">SRC_ZP!$D$785</definedName>
    <definedName function="false" hidden="false" name="SRC_ZP_781_Hi" vbProcedure="false">SRC_ZP!$F$785</definedName>
    <definedName function="false" hidden="false" name="SRC_ZP_781_Lo" vbProcedure="false">SRC_ZP!$E$785</definedName>
    <definedName function="false" hidden="false" name="SRC_ZP_782" vbProcedure="false">SRC_ZP!$D$786</definedName>
    <definedName function="false" hidden="false" name="SRC_ZP_783" vbProcedure="false">SRC_ZP!$D$787</definedName>
    <definedName function="false" hidden="false" name="SRC_ZP_784" vbProcedure="false">SRC_ZP!$D$788</definedName>
    <definedName function="false" hidden="false" name="SRC_ZP_785" vbProcedure="false">SRC_ZP!$D$789</definedName>
    <definedName function="false" hidden="false" name="SRC_ZP_786" vbProcedure="false">SRC_ZP!$D$790</definedName>
    <definedName function="false" hidden="false" name="SRC_ZP_787" vbProcedure="false">SRC_ZP!$D$791</definedName>
    <definedName function="false" hidden="false" name="SRC_ZP_788" vbProcedure="false">SRC_ZP!$D$792</definedName>
    <definedName function="false" hidden="false" name="SRC_ZP_789" vbProcedure="false">SRC_ZP!$D$793</definedName>
    <definedName function="false" hidden="false" name="SRC_ZP_790" vbProcedure="false">SRC_ZP!$D$794</definedName>
    <definedName function="false" hidden="false" name="SRC_ZP_791" vbProcedure="false">SRC_ZP!$D$795</definedName>
    <definedName function="false" hidden="false" name="SRC_ZP_792" vbProcedure="false">SRC_ZP!$D$796</definedName>
    <definedName function="false" hidden="false" name="SRC_ZP_793" vbProcedure="false">SRC_ZP!$D$797</definedName>
    <definedName function="false" hidden="false" name="SRC_ZP_794" vbProcedure="false">SRC_ZP!$D$798</definedName>
    <definedName function="false" hidden="false" name="SRC_ZP_795" vbProcedure="false">SRC_ZP!$D$799</definedName>
    <definedName function="false" hidden="false" name="SRC_ZP_796" vbProcedure="false">SRC_ZP!$D$800</definedName>
    <definedName function="false" hidden="false" name="SRC_ZP_797" vbProcedure="false">SRC_ZP!$D$801</definedName>
    <definedName function="false" hidden="false" name="SRC_ZP_798" vbProcedure="false">SRC_ZP!$D$802</definedName>
    <definedName function="false" hidden="false" name="SRC_ZP_799" vbProcedure="false">SRC_ZP!$D$803</definedName>
    <definedName function="false" hidden="false" name="SRC_ZP_800" vbProcedure="false">SRC_ZP!$D$804</definedName>
    <definedName function="false" hidden="false" name="SRC_ZP_801" vbProcedure="false">SRC_ZP!$D$805</definedName>
    <definedName function="false" hidden="false" name="SRC_ZP_802" vbProcedure="false">SRC_ZP!$D$806</definedName>
    <definedName function="false" hidden="false" name="SRC_ZP_803" vbProcedure="false">SRC_ZP!$D$807</definedName>
    <definedName function="false" hidden="false" name="SRC_ZP_804" vbProcedure="false">SRC_ZP!$D$808</definedName>
    <definedName function="false" hidden="false" name="SRC_ZP_805" vbProcedure="false">SRC_ZP!$D$809</definedName>
    <definedName function="false" hidden="false" name="SRC_ZP_806" vbProcedure="false">SRC_ZP!$D$810</definedName>
    <definedName function="false" hidden="false" name="SRC_ZP_807" vbProcedure="false">SRC_ZP!$D$811</definedName>
    <definedName function="false" hidden="false" name="SRC_ZP_808" vbProcedure="false">SRC_ZP!$D$812</definedName>
    <definedName function="false" hidden="false" name="SRC_ZP_809" vbProcedure="false">SRC_ZP!$D$813</definedName>
    <definedName function="false" hidden="false" name="SRC_ZP_810" vbProcedure="false">SRC_ZP!$D$814</definedName>
    <definedName function="false" hidden="false" name="SRC_ZP_811" vbProcedure="false">SRC_ZP!$D$815</definedName>
    <definedName function="false" hidden="false" name="SRC_ZP_812" vbProcedure="false">SRC_ZP!$D$816</definedName>
    <definedName function="false" hidden="false" name="SRC_ZP_813" vbProcedure="false">SRC_ZP!$D$817</definedName>
    <definedName function="false" hidden="false" name="SRC_ZP_814" vbProcedure="false">SRC_ZP!$D$818</definedName>
    <definedName function="false" hidden="false" name="SRC_ZP_815" vbProcedure="false">SRC_ZP!$D$819</definedName>
    <definedName function="false" hidden="false" name="SRC_ZP_816" vbProcedure="false">SRC_ZP!$D$820</definedName>
    <definedName function="false" hidden="false" name="SRC_ZP_817" vbProcedure="false">SRC_ZP!$D$821</definedName>
    <definedName function="false" hidden="false" name="SRC_ZP_818" vbProcedure="false">SRC_ZP!$D$822</definedName>
    <definedName function="false" hidden="false" name="SRC_ZP_819" vbProcedure="false">SRC_ZP!$D$823</definedName>
    <definedName function="false" hidden="false" name="SRC_ZP_820" vbProcedure="false">SRC_ZP!$D$824</definedName>
    <definedName function="false" hidden="false" name="SRC_ZP_821" vbProcedure="false">SRC_ZP!$D$825</definedName>
    <definedName function="false" hidden="false" name="SRC_ZP_822" vbProcedure="false">SRC_ZP!$D$826</definedName>
    <definedName function="false" hidden="false" name="SRC_ZP_823" vbProcedure="false">SRC_ZP!$D$827</definedName>
    <definedName function="false" hidden="false" name="SRC_ZP_824" vbProcedure="false">SRC_ZP!$D$828</definedName>
    <definedName function="false" hidden="false" name="SRC_ZP_825" vbProcedure="false">SRC_ZP!$D$829</definedName>
    <definedName function="false" hidden="false" name="SRC_ZP_826" vbProcedure="false">SRC_ZP!$D$830</definedName>
    <definedName function="false" hidden="false" name="SRC_ZP_827" vbProcedure="false">SRC_ZP!$D$831</definedName>
    <definedName function="false" hidden="false" name="SRC_ZP_828" vbProcedure="false">SRC_ZP!$D$832</definedName>
    <definedName function="false" hidden="false" name="SRC_ZP_829" vbProcedure="false">SRC_ZP!$D$833</definedName>
    <definedName function="false" hidden="false" name="SRC_ZP_830" vbProcedure="false">SRC_ZP!$D$834</definedName>
    <definedName function="false" hidden="false" name="SRC_ZP_831" vbProcedure="false">SRC_ZP!$D$835</definedName>
    <definedName function="false" hidden="false" name="SRC_ZP_832" vbProcedure="false">SRC_ZP!$D$836</definedName>
    <definedName function="false" hidden="false" name="SRC_ZP_833" vbProcedure="false">SRC_ZP!$D$837</definedName>
    <definedName function="false" hidden="false" name="SRC_ZP_834" vbProcedure="false">SRC_ZP!$D$838</definedName>
    <definedName function="false" hidden="false" name="SRC_ZP_835" vbProcedure="false">SRC_ZP!$D$839</definedName>
    <definedName function="false" hidden="false" name="SRC_ZP_836" vbProcedure="false">SRC_ZP!$D$840</definedName>
    <definedName function="false" hidden="false" name="SRC_ZP_837" vbProcedure="false">SRC_ZP!$D$841</definedName>
    <definedName function="false" hidden="false" name="SRC_ZP_838" vbProcedure="false">SRC_ZP!$D$842</definedName>
    <definedName function="false" hidden="false" name="SRC_ZP_839" vbProcedure="false">SRC_ZP!$D$843</definedName>
    <definedName function="false" hidden="false" name="SRC_ZP_840" vbProcedure="false">SRC_ZP!$D$844</definedName>
    <definedName function="false" hidden="false" name="SRC_ZP_841" vbProcedure="false">SRC_ZP!$D$845</definedName>
    <definedName function="false" hidden="false" name="SRC_ZP_842" vbProcedure="false">SRC_ZP!$D$846</definedName>
    <definedName function="false" hidden="false" name="SRC_ZP_843" vbProcedure="false">SRC_ZP!$D$847</definedName>
    <definedName function="false" hidden="false" name="SRC_ZP_844" vbProcedure="false">SRC_ZP!$D$848</definedName>
    <definedName function="false" hidden="false" name="SRC_ZP_845" vbProcedure="false">SRC_ZP!$D$849</definedName>
    <definedName function="false" hidden="false" name="SRC_ZP_846" vbProcedure="false">SRC_ZP!$D$850</definedName>
    <definedName function="false" hidden="false" name="SRC_ZP_847" vbProcedure="false">SRC_ZP!$D$851</definedName>
    <definedName function="false" hidden="false" name="SRC_ZP_848" vbProcedure="false">SRC_ZP!$D$852</definedName>
    <definedName function="false" hidden="false" name="SRC_ZP_849" vbProcedure="false">SRC_ZP!$D$853</definedName>
    <definedName function="false" hidden="false" name="SRC_ZP_850" vbProcedure="false">SRC_ZP!$D$854</definedName>
    <definedName function="false" hidden="false" name="SRC_ZP_851" vbProcedure="false">SRC_ZP!$D$855</definedName>
    <definedName function="false" hidden="false" name="SRC_ZP_852" vbProcedure="false">SRC_ZP!$D$856</definedName>
    <definedName function="false" hidden="false" name="SRC_ZP_853" vbProcedure="false">SRC_ZP!$D$857</definedName>
    <definedName function="false" hidden="false" name="SRC_ZP_854" vbProcedure="false">SRC_ZP!$D$858</definedName>
    <definedName function="false" hidden="false" name="SRC_ZP_855" vbProcedure="false">SRC_ZP!$D$859</definedName>
    <definedName function="false" hidden="false" name="SRC_ZP_856" vbProcedure="false">SRC_ZP!$D$860</definedName>
    <definedName function="false" hidden="false" name="SRC_ZP_857" vbProcedure="false">SRC_ZP!$D$861</definedName>
    <definedName function="false" hidden="false" name="SRC_ZP_858" vbProcedure="false">SRC_ZP!$D$862</definedName>
    <definedName function="false" hidden="false" name="SRC_ZP_859" vbProcedure="false">SRC_ZP!$D$863</definedName>
    <definedName function="false" hidden="false" name="SRC_ZP_860" vbProcedure="false">SRC_ZP!$D$864</definedName>
    <definedName function="false" hidden="false" name="SRC_ZP_861" vbProcedure="false">SRC_ZP!$D$865</definedName>
    <definedName function="false" hidden="false" name="SRC_ZP_862" vbProcedure="false">SRC_ZP!$D$866</definedName>
    <definedName function="false" hidden="false" name="SRC_ZP_863" vbProcedure="false">SRC_ZP!$D$867</definedName>
    <definedName function="false" hidden="false" name="SRC_ZP_864" vbProcedure="false">SRC_ZP!$D$868</definedName>
    <definedName function="false" hidden="false" name="SRC_ZP_865" vbProcedure="false">SRC_ZP!$D$869</definedName>
    <definedName function="false" hidden="false" name="SRC_ZP_866" vbProcedure="false">SRC_ZP!$D$870</definedName>
    <definedName function="false" hidden="false" name="SRC_ZP_867" vbProcedure="false">SRC_ZP!$D$871</definedName>
    <definedName function="false" hidden="false" name="SRC_ZP_868" vbProcedure="false">SRC_ZP!$D$872</definedName>
    <definedName function="false" hidden="false" name="SRC_ZP_869" vbProcedure="false">SRC_ZP!$D$873</definedName>
    <definedName function="false" hidden="false" name="SRC_ZP_871" vbProcedure="false">SRC_ZP!$D$875</definedName>
    <definedName function="false" hidden="false" name="SRC_ZP_872" vbProcedure="false">SRC_ZP!$D$876</definedName>
    <definedName function="false" hidden="false" name="SRC_ZP_873" vbProcedure="false">SRC_ZP!$D$877</definedName>
    <definedName function="false" hidden="false" name="SRC_ZP_874" vbProcedure="false">SRC_ZP!$D$878</definedName>
    <definedName function="false" hidden="false" name="SRC_ZP_875" vbProcedure="false">SRC_ZP!$D$879</definedName>
    <definedName function="false" hidden="false" name="SRC_ZP_876" vbProcedure="false">SRC_ZP!$D$880</definedName>
    <definedName function="false" hidden="false" name="SRC_ZP_877" vbProcedure="false">SRC_ZP!$D$881</definedName>
    <definedName function="false" hidden="false" name="SRC_ZP_878" vbProcedure="false">SRC_ZP!$D$882</definedName>
    <definedName function="false" hidden="false" name="SRC_ZP_879" vbProcedure="false">SRC_ZP!$D$883</definedName>
    <definedName function="false" hidden="false" name="SRC_ZP_880" vbProcedure="false">SRC_ZP!$D$884</definedName>
    <definedName function="false" hidden="false" name="SRC_ZP_881" vbProcedure="false">SRC_ZP!$D$885</definedName>
    <definedName function="false" hidden="false" name="SRC_ZP_882" vbProcedure="false">SRC_ZP!$D$886</definedName>
    <definedName function="false" hidden="false" name="SRC_ZP_883" vbProcedure="false">SRC_ZP!$D$887</definedName>
    <definedName function="false" hidden="false" name="SRC_ZP_884" vbProcedure="false">SRC_ZP!$D$888</definedName>
    <definedName function="false" hidden="false" name="SRC_ZP_885" vbProcedure="false">SRC_ZP!$D$889</definedName>
    <definedName function="false" hidden="false" name="SRC_ZP_886" vbProcedure="false">SRC_ZP!$D$890</definedName>
    <definedName function="false" hidden="false" name="SRC_ZP_887" vbProcedure="false">SRC_ZP!$D$891</definedName>
    <definedName function="false" hidden="false" name="SRC_ZP_888" vbProcedure="false">SRC_ZP!$D$892</definedName>
    <definedName function="false" hidden="false" name="SRC_ZP_889" vbProcedure="false">SRC_ZP!$D$893</definedName>
    <definedName function="false" hidden="false" name="SRC_ZP_890" vbProcedure="false">SRC_ZP!$D$894</definedName>
    <definedName function="false" hidden="false" name="SRC_ZP_891" vbProcedure="false">SRC_ZP!$D$895</definedName>
    <definedName function="false" hidden="false" name="SRC_ZP_892" vbProcedure="false">SRC_ZP!$D$896</definedName>
    <definedName function="false" hidden="false" name="SRC_ZP_893" vbProcedure="false">SRC_ZP!$D$897</definedName>
    <definedName function="false" hidden="false" name="SRC_ZP_894" vbProcedure="false">SRC_ZP!$D$898</definedName>
    <definedName function="false" hidden="false" name="SRC_ZP_895" vbProcedure="false">SRC_ZP!$D$899</definedName>
    <definedName function="false" hidden="false" name="SRC_ZP_896" vbProcedure="false">SRC_ZP!$D$900</definedName>
    <definedName function="false" hidden="false" name="SRC_ZP_897" vbProcedure="false">SRC_ZP!$D$901</definedName>
    <definedName function="false" hidden="false" name="SRC_ZP_898" vbProcedure="false">SRC_ZP!$D$902</definedName>
    <definedName function="false" hidden="false" name="SRC_ZP_899" vbProcedure="false">SRC_ZP!$D$903</definedName>
    <definedName function="false" hidden="false" name="SRC_ZP_900" vbProcedure="false">SRC_ZP!$D$904</definedName>
    <definedName function="false" hidden="false" name="SRC_ZP_901" vbProcedure="false">SRC_ZP!$D$905</definedName>
    <definedName function="false" hidden="false" name="SRC_ZP_902" vbProcedure="false">SRC_ZP!$D$906</definedName>
    <definedName function="false" hidden="false" name="SRC_ZP_903" vbProcedure="false">SRC_ZP!$D$907</definedName>
    <definedName function="false" hidden="false" name="SRC_ZP_904" vbProcedure="false">SRC_ZP!$D$908</definedName>
    <definedName function="false" hidden="false" name="SRC_ZP_905" vbProcedure="false">SRC_ZP!$D$909</definedName>
    <definedName function="false" hidden="false" name="SRC_ZP_906" vbProcedure="false">SRC_ZP!$D$910</definedName>
    <definedName function="false" hidden="false" name="SRC_ZP_907" vbProcedure="false">SRC_ZP!$D$911</definedName>
    <definedName function="false" hidden="false" name="SRC_ZP_908" vbProcedure="false">SRC_ZP!$D$912</definedName>
    <definedName function="false" hidden="false" name="SRC_ZP_909" vbProcedure="false">SRC_ZP!$D$913</definedName>
    <definedName function="false" hidden="false" name="SRC_ZP_910" vbProcedure="false">SRC_ZP!$D$914</definedName>
    <definedName function="false" hidden="false" name="SRC_ZP_911" vbProcedure="false">SRC_ZP!$D$915</definedName>
    <definedName function="false" hidden="false" name="SRC_ZP_912" vbProcedure="false">SRC_ZP!$D$916</definedName>
    <definedName function="false" hidden="false" name="SRC_ZP_913" vbProcedure="false">SRC_ZP!$D$917</definedName>
    <definedName function="false" hidden="false" name="SRC_ZP_914" vbProcedure="false">SRC_ZP!$D$918</definedName>
    <definedName function="false" hidden="false" name="SRC_ZP_915" vbProcedure="false">SRC_ZP!$D$919</definedName>
    <definedName function="false" hidden="false" name="SRC_ZP_916" vbProcedure="false">SRC_ZP!$D$920</definedName>
    <definedName function="false" hidden="false" name="SRC_ZP_917" vbProcedure="false">SRC_ZP!$D$921</definedName>
    <definedName function="false" hidden="false" name="SRC_ZP_918" vbProcedure="false">SRC_ZP!$D$922</definedName>
    <definedName function="false" hidden="false" name="SRC_ZP_919" vbProcedure="false">SRC_ZP!$D$923</definedName>
    <definedName function="false" hidden="false" name="SRC_ZP_920" vbProcedure="false">SRC_ZP!$D$924</definedName>
    <definedName function="false" hidden="false" name="SRC_ZP_921" vbProcedure="false">SRC_ZP!$D$925</definedName>
    <definedName function="false" hidden="false" name="SRC_ZP_922" vbProcedure="false">SRC_ZP!$D$926</definedName>
    <definedName function="false" hidden="false" name="SRC_ZP_923" vbProcedure="false">SRC_ZP!$D$927</definedName>
    <definedName function="false" hidden="false" name="SRC_ZP_924" vbProcedure="false">SRC_ZP!$D$928</definedName>
    <definedName function="false" hidden="false" name="SRC_ZP_925" vbProcedure="false">SRC_ZP!$D$929</definedName>
    <definedName function="false" hidden="false" name="SRC_ZP_926" vbProcedure="false">SRC_ZP!$D$930</definedName>
    <definedName function="false" hidden="false" name="SRC_ZP_927" vbProcedure="false">SRC_ZP!$D$931</definedName>
    <definedName function="false" hidden="false" name="SRC_ZP_928" vbProcedure="false">SRC_ZP!$D$932</definedName>
    <definedName function="false" hidden="false" name="SRC_ZP_929" vbProcedure="false">SRC_ZP!$D$933</definedName>
    <definedName function="false" hidden="false" name="SRC_ZP_930" vbProcedure="false">SRC_ZP!$D$934</definedName>
    <definedName function="false" hidden="false" name="SRC_ZP_931" vbProcedure="false">SRC_ZP!$D$935</definedName>
    <definedName function="false" hidden="false" name="SRC_ZP_932" vbProcedure="false">SRC_ZP!$D$936</definedName>
    <definedName function="false" hidden="false" name="SRC_ZP_933" vbProcedure="false">SRC_ZP!$D$937</definedName>
    <definedName function="false" hidden="false" name="SRC_ZP_934" vbProcedure="false">SRC_ZP!$D$938</definedName>
    <definedName function="false" hidden="false" name="SRC_ZP_935" vbProcedure="false">SRC_ZP!$D$939</definedName>
    <definedName function="false" hidden="false" name="SRC_ZP_936" vbProcedure="false">SRC_ZP!$D$940</definedName>
    <definedName function="false" hidden="false" name="SRC_ZP_937" vbProcedure="false">SRC_ZP!$D$941</definedName>
    <definedName function="false" hidden="false" name="SRC_ZP_938" vbProcedure="false">SRC_ZP!$D$942</definedName>
    <definedName function="false" hidden="false" name="SRC_ZP_939" vbProcedure="false">SRC_ZP!$D$943</definedName>
    <definedName function="false" hidden="false" name="SRC_ZP_940" vbProcedure="false">SRC_ZP!$D$944</definedName>
    <definedName function="false" hidden="false" name="SRC_ZP_941" vbProcedure="false">SRC_ZP!$D$945</definedName>
    <definedName function="false" hidden="false" name="SRC_ZP_942" vbProcedure="false">SRC_ZP!$D$946</definedName>
    <definedName function="false" hidden="false" name="SRC_ZP_943" vbProcedure="false">SRC_ZP!$D$947</definedName>
    <definedName function="false" hidden="false" name="SRC_ZP_944" vbProcedure="false">SRC_ZP!$D$948</definedName>
    <definedName function="false" hidden="false" name="SRC_ZP_945" vbProcedure="false">SRC_ZP!$D$949</definedName>
    <definedName function="false" hidden="false" name="SRC_ZP_946" vbProcedure="false">SRC_ZP!$D$950</definedName>
    <definedName function="false" hidden="false" name="SRC_ZP_947" vbProcedure="false">SRC_ZP!$D$951</definedName>
    <definedName function="false" hidden="false" name="SRC_ZP_948" vbProcedure="false">SRC_ZP!$D$952</definedName>
    <definedName function="false" hidden="false" name="SRC_ZP_949" vbProcedure="false">SRC_ZP!$D$953</definedName>
    <definedName function="false" hidden="false" name="SRC_ZP_950" vbProcedure="false">SRC_ZP!$D$954</definedName>
    <definedName function="false" hidden="false" name="SRC_ZP_951" vbProcedure="false">SRC_ZP!$D$955</definedName>
    <definedName function="false" hidden="false" name="SRC_ZP_952" vbProcedure="false">SRC_ZP!$D$956</definedName>
    <definedName function="false" hidden="false" name="SRC_ZP_953" vbProcedure="false">SRC_ZP!$D$957</definedName>
    <definedName function="false" hidden="false" name="SRC_ZP_954" vbProcedure="false">SRC_ZP!$D$958</definedName>
    <definedName function="false" hidden="false" name="SRC_ZP_955" vbProcedure="false">SRC_ZP!$D$959</definedName>
    <definedName function="false" hidden="false" name="SRC_ZP_956" vbProcedure="false">SRC_ZP!$D$960</definedName>
    <definedName function="false" hidden="false" name="SRC_ZP_957" vbProcedure="false">SRC_ZP!$D$961</definedName>
    <definedName function="false" hidden="false" name="SRC_ZP_958" vbProcedure="false">SRC_ZP!$D$962</definedName>
    <definedName function="false" hidden="false" name="SRC_ZP_959" vbProcedure="false">SRC_ZP!$D$963</definedName>
    <definedName function="false" hidden="false" name="SRC_ZP_960" vbProcedure="false">SRC_ZP!$D$964</definedName>
    <definedName function="false" hidden="false" name="SRC_ZP_961" vbProcedure="false">SRC_ZP!$D$965</definedName>
    <definedName function="false" hidden="false" name="SRC_ZP_962" vbProcedure="false">SRC_ZP!$D$966</definedName>
    <definedName function="false" hidden="false" name="SRC_ZP_963" vbProcedure="false">SRC_ZP!$D$967</definedName>
    <definedName function="false" hidden="false" name="SRC_ZP_964" vbProcedure="false">SRC_ZP!$D$968</definedName>
    <definedName function="false" hidden="false" name="SRC_ZP_965" vbProcedure="false">SRC_ZP!$D$969</definedName>
    <definedName function="false" hidden="false" name="SRC_ZP_966" vbProcedure="false">SRC_ZP!$D$970</definedName>
    <definedName function="false" hidden="false" name="SRC_ZP_967" vbProcedure="false">SRC_ZP!$D$971</definedName>
    <definedName function="false" hidden="false" name="SRC_ZP_968" vbProcedure="false">SRC_ZP!$D$972</definedName>
    <definedName function="false" hidden="false" name="SRC_ZP_969" vbProcedure="false">SRC_ZP!$D$973</definedName>
    <definedName function="false" hidden="false" name="SRC_ZP_970" vbProcedure="false">SRC_ZP!$D$974</definedName>
    <definedName function="false" hidden="false" name="SRC_ZP_971" vbProcedure="false">SRC_ZP!$D$975</definedName>
    <definedName function="false" hidden="false" name="SRC_ZP_972" vbProcedure="false">SRC_ZP!$D$976</definedName>
    <definedName function="false" hidden="false" name="SRC_ZP_973" vbProcedure="false">SRC_ZP!$D$977</definedName>
    <definedName function="false" hidden="false" name="SRC_ZP_974" vbProcedure="false">SRC_ZP!$D$978</definedName>
    <definedName function="false" hidden="false" name="SRC_ZP_975" vbProcedure="false">SRC_ZP!$D$979</definedName>
    <definedName function="false" hidden="false" name="SRC_ZP_976" vbProcedure="false">SRC_ZP!$D$980</definedName>
    <definedName function="false" hidden="false" name="SRC_ZP_977" vbProcedure="false">SRC_ZP!$D$981</definedName>
    <definedName function="false" hidden="false" name="SRC_ZP_978" vbProcedure="false">SRC_ZP!$D$982</definedName>
    <definedName function="false" hidden="false" name="SRC_ZP_979" vbProcedure="false">SRC_ZP!$D$983</definedName>
    <definedName function="false" hidden="false" name="SRC_ZP_980" vbProcedure="false">SRC_ZP!$D$984</definedName>
    <definedName function="false" hidden="false" name="SRC_ZP_981" vbProcedure="false">SRC_ZP!$D$985</definedName>
    <definedName function="false" hidden="false" name="SRC_ZP_982" vbProcedure="false">SRC_ZP!$D$986</definedName>
    <definedName function="false" hidden="false" name="SRC_ZP_983" vbProcedure="false">SRC_ZP!$D$987</definedName>
    <definedName function="false" hidden="false" name="SRC_ZP_984_Hi" vbProcedure="false">SRC_ZP!$F$988</definedName>
    <definedName function="false" hidden="false" name="SRC_ZP_984_Lo" vbProcedure="false">SRC_ZP!$E$988</definedName>
    <definedName function="false" hidden="false" name="SRC_ZP_985" vbProcedure="false">SRC_ZP!$D$989</definedName>
    <definedName function="false" hidden="false" name="SRC_ZP_986" vbProcedure="false">SRC_ZP!$D$990</definedName>
    <definedName function="false" hidden="false" name="SRC_ZP_987" vbProcedure="false">SRC_ZP!$D$991</definedName>
    <definedName function="false" hidden="false" name="SRC_ZP_988" vbProcedure="false">SRC_ZP!$D$992</definedName>
    <definedName function="false" hidden="false" name="SRC_ZP_989" vbProcedure="false">SRC_ZP!$D$993</definedName>
    <definedName function="false" hidden="false" name="SRC_ZP_990" vbProcedure="false">SRC_ZP!$D$994</definedName>
    <definedName function="false" hidden="false" name="SRC_ZP_991" vbProcedure="false">SRC_ZP!$D$995</definedName>
    <definedName function="false" hidden="false" name="SRC_ZP_992" vbProcedure="false">SRC_ZP!$D$996</definedName>
    <definedName function="false" hidden="false" name="SRC_ZP_993" vbProcedure="false">SRC_ZP!$D$997</definedName>
    <definedName function="false" hidden="false" name="SRC_ZP_994" vbProcedure="false">SRC_ZP!$D$998</definedName>
    <definedName function="false" hidden="false" name="SRC_ZP_995" vbProcedure="false">SRC_ZP!$D$999</definedName>
    <definedName function="false" hidden="false" name="SRC_ZP_996" vbProcedure="false">SRC_ZP!$D$1000</definedName>
    <definedName function="false" hidden="false" name="SRC_ZP_997" vbProcedure="false">SRC_ZP!$D$1001</definedName>
    <definedName function="false" hidden="false" name="SRC_ZP_998" vbProcedure="false">SRC_ZP!$D$1002</definedName>
    <definedName function="false" hidden="false" name="SRC_ZP_999" vbProcedure="false">SRC_ZP!$D$1003</definedName>
    <definedName function="false" hidden="false" name="TK_Commit" vbProcedure="false">TK_Link!$B$5</definedName>
    <definedName function="false" hidden="false" name="TK_File" vbProcedure="false">TK_Link!$B$3</definedName>
    <definedName function="false" hidden="false" name="TK_HdrCost" vbProcedure="false">TK_Link!$J$8:$X$8</definedName>
    <definedName function="false" hidden="false" name="TK_HdrGen" vbProcedure="false">TK_Link!$J$7:$X$7</definedName>
    <definedName function="false" hidden="false" name="TK_IF_AllocDemand" vbProcedure="false">TK_Link!$J$58</definedName>
    <definedName function="false" hidden="false" name="TK_IF_AllocImpliedNk" vbProcedure="false">TK_Link!$J$59</definedName>
    <definedName function="false" hidden="false" name="TK_IF_AllocQ1" vbProcedure="false">TK_Link!$J$53</definedName>
    <definedName function="false" hidden="false" name="TK_IF_AllocQ1_R2" vbProcedure="false">TK_Link!$J$54</definedName>
    <definedName function="false" hidden="false" name="TK_IF_AllocQ2" vbProcedure="false">TK_Link!$J$55</definedName>
    <definedName function="false" hidden="false" name="TK_IF_AllocRDGW" vbProcedure="false">TK_Link!$J$57</definedName>
    <definedName function="false" hidden="false" name="TK_IF_AllocServeGW" vbProcedure="false">TK_Link!$J$56</definedName>
    <definedName function="false" hidden="false" name="TK_IF_CapexTotal" vbProcedure="false">TK_Link!$J$72:$X$72</definedName>
    <definedName function="false" hidden="false" name="TK_IF_CostCache_Astra" vbProcedure="false">TK_Link!$J$73:$X$73</definedName>
    <definedName function="false" hidden="false" name="TK_IF_CostCache_Luna" vbProcedure="false">TK_Link!$J$74:$X$74</definedName>
    <definedName function="false" hidden="false" name="TK_IF_CostCache_Sol" vbProcedure="false">TK_Link!$J$75:$X$75</definedName>
    <definedName function="false" hidden="false" name="TK_IF_CostDec_Astra" vbProcedure="false">TK_Link!$J$76:$X$76</definedName>
    <definedName function="false" hidden="false" name="TK_IF_CostDec_Luna" vbProcedure="false">TK_Link!$J$77:$X$77</definedName>
    <definedName function="false" hidden="false" name="TK_IF_CostDec_Sol" vbProcedure="false">TK_Link!$J$78:$X$78</definedName>
    <definedName function="false" hidden="false" name="TK_IF_CostPre_Astra" vbProcedure="false">TK_Link!$J$79:$X$79</definedName>
    <definedName function="false" hidden="false" name="TK_IF_CostPre_Luna" vbProcedure="false">TK_Link!$J$80:$X$80</definedName>
    <definedName function="false" hidden="false" name="TK_IF_CostPre_Sol" vbProcedure="false">TK_Link!$J$81:$X$81</definedName>
    <definedName function="false" hidden="false" name="TK_IF_DeprLifeIT" vbProcedure="false">TK_Link!$J$83:$X$83</definedName>
    <definedName function="false" hidden="false" name="TK_IF_FrontRef_Astra" vbProcedure="false">TK_Link!$J$33</definedName>
    <definedName function="false" hidden="false" name="TK_IF_FrontRef_Luna" vbProcedure="false">TK_Link!$J$34</definedName>
    <definedName function="false" hidden="false" name="TK_IF_FrontRef_Sol" vbProcedure="false">TK_Link!$J$35</definedName>
    <definedName function="false" hidden="false" name="TK_IF_FullCostDefault_Astra" vbProcedure="false">TK_Link!$J$66:$X$66</definedName>
    <definedName function="false" hidden="false" name="TK_IF_FullCostDefault_Luna" vbProcedure="false">TK_Link!$J$67:$X$67</definedName>
    <definedName function="false" hidden="false" name="TK_IF_FullCostDefault_Sol" vbProcedure="false">TK_Link!$J$68:$X$68</definedName>
    <definedName function="false" hidden="false" name="TK_IF_FullCost_Astra" vbProcedure="false">TK_Link!$J$15:$X$15</definedName>
    <definedName function="false" hidden="false" name="TK_IF_FullCost_Luna" vbProcedure="false">TK_Link!$J$16:$X$16</definedName>
    <definedName function="false" hidden="false" name="TK_IF_FullCost_Sol" vbProcedure="false">TK_Link!$J$17:$X$17</definedName>
    <definedName function="false" hidden="false" name="TK_IF_HoldEcon" vbProcedure="false">TK_Link!$J$14:$X$14</definedName>
    <definedName function="false" hidden="false" name="TK_IF_OpexGW" vbProcedure="false">TK_Link!$J$82:$X$82</definedName>
    <definedName function="false" hidden="false" name="TK_IF_PriceCached_Astra" vbProcedure="false">TK_Link!$J$18</definedName>
    <definedName function="false" hidden="false" name="TK_IF_PriceCached_Luna" vbProcedure="false">TK_Link!$J$19</definedName>
    <definedName function="false" hidden="false" name="TK_IF_PriceCached_Sol" vbProcedure="false">TK_Link!$J$20</definedName>
    <definedName function="false" hidden="false" name="TK_IF_PriceFresh_Astra" vbProcedure="false">TK_Link!$J$21</definedName>
    <definedName function="false" hidden="false" name="TK_IF_PriceFresh_Luna" vbProcedure="false">TK_Link!$J$22</definedName>
    <definedName function="false" hidden="false" name="TK_IF_PriceFresh_Sol" vbProcedure="false">TK_Link!$J$23</definedName>
    <definedName function="false" hidden="false" name="TK_IF_PriceOut_Astra" vbProcedure="false">TK_Link!$J$24</definedName>
    <definedName function="false" hidden="false" name="TK_IF_PriceOut_Luna" vbProcedure="false">TK_Link!$J$25</definedName>
    <definedName function="false" hidden="false" name="TK_IF_PriceOut_Sol" vbProcedure="false">TK_Link!$J$26</definedName>
    <definedName function="false" hidden="false" name="TK_IF_PriceRef_Astra" vbProcedure="false">TK_Link!$J$27</definedName>
    <definedName function="false" hidden="false" name="TK_IF_PriceRef_Luna" vbProcedure="false">TK_Link!$J$28</definedName>
    <definedName function="false" hidden="false" name="TK_IF_PriceRef_Sol" vbProcedure="false">TK_Link!$J$29</definedName>
    <definedName function="false" hidden="false" name="TK_IF_PriceThink_Astra" vbProcedure="false">TK_Link!$J$30</definedName>
    <definedName function="false" hidden="false" name="TK_IF_PriceThink_Luna" vbProcedure="false">TK_Link!$J$31</definedName>
    <definedName function="false" hidden="false" name="TK_IF_PriceThink_Sol" vbProcedure="false">TK_Link!$J$32</definedName>
    <definedName function="false" hidden="false" name="TK_IF_ProgGWyr_Astra" vbProcedure="false">TK_Link!$J$36:$X$36</definedName>
    <definedName function="false" hidden="false" name="TK_IF_ProgGWyr_Luna" vbProcedure="false">TK_Link!$J$37:$X$37</definedName>
    <definedName function="false" hidden="false" name="TK_IF_ProgGWyr_Sol" vbProcedure="false">TK_Link!$J$38:$X$38</definedName>
    <definedName function="false" hidden="false" name="TK_IF_RDMult" vbProcedure="false">TK_Link!$J$39</definedName>
    <definedName function="false" hidden="false" name="TK_IF_RevGW_Astra" vbProcedure="false">TK_Link!$J$63:$X$63</definedName>
    <definedName function="false" hidden="false" name="TK_IF_RevGW_Luna" vbProcedure="false">TK_Link!$J$64:$X$64</definedName>
    <definedName function="false" hidden="false" name="TK_IF_RevGW_Sol" vbProcedure="false">TK_Link!$J$65:$X$65</definedName>
    <definedName function="false" hidden="false" name="TK_IF_TokGW_Astra" vbProcedure="false">TK_Link!$J$10:$X$10</definedName>
    <definedName function="false" hidden="false" name="TK_IF_TokGW_Luna" vbProcedure="false">TK_Link!$J$11:$X$11</definedName>
    <definedName function="false" hidden="false" name="TK_IF_TokGW_Sol" vbProcedure="false">TK_Link!$J$12:$X$12</definedName>
    <definedName function="false" hidden="false" name="TK_IF_TrainCost_Astra" vbProcedure="false">TK_Link!$J$60:$X$60</definedName>
    <definedName function="false" hidden="false" name="TK_IF_TrainCost_Luna" vbProcedure="false">TK_Link!$J$61:$X$61</definedName>
    <definedName function="false" hidden="false" name="TK_IF_TrainCost_Sol" vbProcedure="false">TK_Link!$J$62:$X$62</definedName>
    <definedName function="false" hidden="false" name="TK_IF_TrainGenDefault" vbProcedure="false">TK_Link!$J$40</definedName>
    <definedName function="false" hidden="false" name="TK_IF_Util" vbProcedure="false">TK_Link!$J$13</definedName>
    <definedName function="false" hidden="false" name="TK_L1_Ans3" vbProcedure="false">TK_Link!$J$69</definedName>
    <definedName function="false" hidden="false" name="TK_L1_Ans3_Hi" vbProcedure="false">TK_Link!$J$71</definedName>
    <definedName function="false" hidden="false" name="TK_L1_Ans3_Lo" vbProcedure="false">TK_Link!$J$70</definedName>
    <definedName function="false" hidden="false" name="TK_RD_CapIn_GLM53" vbProcedure="false">TK_Link!$J$87:$N$87</definedName>
    <definedName function="false" hidden="false" name="TK_RD_CapIn_GLM53Flash" vbProcedure="false">TK_Link!$J$88:$N$88</definedName>
    <definedName function="false" hidden="false" name="TK_RD_PF_ChinaFront" vbProcedure="false">TK_Link!$J$91:$L$91</definedName>
    <definedName function="false" hidden="false" name="TK_RD_PF_ChinaFrontModel" vbProcedure="false">TK_Link!$J$92:$L$92</definedName>
    <definedName function="false" hidden="false" name="TK_RD_PF_ChinaVsOAI" vbProcedure="false">TK_Link!$J$93:$L$93</definedName>
    <definedName function="false" hidden="false" name="TK_RD_PF_GLM53Flash_Mix" vbProcedure="false">TK_Link!$J$90:$L$90</definedName>
    <definedName function="false" hidden="false" name="TK_RD_PF_GLM53_Mix" vbProcedure="false">TK_Link!$J$89:$L$89</definedName>
    <definedName function="false" hidden="false" name="TK_ReadDate" vbProcedure="false">TK_Link!$B$6</definedName>
    <definedName function="false" hidden="false" name="TK_RNG_IF_AllocRDGW_Hi" vbProcedure="false">TK_Link!$J$85</definedName>
    <definedName function="false" hidden="false" name="TK_RNG_IF_AllocRDGW_Lo" vbProcedure="false">TK_Link!$J$84</definedName>
    <definedName function="false" hidden="false" name="TK_RNG_StaleFlag" vbProcedure="false">TK_Link!$J$86</definedName>
    <definedName function="false" hidden="false" name="TK_SRC_DEM_004" vbProcedure="false">TK_Link!$J$41</definedName>
    <definedName function="false" hidden="false" name="TK_SRC_DEM_005" vbProcedure="false">TK_Link!$J$42</definedName>
    <definedName function="false" hidden="false" name="TK_SRC_DEM_006" vbProcedure="false">TK_Link!$J$43</definedName>
    <definedName function="false" hidden="false" name="TK_SRC_DEM_007" vbProcedure="false">TK_Link!$J$44</definedName>
    <definedName function="false" hidden="false" name="TK_SRC_DEM_008" vbProcedure="false">TK_Link!$J$45</definedName>
    <definedName function="false" hidden="false" name="TK_SRC_DEM_009" vbProcedure="false">TK_Link!$J$46</definedName>
    <definedName function="false" hidden="false" name="TK_SRC_DEM_010" vbProcedure="false">TK_Link!$J$47</definedName>
    <definedName function="false" hidden="false" name="TK_SRC_DEM_011" vbProcedure="false">TK_Link!$J$48</definedName>
    <definedName function="false" hidden="false" name="TK_SRC_DEM_012" vbProcedure="false">TK_Link!$J$49</definedName>
    <definedName function="false" hidden="false" name="TK_SRC_DEM_013" vbProcedure="false">TK_Link!$J$50</definedName>
    <definedName function="false" hidden="false" name="TK_SRC_DEM_013_Hi" vbProcedure="false">TK_Link!$J$52</definedName>
    <definedName function="false" hidden="false" name="TK_SRC_DEM_013_Lo" vbProcedure="false">TK_Link!$J$51</definedName>
    <definedName function="false" hidden="false" name="TK_Version" vbProcedure="false">TK_Link!$B$4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<sst xmlns="http://schemas.openxmlformats.org/spreadsheetml/2006/main" count="33260" uniqueCount="7195">
  <si>
    <r>
      <rPr>
        <b val="true"/>
        <sz val="13"/>
        <rFont val="Noto Sans CJK SC"/>
        <family val="2"/>
      </rPr>
      <t xml:space="preserve">智譜（智譜華章，</t>
    </r>
    <r>
      <rPr>
        <b val="true"/>
        <sz val="13"/>
        <rFont val="Arial"/>
        <family val="0"/>
        <charset val="1"/>
      </rPr>
      <t xml:space="preserve">02513.HK</t>
    </r>
    <r>
      <rPr>
        <b val="true"/>
        <sz val="13"/>
        <rFont val="Noto Sans CJK SC"/>
        <family val="2"/>
      </rPr>
      <t xml:space="preserve">）收支模型 </t>
    </r>
    <r>
      <rPr>
        <b val="true"/>
        <sz val="13"/>
        <rFont val="Arial"/>
        <family val="0"/>
        <charset val="1"/>
      </rPr>
      <t xml:space="preserve">v0.1.2</t>
    </r>
    <r>
      <rPr>
        <b val="true"/>
        <sz val="13"/>
        <rFont val="Noto Sans CJK SC"/>
        <family val="2"/>
      </rPr>
      <t xml:space="preserve">（</t>
    </r>
    <r>
      <rPr>
        <b val="true"/>
        <sz val="13"/>
        <rFont val="Arial"/>
        <family val="0"/>
        <charset val="1"/>
      </rPr>
      <t xml:space="preserve">2026-10-22</t>
    </r>
    <r>
      <rPr>
        <b val="true"/>
        <sz val="13"/>
        <rFont val="Noto Sans CJK SC"/>
        <family val="2"/>
      </rPr>
      <t xml:space="preserve">）</t>
    </r>
  </si>
  <si>
    <r>
      <rPr>
        <sz val="9"/>
        <color rgb="FF595959"/>
        <rFont val="Noto Sans CJK SC"/>
        <family val="2"/>
      </rPr>
      <t xml:space="preserve">命題（規格 </t>
    </r>
    <r>
      <rPr>
        <sz val="9"/>
        <color rgb="FF595959"/>
        <rFont val="Arial"/>
        <family val="0"/>
        <charset val="1"/>
      </rPr>
      <t xml:space="preserve">D1</t>
    </r>
    <r>
      <rPr>
        <sz val="9"/>
        <color rgb="FF595959"/>
        <rFont val="Noto Sans CJK SC"/>
        <family val="2"/>
      </rPr>
      <t xml:space="preserve">，與 </t>
    </r>
    <r>
      <rPr>
        <sz val="9"/>
        <color rgb="FF595959"/>
        <rFont val="Arial"/>
        <family val="0"/>
        <charset val="1"/>
      </rPr>
      <t xml:space="preserve">OpenAI v0.6 </t>
    </r>
    <r>
      <rPr>
        <sz val="9"/>
        <color rgb="FF595959"/>
        <rFont val="Noto Sans CJK SC"/>
        <family val="2"/>
      </rPr>
      <t xml:space="preserve">同一句）：智譜每 </t>
    </r>
    <r>
      <rPr>
        <sz val="9"/>
        <color rgb="FF595959"/>
        <rFont val="Arial"/>
        <family val="0"/>
        <charset val="1"/>
      </rPr>
      <t xml:space="preserve">VR </t>
    </r>
    <r>
      <rPr>
        <sz val="9"/>
        <color rgb="FF595959"/>
        <rFont val="Noto Sans CJK SC"/>
        <family val="2"/>
      </rPr>
      <t xml:space="preserve">等值 </t>
    </r>
    <r>
      <rPr>
        <sz val="9"/>
        <color rgb="FF595959"/>
        <rFont val="Arial"/>
        <family val="0"/>
        <charset val="1"/>
      </rPr>
      <t xml:space="preserve">GW </t>
    </r>
    <r>
      <rPr>
        <sz val="9"/>
        <color rgb="FF595959"/>
        <rFont val="Noto Sans CJK SC"/>
        <family val="2"/>
      </rPr>
      <t xml:space="preserve">的年營收能否覆蓋每 </t>
    </r>
    <r>
      <rPr>
        <sz val="9"/>
        <color rgb="FF595959"/>
        <rFont val="Arial"/>
        <family val="0"/>
        <charset val="1"/>
      </rPr>
      <t xml:space="preserve">GW </t>
    </r>
    <r>
      <rPr>
        <sz val="9"/>
        <color rgb="FF595959"/>
        <rFont val="Noto Sans CJK SC"/>
        <family val="2"/>
      </rPr>
      <t xml:space="preserve">年全成本；若不能，缺口要多少外部資金、由誰以什麼條件提供。</t>
    </r>
    <r>
      <rPr>
        <sz val="9"/>
        <color rgb="FF595959"/>
        <rFont val="Arial"/>
        <family val="0"/>
        <charset val="1"/>
      </rPr>
      <t xml:space="preserve">FY2025–FY2030</t>
    </r>
    <r>
      <rPr>
        <sz val="9"/>
        <color rgb="FF595959"/>
        <rFont val="Noto Sans CJK SC"/>
        <family val="2"/>
      </rPr>
      <t xml:space="preserve">，曆年制。</t>
    </r>
  </si>
  <si>
    <t xml:space="preserve">本版範圍</t>
  </si>
  <si>
    <r>
      <rPr>
        <sz val="10"/>
        <color rgb="FF000000"/>
        <rFont val="Arial"/>
        <family val="0"/>
        <charset val="1"/>
      </rPr>
      <t xml:space="preserve">v0.1</t>
    </r>
    <r>
      <rPr>
        <sz val="10"/>
        <color rgb="FF000000"/>
        <rFont val="Noto Sans CJK SC"/>
        <family val="2"/>
      </rPr>
      <t xml:space="preserve">（</t>
    </r>
    <r>
      <rPr>
        <sz val="10"/>
        <color rgb="FF000000"/>
        <rFont val="Arial"/>
        <family val="0"/>
        <charset val="1"/>
      </rPr>
      <t xml:space="preserve">Z2–Z4</t>
    </r>
    <r>
      <rPr>
        <sz val="10"/>
        <color rgb="FF000000"/>
        <rFont val="Noto Sans CJK SC"/>
        <family val="2"/>
      </rPr>
      <t xml:space="preserve">）：</t>
    </r>
    <r>
      <rPr>
        <sz val="10"/>
        <color rgb="FF000000"/>
        <rFont val="Arial"/>
        <family val="0"/>
        <charset val="1"/>
      </rPr>
      <t xml:space="preserve">SRC_ZP</t>
    </r>
    <r>
      <rPr>
        <sz val="10"/>
        <color rgb="FF000000"/>
        <rFont val="Noto Sans CJK SC"/>
        <family val="2"/>
      </rPr>
      <t xml:space="preserve">（公司財務原始數據）、</t>
    </r>
    <r>
      <rPr>
        <sz val="10"/>
        <color rgb="FF000000"/>
        <rFont val="Arial"/>
        <family val="0"/>
        <charset val="1"/>
      </rPr>
      <t xml:space="preserve">TK_Link</t>
    </r>
    <r>
      <rPr>
        <sz val="10"/>
        <color rgb="FF000000"/>
        <rFont val="Noto Sans CJK SC"/>
        <family val="2"/>
      </rPr>
      <t xml:space="preserve">（</t>
    </r>
    <r>
      <rPr>
        <sz val="10"/>
        <color rgb="FF000000"/>
        <rFont val="Arial"/>
        <family val="0"/>
        <charset val="1"/>
      </rPr>
      <t xml:space="preserve">Tokenomics </t>
    </r>
    <r>
      <rPr>
        <sz val="10"/>
        <color rgb="FF000000"/>
        <rFont val="Noto Sans CJK SC"/>
        <family val="2"/>
      </rPr>
      <t xml:space="preserve">快照）、</t>
    </r>
    <r>
      <rPr>
        <sz val="10"/>
        <color rgb="FF000000"/>
        <rFont val="Arial"/>
        <family val="0"/>
        <charset val="1"/>
      </rPr>
      <t xml:space="preserve">OAI_Link</t>
    </r>
    <r>
      <rPr>
        <sz val="10"/>
        <color rgb="FF000000"/>
        <rFont val="Noto Sans CJK SC"/>
        <family val="2"/>
      </rPr>
      <t xml:space="preserve">（</t>
    </r>
    <r>
      <rPr>
        <sz val="10"/>
        <color rgb="FF000000"/>
        <rFont val="Arial"/>
        <family val="0"/>
        <charset val="1"/>
      </rPr>
      <t xml:space="preserve">OpenAI v0.6 </t>
    </r>
    <r>
      <rPr>
        <sz val="10"/>
        <color rgb="FF000000"/>
        <rFont val="Noto Sans CJK SC"/>
        <family val="2"/>
      </rPr>
      <t xml:space="preserve">命題輸出快照）、</t>
    </r>
    <r>
      <rPr>
        <sz val="10"/>
        <color rgb="FF000000"/>
        <rFont val="Arial"/>
        <family val="0"/>
        <charset val="1"/>
      </rPr>
      <t xml:space="preserve">Inputs</t>
    </r>
    <r>
      <rPr>
        <sz val="10"/>
        <color rgb="FF000000"/>
        <rFont val="Noto Sans CJK SC"/>
        <family val="2"/>
      </rPr>
      <t xml:space="preserve">（假設）、</t>
    </r>
    <r>
      <rPr>
        <sz val="10"/>
        <color rgb="FF000000"/>
        <rFont val="Arial"/>
        <family val="0"/>
        <charset val="1"/>
      </rPr>
      <t xml:space="preserve">Demand</t>
    </r>
    <r>
      <rPr>
        <sz val="10"/>
        <color rgb="FF000000"/>
        <rFont val="Noto Sans CJK SC"/>
        <family val="2"/>
      </rPr>
      <t xml:space="preserve">（需求與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Revenue</t>
    </r>
    <r>
      <rPr>
        <sz val="10"/>
        <color rgb="FF000000"/>
        <rFont val="Noto Sans CJK SC"/>
        <family val="2"/>
      </rPr>
      <t xml:space="preserve">（營收）、</t>
    </r>
    <r>
      <rPr>
        <sz val="10"/>
        <color rgb="FF000000"/>
        <rFont val="Arial"/>
        <family val="0"/>
        <charset val="1"/>
      </rPr>
      <t xml:space="preserve">Compute</t>
    </r>
    <r>
      <rPr>
        <sz val="10"/>
        <color rgb="FF000000"/>
        <rFont val="Noto Sans CJK SC"/>
        <family val="2"/>
      </rPr>
      <t xml:space="preserve">（算力）、</t>
    </r>
    <r>
      <rPr>
        <sz val="10"/>
        <color rgb="FF000000"/>
        <rFont val="Arial"/>
        <family val="0"/>
        <charset val="1"/>
      </rPr>
      <t xml:space="preserve">Cost</t>
    </r>
    <r>
      <rPr>
        <sz val="10"/>
        <color rgb="FF000000"/>
        <rFont val="Noto Sans CJK SC"/>
        <family val="2"/>
      </rPr>
      <t xml:space="preserve">（成本與命題表）、</t>
    </r>
    <r>
      <rPr>
        <sz val="10"/>
        <color rgb="FF000000"/>
        <rFont val="Arial"/>
        <family val="0"/>
        <charset val="1"/>
      </rPr>
      <t xml:space="preserve">Funding</t>
    </r>
    <r>
      <rPr>
        <sz val="10"/>
        <color rgb="FF000000"/>
        <rFont val="Noto Sans CJK SC"/>
        <family val="2"/>
      </rPr>
      <t xml:space="preserve">（融資，命題 </t>
    </r>
    <r>
      <rPr>
        <sz val="10"/>
        <color rgb="FF000000"/>
        <rFont val="Arial"/>
        <family val="0"/>
        <charset val="1"/>
      </rPr>
      <t xml:space="preserve">2</t>
    </r>
    <r>
      <rPr>
        <sz val="10"/>
        <color rgb="FF000000"/>
        <rFont val="Noto Sans CJK SC"/>
        <family val="2"/>
      </rPr>
      <t xml:space="preserve">）、</t>
    </r>
    <r>
      <rPr>
        <sz val="10"/>
        <color rgb="FF000000"/>
        <rFont val="Arial"/>
        <family val="0"/>
        <charset val="1"/>
      </rPr>
      <t xml:space="preserve">Reverse</t>
    </r>
    <r>
      <rPr>
        <sz val="10"/>
        <color rgb="FF000000"/>
        <rFont val="Noto Sans CJK SC"/>
        <family val="2"/>
      </rPr>
      <t xml:space="preserve">（反向模式，只對照）、</t>
    </r>
    <r>
      <rPr>
        <sz val="10"/>
        <color rgb="FF000000"/>
        <rFont val="Arial"/>
        <family val="0"/>
        <charset val="1"/>
      </rPr>
      <t xml:space="preserve">Checks</t>
    </r>
    <r>
      <rPr>
        <sz val="10"/>
        <color rgb="FF000000"/>
        <rFont val="Noto Sans CJK SC"/>
        <family val="2"/>
      </rPr>
      <t xml:space="preserve">。</t>
    </r>
    <r>
      <rPr>
        <sz val="10"/>
        <color rgb="FF000000"/>
        <rFont val="Arial"/>
        <family val="0"/>
        <charset val="1"/>
      </rPr>
      <t xml:space="preserve">v0.1.2</t>
    </r>
    <r>
      <rPr>
        <sz val="10"/>
        <color rgb="FF000000"/>
        <rFont val="Noto Sans CJK SC"/>
        <family val="2"/>
      </rPr>
      <t xml:space="preserve">：</t>
    </r>
    <r>
      <rPr>
        <sz val="10"/>
        <color rgb="FF000000"/>
        <rFont val="Arial"/>
        <family val="0"/>
        <charset val="1"/>
      </rPr>
      <t xml:space="preserve">Revenue </t>
    </r>
    <r>
      <rPr>
        <sz val="10"/>
        <color rgb="FF000000"/>
        <rFont val="Noto Sans CJK SC"/>
        <family val="2"/>
      </rPr>
      <t xml:space="preserve">第七節官方分部（部署方式）對帳列＋</t>
    </r>
    <r>
      <rPr>
        <sz val="10"/>
        <color rgb="FF000000"/>
        <rFont val="Arial"/>
        <family val="0"/>
        <charset val="1"/>
      </rPr>
      <t xml:space="preserve">Checks C100–C103</t>
    </r>
    <r>
      <rPr>
        <sz val="10"/>
        <color rgb="FF000000"/>
        <rFont val="Noto Sans CJK SC"/>
        <family val="2"/>
      </rPr>
      <t xml:space="preserve">（既有數值不變）。</t>
    </r>
  </si>
  <si>
    <t xml:space="preserve">幣別與單位</t>
  </si>
  <si>
    <r>
      <rPr>
        <sz val="10"/>
        <color rgb="FF000000"/>
        <rFont val="Noto Sans CJK SC"/>
        <family val="2"/>
      </rPr>
      <t xml:space="preserve">公司金額一律人民幣億元（</t>
    </r>
    <r>
      <rPr>
        <sz val="10"/>
        <color rgb="FF000000"/>
        <rFont val="Arial"/>
        <family val="0"/>
        <charset val="1"/>
      </rPr>
      <t xml:space="preserve">RMB </t>
    </r>
    <r>
      <rPr>
        <sz val="10"/>
        <color rgb="FF000000"/>
        <rFont val="Noto Sans CJK SC"/>
        <family val="2"/>
      </rPr>
      <t xml:space="preserve">億），與財報一致。港幣、美元數據以 </t>
    </r>
    <r>
      <rPr>
        <sz val="10"/>
        <color rgb="FF000000"/>
        <rFont val="Arial"/>
        <family val="0"/>
        <charset val="1"/>
      </rPr>
      <t xml:space="preserve">Inputs </t>
    </r>
    <r>
      <rPr>
        <sz val="10"/>
        <color rgb="FF000000"/>
        <rFont val="Noto Sans CJK SC"/>
        <family val="2"/>
      </rPr>
      <t xml:space="preserve">匯率（</t>
    </r>
    <r>
      <rPr>
        <sz val="10"/>
        <color rgb="FF000000"/>
        <rFont val="Arial"/>
        <family val="0"/>
        <charset val="1"/>
      </rPr>
      <t xml:space="preserve">USD/CNY</t>
    </r>
    <r>
      <rPr>
        <sz val="10"/>
        <color rgb="FF000000"/>
        <rFont val="Noto Sans CJK SC"/>
        <family val="2"/>
      </rPr>
      <t xml:space="preserve">、</t>
    </r>
    <r>
      <rPr>
        <sz val="10"/>
        <color rgb="FF000000"/>
        <rFont val="Arial"/>
        <family val="0"/>
        <charset val="1"/>
      </rPr>
      <t xml:space="preserve">HKD/CNY</t>
    </r>
    <r>
      <rPr>
        <sz val="10"/>
        <color rgb="FF000000"/>
        <rFont val="Noto Sans CJK SC"/>
        <family val="2"/>
      </rPr>
      <t xml:space="preserve">，</t>
    </r>
    <r>
      <rPr>
        <sz val="10"/>
        <color rgb="FF000000"/>
        <rFont val="Arial"/>
        <family val="0"/>
        <charset val="1"/>
      </rPr>
      <t xml:space="preserve">2026-09-28 </t>
    </r>
    <r>
      <rPr>
        <sz val="10"/>
        <color rgb="FF000000"/>
        <rFont val="Noto Sans CJK SC"/>
        <family val="2"/>
      </rPr>
      <t xml:space="preserve">中間價；定義常數，區間 </t>
    </r>
    <r>
      <rPr>
        <sz val="10"/>
        <color rgb="FF000000"/>
        <rFont val="Arial"/>
        <family val="0"/>
        <charset val="1"/>
      </rPr>
      <t xml:space="preserve">±5%</t>
    </r>
    <r>
      <rPr>
        <sz val="10"/>
        <color rgb="FF000000"/>
        <rFont val="Noto Sans CJK SC"/>
        <family val="2"/>
      </rPr>
      <t xml:space="preserve">）換算後才進計算頁。</t>
    </r>
    <r>
      <rPr>
        <sz val="10"/>
        <color rgb="FF000000"/>
        <rFont val="Arial"/>
        <family val="0"/>
        <charset val="1"/>
      </rPr>
      <t xml:space="preserve">API </t>
    </r>
    <r>
      <rPr>
        <sz val="10"/>
        <color rgb="FF000000"/>
        <rFont val="Noto Sans CJK SC"/>
        <family val="2"/>
      </rPr>
      <t xml:space="preserve">牌價：人民幣元／百萬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token</t>
    </r>
    <r>
      <rPr>
        <sz val="10"/>
        <color rgb="FF000000"/>
        <rFont val="Noto Sans CJK SC"/>
        <family val="2"/>
      </rPr>
      <t xml:space="preserve">：兆（</t>
    </r>
    <r>
      <rPr>
        <sz val="10"/>
        <color rgb="FF000000"/>
        <rFont val="Arial"/>
        <family val="0"/>
        <charset val="1"/>
      </rPr>
      <t xml:space="preserve">T</t>
    </r>
    <r>
      <rPr>
        <sz val="10"/>
        <color rgb="FF000000"/>
        <rFont val="Noto Sans CJK SC"/>
        <family val="2"/>
      </rPr>
      <t xml:space="preserve">）；</t>
    </r>
    <r>
      <rPr>
        <sz val="10"/>
        <color rgb="FF000000"/>
        <rFont val="Arial"/>
        <family val="0"/>
        <charset val="1"/>
      </rPr>
      <t xml:space="preserve">Coding Plan </t>
    </r>
    <r>
      <rPr>
        <sz val="10"/>
        <color rgb="FF000000"/>
        <rFont val="Noto Sans CJK SC"/>
        <family val="2"/>
      </rPr>
      <t xml:space="preserve">訂閱者：萬人；智譜清言用戶：百萬人。</t>
    </r>
    <r>
      <rPr>
        <sz val="10"/>
        <color rgb="FF000000"/>
        <rFont val="Arial"/>
        <family val="0"/>
        <charset val="1"/>
      </rPr>
      <t xml:space="preserve">OAI_Link </t>
    </r>
    <r>
      <rPr>
        <sz val="10"/>
        <color rgb="FF000000"/>
        <rFont val="Noto Sans CJK SC"/>
        <family val="2"/>
      </rPr>
      <t xml:space="preserve">為美元（</t>
    </r>
    <r>
      <rPr>
        <sz val="10"/>
        <color rgb="FF000000"/>
        <rFont val="Arial"/>
        <family val="0"/>
        <charset val="1"/>
      </rPr>
      <t xml:space="preserve">$B</t>
    </r>
    <r>
      <rPr>
        <sz val="10"/>
        <color rgb="FF000000"/>
        <rFont val="Noto Sans CJK SC"/>
        <family val="2"/>
      </rPr>
      <t xml:space="preserve">），不換算、不參與計算。</t>
    </r>
  </si>
  <si>
    <r>
      <rPr>
        <b val="true"/>
        <sz val="10"/>
        <rFont val="Arial"/>
        <family val="0"/>
        <charset val="1"/>
      </rPr>
      <t xml:space="preserve">Excel </t>
    </r>
    <r>
      <rPr>
        <b val="true"/>
        <sz val="10"/>
        <rFont val="Noto Sans CJK SC"/>
        <family val="2"/>
      </rPr>
      <t xml:space="preserve">為唯一計算引擎</t>
    </r>
  </si>
  <si>
    <r>
      <rPr>
        <sz val="10"/>
        <color rgb="FF000000"/>
        <rFont val="Noto Sans CJK SC"/>
        <family val="2"/>
      </rPr>
      <t xml:space="preserve">藍字＝輸入（</t>
    </r>
    <r>
      <rPr>
        <sz val="10"/>
        <color rgb="FF000000"/>
        <rFont val="Arial"/>
        <family val="0"/>
        <charset val="1"/>
      </rPr>
      <t xml:space="preserve">Excel </t>
    </r>
    <r>
      <rPr>
        <sz val="10"/>
        <color rgb="FF000000"/>
        <rFont val="Noto Sans CJK SC"/>
        <family val="2"/>
      </rPr>
      <t xml:space="preserve">擁有）；黑字＝公式；綠字＝跨頁連結。</t>
    </r>
    <r>
      <rPr>
        <sz val="10"/>
        <color rgb="FF000000"/>
        <rFont val="Arial"/>
        <family val="0"/>
        <charset val="1"/>
      </rPr>
      <t xml:space="preserve">builder </t>
    </r>
    <r>
      <rPr>
        <sz val="10"/>
        <color rgb="FF000000"/>
        <rFont val="Noto Sans CJK SC"/>
        <family val="2"/>
      </rPr>
      <t xml:space="preserve">只產生結構，重建時保留 </t>
    </r>
    <r>
      <rPr>
        <sz val="10"/>
        <color rgb="FF000000"/>
        <rFont val="Arial"/>
        <family val="0"/>
        <charset val="1"/>
      </rPr>
      <t xml:space="preserve">Excel </t>
    </r>
    <r>
      <rPr>
        <sz val="10"/>
        <color rgb="FF000000"/>
        <rFont val="Noto Sans CJK SC"/>
        <family val="2"/>
      </rPr>
      <t xml:space="preserve">內已改過的藍字（隱藏頁 </t>
    </r>
    <r>
      <rPr>
        <sz val="10"/>
        <color rgb="FF000000"/>
        <rFont val="Arial"/>
        <family val="0"/>
        <charset val="1"/>
      </rPr>
      <t xml:space="preserve">_Defaults</t>
    </r>
    <r>
      <rPr>
        <sz val="10"/>
        <color rgb="FF000000"/>
        <rFont val="Noto Sans CJK SC"/>
        <family val="2"/>
      </rPr>
      <t xml:space="preserve">）。公式不含常數（</t>
    </r>
    <r>
      <rPr>
        <sz val="10"/>
        <color rgb="FF000000"/>
        <rFont val="Arial"/>
        <family val="0"/>
        <charset val="1"/>
      </rPr>
      <t xml:space="preserve">E6</t>
    </r>
    <r>
      <rPr>
        <sz val="10"/>
        <color rgb="FF000000"/>
        <rFont val="Noto Sans CJK SC"/>
        <family val="2"/>
      </rPr>
      <t xml:space="preserve">）：單位換算、天數、月數為 </t>
    </r>
    <r>
      <rPr>
        <sz val="10"/>
        <color rgb="FF000000"/>
        <rFont val="Arial"/>
        <family val="0"/>
        <charset val="1"/>
      </rPr>
      <t xml:space="preserve">Inputs </t>
    </r>
    <r>
      <rPr>
        <sz val="10"/>
        <color rgb="FF000000"/>
        <rFont val="Noto Sans CJK SC"/>
        <family val="2"/>
      </rPr>
      <t xml:space="preserve">的定義常數。</t>
    </r>
  </si>
  <si>
    <t xml:space="preserve">SRC_ZP</t>
  </si>
  <si>
    <r>
      <rPr>
        <sz val="10"/>
        <color rgb="FF000000"/>
        <rFont val="Arial"/>
        <family val="0"/>
        <charset val="1"/>
      </rPr>
      <t xml:space="preserve">1054 </t>
    </r>
    <r>
      <rPr>
        <sz val="10"/>
        <color rgb="FF000000"/>
        <rFont val="Noto Sans CJK SC"/>
        <family val="2"/>
      </rPr>
      <t xml:space="preserve">列（</t>
    </r>
    <r>
      <rPr>
        <sz val="10"/>
        <color rgb="FF000000"/>
        <rFont val="Arial"/>
        <family val="0"/>
        <charset val="1"/>
      </rPr>
      <t xml:space="preserve">SRC_ZP_001–1054</t>
    </r>
    <r>
      <rPr>
        <sz val="10"/>
        <color rgb="FF000000"/>
        <rFont val="Noto Sans CJK SC"/>
        <family val="2"/>
      </rPr>
      <t xml:space="preserve">，</t>
    </r>
    <r>
      <rPr>
        <sz val="10"/>
        <color rgb="FF000000"/>
        <rFont val="Arial"/>
        <family val="0"/>
        <charset val="1"/>
      </rPr>
      <t xml:space="preserve">Z1 </t>
    </r>
    <r>
      <rPr>
        <sz val="10"/>
        <color rgb="FF000000"/>
        <rFont val="Noto Sans CJK SC"/>
        <family val="2"/>
      </rPr>
      <t xml:space="preserve">發出、穩定不改號）；有數值者具名 </t>
    </r>
    <r>
      <rPr>
        <sz val="10"/>
        <color rgb="FF000000"/>
        <rFont val="Arial"/>
        <family val="0"/>
        <charset val="1"/>
      </rPr>
      <t xml:space="preserve">SRC_ZP_nnn</t>
    </r>
    <r>
      <rPr>
        <sz val="10"/>
        <color rgb="FF000000"/>
        <rFont val="Noto Sans CJK SC"/>
        <family val="2"/>
      </rPr>
      <t xml:space="preserve">，有低／高者另具名 </t>
    </r>
    <r>
      <rPr>
        <sz val="10"/>
        <color rgb="FF000000"/>
        <rFont val="Arial"/>
        <family val="0"/>
        <charset val="1"/>
      </rPr>
      <t xml:space="preserve">_Lo</t>
    </r>
    <r>
      <rPr>
        <sz val="10"/>
        <color rgb="FF000000"/>
        <rFont val="Noto Sans CJK SC"/>
        <family val="2"/>
      </rPr>
      <t xml:space="preserve">／</t>
    </r>
    <r>
      <rPr>
        <sz val="10"/>
        <color rgb="FF000000"/>
        <rFont val="Arial"/>
        <family val="0"/>
        <charset val="1"/>
      </rPr>
      <t xml:space="preserve">_Hi</t>
    </r>
    <r>
      <rPr>
        <sz val="10"/>
        <color rgb="FF000000"/>
        <rFont val="Noto Sans CJK SC"/>
        <family val="2"/>
      </rPr>
      <t xml:space="preserve">。來源四欄為 </t>
    </r>
    <r>
      <rPr>
        <sz val="10"/>
        <color rgb="FF000000"/>
        <rFont val="Arial"/>
        <family val="0"/>
        <charset val="1"/>
      </rPr>
      <t xml:space="preserve">CC </t>
    </r>
    <r>
      <rPr>
        <sz val="10"/>
        <color rgb="FF000000"/>
        <rFont val="Noto Sans CJK SC"/>
        <family val="2"/>
      </rPr>
      <t xml:space="preserve">初評（</t>
    </r>
    <r>
      <rPr>
        <sz val="10"/>
        <color rgb="FF000000"/>
        <rFont val="Arial"/>
        <family val="0"/>
        <charset val="1"/>
      </rPr>
      <t xml:space="preserve">builder/source_rules.py</t>
    </r>
    <r>
      <rPr>
        <sz val="10"/>
        <color rgb="FF000000"/>
        <rFont val="Noto Sans CJK SC"/>
        <family val="2"/>
      </rPr>
      <t xml:space="preserve">）。</t>
    </r>
  </si>
  <si>
    <t xml:space="preserve">TK_Link</t>
  </si>
  <si>
    <r>
      <rPr>
        <sz val="10"/>
        <color rgb="FF000000"/>
        <rFont val="Arial"/>
        <family val="0"/>
        <charset val="1"/>
      </rPr>
      <t xml:space="preserve">Tokenomics v19.0</t>
    </r>
    <r>
      <rPr>
        <sz val="10"/>
        <color rgb="FF000000"/>
        <rFont val="Noto Sans CJK SC"/>
        <family val="2"/>
      </rPr>
      <t xml:space="preserve">（</t>
    </r>
    <r>
      <rPr>
        <sz val="10"/>
        <color rgb="FF000000"/>
        <rFont val="Arial"/>
        <family val="0"/>
        <charset val="1"/>
      </rPr>
      <t xml:space="preserve">20261022_Tokenomics_v19.0.xlsx</t>
    </r>
    <r>
      <rPr>
        <sz val="10"/>
        <color rgb="FF000000"/>
        <rFont val="Noto Sans CJK SC"/>
        <family val="2"/>
      </rPr>
      <t xml:space="preserve">），</t>
    </r>
    <r>
      <rPr>
        <sz val="10"/>
        <color rgb="FF000000"/>
        <rFont val="Arial"/>
        <family val="0"/>
        <charset val="1"/>
      </rPr>
      <t xml:space="preserve">master </t>
    </r>
    <r>
      <rPr>
        <sz val="10"/>
        <color rgb="FF000000"/>
        <rFont val="Noto Sans CJK SC"/>
        <family val="2"/>
      </rPr>
      <t xml:space="preserve">提交 </t>
    </r>
    <r>
      <rPr>
        <sz val="10"/>
        <color rgb="FF000000"/>
        <rFont val="Arial"/>
        <family val="0"/>
        <charset val="1"/>
      </rPr>
      <t xml:space="preserve">1916a06</t>
    </r>
    <r>
      <rPr>
        <sz val="10"/>
        <color rgb="FF000000"/>
        <rFont val="Noto Sans CJK SC"/>
        <family val="2"/>
      </rPr>
      <t xml:space="preserve">，讀取日 </t>
    </r>
    <r>
      <rPr>
        <sz val="10"/>
        <color rgb="FF000000"/>
        <rFont val="Arial"/>
        <family val="0"/>
        <charset val="1"/>
      </rPr>
      <t xml:space="preserve">2026-10-22</t>
    </r>
    <r>
      <rPr>
        <sz val="10"/>
        <color rgb="FF000000"/>
        <rFont val="Noto Sans CJK SC"/>
        <family val="2"/>
      </rPr>
      <t xml:space="preserve">；</t>
    </r>
    <r>
      <rPr>
        <sz val="10"/>
        <color rgb="FF000000"/>
        <rFont val="Arial"/>
        <family val="0"/>
        <charset val="1"/>
      </rPr>
      <t xml:space="preserve">77 </t>
    </r>
    <r>
      <rPr>
        <sz val="10"/>
        <color rgb="FF000000"/>
        <rFont val="Noto Sans CJK SC"/>
        <family val="2"/>
      </rPr>
      <t xml:space="preserve">個具名範圍（</t>
    </r>
    <r>
      <rPr>
        <sz val="10"/>
        <color rgb="FF000000"/>
        <rFont val="Arial"/>
        <family val="0"/>
        <charset val="1"/>
      </rPr>
      <t xml:space="preserve">OpenAI v0.6 </t>
    </r>
    <r>
      <rPr>
        <sz val="10"/>
        <color rgb="FF000000"/>
        <rFont val="Noto Sans CJK SC"/>
        <family val="2"/>
      </rPr>
      <t xml:space="preserve">的 </t>
    </r>
    <r>
      <rPr>
        <sz val="10"/>
        <color rgb="FF000000"/>
        <rFont val="Arial"/>
        <family val="0"/>
        <charset val="1"/>
      </rPr>
      <t xml:space="preserve">63 </t>
    </r>
    <r>
      <rPr>
        <sz val="10"/>
        <color rgb="FF000000"/>
        <rFont val="Noto Sans CJK SC"/>
        <family val="2"/>
      </rPr>
      <t xml:space="preserve">名＋智譜 </t>
    </r>
    <r>
      <rPr>
        <sz val="10"/>
        <color rgb="FF000000"/>
        <rFont val="Arial"/>
        <family val="0"/>
        <charset val="1"/>
      </rPr>
      <t xml:space="preserve">Z3b </t>
    </r>
    <r>
      <rPr>
        <sz val="10"/>
        <color rgb="FF000000"/>
        <rFont val="Noto Sans CJK SC"/>
        <family val="2"/>
      </rPr>
      <t xml:space="preserve">的逐 </t>
    </r>
    <r>
      <rPr>
        <sz val="10"/>
        <color rgb="FF000000"/>
        <rFont val="Arial"/>
        <family val="0"/>
        <charset val="1"/>
      </rPr>
      <t xml:space="preserve">token </t>
    </r>
    <r>
      <rPr>
        <sz val="10"/>
        <color rgb="FF000000"/>
        <rFont val="Noto Sans CJK SC"/>
        <family val="2"/>
      </rPr>
      <t xml:space="preserve">類型單位成本 </t>
    </r>
    <r>
      <rPr>
        <sz val="10"/>
        <color rgb="FF000000"/>
        <rFont val="Arial"/>
        <family val="0"/>
        <charset val="1"/>
      </rPr>
      <t xml:space="preserve">9 </t>
    </r>
    <r>
      <rPr>
        <sz val="10"/>
        <color rgb="FF000000"/>
        <rFont val="Noto Sans CJK SC"/>
        <family val="2"/>
      </rPr>
      <t xml:space="preserve">名＋</t>
    </r>
    <r>
      <rPr>
        <sz val="10"/>
        <color rgb="FF000000"/>
        <rFont val="Arial"/>
        <family val="0"/>
        <charset val="1"/>
      </rPr>
      <t xml:space="preserve">Z5b </t>
    </r>
    <r>
      <rPr>
        <sz val="10"/>
        <color rgb="FF000000"/>
        <rFont val="Noto Sans CJK SC"/>
        <family val="2"/>
      </rPr>
      <t xml:space="preserve">的 </t>
    </r>
    <r>
      <rPr>
        <sz val="10"/>
        <color rgb="FF000000"/>
        <rFont val="Arial"/>
        <family val="0"/>
        <charset val="1"/>
      </rPr>
      <t xml:space="preserve">IF_OpexGW</t>
    </r>
    <r>
      <rPr>
        <sz val="10"/>
        <color rgb="FF000000"/>
        <rFont val="Noto Sans CJK SC"/>
        <family val="2"/>
      </rPr>
      <t xml:space="preserve">、</t>
    </r>
    <r>
      <rPr>
        <sz val="10"/>
        <color rgb="FF000000"/>
        <rFont val="Arial"/>
        <family val="0"/>
        <charset val="1"/>
      </rPr>
      <t xml:space="preserve">IF_DeprLifeIT</t>
    </r>
    <r>
      <rPr>
        <sz val="10"/>
        <color rgb="FF000000"/>
        <rFont val="Noto Sans CJK SC"/>
        <family val="2"/>
      </rPr>
      <t xml:space="preserve">＋</t>
    </r>
    <r>
      <rPr>
        <sz val="10"/>
        <color rgb="FF000000"/>
        <rFont val="Arial"/>
        <family val="0"/>
        <charset val="1"/>
      </rPr>
      <t xml:space="preserve">v0.1.1 </t>
    </r>
    <r>
      <rPr>
        <sz val="10"/>
        <color rgb="FF000000"/>
        <rFont val="Noto Sans CJK SC"/>
        <family val="2"/>
      </rPr>
      <t xml:space="preserve">的 </t>
    </r>
    <r>
      <rPr>
        <sz val="10"/>
        <color rgb="FF000000"/>
        <rFont val="Arial"/>
        <family val="0"/>
        <charset val="1"/>
      </rPr>
      <t xml:space="preserve">RNG_ </t>
    </r>
    <r>
      <rPr>
        <sz val="10"/>
        <color rgb="FF000000"/>
        <rFont val="Noto Sans CJK SC"/>
        <family val="2"/>
      </rPr>
      <t xml:space="preserve">區間與時效旗標 </t>
    </r>
    <r>
      <rPr>
        <sz val="10"/>
        <color rgb="FF000000"/>
        <rFont val="Arial"/>
        <family val="0"/>
        <charset val="1"/>
      </rPr>
      <t xml:space="preserve">3 </t>
    </r>
    <r>
      <rPr>
        <sz val="10"/>
        <color rgb="FF000000"/>
        <rFont val="Noto Sans CJK SC"/>
        <family val="2"/>
      </rPr>
      <t xml:space="preserve">名）＋</t>
    </r>
    <r>
      <rPr>
        <sz val="10"/>
        <color rgb="FF000000"/>
        <rFont val="Arial"/>
        <family val="0"/>
        <charset val="1"/>
      </rPr>
      <t xml:space="preserve">7 </t>
    </r>
    <r>
      <rPr>
        <sz val="10"/>
        <color rgb="FF000000"/>
        <rFont val="Noto Sans CJK SC"/>
        <family val="2"/>
      </rPr>
      <t xml:space="preserve">列以列標籤讀表（狀態『讀表（非具名）』，只供對照）。</t>
    </r>
  </si>
  <si>
    <t xml:space="preserve">OAI_Link</t>
  </si>
  <si>
    <r>
      <rPr>
        <sz val="10"/>
        <color rgb="FF000000"/>
        <rFont val="Arial"/>
        <family val="0"/>
        <charset val="1"/>
      </rPr>
      <t xml:space="preserve">OpenAI Excel</t>
    </r>
    <r>
      <rPr>
        <sz val="10"/>
        <color rgb="FF000000"/>
        <rFont val="Noto Sans CJK SC"/>
        <family val="2"/>
      </rPr>
      <t xml:space="preserve">（</t>
    </r>
    <r>
      <rPr>
        <sz val="10"/>
        <color rgb="FF000000"/>
        <rFont val="Arial"/>
        <family val="0"/>
        <charset val="1"/>
      </rPr>
      <t xml:space="preserve">20261022_OpenAI_v0.6.2.xlsx</t>
    </r>
    <r>
      <rPr>
        <sz val="10"/>
        <color rgb="FF000000"/>
        <rFont val="Noto Sans CJK SC"/>
        <family val="2"/>
      </rPr>
      <t xml:space="preserve">，</t>
    </r>
    <r>
      <rPr>
        <sz val="10"/>
        <color rgb="FF000000"/>
        <rFont val="Arial"/>
        <family val="0"/>
        <charset val="1"/>
      </rPr>
      <t xml:space="preserve">main@f645e19</t>
    </r>
    <r>
      <rPr>
        <sz val="10"/>
        <color rgb="FF000000"/>
        <rFont val="Noto Sans CJK SC"/>
        <family val="2"/>
      </rPr>
      <t xml:space="preserve">；</t>
    </r>
    <r>
      <rPr>
        <sz val="10"/>
        <color rgb="FF000000"/>
        <rFont val="Arial"/>
        <family val="0"/>
        <charset val="1"/>
      </rPr>
      <t xml:space="preserve">SHA-256 7f023c084f2f6f3f…</t>
    </r>
    <r>
      <rPr>
        <sz val="10"/>
        <color rgb="FF000000"/>
        <rFont val="Noto Sans CJK SC"/>
        <family val="2"/>
      </rPr>
      <t xml:space="preserve">）的命題輸出逐年值（美元）；只被 </t>
    </r>
    <r>
      <rPr>
        <sz val="10"/>
        <color rgb="FF000000"/>
        <rFont val="Arial"/>
        <family val="0"/>
        <charset val="1"/>
      </rPr>
      <t xml:space="preserve">Checks </t>
    </r>
    <r>
      <rPr>
        <sz val="10"/>
        <color rgb="FF000000"/>
        <rFont val="Noto Sans CJK SC"/>
        <family val="2"/>
      </rPr>
      <t xml:space="preserve">與 </t>
    </r>
    <r>
      <rPr>
        <sz val="10"/>
        <color rgb="FF000000"/>
        <rFont val="Arial"/>
        <family val="0"/>
        <charset val="1"/>
      </rPr>
      <t xml:space="preserve">HTML </t>
    </r>
    <r>
      <rPr>
        <sz val="10"/>
        <color rgb="FF000000"/>
        <rFont val="Noto Sans CJK SC"/>
        <family val="2"/>
      </rPr>
      <t xml:space="preserve">引用（規格 </t>
    </r>
    <r>
      <rPr>
        <sz val="10"/>
        <color rgb="FF000000"/>
        <rFont val="Arial"/>
        <family val="0"/>
        <charset val="1"/>
      </rPr>
      <t xml:space="preserve">D26</t>
    </r>
    <r>
      <rPr>
        <sz val="10"/>
        <color rgb="FF000000"/>
        <rFont val="Noto Sans CJK SC"/>
        <family val="2"/>
      </rPr>
      <t xml:space="preserve">）。</t>
    </r>
  </si>
  <si>
    <t xml:space="preserve">Inputs</t>
  </si>
  <si>
    <r>
      <rPr>
        <sz val="10"/>
        <color rgb="FF000000"/>
        <rFont val="Arial"/>
        <family val="0"/>
        <charset val="1"/>
      </rPr>
      <t xml:space="preserve">140 </t>
    </r>
    <r>
      <rPr>
        <sz val="10"/>
        <color rgb="FF000000"/>
        <rFont val="Noto Sans CJK SC"/>
        <family val="2"/>
      </rPr>
      <t xml:space="preserve">列（</t>
    </r>
    <r>
      <rPr>
        <sz val="10"/>
        <color rgb="FF000000"/>
        <rFont val="Arial"/>
        <family val="0"/>
        <charset val="1"/>
      </rPr>
      <t xml:space="preserve">INP_001 </t>
    </r>
    <r>
      <rPr>
        <sz val="10"/>
        <color rgb="FF000000"/>
        <rFont val="Noto Sans CJK SC"/>
        <family val="2"/>
      </rPr>
      <t xml:space="preserve">起，依 </t>
    </r>
    <r>
      <rPr>
        <sz val="10"/>
        <color rgb="FF000000"/>
        <rFont val="Arial"/>
        <family val="0"/>
        <charset val="1"/>
      </rPr>
      <t xml:space="preserve">data/zhipu_inputs.yaml </t>
    </r>
    <r>
      <rPr>
        <sz val="10"/>
        <color rgb="FF000000"/>
        <rFont val="Noto Sans CJK SC"/>
        <family val="2"/>
      </rPr>
      <t xml:space="preserve">的鍵發號）；每列附標記、依據、區間理由；</t>
    </r>
    <r>
      <rPr>
        <sz val="10"/>
        <color rgb="FF000000"/>
        <rFont val="Arial"/>
        <family val="0"/>
        <charset val="1"/>
      </rPr>
      <t xml:space="preserve">Analogy</t>
    </r>
    <r>
      <rPr>
        <sz val="10"/>
        <color rgb="FF000000"/>
        <rFont val="Noto Sans CJK SC"/>
        <family val="2"/>
      </rPr>
      <t xml:space="preserve">／</t>
    </r>
    <r>
      <rPr>
        <sz val="10"/>
        <color rgb="FF000000"/>
        <rFont val="Arial"/>
        <family val="0"/>
        <charset val="1"/>
      </rPr>
      <t xml:space="preserve">Assumed </t>
    </r>
    <r>
      <rPr>
        <sz val="10"/>
        <color rgb="FF000000"/>
        <rFont val="Noto Sans CJK SC"/>
        <family val="2"/>
      </rPr>
      <t xml:space="preserve">一律給區間。</t>
    </r>
  </si>
  <si>
    <t xml:space="preserve">Demand</t>
  </si>
  <si>
    <r>
      <rPr>
        <sz val="10"/>
        <color rgb="FF000000"/>
        <rFont val="Noto Sans CJK SC"/>
        <family val="2"/>
      </rPr>
      <t xml:space="preserve">需求：①</t>
    </r>
    <r>
      <rPr>
        <sz val="10"/>
        <color rgb="FF000000"/>
        <rFont val="Arial"/>
        <family val="0"/>
        <charset val="1"/>
      </rPr>
      <t xml:space="preserve">API </t>
    </r>
    <r>
      <rPr>
        <sz val="10"/>
        <color rgb="FF000000"/>
        <rFont val="Noto Sans CJK SC"/>
        <family val="2"/>
      </rPr>
      <t xml:space="preserve">按量計費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2025</t>
    </r>
    <r>
      <rPr>
        <sz val="10"/>
        <color rgb="FF000000"/>
        <rFont val="Noto Sans CJK SC"/>
        <family val="2"/>
      </rPr>
      <t xml:space="preserve">、</t>
    </r>
    <r>
      <rPr>
        <sz val="10"/>
        <color rgb="FF000000"/>
        <rFont val="Arial"/>
        <family val="0"/>
        <charset val="1"/>
      </rPr>
      <t xml:space="preserve">1H26</t>
    </r>
    <r>
      <rPr>
        <sz val="10"/>
        <color rgb="FF000000"/>
        <rFont val="Noto Sans CJK SC"/>
        <family val="2"/>
      </rPr>
      <t xml:space="preserve">＝營收 </t>
    </r>
    <r>
      <rPr>
        <sz val="10"/>
        <color rgb="FF000000"/>
        <rFont val="Arial"/>
        <family val="0"/>
        <charset val="1"/>
      </rPr>
      <t xml:space="preserve">÷ </t>
    </r>
    <r>
      <rPr>
        <sz val="10"/>
        <color rgb="FF000000"/>
        <rFont val="Noto Sans CJK SC"/>
        <family val="2"/>
      </rPr>
      <t xml:space="preserve">有效單價倒推；</t>
    </r>
    <r>
      <rPr>
        <sz val="10"/>
        <color rgb="FF000000"/>
        <rFont val="Arial"/>
        <family val="0"/>
        <charset val="1"/>
      </rPr>
      <t xml:space="preserve">2H26 </t>
    </r>
    <r>
      <rPr>
        <sz val="10"/>
        <color rgb="FF000000"/>
        <rFont val="Noto Sans CJK SC"/>
        <family val="2"/>
      </rPr>
      <t xml:space="preserve">起任務數 </t>
    </r>
    <r>
      <rPr>
        <sz val="10"/>
        <color rgb="FF000000"/>
        <rFont val="Arial"/>
        <family val="0"/>
        <charset val="1"/>
      </rPr>
      <t xml:space="preserve">× </t>
    </r>
    <r>
      <rPr>
        <sz val="10"/>
        <color rgb="FF000000"/>
        <rFont val="Noto Sans CJK SC"/>
        <family val="2"/>
      </rPr>
      <t xml:space="preserve">每任務 </t>
    </r>
    <r>
      <rPr>
        <sz val="10"/>
        <color rgb="FF000000"/>
        <rFont val="Arial"/>
        <family val="0"/>
        <charset val="1"/>
      </rPr>
      <t xml:space="preserve">token × </t>
    </r>
    <r>
      <rPr>
        <sz val="10"/>
        <color rgb="FF000000"/>
        <rFont val="Noto Sans CJK SC"/>
        <family val="2"/>
      </rPr>
      <t xml:space="preserve">價格反應）②</t>
    </r>
    <r>
      <rPr>
        <sz val="10"/>
        <color rgb="FF000000"/>
        <rFont val="Arial"/>
        <family val="0"/>
        <charset val="1"/>
      </rPr>
      <t xml:space="preserve">GLM Coding Plan </t>
    </r>
    <r>
      <rPr>
        <sz val="10"/>
        <color rgb="FF000000"/>
        <rFont val="Noto Sans CJK SC"/>
        <family val="2"/>
      </rPr>
      <t xml:space="preserve">訂閱者（方案別）</t>
    </r>
    <r>
      <rPr>
        <sz val="10"/>
        <color rgb="FF000000"/>
        <rFont val="Arial"/>
        <family val="0"/>
        <charset val="1"/>
      </rPr>
      <t xml:space="preserve">× </t>
    </r>
    <r>
      <rPr>
        <sz val="10"/>
        <color rgb="FF000000"/>
        <rFont val="Noto Sans CJK SC"/>
        <family val="2"/>
      </rPr>
      <t xml:space="preserve">每訂閱者 </t>
    </r>
    <r>
      <rPr>
        <sz val="10"/>
        <color rgb="FF000000"/>
        <rFont val="Arial"/>
        <family val="0"/>
        <charset val="1"/>
      </rPr>
      <t xml:space="preserve">token ③</t>
    </r>
    <r>
      <rPr>
        <sz val="10"/>
        <color rgb="FF000000"/>
        <rFont val="Noto Sans CJK SC"/>
        <family val="2"/>
      </rPr>
      <t xml:space="preserve">智譜清言（免費）用戶 </t>
    </r>
    <r>
      <rPr>
        <sz val="10"/>
        <color rgb="FF000000"/>
        <rFont val="Arial"/>
        <family val="0"/>
        <charset val="1"/>
      </rPr>
      <t xml:space="preserve">× </t>
    </r>
    <r>
      <rPr>
        <sz val="10"/>
        <color rgb="FF000000"/>
        <rFont val="Noto Sans CJK SC"/>
        <family val="2"/>
      </rPr>
      <t xml:space="preserve">任務 </t>
    </r>
    <r>
      <rPr>
        <sz val="10"/>
        <color rgb="FF000000"/>
        <rFont val="Arial"/>
        <family val="0"/>
        <charset val="1"/>
      </rPr>
      <t xml:space="preserve">× </t>
    </r>
    <r>
      <rPr>
        <sz val="10"/>
        <color rgb="FF000000"/>
        <rFont val="Noto Sans CJK SC"/>
        <family val="2"/>
      </rPr>
      <t xml:space="preserve">每任務 </t>
    </r>
    <r>
      <rPr>
        <sz val="10"/>
        <color rgb="FF000000"/>
        <rFont val="Arial"/>
        <family val="0"/>
        <charset val="1"/>
      </rPr>
      <t xml:space="preserve">token</t>
    </r>
    <r>
      <rPr>
        <sz val="10"/>
        <color rgb="FF000000"/>
        <rFont val="Noto Sans CJK SC"/>
        <family val="2"/>
      </rPr>
      <t xml:space="preserve">；輸出 </t>
    </r>
    <r>
      <rPr>
        <sz val="10"/>
        <color rgb="FF000000"/>
        <rFont val="Arial"/>
        <family val="0"/>
        <charset val="1"/>
      </rPr>
      <t xml:space="preserve">DEM_Tok_*</t>
    </r>
    <r>
      <rPr>
        <sz val="10"/>
        <color rgb="FF000000"/>
        <rFont val="Noto Sans CJK SC"/>
        <family val="2"/>
      </rPr>
      <t xml:space="preserve">（層級 </t>
    </r>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Luna × </t>
    </r>
    <r>
      <rPr>
        <sz val="10"/>
        <color rgb="FF000000"/>
        <rFont val="Noto Sans CJK SC"/>
        <family val="2"/>
      </rPr>
      <t xml:space="preserve">付費／免費）。本地化部署不耗智譜算力，不進 </t>
    </r>
    <r>
      <rPr>
        <sz val="10"/>
        <color rgb="FF000000"/>
        <rFont val="Arial"/>
        <family val="0"/>
        <charset val="1"/>
      </rPr>
      <t xml:space="preserve">Demand</t>
    </r>
    <r>
      <rPr>
        <sz val="10"/>
        <color rgb="FF000000"/>
        <rFont val="Noto Sans CJK SC"/>
        <family val="2"/>
      </rPr>
      <t xml:space="preserve">（</t>
    </r>
    <r>
      <rPr>
        <sz val="10"/>
        <color rgb="FF000000"/>
        <rFont val="Arial"/>
        <family val="0"/>
        <charset val="1"/>
      </rPr>
      <t xml:space="preserve">D4</t>
    </r>
    <r>
      <rPr>
        <sz val="10"/>
        <color rgb="FF000000"/>
        <rFont val="Noto Sans CJK SC"/>
        <family val="2"/>
      </rPr>
      <t xml:space="preserve">）。</t>
    </r>
  </si>
  <si>
    <t xml:space="preserve">Revenue</t>
  </si>
  <si>
    <r>
      <rPr>
        <sz val="10"/>
        <color rgb="FF000000"/>
        <rFont val="Noto Sans CJK SC"/>
        <family val="2"/>
      </rPr>
      <t xml:space="preserve">營收：①開放平台及 </t>
    </r>
    <r>
      <rPr>
        <sz val="10"/>
        <color rgb="FF000000"/>
        <rFont val="Arial"/>
        <family val="0"/>
        <charset val="1"/>
      </rPr>
      <t xml:space="preserve">API</t>
    </r>
    <r>
      <rPr>
        <sz val="10"/>
        <color rgb="FF000000"/>
        <rFont val="Noto Sans CJK SC"/>
        <family val="2"/>
      </rPr>
      <t xml:space="preserve">（按量計費：層級 </t>
    </r>
    <r>
      <rPr>
        <sz val="10"/>
        <color rgb="FF000000"/>
        <rFont val="Arial"/>
        <family val="0"/>
        <charset val="1"/>
      </rPr>
      <t xml:space="preserve">× </t>
    </r>
    <r>
      <rPr>
        <sz val="10"/>
        <color rgb="FF000000"/>
        <rFont val="Noto Sans CJK SC"/>
        <family val="2"/>
      </rPr>
      <t xml:space="preserve">輸入／快取／輸出 </t>
    </r>
    <r>
      <rPr>
        <sz val="10"/>
        <color rgb="FF000000"/>
        <rFont val="Arial"/>
        <family val="0"/>
        <charset val="1"/>
      </rPr>
      <t xml:space="preserve">× </t>
    </r>
    <r>
      <rPr>
        <sz val="10"/>
        <color rgb="FF000000"/>
        <rFont val="Noto Sans CJK SC"/>
        <family val="2"/>
      </rPr>
      <t xml:space="preserve">有效價；</t>
    </r>
    <r>
      <rPr>
        <sz val="10"/>
        <color rgb="FF000000"/>
        <rFont val="Arial"/>
        <family val="0"/>
        <charset val="1"/>
      </rPr>
      <t xml:space="preserve">Coding Plan </t>
    </r>
    <r>
      <rPr>
        <sz val="10"/>
        <color rgb="FF000000"/>
        <rFont val="Noto Sans CJK SC"/>
        <family val="2"/>
      </rPr>
      <t xml:space="preserve">子列：方案別訂閱）②企業級智能體 ③企業級通用大模型 ④技術服務及其他（②③④＝本地化部署分部，規格 </t>
    </r>
    <r>
      <rPr>
        <sz val="10"/>
        <color rgb="FF000000"/>
        <rFont val="Arial"/>
        <family val="0"/>
        <charset val="1"/>
      </rPr>
      <t xml:space="preserve">D2r</t>
    </r>
    <r>
      <rPr>
        <sz val="10"/>
        <color rgb="FF000000"/>
        <rFont val="Noto Sans CJK SC"/>
        <family val="2"/>
      </rPr>
      <t xml:space="preserve">）；廣告＝</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D3</t>
    </r>
    <r>
      <rPr>
        <sz val="10"/>
        <color rgb="FF000000"/>
        <rFont val="Noto Sans CJK SC"/>
        <family val="2"/>
      </rPr>
      <t xml:space="preserve">）；總額＝淨額（</t>
    </r>
    <r>
      <rPr>
        <sz val="10"/>
        <color rgb="FF000000"/>
        <rFont val="Arial"/>
        <family val="0"/>
        <charset val="1"/>
      </rPr>
      <t xml:space="preserve">D5</t>
    </r>
    <r>
      <rPr>
        <sz val="10"/>
        <color rgb="FF000000"/>
        <rFont val="Noto Sans CJK SC"/>
        <family val="2"/>
      </rPr>
      <t xml:space="preserve">）；雲端 </t>
    </r>
    <r>
      <rPr>
        <sz val="10"/>
        <color rgb="FF000000"/>
        <rFont val="Arial"/>
        <family val="0"/>
        <charset val="1"/>
      </rPr>
      <t xml:space="preserve">vs </t>
    </r>
    <r>
      <rPr>
        <sz val="10"/>
        <color rgb="FF000000"/>
        <rFont val="Noto Sans CJK SC"/>
        <family val="2"/>
      </rPr>
      <t xml:space="preserve">本地化、企業 </t>
    </r>
    <r>
      <rPr>
        <sz val="10"/>
        <color rgb="FF000000"/>
        <rFont val="Arial"/>
        <family val="0"/>
        <charset val="1"/>
      </rPr>
      <t xml:space="preserve">vs </t>
    </r>
    <r>
      <rPr>
        <sz val="10"/>
        <color rgb="FF000000"/>
        <rFont val="Noto Sans CJK SC"/>
        <family val="2"/>
      </rPr>
      <t xml:space="preserve">個人彙總；</t>
    </r>
    <r>
      <rPr>
        <sz val="10"/>
        <color rgb="FF000000"/>
        <rFont val="Arial"/>
        <family val="0"/>
        <charset val="1"/>
      </rPr>
      <t xml:space="preserve">2025 </t>
    </r>
    <r>
      <rPr>
        <sz val="10"/>
        <color rgb="FF000000"/>
        <rFont val="Noto Sans CJK SC"/>
        <family val="2"/>
      </rPr>
      <t xml:space="preserve">與 </t>
    </r>
    <r>
      <rPr>
        <sz val="10"/>
        <color rgb="FF000000"/>
        <rFont val="Arial"/>
        <family val="0"/>
        <charset val="1"/>
      </rPr>
      <t xml:space="preserve">1H26 </t>
    </r>
    <r>
      <rPr>
        <sz val="10"/>
        <color rgb="FF000000"/>
        <rFont val="Noto Sans CJK SC"/>
        <family val="2"/>
      </rPr>
      <t xml:space="preserve">對財報校準差距＝</t>
    </r>
    <r>
      <rPr>
        <sz val="10"/>
        <color rgb="FF000000"/>
        <rFont val="Arial"/>
        <family val="0"/>
        <charset val="1"/>
      </rPr>
      <t xml:space="preserve">0</t>
    </r>
    <r>
      <rPr>
        <sz val="10"/>
        <color rgb="FF000000"/>
        <rFont val="Noto Sans CJK SC"/>
        <family val="2"/>
      </rPr>
      <t xml:space="preserve">；公司說法（</t>
    </r>
    <r>
      <rPr>
        <sz val="10"/>
        <color rgb="FF000000"/>
        <rFont val="Arial"/>
        <family val="0"/>
        <charset val="1"/>
      </rPr>
      <t xml:space="preserve">ARR</t>
    </r>
    <r>
      <rPr>
        <sz val="10"/>
        <color rgb="FF000000"/>
        <rFont val="Noto Sans CJK SC"/>
        <family val="2"/>
      </rPr>
      <t xml:space="preserve">、平均售價 </t>
    </r>
    <r>
      <rPr>
        <sz val="10"/>
        <color rgb="FF000000"/>
        <rFont val="Arial"/>
        <family val="0"/>
        <charset val="1"/>
      </rPr>
      <t xml:space="preserve">+101%</t>
    </r>
    <r>
      <rPr>
        <sz val="10"/>
        <color rgb="FF000000"/>
        <rFont val="Noto Sans CJK SC"/>
        <family val="2"/>
      </rPr>
      <t xml:space="preserve">、呼叫量 </t>
    </r>
    <r>
      <rPr>
        <sz val="10"/>
        <color rgb="FF000000"/>
        <rFont val="Arial"/>
        <family val="0"/>
        <charset val="1"/>
      </rPr>
      <t xml:space="preserve">40 </t>
    </r>
    <r>
      <rPr>
        <sz val="10"/>
        <color rgb="FF000000"/>
        <rFont val="Noto Sans CJK SC"/>
        <family val="2"/>
      </rPr>
      <t xml:space="preserve">倍）只列對照；第七節（</t>
    </r>
    <r>
      <rPr>
        <sz val="10"/>
        <color rgb="FF000000"/>
        <rFont val="Arial"/>
        <family val="0"/>
        <charset val="1"/>
      </rPr>
      <t xml:space="preserve">v0.1.2</t>
    </r>
    <r>
      <rPr>
        <sz val="10"/>
        <color rgb="FF000000"/>
        <rFont val="Noto Sans CJK SC"/>
        <family val="2"/>
      </rPr>
      <t xml:space="preserve">）官方分部（本地化部署／雲端部署）對帳：</t>
    </r>
    <r>
      <rPr>
        <sz val="10"/>
        <color rgb="FF000000"/>
        <rFont val="Arial"/>
        <family val="0"/>
        <charset val="1"/>
      </rPr>
      <t xml:space="preserve">FY2025 </t>
    </r>
    <r>
      <rPr>
        <sz val="10"/>
        <color rgb="FF000000"/>
        <rFont val="Noto Sans CJK SC"/>
        <family val="2"/>
      </rPr>
      <t xml:space="preserve">對年報、</t>
    </r>
    <r>
      <rPr>
        <sz val="10"/>
        <color rgb="FF000000"/>
        <rFont val="Arial"/>
        <family val="0"/>
        <charset val="1"/>
      </rPr>
      <t xml:space="preserve">1H26 </t>
    </r>
    <r>
      <rPr>
        <sz val="10"/>
        <color rgb="FF000000"/>
        <rFont val="Noto Sans CJK SC"/>
        <family val="2"/>
      </rPr>
      <t xml:space="preserve">對中期公告子項加總，差額與 </t>
    </r>
    <r>
      <rPr>
        <sz val="10"/>
        <color rgb="FF000000"/>
        <rFont val="Arial"/>
        <family val="0"/>
        <charset val="1"/>
      </rPr>
      <t xml:space="preserve">OK</t>
    </r>
    <r>
      <rPr>
        <sz val="10"/>
        <color rgb="FF000000"/>
        <rFont val="Noto Sans CJK SC"/>
        <family val="2"/>
      </rPr>
      <t xml:space="preserve">／差異判定（容差 </t>
    </r>
    <r>
      <rPr>
        <sz val="10"/>
        <color rgb="FF000000"/>
        <rFont val="Arial"/>
        <family val="0"/>
        <charset val="1"/>
      </rPr>
      <t xml:space="preserve">Inputs seg_recon_tol</t>
    </r>
    <r>
      <rPr>
        <sz val="10"/>
        <color rgb="FF000000"/>
        <rFont val="Noto Sans CJK SC"/>
        <family val="2"/>
      </rPr>
      <t xml:space="preserve">）。</t>
    </r>
  </si>
  <si>
    <t xml:space="preserve">Compute</t>
  </si>
  <si>
    <r>
      <rPr>
        <sz val="10"/>
        <color rgb="FF000000"/>
        <rFont val="Noto Sans CJK SC"/>
        <family val="2"/>
      </rPr>
      <t xml:space="preserve">晶片族（</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TK Hopper H100 </t>
    </r>
    <r>
      <rPr>
        <sz val="10"/>
        <color rgb="FF000000"/>
        <rFont val="Noto Sans CJK SC"/>
        <family val="2"/>
      </rPr>
      <t xml:space="preserve">欄；</t>
    </r>
    <r>
      <rPr>
        <sz val="10"/>
        <color rgb="FF000000"/>
        <rFont val="Arial"/>
        <family val="0"/>
        <charset val="1"/>
      </rPr>
      <t xml:space="preserve">H20</t>
    </r>
    <r>
      <rPr>
        <sz val="10"/>
        <color rgb="FF000000"/>
        <rFont val="Noto Sans CJK SC"/>
        <family val="2"/>
      </rPr>
      <t xml:space="preserve">、國產＝</t>
    </r>
    <r>
      <rPr>
        <sz val="10"/>
        <color rgb="FF000000"/>
        <rFont val="Arial"/>
        <family val="0"/>
        <charset val="1"/>
      </rPr>
      <t xml:space="preserve">Hopper × Inputs </t>
    </r>
    <r>
      <rPr>
        <sz val="10"/>
        <color rgb="FF000000"/>
        <rFont val="Noto Sans CJK SC"/>
        <family val="2"/>
      </rPr>
      <t xml:space="preserve">比例，</t>
    </r>
    <r>
      <rPr>
        <sz val="10"/>
        <color rgb="FF000000"/>
        <rFont val="Arial"/>
        <family val="0"/>
        <charset val="1"/>
      </rPr>
      <t xml:space="preserve">Tokenomics </t>
    </r>
    <r>
      <rPr>
        <sz val="10"/>
        <color rgb="FF000000"/>
        <rFont val="Noto Sans CJK SC"/>
        <family val="2"/>
      </rPr>
      <t xml:space="preserve">缺口）</t>
    </r>
    <r>
      <rPr>
        <sz val="10"/>
        <color rgb="FF000000"/>
        <rFont val="Arial"/>
        <family val="0"/>
        <charset val="1"/>
      </rPr>
      <t xml:space="preserve">× </t>
    </r>
    <r>
      <rPr>
        <sz val="10"/>
        <color rgb="FF000000"/>
        <rFont val="Noto Sans CJK SC"/>
        <family val="2"/>
      </rPr>
      <t xml:space="preserve">層級（</t>
    </r>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Luna</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年產能 → </t>
    </r>
    <r>
      <rPr>
        <sz val="10"/>
        <color rgb="FF000000"/>
        <rFont val="Arial"/>
        <family val="0"/>
        <charset val="1"/>
      </rPr>
      <t xml:space="preserve">token </t>
    </r>
    <r>
      <rPr>
        <sz val="10"/>
        <color rgb="FF000000"/>
        <rFont val="Noto Sans CJK SC"/>
        <family val="2"/>
      </rPr>
      <t xml:space="preserve">換算推論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2025</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算力服務費（推論＝</t>
    </r>
    <r>
      <rPr>
        <sz val="10"/>
        <color rgb="FF000000"/>
        <rFont val="Arial"/>
        <family val="0"/>
        <charset val="1"/>
      </rPr>
      <t xml:space="preserve">API </t>
    </r>
    <r>
      <rPr>
        <sz val="10"/>
        <color rgb="FF000000"/>
        <rFont val="Noto Sans CJK SC"/>
        <family val="2"/>
      </rPr>
      <t xml:space="preserve">銷售成本、研發＝研發開支扣股權報酬 </t>
    </r>
    <r>
      <rPr>
        <sz val="10"/>
        <color rgb="FF000000"/>
        <rFont val="Arial"/>
        <family val="0"/>
        <charset val="1"/>
      </rPr>
      <t xml:space="preserve">× </t>
    </r>
    <r>
      <rPr>
        <sz val="10"/>
        <color rgb="FF000000"/>
        <rFont val="Noto Sans CJK SC"/>
        <family val="2"/>
      </rPr>
      <t xml:space="preserve">占比）</t>
    </r>
    <r>
      <rPr>
        <sz val="10"/>
        <color rgb="FF000000"/>
        <rFont val="Arial"/>
        <family val="0"/>
        <charset val="1"/>
      </rPr>
      <t xml:space="preserve">÷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價格（卡時租價 </t>
    </r>
    <r>
      <rPr>
        <sz val="10"/>
        <color rgb="FF000000"/>
        <rFont val="Arial"/>
        <family val="0"/>
        <charset val="1"/>
      </rPr>
      <t xml:space="preserve">×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卡數 </t>
    </r>
    <r>
      <rPr>
        <sz val="10"/>
        <color rgb="FF000000"/>
        <rFont val="Arial"/>
        <family val="0"/>
        <charset val="1"/>
      </rPr>
      <t xml:space="preserve">× </t>
    </r>
    <r>
      <rPr>
        <sz val="10"/>
        <color rgb="FF000000"/>
        <rFont val="Noto Sans CJK SC"/>
        <family val="2"/>
      </rPr>
      <t xml:space="preserve">小時）→ 供給 </t>
    </r>
    <r>
      <rPr>
        <sz val="10"/>
        <color rgb="FF000000"/>
        <rFont val="Arial"/>
        <family val="0"/>
        <charset val="1"/>
      </rPr>
      <t xml:space="preserve">GW </t>
    </r>
    <r>
      <rPr>
        <sz val="10"/>
        <color rgb="FF000000"/>
        <rFont val="Noto Sans CJK SC"/>
        <family val="2"/>
      </rPr>
      <t xml:space="preserve">與 </t>
    </r>
    <r>
      <rPr>
        <sz val="10"/>
        <color rgb="FF000000"/>
        <rFont val="Arial"/>
        <family val="0"/>
        <charset val="1"/>
      </rPr>
      <t xml:space="preserve">η</t>
    </r>
    <r>
      <rPr>
        <sz val="10"/>
        <color rgb="FF000000"/>
        <rFont val="Noto Sans CJK SC"/>
        <family val="2"/>
      </rPr>
      <t xml:space="preserve">；</t>
    </r>
    <r>
      <rPr>
        <sz val="10"/>
        <color rgb="FF000000"/>
        <rFont val="Arial"/>
        <family val="0"/>
        <charset val="1"/>
      </rPr>
      <t xml:space="preserve">2H26 </t>
    </r>
    <r>
      <rPr>
        <sz val="10"/>
        <color rgb="FF000000"/>
        <rFont val="Noto Sans CJK SC"/>
        <family val="2"/>
      </rPr>
      <t xml:space="preserve">起有效推論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token GW ÷ η</t>
    </r>
    <r>
      <rPr>
        <sz val="10"/>
        <color rgb="FF000000"/>
        <rFont val="Noto Sans CJK SC"/>
        <family val="2"/>
      </rPr>
      <t xml:space="preserve">，供給依需求配置；研發 </t>
    </r>
    <r>
      <rPr>
        <sz val="10"/>
        <color rgb="FF000000"/>
        <rFont val="Arial"/>
        <family val="0"/>
        <charset val="1"/>
      </rPr>
      <t xml:space="preserve">GW</t>
    </r>
    <r>
      <rPr>
        <sz val="10"/>
        <color rgb="FF000000"/>
        <rFont val="Noto Sans CJK SC"/>
        <family val="2"/>
      </rPr>
      <t xml:space="preserve">＝殘差；容量上限係數回乘雲端營收；</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10 </t>
    </r>
    <r>
      <rPr>
        <sz val="10"/>
        <color rgb="FF000000"/>
        <rFont val="Noto Sans CJK SC"/>
        <family val="2"/>
      </rPr>
      <t xml:space="preserve">萬國產晶片對照；</t>
    </r>
    <r>
      <rPr>
        <sz val="10"/>
        <color rgb="FF000000"/>
        <rFont val="Arial"/>
        <family val="0"/>
        <charset val="1"/>
      </rPr>
      <t xml:space="preserve">R4 </t>
    </r>
    <r>
      <rPr>
        <sz val="10"/>
        <color rgb="FF000000"/>
        <rFont val="Noto Sans CJK SC"/>
        <family val="2"/>
      </rPr>
      <t xml:space="preserve">對帳；敏感度。</t>
    </r>
  </si>
  <si>
    <t xml:space="preserve">Cost</t>
  </si>
  <si>
    <r>
      <rPr>
        <sz val="10"/>
        <color rgb="FF000000"/>
        <rFont val="Noto Sans CJK SC"/>
        <family val="2"/>
      </rPr>
      <t xml:space="preserve">算力成本（</t>
    </r>
    <r>
      <rPr>
        <sz val="10"/>
        <color rgb="FF000000"/>
        <rFont val="Arial"/>
        <family val="0"/>
        <charset val="1"/>
      </rPr>
      <t xml:space="preserve">2025</t>
    </r>
    <r>
      <rPr>
        <sz val="10"/>
        <color rgb="FF000000"/>
        <rFont val="Noto Sans CJK SC"/>
        <family val="2"/>
      </rPr>
      <t xml:space="preserve">、</t>
    </r>
    <r>
      <rPr>
        <sz val="10"/>
        <color rgb="FF000000"/>
        <rFont val="Arial"/>
        <family val="0"/>
        <charset val="1"/>
      </rPr>
      <t xml:space="preserve">1H26</t>
    </r>
    <r>
      <rPr>
        <sz val="10"/>
        <color rgb="FF000000"/>
        <rFont val="Noto Sans CJK SC"/>
        <family val="2"/>
      </rPr>
      <t xml:space="preserve">＝算力服務費實付；之後＝租用 </t>
    </r>
    <r>
      <rPr>
        <sz val="10"/>
        <color rgb="FF000000"/>
        <rFont val="Arial"/>
        <family val="0"/>
        <charset val="1"/>
      </rPr>
      <t xml:space="preserve">GW ×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價格＋自有資本支出，基準 </t>
    </r>
    <r>
      <rPr>
        <sz val="10"/>
        <color rgb="FF000000"/>
        <rFont val="Arial"/>
        <family val="0"/>
        <charset val="1"/>
      </rPr>
      <t xml:space="preserve">0</t>
    </r>
    <r>
      <rPr>
        <sz val="10"/>
        <color rgb="FF000000"/>
        <rFont val="Noto Sans CJK SC"/>
        <family val="2"/>
      </rPr>
      <t xml:space="preserve">）、供應商持有成本與雲端毛利、本地化部署交付成本、非算力成本（</t>
    </r>
    <r>
      <rPr>
        <sz val="10"/>
        <color rgb="FF000000"/>
        <rFont val="Arial"/>
        <family val="0"/>
        <charset val="1"/>
      </rPr>
      <t xml:space="preserve">2025</t>
    </r>
    <r>
      <rPr>
        <sz val="10"/>
        <color rgb="FF000000"/>
        <rFont val="Noto Sans CJK SC"/>
        <family val="2"/>
      </rPr>
      <t xml:space="preserve">、</t>
    </r>
    <r>
      <rPr>
        <sz val="10"/>
        <color rgb="FF000000"/>
        <rFont val="Arial"/>
        <family val="0"/>
        <charset val="1"/>
      </rPr>
      <t xml:space="preserve">1H26</t>
    </r>
    <r>
      <rPr>
        <sz val="10"/>
        <color rgb="FF000000"/>
        <rFont val="Noto Sans CJK SC"/>
        <family val="2"/>
      </rPr>
      <t xml:space="preserve">＝財報殘差；之後人數 </t>
    </r>
    <r>
      <rPr>
        <sz val="10"/>
        <color rgb="FF000000"/>
        <rFont val="Arial"/>
        <family val="0"/>
        <charset val="1"/>
      </rPr>
      <t xml:space="preserve">× </t>
    </r>
    <r>
      <rPr>
        <sz val="10"/>
        <color rgb="FF000000"/>
        <rFont val="Noto Sans CJK SC"/>
        <family val="2"/>
      </rPr>
      <t xml:space="preserve">每人成本）、股權報酬；命題表：每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t>
    </r>
    <r>
      <rPr>
        <sz val="10"/>
        <color rgb="FF000000"/>
        <rFont val="Noto Sans CJK SC"/>
        <family val="2"/>
      </rPr>
      <t xml:space="preserve">的營收、成本、差額、雲端口徑差額、覆蓋率（人民幣億與美元 </t>
    </r>
    <r>
      <rPr>
        <sz val="10"/>
        <color rgb="FF000000"/>
        <rFont val="Arial"/>
        <family val="0"/>
        <charset val="1"/>
      </rPr>
      <t xml:space="preserve">$B</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與 </t>
    </r>
    <r>
      <rPr>
        <sz val="10"/>
        <color rgb="FF000000"/>
        <rFont val="Arial"/>
        <family val="0"/>
        <charset val="1"/>
      </rPr>
      <t xml:space="preserve">1H26 </t>
    </r>
    <r>
      <rPr>
        <sz val="10"/>
        <color rgb="FF000000"/>
        <rFont val="Noto Sans CJK SC"/>
        <family val="2"/>
      </rPr>
      <t xml:space="preserve">全成本對財報費用合計差距＝</t>
    </r>
    <r>
      <rPr>
        <sz val="10"/>
        <color rgb="FF000000"/>
        <rFont val="Arial"/>
        <family val="0"/>
        <charset val="1"/>
      </rPr>
      <t xml:space="preserve">0</t>
    </r>
    <r>
      <rPr>
        <sz val="10"/>
        <color rgb="FF000000"/>
        <rFont val="Noto Sans CJK SC"/>
        <family val="2"/>
      </rPr>
      <t xml:space="preserve">。</t>
    </r>
  </si>
  <si>
    <t xml:space="preserve">Funding</t>
  </si>
  <si>
    <r>
      <rPr>
        <sz val="10"/>
        <color rgb="FF000000"/>
        <rFont val="Noto Sans CJK SC"/>
        <family val="2"/>
      </rPr>
      <t xml:space="preserve">自由現金流（營收 − 算力 − 本地化交付 − 非算力（股權報酬加回）＋其他收益 − 利息）→ 非算力資本支出、併購 → 來源順序：①期初現金 ②已到位股權（</t>
    </r>
    <r>
      <rPr>
        <sz val="10"/>
        <color rgb="FF000000"/>
        <rFont val="Arial"/>
        <family val="0"/>
        <charset val="1"/>
      </rPr>
      <t xml:space="preserve">2026-01 IPO</t>
    </r>
    <r>
      <rPr>
        <sz val="10"/>
        <color rgb="FF000000"/>
        <rFont val="Noto Sans CJK SC"/>
        <family val="2"/>
      </rPr>
      <t xml:space="preserve">、</t>
    </r>
    <r>
      <rPr>
        <sz val="10"/>
        <color rgb="FF000000"/>
        <rFont val="Arial"/>
        <family val="0"/>
        <charset val="1"/>
      </rPr>
      <t xml:space="preserve">2026-07</t>
    </r>
    <r>
      <rPr>
        <sz val="10"/>
        <color rgb="FF000000"/>
        <rFont val="Noto Sans CJK SC"/>
        <family val="2"/>
      </rPr>
      <t xml:space="preserve">、</t>
    </r>
    <r>
      <rPr>
        <sz val="10"/>
        <color rgb="FF000000"/>
        <rFont val="Arial"/>
        <family val="0"/>
        <charset val="1"/>
      </rPr>
      <t xml:space="preserve">2026-09 </t>
    </r>
    <r>
      <rPr>
        <sz val="10"/>
        <color rgb="FF000000"/>
        <rFont val="Noto Sans CJK SC"/>
        <family val="2"/>
      </rPr>
      <t xml:space="preserve">配售淨額，港幣 </t>
    </r>
    <r>
      <rPr>
        <sz val="10"/>
        <color rgb="FF000000"/>
        <rFont val="Arial"/>
        <family val="0"/>
        <charset val="1"/>
      </rPr>
      <t xml:space="preserve">× </t>
    </r>
    <r>
      <rPr>
        <sz val="10"/>
        <color rgb="FF000000"/>
        <rFont val="Noto Sans CJK SC"/>
        <family val="2"/>
      </rPr>
      <t xml:space="preserve">匯率）③已提用債務（銀行借款續借；可換股債券 </t>
    </r>
    <r>
      <rPr>
        <sz val="10"/>
        <color rgb="FF000000"/>
        <rFont val="Arial"/>
        <family val="0"/>
        <charset val="1"/>
      </rPr>
      <t xml:space="preserve">2H26 </t>
    </r>
    <r>
      <rPr>
        <sz val="10"/>
        <color rgb="FF000000"/>
        <rFont val="Noto Sans CJK SC"/>
        <family val="2"/>
      </rPr>
      <t xml:space="preserve">流入、</t>
    </r>
    <r>
      <rPr>
        <sz val="10"/>
        <color rgb="FF000000"/>
        <rFont val="Arial"/>
        <family val="0"/>
        <charset val="1"/>
      </rPr>
      <t xml:space="preserve">2027-09 </t>
    </r>
    <r>
      <rPr>
        <sz val="10"/>
        <color rgb="FF000000"/>
        <rFont val="Noto Sans CJK SC"/>
        <family val="2"/>
      </rPr>
      <t xml:space="preserve">到期償還，</t>
    </r>
    <r>
      <rPr>
        <sz val="10"/>
        <color rgb="FF000000"/>
        <rFont val="Arial"/>
        <family val="0"/>
        <charset val="1"/>
      </rPr>
      <t xml:space="preserve">D16r</t>
    </r>
    <r>
      <rPr>
        <sz val="10"/>
        <color rgb="FF000000"/>
        <rFont val="Noto Sans CJK SC"/>
        <family val="2"/>
      </rPr>
      <t xml:space="preserve">）④外部資金需求（年底補足至最低現金，</t>
    </r>
    <r>
      <rPr>
        <sz val="10"/>
        <color rgb="FF000000"/>
        <rFont val="Arial"/>
        <family val="0"/>
        <charset val="1"/>
      </rPr>
      <t xml:space="preserve">D17</t>
    </r>
    <r>
      <rPr>
        <sz val="10"/>
        <color rgb="FF000000"/>
        <rFont val="Noto Sans CJK SC"/>
        <family val="2"/>
      </rPr>
      <t xml:space="preserve">）。另列可換股債券轉股情境、或有、配售用途對照、回流對照（</t>
    </r>
    <r>
      <rPr>
        <sz val="10"/>
        <color rgb="FF000000"/>
        <rFont val="Arial"/>
        <family val="0"/>
        <charset val="1"/>
      </rPr>
      <t xml:space="preserve">D19</t>
    </r>
    <r>
      <rPr>
        <sz val="10"/>
        <color rgb="FF000000"/>
        <rFont val="Noto Sans CJK SC"/>
        <family val="2"/>
      </rPr>
      <t xml:space="preserve">）、</t>
    </r>
    <r>
      <rPr>
        <sz val="10"/>
        <color rgb="FF000000"/>
        <rFont val="Arial"/>
        <family val="0"/>
        <charset val="1"/>
      </rPr>
      <t xml:space="preserve">2025</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現金對帳。</t>
    </r>
  </si>
  <si>
    <t xml:space="preserve">Reverse</t>
  </si>
  <si>
    <r>
      <rPr>
        <sz val="10"/>
        <color rgb="FF000000"/>
        <rFont val="Noto Sans CJK SC"/>
        <family val="2"/>
      </rPr>
      <t xml:space="preserve">反向模式（</t>
    </r>
    <r>
      <rPr>
        <sz val="10"/>
        <color rgb="FF000000"/>
        <rFont val="Arial"/>
        <family val="0"/>
        <charset val="1"/>
      </rPr>
      <t xml:space="preserve">D22</t>
    </r>
    <r>
      <rPr>
        <sz val="10"/>
        <color rgb="FF000000"/>
        <rFont val="Noto Sans CJK SC"/>
        <family val="2"/>
      </rPr>
      <t xml:space="preserve">、</t>
    </r>
    <r>
      <rPr>
        <sz val="10"/>
        <color rgb="FF000000"/>
        <rFont val="Arial"/>
        <family val="0"/>
        <charset val="1"/>
      </rPr>
      <t xml:space="preserve">D22r</t>
    </r>
    <r>
      <rPr>
        <sz val="10"/>
        <color rgb="FF000000"/>
        <rFont val="Noto Sans CJK SC"/>
        <family val="2"/>
      </rPr>
      <t xml:space="preserve">；只作對照，不回饋）：①管理層量化目標不存在（</t>
    </r>
    <r>
      <rPr>
        <sz val="10"/>
        <color rgb="FF000000"/>
        <rFont val="Arial"/>
        <family val="0"/>
        <charset val="1"/>
      </rPr>
      <t xml:space="preserve">ARR </t>
    </r>
    <r>
      <rPr>
        <sz val="10"/>
        <color rgb="FF000000"/>
        <rFont val="Noto Sans CJK SC"/>
        <family val="2"/>
      </rPr>
      <t xml:space="preserve">只對照）②分析師共識營收（全部登錄、平均為基準）→ 所需倍數與反向外部資金（同一支出）③市值隱含營收＝</t>
    </r>
    <r>
      <rPr>
        <sz val="10"/>
        <color rgb="FF000000"/>
        <rFont val="Arial"/>
        <family val="0"/>
        <charset val="1"/>
      </rPr>
      <t xml:space="preserve">EV ÷ </t>
    </r>
    <r>
      <rPr>
        <sz val="10"/>
        <color rgb="FF000000"/>
        <rFont val="Noto Sans CJK SC"/>
        <family val="2"/>
      </rPr>
      <t xml:space="preserve">同業（</t>
    </r>
    <r>
      <rPr>
        <sz val="10"/>
        <color rgb="FF000000"/>
        <rFont val="Arial"/>
        <family val="0"/>
        <charset val="1"/>
      </rPr>
      <t xml:space="preserve">MiniMax</t>
    </r>
    <r>
      <rPr>
        <sz val="10"/>
        <color rgb="FF000000"/>
        <rFont val="Noto Sans CJK SC"/>
        <family val="2"/>
      </rPr>
      <t xml:space="preserve">）</t>
    </r>
    <r>
      <rPr>
        <sz val="10"/>
        <color rgb="FF000000"/>
        <rFont val="Arial"/>
        <family val="0"/>
        <charset val="1"/>
      </rPr>
      <t xml:space="preserve">EV</t>
    </r>
    <r>
      <rPr>
        <sz val="10"/>
        <color rgb="FF000000"/>
        <rFont val="Noto Sans CJK SC"/>
        <family val="2"/>
      </rPr>
      <t xml:space="preserve">／年化營收。</t>
    </r>
  </si>
  <si>
    <t xml:space="preserve">Checks</t>
  </si>
  <si>
    <r>
      <rPr>
        <sz val="10"/>
        <color rgb="FF000000"/>
        <rFont val="Arial"/>
        <family val="0"/>
        <charset val="1"/>
      </rPr>
      <t xml:space="preserve">C01 </t>
    </r>
    <r>
      <rPr>
        <sz val="10"/>
        <color rgb="FF000000"/>
        <rFont val="Noto Sans CJK SC"/>
        <family val="2"/>
      </rPr>
      <t xml:space="preserve">起；</t>
    </r>
    <r>
      <rPr>
        <sz val="10"/>
        <color rgb="FF000000"/>
        <rFont val="Arial"/>
        <family val="0"/>
        <charset val="1"/>
      </rPr>
      <t xml:space="preserve">CHK_Errors </t>
    </r>
    <r>
      <rPr>
        <sz val="10"/>
        <color rgb="FF000000"/>
        <rFont val="Noto Sans CJK SC"/>
        <family val="2"/>
      </rPr>
      <t xml:space="preserve">必須為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WARN</t>
    </r>
    <r>
      <rPr>
        <sz val="10"/>
        <color rgb="FF000000"/>
        <rFont val="Noto Sans CJK SC"/>
        <family val="2"/>
      </rPr>
      <t xml:space="preserve">（</t>
    </r>
    <r>
      <rPr>
        <sz val="10"/>
        <color rgb="FF000000"/>
        <rFont val="Arial"/>
        <family val="0"/>
        <charset val="1"/>
      </rPr>
      <t xml:space="preserve">ARR</t>
    </r>
    <r>
      <rPr>
        <sz val="10"/>
        <color rgb="FF000000"/>
        <rFont val="Noto Sans CJK SC"/>
        <family val="2"/>
      </rPr>
      <t xml:space="preserve">、</t>
    </r>
    <r>
      <rPr>
        <sz val="10"/>
        <color rgb="FF000000"/>
        <rFont val="Arial"/>
        <family val="0"/>
        <charset val="1"/>
      </rPr>
      <t xml:space="preserve">η </t>
    </r>
    <r>
      <rPr>
        <sz val="10"/>
        <color rgb="FF000000"/>
        <rFont val="Noto Sans CJK SC"/>
        <family val="2"/>
      </rPr>
      <t xml:space="preserve">合理範圍、國產晶片 </t>
    </r>
    <r>
      <rPr>
        <sz val="10"/>
        <color rgb="FF000000"/>
        <rFont val="Arial"/>
        <family val="0"/>
        <charset val="1"/>
      </rPr>
      <t xml:space="preserve">GW </t>
    </r>
    <r>
      <rPr>
        <sz val="10"/>
        <color rgb="FF000000"/>
        <rFont val="Noto Sans CJK SC"/>
        <family val="2"/>
      </rPr>
      <t xml:space="preserve">對照）與 </t>
    </r>
    <r>
      <rPr>
        <sz val="10"/>
        <color rgb="FF000000"/>
        <rFont val="Arial"/>
        <family val="0"/>
        <charset val="1"/>
      </rPr>
      <t xml:space="preserve">INFO </t>
    </r>
    <r>
      <rPr>
        <sz val="10"/>
        <color rgb="FF000000"/>
        <rFont val="Noto Sans CJK SC"/>
        <family val="2"/>
      </rPr>
      <t xml:space="preserve">不計入。</t>
    </r>
  </si>
  <si>
    <t xml:space="preserve">標記</t>
  </si>
  <si>
    <r>
      <rPr>
        <sz val="10"/>
        <color rgb="FF000000"/>
        <rFont val="Arial"/>
        <family val="0"/>
        <charset val="1"/>
      </rPr>
      <t xml:space="preserve">Verified</t>
    </r>
    <r>
      <rPr>
        <sz val="10"/>
        <color rgb="FF000000"/>
        <rFont val="Noto Sans CJK SC"/>
        <family val="2"/>
      </rPr>
      <t xml:space="preserve">／</t>
    </r>
    <r>
      <rPr>
        <sz val="10"/>
        <color rgb="FF000000"/>
        <rFont val="Arial"/>
        <family val="0"/>
        <charset val="1"/>
      </rPr>
      <t xml:space="preserve">Interested-party</t>
    </r>
    <r>
      <rPr>
        <sz val="10"/>
        <color rgb="FF000000"/>
        <rFont val="Noto Sans CJK SC"/>
        <family val="2"/>
      </rPr>
      <t xml:space="preserve">／</t>
    </r>
    <r>
      <rPr>
        <sz val="10"/>
        <color rgb="FF000000"/>
        <rFont val="Arial"/>
        <family val="0"/>
        <charset val="1"/>
      </rPr>
      <t xml:space="preserve">Analogy</t>
    </r>
    <r>
      <rPr>
        <sz val="10"/>
        <color rgb="FF000000"/>
        <rFont val="Noto Sans CJK SC"/>
        <family val="2"/>
      </rPr>
      <t xml:space="preserve">／</t>
    </r>
    <r>
      <rPr>
        <sz val="10"/>
        <color rgb="FF000000"/>
        <rFont val="Arial"/>
        <family val="0"/>
        <charset val="1"/>
      </rPr>
      <t xml:space="preserve">Assumed</t>
    </r>
    <r>
      <rPr>
        <sz val="10"/>
        <color rgb="FF000000"/>
        <rFont val="Noto Sans CJK SC"/>
        <family val="2"/>
      </rPr>
      <t xml:space="preserve">／</t>
    </r>
    <r>
      <rPr>
        <sz val="10"/>
        <color rgb="FF000000"/>
        <rFont val="Arial"/>
        <family val="0"/>
        <charset val="1"/>
      </rPr>
      <t xml:space="preserve">Derived</t>
    </r>
    <r>
      <rPr>
        <sz val="10"/>
        <color rgb="FF000000"/>
        <rFont val="Noto Sans CJK SC"/>
        <family val="2"/>
      </rPr>
      <t xml:space="preserve">／</t>
    </r>
    <r>
      <rPr>
        <sz val="10"/>
        <color rgb="FF000000"/>
        <rFont val="Arial"/>
        <family val="0"/>
        <charset val="1"/>
      </rPr>
      <t xml:space="preserve">Decision</t>
    </r>
    <r>
      <rPr>
        <sz val="10"/>
        <color rgb="FF000000"/>
        <rFont val="Noto Sans CJK SC"/>
        <family val="2"/>
      </rPr>
      <t xml:space="preserve">（</t>
    </r>
    <r>
      <rPr>
        <sz val="10"/>
        <color rgb="FF000000"/>
        <rFont val="Arial"/>
        <family val="0"/>
        <charset val="1"/>
      </rPr>
      <t xml:space="preserve">Analogy</t>
    </r>
    <r>
      <rPr>
        <sz val="10"/>
        <color rgb="FF000000"/>
        <rFont val="Noto Sans CJK SC"/>
        <family val="2"/>
      </rPr>
      <t xml:space="preserve">、</t>
    </r>
    <r>
      <rPr>
        <sz val="10"/>
        <color rgb="FF000000"/>
        <rFont val="Arial"/>
        <family val="0"/>
        <charset val="1"/>
      </rPr>
      <t xml:space="preserve">Assumed </t>
    </r>
    <r>
      <rPr>
        <sz val="10"/>
        <color rgb="FF000000"/>
        <rFont val="Noto Sans CJK SC"/>
        <family val="2"/>
      </rPr>
      <t xml:space="preserve">一律附區間）。</t>
    </r>
  </si>
  <si>
    <t xml:space="preserve">分層</t>
  </si>
  <si>
    <r>
      <rPr>
        <sz val="10"/>
        <color rgb="FF000000"/>
        <rFont val="Noto Sans CJK SC"/>
        <family val="2"/>
      </rPr>
      <t xml:space="preserve">公司財務原始數據→</t>
    </r>
    <r>
      <rPr>
        <sz val="10"/>
        <color rgb="FF000000"/>
        <rFont val="Arial"/>
        <family val="0"/>
        <charset val="1"/>
      </rPr>
      <t xml:space="preserve">SRC_ZP</t>
    </r>
    <r>
      <rPr>
        <sz val="10"/>
        <color rgb="FF000000"/>
        <rFont val="Noto Sans CJK SC"/>
        <family val="2"/>
      </rPr>
      <t xml:space="preserve">；</t>
    </r>
    <r>
      <rPr>
        <sz val="10"/>
        <color rgb="FF000000"/>
        <rFont val="Arial"/>
        <family val="0"/>
        <charset val="1"/>
      </rPr>
      <t xml:space="preserve">AI </t>
    </r>
    <r>
      <rPr>
        <sz val="10"/>
        <color rgb="FF000000"/>
        <rFont val="Noto Sans CJK SC"/>
        <family val="2"/>
      </rPr>
      <t xml:space="preserve">技術與算力→</t>
    </r>
    <r>
      <rPr>
        <sz val="10"/>
        <color rgb="FF000000"/>
        <rFont val="Arial"/>
        <family val="0"/>
        <charset val="1"/>
      </rPr>
      <t xml:space="preserve">TK_Link</t>
    </r>
    <r>
      <rPr>
        <sz val="10"/>
        <color rgb="FF000000"/>
        <rFont val="Noto Sans CJK SC"/>
        <family val="2"/>
      </rPr>
      <t xml:space="preserve">（取自 </t>
    </r>
    <r>
      <rPr>
        <sz val="10"/>
        <color rgb="FF000000"/>
        <rFont val="Arial"/>
        <family val="0"/>
        <charset val="1"/>
      </rPr>
      <t xml:space="preserve">Tokenomics</t>
    </r>
    <r>
      <rPr>
        <sz val="10"/>
        <color rgb="FF000000"/>
        <rFont val="Noto Sans CJK SC"/>
        <family val="2"/>
      </rPr>
      <t xml:space="preserve">）；假設→</t>
    </r>
    <r>
      <rPr>
        <sz val="10"/>
        <color rgb="FF000000"/>
        <rFont val="Arial"/>
        <family val="0"/>
        <charset val="1"/>
      </rPr>
      <t xml:space="preserve">Inputs</t>
    </r>
    <r>
      <rPr>
        <sz val="10"/>
        <color rgb="FF000000"/>
        <rFont val="Noto Sans CJK SC"/>
        <family val="2"/>
      </rPr>
      <t xml:space="preserve">；</t>
    </r>
    <r>
      <rPr>
        <sz val="10"/>
        <color rgb="FF000000"/>
        <rFont val="Arial"/>
        <family val="0"/>
        <charset val="1"/>
      </rPr>
      <t xml:space="preserve">OpenAI </t>
    </r>
    <r>
      <rPr>
        <sz val="10"/>
        <color rgb="FF000000"/>
        <rFont val="Noto Sans CJK SC"/>
        <family val="2"/>
      </rPr>
      <t xml:space="preserve">對照→</t>
    </r>
    <r>
      <rPr>
        <sz val="10"/>
        <color rgb="FF000000"/>
        <rFont val="Arial"/>
        <family val="0"/>
        <charset val="1"/>
      </rPr>
      <t xml:space="preserve">OAI_Link</t>
    </r>
    <r>
      <rPr>
        <sz val="10"/>
        <color rgb="FF000000"/>
        <rFont val="Noto Sans CJK SC"/>
        <family val="2"/>
      </rPr>
      <t xml:space="preserve">（不進計算）。</t>
    </r>
  </si>
  <si>
    <r>
      <rPr>
        <b val="true"/>
        <sz val="13"/>
        <rFont val="Arial"/>
        <family val="0"/>
        <charset val="1"/>
      </rPr>
      <t xml:space="preserve">SRC_ZP — </t>
    </r>
    <r>
      <rPr>
        <b val="true"/>
        <sz val="13"/>
        <rFont val="Noto Sans CJK SC"/>
        <family val="2"/>
      </rPr>
      <t xml:space="preserve">第 </t>
    </r>
    <r>
      <rPr>
        <b val="true"/>
        <sz val="13"/>
        <rFont val="Arial"/>
        <family val="0"/>
        <charset val="1"/>
      </rPr>
      <t xml:space="preserve">0 </t>
    </r>
    <r>
      <rPr>
        <b val="true"/>
        <sz val="13"/>
        <rFont val="Noto Sans CJK SC"/>
        <family val="2"/>
      </rPr>
      <t xml:space="preserve">層 </t>
    </r>
    <r>
      <rPr>
        <b val="true"/>
        <sz val="13"/>
        <rFont val="Arial"/>
        <family val="0"/>
        <charset val="1"/>
      </rPr>
      <t xml:space="preserve">Source</t>
    </r>
    <r>
      <rPr>
        <b val="true"/>
        <sz val="13"/>
        <rFont val="Noto Sans CJK SC"/>
        <family val="2"/>
      </rPr>
      <t xml:space="preserve">：智譜公司財務原始數據（財報、分部、牌價、用戶、算力採購、融資、股本與市值）</t>
    </r>
  </si>
  <si>
    <r>
      <rPr>
        <sz val="9"/>
        <color rgb="FF595959"/>
        <rFont val="Noto Sans CJK SC"/>
        <family val="2"/>
      </rPr>
      <t xml:space="preserve">只存已取得的原始訊息（非計算、非假設）。藍字＝原始值，由本活頁簿擁有；來源 </t>
    </r>
    <r>
      <rPr>
        <sz val="9"/>
        <color rgb="FF595959"/>
        <rFont val="Arial"/>
        <family val="0"/>
        <charset val="1"/>
      </rPr>
      <t xml:space="preserve">data/zhipu_src.yaml</t>
    </r>
    <r>
      <rPr>
        <sz val="9"/>
        <color rgb="FF595959"/>
        <rFont val="Noto Sans CJK SC"/>
        <family val="2"/>
      </rPr>
      <t xml:space="preserve">（</t>
    </r>
    <r>
      <rPr>
        <sz val="9"/>
        <color rgb="FF595959"/>
        <rFont val="Arial"/>
        <family val="0"/>
        <charset val="1"/>
      </rPr>
      <t xml:space="preserve">Z1</t>
    </r>
    <r>
      <rPr>
        <sz val="9"/>
        <color rgb="FF595959"/>
        <rFont val="Noto Sans CJK SC"/>
        <family val="2"/>
      </rPr>
      <t xml:space="preserve">）。</t>
    </r>
    <r>
      <rPr>
        <sz val="9"/>
        <color rgb="FF595959"/>
        <rFont val="Arial"/>
        <family val="0"/>
        <charset val="1"/>
      </rPr>
      <t xml:space="preserve">AI </t>
    </r>
    <r>
      <rPr>
        <sz val="9"/>
        <color rgb="FF595959"/>
        <rFont val="Noto Sans CJK SC"/>
        <family val="2"/>
      </rPr>
      <t xml:space="preserve">技術與算力的物理數據不在此登錄（取自 </t>
    </r>
    <r>
      <rPr>
        <sz val="9"/>
        <color rgb="FF595959"/>
        <rFont val="Arial"/>
        <family val="0"/>
        <charset val="1"/>
      </rPr>
      <t xml:space="preserve">TK_Link</t>
    </r>
    <r>
      <rPr>
        <sz val="9"/>
        <color rgb="FF595959"/>
        <rFont val="Noto Sans CJK SC"/>
        <family val="2"/>
      </rPr>
      <t xml:space="preserve">）。</t>
    </r>
  </si>
  <si>
    <r>
      <rPr>
        <sz val="9"/>
        <color rgb="FF595959"/>
        <rFont val="Noto Sans CJK SC"/>
        <family val="2"/>
      </rPr>
      <t xml:space="preserve">來源等級（</t>
    </r>
    <r>
      <rPr>
        <sz val="9"/>
        <color rgb="FF595959"/>
        <rFont val="Arial"/>
        <family val="0"/>
        <charset val="1"/>
      </rPr>
      <t xml:space="preserve">1 </t>
    </r>
    <r>
      <rPr>
        <sz val="9"/>
        <color rgb="FF595959"/>
        <rFont val="Noto Sans CJK SC"/>
        <family val="2"/>
      </rPr>
      <t xml:space="preserve">一手已讀原文／</t>
    </r>
    <r>
      <rPr>
        <sz val="9"/>
        <color rgb="FF595959"/>
        <rFont val="Arial"/>
        <family val="0"/>
        <charset val="1"/>
      </rPr>
      <t xml:space="preserve">2 </t>
    </r>
    <r>
      <rPr>
        <sz val="9"/>
        <color rgb="FF595959"/>
        <rFont val="Noto Sans CJK SC"/>
        <family val="2"/>
      </rPr>
      <t xml:space="preserve">二手或轉載／</t>
    </r>
    <r>
      <rPr>
        <sz val="9"/>
        <color rgb="FF595959"/>
        <rFont val="Arial"/>
        <family val="0"/>
        <charset val="1"/>
      </rPr>
      <t xml:space="preserve">3 </t>
    </r>
    <r>
      <rPr>
        <sz val="9"/>
        <color rgb="FF595959"/>
        <rFont val="Noto Sans CJK SC"/>
        <family val="2"/>
      </rPr>
      <t xml:space="preserve">待查核）、立場、立場說明、一手／二手：</t>
    </r>
    <r>
      <rPr>
        <sz val="9"/>
        <color rgb="FF595959"/>
        <rFont val="Arial"/>
        <family val="0"/>
        <charset val="1"/>
      </rPr>
      <t xml:space="preserve">builder/source_rules.py </t>
    </r>
    <r>
      <rPr>
        <sz val="9"/>
        <color rgb="FF595959"/>
        <rFont val="Noto Sans CJK SC"/>
        <family val="2"/>
      </rPr>
      <t xml:space="preserve">機械初評（欄 </t>
    </r>
    <r>
      <rPr>
        <sz val="9"/>
        <color rgb="FF595959"/>
        <rFont val="Arial"/>
        <family val="0"/>
        <charset val="1"/>
      </rPr>
      <t xml:space="preserve">X </t>
    </r>
    <r>
      <rPr>
        <sz val="9"/>
        <color rgb="FF595959"/>
        <rFont val="Noto Sans CJK SC"/>
        <family val="2"/>
      </rPr>
      <t xml:space="preserve">標『</t>
    </r>
    <r>
      <rPr>
        <sz val="9"/>
        <color rgb="FF595959"/>
        <rFont val="Arial"/>
        <family val="0"/>
        <charset val="1"/>
      </rPr>
      <t xml:space="preserve">CC </t>
    </r>
    <r>
      <rPr>
        <sz val="9"/>
        <color rgb="FF595959"/>
        <rFont val="Noto Sans CJK SC"/>
        <family val="2"/>
      </rPr>
      <t xml:space="preserve">初評』）。無數值列＝日期、事件或找不到數值的說明列（另見 </t>
    </r>
    <r>
      <rPr>
        <sz val="9"/>
        <color rgb="FF595959"/>
        <rFont val="Arial"/>
        <family val="0"/>
        <charset val="1"/>
      </rPr>
      <t xml:space="preserve">Checks</t>
    </r>
    <r>
      <rPr>
        <sz val="9"/>
        <color rgb="FF595959"/>
        <rFont val="Noto Sans CJK SC"/>
        <family val="2"/>
      </rPr>
      <t xml:space="preserve">）。</t>
    </r>
  </si>
  <si>
    <t xml:space="preserve">SRC_ID</t>
  </si>
  <si>
    <r>
      <rPr>
        <b val="true"/>
        <sz val="10"/>
        <rFont val="Noto Sans CJK SC"/>
        <family val="2"/>
      </rPr>
      <t xml:space="preserve">鍵（</t>
    </r>
    <r>
      <rPr>
        <b val="true"/>
        <sz val="10"/>
        <rFont val="Arial"/>
        <family val="0"/>
        <charset val="1"/>
      </rPr>
      <t xml:space="preserve">key</t>
    </r>
    <r>
      <rPr>
        <b val="true"/>
        <sz val="10"/>
        <rFont val="Noto Sans CJK SC"/>
        <family val="2"/>
      </rPr>
      <t xml:space="preserve">）</t>
    </r>
  </si>
  <si>
    <t xml:space="preserve">項目</t>
  </si>
  <si>
    <t xml:space="preserve">值</t>
  </si>
  <si>
    <t xml:space="preserve">低</t>
  </si>
  <si>
    <t xml:space="preserve">高</t>
  </si>
  <si>
    <t xml:space="preserve">單位</t>
  </si>
  <si>
    <t xml:space="preserve">期間</t>
  </si>
  <si>
    <t xml:space="preserve">來源</t>
  </si>
  <si>
    <t xml:space="preserve">網址</t>
  </si>
  <si>
    <t xml:space="preserve">文件日期</t>
  </si>
  <si>
    <t xml:space="preserve">擷取日</t>
  </si>
  <si>
    <t xml:space="preserve">利害方與誘因</t>
  </si>
  <si>
    <r>
      <rPr>
        <b val="true"/>
        <sz val="10"/>
        <rFont val="Noto Sans CJK SC"/>
        <family val="2"/>
      </rPr>
      <t xml:space="preserve">口徑（</t>
    </r>
    <r>
      <rPr>
        <b val="true"/>
        <sz val="10"/>
        <rFont val="Arial"/>
        <family val="0"/>
        <charset val="1"/>
      </rPr>
      <t xml:space="preserve">basis</t>
    </r>
    <r>
      <rPr>
        <b val="true"/>
        <sz val="10"/>
        <rFont val="Noto Sans CJK SC"/>
        <family val="2"/>
      </rPr>
      <t xml:space="preserve">）</t>
    </r>
  </si>
  <si>
    <t xml:space="preserve">來源等級</t>
  </si>
  <si>
    <t xml:space="preserve">立場</t>
  </si>
  <si>
    <t xml:space="preserve">立場說明</t>
  </si>
  <si>
    <t xml:space="preserve">一手／二手</t>
  </si>
  <si>
    <t xml:space="preserve">備註</t>
  </si>
  <si>
    <t xml:space="preserve">無數值（公式）</t>
  </si>
  <si>
    <t xml:space="preserve">缺出處（公式）</t>
  </si>
  <si>
    <t xml:space="preserve">區間順序異常（公式）</t>
  </si>
  <si>
    <t xml:space="preserve">四欄標註</t>
  </si>
  <si>
    <t xml:space="preserve">SRC_ZP_001</t>
  </si>
  <si>
    <t xml:space="preserve">rev_total_fy22</t>
  </si>
  <si>
    <t xml:space="preserve">營收總額</t>
  </si>
  <si>
    <r>
      <rPr>
        <sz val="10"/>
        <color rgb="FF000000"/>
        <rFont val="Arial"/>
        <family val="0"/>
        <charset val="1"/>
      </rPr>
      <t xml:space="preserve">RMB </t>
    </r>
    <r>
      <rPr>
        <sz val="10"/>
        <color rgb="FF000000"/>
        <rFont val="Noto Sans CJK SC"/>
        <family val="2"/>
      </rPr>
      <t xml:space="preserve">億</t>
    </r>
  </si>
  <si>
    <t xml:space="preserve">FY2022</t>
  </si>
  <si>
    <t xml:space="preserve">智譜招股章程（概要節）</t>
  </si>
  <si>
    <t xml:space="preserve">https://www1.hkexnews.hk/listedco/listconews/sehk/2025/1230/2025123000018_c.pdf</t>
  </si>
  <si>
    <t xml:space="preserve">2025-12-30</t>
  </si>
  <si>
    <t xml:space="preserve">2026-10-08</t>
  </si>
  <si>
    <t xml:space="preserve">Verified</t>
  </si>
  <si>
    <t xml:space="preserve">經審計（會計師報告，招股章程概要轉載）</t>
  </si>
  <si>
    <t xml:space="preserve">1</t>
  </si>
  <si>
    <t xml:space="preserve">利害關係方</t>
  </si>
  <si>
    <t xml:space="preserve">經審計或經審閱的公司公告（誘因：上市後股價、配售；數字可由公告原文核對）</t>
  </si>
  <si>
    <t xml:space="preserve">一手</t>
  </si>
  <si>
    <r>
      <rPr>
        <sz val="10"/>
        <color rgb="FF000000"/>
        <rFont val="Noto Sans CJK SC"/>
        <family val="2"/>
      </rPr>
      <t xml:space="preserve">原文「收入 </t>
    </r>
    <r>
      <rPr>
        <sz val="10"/>
        <color rgb="FF000000"/>
        <rFont val="Arial"/>
        <family val="0"/>
        <charset val="1"/>
      </rPr>
      <t xml:space="preserve">57,409 100.0</t>
    </r>
    <r>
      <rPr>
        <sz val="10"/>
        <color rgb="FF000000"/>
        <rFont val="Noto Sans CJK SC"/>
        <family val="2"/>
      </rPr>
      <t xml:space="preserve">」；千元值 </t>
    </r>
    <r>
      <rPr>
        <sz val="10"/>
        <color rgb="FF000000"/>
        <rFont val="Arial"/>
        <family val="0"/>
        <charset val="1"/>
      </rPr>
      <t xml:space="preserve">57,409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</si>
  <si>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r>
      <rPr>
        <sz val="9"/>
        <color rgb="FF595959"/>
        <rFont val="Arial"/>
        <family val="0"/>
        <charset val="1"/>
      </rPr>
      <t xml:space="preserve">CC </t>
    </r>
    <r>
      <rPr>
        <sz val="9"/>
        <color rgb="FF595959"/>
        <rFont val="Noto Sans CJK SC"/>
        <family val="2"/>
      </rPr>
      <t xml:space="preserve">初評</t>
    </r>
  </si>
  <si>
    <t xml:space="preserve">SRC_ZP_002</t>
  </si>
  <si>
    <t xml:space="preserve">rev_total_fy23</t>
  </si>
  <si>
    <t xml:space="preserve">FY2023</t>
  </si>
  <si>
    <r>
      <rPr>
        <sz val="10"/>
        <color rgb="FF000000"/>
        <rFont val="Noto Sans CJK SC"/>
        <family val="2"/>
      </rPr>
      <t xml:space="preserve">原文「收入 </t>
    </r>
    <r>
      <rPr>
        <sz val="10"/>
        <color rgb="FF000000"/>
        <rFont val="Arial"/>
        <family val="0"/>
        <charset val="1"/>
      </rPr>
      <t xml:space="preserve">57,409 100.0</t>
    </r>
    <r>
      <rPr>
        <sz val="10"/>
        <color rgb="FF000000"/>
        <rFont val="Noto Sans CJK SC"/>
        <family val="2"/>
      </rPr>
      <t xml:space="preserve">」；千元值 </t>
    </r>
    <r>
      <rPr>
        <sz val="10"/>
        <color rgb="FF000000"/>
        <rFont val="Arial"/>
        <family val="0"/>
        <charset val="1"/>
      </rPr>
      <t xml:space="preserve">124,538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</si>
  <si>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SRC_ZP_003</t>
  </si>
  <si>
    <t xml:space="preserve">rev_total_fy24</t>
  </si>
  <si>
    <t xml:space="preserve">FY2024</t>
  </si>
  <si>
    <r>
      <rPr>
        <sz val="10"/>
        <color rgb="FF000000"/>
        <rFont val="Noto Sans CJK SC"/>
        <family val="2"/>
      </rPr>
      <t xml:space="preserve">原文「收入 </t>
    </r>
    <r>
      <rPr>
        <sz val="10"/>
        <color rgb="FF000000"/>
        <rFont val="Arial"/>
        <family val="0"/>
        <charset val="1"/>
      </rPr>
      <t xml:space="preserve">57,409 100.0</t>
    </r>
    <r>
      <rPr>
        <sz val="10"/>
        <color rgb="FF000000"/>
        <rFont val="Noto Sans CJK SC"/>
        <family val="2"/>
      </rPr>
      <t xml:space="preserve">」；千元值 </t>
    </r>
    <r>
      <rPr>
        <sz val="10"/>
        <color rgb="FF000000"/>
        <rFont val="Arial"/>
        <family val="0"/>
        <charset val="1"/>
      </rPr>
      <t xml:space="preserve">312,414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</si>
  <si>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SRC_ZP_004</t>
  </si>
  <si>
    <t xml:space="preserve">rev_total_1h24</t>
  </si>
  <si>
    <t xml:space="preserve">1H2024</t>
  </si>
  <si>
    <r>
      <rPr>
        <sz val="10"/>
        <color rgb="FF000000"/>
        <rFont val="Noto Sans CJK SC"/>
        <family val="2"/>
      </rPr>
      <t xml:space="preserve">會計師報告（</t>
    </r>
    <r>
      <rPr>
        <sz val="10"/>
        <color rgb="FF000000"/>
        <rFont val="Arial"/>
        <family val="0"/>
        <charset val="1"/>
      </rPr>
      <t xml:space="preserve">1H2024 </t>
    </r>
    <r>
      <rPr>
        <sz val="10"/>
        <color rgb="FF000000"/>
        <rFont val="Noto Sans CJK SC"/>
        <family val="2"/>
      </rPr>
      <t xml:space="preserve">比較期通常為未經審計已審閱；招股章程概要轉載）</t>
    </r>
  </si>
  <si>
    <r>
      <rPr>
        <sz val="10"/>
        <color rgb="FF000000"/>
        <rFont val="Noto Sans CJK SC"/>
        <family val="2"/>
      </rPr>
      <t xml:space="preserve">原文「收入 </t>
    </r>
    <r>
      <rPr>
        <sz val="10"/>
        <color rgb="FF000000"/>
        <rFont val="Arial"/>
        <family val="0"/>
        <charset val="1"/>
      </rPr>
      <t xml:space="preserve">57,409 100.0</t>
    </r>
    <r>
      <rPr>
        <sz val="10"/>
        <color rgb="FF000000"/>
        <rFont val="Noto Sans CJK SC"/>
        <family val="2"/>
      </rPr>
      <t xml:space="preserve">」；千元值 </t>
    </r>
    <r>
      <rPr>
        <sz val="10"/>
        <color rgb="FF000000"/>
        <rFont val="Arial"/>
        <family val="0"/>
        <charset val="1"/>
      </rPr>
      <t xml:space="preserve">44,909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</si>
  <si>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SRC_ZP_005</t>
  </si>
  <si>
    <t xml:space="preserve">rev_total_1h25</t>
  </si>
  <si>
    <t xml:space="preserve">1H2025</t>
  </si>
  <si>
    <r>
      <rPr>
        <sz val="10"/>
        <color rgb="FF000000"/>
        <rFont val="Noto Sans CJK SC"/>
        <family val="2"/>
      </rPr>
      <t xml:space="preserve">原文「收入 </t>
    </r>
    <r>
      <rPr>
        <sz val="10"/>
        <color rgb="FF000000"/>
        <rFont val="Arial"/>
        <family val="0"/>
        <charset val="1"/>
      </rPr>
      <t xml:space="preserve">57,409 100.0</t>
    </r>
    <r>
      <rPr>
        <sz val="10"/>
        <color rgb="FF000000"/>
        <rFont val="Noto Sans CJK SC"/>
        <family val="2"/>
      </rPr>
      <t xml:space="preserve">」；千元值 </t>
    </r>
    <r>
      <rPr>
        <sz val="10"/>
        <color rgb="FF000000"/>
        <rFont val="Arial"/>
        <family val="0"/>
        <charset val="1"/>
      </rPr>
      <t xml:space="preserve">190,877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</si>
  <si>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SRC_ZP_006</t>
  </si>
  <si>
    <t xml:space="preserve">rev_onprem_fy22</t>
  </si>
  <si>
    <t xml:space="preserve">本地化部署收入（舊分部）</t>
  </si>
  <si>
    <r>
      <rPr>
        <sz val="10"/>
        <color rgb="FF000000"/>
        <rFont val="Noto Sans CJK SC"/>
        <family val="2"/>
      </rPr>
      <t xml:space="preserve">原文「本地化部署 </t>
    </r>
    <r>
      <rPr>
        <sz val="10"/>
        <color rgb="FF000000"/>
        <rFont val="Arial"/>
        <family val="0"/>
        <charset val="1"/>
      </rPr>
      <t xml:space="preserve">54,815 95.5%</t>
    </r>
    <r>
      <rPr>
        <sz val="10"/>
        <color rgb="FF000000"/>
        <rFont val="Noto Sans CJK SC"/>
        <family val="2"/>
      </rPr>
      <t xml:space="preserve">」；千元值 </t>
    </r>
    <r>
      <rPr>
        <sz val="10"/>
        <color rgb="FF000000"/>
        <rFont val="Arial"/>
        <family val="0"/>
        <charset val="1"/>
      </rPr>
      <t xml:space="preserve">54,815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95.5/90.4/84.5/59.7/84.8%</t>
    </r>
  </si>
  <si>
    <t xml:space="preserve">SRC_ZP_007</t>
  </si>
  <si>
    <t xml:space="preserve">rev_onprem_fy23</t>
  </si>
  <si>
    <r>
      <rPr>
        <sz val="10"/>
        <color rgb="FF000000"/>
        <rFont val="Noto Sans CJK SC"/>
        <family val="2"/>
      </rPr>
      <t xml:space="preserve">原文「本地化部署 </t>
    </r>
    <r>
      <rPr>
        <sz val="10"/>
        <color rgb="FF000000"/>
        <rFont val="Arial"/>
        <family val="0"/>
        <charset val="1"/>
      </rPr>
      <t xml:space="preserve">54,815 95.5%</t>
    </r>
    <r>
      <rPr>
        <sz val="10"/>
        <color rgb="FF000000"/>
        <rFont val="Noto Sans CJK SC"/>
        <family val="2"/>
      </rPr>
      <t xml:space="preserve">」；千元值 </t>
    </r>
    <r>
      <rPr>
        <sz val="10"/>
        <color rgb="FF000000"/>
        <rFont val="Arial"/>
        <family val="0"/>
        <charset val="1"/>
      </rPr>
      <t xml:space="preserve">112,614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95.5/90.4/84.5/59.7/84.8%</t>
    </r>
  </si>
  <si>
    <t xml:space="preserve">SRC_ZP_008</t>
  </si>
  <si>
    <t xml:space="preserve">rev_onprem_fy24</t>
  </si>
  <si>
    <r>
      <rPr>
        <sz val="10"/>
        <color rgb="FF000000"/>
        <rFont val="Noto Sans CJK SC"/>
        <family val="2"/>
      </rPr>
      <t xml:space="preserve">原文「本地化部署 </t>
    </r>
    <r>
      <rPr>
        <sz val="10"/>
        <color rgb="FF000000"/>
        <rFont val="Arial"/>
        <family val="0"/>
        <charset val="1"/>
      </rPr>
      <t xml:space="preserve">54,815 95.5%</t>
    </r>
    <r>
      <rPr>
        <sz val="10"/>
        <color rgb="FF000000"/>
        <rFont val="Noto Sans CJK SC"/>
        <family val="2"/>
      </rPr>
      <t xml:space="preserve">」；千元值 </t>
    </r>
    <r>
      <rPr>
        <sz val="10"/>
        <color rgb="FF000000"/>
        <rFont val="Arial"/>
        <family val="0"/>
        <charset val="1"/>
      </rPr>
      <t xml:space="preserve">263,930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95.5/90.4/84.5/59.7/84.8%</t>
    </r>
  </si>
  <si>
    <t xml:space="preserve">SRC_ZP_009</t>
  </si>
  <si>
    <t xml:space="preserve">rev_onprem_1h24</t>
  </si>
  <si>
    <r>
      <rPr>
        <sz val="10"/>
        <color rgb="FF000000"/>
        <rFont val="Noto Sans CJK SC"/>
        <family val="2"/>
      </rPr>
      <t xml:space="preserve">原文「本地化部署 </t>
    </r>
    <r>
      <rPr>
        <sz val="10"/>
        <color rgb="FF000000"/>
        <rFont val="Arial"/>
        <family val="0"/>
        <charset val="1"/>
      </rPr>
      <t xml:space="preserve">54,815 95.5%</t>
    </r>
    <r>
      <rPr>
        <sz val="10"/>
        <color rgb="FF000000"/>
        <rFont val="Noto Sans CJK SC"/>
        <family val="2"/>
      </rPr>
      <t xml:space="preserve">」；千元值 </t>
    </r>
    <r>
      <rPr>
        <sz val="10"/>
        <color rgb="FF000000"/>
        <rFont val="Arial"/>
        <family val="0"/>
        <charset val="1"/>
      </rPr>
      <t xml:space="preserve">26,806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95.5/90.4/84.5/59.7/84.8%</t>
    </r>
  </si>
  <si>
    <t xml:space="preserve">SRC_ZP_010</t>
  </si>
  <si>
    <t xml:space="preserve">rev_onprem_1h25</t>
  </si>
  <si>
    <r>
      <rPr>
        <sz val="10"/>
        <color rgb="FF000000"/>
        <rFont val="Noto Sans CJK SC"/>
        <family val="2"/>
      </rPr>
      <t xml:space="preserve">原文「本地化部署 </t>
    </r>
    <r>
      <rPr>
        <sz val="10"/>
        <color rgb="FF000000"/>
        <rFont val="Arial"/>
        <family val="0"/>
        <charset val="1"/>
      </rPr>
      <t xml:space="preserve">54,815 95.5%</t>
    </r>
    <r>
      <rPr>
        <sz val="10"/>
        <color rgb="FF000000"/>
        <rFont val="Noto Sans CJK SC"/>
        <family val="2"/>
      </rPr>
      <t xml:space="preserve">」；千元值 </t>
    </r>
    <r>
      <rPr>
        <sz val="10"/>
        <color rgb="FF000000"/>
        <rFont val="Arial"/>
        <family val="0"/>
        <charset val="1"/>
      </rPr>
      <t xml:space="preserve">161,777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95.5/90.4/84.5/59.7/84.8%</t>
    </r>
  </si>
  <si>
    <t xml:space="preserve">SRC_ZP_011</t>
  </si>
  <si>
    <t xml:space="preserve">rev_cloud_fy22</t>
  </si>
  <si>
    <r>
      <rPr>
        <sz val="10"/>
        <color rgb="FF000000"/>
        <rFont val="Noto Sans CJK SC"/>
        <family val="2"/>
      </rPr>
      <t xml:space="preserve">雲端部署收入（舊分部；＝開放平台及</t>
    </r>
    <r>
      <rPr>
        <sz val="10"/>
        <color rgb="FF000000"/>
        <rFont val="Arial"/>
        <family val="0"/>
        <charset val="1"/>
      </rPr>
      <t xml:space="preserve">API</t>
    </r>
    <r>
      <rPr>
        <sz val="10"/>
        <color rgb="FF000000"/>
        <rFont val="Noto Sans CJK SC"/>
        <family val="2"/>
      </rPr>
      <t xml:space="preserve">）</t>
    </r>
  </si>
  <si>
    <r>
      <rPr>
        <sz val="10"/>
        <color rgb="FF000000"/>
        <rFont val="Noto Sans CJK SC"/>
        <family val="2"/>
      </rPr>
      <t xml:space="preserve">原文「雲端部署 </t>
    </r>
    <r>
      <rPr>
        <sz val="10"/>
        <color rgb="FF000000"/>
        <rFont val="Arial"/>
        <family val="0"/>
        <charset val="1"/>
      </rPr>
      <t xml:space="preserve">2,594 4.5%</t>
    </r>
    <r>
      <rPr>
        <sz val="10"/>
        <color rgb="FF000000"/>
        <rFont val="Noto Sans CJK SC"/>
        <family val="2"/>
      </rPr>
      <t xml:space="preserve">」；千元值 </t>
    </r>
    <r>
      <rPr>
        <sz val="10"/>
        <color rgb="FF000000"/>
        <rFont val="Arial"/>
        <family val="0"/>
        <charset val="1"/>
      </rPr>
      <t xml:space="preserve">2,594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4.5/9.6/15.5/40.3/15.2%</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起新分類下雲端部署＝開放平台及 </t>
    </r>
    <r>
      <rPr>
        <sz val="10"/>
        <color rgb="FF000000"/>
        <rFont val="Arial"/>
        <family val="0"/>
        <charset val="1"/>
      </rPr>
      <t xml:space="preserve">API</t>
    </r>
  </si>
  <si>
    <t xml:space="preserve">SRC_ZP_012</t>
  </si>
  <si>
    <t xml:space="preserve">rev_cloud_fy23</t>
  </si>
  <si>
    <r>
      <rPr>
        <sz val="10"/>
        <color rgb="FF000000"/>
        <rFont val="Noto Sans CJK SC"/>
        <family val="2"/>
      </rPr>
      <t xml:space="preserve">原文「雲端部署 </t>
    </r>
    <r>
      <rPr>
        <sz val="10"/>
        <color rgb="FF000000"/>
        <rFont val="Arial"/>
        <family val="0"/>
        <charset val="1"/>
      </rPr>
      <t xml:space="preserve">2,594 4.5%</t>
    </r>
    <r>
      <rPr>
        <sz val="10"/>
        <color rgb="FF000000"/>
        <rFont val="Noto Sans CJK SC"/>
        <family val="2"/>
      </rPr>
      <t xml:space="preserve">」；千元值 </t>
    </r>
    <r>
      <rPr>
        <sz val="10"/>
        <color rgb="FF000000"/>
        <rFont val="Arial"/>
        <family val="0"/>
        <charset val="1"/>
      </rPr>
      <t xml:space="preserve">11,924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4.5/9.6/15.5/40.3/15.2%</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起新分類下雲端部署＝開放平台及 </t>
    </r>
    <r>
      <rPr>
        <sz val="10"/>
        <color rgb="FF000000"/>
        <rFont val="Arial"/>
        <family val="0"/>
        <charset val="1"/>
      </rPr>
      <t xml:space="preserve">API</t>
    </r>
  </si>
  <si>
    <t xml:space="preserve">SRC_ZP_013</t>
  </si>
  <si>
    <t xml:space="preserve">rev_cloud_fy24</t>
  </si>
  <si>
    <r>
      <rPr>
        <sz val="10"/>
        <color rgb="FF000000"/>
        <rFont val="Noto Sans CJK SC"/>
        <family val="2"/>
      </rPr>
      <t xml:space="preserve">原文「雲端部署 </t>
    </r>
    <r>
      <rPr>
        <sz val="10"/>
        <color rgb="FF000000"/>
        <rFont val="Arial"/>
        <family val="0"/>
        <charset val="1"/>
      </rPr>
      <t xml:space="preserve">2,594 4.5%</t>
    </r>
    <r>
      <rPr>
        <sz val="10"/>
        <color rgb="FF000000"/>
        <rFont val="Noto Sans CJK SC"/>
        <family val="2"/>
      </rPr>
      <t xml:space="preserve">」；千元值 </t>
    </r>
    <r>
      <rPr>
        <sz val="10"/>
        <color rgb="FF000000"/>
        <rFont val="Arial"/>
        <family val="0"/>
        <charset val="1"/>
      </rPr>
      <t xml:space="preserve">48,484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4.5/9.6/15.5/40.3/15.2%</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起新分類下雲端部署＝開放平台及 </t>
    </r>
    <r>
      <rPr>
        <sz val="10"/>
        <color rgb="FF000000"/>
        <rFont val="Arial"/>
        <family val="0"/>
        <charset val="1"/>
      </rPr>
      <t xml:space="preserve">API</t>
    </r>
  </si>
  <si>
    <t xml:space="preserve">SRC_ZP_014</t>
  </si>
  <si>
    <t xml:space="preserve">rev_cloud_1h24</t>
  </si>
  <si>
    <r>
      <rPr>
        <sz val="10"/>
        <color rgb="FF000000"/>
        <rFont val="Noto Sans CJK SC"/>
        <family val="2"/>
      </rPr>
      <t xml:space="preserve">原文「雲端部署 </t>
    </r>
    <r>
      <rPr>
        <sz val="10"/>
        <color rgb="FF000000"/>
        <rFont val="Arial"/>
        <family val="0"/>
        <charset val="1"/>
      </rPr>
      <t xml:space="preserve">2,594 4.5%</t>
    </r>
    <r>
      <rPr>
        <sz val="10"/>
        <color rgb="FF000000"/>
        <rFont val="Noto Sans CJK SC"/>
        <family val="2"/>
      </rPr>
      <t xml:space="preserve">」；千元值 </t>
    </r>
    <r>
      <rPr>
        <sz val="10"/>
        <color rgb="FF000000"/>
        <rFont val="Arial"/>
        <family val="0"/>
        <charset val="1"/>
      </rPr>
      <t xml:space="preserve">18,103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4.5/9.6/15.5/40.3/15.2%</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起新分類下雲端部署＝開放平台及 </t>
    </r>
    <r>
      <rPr>
        <sz val="10"/>
        <color rgb="FF000000"/>
        <rFont val="Arial"/>
        <family val="0"/>
        <charset val="1"/>
      </rPr>
      <t xml:space="preserve">API</t>
    </r>
  </si>
  <si>
    <t xml:space="preserve">SRC_ZP_015</t>
  </si>
  <si>
    <t xml:space="preserve">rev_cloud_1h25</t>
  </si>
  <si>
    <r>
      <rPr>
        <sz val="10"/>
        <color rgb="FF000000"/>
        <rFont val="Noto Sans CJK SC"/>
        <family val="2"/>
      </rPr>
      <t xml:space="preserve">原文「雲端部署 </t>
    </r>
    <r>
      <rPr>
        <sz val="10"/>
        <color rgb="FF000000"/>
        <rFont val="Arial"/>
        <family val="0"/>
        <charset val="1"/>
      </rPr>
      <t xml:space="preserve">2,594 4.5%</t>
    </r>
    <r>
      <rPr>
        <sz val="10"/>
        <color rgb="FF000000"/>
        <rFont val="Noto Sans CJK SC"/>
        <family val="2"/>
      </rPr>
      <t xml:space="preserve">」；千元值 </t>
    </r>
    <r>
      <rPr>
        <sz val="10"/>
        <color rgb="FF000000"/>
        <rFont val="Arial"/>
        <family val="0"/>
        <charset val="1"/>
      </rPr>
      <t xml:space="preserve">29,100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4.5/9.6/15.5/40.3/15.2%</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起新分類下雲端部署＝開放平台及 </t>
    </r>
    <r>
      <rPr>
        <sz val="10"/>
        <color rgb="FF000000"/>
        <rFont val="Arial"/>
        <family val="0"/>
        <charset val="1"/>
      </rPr>
      <t xml:space="preserve">API</t>
    </r>
  </si>
  <si>
    <t xml:space="preserve">SRC_ZP_016</t>
  </si>
  <si>
    <t xml:space="preserve">cogs_fy22</t>
  </si>
  <si>
    <t xml:space="preserve">銷售成本（營業成本）</t>
  </si>
  <si>
    <r>
      <rPr>
        <sz val="10"/>
        <color rgb="FF000000"/>
        <rFont val="Noto Sans CJK SC"/>
        <family val="2"/>
      </rPr>
      <t xml:space="preserve">原文「營業成本 </t>
    </r>
    <r>
      <rPr>
        <sz val="10"/>
        <color rgb="FF000000"/>
        <rFont val="Arial"/>
        <family val="0"/>
        <charset val="1"/>
      </rPr>
      <t xml:space="preserve">(26,049)</t>
    </r>
    <r>
      <rPr>
        <sz val="10"/>
        <color rgb="FF000000"/>
        <rFont val="Noto Sans CJK SC"/>
        <family val="2"/>
      </rPr>
      <t xml:space="preserve">」；千元值 </t>
    </r>
    <r>
      <rPr>
        <sz val="10"/>
        <color rgb="FF000000"/>
        <rFont val="Arial"/>
        <family val="0"/>
        <charset val="1"/>
      </rPr>
      <t xml:space="preserve">26,049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</si>
  <si>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SRC_ZP_017</t>
  </si>
  <si>
    <t xml:space="preserve">cogs_fy23</t>
  </si>
  <si>
    <r>
      <rPr>
        <sz val="10"/>
        <color rgb="FF000000"/>
        <rFont val="Noto Sans CJK SC"/>
        <family val="2"/>
      </rPr>
      <t xml:space="preserve">原文「營業成本 </t>
    </r>
    <r>
      <rPr>
        <sz val="10"/>
        <color rgb="FF000000"/>
        <rFont val="Arial"/>
        <family val="0"/>
        <charset val="1"/>
      </rPr>
      <t xml:space="preserve">(26,049)</t>
    </r>
    <r>
      <rPr>
        <sz val="10"/>
        <color rgb="FF000000"/>
        <rFont val="Noto Sans CJK SC"/>
        <family val="2"/>
      </rPr>
      <t xml:space="preserve">」；千元值 </t>
    </r>
    <r>
      <rPr>
        <sz val="10"/>
        <color rgb="FF000000"/>
        <rFont val="Arial"/>
        <family val="0"/>
        <charset val="1"/>
      </rPr>
      <t xml:space="preserve">44,056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</si>
  <si>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SRC_ZP_018</t>
  </si>
  <si>
    <t xml:space="preserve">cogs_fy24</t>
  </si>
  <si>
    <r>
      <rPr>
        <sz val="10"/>
        <color rgb="FF000000"/>
        <rFont val="Noto Sans CJK SC"/>
        <family val="2"/>
      </rPr>
      <t xml:space="preserve">原文「營業成本 </t>
    </r>
    <r>
      <rPr>
        <sz val="10"/>
        <color rgb="FF000000"/>
        <rFont val="Arial"/>
        <family val="0"/>
        <charset val="1"/>
      </rPr>
      <t xml:space="preserve">(26,049)</t>
    </r>
    <r>
      <rPr>
        <sz val="10"/>
        <color rgb="FF000000"/>
        <rFont val="Noto Sans CJK SC"/>
        <family val="2"/>
      </rPr>
      <t xml:space="preserve">」；千元值 </t>
    </r>
    <r>
      <rPr>
        <sz val="10"/>
        <color rgb="FF000000"/>
        <rFont val="Arial"/>
        <family val="0"/>
        <charset val="1"/>
      </rPr>
      <t xml:space="preserve">136,525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</si>
  <si>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SRC_ZP_019</t>
  </si>
  <si>
    <t xml:space="preserve">cogs_1h24</t>
  </si>
  <si>
    <r>
      <rPr>
        <sz val="10"/>
        <color rgb="FF000000"/>
        <rFont val="Noto Sans CJK SC"/>
        <family val="2"/>
      </rPr>
      <t xml:space="preserve">原文「營業成本 </t>
    </r>
    <r>
      <rPr>
        <sz val="10"/>
        <color rgb="FF000000"/>
        <rFont val="Arial"/>
        <family val="0"/>
        <charset val="1"/>
      </rPr>
      <t xml:space="preserve">(26,049)</t>
    </r>
    <r>
      <rPr>
        <sz val="10"/>
        <color rgb="FF000000"/>
        <rFont val="Noto Sans CJK SC"/>
        <family val="2"/>
      </rPr>
      <t xml:space="preserve">」；千元值 </t>
    </r>
    <r>
      <rPr>
        <sz val="10"/>
        <color rgb="FF000000"/>
        <rFont val="Arial"/>
        <family val="0"/>
        <charset val="1"/>
      </rPr>
      <t xml:space="preserve">22,950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</si>
  <si>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SRC_ZP_020</t>
  </si>
  <si>
    <t xml:space="preserve">cogs_1h25</t>
  </si>
  <si>
    <r>
      <rPr>
        <sz val="10"/>
        <color rgb="FF000000"/>
        <rFont val="Noto Sans CJK SC"/>
        <family val="2"/>
      </rPr>
      <t xml:space="preserve">原文「營業成本 </t>
    </r>
    <r>
      <rPr>
        <sz val="10"/>
        <color rgb="FF000000"/>
        <rFont val="Arial"/>
        <family val="0"/>
        <charset val="1"/>
      </rPr>
      <t xml:space="preserve">(26,049)</t>
    </r>
    <r>
      <rPr>
        <sz val="10"/>
        <color rgb="FF000000"/>
        <rFont val="Noto Sans CJK SC"/>
        <family val="2"/>
      </rPr>
      <t xml:space="preserve">」；千元值 </t>
    </r>
    <r>
      <rPr>
        <sz val="10"/>
        <color rgb="FF000000"/>
        <rFont val="Arial"/>
        <family val="0"/>
        <charset val="1"/>
      </rPr>
      <t xml:space="preserve">95,453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</si>
  <si>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SRC_ZP_021</t>
  </si>
  <si>
    <t xml:space="preserve">cogs_compute_fy22</t>
  </si>
  <si>
    <t xml:space="preserve">銷售成本中計算服務費</t>
  </si>
  <si>
    <r>
      <rPr>
        <sz val="10"/>
        <color rgb="FF000000"/>
        <rFont val="Noto Sans CJK SC"/>
        <family val="2"/>
      </rPr>
      <t xml:space="preserve">原文「計算服務費 — — </t>
    </r>
    <r>
      <rPr>
        <sz val="10"/>
        <color rgb="FF000000"/>
        <rFont val="Arial"/>
        <family val="0"/>
        <charset val="1"/>
      </rPr>
      <t xml:space="preserve">11,996</t>
    </r>
    <r>
      <rPr>
        <sz val="10"/>
        <color rgb="FF000000"/>
        <rFont val="Noto Sans CJK SC"/>
        <family val="2"/>
      </rPr>
      <t xml:space="preserve">」；千元值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2022 </t>
    </r>
    <r>
      <rPr>
        <sz val="10"/>
        <color rgb="FF000000"/>
        <rFont val="Noto Sans CJK SC"/>
        <family val="2"/>
      </rPr>
      <t xml:space="preserve">原文為「—」（記 </t>
    </r>
    <r>
      <rPr>
        <sz val="10"/>
        <color rgb="FF000000"/>
        <rFont val="Arial"/>
        <family val="0"/>
        <charset val="1"/>
      </rPr>
      <t xml:space="preserve">0</t>
    </r>
    <r>
      <rPr>
        <sz val="10"/>
        <color rgb="FF000000"/>
        <rFont val="Noto Sans CJK SC"/>
        <family val="2"/>
      </rPr>
      <t xml:space="preserve">）；此為銷售成本內，不含研發中的算力服務費</t>
    </r>
  </si>
  <si>
    <t xml:space="preserve">SRC_ZP_022</t>
  </si>
  <si>
    <t xml:space="preserve">cogs_compute_fy23</t>
  </si>
  <si>
    <r>
      <rPr>
        <sz val="10"/>
        <color rgb="FF000000"/>
        <rFont val="Noto Sans CJK SC"/>
        <family val="2"/>
      </rPr>
      <t xml:space="preserve">原文「計算服務費 — — </t>
    </r>
    <r>
      <rPr>
        <sz val="10"/>
        <color rgb="FF000000"/>
        <rFont val="Arial"/>
        <family val="0"/>
        <charset val="1"/>
      </rPr>
      <t xml:space="preserve">11,996</t>
    </r>
    <r>
      <rPr>
        <sz val="10"/>
        <color rgb="FF000000"/>
        <rFont val="Noto Sans CJK SC"/>
        <family val="2"/>
      </rPr>
      <t xml:space="preserve">」；千元值 </t>
    </r>
    <r>
      <rPr>
        <sz val="10"/>
        <color rgb="FF000000"/>
        <rFont val="Arial"/>
        <family val="0"/>
        <charset val="1"/>
      </rPr>
      <t xml:space="preserve">11,996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2022 </t>
    </r>
    <r>
      <rPr>
        <sz val="10"/>
        <color rgb="FF000000"/>
        <rFont val="Noto Sans CJK SC"/>
        <family val="2"/>
      </rPr>
      <t xml:space="preserve">原文為「—」（記 </t>
    </r>
    <r>
      <rPr>
        <sz val="10"/>
        <color rgb="FF000000"/>
        <rFont val="Arial"/>
        <family val="0"/>
        <charset val="1"/>
      </rPr>
      <t xml:space="preserve">0</t>
    </r>
    <r>
      <rPr>
        <sz val="10"/>
        <color rgb="FF000000"/>
        <rFont val="Noto Sans CJK SC"/>
        <family val="2"/>
      </rPr>
      <t xml:space="preserve">）；此為銷售成本內，不含研發中的算力服務費</t>
    </r>
  </si>
  <si>
    <t xml:space="preserve">SRC_ZP_023</t>
  </si>
  <si>
    <t xml:space="preserve">cogs_compute_fy24</t>
  </si>
  <si>
    <r>
      <rPr>
        <sz val="10"/>
        <color rgb="FF000000"/>
        <rFont val="Noto Sans CJK SC"/>
        <family val="2"/>
      </rPr>
      <t xml:space="preserve">原文「計算服務費 — — </t>
    </r>
    <r>
      <rPr>
        <sz val="10"/>
        <color rgb="FF000000"/>
        <rFont val="Arial"/>
        <family val="0"/>
        <charset val="1"/>
      </rPr>
      <t xml:space="preserve">11,996</t>
    </r>
    <r>
      <rPr>
        <sz val="10"/>
        <color rgb="FF000000"/>
        <rFont val="Noto Sans CJK SC"/>
        <family val="2"/>
      </rPr>
      <t xml:space="preserve">」；千元值 </t>
    </r>
    <r>
      <rPr>
        <sz val="10"/>
        <color rgb="FF000000"/>
        <rFont val="Arial"/>
        <family val="0"/>
        <charset val="1"/>
      </rPr>
      <t xml:space="preserve">30,173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2022 </t>
    </r>
    <r>
      <rPr>
        <sz val="10"/>
        <color rgb="FF000000"/>
        <rFont val="Noto Sans CJK SC"/>
        <family val="2"/>
      </rPr>
      <t xml:space="preserve">原文為「—」（記 </t>
    </r>
    <r>
      <rPr>
        <sz val="10"/>
        <color rgb="FF000000"/>
        <rFont val="Arial"/>
        <family val="0"/>
        <charset val="1"/>
      </rPr>
      <t xml:space="preserve">0</t>
    </r>
    <r>
      <rPr>
        <sz val="10"/>
        <color rgb="FF000000"/>
        <rFont val="Noto Sans CJK SC"/>
        <family val="2"/>
      </rPr>
      <t xml:space="preserve">）；此為銷售成本內，不含研發中的算力服務費</t>
    </r>
  </si>
  <si>
    <t xml:space="preserve">SRC_ZP_024</t>
  </si>
  <si>
    <t xml:space="preserve">cogs_compute_1h24</t>
  </si>
  <si>
    <r>
      <rPr>
        <sz val="10"/>
        <color rgb="FF000000"/>
        <rFont val="Noto Sans CJK SC"/>
        <family val="2"/>
      </rPr>
      <t xml:space="preserve">原文「計算服務費 — — </t>
    </r>
    <r>
      <rPr>
        <sz val="10"/>
        <color rgb="FF000000"/>
        <rFont val="Arial"/>
        <family val="0"/>
        <charset val="1"/>
      </rPr>
      <t xml:space="preserve">11,996</t>
    </r>
    <r>
      <rPr>
        <sz val="10"/>
        <color rgb="FF000000"/>
        <rFont val="Noto Sans CJK SC"/>
        <family val="2"/>
      </rPr>
      <t xml:space="preserve">」；千元值 </t>
    </r>
    <r>
      <rPr>
        <sz val="10"/>
        <color rgb="FF000000"/>
        <rFont val="Arial"/>
        <family val="0"/>
        <charset val="1"/>
      </rPr>
      <t xml:space="preserve">8,451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2022 </t>
    </r>
    <r>
      <rPr>
        <sz val="10"/>
        <color rgb="FF000000"/>
        <rFont val="Noto Sans CJK SC"/>
        <family val="2"/>
      </rPr>
      <t xml:space="preserve">原文為「—」（記 </t>
    </r>
    <r>
      <rPr>
        <sz val="10"/>
        <color rgb="FF000000"/>
        <rFont val="Arial"/>
        <family val="0"/>
        <charset val="1"/>
      </rPr>
      <t xml:space="preserve">0</t>
    </r>
    <r>
      <rPr>
        <sz val="10"/>
        <color rgb="FF000000"/>
        <rFont val="Noto Sans CJK SC"/>
        <family val="2"/>
      </rPr>
      <t xml:space="preserve">）；此為銷售成本內，不含研發中的算力服務費</t>
    </r>
  </si>
  <si>
    <t xml:space="preserve">SRC_ZP_025</t>
  </si>
  <si>
    <t xml:space="preserve">cogs_compute_1h25</t>
  </si>
  <si>
    <r>
      <rPr>
        <sz val="10"/>
        <color rgb="FF000000"/>
        <rFont val="Noto Sans CJK SC"/>
        <family val="2"/>
      </rPr>
      <t xml:space="preserve">原文「計算服務費 — — </t>
    </r>
    <r>
      <rPr>
        <sz val="10"/>
        <color rgb="FF000000"/>
        <rFont val="Arial"/>
        <family val="0"/>
        <charset val="1"/>
      </rPr>
      <t xml:space="preserve">11,996</t>
    </r>
    <r>
      <rPr>
        <sz val="10"/>
        <color rgb="FF000000"/>
        <rFont val="Noto Sans CJK SC"/>
        <family val="2"/>
      </rPr>
      <t xml:space="preserve">」；千元值 </t>
    </r>
    <r>
      <rPr>
        <sz val="10"/>
        <color rgb="FF000000"/>
        <rFont val="Arial"/>
        <family val="0"/>
        <charset val="1"/>
      </rPr>
      <t xml:space="preserve">35,845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2022 </t>
    </r>
    <r>
      <rPr>
        <sz val="10"/>
        <color rgb="FF000000"/>
        <rFont val="Noto Sans CJK SC"/>
        <family val="2"/>
      </rPr>
      <t xml:space="preserve">原文為「—」（記 </t>
    </r>
    <r>
      <rPr>
        <sz val="10"/>
        <color rgb="FF000000"/>
        <rFont val="Arial"/>
        <family val="0"/>
        <charset val="1"/>
      </rPr>
      <t xml:space="preserve">0</t>
    </r>
    <r>
      <rPr>
        <sz val="10"/>
        <color rgb="FF000000"/>
        <rFont val="Noto Sans CJK SC"/>
        <family val="2"/>
      </rPr>
      <t xml:space="preserve">）；此為銷售成本內，不含研發中的算力服務費</t>
    </r>
  </si>
  <si>
    <t xml:space="preserve">SRC_ZP_026</t>
  </si>
  <si>
    <t xml:space="preserve">cogs_staff_fy22</t>
  </si>
  <si>
    <t xml:space="preserve">銷售成本中工資成本</t>
  </si>
  <si>
    <r>
      <rPr>
        <sz val="10"/>
        <color rgb="FF000000"/>
        <rFont val="Noto Sans CJK SC"/>
        <family val="2"/>
      </rPr>
      <t xml:space="preserve">原文「工資成本 </t>
    </r>
    <r>
      <rPr>
        <sz val="10"/>
        <color rgb="FF000000"/>
        <rFont val="Arial"/>
        <family val="0"/>
        <charset val="1"/>
      </rPr>
      <t xml:space="preserve">16,434</t>
    </r>
    <r>
      <rPr>
        <sz val="10"/>
        <color rgb="FF000000"/>
        <rFont val="Noto Sans CJK SC"/>
        <family val="2"/>
      </rPr>
      <t xml:space="preserve">」；千元值 </t>
    </r>
    <r>
      <rPr>
        <sz val="10"/>
        <color rgb="FF000000"/>
        <rFont val="Arial"/>
        <family val="0"/>
        <charset val="1"/>
      </rPr>
      <t xml:space="preserve">16,434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換算成億；招股章程概要營業成本明細</t>
    </r>
  </si>
  <si>
    <t xml:space="preserve">SRC_ZP_027</t>
  </si>
  <si>
    <t xml:space="preserve">cogs_staff_fy23</t>
  </si>
  <si>
    <r>
      <rPr>
        <sz val="10"/>
        <color rgb="FF000000"/>
        <rFont val="Noto Sans CJK SC"/>
        <family val="2"/>
      </rPr>
      <t xml:space="preserve">原文「工資成本 </t>
    </r>
    <r>
      <rPr>
        <sz val="10"/>
        <color rgb="FF000000"/>
        <rFont val="Arial"/>
        <family val="0"/>
        <charset val="1"/>
      </rPr>
      <t xml:space="preserve">16,434</t>
    </r>
    <r>
      <rPr>
        <sz val="10"/>
        <color rgb="FF000000"/>
        <rFont val="Noto Sans CJK SC"/>
        <family val="2"/>
      </rPr>
      <t xml:space="preserve">」；千元值 </t>
    </r>
    <r>
      <rPr>
        <sz val="10"/>
        <color rgb="FF000000"/>
        <rFont val="Arial"/>
        <family val="0"/>
        <charset val="1"/>
      </rPr>
      <t xml:space="preserve">15,375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換算成億；招股章程概要營業成本明細</t>
    </r>
  </si>
  <si>
    <t xml:space="preserve">SRC_ZP_028</t>
  </si>
  <si>
    <t xml:space="preserve">cogs_staff_fy24</t>
  </si>
  <si>
    <r>
      <rPr>
        <sz val="10"/>
        <color rgb="FF000000"/>
        <rFont val="Noto Sans CJK SC"/>
        <family val="2"/>
      </rPr>
      <t xml:space="preserve">原文「工資成本 </t>
    </r>
    <r>
      <rPr>
        <sz val="10"/>
        <color rgb="FF000000"/>
        <rFont val="Arial"/>
        <family val="0"/>
        <charset val="1"/>
      </rPr>
      <t xml:space="preserve">16,434</t>
    </r>
    <r>
      <rPr>
        <sz val="10"/>
        <color rgb="FF000000"/>
        <rFont val="Noto Sans CJK SC"/>
        <family val="2"/>
      </rPr>
      <t xml:space="preserve">」；千元值 </t>
    </r>
    <r>
      <rPr>
        <sz val="10"/>
        <color rgb="FF000000"/>
        <rFont val="Arial"/>
        <family val="0"/>
        <charset val="1"/>
      </rPr>
      <t xml:space="preserve">74,262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換算成億；招股章程概要營業成本明細</t>
    </r>
  </si>
  <si>
    <t xml:space="preserve">SRC_ZP_029</t>
  </si>
  <si>
    <t xml:space="preserve">cogs_staff_1h24</t>
  </si>
  <si>
    <r>
      <rPr>
        <sz val="10"/>
        <color rgb="FF000000"/>
        <rFont val="Noto Sans CJK SC"/>
        <family val="2"/>
      </rPr>
      <t xml:space="preserve">原文「工資成本 </t>
    </r>
    <r>
      <rPr>
        <sz val="10"/>
        <color rgb="FF000000"/>
        <rFont val="Arial"/>
        <family val="0"/>
        <charset val="1"/>
      </rPr>
      <t xml:space="preserve">16,434</t>
    </r>
    <r>
      <rPr>
        <sz val="10"/>
        <color rgb="FF000000"/>
        <rFont val="Noto Sans CJK SC"/>
        <family val="2"/>
      </rPr>
      <t xml:space="preserve">」；千元值 </t>
    </r>
    <r>
      <rPr>
        <sz val="10"/>
        <color rgb="FF000000"/>
        <rFont val="Arial"/>
        <family val="0"/>
        <charset val="1"/>
      </rPr>
      <t xml:space="preserve">10,832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換算成億；招股章程概要營業成本明細</t>
    </r>
  </si>
  <si>
    <t xml:space="preserve">SRC_ZP_030</t>
  </si>
  <si>
    <t xml:space="preserve">cogs_staff_1h25</t>
  </si>
  <si>
    <r>
      <rPr>
        <sz val="10"/>
        <color rgb="FF000000"/>
        <rFont val="Noto Sans CJK SC"/>
        <family val="2"/>
      </rPr>
      <t xml:space="preserve">原文「工資成本 </t>
    </r>
    <r>
      <rPr>
        <sz val="10"/>
        <color rgb="FF000000"/>
        <rFont val="Arial"/>
        <family val="0"/>
        <charset val="1"/>
      </rPr>
      <t xml:space="preserve">16,434</t>
    </r>
    <r>
      <rPr>
        <sz val="10"/>
        <color rgb="FF000000"/>
        <rFont val="Noto Sans CJK SC"/>
        <family val="2"/>
      </rPr>
      <t xml:space="preserve">」；千元值 </t>
    </r>
    <r>
      <rPr>
        <sz val="10"/>
        <color rgb="FF000000"/>
        <rFont val="Arial"/>
        <family val="0"/>
        <charset val="1"/>
      </rPr>
      <t xml:space="preserve">37,628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換算成億；招股章程概要營業成本明細</t>
    </r>
  </si>
  <si>
    <t xml:space="preserve">SRC_ZP_031</t>
  </si>
  <si>
    <t xml:space="preserve">gp_total_fy22</t>
  </si>
  <si>
    <t xml:space="preserve">毛利</t>
  </si>
  <si>
    <r>
      <rPr>
        <sz val="10"/>
        <color rgb="FF000000"/>
        <rFont val="Noto Sans CJK SC"/>
        <family val="2"/>
      </rPr>
      <t xml:space="preserve">原文「毛利 </t>
    </r>
    <r>
      <rPr>
        <sz val="10"/>
        <color rgb="FF000000"/>
        <rFont val="Arial"/>
        <family val="0"/>
        <charset val="1"/>
      </rPr>
      <t xml:space="preserve">31,360 54.6</t>
    </r>
    <r>
      <rPr>
        <sz val="10"/>
        <color rgb="FF000000"/>
        <rFont val="Noto Sans CJK SC"/>
        <family val="2"/>
      </rPr>
      <t xml:space="preserve">」；千元值 </t>
    </r>
    <r>
      <rPr>
        <sz val="10"/>
        <color rgb="FF000000"/>
        <rFont val="Arial"/>
        <family val="0"/>
        <charset val="1"/>
      </rPr>
      <t xml:space="preserve">31,360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54.6/64.6/56.3/48.9/50.0%</t>
    </r>
  </si>
  <si>
    <t xml:space="preserve">SRC_ZP_032</t>
  </si>
  <si>
    <t xml:space="preserve">gp_total_fy23</t>
  </si>
  <si>
    <r>
      <rPr>
        <sz val="10"/>
        <color rgb="FF000000"/>
        <rFont val="Noto Sans CJK SC"/>
        <family val="2"/>
      </rPr>
      <t xml:space="preserve">原文「毛利 </t>
    </r>
    <r>
      <rPr>
        <sz val="10"/>
        <color rgb="FF000000"/>
        <rFont val="Arial"/>
        <family val="0"/>
        <charset val="1"/>
      </rPr>
      <t xml:space="preserve">31,360 54.6</t>
    </r>
    <r>
      <rPr>
        <sz val="10"/>
        <color rgb="FF000000"/>
        <rFont val="Noto Sans CJK SC"/>
        <family val="2"/>
      </rPr>
      <t xml:space="preserve">」；千元值 </t>
    </r>
    <r>
      <rPr>
        <sz val="10"/>
        <color rgb="FF000000"/>
        <rFont val="Arial"/>
        <family val="0"/>
        <charset val="1"/>
      </rPr>
      <t xml:space="preserve">80,482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54.6/64.6/56.3/48.9/50.0%</t>
    </r>
  </si>
  <si>
    <t xml:space="preserve">SRC_ZP_033</t>
  </si>
  <si>
    <t xml:space="preserve">gp_total_fy24</t>
  </si>
  <si>
    <r>
      <rPr>
        <sz val="10"/>
        <color rgb="FF000000"/>
        <rFont val="Noto Sans CJK SC"/>
        <family val="2"/>
      </rPr>
      <t xml:space="preserve">原文「毛利 </t>
    </r>
    <r>
      <rPr>
        <sz val="10"/>
        <color rgb="FF000000"/>
        <rFont val="Arial"/>
        <family val="0"/>
        <charset val="1"/>
      </rPr>
      <t xml:space="preserve">31,360 54.6</t>
    </r>
    <r>
      <rPr>
        <sz val="10"/>
        <color rgb="FF000000"/>
        <rFont val="Noto Sans CJK SC"/>
        <family val="2"/>
      </rPr>
      <t xml:space="preserve">」；千元值 </t>
    </r>
    <r>
      <rPr>
        <sz val="10"/>
        <color rgb="FF000000"/>
        <rFont val="Arial"/>
        <family val="0"/>
        <charset val="1"/>
      </rPr>
      <t xml:space="preserve">175,889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54.6/64.6/56.3/48.9/50.0%</t>
    </r>
  </si>
  <si>
    <t xml:space="preserve">SRC_ZP_034</t>
  </si>
  <si>
    <t xml:space="preserve">gp_total_1h24</t>
  </si>
  <si>
    <r>
      <rPr>
        <sz val="10"/>
        <color rgb="FF000000"/>
        <rFont val="Noto Sans CJK SC"/>
        <family val="2"/>
      </rPr>
      <t xml:space="preserve">原文「毛利 </t>
    </r>
    <r>
      <rPr>
        <sz val="10"/>
        <color rgb="FF000000"/>
        <rFont val="Arial"/>
        <family val="0"/>
        <charset val="1"/>
      </rPr>
      <t xml:space="preserve">31,360 54.6</t>
    </r>
    <r>
      <rPr>
        <sz val="10"/>
        <color rgb="FF000000"/>
        <rFont val="Noto Sans CJK SC"/>
        <family val="2"/>
      </rPr>
      <t xml:space="preserve">」；千元值 </t>
    </r>
    <r>
      <rPr>
        <sz val="10"/>
        <color rgb="FF000000"/>
        <rFont val="Arial"/>
        <family val="0"/>
        <charset val="1"/>
      </rPr>
      <t xml:space="preserve">21,959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54.6/64.6/56.3/48.9/50.0%</t>
    </r>
  </si>
  <si>
    <t xml:space="preserve">SRC_ZP_035</t>
  </si>
  <si>
    <t xml:space="preserve">gp_total_1h25</t>
  </si>
  <si>
    <r>
      <rPr>
        <sz val="10"/>
        <color rgb="FF000000"/>
        <rFont val="Noto Sans CJK SC"/>
        <family val="2"/>
      </rPr>
      <t xml:space="preserve">原文「毛利 </t>
    </r>
    <r>
      <rPr>
        <sz val="10"/>
        <color rgb="FF000000"/>
        <rFont val="Arial"/>
        <family val="0"/>
        <charset val="1"/>
      </rPr>
      <t xml:space="preserve">31,360 54.6</t>
    </r>
    <r>
      <rPr>
        <sz val="10"/>
        <color rgb="FF000000"/>
        <rFont val="Noto Sans CJK SC"/>
        <family val="2"/>
      </rPr>
      <t xml:space="preserve">」；千元值 </t>
    </r>
    <r>
      <rPr>
        <sz val="10"/>
        <color rgb="FF000000"/>
        <rFont val="Arial"/>
        <family val="0"/>
        <charset val="1"/>
      </rPr>
      <t xml:space="preserve">95,424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54.6/64.6/56.3/48.9/50.0%</t>
    </r>
  </si>
  <si>
    <t xml:space="preserve">SRC_ZP_036</t>
  </si>
  <si>
    <t xml:space="preserve">gp_onprem_fy22</t>
  </si>
  <si>
    <t xml:space="preserve">本地化部署毛利</t>
  </si>
  <si>
    <r>
      <rPr>
        <sz val="10"/>
        <color rgb="FF000000"/>
        <rFont val="Noto Sans CJK SC"/>
        <family val="2"/>
      </rPr>
      <t xml:space="preserve">原文「本地化部署 </t>
    </r>
    <r>
      <rPr>
        <sz val="10"/>
        <color rgb="FF000000"/>
        <rFont val="Arial"/>
        <family val="0"/>
        <charset val="1"/>
      </rPr>
      <t xml:space="preserve">29,386 53.6%</t>
    </r>
    <r>
      <rPr>
        <sz val="10"/>
        <color rgb="FF000000"/>
        <rFont val="Noto Sans CJK SC"/>
        <family val="2"/>
      </rPr>
      <t xml:space="preserve">」；千元值 </t>
    </r>
    <r>
      <rPr>
        <sz val="10"/>
        <color rgb="FF000000"/>
        <rFont val="Arial"/>
        <family val="0"/>
        <charset val="1"/>
      </rPr>
      <t xml:space="preserve">29,386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53.6/68.2/66.0/62.6/59.1%</t>
    </r>
  </si>
  <si>
    <t xml:space="preserve">SRC_ZP_037</t>
  </si>
  <si>
    <t xml:space="preserve">gp_onprem_fy23</t>
  </si>
  <si>
    <r>
      <rPr>
        <sz val="10"/>
        <color rgb="FF000000"/>
        <rFont val="Noto Sans CJK SC"/>
        <family val="2"/>
      </rPr>
      <t xml:space="preserve">原文「本地化部署 </t>
    </r>
    <r>
      <rPr>
        <sz val="10"/>
        <color rgb="FF000000"/>
        <rFont val="Arial"/>
        <family val="0"/>
        <charset val="1"/>
      </rPr>
      <t xml:space="preserve">29,386 53.6%</t>
    </r>
    <r>
      <rPr>
        <sz val="10"/>
        <color rgb="FF000000"/>
        <rFont val="Noto Sans CJK SC"/>
        <family val="2"/>
      </rPr>
      <t xml:space="preserve">」；千元值 </t>
    </r>
    <r>
      <rPr>
        <sz val="10"/>
        <color rgb="FF000000"/>
        <rFont val="Arial"/>
        <family val="0"/>
        <charset val="1"/>
      </rPr>
      <t xml:space="preserve">76,781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53.6/68.2/66.0/62.6/59.1%</t>
    </r>
  </si>
  <si>
    <t xml:space="preserve">SRC_ZP_038</t>
  </si>
  <si>
    <t xml:space="preserve">gp_onprem_fy24</t>
  </si>
  <si>
    <r>
      <rPr>
        <sz val="10"/>
        <color rgb="FF000000"/>
        <rFont val="Noto Sans CJK SC"/>
        <family val="2"/>
      </rPr>
      <t xml:space="preserve">原文「本地化部署 </t>
    </r>
    <r>
      <rPr>
        <sz val="10"/>
        <color rgb="FF000000"/>
        <rFont val="Arial"/>
        <family val="0"/>
        <charset val="1"/>
      </rPr>
      <t xml:space="preserve">29,386 53.6%</t>
    </r>
    <r>
      <rPr>
        <sz val="10"/>
        <color rgb="FF000000"/>
        <rFont val="Noto Sans CJK SC"/>
        <family val="2"/>
      </rPr>
      <t xml:space="preserve">」；千元值 </t>
    </r>
    <r>
      <rPr>
        <sz val="10"/>
        <color rgb="FF000000"/>
        <rFont val="Arial"/>
        <family val="0"/>
        <charset val="1"/>
      </rPr>
      <t xml:space="preserve">174,256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53.6/68.2/66.0/62.6/59.1%</t>
    </r>
  </si>
  <si>
    <t xml:space="preserve">SRC_ZP_039</t>
  </si>
  <si>
    <t xml:space="preserve">gp_onprem_1h24</t>
  </si>
  <si>
    <r>
      <rPr>
        <sz val="10"/>
        <color rgb="FF000000"/>
        <rFont val="Noto Sans CJK SC"/>
        <family val="2"/>
      </rPr>
      <t xml:space="preserve">原文「本地化部署 </t>
    </r>
    <r>
      <rPr>
        <sz val="10"/>
        <color rgb="FF000000"/>
        <rFont val="Arial"/>
        <family val="0"/>
        <charset val="1"/>
      </rPr>
      <t xml:space="preserve">29,386 53.6%</t>
    </r>
    <r>
      <rPr>
        <sz val="10"/>
        <color rgb="FF000000"/>
        <rFont val="Noto Sans CJK SC"/>
        <family val="2"/>
      </rPr>
      <t xml:space="preserve">」；千元值 </t>
    </r>
    <r>
      <rPr>
        <sz val="10"/>
        <color rgb="FF000000"/>
        <rFont val="Arial"/>
        <family val="0"/>
        <charset val="1"/>
      </rPr>
      <t xml:space="preserve">16,776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53.6/68.2/66.0/62.6/59.1%</t>
    </r>
  </si>
  <si>
    <t xml:space="preserve">SRC_ZP_040</t>
  </si>
  <si>
    <t xml:space="preserve">gp_onprem_1h25</t>
  </si>
  <si>
    <r>
      <rPr>
        <sz val="10"/>
        <color rgb="FF000000"/>
        <rFont val="Noto Sans CJK SC"/>
        <family val="2"/>
      </rPr>
      <t xml:space="preserve">原文「本地化部署 </t>
    </r>
    <r>
      <rPr>
        <sz val="10"/>
        <color rgb="FF000000"/>
        <rFont val="Arial"/>
        <family val="0"/>
        <charset val="1"/>
      </rPr>
      <t xml:space="preserve">29,386 53.6%</t>
    </r>
    <r>
      <rPr>
        <sz val="10"/>
        <color rgb="FF000000"/>
        <rFont val="Noto Sans CJK SC"/>
        <family val="2"/>
      </rPr>
      <t xml:space="preserve">」；千元值 </t>
    </r>
    <r>
      <rPr>
        <sz val="10"/>
        <color rgb="FF000000"/>
        <rFont val="Arial"/>
        <family val="0"/>
        <charset val="1"/>
      </rPr>
      <t xml:space="preserve">95,540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53.6/68.2/66.0/62.6/59.1%</t>
    </r>
  </si>
  <si>
    <t xml:space="preserve">SRC_ZP_041</t>
  </si>
  <si>
    <t xml:space="preserve">gp_cloud_fy22</t>
  </si>
  <si>
    <t xml:space="preserve">雲端部署毛利</t>
  </si>
  <si>
    <r>
      <rPr>
        <sz val="10"/>
        <color rgb="FF000000"/>
        <rFont val="Noto Sans CJK SC"/>
        <family val="2"/>
      </rPr>
      <t xml:space="preserve">原文「雲端部署 </t>
    </r>
    <r>
      <rPr>
        <sz val="10"/>
        <color rgb="FF000000"/>
        <rFont val="Arial"/>
        <family val="0"/>
        <charset val="1"/>
      </rPr>
      <t xml:space="preserve">1,974 76.1%</t>
    </r>
    <r>
      <rPr>
        <sz val="10"/>
        <color rgb="FF000000"/>
        <rFont val="Noto Sans CJK SC"/>
        <family val="2"/>
      </rPr>
      <t xml:space="preserve">」；千元值 </t>
    </r>
    <r>
      <rPr>
        <sz val="10"/>
        <color rgb="FF000000"/>
        <rFont val="Arial"/>
        <family val="0"/>
        <charset val="1"/>
      </rPr>
      <t xml:space="preserve">1,974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76.1/31.0/3.4/28.6/(0.4)%</t>
    </r>
  </si>
  <si>
    <t xml:space="preserve">SRC_ZP_042</t>
  </si>
  <si>
    <t xml:space="preserve">gp_cloud_fy23</t>
  </si>
  <si>
    <r>
      <rPr>
        <sz val="10"/>
        <color rgb="FF000000"/>
        <rFont val="Noto Sans CJK SC"/>
        <family val="2"/>
      </rPr>
      <t xml:space="preserve">原文「雲端部署 </t>
    </r>
    <r>
      <rPr>
        <sz val="10"/>
        <color rgb="FF000000"/>
        <rFont val="Arial"/>
        <family val="0"/>
        <charset val="1"/>
      </rPr>
      <t xml:space="preserve">1,974 76.1%</t>
    </r>
    <r>
      <rPr>
        <sz val="10"/>
        <color rgb="FF000000"/>
        <rFont val="Noto Sans CJK SC"/>
        <family val="2"/>
      </rPr>
      <t xml:space="preserve">」；千元值 </t>
    </r>
    <r>
      <rPr>
        <sz val="10"/>
        <color rgb="FF000000"/>
        <rFont val="Arial"/>
        <family val="0"/>
        <charset val="1"/>
      </rPr>
      <t xml:space="preserve">3,701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76.1/31.0/3.4/28.6/(0.4)%</t>
    </r>
  </si>
  <si>
    <t xml:space="preserve">SRC_ZP_043</t>
  </si>
  <si>
    <t xml:space="preserve">gp_cloud_fy24</t>
  </si>
  <si>
    <r>
      <rPr>
        <sz val="10"/>
        <color rgb="FF000000"/>
        <rFont val="Noto Sans CJK SC"/>
        <family val="2"/>
      </rPr>
      <t xml:space="preserve">原文「雲端部署 </t>
    </r>
    <r>
      <rPr>
        <sz val="10"/>
        <color rgb="FF000000"/>
        <rFont val="Arial"/>
        <family val="0"/>
        <charset val="1"/>
      </rPr>
      <t xml:space="preserve">1,974 76.1%</t>
    </r>
    <r>
      <rPr>
        <sz val="10"/>
        <color rgb="FF000000"/>
        <rFont val="Noto Sans CJK SC"/>
        <family val="2"/>
      </rPr>
      <t xml:space="preserve">」；千元值 </t>
    </r>
    <r>
      <rPr>
        <sz val="10"/>
        <color rgb="FF000000"/>
        <rFont val="Arial"/>
        <family val="0"/>
        <charset val="1"/>
      </rPr>
      <t xml:space="preserve">1,633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76.1/31.0/3.4/28.6/(0.4)%</t>
    </r>
  </si>
  <si>
    <t xml:space="preserve">SRC_ZP_044</t>
  </si>
  <si>
    <t xml:space="preserve">gp_cloud_1h24</t>
  </si>
  <si>
    <r>
      <rPr>
        <sz val="10"/>
        <color rgb="FF000000"/>
        <rFont val="Noto Sans CJK SC"/>
        <family val="2"/>
      </rPr>
      <t xml:space="preserve">原文「雲端部署 </t>
    </r>
    <r>
      <rPr>
        <sz val="10"/>
        <color rgb="FF000000"/>
        <rFont val="Arial"/>
        <family val="0"/>
        <charset val="1"/>
      </rPr>
      <t xml:space="preserve">1,974 76.1%</t>
    </r>
    <r>
      <rPr>
        <sz val="10"/>
        <color rgb="FF000000"/>
        <rFont val="Noto Sans CJK SC"/>
        <family val="2"/>
      </rPr>
      <t xml:space="preserve">」；千元值 </t>
    </r>
    <r>
      <rPr>
        <sz val="10"/>
        <color rgb="FF000000"/>
        <rFont val="Arial"/>
        <family val="0"/>
        <charset val="1"/>
      </rPr>
      <t xml:space="preserve">5,183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76.1/31.0/3.4/28.6/(0.4)%</t>
    </r>
  </si>
  <si>
    <t xml:space="preserve">SRC_ZP_045</t>
  </si>
  <si>
    <t xml:space="preserve">gp_cloud_1h25</t>
  </si>
  <si>
    <r>
      <rPr>
        <sz val="10"/>
        <color rgb="FF000000"/>
        <rFont val="Noto Sans CJK SC"/>
        <family val="2"/>
      </rPr>
      <t xml:space="preserve">原文「雲端部署 </t>
    </r>
    <r>
      <rPr>
        <sz val="10"/>
        <color rgb="FF000000"/>
        <rFont val="Arial"/>
        <family val="0"/>
        <charset val="1"/>
      </rPr>
      <t xml:space="preserve">1,974 76.1%</t>
    </r>
    <r>
      <rPr>
        <sz val="10"/>
        <color rgb="FF000000"/>
        <rFont val="Noto Sans CJK SC"/>
        <family val="2"/>
      </rPr>
      <t xml:space="preserve">」；千元值 </t>
    </r>
    <r>
      <rPr>
        <sz val="10"/>
        <color rgb="FF000000"/>
        <rFont val="Arial"/>
        <family val="0"/>
        <charset val="1"/>
      </rPr>
      <t xml:space="preserve">-116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76.1/31.0/3.4/28.6/(0.4)%</t>
    </r>
  </si>
  <si>
    <t xml:space="preserve">SRC_ZP_046</t>
  </si>
  <si>
    <t xml:space="preserve">rd_fy22</t>
  </si>
  <si>
    <t xml:space="preserve">研發開支</t>
  </si>
  <si>
    <r>
      <rPr>
        <sz val="10"/>
        <color rgb="FF000000"/>
        <rFont val="Noto Sans CJK SC"/>
        <family val="2"/>
      </rPr>
      <t xml:space="preserve">原文「研發開支 </t>
    </r>
    <r>
      <rPr>
        <sz val="10"/>
        <color rgb="FF000000"/>
        <rFont val="Arial"/>
        <family val="0"/>
        <charset val="1"/>
      </rPr>
      <t xml:space="preserve">(84,377)</t>
    </r>
    <r>
      <rPr>
        <sz val="10"/>
        <color rgb="FF000000"/>
        <rFont val="Noto Sans CJK SC"/>
        <family val="2"/>
      </rPr>
      <t xml:space="preserve">」；千元值 </t>
    </r>
    <r>
      <rPr>
        <sz val="10"/>
        <color rgb="FF000000"/>
        <rFont val="Arial"/>
        <family val="0"/>
        <charset val="1"/>
      </rPr>
      <t xml:space="preserve">84,377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換算成億；全數費用化</t>
    </r>
  </si>
  <si>
    <t xml:space="preserve">SRC_ZP_047</t>
  </si>
  <si>
    <t xml:space="preserve">rd_fy23</t>
  </si>
  <si>
    <r>
      <rPr>
        <sz val="10"/>
        <color rgb="FF000000"/>
        <rFont val="Noto Sans CJK SC"/>
        <family val="2"/>
      </rPr>
      <t xml:space="preserve">原文「研發開支 </t>
    </r>
    <r>
      <rPr>
        <sz val="10"/>
        <color rgb="FF000000"/>
        <rFont val="Arial"/>
        <family val="0"/>
        <charset val="1"/>
      </rPr>
      <t xml:space="preserve">(84,377)</t>
    </r>
    <r>
      <rPr>
        <sz val="10"/>
        <color rgb="FF000000"/>
        <rFont val="Noto Sans CJK SC"/>
        <family val="2"/>
      </rPr>
      <t xml:space="preserve">」；千元值 </t>
    </r>
    <r>
      <rPr>
        <sz val="10"/>
        <color rgb="FF000000"/>
        <rFont val="Arial"/>
        <family val="0"/>
        <charset val="1"/>
      </rPr>
      <t xml:space="preserve">528,884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換算成億；全數費用化</t>
    </r>
  </si>
  <si>
    <t xml:space="preserve">SRC_ZP_048</t>
  </si>
  <si>
    <t xml:space="preserve">rd_fy24</t>
  </si>
  <si>
    <r>
      <rPr>
        <sz val="10"/>
        <color rgb="FF000000"/>
        <rFont val="Noto Sans CJK SC"/>
        <family val="2"/>
      </rPr>
      <t xml:space="preserve">原文「研發開支 </t>
    </r>
    <r>
      <rPr>
        <sz val="10"/>
        <color rgb="FF000000"/>
        <rFont val="Arial"/>
        <family val="0"/>
        <charset val="1"/>
      </rPr>
      <t xml:space="preserve">(84,377)</t>
    </r>
    <r>
      <rPr>
        <sz val="10"/>
        <color rgb="FF000000"/>
        <rFont val="Noto Sans CJK SC"/>
        <family val="2"/>
      </rPr>
      <t xml:space="preserve">」；千元值 </t>
    </r>
    <r>
      <rPr>
        <sz val="10"/>
        <color rgb="FF000000"/>
        <rFont val="Arial"/>
        <family val="0"/>
        <charset val="1"/>
      </rPr>
      <t xml:space="preserve">2,195,436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換算成億；全數費用化</t>
    </r>
  </si>
  <si>
    <t xml:space="preserve">SRC_ZP_049</t>
  </si>
  <si>
    <t xml:space="preserve">rd_1h24</t>
  </si>
  <si>
    <r>
      <rPr>
        <sz val="10"/>
        <color rgb="FF000000"/>
        <rFont val="Noto Sans CJK SC"/>
        <family val="2"/>
      </rPr>
      <t xml:space="preserve">原文「研發開支 </t>
    </r>
    <r>
      <rPr>
        <sz val="10"/>
        <color rgb="FF000000"/>
        <rFont val="Arial"/>
        <family val="0"/>
        <charset val="1"/>
      </rPr>
      <t xml:space="preserve">(84,377)</t>
    </r>
    <r>
      <rPr>
        <sz val="10"/>
        <color rgb="FF000000"/>
        <rFont val="Noto Sans CJK SC"/>
        <family val="2"/>
      </rPr>
      <t xml:space="preserve">」；千元值 </t>
    </r>
    <r>
      <rPr>
        <sz val="10"/>
        <color rgb="FF000000"/>
        <rFont val="Arial"/>
        <family val="0"/>
        <charset val="1"/>
      </rPr>
      <t xml:space="preserve">859,217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換算成億；全數費用化</t>
    </r>
  </si>
  <si>
    <t xml:space="preserve">SRC_ZP_050</t>
  </si>
  <si>
    <t xml:space="preserve">rd_1h25</t>
  </si>
  <si>
    <r>
      <rPr>
        <sz val="10"/>
        <color rgb="FF000000"/>
        <rFont val="Noto Sans CJK SC"/>
        <family val="2"/>
      </rPr>
      <t xml:space="preserve">原文「研發開支 </t>
    </r>
    <r>
      <rPr>
        <sz val="10"/>
        <color rgb="FF000000"/>
        <rFont val="Arial"/>
        <family val="0"/>
        <charset val="1"/>
      </rPr>
      <t xml:space="preserve">(84,377)</t>
    </r>
    <r>
      <rPr>
        <sz val="10"/>
        <color rgb="FF000000"/>
        <rFont val="Noto Sans CJK SC"/>
        <family val="2"/>
      </rPr>
      <t xml:space="preserve">」；千元值 </t>
    </r>
    <r>
      <rPr>
        <sz val="10"/>
        <color rgb="FF000000"/>
        <rFont val="Arial"/>
        <family val="0"/>
        <charset val="1"/>
      </rPr>
      <t xml:space="preserve">1,594,661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換算成億；全數費用化</t>
    </r>
  </si>
  <si>
    <t xml:space="preserve">SRC_ZP_051</t>
  </si>
  <si>
    <t xml:space="preserve">sm_fy22</t>
  </si>
  <si>
    <t xml:space="preserve">銷售及營銷開支</t>
  </si>
  <si>
    <r>
      <rPr>
        <sz val="10"/>
        <color rgb="FF000000"/>
        <rFont val="Noto Sans CJK SC"/>
        <family val="2"/>
      </rPr>
      <t xml:space="preserve">原文「銷售及營銷開支」；千元值 </t>
    </r>
    <r>
      <rPr>
        <sz val="10"/>
        <color rgb="FF000000"/>
        <rFont val="Arial"/>
        <family val="0"/>
        <charset val="1"/>
      </rPr>
      <t xml:space="preserve">15,139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</si>
  <si>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SRC_ZP_052</t>
  </si>
  <si>
    <t xml:space="preserve">sm_fy23</t>
  </si>
  <si>
    <r>
      <rPr>
        <sz val="10"/>
        <color rgb="FF000000"/>
        <rFont val="Noto Sans CJK SC"/>
        <family val="2"/>
      </rPr>
      <t xml:space="preserve">原文「銷售及營銷開支」；千元值 </t>
    </r>
    <r>
      <rPr>
        <sz val="10"/>
        <color rgb="FF000000"/>
        <rFont val="Arial"/>
        <family val="0"/>
        <charset val="1"/>
      </rPr>
      <t xml:space="preserve">101,198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</si>
  <si>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SRC_ZP_053</t>
  </si>
  <si>
    <t xml:space="preserve">sm_fy24</t>
  </si>
  <si>
    <r>
      <rPr>
        <sz val="10"/>
        <color rgb="FF000000"/>
        <rFont val="Noto Sans CJK SC"/>
        <family val="2"/>
      </rPr>
      <t xml:space="preserve">原文「銷售及營銷開支」；千元值 </t>
    </r>
    <r>
      <rPr>
        <sz val="10"/>
        <color rgb="FF000000"/>
        <rFont val="Arial"/>
        <family val="0"/>
        <charset val="1"/>
      </rPr>
      <t xml:space="preserve">387,475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</si>
  <si>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SRC_ZP_054</t>
  </si>
  <si>
    <t xml:space="preserve">sm_1h24</t>
  </si>
  <si>
    <r>
      <rPr>
        <sz val="10"/>
        <color rgb="FF000000"/>
        <rFont val="Noto Sans CJK SC"/>
        <family val="2"/>
      </rPr>
      <t xml:space="preserve">原文「銷售及營銷開支」；千元值 </t>
    </r>
    <r>
      <rPr>
        <sz val="10"/>
        <color rgb="FF000000"/>
        <rFont val="Arial"/>
        <family val="0"/>
        <charset val="1"/>
      </rPr>
      <t xml:space="preserve">144,194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</si>
  <si>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SRC_ZP_055</t>
  </si>
  <si>
    <t xml:space="preserve">sm_1h25</t>
  </si>
  <si>
    <r>
      <rPr>
        <sz val="10"/>
        <color rgb="FF000000"/>
        <rFont val="Noto Sans CJK SC"/>
        <family val="2"/>
      </rPr>
      <t xml:space="preserve">原文「銷售及營銷開支」；千元值 </t>
    </r>
    <r>
      <rPr>
        <sz val="10"/>
        <color rgb="FF000000"/>
        <rFont val="Arial"/>
        <family val="0"/>
        <charset val="1"/>
      </rPr>
      <t xml:space="preserve">208,570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</si>
  <si>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SRC_ZP_056</t>
  </si>
  <si>
    <t xml:space="preserve">ga_fy22</t>
  </si>
  <si>
    <t xml:space="preserve">一般及行政開支</t>
  </si>
  <si>
    <r>
      <rPr>
        <sz val="10"/>
        <color rgb="FF000000"/>
        <rFont val="Noto Sans CJK SC"/>
        <family val="2"/>
      </rPr>
      <t xml:space="preserve">原文「一般及行政開支」；千元值 </t>
    </r>
    <r>
      <rPr>
        <sz val="10"/>
        <color rgb="FF000000"/>
        <rFont val="Arial"/>
        <family val="0"/>
        <charset val="1"/>
      </rPr>
      <t xml:space="preserve">32,316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</si>
  <si>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SRC_ZP_057</t>
  </si>
  <si>
    <t xml:space="preserve">ga_fy23</t>
  </si>
  <si>
    <r>
      <rPr>
        <sz val="10"/>
        <color rgb="FF000000"/>
        <rFont val="Noto Sans CJK SC"/>
        <family val="2"/>
      </rPr>
      <t xml:space="preserve">原文「一般及行政開支」；千元值 </t>
    </r>
    <r>
      <rPr>
        <sz val="10"/>
        <color rgb="FF000000"/>
        <rFont val="Arial"/>
        <family val="0"/>
        <charset val="1"/>
      </rPr>
      <t xml:space="preserve">66,302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</si>
  <si>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SRC_ZP_058</t>
  </si>
  <si>
    <t xml:space="preserve">ga_fy24</t>
  </si>
  <si>
    <r>
      <rPr>
        <sz val="10"/>
        <color rgb="FF000000"/>
        <rFont val="Noto Sans CJK SC"/>
        <family val="2"/>
      </rPr>
      <t xml:space="preserve">原文「一般及行政開支」；千元值 </t>
    </r>
    <r>
      <rPr>
        <sz val="10"/>
        <color rgb="FF000000"/>
        <rFont val="Arial"/>
        <family val="0"/>
        <charset val="1"/>
      </rPr>
      <t xml:space="preserve">133,603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</si>
  <si>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SRC_ZP_059</t>
  </si>
  <si>
    <t xml:space="preserve">ga_1h24</t>
  </si>
  <si>
    <r>
      <rPr>
        <sz val="10"/>
        <color rgb="FF000000"/>
        <rFont val="Noto Sans CJK SC"/>
        <family val="2"/>
      </rPr>
      <t xml:space="preserve">原文「一般及行政開支」；千元值 </t>
    </r>
    <r>
      <rPr>
        <sz val="10"/>
        <color rgb="FF000000"/>
        <rFont val="Arial"/>
        <family val="0"/>
        <charset val="1"/>
      </rPr>
      <t xml:space="preserve">51,452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</si>
  <si>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SRC_ZP_060</t>
  </si>
  <si>
    <t xml:space="preserve">ga_1h25</t>
  </si>
  <si>
    <r>
      <rPr>
        <sz val="10"/>
        <color rgb="FF000000"/>
        <rFont val="Noto Sans CJK SC"/>
        <family val="2"/>
      </rPr>
      <t xml:space="preserve">原文「一般及行政開支」；千元值 </t>
    </r>
    <r>
      <rPr>
        <sz val="10"/>
        <color rgb="FF000000"/>
        <rFont val="Arial"/>
        <family val="0"/>
        <charset val="1"/>
      </rPr>
      <t xml:space="preserve">185,165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</si>
  <si>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SRC_ZP_061</t>
  </si>
  <si>
    <t xml:space="preserve">other_inc_fy22</t>
  </si>
  <si>
    <t xml:space="preserve">其他收入</t>
  </si>
  <si>
    <r>
      <rPr>
        <sz val="10"/>
        <color rgb="FF000000"/>
        <rFont val="Noto Sans CJK SC"/>
        <family val="2"/>
      </rPr>
      <t xml:space="preserve">原文「其他收入」；千元值 </t>
    </r>
    <r>
      <rPr>
        <sz val="10"/>
        <color rgb="FF000000"/>
        <rFont val="Arial"/>
        <family val="0"/>
        <charset val="1"/>
      </rPr>
      <t xml:space="preserve">1,784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換算成億；未拆政府補助</t>
    </r>
  </si>
  <si>
    <t xml:space="preserve">SRC_ZP_062</t>
  </si>
  <si>
    <t xml:space="preserve">other_inc_fy23</t>
  </si>
  <si>
    <r>
      <rPr>
        <sz val="10"/>
        <color rgb="FF000000"/>
        <rFont val="Noto Sans CJK SC"/>
        <family val="2"/>
      </rPr>
      <t xml:space="preserve">原文「其他收入」；千元值 </t>
    </r>
    <r>
      <rPr>
        <sz val="10"/>
        <color rgb="FF000000"/>
        <rFont val="Arial"/>
        <family val="0"/>
        <charset val="1"/>
      </rPr>
      <t xml:space="preserve">9,965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換算成億；未拆政府補助</t>
    </r>
  </si>
  <si>
    <t xml:space="preserve">SRC_ZP_063</t>
  </si>
  <si>
    <t xml:space="preserve">other_inc_fy24</t>
  </si>
  <si>
    <r>
      <rPr>
        <sz val="10"/>
        <color rgb="FF000000"/>
        <rFont val="Noto Sans CJK SC"/>
        <family val="2"/>
      </rPr>
      <t xml:space="preserve">原文「其他收入」；千元值 </t>
    </r>
    <r>
      <rPr>
        <sz val="10"/>
        <color rgb="FF000000"/>
        <rFont val="Arial"/>
        <family val="0"/>
        <charset val="1"/>
      </rPr>
      <t xml:space="preserve">19,281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換算成億；未拆政府補助</t>
    </r>
  </si>
  <si>
    <t xml:space="preserve">SRC_ZP_064</t>
  </si>
  <si>
    <t xml:space="preserve">other_inc_1h24</t>
  </si>
  <si>
    <r>
      <rPr>
        <sz val="10"/>
        <color rgb="FF000000"/>
        <rFont val="Noto Sans CJK SC"/>
        <family val="2"/>
      </rPr>
      <t xml:space="preserve">原文「其他收入」；千元值 </t>
    </r>
    <r>
      <rPr>
        <sz val="10"/>
        <color rgb="FF000000"/>
        <rFont val="Arial"/>
        <family val="0"/>
        <charset val="1"/>
      </rPr>
      <t xml:space="preserve">4,174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換算成億；未拆政府補助</t>
    </r>
  </si>
  <si>
    <t xml:space="preserve">SRC_ZP_065</t>
  </si>
  <si>
    <t xml:space="preserve">other_inc_1h25</t>
  </si>
  <si>
    <r>
      <rPr>
        <sz val="10"/>
        <color rgb="FF000000"/>
        <rFont val="Noto Sans CJK SC"/>
        <family val="2"/>
      </rPr>
      <t xml:space="preserve">原文「其他收入」；千元值 </t>
    </r>
    <r>
      <rPr>
        <sz val="10"/>
        <color rgb="FF000000"/>
        <rFont val="Arial"/>
        <family val="0"/>
        <charset val="1"/>
      </rPr>
      <t xml:space="preserve">4,614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換算成億；未拆政府補助</t>
    </r>
  </si>
  <si>
    <t xml:space="preserve">SRC_ZP_066</t>
  </si>
  <si>
    <t xml:space="preserve">fin_cost_fy22</t>
  </si>
  <si>
    <t xml:space="preserve">融資成本</t>
  </si>
  <si>
    <r>
      <rPr>
        <sz val="10"/>
        <color rgb="FF000000"/>
        <rFont val="Noto Sans CJK SC"/>
        <family val="2"/>
      </rPr>
      <t xml:space="preserve">原文「融資成本」；千元值 </t>
    </r>
    <r>
      <rPr>
        <sz val="10"/>
        <color rgb="FF000000"/>
        <rFont val="Arial"/>
        <family val="0"/>
        <charset val="1"/>
      </rPr>
      <t xml:space="preserve">5,694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</si>
  <si>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SRC_ZP_067</t>
  </si>
  <si>
    <t xml:space="preserve">fin_cost_fy23</t>
  </si>
  <si>
    <r>
      <rPr>
        <sz val="10"/>
        <color rgb="FF000000"/>
        <rFont val="Noto Sans CJK SC"/>
        <family val="2"/>
      </rPr>
      <t xml:space="preserve">原文「融資成本」；千元值 </t>
    </r>
    <r>
      <rPr>
        <sz val="10"/>
        <color rgb="FF000000"/>
        <rFont val="Arial"/>
        <family val="0"/>
        <charset val="1"/>
      </rPr>
      <t xml:space="preserve">26,332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</si>
  <si>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SRC_ZP_068</t>
  </si>
  <si>
    <t xml:space="preserve">fin_cost_fy24</t>
  </si>
  <si>
    <r>
      <rPr>
        <sz val="10"/>
        <color rgb="FF000000"/>
        <rFont val="Noto Sans CJK SC"/>
        <family val="2"/>
      </rPr>
      <t xml:space="preserve">原文「融資成本」；千元值 </t>
    </r>
    <r>
      <rPr>
        <sz val="10"/>
        <color rgb="FF000000"/>
        <rFont val="Arial"/>
        <family val="0"/>
        <charset val="1"/>
      </rPr>
      <t xml:space="preserve">38,321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</si>
  <si>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SRC_ZP_069</t>
  </si>
  <si>
    <t xml:space="preserve">fin_cost_1h24</t>
  </si>
  <si>
    <r>
      <rPr>
        <sz val="10"/>
        <color rgb="FF000000"/>
        <rFont val="Noto Sans CJK SC"/>
        <family val="2"/>
      </rPr>
      <t xml:space="preserve">原文「融資成本」；千元值 </t>
    </r>
    <r>
      <rPr>
        <sz val="10"/>
        <color rgb="FF000000"/>
        <rFont val="Arial"/>
        <family val="0"/>
        <charset val="1"/>
      </rPr>
      <t xml:space="preserve">12,212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</si>
  <si>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SRC_ZP_070</t>
  </si>
  <si>
    <t xml:space="preserve">fin_cost_1h25</t>
  </si>
  <si>
    <r>
      <rPr>
        <sz val="10"/>
        <color rgb="FF000000"/>
        <rFont val="Noto Sans CJK SC"/>
        <family val="2"/>
      </rPr>
      <t xml:space="preserve">原文「融資成本」；千元值 </t>
    </r>
    <r>
      <rPr>
        <sz val="10"/>
        <color rgb="FF000000"/>
        <rFont val="Arial"/>
        <family val="0"/>
        <charset val="1"/>
      </rPr>
      <t xml:space="preserve">53,270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</si>
  <si>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SRC_ZP_071</t>
  </si>
  <si>
    <t xml:space="preserve">sbc_fy22</t>
  </si>
  <si>
    <t xml:space="preserve">以權益結算股權報酬總額</t>
  </si>
  <si>
    <r>
      <rPr>
        <sz val="10"/>
        <color rgb="FF000000"/>
        <rFont val="Noto Sans CJK SC"/>
        <family val="2"/>
      </rPr>
      <t xml:space="preserve">原文「以權益結算以股份為基礎的薪酬開支」；千元值 </t>
    </r>
    <r>
      <rPr>
        <sz val="10"/>
        <color rgb="FF000000"/>
        <rFont val="Arial"/>
        <family val="0"/>
        <charset val="1"/>
      </rPr>
      <t xml:space="preserve">1,024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</si>
  <si>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SRC_ZP_072</t>
  </si>
  <si>
    <t xml:space="preserve">sbc_fy23</t>
  </si>
  <si>
    <r>
      <rPr>
        <sz val="10"/>
        <color rgb="FF000000"/>
        <rFont val="Noto Sans CJK SC"/>
        <family val="2"/>
      </rPr>
      <t xml:space="preserve">原文「以權益結算以股份為基礎的薪酬開支」；千元值 </t>
    </r>
    <r>
      <rPr>
        <sz val="10"/>
        <color rgb="FF000000"/>
        <rFont val="Arial"/>
        <family val="0"/>
        <charset val="1"/>
      </rPr>
      <t xml:space="preserve">5,502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</si>
  <si>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SRC_ZP_073</t>
  </si>
  <si>
    <t xml:space="preserve">sbc_fy24</t>
  </si>
  <si>
    <r>
      <rPr>
        <sz val="10"/>
        <color rgb="FF000000"/>
        <rFont val="Noto Sans CJK SC"/>
        <family val="2"/>
      </rPr>
      <t xml:space="preserve">原文「以權益結算以股份為基礎的薪酬開支」；千元值 </t>
    </r>
    <r>
      <rPr>
        <sz val="10"/>
        <color rgb="FF000000"/>
        <rFont val="Arial"/>
        <family val="0"/>
        <charset val="1"/>
      </rPr>
      <t xml:space="preserve">23,579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</si>
  <si>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SRC_ZP_074</t>
  </si>
  <si>
    <t xml:space="preserve">sbc_1h24</t>
  </si>
  <si>
    <r>
      <rPr>
        <sz val="10"/>
        <color rgb="FF000000"/>
        <rFont val="Noto Sans CJK SC"/>
        <family val="2"/>
      </rPr>
      <t xml:space="preserve">原文「以權益結算以股份為基礎的薪酬開支」；千元值 </t>
    </r>
    <r>
      <rPr>
        <sz val="10"/>
        <color rgb="FF000000"/>
        <rFont val="Arial"/>
        <family val="0"/>
        <charset val="1"/>
      </rPr>
      <t xml:space="preserve">4,217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</si>
  <si>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SRC_ZP_075</t>
  </si>
  <si>
    <t xml:space="preserve">sbc_1h25</t>
  </si>
  <si>
    <r>
      <rPr>
        <sz val="10"/>
        <color rgb="FF000000"/>
        <rFont val="Noto Sans CJK SC"/>
        <family val="2"/>
      </rPr>
      <t xml:space="preserve">原文「以權益結算以股份為基礎的薪酬開支」；千元值 </t>
    </r>
    <r>
      <rPr>
        <sz val="10"/>
        <color rgb="FF000000"/>
        <rFont val="Arial"/>
        <family val="0"/>
        <charset val="1"/>
      </rPr>
      <t xml:space="preserve">158,852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</si>
  <si>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SRC_ZP_076</t>
  </si>
  <si>
    <t xml:space="preserve">net_loss_fy22</t>
  </si>
  <si>
    <t xml:space="preserve">年／期內虧損</t>
  </si>
  <si>
    <r>
      <rPr>
        <sz val="10"/>
        <color rgb="FF000000"/>
        <rFont val="Noto Sans CJK SC"/>
        <family val="2"/>
      </rPr>
      <t xml:space="preserve">原文「年內虧損」；千元值 </t>
    </r>
    <r>
      <rPr>
        <sz val="10"/>
        <color rgb="FF000000"/>
        <rFont val="Arial"/>
        <family val="0"/>
        <charset val="1"/>
      </rPr>
      <t xml:space="preserve">143,650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</si>
  <si>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SRC_ZP_077</t>
  </si>
  <si>
    <t xml:space="preserve">net_loss_fy23</t>
  </si>
  <si>
    <r>
      <rPr>
        <sz val="10"/>
        <color rgb="FF000000"/>
        <rFont val="Noto Sans CJK SC"/>
        <family val="2"/>
      </rPr>
      <t xml:space="preserve">原文「年內虧損」；千元值 </t>
    </r>
    <r>
      <rPr>
        <sz val="10"/>
        <color rgb="FF000000"/>
        <rFont val="Arial"/>
        <family val="0"/>
        <charset val="1"/>
      </rPr>
      <t xml:space="preserve">787,957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</si>
  <si>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SRC_ZP_078</t>
  </si>
  <si>
    <t xml:space="preserve">net_loss_fy24</t>
  </si>
  <si>
    <r>
      <rPr>
        <sz val="10"/>
        <color rgb="FF000000"/>
        <rFont val="Noto Sans CJK SC"/>
        <family val="2"/>
      </rPr>
      <t xml:space="preserve">原文「年內虧損」；千元值 </t>
    </r>
    <r>
      <rPr>
        <sz val="10"/>
        <color rgb="FF000000"/>
        <rFont val="Arial"/>
        <family val="0"/>
        <charset val="1"/>
      </rPr>
      <t xml:space="preserve">2,958,007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</si>
  <si>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SRC_ZP_079</t>
  </si>
  <si>
    <t xml:space="preserve">net_loss_1h24</t>
  </si>
  <si>
    <r>
      <rPr>
        <sz val="10"/>
        <color rgb="FF000000"/>
        <rFont val="Noto Sans CJK SC"/>
        <family val="2"/>
      </rPr>
      <t xml:space="preserve">原文「年內虧損」；千元值 </t>
    </r>
    <r>
      <rPr>
        <sz val="10"/>
        <color rgb="FF000000"/>
        <rFont val="Arial"/>
        <family val="0"/>
        <charset val="1"/>
      </rPr>
      <t xml:space="preserve">1,235,551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</si>
  <si>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SRC_ZP_080</t>
  </si>
  <si>
    <t xml:space="preserve">net_loss_1h25</t>
  </si>
  <si>
    <r>
      <rPr>
        <sz val="10"/>
        <color rgb="FF000000"/>
        <rFont val="Noto Sans CJK SC"/>
        <family val="2"/>
      </rPr>
      <t xml:space="preserve">原文「年內虧損」；千元值 </t>
    </r>
    <r>
      <rPr>
        <sz val="10"/>
        <color rgb="FF000000"/>
        <rFont val="Arial"/>
        <family val="0"/>
        <charset val="1"/>
      </rPr>
      <t xml:space="preserve">2,357,852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</si>
  <si>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SRC_ZP_081</t>
  </si>
  <si>
    <t xml:space="preserve">adj_loss_fy22</t>
  </si>
  <si>
    <r>
      <rPr>
        <sz val="10"/>
        <color rgb="FF000000"/>
        <rFont val="Noto Sans CJK SC"/>
        <family val="2"/>
      </rPr>
      <t xml:space="preserve">經調整淨虧損（非</t>
    </r>
    <r>
      <rPr>
        <sz val="10"/>
        <color rgb="FF000000"/>
        <rFont val="Arial"/>
        <family val="0"/>
        <charset val="1"/>
      </rPr>
      <t xml:space="preserve">IFRS</t>
    </r>
    <r>
      <rPr>
        <sz val="10"/>
        <color rgb="FF000000"/>
        <rFont val="Noto Sans CJK SC"/>
        <family val="2"/>
      </rPr>
      <t xml:space="preserve">）</t>
    </r>
  </si>
  <si>
    <r>
      <rPr>
        <sz val="10"/>
        <color rgb="FF000000"/>
        <rFont val="Noto Sans CJK SC"/>
        <family val="2"/>
      </rPr>
      <t xml:space="preserve">原文「經調整年╱期內淨虧損」；千元值 </t>
    </r>
    <r>
      <rPr>
        <sz val="10"/>
        <color rgb="FF000000"/>
        <rFont val="Arial"/>
        <family val="0"/>
        <charset val="1"/>
      </rPr>
      <t xml:space="preserve">97,417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</si>
  <si>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SRC_ZP_082</t>
  </si>
  <si>
    <t xml:space="preserve">adj_loss_fy23</t>
  </si>
  <si>
    <r>
      <rPr>
        <sz val="10"/>
        <color rgb="FF000000"/>
        <rFont val="Noto Sans CJK SC"/>
        <family val="2"/>
      </rPr>
      <t xml:space="preserve">原文「經調整年╱期內淨虧損」；千元值 </t>
    </r>
    <r>
      <rPr>
        <sz val="10"/>
        <color rgb="FF000000"/>
        <rFont val="Arial"/>
        <family val="0"/>
        <charset val="1"/>
      </rPr>
      <t xml:space="preserve">620,984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</si>
  <si>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SRC_ZP_083</t>
  </si>
  <si>
    <t xml:space="preserve">adj_loss_fy24</t>
  </si>
  <si>
    <r>
      <rPr>
        <sz val="10"/>
        <color rgb="FF000000"/>
        <rFont val="Noto Sans CJK SC"/>
        <family val="2"/>
      </rPr>
      <t xml:space="preserve">原文「經調整年╱期內淨虧損」；千元值 </t>
    </r>
    <r>
      <rPr>
        <sz val="10"/>
        <color rgb="FF000000"/>
        <rFont val="Arial"/>
        <family val="0"/>
        <charset val="1"/>
      </rPr>
      <t xml:space="preserve">2,465,569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</si>
  <si>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SRC_ZP_084</t>
  </si>
  <si>
    <t xml:space="preserve">adj_loss_1h24</t>
  </si>
  <si>
    <r>
      <rPr>
        <sz val="10"/>
        <color rgb="FF000000"/>
        <rFont val="Noto Sans CJK SC"/>
        <family val="2"/>
      </rPr>
      <t xml:space="preserve">原文「經調整年╱期內淨虧損」；千元值 </t>
    </r>
    <r>
      <rPr>
        <sz val="10"/>
        <color rgb="FF000000"/>
        <rFont val="Arial"/>
        <family val="0"/>
        <charset val="1"/>
      </rPr>
      <t xml:space="preserve">1,030,160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</si>
  <si>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SRC_ZP_085</t>
  </si>
  <si>
    <t xml:space="preserve">adj_loss_1h25</t>
  </si>
  <si>
    <r>
      <rPr>
        <sz val="10"/>
        <color rgb="FF000000"/>
        <rFont val="Noto Sans CJK SC"/>
        <family val="2"/>
      </rPr>
      <t xml:space="preserve">原文「經調整年╱期內淨虧損」；千元值 </t>
    </r>
    <r>
      <rPr>
        <sz val="10"/>
        <color rgb="FF000000"/>
        <rFont val="Arial"/>
        <family val="0"/>
        <charset val="1"/>
      </rPr>
      <t xml:space="preserve">1,751,974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</si>
  <si>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SRC_ZP_086</t>
  </si>
  <si>
    <t xml:space="preserve">ocf_fy22</t>
  </si>
  <si>
    <t xml:space="preserve">經營活動所用現金淨額</t>
  </si>
  <si>
    <r>
      <rPr>
        <sz val="10"/>
        <color rgb="FF000000"/>
        <rFont val="Noto Sans CJK SC"/>
        <family val="2"/>
      </rPr>
      <t xml:space="preserve">原文「經營活動所用現金淨額」；千元值 </t>
    </r>
    <r>
      <rPr>
        <sz val="10"/>
        <color rgb="FF000000"/>
        <rFont val="Arial"/>
        <family val="0"/>
        <charset val="1"/>
      </rPr>
      <t xml:space="preserve">-68,246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換算成億；負值＝流出</t>
    </r>
  </si>
  <si>
    <t xml:space="preserve">SRC_ZP_087</t>
  </si>
  <si>
    <t xml:space="preserve">ocf_fy23</t>
  </si>
  <si>
    <r>
      <rPr>
        <sz val="10"/>
        <color rgb="FF000000"/>
        <rFont val="Noto Sans CJK SC"/>
        <family val="2"/>
      </rPr>
      <t xml:space="preserve">原文「經營活動所用現金淨額」；千元值 </t>
    </r>
    <r>
      <rPr>
        <sz val="10"/>
        <color rgb="FF000000"/>
        <rFont val="Arial"/>
        <family val="0"/>
        <charset val="1"/>
      </rPr>
      <t xml:space="preserve">-648,017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換算成億；負值＝流出</t>
    </r>
  </si>
  <si>
    <t xml:space="preserve">SRC_ZP_088</t>
  </si>
  <si>
    <t xml:space="preserve">ocf_fy24</t>
  </si>
  <si>
    <r>
      <rPr>
        <sz val="10"/>
        <color rgb="FF000000"/>
        <rFont val="Noto Sans CJK SC"/>
        <family val="2"/>
      </rPr>
      <t xml:space="preserve">原文「經營活動所用現金淨額」；千元值 </t>
    </r>
    <r>
      <rPr>
        <sz val="10"/>
        <color rgb="FF000000"/>
        <rFont val="Arial"/>
        <family val="0"/>
        <charset val="1"/>
      </rPr>
      <t xml:space="preserve">-2,244,919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換算成億；負值＝流出</t>
    </r>
  </si>
  <si>
    <t xml:space="preserve">SRC_ZP_089</t>
  </si>
  <si>
    <t xml:space="preserve">ocf_1h24</t>
  </si>
  <si>
    <r>
      <rPr>
        <sz val="10"/>
        <color rgb="FF000000"/>
        <rFont val="Noto Sans CJK SC"/>
        <family val="2"/>
      </rPr>
      <t xml:space="preserve">原文「經營活動所用現金淨額」；千元值 </t>
    </r>
    <r>
      <rPr>
        <sz val="10"/>
        <color rgb="FF000000"/>
        <rFont val="Arial"/>
        <family val="0"/>
        <charset val="1"/>
      </rPr>
      <t xml:space="preserve">-994,678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換算成億；負值＝流出</t>
    </r>
  </si>
  <si>
    <t xml:space="preserve">SRC_ZP_090</t>
  </si>
  <si>
    <t xml:space="preserve">ocf_1h25</t>
  </si>
  <si>
    <r>
      <rPr>
        <sz val="10"/>
        <color rgb="FF000000"/>
        <rFont val="Noto Sans CJK SC"/>
        <family val="2"/>
      </rPr>
      <t xml:space="preserve">原文「經營活動所用現金淨額」；千元值 </t>
    </r>
    <r>
      <rPr>
        <sz val="10"/>
        <color rgb="FF000000"/>
        <rFont val="Arial"/>
        <family val="0"/>
        <charset val="1"/>
      </rPr>
      <t xml:space="preserve">-1,327,150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換算成億；負值＝流出</t>
    </r>
  </si>
  <si>
    <t xml:space="preserve">SRC_ZP_091</t>
  </si>
  <si>
    <t xml:space="preserve">icf_fy22</t>
  </si>
  <si>
    <t xml:space="preserve">投資活動所得／（所用）現金淨額</t>
  </si>
  <si>
    <r>
      <rPr>
        <sz val="10"/>
        <color rgb="FF000000"/>
        <rFont val="Noto Sans CJK SC"/>
        <family val="2"/>
      </rPr>
      <t xml:space="preserve">原文「投資活動所得╱」；千元值 </t>
    </r>
    <r>
      <rPr>
        <sz val="10"/>
        <color rgb="FF000000"/>
        <rFont val="Arial"/>
        <family val="0"/>
        <charset val="1"/>
      </rPr>
      <t xml:space="preserve">32,921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換算成億；非純資本支出（含理財產品）</t>
    </r>
  </si>
  <si>
    <t xml:space="preserve">SRC_ZP_092</t>
  </si>
  <si>
    <t xml:space="preserve">icf_fy23</t>
  </si>
  <si>
    <r>
      <rPr>
        <sz val="10"/>
        <color rgb="FF000000"/>
        <rFont val="Noto Sans CJK SC"/>
        <family val="2"/>
      </rPr>
      <t xml:space="preserve">原文「投資活動所得╱」；千元值 </t>
    </r>
    <r>
      <rPr>
        <sz val="10"/>
        <color rgb="FF000000"/>
        <rFont val="Arial"/>
        <family val="0"/>
        <charset val="1"/>
      </rPr>
      <t xml:space="preserve">-784,965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換算成億；非純資本支出（含理財產品）</t>
    </r>
  </si>
  <si>
    <t xml:space="preserve">SRC_ZP_093</t>
  </si>
  <si>
    <t xml:space="preserve">icf_fy24</t>
  </si>
  <si>
    <r>
      <rPr>
        <sz val="10"/>
        <color rgb="FF000000"/>
        <rFont val="Noto Sans CJK SC"/>
        <family val="2"/>
      </rPr>
      <t xml:space="preserve">原文「投資活動所得╱」；千元值 </t>
    </r>
    <r>
      <rPr>
        <sz val="10"/>
        <color rgb="FF000000"/>
        <rFont val="Arial"/>
        <family val="0"/>
        <charset val="1"/>
      </rPr>
      <t xml:space="preserve">-48,559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換算成億；非純資本支出（含理財產品）</t>
    </r>
  </si>
  <si>
    <t xml:space="preserve">SRC_ZP_094</t>
  </si>
  <si>
    <t xml:space="preserve">icf_1h24</t>
  </si>
  <si>
    <r>
      <rPr>
        <sz val="10"/>
        <color rgb="FF000000"/>
        <rFont val="Noto Sans CJK SC"/>
        <family val="2"/>
      </rPr>
      <t xml:space="preserve">原文「投資活動所得╱」；千元值 </t>
    </r>
    <r>
      <rPr>
        <sz val="10"/>
        <color rgb="FF000000"/>
        <rFont val="Arial"/>
        <family val="0"/>
        <charset val="1"/>
      </rPr>
      <t xml:space="preserve">-138,775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換算成億；非純資本支出（含理財產品）</t>
    </r>
  </si>
  <si>
    <t xml:space="preserve">SRC_ZP_095</t>
  </si>
  <si>
    <t xml:space="preserve">icf_1h25</t>
  </si>
  <si>
    <r>
      <rPr>
        <sz val="10"/>
        <color rgb="FF000000"/>
        <rFont val="Noto Sans CJK SC"/>
        <family val="2"/>
      </rPr>
      <t xml:space="preserve">原文「投資活動所得╱」；千元值 </t>
    </r>
    <r>
      <rPr>
        <sz val="10"/>
        <color rgb="FF000000"/>
        <rFont val="Arial"/>
        <family val="0"/>
        <charset val="1"/>
      </rPr>
      <t xml:space="preserve">-556,373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換算成億；非純資本支出（含理財產品）</t>
    </r>
  </si>
  <si>
    <t xml:space="preserve">SRC_ZP_096</t>
  </si>
  <si>
    <t xml:space="preserve">cash_end_fy22</t>
  </si>
  <si>
    <t xml:space="preserve">年／期末現金及現金等價物</t>
  </si>
  <si>
    <r>
      <rPr>
        <sz val="10"/>
        <color rgb="FF000000"/>
        <rFont val="Noto Sans CJK SC"/>
        <family val="2"/>
      </rPr>
      <t xml:space="preserve">原文「年╱期末現金及現金等價物」；千元值 </t>
    </r>
    <r>
      <rPr>
        <sz val="10"/>
        <color rgb="FF000000"/>
        <rFont val="Arial"/>
        <family val="0"/>
        <charset val="1"/>
      </rPr>
      <t xml:space="preserve">218,928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</si>
  <si>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SRC_ZP_097</t>
  </si>
  <si>
    <t xml:space="preserve">cash_end_fy23</t>
  </si>
  <si>
    <r>
      <rPr>
        <sz val="10"/>
        <color rgb="FF000000"/>
        <rFont val="Noto Sans CJK SC"/>
        <family val="2"/>
      </rPr>
      <t xml:space="preserve">原文「年╱期末現金及現金等價物」；千元值 </t>
    </r>
    <r>
      <rPr>
        <sz val="10"/>
        <color rgb="FF000000"/>
        <rFont val="Arial"/>
        <family val="0"/>
        <charset val="1"/>
      </rPr>
      <t xml:space="preserve">1,249,175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</si>
  <si>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SRC_ZP_098</t>
  </si>
  <si>
    <t xml:space="preserve">cash_end_fy24</t>
  </si>
  <si>
    <r>
      <rPr>
        <sz val="10"/>
        <color rgb="FF000000"/>
        <rFont val="Noto Sans CJK SC"/>
        <family val="2"/>
      </rPr>
      <t xml:space="preserve">原文「年╱期末現金及現金等價物」；千元值 </t>
    </r>
    <r>
      <rPr>
        <sz val="10"/>
        <color rgb="FF000000"/>
        <rFont val="Arial"/>
        <family val="0"/>
        <charset val="1"/>
      </rPr>
      <t xml:space="preserve">2,268,164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</si>
  <si>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SRC_ZP_099</t>
  </si>
  <si>
    <t xml:space="preserve">cash_end_1h24</t>
  </si>
  <si>
    <r>
      <rPr>
        <sz val="10"/>
        <color rgb="FF000000"/>
        <rFont val="Noto Sans CJK SC"/>
        <family val="2"/>
      </rPr>
      <t xml:space="preserve">原文「年╱期末現金及現金等價物」；千元值 </t>
    </r>
    <r>
      <rPr>
        <sz val="10"/>
        <color rgb="FF000000"/>
        <rFont val="Arial"/>
        <family val="0"/>
        <charset val="1"/>
      </rPr>
      <t xml:space="preserve">932,066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</si>
  <si>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SRC_ZP_100</t>
  </si>
  <si>
    <t xml:space="preserve">cash_end_1h25</t>
  </si>
  <si>
    <r>
      <rPr>
        <sz val="10"/>
        <color rgb="FF000000"/>
        <rFont val="Noto Sans CJK SC"/>
        <family val="2"/>
      </rPr>
      <t xml:space="preserve">原文「年╱期末現金及現金等價物」；千元值 </t>
    </r>
    <r>
      <rPr>
        <sz val="10"/>
        <color rgb="FF000000"/>
        <rFont val="Arial"/>
        <family val="0"/>
        <charset val="1"/>
      </rPr>
      <t xml:space="preserve">2,551,970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</si>
  <si>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SRC_ZP_101</t>
  </si>
  <si>
    <t xml:space="preserve">gm_total_fy22</t>
  </si>
  <si>
    <t xml:space="preserve">整體毛利率</t>
  </si>
  <si>
    <t xml:space="preserve">%</t>
  </si>
  <si>
    <r>
      <rPr>
        <sz val="10"/>
        <color rgb="FF000000"/>
        <rFont val="Noto Sans CJK SC"/>
        <family val="2"/>
      </rPr>
      <t xml:space="preserve">原文「毛利 </t>
    </r>
    <r>
      <rPr>
        <sz val="10"/>
        <color rgb="FF000000"/>
        <rFont val="Arial"/>
        <family val="0"/>
        <charset val="1"/>
      </rPr>
      <t xml:space="preserve">31,360 54.6</t>
    </r>
    <r>
      <rPr>
        <sz val="10"/>
        <color rgb="FF000000"/>
        <rFont val="Noto Sans CJK SC"/>
        <family val="2"/>
      </rPr>
      <t xml:space="preserve">」表內毛利率欄</t>
    </r>
  </si>
  <si>
    <t xml:space="preserve">SRC_ZP_102</t>
  </si>
  <si>
    <t xml:space="preserve">gm_total_fy23</t>
  </si>
  <si>
    <t xml:space="preserve">SRC_ZP_103</t>
  </si>
  <si>
    <t xml:space="preserve">gm_total_fy24</t>
  </si>
  <si>
    <t xml:space="preserve">SRC_ZP_104</t>
  </si>
  <si>
    <t xml:space="preserve">gm_total_1h24</t>
  </si>
  <si>
    <t xml:space="preserve">SRC_ZP_105</t>
  </si>
  <si>
    <t xml:space="preserve">gm_total_1h25</t>
  </si>
  <si>
    <t xml:space="preserve">SRC_ZP_106</t>
  </si>
  <si>
    <t xml:space="preserve">cash_burn_m_fy22</t>
  </si>
  <si>
    <t xml:space="preserve">平均每月現金消耗率</t>
  </si>
  <si>
    <r>
      <rPr>
        <sz val="10"/>
        <color rgb="FF000000"/>
        <rFont val="Arial"/>
        <family val="0"/>
        <charset val="1"/>
      </rPr>
      <t xml:space="preserve">RMB </t>
    </r>
    <r>
      <rPr>
        <sz val="10"/>
        <color rgb="FF000000"/>
        <rFont val="Noto Sans CJK SC"/>
        <family val="2"/>
      </rPr>
      <t xml:space="preserve">億／月</t>
    </r>
  </si>
  <si>
    <t xml:space="preserve">https://www1.hkexnews.hk/listedco/listconews/sehk/2025/1230/2025123000017.pdf</t>
  </si>
  <si>
    <t xml:space="preserve">Interested-party</t>
  </si>
  <si>
    <r>
      <rPr>
        <sz val="10"/>
        <color rgb="FF000000"/>
        <rFont val="Noto Sans CJK SC"/>
        <family val="2"/>
      </rPr>
      <t xml:space="preserve">智譜：</t>
    </r>
    <r>
      <rPr>
        <sz val="10"/>
        <color rgb="FF000000"/>
        <rFont val="Arial"/>
        <family val="0"/>
        <charset val="1"/>
      </rPr>
      <t xml:space="preserve">IPO </t>
    </r>
    <r>
      <rPr>
        <sz val="10"/>
        <color rgb="FF000000"/>
        <rFont val="Noto Sans CJK SC"/>
        <family val="2"/>
      </rPr>
      <t xml:space="preserve">招股，誘因為發行定價</t>
    </r>
  </si>
  <si>
    <t xml:space="preserve">管理層口徑（招股章程）</t>
  </si>
  <si>
    <r>
      <rPr>
        <sz val="10"/>
        <color rgb="FF000000"/>
        <rFont val="Noto Sans CJK SC"/>
        <family val="2"/>
      </rPr>
      <t xml:space="preserve">原文 </t>
    </r>
    <r>
      <rPr>
        <sz val="10"/>
        <color rgb="FF000000"/>
        <rFont val="Arial"/>
        <family val="0"/>
        <charset val="1"/>
      </rPr>
      <t xml:space="preserve">average monthly cash burn RMB3.0 million</t>
    </r>
    <r>
      <rPr>
        <sz val="10"/>
        <color rgb="FF000000"/>
        <rFont val="Noto Sans CJK SC"/>
        <family val="2"/>
      </rPr>
      <t xml:space="preserve">；含經營現金流、購置設備、理財淨額、租賃付款；百萬</t>
    </r>
    <r>
      <rPr>
        <sz val="10"/>
        <color rgb="FF000000"/>
        <rFont val="Arial"/>
        <family val="0"/>
        <charset val="1"/>
      </rPr>
      <t xml:space="preserve">÷100 </t>
    </r>
    <r>
      <rPr>
        <sz val="10"/>
        <color rgb="FF000000"/>
        <rFont val="Noto Sans CJK SC"/>
        <family val="2"/>
      </rPr>
      <t xml:space="preserve">換算成億</t>
    </r>
  </si>
  <si>
    <t xml:space="preserve">SRC_ZP_107</t>
  </si>
  <si>
    <t xml:space="preserve">cash_burn_m_fy23</t>
  </si>
  <si>
    <r>
      <rPr>
        <sz val="10"/>
        <color rgb="FF000000"/>
        <rFont val="Noto Sans CJK SC"/>
        <family val="2"/>
      </rPr>
      <t xml:space="preserve">原文 </t>
    </r>
    <r>
      <rPr>
        <sz val="10"/>
        <color rgb="FF000000"/>
        <rFont val="Arial"/>
        <family val="0"/>
        <charset val="1"/>
      </rPr>
      <t xml:space="preserve">average monthly cash burn RMB105.9 million</t>
    </r>
    <r>
      <rPr>
        <sz val="10"/>
        <color rgb="FF000000"/>
        <rFont val="Noto Sans CJK SC"/>
        <family val="2"/>
      </rPr>
      <t xml:space="preserve">；含經營現金流、購置設備、理財淨額、租賃付款；百萬</t>
    </r>
    <r>
      <rPr>
        <sz val="10"/>
        <color rgb="FF000000"/>
        <rFont val="Arial"/>
        <family val="0"/>
        <charset val="1"/>
      </rPr>
      <t xml:space="preserve">÷100 </t>
    </r>
    <r>
      <rPr>
        <sz val="10"/>
        <color rgb="FF000000"/>
        <rFont val="Noto Sans CJK SC"/>
        <family val="2"/>
      </rPr>
      <t xml:space="preserve">換算成億</t>
    </r>
  </si>
  <si>
    <t xml:space="preserve">SRC_ZP_108</t>
  </si>
  <si>
    <t xml:space="preserve">cash_burn_m_fy24</t>
  </si>
  <si>
    <r>
      <rPr>
        <sz val="10"/>
        <color rgb="FF000000"/>
        <rFont val="Noto Sans CJK SC"/>
        <family val="2"/>
      </rPr>
      <t xml:space="preserve">原文 </t>
    </r>
    <r>
      <rPr>
        <sz val="10"/>
        <color rgb="FF000000"/>
        <rFont val="Arial"/>
        <family val="0"/>
        <charset val="1"/>
      </rPr>
      <t xml:space="preserve">average monthly cash burn RMB194.5 million</t>
    </r>
    <r>
      <rPr>
        <sz val="10"/>
        <color rgb="FF000000"/>
        <rFont val="Noto Sans CJK SC"/>
        <family val="2"/>
      </rPr>
      <t xml:space="preserve">；含經營現金流、購置設備、理財淨額、租賃付款；百萬</t>
    </r>
    <r>
      <rPr>
        <sz val="10"/>
        <color rgb="FF000000"/>
        <rFont val="Arial"/>
        <family val="0"/>
        <charset val="1"/>
      </rPr>
      <t xml:space="preserve">÷100 </t>
    </r>
    <r>
      <rPr>
        <sz val="10"/>
        <color rgb="FF000000"/>
        <rFont val="Noto Sans CJK SC"/>
        <family val="2"/>
      </rPr>
      <t xml:space="preserve">換算成億</t>
    </r>
  </si>
  <si>
    <t xml:space="preserve">SRC_ZP_109</t>
  </si>
  <si>
    <t xml:space="preserve">cash_burn_m_1h25</t>
  </si>
  <si>
    <r>
      <rPr>
        <sz val="10"/>
        <color rgb="FF000000"/>
        <rFont val="Noto Sans CJK SC"/>
        <family val="2"/>
      </rPr>
      <t xml:space="preserve">原文 </t>
    </r>
    <r>
      <rPr>
        <sz val="10"/>
        <color rgb="FF000000"/>
        <rFont val="Arial"/>
        <family val="0"/>
        <charset val="1"/>
      </rPr>
      <t xml:space="preserve">average monthly cash burn RMB327.3 million</t>
    </r>
    <r>
      <rPr>
        <sz val="10"/>
        <color rgb="FF000000"/>
        <rFont val="Noto Sans CJK SC"/>
        <family val="2"/>
      </rPr>
      <t xml:space="preserve">；含經營現金流、購置設備、理財淨額、租賃付款；百萬</t>
    </r>
    <r>
      <rPr>
        <sz val="10"/>
        <color rgb="FF000000"/>
        <rFont val="Arial"/>
        <family val="0"/>
        <charset val="1"/>
      </rPr>
      <t xml:space="preserve">÷100 </t>
    </r>
    <r>
      <rPr>
        <sz val="10"/>
        <color rgb="FF000000"/>
        <rFont val="Noto Sans CJK SC"/>
        <family val="2"/>
      </rPr>
      <t xml:space="preserve">換算成億</t>
    </r>
  </si>
  <si>
    <t xml:space="preserve">SRC_ZP_110</t>
  </si>
  <si>
    <t xml:space="preserve">liquidity_2510</t>
  </si>
  <si>
    <r>
      <rPr>
        <sz val="10"/>
        <color rgb="FF000000"/>
        <rFont val="Noto Sans CJK SC"/>
        <family val="2"/>
      </rPr>
      <t xml:space="preserve">現金＋</t>
    </r>
    <r>
      <rPr>
        <sz val="10"/>
        <color rgb="FF000000"/>
        <rFont val="Arial"/>
        <family val="0"/>
        <charset val="1"/>
      </rPr>
      <t xml:space="preserve">FVPL </t>
    </r>
    <r>
      <rPr>
        <sz val="10"/>
        <color rgb="FF000000"/>
        <rFont val="Noto Sans CJK SC"/>
        <family val="2"/>
      </rPr>
      <t xml:space="preserve">短期投資＋可用承諾銀行授信合計</t>
    </r>
  </si>
  <si>
    <t xml:space="preserve">2025-10-31</t>
  </si>
  <si>
    <r>
      <rPr>
        <sz val="10"/>
        <color rgb="FF000000"/>
        <rFont val="Noto Sans CJK SC"/>
        <family val="2"/>
      </rPr>
      <t xml:space="preserve">智譜：</t>
    </r>
    <r>
      <rPr>
        <sz val="10"/>
        <color rgb="FF000000"/>
        <rFont val="Arial"/>
        <family val="0"/>
        <charset val="1"/>
      </rPr>
      <t xml:space="preserve">IPO </t>
    </r>
    <r>
      <rPr>
        <sz val="10"/>
        <color rgb="FF000000"/>
        <rFont val="Noto Sans CJK SC"/>
        <family val="2"/>
      </rPr>
      <t xml:space="preserve">招股，營運資金說明</t>
    </r>
  </si>
  <si>
    <t xml:space="preserve">管理層口徑（招股章程營運資金充足性）</t>
  </si>
  <si>
    <r>
      <rPr>
        <sz val="10"/>
        <color rgb="FF000000"/>
        <rFont val="Noto Sans CJK SC"/>
        <family val="2"/>
      </rPr>
      <t xml:space="preserve">原文「</t>
    </r>
    <r>
      <rPr>
        <sz val="10"/>
        <color rgb="FF000000"/>
        <rFont val="Arial"/>
        <family val="0"/>
        <charset val="1"/>
      </rPr>
      <t xml:space="preserve">available committed bank facilities of RMB8,943.1 million in aggregate</t>
    </r>
    <r>
      <rPr>
        <sz val="10"/>
        <color rgb="FF000000"/>
        <rFont val="Noto Sans CJK SC"/>
        <family val="2"/>
      </rPr>
      <t xml:space="preserve">」；三項合計，未拆授信額</t>
    </r>
  </si>
  <si>
    <t xml:space="preserve">SRC_ZP_111</t>
  </si>
  <si>
    <t xml:space="preserve">rd_staff_1h25</t>
  </si>
  <si>
    <t xml:space="preserve">研發團隊人數</t>
  </si>
  <si>
    <t xml:space="preserve">人</t>
  </si>
  <si>
    <t xml:space="preserve">2025-06-30</t>
  </si>
  <si>
    <t xml:space="preserve">管理層口徑</t>
  </si>
  <si>
    <r>
      <rPr>
        <sz val="10"/>
        <color rgb="FF000000"/>
        <rFont val="Noto Sans CJK SC"/>
        <family val="2"/>
      </rPr>
      <t xml:space="preserve">原文「一支由</t>
    </r>
    <r>
      <rPr>
        <sz val="10"/>
        <color rgb="FF000000"/>
        <rFont val="Arial"/>
        <family val="0"/>
        <charset val="1"/>
      </rPr>
      <t xml:space="preserve">657</t>
    </r>
    <r>
      <rPr>
        <sz val="10"/>
        <color rgb="FF000000"/>
        <rFont val="Noto Sans CJK SC"/>
        <family val="2"/>
      </rPr>
      <t xml:space="preserve">名成員組成的研發團隊」</t>
    </r>
  </si>
  <si>
    <t xml:space="preserve">SRC_ZP_112</t>
  </si>
  <si>
    <t xml:space="preserve">rev_api_fy25</t>
  </si>
  <si>
    <r>
      <rPr>
        <sz val="10"/>
        <color rgb="FF000000"/>
        <rFont val="Noto Sans CJK SC"/>
        <family val="2"/>
      </rPr>
      <t xml:space="preserve">開放平台及 </t>
    </r>
    <r>
      <rPr>
        <sz val="10"/>
        <color rgb="FF000000"/>
        <rFont val="Arial"/>
        <family val="0"/>
        <charset val="1"/>
      </rPr>
      <t xml:space="preserve">API </t>
    </r>
    <r>
      <rPr>
        <sz val="10"/>
        <color rgb="FF000000"/>
        <rFont val="Noto Sans CJK SC"/>
        <family val="2"/>
      </rPr>
      <t xml:space="preserve">收入（新分類）</t>
    </r>
  </si>
  <si>
    <t xml:space="preserve">FY2025</t>
  </si>
  <si>
    <r>
      <rPr>
        <sz val="10"/>
        <color rgb="FF000000"/>
        <rFont val="Noto Sans CJK SC"/>
        <family val="2"/>
      </rPr>
      <t xml:space="preserve">智譜 </t>
    </r>
    <r>
      <rPr>
        <sz val="10"/>
        <color rgb="FF000000"/>
        <rFont val="Arial"/>
        <family val="0"/>
        <charset val="1"/>
      </rPr>
      <t xml:space="preserve">2025 </t>
    </r>
    <r>
      <rPr>
        <sz val="10"/>
        <color rgb="FF000000"/>
        <rFont val="Noto Sans CJK SC"/>
        <family val="2"/>
      </rPr>
      <t xml:space="preserve">年度業績公告</t>
    </r>
  </si>
  <si>
    <t xml:space="preserve">https://www1.hkexnews.hk/listedco/listconews/sehk/2026/0331/2026033101549.pdf</t>
  </si>
  <si>
    <t xml:space="preserve">2026-03-31</t>
  </si>
  <si>
    <r>
      <rPr>
        <sz val="10"/>
        <color rgb="FF000000"/>
        <rFont val="Noto Sans CJK SC"/>
        <family val="2"/>
      </rPr>
      <t xml:space="preserve">經審計（</t>
    </r>
    <r>
      <rPr>
        <sz val="10"/>
        <color rgb="FF000000"/>
        <rFont val="Arial"/>
        <family val="0"/>
        <charset val="1"/>
      </rPr>
      <t xml:space="preserve">KPMG</t>
    </r>
    <r>
      <rPr>
        <sz val="10"/>
        <color rgb="FF000000"/>
        <rFont val="Noto Sans CJK SC"/>
        <family val="2"/>
      </rPr>
      <t xml:space="preserve">；年度業績公告）</t>
    </r>
  </si>
  <si>
    <r>
      <rPr>
        <sz val="10"/>
        <color rgb="FF000000"/>
        <rFont val="Noto Sans CJK SC"/>
        <family val="2"/>
      </rPr>
      <t xml:space="preserve">原文「</t>
    </r>
    <r>
      <rPr>
        <sz val="10"/>
        <color rgb="FF000000"/>
        <rFont val="Arial"/>
        <family val="0"/>
        <charset val="1"/>
      </rPr>
      <t xml:space="preserve">Open Platform and API</t>
    </r>
    <r>
      <rPr>
        <sz val="10"/>
        <color rgb="FF000000"/>
        <rFont val="Noto Sans CJK SC"/>
        <family val="2"/>
      </rPr>
      <t xml:space="preserve">」；千元值 </t>
    </r>
    <r>
      <rPr>
        <sz val="10"/>
        <color rgb="FF000000"/>
        <rFont val="Arial"/>
        <family val="0"/>
        <charset val="1"/>
      </rPr>
      <t xml:space="preserve">190,379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2025 </t>
    </r>
    <r>
      <rPr>
        <sz val="10"/>
        <color rgb="FF000000"/>
        <rFont val="Noto Sans CJK SC"/>
        <family val="2"/>
      </rPr>
      <t xml:space="preserve">占營收 </t>
    </r>
    <r>
      <rPr>
        <sz val="10"/>
        <color rgb="FF000000"/>
        <rFont val="Arial"/>
        <family val="0"/>
        <charset val="1"/>
      </rPr>
      <t xml:space="preserve">26.3%</t>
    </r>
    <r>
      <rPr>
        <sz val="10"/>
        <color rgb="FF000000"/>
        <rFont val="Noto Sans CJK SC"/>
        <family val="2"/>
      </rPr>
      <t xml:space="preserve">；新分類下＝雲端部署</t>
    </r>
  </si>
  <si>
    <t xml:space="preserve">SRC_ZP_113</t>
  </si>
  <si>
    <t xml:space="preserve">rev_api_fy24</t>
  </si>
  <si>
    <r>
      <rPr>
        <sz val="10"/>
        <color rgb="FF000000"/>
        <rFont val="Noto Sans CJK SC"/>
        <family val="2"/>
      </rPr>
      <t xml:space="preserve">原文「</t>
    </r>
    <r>
      <rPr>
        <sz val="10"/>
        <color rgb="FF000000"/>
        <rFont val="Arial"/>
        <family val="0"/>
        <charset val="1"/>
      </rPr>
      <t xml:space="preserve">Open Platform and API</t>
    </r>
    <r>
      <rPr>
        <sz val="10"/>
        <color rgb="FF000000"/>
        <rFont val="Noto Sans CJK SC"/>
        <family val="2"/>
      </rPr>
      <t xml:space="preserve">」；千元值 </t>
    </r>
    <r>
      <rPr>
        <sz val="10"/>
        <color rgb="FF000000"/>
        <rFont val="Arial"/>
        <family val="0"/>
        <charset val="1"/>
      </rPr>
      <t xml:space="preserve">48,484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2025 </t>
    </r>
    <r>
      <rPr>
        <sz val="10"/>
        <color rgb="FF000000"/>
        <rFont val="Noto Sans CJK SC"/>
        <family val="2"/>
      </rPr>
      <t xml:space="preserve">占營收 </t>
    </r>
    <r>
      <rPr>
        <sz val="10"/>
        <color rgb="FF000000"/>
        <rFont val="Arial"/>
        <family val="0"/>
        <charset val="1"/>
      </rPr>
      <t xml:space="preserve">26.3%</t>
    </r>
    <r>
      <rPr>
        <sz val="10"/>
        <color rgb="FF000000"/>
        <rFont val="Noto Sans CJK SC"/>
        <family val="2"/>
      </rPr>
      <t xml:space="preserve">；新分類下＝雲端部署</t>
    </r>
  </si>
  <si>
    <t xml:space="preserve">SRC_ZP_114</t>
  </si>
  <si>
    <t xml:space="preserve">rev_agent_fy25</t>
  </si>
  <si>
    <t xml:space="preserve">企業級智能體收入（新分類）</t>
  </si>
  <si>
    <r>
      <rPr>
        <sz val="10"/>
        <color rgb="FF000000"/>
        <rFont val="Noto Sans CJK SC"/>
        <family val="2"/>
      </rPr>
      <t xml:space="preserve">原文「</t>
    </r>
    <r>
      <rPr>
        <sz val="10"/>
        <color rgb="FF000000"/>
        <rFont val="Arial"/>
        <family val="0"/>
        <charset val="1"/>
      </rPr>
      <t xml:space="preserve">Enterprise-level Agents</t>
    </r>
    <r>
      <rPr>
        <sz val="10"/>
        <color rgb="FF000000"/>
        <rFont val="Noto Sans CJK SC"/>
        <family val="2"/>
      </rPr>
      <t xml:space="preserve">」；千元值 </t>
    </r>
    <r>
      <rPr>
        <sz val="10"/>
        <color rgb="FF000000"/>
        <rFont val="Arial"/>
        <family val="0"/>
        <charset val="1"/>
      </rPr>
      <t xml:space="preserve">165,687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換算成億；屬本地化部署分部</t>
    </r>
  </si>
  <si>
    <t xml:space="preserve">SRC_ZP_115</t>
  </si>
  <si>
    <t xml:space="preserve">rev_agent_fy24</t>
  </si>
  <si>
    <r>
      <rPr>
        <sz val="10"/>
        <color rgb="FF000000"/>
        <rFont val="Noto Sans CJK SC"/>
        <family val="2"/>
      </rPr>
      <t xml:space="preserve">原文「</t>
    </r>
    <r>
      <rPr>
        <sz val="10"/>
        <color rgb="FF000000"/>
        <rFont val="Arial"/>
        <family val="0"/>
        <charset val="1"/>
      </rPr>
      <t xml:space="preserve">Enterprise-level Agents</t>
    </r>
    <r>
      <rPr>
        <sz val="10"/>
        <color rgb="FF000000"/>
        <rFont val="Noto Sans CJK SC"/>
        <family val="2"/>
      </rPr>
      <t xml:space="preserve">」；千元值 </t>
    </r>
    <r>
      <rPr>
        <sz val="10"/>
        <color rgb="FF000000"/>
        <rFont val="Arial"/>
        <family val="0"/>
        <charset val="1"/>
      </rPr>
      <t xml:space="preserve">47,492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換算成億；屬本地化部署分部</t>
    </r>
  </si>
  <si>
    <t xml:space="preserve">SRC_ZP_116</t>
  </si>
  <si>
    <t xml:space="preserve">rev_gpllm_fy25</t>
  </si>
  <si>
    <t xml:space="preserve">企業級通用大模型收入（新分類）</t>
  </si>
  <si>
    <r>
      <rPr>
        <sz val="10"/>
        <color rgb="FF000000"/>
        <rFont val="Noto Sans CJK SC"/>
        <family val="2"/>
      </rPr>
      <t xml:space="preserve">原文「</t>
    </r>
    <r>
      <rPr>
        <sz val="10"/>
        <color rgb="FF000000"/>
        <rFont val="Arial"/>
        <family val="0"/>
        <charset val="1"/>
      </rPr>
      <t xml:space="preserve">Enterprise-level General-purpose Large Models</t>
    </r>
    <r>
      <rPr>
        <sz val="10"/>
        <color rgb="FF000000"/>
        <rFont val="Noto Sans CJK SC"/>
        <family val="2"/>
      </rPr>
      <t xml:space="preserve">」；千元值 </t>
    </r>
    <r>
      <rPr>
        <sz val="10"/>
        <color rgb="FF000000"/>
        <rFont val="Arial"/>
        <family val="0"/>
        <charset val="1"/>
      </rPr>
      <t xml:space="preserve">365,724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換算成億；屬本地化部署分部</t>
    </r>
  </si>
  <si>
    <t xml:space="preserve">SRC_ZP_117</t>
  </si>
  <si>
    <t xml:space="preserve">rev_gpllm_fy24</t>
  </si>
  <si>
    <r>
      <rPr>
        <sz val="10"/>
        <color rgb="FF000000"/>
        <rFont val="Noto Sans CJK SC"/>
        <family val="2"/>
      </rPr>
      <t xml:space="preserve">原文「</t>
    </r>
    <r>
      <rPr>
        <sz val="10"/>
        <color rgb="FF000000"/>
        <rFont val="Arial"/>
        <family val="0"/>
        <charset val="1"/>
      </rPr>
      <t xml:space="preserve">Enterprise-level General-purpose Large Models</t>
    </r>
    <r>
      <rPr>
        <sz val="10"/>
        <color rgb="FF000000"/>
        <rFont val="Noto Sans CJK SC"/>
        <family val="2"/>
      </rPr>
      <t xml:space="preserve">」；千元值 </t>
    </r>
    <r>
      <rPr>
        <sz val="10"/>
        <color rgb="FF000000"/>
        <rFont val="Arial"/>
        <family val="0"/>
        <charset val="1"/>
      </rPr>
      <t xml:space="preserve">214,502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換算成億；屬本地化部署分部</t>
    </r>
  </si>
  <si>
    <t xml:space="preserve">SRC_ZP_118</t>
  </si>
  <si>
    <t xml:space="preserve">rev_techsvc_fy25</t>
  </si>
  <si>
    <t xml:space="preserve">技術服務及其他收入（新分類）</t>
  </si>
  <si>
    <r>
      <rPr>
        <sz val="10"/>
        <color rgb="FF000000"/>
        <rFont val="Noto Sans CJK SC"/>
        <family val="2"/>
      </rPr>
      <t xml:space="preserve">原文「</t>
    </r>
    <r>
      <rPr>
        <sz val="10"/>
        <color rgb="FF000000"/>
        <rFont val="Arial"/>
        <family val="0"/>
        <charset val="1"/>
      </rPr>
      <t xml:space="preserve">Technical Services and Others</t>
    </r>
    <r>
      <rPr>
        <sz val="10"/>
        <color rgb="FF000000"/>
        <rFont val="Noto Sans CJK SC"/>
        <family val="2"/>
      </rPr>
      <t xml:space="preserve">」；千元值 </t>
    </r>
    <r>
      <rPr>
        <sz val="10"/>
        <color rgb="FF000000"/>
        <rFont val="Arial"/>
        <family val="0"/>
        <charset val="1"/>
      </rPr>
      <t xml:space="preserve">2,544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</si>
  <si>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SRC_ZP_119</t>
  </si>
  <si>
    <t xml:space="preserve">rev_techsvc_fy24</t>
  </si>
  <si>
    <r>
      <rPr>
        <sz val="10"/>
        <color rgb="FF000000"/>
        <rFont val="Noto Sans CJK SC"/>
        <family val="2"/>
      </rPr>
      <t xml:space="preserve">原文「</t>
    </r>
    <r>
      <rPr>
        <sz val="10"/>
        <color rgb="FF000000"/>
        <rFont val="Arial"/>
        <family val="0"/>
        <charset val="1"/>
      </rPr>
      <t xml:space="preserve">Technical Services and Others</t>
    </r>
    <r>
      <rPr>
        <sz val="10"/>
        <color rgb="FF000000"/>
        <rFont val="Noto Sans CJK SC"/>
        <family val="2"/>
      </rPr>
      <t xml:space="preserve">」；千元值 </t>
    </r>
    <r>
      <rPr>
        <sz val="10"/>
        <color rgb="FF000000"/>
        <rFont val="Arial"/>
        <family val="0"/>
        <charset val="1"/>
      </rPr>
      <t xml:space="preserve">1,936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</si>
  <si>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SRC_ZP_120</t>
  </si>
  <si>
    <t xml:space="preserve">rev_total_fy25</t>
  </si>
  <si>
    <r>
      <rPr>
        <sz val="10"/>
        <color rgb="FF000000"/>
        <rFont val="Noto Sans CJK SC"/>
        <family val="2"/>
      </rPr>
      <t xml:space="preserve">原文「</t>
    </r>
    <r>
      <rPr>
        <sz val="10"/>
        <color rgb="FF000000"/>
        <rFont val="Arial"/>
        <family val="0"/>
        <charset val="1"/>
      </rPr>
      <t xml:space="preserve">total revenue reached RMB724.3 million</t>
    </r>
    <r>
      <rPr>
        <sz val="10"/>
        <color rgb="FF000000"/>
        <rFont val="Noto Sans CJK SC"/>
        <family val="2"/>
      </rPr>
      <t xml:space="preserve">」，同比 </t>
    </r>
    <r>
      <rPr>
        <sz val="10"/>
        <color rgb="FF000000"/>
        <rFont val="Arial"/>
        <family val="0"/>
        <charset val="1"/>
      </rPr>
      <t xml:space="preserve">+131.9%</t>
    </r>
    <r>
      <rPr>
        <sz val="10"/>
        <color rgb="FF000000"/>
        <rFont val="Noto Sans CJK SC"/>
        <family val="2"/>
      </rPr>
      <t xml:space="preserve">；千元 </t>
    </r>
    <r>
      <rPr>
        <sz val="10"/>
        <color rgb="FF000000"/>
        <rFont val="Arial"/>
        <family val="0"/>
        <charset val="1"/>
      </rPr>
      <t xml:space="preserve">724,334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</si>
  <si>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SRC_ZP_121</t>
  </si>
  <si>
    <t xml:space="preserve">rev_onprem_fy25</t>
  </si>
  <si>
    <t xml:space="preserve">本地化部署收入（分部）</t>
  </si>
  <si>
    <r>
      <rPr>
        <sz val="10"/>
        <color rgb="FF000000"/>
        <rFont val="Noto Sans CJK SC"/>
        <family val="2"/>
      </rPr>
      <t xml:space="preserve">分部附註 </t>
    </r>
    <r>
      <rPr>
        <sz val="10"/>
        <color rgb="FF000000"/>
        <rFont val="Arial"/>
        <family val="0"/>
        <charset val="1"/>
      </rPr>
      <t xml:space="preserve">on-premise deployment 533,955 </t>
    </r>
    <r>
      <rPr>
        <sz val="10"/>
        <color rgb="FF000000"/>
        <rFont val="Noto Sans CJK SC"/>
        <family val="2"/>
      </rPr>
      <t xml:space="preserve">千元（＝智能體＋通用大模型＋技術服務）；</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</si>
  <si>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SRC_ZP_122</t>
  </si>
  <si>
    <t xml:space="preserve">rev_cloud_fy25</t>
  </si>
  <si>
    <t xml:space="preserve">雲端部署收入（分部）</t>
  </si>
  <si>
    <r>
      <rPr>
        <sz val="10"/>
        <color rgb="FF000000"/>
        <rFont val="Noto Sans CJK SC"/>
        <family val="2"/>
      </rPr>
      <t xml:space="preserve">分部附註 </t>
    </r>
    <r>
      <rPr>
        <sz val="10"/>
        <color rgb="FF000000"/>
        <rFont val="Arial"/>
        <family val="0"/>
        <charset val="1"/>
      </rPr>
      <t xml:space="preserve">cloud-based deployment 190,379 </t>
    </r>
    <r>
      <rPr>
        <sz val="10"/>
        <color rgb="FF000000"/>
        <rFont val="Noto Sans CJK SC"/>
        <family val="2"/>
      </rPr>
      <t xml:space="preserve">千元＝開放平台及 </t>
    </r>
    <r>
      <rPr>
        <sz val="10"/>
        <color rgb="FF000000"/>
        <rFont val="Arial"/>
        <family val="0"/>
        <charset val="1"/>
      </rPr>
      <t xml:space="preserve">API</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</si>
  <si>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SRC_ZP_123</t>
  </si>
  <si>
    <t xml:space="preserve">cogs_fy25</t>
  </si>
  <si>
    <t xml:space="preserve">銷售成本</t>
  </si>
  <si>
    <r>
      <rPr>
        <sz val="10"/>
        <color rgb="FF000000"/>
        <rFont val="Noto Sans CJK SC"/>
        <family val="2"/>
      </rPr>
      <t xml:space="preserve">原文「</t>
    </r>
    <r>
      <rPr>
        <sz val="10"/>
        <color rgb="FF000000"/>
        <rFont val="Arial"/>
        <family val="0"/>
        <charset val="1"/>
      </rPr>
      <t xml:space="preserve">Cost of revenue</t>
    </r>
    <r>
      <rPr>
        <sz val="10"/>
        <color rgb="FF000000"/>
        <rFont val="Noto Sans CJK SC"/>
        <family val="2"/>
      </rPr>
      <t xml:space="preserve">」；千元值 </t>
    </r>
    <r>
      <rPr>
        <sz val="10"/>
        <color rgb="FF000000"/>
        <rFont val="Arial"/>
        <family val="0"/>
        <charset val="1"/>
      </rPr>
      <t xml:space="preserve">427,678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換算成億；原文「</t>
    </r>
    <r>
      <rPr>
        <sz val="10"/>
        <color rgb="FF000000"/>
        <rFont val="Arial"/>
        <family val="0"/>
        <charset val="1"/>
      </rPr>
      <t xml:space="preserve">primarily attributable to the rise in computing service fees</t>
    </r>
    <r>
      <rPr>
        <sz val="10"/>
        <color rgb="FF000000"/>
        <rFont val="Noto Sans CJK SC"/>
        <family val="2"/>
      </rPr>
      <t xml:space="preserve">」，未揭露金額</t>
    </r>
  </si>
  <si>
    <t xml:space="preserve">SRC_ZP_124</t>
  </si>
  <si>
    <t xml:space="preserve">gp_total_fy25</t>
  </si>
  <si>
    <r>
      <rPr>
        <sz val="10"/>
        <color rgb="FF000000"/>
        <rFont val="Noto Sans CJK SC"/>
        <family val="2"/>
      </rPr>
      <t xml:space="preserve">原文「</t>
    </r>
    <r>
      <rPr>
        <sz val="10"/>
        <color rgb="FF000000"/>
        <rFont val="Arial"/>
        <family val="0"/>
        <charset val="1"/>
      </rPr>
      <t xml:space="preserve">Gross profit</t>
    </r>
    <r>
      <rPr>
        <sz val="10"/>
        <color rgb="FF000000"/>
        <rFont val="Noto Sans CJK SC"/>
        <family val="2"/>
      </rPr>
      <t xml:space="preserve">」；千元值 </t>
    </r>
    <r>
      <rPr>
        <sz val="10"/>
        <color rgb="FF000000"/>
        <rFont val="Arial"/>
        <family val="0"/>
        <charset val="1"/>
      </rPr>
      <t xml:space="preserve">296,656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41.0%</t>
    </r>
    <r>
      <rPr>
        <sz val="10"/>
        <color rgb="FF000000"/>
        <rFont val="Noto Sans CJK SC"/>
        <family val="2"/>
      </rPr>
      <t xml:space="preserve">（</t>
    </r>
    <r>
      <rPr>
        <sz val="10"/>
        <color rgb="FF000000"/>
        <rFont val="Arial"/>
        <family val="0"/>
        <charset val="1"/>
      </rPr>
      <t xml:space="preserve">2024</t>
    </r>
    <r>
      <rPr>
        <sz val="10"/>
        <color rgb="FF000000"/>
        <rFont val="Noto Sans CJK SC"/>
        <family val="2"/>
      </rPr>
      <t xml:space="preserve">：</t>
    </r>
    <r>
      <rPr>
        <sz val="10"/>
        <color rgb="FF000000"/>
        <rFont val="Arial"/>
        <family val="0"/>
        <charset val="1"/>
      </rPr>
      <t xml:space="preserve">56.3%</t>
    </r>
    <r>
      <rPr>
        <sz val="10"/>
        <color rgb="FF000000"/>
        <rFont val="Noto Sans CJK SC"/>
        <family val="2"/>
      </rPr>
      <t xml:space="preserve">）</t>
    </r>
  </si>
  <si>
    <t xml:space="preserve">SRC_ZP_125</t>
  </si>
  <si>
    <t xml:space="preserve">gm_total_fy25</t>
  </si>
  <si>
    <r>
      <rPr>
        <sz val="10"/>
        <color rgb="FF000000"/>
        <rFont val="Noto Sans CJK SC"/>
        <family val="2"/>
      </rPr>
      <t xml:space="preserve">原文 </t>
    </r>
    <r>
      <rPr>
        <sz val="10"/>
        <color rgb="FF000000"/>
        <rFont val="Arial"/>
        <family val="0"/>
        <charset val="1"/>
      </rPr>
      <t xml:space="preserve">gross margin 41.0%</t>
    </r>
    <r>
      <rPr>
        <sz val="10"/>
        <color rgb="FF000000"/>
        <rFont val="Noto Sans CJK SC"/>
        <family val="2"/>
      </rPr>
      <t xml:space="preserve">（</t>
    </r>
    <r>
      <rPr>
        <sz val="10"/>
        <color rgb="FF000000"/>
        <rFont val="Arial"/>
        <family val="0"/>
        <charset val="1"/>
      </rPr>
      <t xml:space="preserve">2024 56.3%</t>
    </r>
    <r>
      <rPr>
        <sz val="10"/>
        <color rgb="FF000000"/>
        <rFont val="Noto Sans CJK SC"/>
        <family val="2"/>
      </rPr>
      <t xml:space="preserve">）</t>
    </r>
  </si>
  <si>
    <t xml:space="preserve">SRC_ZP_126</t>
  </si>
  <si>
    <t xml:space="preserve">gp_onprem_fy25</t>
  </si>
  <si>
    <t xml:space="preserve">本地化部署毛利（分部）</t>
  </si>
  <si>
    <r>
      <rPr>
        <sz val="10"/>
        <color rgb="FF000000"/>
        <rFont val="Noto Sans CJK SC"/>
        <family val="2"/>
      </rPr>
      <t xml:space="preserve">原文「</t>
    </r>
    <r>
      <rPr>
        <sz val="10"/>
        <color rgb="FF000000"/>
        <rFont val="Arial"/>
        <family val="0"/>
        <charset val="1"/>
      </rPr>
      <t xml:space="preserve">On-premise gross profit</t>
    </r>
    <r>
      <rPr>
        <sz val="10"/>
        <color rgb="FF000000"/>
        <rFont val="Noto Sans CJK SC"/>
        <family val="2"/>
      </rPr>
      <t xml:space="preserve">」；千元值 </t>
    </r>
    <r>
      <rPr>
        <sz val="10"/>
        <color rgb="FF000000"/>
        <rFont val="Arial"/>
        <family val="0"/>
        <charset val="1"/>
      </rPr>
      <t xml:space="preserve">260,656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</si>
  <si>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SRC_ZP_127</t>
  </si>
  <si>
    <t xml:space="preserve">gp_onprem_fy24_ann</t>
  </si>
  <si>
    <r>
      <rPr>
        <sz val="10"/>
        <color rgb="FF000000"/>
        <rFont val="Noto Sans CJK SC"/>
        <family val="2"/>
      </rPr>
      <t xml:space="preserve">原文「</t>
    </r>
    <r>
      <rPr>
        <sz val="10"/>
        <color rgb="FF000000"/>
        <rFont val="Arial"/>
        <family val="0"/>
        <charset val="1"/>
      </rPr>
      <t xml:space="preserve">On-premise gross profit</t>
    </r>
    <r>
      <rPr>
        <sz val="10"/>
        <color rgb="FF000000"/>
        <rFont val="Noto Sans CJK SC"/>
        <family val="2"/>
      </rPr>
      <t xml:space="preserve">」；千元值 </t>
    </r>
    <r>
      <rPr>
        <sz val="10"/>
        <color rgb="FF000000"/>
        <rFont val="Arial"/>
        <family val="0"/>
        <charset val="1"/>
      </rPr>
      <t xml:space="preserve">174,256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</si>
  <si>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SRC_ZP_128</t>
  </si>
  <si>
    <t xml:space="preserve">gp_cloud_fy25</t>
  </si>
  <si>
    <t xml:space="preserve">雲端部署毛利（分部）</t>
  </si>
  <si>
    <r>
      <rPr>
        <sz val="10"/>
        <color rgb="FF000000"/>
        <rFont val="Noto Sans CJK SC"/>
        <family val="2"/>
      </rPr>
      <t xml:space="preserve">原文「</t>
    </r>
    <r>
      <rPr>
        <sz val="10"/>
        <color rgb="FF000000"/>
        <rFont val="Arial"/>
        <family val="0"/>
        <charset val="1"/>
      </rPr>
      <t xml:space="preserve">Cloud-based gross profit</t>
    </r>
    <r>
      <rPr>
        <sz val="10"/>
        <color rgb="FF000000"/>
        <rFont val="Noto Sans CJK SC"/>
        <family val="2"/>
      </rPr>
      <t xml:space="preserve">」；千元值 </t>
    </r>
    <r>
      <rPr>
        <sz val="10"/>
        <color rgb="FF000000"/>
        <rFont val="Arial"/>
        <family val="0"/>
        <charset val="1"/>
      </rPr>
      <t xml:space="preserve">36,000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18.9%</t>
    </r>
    <r>
      <rPr>
        <sz val="10"/>
        <color rgb="FF000000"/>
        <rFont val="Noto Sans CJK SC"/>
        <family val="2"/>
      </rPr>
      <t xml:space="preserve">（</t>
    </r>
    <r>
      <rPr>
        <sz val="10"/>
        <color rgb="FF000000"/>
        <rFont val="Arial"/>
        <family val="0"/>
        <charset val="1"/>
      </rPr>
      <t xml:space="preserve">2024 3.3%</t>
    </r>
    <r>
      <rPr>
        <sz val="10"/>
        <color rgb="FF000000"/>
        <rFont val="Noto Sans CJK SC"/>
        <family val="2"/>
      </rPr>
      <t xml:space="preserve">）</t>
    </r>
  </si>
  <si>
    <t xml:space="preserve">SRC_ZP_129</t>
  </si>
  <si>
    <t xml:space="preserve">gp_cloud_fy24_ann</t>
  </si>
  <si>
    <r>
      <rPr>
        <sz val="10"/>
        <color rgb="FF000000"/>
        <rFont val="Noto Sans CJK SC"/>
        <family val="2"/>
      </rPr>
      <t xml:space="preserve">原文「</t>
    </r>
    <r>
      <rPr>
        <sz val="10"/>
        <color rgb="FF000000"/>
        <rFont val="Arial"/>
        <family val="0"/>
        <charset val="1"/>
      </rPr>
      <t xml:space="preserve">Cloud-based gross profit</t>
    </r>
    <r>
      <rPr>
        <sz val="10"/>
        <color rgb="FF000000"/>
        <rFont val="Noto Sans CJK SC"/>
        <family val="2"/>
      </rPr>
      <t xml:space="preserve">」；千元值 </t>
    </r>
    <r>
      <rPr>
        <sz val="10"/>
        <color rgb="FF000000"/>
        <rFont val="Arial"/>
        <family val="0"/>
        <charset val="1"/>
      </rPr>
      <t xml:space="preserve">1,633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18.9%</t>
    </r>
    <r>
      <rPr>
        <sz val="10"/>
        <color rgb="FF000000"/>
        <rFont val="Noto Sans CJK SC"/>
        <family val="2"/>
      </rPr>
      <t xml:space="preserve">（</t>
    </r>
    <r>
      <rPr>
        <sz val="10"/>
        <color rgb="FF000000"/>
        <rFont val="Arial"/>
        <family val="0"/>
        <charset val="1"/>
      </rPr>
      <t xml:space="preserve">2024 3.3%</t>
    </r>
    <r>
      <rPr>
        <sz val="10"/>
        <color rgb="FF000000"/>
        <rFont val="Noto Sans CJK SC"/>
        <family val="2"/>
      </rPr>
      <t xml:space="preserve">）</t>
    </r>
  </si>
  <si>
    <t xml:space="preserve">SRC_ZP_130</t>
  </si>
  <si>
    <t xml:space="preserve">gp_api_fy25</t>
  </si>
  <si>
    <r>
      <rPr>
        <sz val="10"/>
        <color rgb="FF000000"/>
        <rFont val="Noto Sans CJK SC"/>
        <family val="2"/>
      </rPr>
      <t xml:space="preserve">開放平台及 </t>
    </r>
    <r>
      <rPr>
        <sz val="10"/>
        <color rgb="FF000000"/>
        <rFont val="Arial"/>
        <family val="0"/>
        <charset val="1"/>
      </rPr>
      <t xml:space="preserve">API </t>
    </r>
    <r>
      <rPr>
        <sz val="10"/>
        <color rgb="FF000000"/>
        <rFont val="Noto Sans CJK SC"/>
        <family val="2"/>
      </rPr>
      <t xml:space="preserve">毛利</t>
    </r>
  </si>
  <si>
    <r>
      <rPr>
        <sz val="10"/>
        <color rgb="FF000000"/>
        <rFont val="Noto Sans CJK SC"/>
        <family val="2"/>
      </rPr>
      <t xml:space="preserve">公告以百萬元揭露 </t>
    </r>
    <r>
      <rPr>
        <sz val="10"/>
        <color rgb="FF000000"/>
        <rFont val="Arial"/>
        <family val="0"/>
        <charset val="1"/>
      </rPr>
      <t xml:space="preserve">RMB36.0 million</t>
    </r>
    <r>
      <rPr>
        <sz val="10"/>
        <color rgb="FF000000"/>
        <rFont val="Noto Sans CJK SC"/>
        <family val="2"/>
      </rPr>
      <t xml:space="preserve">，毛利率 </t>
    </r>
    <r>
      <rPr>
        <sz val="10"/>
        <color rgb="FF000000"/>
        <rFont val="Arial"/>
        <family val="0"/>
        <charset val="1"/>
      </rPr>
      <t xml:space="preserve">18.9%</t>
    </r>
    <r>
      <rPr>
        <sz val="10"/>
        <color rgb="FF000000"/>
        <rFont val="Noto Sans CJK SC"/>
        <family val="2"/>
      </rPr>
      <t xml:space="preserve">；百萬</t>
    </r>
    <r>
      <rPr>
        <sz val="10"/>
        <color rgb="FF000000"/>
        <rFont val="Arial"/>
        <family val="0"/>
        <charset val="1"/>
      </rPr>
      <t xml:space="preserve">÷100 </t>
    </r>
    <r>
      <rPr>
        <sz val="10"/>
        <color rgb="FF000000"/>
        <rFont val="Noto Sans CJK SC"/>
        <family val="2"/>
      </rPr>
      <t xml:space="preserve">換算成億</t>
    </r>
  </si>
  <si>
    <t xml:space="preserve">SRC_ZP_131</t>
  </si>
  <si>
    <t xml:space="preserve">gp_api_fy24</t>
  </si>
  <si>
    <r>
      <rPr>
        <sz val="10"/>
        <color rgb="FF000000"/>
        <rFont val="Noto Sans CJK SC"/>
        <family val="2"/>
      </rPr>
      <t xml:space="preserve">公告以百萬元揭露 </t>
    </r>
    <r>
      <rPr>
        <sz val="10"/>
        <color rgb="FF000000"/>
        <rFont val="Arial"/>
        <family val="0"/>
        <charset val="1"/>
      </rPr>
      <t xml:space="preserve">RMB1.6 million</t>
    </r>
    <r>
      <rPr>
        <sz val="10"/>
        <color rgb="FF000000"/>
        <rFont val="Noto Sans CJK SC"/>
        <family val="2"/>
      </rPr>
      <t xml:space="preserve">，毛利率 </t>
    </r>
    <r>
      <rPr>
        <sz val="10"/>
        <color rgb="FF000000"/>
        <rFont val="Arial"/>
        <family val="0"/>
        <charset val="1"/>
      </rPr>
      <t xml:space="preserve">3.3%</t>
    </r>
    <r>
      <rPr>
        <sz val="10"/>
        <color rgb="FF000000"/>
        <rFont val="Noto Sans CJK SC"/>
        <family val="2"/>
      </rPr>
      <t xml:space="preserve">；百萬</t>
    </r>
    <r>
      <rPr>
        <sz val="10"/>
        <color rgb="FF000000"/>
        <rFont val="Arial"/>
        <family val="0"/>
        <charset val="1"/>
      </rPr>
      <t xml:space="preserve">÷100 </t>
    </r>
    <r>
      <rPr>
        <sz val="10"/>
        <color rgb="FF000000"/>
        <rFont val="Noto Sans CJK SC"/>
        <family val="2"/>
      </rPr>
      <t xml:space="preserve">換算成億</t>
    </r>
  </si>
  <si>
    <t xml:space="preserve">SRC_ZP_132</t>
  </si>
  <si>
    <t xml:space="preserve">gp_agent_fy25</t>
  </si>
  <si>
    <t xml:space="preserve">企業級智能體毛利</t>
  </si>
  <si>
    <r>
      <rPr>
        <sz val="10"/>
        <color rgb="FF000000"/>
        <rFont val="Noto Sans CJK SC"/>
        <family val="2"/>
      </rPr>
      <t xml:space="preserve">公告以百萬元揭露 </t>
    </r>
    <r>
      <rPr>
        <sz val="10"/>
        <color rgb="FF000000"/>
        <rFont val="Arial"/>
        <family val="0"/>
        <charset val="1"/>
      </rPr>
      <t xml:space="preserve">RMB86.7 million</t>
    </r>
    <r>
      <rPr>
        <sz val="10"/>
        <color rgb="FF000000"/>
        <rFont val="Noto Sans CJK SC"/>
        <family val="2"/>
      </rPr>
      <t xml:space="preserve">，毛利率 </t>
    </r>
    <r>
      <rPr>
        <sz val="10"/>
        <color rgb="FF000000"/>
        <rFont val="Arial"/>
        <family val="0"/>
        <charset val="1"/>
      </rPr>
      <t xml:space="preserve">52.3%</t>
    </r>
    <r>
      <rPr>
        <sz val="10"/>
        <color rgb="FF000000"/>
        <rFont val="Noto Sans CJK SC"/>
        <family val="2"/>
      </rPr>
      <t xml:space="preserve">；百萬</t>
    </r>
    <r>
      <rPr>
        <sz val="10"/>
        <color rgb="FF000000"/>
        <rFont val="Arial"/>
        <family val="0"/>
        <charset val="1"/>
      </rPr>
      <t xml:space="preserve">÷100 </t>
    </r>
    <r>
      <rPr>
        <sz val="10"/>
        <color rgb="FF000000"/>
        <rFont val="Noto Sans CJK SC"/>
        <family val="2"/>
      </rPr>
      <t xml:space="preserve">換算成億</t>
    </r>
  </si>
  <si>
    <t xml:space="preserve">SRC_ZP_133</t>
  </si>
  <si>
    <t xml:space="preserve">gp_agent_fy24</t>
  </si>
  <si>
    <r>
      <rPr>
        <sz val="10"/>
        <color rgb="FF000000"/>
        <rFont val="Noto Sans CJK SC"/>
        <family val="2"/>
      </rPr>
      <t xml:space="preserve">公告以百萬元揭露 </t>
    </r>
    <r>
      <rPr>
        <sz val="10"/>
        <color rgb="FF000000"/>
        <rFont val="Arial"/>
        <family val="0"/>
        <charset val="1"/>
      </rPr>
      <t xml:space="preserve">RMB23.4 million</t>
    </r>
    <r>
      <rPr>
        <sz val="10"/>
        <color rgb="FF000000"/>
        <rFont val="Noto Sans CJK SC"/>
        <family val="2"/>
      </rPr>
      <t xml:space="preserve">，毛利率 </t>
    </r>
    <r>
      <rPr>
        <sz val="10"/>
        <color rgb="FF000000"/>
        <rFont val="Arial"/>
        <family val="0"/>
        <charset val="1"/>
      </rPr>
      <t xml:space="preserve">49.3%</t>
    </r>
    <r>
      <rPr>
        <sz val="10"/>
        <color rgb="FF000000"/>
        <rFont val="Noto Sans CJK SC"/>
        <family val="2"/>
      </rPr>
      <t xml:space="preserve">；百萬</t>
    </r>
    <r>
      <rPr>
        <sz val="10"/>
        <color rgb="FF000000"/>
        <rFont val="Arial"/>
        <family val="0"/>
        <charset val="1"/>
      </rPr>
      <t xml:space="preserve">÷100 </t>
    </r>
    <r>
      <rPr>
        <sz val="10"/>
        <color rgb="FF000000"/>
        <rFont val="Noto Sans CJK SC"/>
        <family val="2"/>
      </rPr>
      <t xml:space="preserve">換算成億</t>
    </r>
  </si>
  <si>
    <t xml:space="preserve">SRC_ZP_134</t>
  </si>
  <si>
    <t xml:space="preserve">gp_gpllm_fy25</t>
  </si>
  <si>
    <t xml:space="preserve">企業級通用大模型毛利</t>
  </si>
  <si>
    <r>
      <rPr>
        <sz val="10"/>
        <color rgb="FF000000"/>
        <rFont val="Noto Sans CJK SC"/>
        <family val="2"/>
      </rPr>
      <t xml:space="preserve">公告以百萬元揭露 </t>
    </r>
    <r>
      <rPr>
        <sz val="10"/>
        <color rgb="FF000000"/>
        <rFont val="Arial"/>
        <family val="0"/>
        <charset val="1"/>
      </rPr>
      <t xml:space="preserve">RMB171.7 million</t>
    </r>
    <r>
      <rPr>
        <sz val="10"/>
        <color rgb="FF000000"/>
        <rFont val="Noto Sans CJK SC"/>
        <family val="2"/>
      </rPr>
      <t xml:space="preserve">，毛利率 </t>
    </r>
    <r>
      <rPr>
        <sz val="10"/>
        <color rgb="FF000000"/>
        <rFont val="Arial"/>
        <family val="0"/>
        <charset val="1"/>
      </rPr>
      <t xml:space="preserve">47.0%</t>
    </r>
    <r>
      <rPr>
        <sz val="10"/>
        <color rgb="FF000000"/>
        <rFont val="Noto Sans CJK SC"/>
        <family val="2"/>
      </rPr>
      <t xml:space="preserve">；百萬</t>
    </r>
    <r>
      <rPr>
        <sz val="10"/>
        <color rgb="FF000000"/>
        <rFont val="Arial"/>
        <family val="0"/>
        <charset val="1"/>
      </rPr>
      <t xml:space="preserve">÷100 </t>
    </r>
    <r>
      <rPr>
        <sz val="10"/>
        <color rgb="FF000000"/>
        <rFont val="Noto Sans CJK SC"/>
        <family val="2"/>
      </rPr>
      <t xml:space="preserve">換算成億</t>
    </r>
  </si>
  <si>
    <t xml:space="preserve">SRC_ZP_135</t>
  </si>
  <si>
    <t xml:space="preserve">gp_gpllm_fy24</t>
  </si>
  <si>
    <r>
      <rPr>
        <sz val="10"/>
        <color rgb="FF000000"/>
        <rFont val="Noto Sans CJK SC"/>
        <family val="2"/>
      </rPr>
      <t xml:space="preserve">公告以百萬元揭露 </t>
    </r>
    <r>
      <rPr>
        <sz val="10"/>
        <color rgb="FF000000"/>
        <rFont val="Arial"/>
        <family val="0"/>
        <charset val="1"/>
      </rPr>
      <t xml:space="preserve">RMB149.2 million</t>
    </r>
    <r>
      <rPr>
        <sz val="10"/>
        <color rgb="FF000000"/>
        <rFont val="Noto Sans CJK SC"/>
        <family val="2"/>
      </rPr>
      <t xml:space="preserve">，毛利率 </t>
    </r>
    <r>
      <rPr>
        <sz val="10"/>
        <color rgb="FF000000"/>
        <rFont val="Arial"/>
        <family val="0"/>
        <charset val="1"/>
      </rPr>
      <t xml:space="preserve">69.6%</t>
    </r>
    <r>
      <rPr>
        <sz val="10"/>
        <color rgb="FF000000"/>
        <rFont val="Noto Sans CJK SC"/>
        <family val="2"/>
      </rPr>
      <t xml:space="preserve">；百萬</t>
    </r>
    <r>
      <rPr>
        <sz val="10"/>
        <color rgb="FF000000"/>
        <rFont val="Arial"/>
        <family val="0"/>
        <charset val="1"/>
      </rPr>
      <t xml:space="preserve">÷100 </t>
    </r>
    <r>
      <rPr>
        <sz val="10"/>
        <color rgb="FF000000"/>
        <rFont val="Noto Sans CJK SC"/>
        <family val="2"/>
      </rPr>
      <t xml:space="preserve">換算成億</t>
    </r>
  </si>
  <si>
    <t xml:space="preserve">SRC_ZP_136</t>
  </si>
  <si>
    <t xml:space="preserve">gp_techsvc_fy25</t>
  </si>
  <si>
    <t xml:space="preserve">技術服務及其他毛利</t>
  </si>
  <si>
    <r>
      <rPr>
        <sz val="10"/>
        <color rgb="FF000000"/>
        <rFont val="Noto Sans CJK SC"/>
        <family val="2"/>
      </rPr>
      <t xml:space="preserve">公告以百萬元揭露 </t>
    </r>
    <r>
      <rPr>
        <sz val="10"/>
        <color rgb="FF000000"/>
        <rFont val="Arial"/>
        <family val="0"/>
        <charset val="1"/>
      </rPr>
      <t xml:space="preserve">RMB2.3 million</t>
    </r>
    <r>
      <rPr>
        <sz val="10"/>
        <color rgb="FF000000"/>
        <rFont val="Noto Sans CJK SC"/>
        <family val="2"/>
      </rPr>
      <t xml:space="preserve">，毛利率 </t>
    </r>
    <r>
      <rPr>
        <sz val="10"/>
        <color rgb="FF000000"/>
        <rFont val="Arial"/>
        <family val="0"/>
        <charset val="1"/>
      </rPr>
      <t xml:space="preserve">92.0%</t>
    </r>
    <r>
      <rPr>
        <sz val="10"/>
        <color rgb="FF000000"/>
        <rFont val="Noto Sans CJK SC"/>
        <family val="2"/>
      </rPr>
      <t xml:space="preserve">；百萬</t>
    </r>
    <r>
      <rPr>
        <sz val="10"/>
        <color rgb="FF000000"/>
        <rFont val="Arial"/>
        <family val="0"/>
        <charset val="1"/>
      </rPr>
      <t xml:space="preserve">÷100 </t>
    </r>
    <r>
      <rPr>
        <sz val="10"/>
        <color rgb="FF000000"/>
        <rFont val="Noto Sans CJK SC"/>
        <family val="2"/>
      </rPr>
      <t xml:space="preserve">換算成億</t>
    </r>
  </si>
  <si>
    <t xml:space="preserve">SRC_ZP_137</t>
  </si>
  <si>
    <t xml:space="preserve">gp_techsvc_fy24</t>
  </si>
  <si>
    <r>
      <rPr>
        <sz val="10"/>
        <color rgb="FF000000"/>
        <rFont val="Noto Sans CJK SC"/>
        <family val="2"/>
      </rPr>
      <t xml:space="preserve">公告以百萬元揭露 </t>
    </r>
    <r>
      <rPr>
        <sz val="10"/>
        <color rgb="FF000000"/>
        <rFont val="Arial"/>
        <family val="0"/>
        <charset val="1"/>
      </rPr>
      <t xml:space="preserve">RMB1.7 million</t>
    </r>
    <r>
      <rPr>
        <sz val="10"/>
        <color rgb="FF000000"/>
        <rFont val="Noto Sans CJK SC"/>
        <family val="2"/>
      </rPr>
      <t xml:space="preserve">，毛利率 </t>
    </r>
    <r>
      <rPr>
        <sz val="10"/>
        <color rgb="FF000000"/>
        <rFont val="Arial"/>
        <family val="0"/>
        <charset val="1"/>
      </rPr>
      <t xml:space="preserve">89.5%</t>
    </r>
    <r>
      <rPr>
        <sz val="10"/>
        <color rgb="FF000000"/>
        <rFont val="Noto Sans CJK SC"/>
        <family val="2"/>
      </rPr>
      <t xml:space="preserve">；百萬</t>
    </r>
    <r>
      <rPr>
        <sz val="10"/>
        <color rgb="FF000000"/>
        <rFont val="Arial"/>
        <family val="0"/>
        <charset val="1"/>
      </rPr>
      <t xml:space="preserve">÷100 </t>
    </r>
    <r>
      <rPr>
        <sz val="10"/>
        <color rgb="FF000000"/>
        <rFont val="Noto Sans CJK SC"/>
        <family val="2"/>
      </rPr>
      <t xml:space="preserve">換算成億</t>
    </r>
  </si>
  <si>
    <t xml:space="preserve">SRC_ZP_138</t>
  </si>
  <si>
    <t xml:space="preserve">gp_cloud_fy24_b</t>
  </si>
  <si>
    <t xml:space="preserve">雲端部署毛利率</t>
  </si>
  <si>
    <r>
      <rPr>
        <sz val="10"/>
        <color rgb="FF000000"/>
        <rFont val="Noto Sans CJK SC"/>
        <family val="2"/>
      </rPr>
      <t xml:space="preserve">年度業績公告 </t>
    </r>
    <r>
      <rPr>
        <sz val="10"/>
        <color rgb="FF000000"/>
        <rFont val="Arial"/>
        <family val="0"/>
        <charset val="1"/>
      </rPr>
      <t xml:space="preserve">3.3%</t>
    </r>
    <r>
      <rPr>
        <sz val="10"/>
        <color rgb="FF000000"/>
        <rFont val="Noto Sans CJK SC"/>
        <family val="2"/>
      </rPr>
      <t xml:space="preserve">；招股章程為 </t>
    </r>
    <r>
      <rPr>
        <sz val="10"/>
        <color rgb="FF000000"/>
        <rFont val="Arial"/>
        <family val="0"/>
        <charset val="1"/>
      </rPr>
      <t xml:space="preserve">3.4%</t>
    </r>
    <r>
      <rPr>
        <sz val="10"/>
        <color rgb="FF000000"/>
        <rFont val="Noto Sans CJK SC"/>
        <family val="2"/>
      </rPr>
      <t xml:space="preserve">（</t>
    </r>
    <r>
      <rPr>
        <sz val="10"/>
        <color rgb="FF000000"/>
        <rFont val="Arial"/>
        <family val="0"/>
        <charset val="1"/>
      </rPr>
      <t xml:space="preserve">1,633/48,484</t>
    </r>
    <r>
      <rPr>
        <sz val="10"/>
        <color rgb="FF000000"/>
        <rFont val="Noto Sans CJK SC"/>
        <family val="2"/>
      </rPr>
      <t xml:space="preserve">＝</t>
    </r>
    <r>
      <rPr>
        <sz val="10"/>
        <color rgb="FF000000"/>
        <rFont val="Arial"/>
        <family val="0"/>
        <charset val="1"/>
      </rPr>
      <t xml:space="preserve">3.37%</t>
    </r>
    <r>
      <rPr>
        <sz val="10"/>
        <color rgb="FF000000"/>
        <rFont val="Noto Sans CJK SC"/>
        <family val="2"/>
      </rPr>
      <t xml:space="preserve">，四捨五入差異）</t>
    </r>
  </si>
  <si>
    <t xml:space="preserve">SRC_ZP_139</t>
  </si>
  <si>
    <t xml:space="preserve">rd_fy25</t>
  </si>
  <si>
    <r>
      <rPr>
        <sz val="10"/>
        <color rgb="FF000000"/>
        <rFont val="Noto Sans CJK SC"/>
        <family val="2"/>
      </rPr>
      <t xml:space="preserve">原文「</t>
    </r>
    <r>
      <rPr>
        <sz val="10"/>
        <color rgb="FF000000"/>
        <rFont val="Arial"/>
        <family val="0"/>
        <charset val="1"/>
      </rPr>
      <t xml:space="preserve">R&amp;D</t>
    </r>
    <r>
      <rPr>
        <sz val="10"/>
        <color rgb="FF000000"/>
        <rFont val="Noto Sans CJK SC"/>
        <family val="2"/>
      </rPr>
      <t xml:space="preserve">」；千元值 </t>
    </r>
    <r>
      <rPr>
        <sz val="10"/>
        <color rgb="FF000000"/>
        <rFont val="Arial"/>
        <family val="0"/>
        <charset val="1"/>
      </rPr>
      <t xml:space="preserve">3,180,443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換算成億；原文稱員工成本（含股權報酬）與第三方算力服務費增加，未揭露組成金額</t>
    </r>
  </si>
  <si>
    <t xml:space="preserve">SRC_ZP_140</t>
  </si>
  <si>
    <t xml:space="preserve">sm_fy25</t>
  </si>
  <si>
    <r>
      <rPr>
        <sz val="10"/>
        <color rgb="FF000000"/>
        <rFont val="Noto Sans CJK SC"/>
        <family val="2"/>
      </rPr>
      <t xml:space="preserve">原文「</t>
    </r>
    <r>
      <rPr>
        <sz val="10"/>
        <color rgb="FF000000"/>
        <rFont val="Arial"/>
        <family val="0"/>
        <charset val="1"/>
      </rPr>
      <t xml:space="preserve">Selling and marketing</t>
    </r>
    <r>
      <rPr>
        <sz val="10"/>
        <color rgb="FF000000"/>
        <rFont val="Noto Sans CJK SC"/>
        <family val="2"/>
      </rPr>
      <t xml:space="preserve">」；千元值 </t>
    </r>
    <r>
      <rPr>
        <sz val="10"/>
        <color rgb="FF000000"/>
        <rFont val="Arial"/>
        <family val="0"/>
        <charset val="1"/>
      </rPr>
      <t xml:space="preserve">390,869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</si>
  <si>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SRC_ZP_141</t>
  </si>
  <si>
    <t xml:space="preserve">ga_fy25</t>
  </si>
  <si>
    <r>
      <rPr>
        <sz val="10"/>
        <color rgb="FF000000"/>
        <rFont val="Noto Sans CJK SC"/>
        <family val="2"/>
      </rPr>
      <t xml:space="preserve">原文「</t>
    </r>
    <r>
      <rPr>
        <sz val="10"/>
        <color rgb="FF000000"/>
        <rFont val="Arial"/>
        <family val="0"/>
        <charset val="1"/>
      </rPr>
      <t xml:space="preserve">General and administration</t>
    </r>
    <r>
      <rPr>
        <sz val="10"/>
        <color rgb="FF000000"/>
        <rFont val="Noto Sans CJK SC"/>
        <family val="2"/>
      </rPr>
      <t xml:space="preserve">」；千元值 </t>
    </r>
    <r>
      <rPr>
        <sz val="10"/>
        <color rgb="FF000000"/>
        <rFont val="Arial"/>
        <family val="0"/>
        <charset val="1"/>
      </rPr>
      <t xml:space="preserve">505,357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</si>
  <si>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SRC_ZP_142</t>
  </si>
  <si>
    <t xml:space="preserve">sbc_fy25</t>
  </si>
  <si>
    <r>
      <rPr>
        <sz val="10"/>
        <color rgb="FF000000"/>
        <rFont val="Noto Sans CJK SC"/>
        <family val="2"/>
      </rPr>
      <t xml:space="preserve">原文「</t>
    </r>
    <r>
      <rPr>
        <sz val="10"/>
        <color rgb="FF000000"/>
        <rFont val="Arial"/>
        <family val="0"/>
        <charset val="1"/>
      </rPr>
      <t xml:space="preserve">equity-settled share-based compensation</t>
    </r>
    <r>
      <rPr>
        <sz val="10"/>
        <color rgb="FF000000"/>
        <rFont val="Noto Sans CJK SC"/>
        <family val="2"/>
      </rPr>
      <t xml:space="preserve">」；千元值 </t>
    </r>
    <r>
      <rPr>
        <sz val="10"/>
        <color rgb="FF000000"/>
        <rFont val="Arial"/>
        <family val="0"/>
        <charset val="1"/>
      </rPr>
      <t xml:space="preserve">558,265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</si>
  <si>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SRC_ZP_143</t>
  </si>
  <si>
    <t xml:space="preserve">other_inc_fy25</t>
  </si>
  <si>
    <r>
      <rPr>
        <sz val="10"/>
        <color rgb="FF000000"/>
        <rFont val="Noto Sans CJK SC"/>
        <family val="2"/>
      </rPr>
      <t xml:space="preserve">原文「</t>
    </r>
    <r>
      <rPr>
        <sz val="10"/>
        <color rgb="FF000000"/>
        <rFont val="Arial"/>
        <family val="0"/>
        <charset val="1"/>
      </rPr>
      <t xml:space="preserve">decreased from RMB19.3 million…to RMB14.8 million</t>
    </r>
    <r>
      <rPr>
        <sz val="10"/>
        <color rgb="FF000000"/>
        <rFont val="Noto Sans CJK SC"/>
        <family val="2"/>
      </rPr>
      <t xml:space="preserve">」；千元值 </t>
    </r>
    <r>
      <rPr>
        <sz val="10"/>
        <color rgb="FF000000"/>
        <rFont val="Arial"/>
        <family val="0"/>
        <charset val="1"/>
      </rPr>
      <t xml:space="preserve">14,839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換算成億；未拆政府補助</t>
    </r>
  </si>
  <si>
    <t xml:space="preserve">SRC_ZP_144</t>
  </si>
  <si>
    <t xml:space="preserve">fin_cost_fy25</t>
  </si>
  <si>
    <t xml:space="preserve">財務成本</t>
  </si>
  <si>
    <r>
      <rPr>
        <sz val="10"/>
        <color rgb="FF000000"/>
        <rFont val="Noto Sans CJK SC"/>
        <family val="2"/>
      </rPr>
      <t xml:space="preserve">原文「</t>
    </r>
    <r>
      <rPr>
        <sz val="10"/>
        <color rgb="FF000000"/>
        <rFont val="Arial"/>
        <family val="0"/>
        <charset val="1"/>
      </rPr>
      <t xml:space="preserve">Finance costs</t>
    </r>
    <r>
      <rPr>
        <sz val="10"/>
        <color rgb="FF000000"/>
        <rFont val="Noto Sans CJK SC"/>
        <family val="2"/>
      </rPr>
      <t xml:space="preserve">」；千元值 </t>
    </r>
    <r>
      <rPr>
        <sz val="10"/>
        <color rgb="FF000000"/>
        <rFont val="Arial"/>
        <family val="0"/>
        <charset val="1"/>
      </rPr>
      <t xml:space="preserve">74,315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換算成億；公告稱由匯兌淨收益轉為淨損失</t>
    </r>
  </si>
  <si>
    <t xml:space="preserve">SRC_ZP_145</t>
  </si>
  <si>
    <t xml:space="preserve">net_loss_fy25</t>
  </si>
  <si>
    <t xml:space="preserve">年內虧損</t>
  </si>
  <si>
    <r>
      <rPr>
        <sz val="10"/>
        <color rgb="FF000000"/>
        <rFont val="Noto Sans CJK SC"/>
        <family val="2"/>
      </rPr>
      <t xml:space="preserve">原文「</t>
    </r>
    <r>
      <rPr>
        <sz val="10"/>
        <color rgb="FF000000"/>
        <rFont val="Arial"/>
        <family val="0"/>
        <charset val="1"/>
      </rPr>
      <t xml:space="preserve">Loss for the year</t>
    </r>
    <r>
      <rPr>
        <sz val="10"/>
        <color rgb="FF000000"/>
        <rFont val="Noto Sans CJK SC"/>
        <family val="2"/>
      </rPr>
      <t xml:space="preserve">」；千元值 </t>
    </r>
    <r>
      <rPr>
        <sz val="10"/>
        <color rgb="FF000000"/>
        <rFont val="Arial"/>
        <family val="0"/>
        <charset val="1"/>
      </rPr>
      <t xml:space="preserve">4,718,167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換算成億；歸母 </t>
    </r>
    <r>
      <rPr>
        <sz val="10"/>
        <color rgb="FF000000"/>
        <rFont val="Arial"/>
        <family val="0"/>
        <charset val="1"/>
      </rPr>
      <t xml:space="preserve">4,698,203</t>
    </r>
    <r>
      <rPr>
        <sz val="10"/>
        <color rgb="FF000000"/>
        <rFont val="Noto Sans CJK SC"/>
        <family val="2"/>
      </rPr>
      <t xml:space="preserve">；值以正數記虧損</t>
    </r>
  </si>
  <si>
    <t xml:space="preserve">SRC_ZP_146</t>
  </si>
  <si>
    <t xml:space="preserve">adj_loss_fy25</t>
  </si>
  <si>
    <r>
      <rPr>
        <sz val="10"/>
        <color rgb="FF000000"/>
        <rFont val="Noto Sans CJK SC"/>
        <family val="2"/>
      </rPr>
      <t xml:space="preserve">原文「</t>
    </r>
    <r>
      <rPr>
        <sz val="10"/>
        <color rgb="FF000000"/>
        <rFont val="Arial"/>
        <family val="0"/>
        <charset val="1"/>
      </rPr>
      <t xml:space="preserve">Adjusted net loss</t>
    </r>
    <r>
      <rPr>
        <sz val="10"/>
        <color rgb="FF000000"/>
        <rFont val="Noto Sans CJK SC"/>
        <family val="2"/>
      </rPr>
      <t xml:space="preserve">」；千元值 </t>
    </r>
    <r>
      <rPr>
        <sz val="10"/>
        <color rgb="FF000000"/>
        <rFont val="Arial"/>
        <family val="0"/>
        <charset val="1"/>
      </rPr>
      <t xml:space="preserve">3,181,972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換算成億；加回股權報酬、投資人金融工具賬面值變動 </t>
    </r>
    <r>
      <rPr>
        <sz val="10"/>
        <color rgb="FF000000"/>
        <rFont val="Arial"/>
        <family val="0"/>
        <charset val="1"/>
      </rPr>
      <t xml:space="preserve">937,362</t>
    </r>
    <r>
      <rPr>
        <sz val="10"/>
        <color rgb="FF000000"/>
        <rFont val="Noto Sans CJK SC"/>
        <family val="2"/>
      </rPr>
      <t xml:space="preserve">、上市開支 </t>
    </r>
    <r>
      <rPr>
        <sz val="10"/>
        <color rgb="FF000000"/>
        <rFont val="Arial"/>
        <family val="0"/>
        <charset val="1"/>
      </rPr>
      <t xml:space="preserve">40,568</t>
    </r>
  </si>
  <si>
    <t xml:space="preserve">SRC_ZP_147</t>
  </si>
  <si>
    <t xml:space="preserve">fv_investor_instr_fy25</t>
  </si>
  <si>
    <t xml:space="preserve">投資人金融工具賬面值變動（調整項）</t>
  </si>
  <si>
    <r>
      <rPr>
        <sz val="10"/>
        <color rgb="FF000000"/>
        <rFont val="Noto Sans CJK SC"/>
        <family val="2"/>
      </rPr>
      <t xml:space="preserve">原文「</t>
    </r>
    <r>
      <rPr>
        <sz val="10"/>
        <color rgb="FF000000"/>
        <rFont val="Arial"/>
        <family val="0"/>
        <charset val="1"/>
      </rPr>
      <t xml:space="preserve">changes in carrying amount of financial instruments issued to investors</t>
    </r>
    <r>
      <rPr>
        <sz val="10"/>
        <color rgb="FF000000"/>
        <rFont val="Noto Sans CJK SC"/>
        <family val="2"/>
      </rPr>
      <t xml:space="preserve">」；千元值 </t>
    </r>
    <r>
      <rPr>
        <sz val="10"/>
        <color rgb="FF000000"/>
        <rFont val="Arial"/>
        <family val="0"/>
        <charset val="1"/>
      </rPr>
      <t xml:space="preserve">937,362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</si>
  <si>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SRC_ZP_148</t>
  </si>
  <si>
    <t xml:space="preserve">fv_investor_instr_fy24</t>
  </si>
  <si>
    <r>
      <rPr>
        <sz val="10"/>
        <color rgb="FF000000"/>
        <rFont val="Noto Sans CJK SC"/>
        <family val="2"/>
      </rPr>
      <t xml:space="preserve">原文「</t>
    </r>
    <r>
      <rPr>
        <sz val="10"/>
        <color rgb="FF000000"/>
        <rFont val="Arial"/>
        <family val="0"/>
        <charset val="1"/>
      </rPr>
      <t xml:space="preserve">changes in carrying amount of financial instruments issued to investors</t>
    </r>
    <r>
      <rPr>
        <sz val="10"/>
        <color rgb="FF000000"/>
        <rFont val="Noto Sans CJK SC"/>
        <family val="2"/>
      </rPr>
      <t xml:space="preserve">」；千元值 </t>
    </r>
    <r>
      <rPr>
        <sz val="10"/>
        <color rgb="FF000000"/>
        <rFont val="Arial"/>
        <family val="0"/>
        <charset val="1"/>
      </rPr>
      <t xml:space="preserve">468,859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</si>
  <si>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SRC_ZP_149</t>
  </si>
  <si>
    <t xml:space="preserve">capex_fy25</t>
  </si>
  <si>
    <t xml:space="preserve">資本開支</t>
  </si>
  <si>
    <r>
      <rPr>
        <sz val="10"/>
        <color rgb="FF000000"/>
        <rFont val="Noto Sans CJK SC"/>
        <family val="2"/>
      </rPr>
      <t xml:space="preserve">原文「</t>
    </r>
    <r>
      <rPr>
        <sz val="10"/>
        <color rgb="FF000000"/>
        <rFont val="Arial"/>
        <family val="0"/>
        <charset val="1"/>
      </rPr>
      <t xml:space="preserve">capital expenditure in 2025 was approximately RMB74.7 million</t>
    </r>
    <r>
      <rPr>
        <sz val="10"/>
        <color rgb="FF000000"/>
        <rFont val="Noto Sans CJK SC"/>
        <family val="2"/>
      </rPr>
      <t xml:space="preserve">」；公告稱由租賃轉為採購服務；百萬</t>
    </r>
    <r>
      <rPr>
        <sz val="10"/>
        <color rgb="FF000000"/>
        <rFont val="Arial"/>
        <family val="0"/>
        <charset val="1"/>
      </rPr>
      <t xml:space="preserve">÷100</t>
    </r>
  </si>
  <si>
    <t xml:space="preserve">SRC_ZP_150</t>
  </si>
  <si>
    <t xml:space="preserve">capex_fy24</t>
  </si>
  <si>
    <r>
      <rPr>
        <sz val="10"/>
        <color rgb="FF000000"/>
        <rFont val="Noto Sans CJK SC"/>
        <family val="2"/>
      </rPr>
      <t xml:space="preserve">年度業績公告比較數 </t>
    </r>
    <r>
      <rPr>
        <sz val="10"/>
        <color rgb="FF000000"/>
        <rFont val="Arial"/>
        <family val="0"/>
        <charset val="1"/>
      </rPr>
      <t xml:space="preserve">RMB462.3 million</t>
    </r>
    <r>
      <rPr>
        <sz val="10"/>
        <color rgb="FF000000"/>
        <rFont val="Noto Sans CJK SC"/>
        <family val="2"/>
      </rPr>
      <t xml:space="preserve">；百萬</t>
    </r>
    <r>
      <rPr>
        <sz val="10"/>
        <color rgb="FF000000"/>
        <rFont val="Arial"/>
        <family val="0"/>
        <charset val="1"/>
      </rPr>
      <t xml:space="preserve">÷100</t>
    </r>
    <r>
      <rPr>
        <sz val="10"/>
        <color rgb="FF000000"/>
        <rFont val="Noto Sans CJK SC"/>
        <family val="2"/>
      </rPr>
      <t xml:space="preserve">；【</t>
    </r>
    <r>
      <rPr>
        <sz val="10"/>
        <color rgb="FF000000"/>
        <rFont val="Arial"/>
        <family val="0"/>
        <charset val="1"/>
      </rPr>
      <t xml:space="preserve">r2 P2 </t>
    </r>
    <r>
      <rPr>
        <sz val="10"/>
        <color rgb="FF000000"/>
        <rFont val="Noto Sans CJK SC"/>
        <family val="2"/>
      </rPr>
      <t xml:space="preserve">口徑差異】公告「資本開支」＝物業及設備添置（含使用權資產 </t>
    </r>
    <r>
      <rPr>
        <sz val="10"/>
        <color rgb="FF000000"/>
        <rFont val="Arial"/>
        <family val="0"/>
        <charset val="1"/>
      </rPr>
      <t xml:space="preserve">3.37 </t>
    </r>
    <r>
      <rPr>
        <sz val="10"/>
        <color rgb="FF000000"/>
        <rFont val="Noto Sans CJK SC"/>
        <family val="2"/>
      </rPr>
      <t xml:space="preserve">億）＋無形資產添置，屬權責口徑；現金資本開支 </t>
    </r>
    <r>
      <rPr>
        <sz val="10"/>
        <color rgb="FF000000"/>
        <rFont val="Arial"/>
        <family val="0"/>
        <charset val="1"/>
      </rPr>
      <t xml:space="preserve">1.33 </t>
    </r>
    <r>
      <rPr>
        <sz val="10"/>
        <color rgb="FF000000"/>
        <rFont val="Noto Sans CJK SC"/>
        <family val="2"/>
      </rPr>
      <t xml:space="preserve">億見 </t>
    </r>
    <r>
      <rPr>
        <sz val="10"/>
        <color rgb="FF000000"/>
        <rFont val="Arial"/>
        <family val="0"/>
        <charset val="1"/>
      </rPr>
      <t xml:space="preserve">SRC_ZP_889</t>
    </r>
  </si>
  <si>
    <t xml:space="preserve">SRC_ZP_151</t>
  </si>
  <si>
    <t xml:space="preserve">cash_end_fy25</t>
  </si>
  <si>
    <t xml:space="preserve">年末現金及現金等價物</t>
  </si>
  <si>
    <r>
      <rPr>
        <sz val="10"/>
        <color rgb="FF000000"/>
        <rFont val="Noto Sans CJK SC"/>
        <family val="2"/>
      </rPr>
      <t xml:space="preserve">原文「</t>
    </r>
    <r>
      <rPr>
        <sz val="10"/>
        <color rgb="FF000000"/>
        <rFont val="Arial"/>
        <family val="0"/>
        <charset val="1"/>
      </rPr>
      <t xml:space="preserve">Cash and cash equivalents</t>
    </r>
    <r>
      <rPr>
        <sz val="10"/>
        <color rgb="FF000000"/>
        <rFont val="Noto Sans CJK SC"/>
        <family val="2"/>
      </rPr>
      <t xml:space="preserve">」；千元值 </t>
    </r>
    <r>
      <rPr>
        <sz val="10"/>
        <color rgb="FF000000"/>
        <rFont val="Arial"/>
        <family val="0"/>
        <charset val="1"/>
      </rPr>
      <t xml:space="preserve">2,259,147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2024 </t>
    </r>
    <r>
      <rPr>
        <sz val="10"/>
        <color rgb="FF000000"/>
        <rFont val="Noto Sans CJK SC"/>
        <family val="2"/>
      </rPr>
      <t xml:space="preserve">值與招股章程 </t>
    </r>
    <r>
      <rPr>
        <sz val="10"/>
        <color rgb="FF000000"/>
        <rFont val="Arial"/>
        <family val="0"/>
        <charset val="1"/>
      </rPr>
      <t xml:space="preserve">2,268,164 </t>
    </r>
    <r>
      <rPr>
        <sz val="10"/>
        <color rgb="FF000000"/>
        <rFont val="Noto Sans CJK SC"/>
        <family val="2"/>
      </rPr>
      <t xml:space="preserve">不一致，見 </t>
    </r>
    <r>
      <rPr>
        <sz val="10"/>
        <color rgb="FF000000"/>
        <rFont val="Arial"/>
        <family val="0"/>
        <charset val="1"/>
      </rPr>
      <t xml:space="preserve">cash_end_fy24</t>
    </r>
    <r>
      <rPr>
        <sz val="10"/>
        <color rgb="FF000000"/>
        <rFont val="Noto Sans CJK SC"/>
        <family val="2"/>
      </rPr>
      <t xml:space="preserve">（招股章程）</t>
    </r>
  </si>
  <si>
    <t xml:space="preserve">SRC_ZP_152</t>
  </si>
  <si>
    <t xml:space="preserve">cash_end_fy24_b</t>
  </si>
  <si>
    <r>
      <rPr>
        <sz val="10"/>
        <color rgb="FF000000"/>
        <rFont val="Noto Sans CJK SC"/>
        <family val="2"/>
      </rPr>
      <t xml:space="preserve">原文「</t>
    </r>
    <r>
      <rPr>
        <sz val="10"/>
        <color rgb="FF000000"/>
        <rFont val="Arial"/>
        <family val="0"/>
        <charset val="1"/>
      </rPr>
      <t xml:space="preserve">Cash and cash equivalents</t>
    </r>
    <r>
      <rPr>
        <sz val="10"/>
        <color rgb="FF000000"/>
        <rFont val="Noto Sans CJK SC"/>
        <family val="2"/>
      </rPr>
      <t xml:space="preserve">」；千元值 </t>
    </r>
    <r>
      <rPr>
        <sz val="10"/>
        <color rgb="FF000000"/>
        <rFont val="Arial"/>
        <family val="0"/>
        <charset val="1"/>
      </rPr>
      <t xml:space="preserve">2,269,222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2024 </t>
    </r>
    <r>
      <rPr>
        <sz val="10"/>
        <color rgb="FF000000"/>
        <rFont val="Noto Sans CJK SC"/>
        <family val="2"/>
      </rPr>
      <t xml:space="preserve">值與招股章程 </t>
    </r>
    <r>
      <rPr>
        <sz val="10"/>
        <color rgb="FF000000"/>
        <rFont val="Arial"/>
        <family val="0"/>
        <charset val="1"/>
      </rPr>
      <t xml:space="preserve">2,268,164 </t>
    </r>
    <r>
      <rPr>
        <sz val="10"/>
        <color rgb="FF000000"/>
        <rFont val="Noto Sans CJK SC"/>
        <family val="2"/>
      </rPr>
      <t xml:space="preserve">不一致，見 </t>
    </r>
    <r>
      <rPr>
        <sz val="10"/>
        <color rgb="FF000000"/>
        <rFont val="Arial"/>
        <family val="0"/>
        <charset val="1"/>
      </rPr>
      <t xml:space="preserve">cash_end_fy24</t>
    </r>
    <r>
      <rPr>
        <sz val="10"/>
        <color rgb="FF000000"/>
        <rFont val="Noto Sans CJK SC"/>
        <family val="2"/>
      </rPr>
      <t xml:space="preserve">（招股章程）；與招股章程 </t>
    </r>
    <r>
      <rPr>
        <sz val="10"/>
        <color rgb="FF000000"/>
        <rFont val="Arial"/>
        <family val="0"/>
        <charset val="1"/>
      </rPr>
      <t xml:space="preserve">2,268,164 </t>
    </r>
    <r>
      <rPr>
        <sz val="10"/>
        <color rgb="FF000000"/>
        <rFont val="Noto Sans CJK SC"/>
        <family val="2"/>
      </rPr>
      <t xml:space="preserve">差 </t>
    </r>
    <r>
      <rPr>
        <sz val="10"/>
        <color rgb="FF000000"/>
        <rFont val="Arial"/>
        <family val="0"/>
        <charset val="1"/>
      </rPr>
      <t xml:space="preserve">1,058 </t>
    </r>
    <r>
      <rPr>
        <sz val="10"/>
        <color rgb="FF000000"/>
        <rFont val="Noto Sans CJK SC"/>
        <family val="2"/>
      </rPr>
      <t xml:space="preserve">千元，原因未明（可能重分類）</t>
    </r>
  </si>
  <si>
    <t xml:space="preserve">SRC_ZP_153</t>
  </si>
  <si>
    <t xml:space="preserve">time_dep_fy25</t>
  </si>
  <si>
    <t xml:space="preserve">定期存款（流動）</t>
  </si>
  <si>
    <r>
      <rPr>
        <sz val="10"/>
        <color rgb="FF000000"/>
        <rFont val="Arial"/>
        <family val="0"/>
        <charset val="1"/>
      </rPr>
      <t xml:space="preserve">time deposits current 108,593 </t>
    </r>
    <r>
      <rPr>
        <sz val="10"/>
        <color rgb="FF000000"/>
        <rFont val="Noto Sans CJK SC"/>
        <family val="2"/>
      </rPr>
      <t xml:space="preserve">千元；</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</si>
  <si>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SRC_ZP_154</t>
  </si>
  <si>
    <t xml:space="preserve">time_dep_fy24</t>
  </si>
  <si>
    <t xml:space="preserve">定期存款（非流動）</t>
  </si>
  <si>
    <r>
      <rPr>
        <sz val="10"/>
        <color rgb="FF000000"/>
        <rFont val="Arial"/>
        <family val="0"/>
        <charset val="1"/>
      </rPr>
      <t xml:space="preserve">time deposits non-current 105,343 </t>
    </r>
    <r>
      <rPr>
        <sz val="10"/>
        <color rgb="FF000000"/>
        <rFont val="Noto Sans CJK SC"/>
        <family val="2"/>
      </rPr>
      <t xml:space="preserve">千元；</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</si>
  <si>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SRC_ZP_155</t>
  </si>
  <si>
    <t xml:space="preserve">bank_loans_fy25</t>
  </si>
  <si>
    <t xml:space="preserve">銀行貸款合計</t>
  </si>
  <si>
    <r>
      <rPr>
        <sz val="10"/>
        <color rgb="FF000000"/>
        <rFont val="Noto Sans CJK SC"/>
        <family val="2"/>
      </rPr>
      <t xml:space="preserve">原文「</t>
    </r>
    <r>
      <rPr>
        <sz val="10"/>
        <color rgb="FF000000"/>
        <rFont val="Arial"/>
        <family val="0"/>
        <charset val="1"/>
      </rPr>
      <t xml:space="preserve">All relevant borrowings are interest-bearing</t>
    </r>
    <r>
      <rPr>
        <sz val="10"/>
        <color rgb="FF000000"/>
        <rFont val="Noto Sans CJK SC"/>
        <family val="2"/>
      </rPr>
      <t xml:space="preserve">」；千元值 </t>
    </r>
    <r>
      <rPr>
        <sz val="10"/>
        <color rgb="FF000000"/>
        <rFont val="Arial"/>
        <family val="0"/>
        <charset val="1"/>
      </rPr>
      <t xml:space="preserve">689,452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2025 </t>
    </r>
    <r>
      <rPr>
        <sz val="10"/>
        <color rgb="FF000000"/>
        <rFont val="Noto Sans CJK SC"/>
        <family val="2"/>
      </rPr>
      <t xml:space="preserve">流動 </t>
    </r>
    <r>
      <rPr>
        <sz val="10"/>
        <color rgb="FF000000"/>
        <rFont val="Arial"/>
        <family val="0"/>
        <charset val="1"/>
      </rPr>
      <t xml:space="preserve">604,836</t>
    </r>
    <r>
      <rPr>
        <sz val="10"/>
        <color rgb="FF000000"/>
        <rFont val="Noto Sans CJK SC"/>
        <family val="2"/>
      </rPr>
      <t xml:space="preserve">＋非流動 </t>
    </r>
    <r>
      <rPr>
        <sz val="10"/>
        <color rgb="FF000000"/>
        <rFont val="Arial"/>
        <family val="0"/>
        <charset val="1"/>
      </rPr>
      <t xml:space="preserve">84,616</t>
    </r>
    <r>
      <rPr>
        <sz val="10"/>
        <color rgb="FF000000"/>
        <rFont val="Noto Sans CJK SC"/>
        <family val="2"/>
      </rPr>
      <t xml:space="preserve">；</t>
    </r>
    <r>
      <rPr>
        <sz val="10"/>
        <color rgb="FF000000"/>
        <rFont val="Arial"/>
        <family val="0"/>
        <charset val="1"/>
      </rPr>
      <t xml:space="preserve">2024 </t>
    </r>
    <r>
      <rPr>
        <sz val="10"/>
        <color rgb="FF000000"/>
        <rFont val="Noto Sans CJK SC"/>
        <family val="2"/>
      </rPr>
      <t xml:space="preserve">全為流動；利率、到期未揭露；主要為人民幣、無抵押</t>
    </r>
  </si>
  <si>
    <t xml:space="preserve">SRC_ZP_156</t>
  </si>
  <si>
    <t xml:space="preserve">bank_loans_fy24</t>
  </si>
  <si>
    <r>
      <rPr>
        <sz val="10"/>
        <color rgb="FF000000"/>
        <rFont val="Noto Sans CJK SC"/>
        <family val="2"/>
      </rPr>
      <t xml:space="preserve">原文「</t>
    </r>
    <r>
      <rPr>
        <sz val="10"/>
        <color rgb="FF000000"/>
        <rFont val="Arial"/>
        <family val="0"/>
        <charset val="1"/>
      </rPr>
      <t xml:space="preserve">All relevant borrowings are interest-bearing</t>
    </r>
    <r>
      <rPr>
        <sz val="10"/>
        <color rgb="FF000000"/>
        <rFont val="Noto Sans CJK SC"/>
        <family val="2"/>
      </rPr>
      <t xml:space="preserve">」；千元值 </t>
    </r>
    <r>
      <rPr>
        <sz val="10"/>
        <color rgb="FF000000"/>
        <rFont val="Arial"/>
        <family val="0"/>
        <charset val="1"/>
      </rPr>
      <t xml:space="preserve">137,246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2025 </t>
    </r>
    <r>
      <rPr>
        <sz val="10"/>
        <color rgb="FF000000"/>
        <rFont val="Noto Sans CJK SC"/>
        <family val="2"/>
      </rPr>
      <t xml:space="preserve">流動 </t>
    </r>
    <r>
      <rPr>
        <sz val="10"/>
        <color rgb="FF000000"/>
        <rFont val="Arial"/>
        <family val="0"/>
        <charset val="1"/>
      </rPr>
      <t xml:space="preserve">604,836</t>
    </r>
    <r>
      <rPr>
        <sz val="10"/>
        <color rgb="FF000000"/>
        <rFont val="Noto Sans CJK SC"/>
        <family val="2"/>
      </rPr>
      <t xml:space="preserve">＋非流動 </t>
    </r>
    <r>
      <rPr>
        <sz val="10"/>
        <color rgb="FF000000"/>
        <rFont val="Arial"/>
        <family val="0"/>
        <charset val="1"/>
      </rPr>
      <t xml:space="preserve">84,616</t>
    </r>
    <r>
      <rPr>
        <sz val="10"/>
        <color rgb="FF000000"/>
        <rFont val="Noto Sans CJK SC"/>
        <family val="2"/>
      </rPr>
      <t xml:space="preserve">；</t>
    </r>
    <r>
      <rPr>
        <sz val="10"/>
        <color rgb="FF000000"/>
        <rFont val="Arial"/>
        <family val="0"/>
        <charset val="1"/>
      </rPr>
      <t xml:space="preserve">2024 </t>
    </r>
    <r>
      <rPr>
        <sz val="10"/>
        <color rgb="FF000000"/>
        <rFont val="Noto Sans CJK SC"/>
        <family val="2"/>
      </rPr>
      <t xml:space="preserve">全為流動；利率、到期未揭露；主要為人民幣、無抵押</t>
    </r>
  </si>
  <si>
    <t xml:space="preserve">SRC_ZP_157</t>
  </si>
  <si>
    <t xml:space="preserve">lease_liab_fy25</t>
  </si>
  <si>
    <t xml:space="preserve">租賃負債</t>
  </si>
  <si>
    <r>
      <rPr>
        <sz val="10"/>
        <color rgb="FF000000"/>
        <rFont val="Noto Sans CJK SC"/>
        <family val="2"/>
      </rPr>
      <t xml:space="preserve">原文「</t>
    </r>
    <r>
      <rPr>
        <sz val="10"/>
        <color rgb="FF000000"/>
        <rFont val="Arial"/>
        <family val="0"/>
        <charset val="1"/>
      </rPr>
      <t xml:space="preserve">Lease liabilities</t>
    </r>
    <r>
      <rPr>
        <sz val="10"/>
        <color rgb="FF000000"/>
        <rFont val="Noto Sans CJK SC"/>
        <family val="2"/>
      </rPr>
      <t xml:space="preserve">」；千元值 </t>
    </r>
    <r>
      <rPr>
        <sz val="10"/>
        <color rgb="FF000000"/>
        <rFont val="Arial"/>
        <family val="0"/>
        <charset val="1"/>
      </rPr>
      <t xml:space="preserve">545,143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</si>
  <si>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SRC_ZP_158</t>
  </si>
  <si>
    <t xml:space="preserve">lease_liab_fy24</t>
  </si>
  <si>
    <r>
      <rPr>
        <sz val="10"/>
        <color rgb="FF000000"/>
        <rFont val="Noto Sans CJK SC"/>
        <family val="2"/>
      </rPr>
      <t xml:space="preserve">原文「</t>
    </r>
    <r>
      <rPr>
        <sz val="10"/>
        <color rgb="FF000000"/>
        <rFont val="Arial"/>
        <family val="0"/>
        <charset val="1"/>
      </rPr>
      <t xml:space="preserve">Lease liabilities</t>
    </r>
    <r>
      <rPr>
        <sz val="10"/>
        <color rgb="FF000000"/>
        <rFont val="Noto Sans CJK SC"/>
        <family val="2"/>
      </rPr>
      <t xml:space="preserve">」；千元值 </t>
    </r>
    <r>
      <rPr>
        <sz val="10"/>
        <color rgb="FF000000"/>
        <rFont val="Arial"/>
        <family val="0"/>
        <charset val="1"/>
      </rPr>
      <t xml:space="preserve">671,268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</si>
  <si>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SRC_ZP_159</t>
  </si>
  <si>
    <t xml:space="preserve">conv_bonds_fy24</t>
  </si>
  <si>
    <t xml:space="preserve">可轉換債券</t>
  </si>
  <si>
    <r>
      <rPr>
        <sz val="10"/>
        <color rgb="FF000000"/>
        <rFont val="Noto Sans CJK SC"/>
        <family val="2"/>
      </rPr>
      <t xml:space="preserve">原文「</t>
    </r>
    <r>
      <rPr>
        <sz val="10"/>
        <color rgb="FF000000"/>
        <rFont val="Arial"/>
        <family val="0"/>
        <charset val="1"/>
      </rPr>
      <t xml:space="preserve">convertible bonds</t>
    </r>
    <r>
      <rPr>
        <sz val="10"/>
        <color rgb="FF000000"/>
        <rFont val="Noto Sans CJK SC"/>
        <family val="2"/>
      </rPr>
      <t xml:space="preserve">」；千元值 </t>
    </r>
    <r>
      <rPr>
        <sz val="10"/>
        <color rgb="FF000000"/>
        <rFont val="Arial"/>
        <family val="0"/>
        <charset val="1"/>
      </rPr>
      <t xml:space="preserve">132,158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2025 </t>
    </r>
    <r>
      <rPr>
        <sz val="10"/>
        <color rgb="FF000000"/>
        <rFont val="Noto Sans CJK SC"/>
        <family val="2"/>
      </rPr>
      <t xml:space="preserve">年末為零</t>
    </r>
  </si>
  <si>
    <t xml:space="preserve">SRC_ZP_160</t>
  </si>
  <si>
    <t xml:space="preserve">payable_compute_fy25</t>
  </si>
  <si>
    <t xml:space="preserve">應付算力服務費（資產負債表）</t>
  </si>
  <si>
    <r>
      <rPr>
        <sz val="10"/>
        <color rgb="FF000000"/>
        <rFont val="Noto Sans CJK SC"/>
        <family val="2"/>
      </rPr>
      <t xml:space="preserve">原文「</t>
    </r>
    <r>
      <rPr>
        <sz val="10"/>
        <color rgb="FF000000"/>
        <rFont val="Arial"/>
        <family val="0"/>
        <charset val="1"/>
      </rPr>
      <t xml:space="preserve">payables for computing service fees</t>
    </r>
    <r>
      <rPr>
        <sz val="10"/>
        <color rgb="FF000000"/>
        <rFont val="Noto Sans CJK SC"/>
        <family val="2"/>
      </rPr>
      <t xml:space="preserve">」；千元值 </t>
    </r>
    <r>
      <rPr>
        <sz val="10"/>
        <color rgb="FF000000"/>
        <rFont val="Arial"/>
        <family val="0"/>
        <charset val="1"/>
      </rPr>
      <t xml:space="preserve">727,348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換算成億；可作算力採購規模旁證</t>
    </r>
  </si>
  <si>
    <t xml:space="preserve">SRC_ZP_161</t>
  </si>
  <si>
    <t xml:space="preserve">payable_compute_fy24</t>
  </si>
  <si>
    <r>
      <rPr>
        <sz val="10"/>
        <color rgb="FF000000"/>
        <rFont val="Noto Sans CJK SC"/>
        <family val="2"/>
      </rPr>
      <t xml:space="preserve">原文「</t>
    </r>
    <r>
      <rPr>
        <sz val="10"/>
        <color rgb="FF000000"/>
        <rFont val="Arial"/>
        <family val="0"/>
        <charset val="1"/>
      </rPr>
      <t xml:space="preserve">payables for computing service fees</t>
    </r>
    <r>
      <rPr>
        <sz val="10"/>
        <color rgb="FF000000"/>
        <rFont val="Noto Sans CJK SC"/>
        <family val="2"/>
      </rPr>
      <t xml:space="preserve">」；千元值 </t>
    </r>
    <r>
      <rPr>
        <sz val="10"/>
        <color rgb="FF000000"/>
        <rFont val="Arial"/>
        <family val="0"/>
        <charset val="1"/>
      </rPr>
      <t xml:space="preserve">269,467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換算成億；可作算力採購規模旁證</t>
    </r>
  </si>
  <si>
    <t xml:space="preserve">SRC_ZP_162</t>
  </si>
  <si>
    <t xml:space="preserve">employees_fy25</t>
  </si>
  <si>
    <t xml:space="preserve">全職員工人數</t>
  </si>
  <si>
    <t xml:space="preserve">2025-12-31</t>
  </si>
  <si>
    <r>
      <rPr>
        <sz val="10"/>
        <color rgb="FF000000"/>
        <rFont val="Noto Sans CJK SC"/>
        <family val="2"/>
      </rPr>
      <t xml:space="preserve">原文「</t>
    </r>
    <r>
      <rPr>
        <sz val="10"/>
        <color rgb="FF000000"/>
        <rFont val="Arial"/>
        <family val="0"/>
        <charset val="1"/>
      </rPr>
      <t xml:space="preserve">the Company had 1,094 permanent employees</t>
    </r>
    <r>
      <rPr>
        <sz val="10"/>
        <color rgb="FF000000"/>
        <rFont val="Noto Sans CJK SC"/>
        <family val="2"/>
      </rPr>
      <t xml:space="preserve">」</t>
    </r>
  </si>
  <si>
    <t xml:space="preserve">SRC_ZP_163</t>
  </si>
  <si>
    <t xml:space="preserve">remun_fy25</t>
  </si>
  <si>
    <t xml:space="preserve">薪酬總額（含股權報酬）</t>
  </si>
  <si>
    <r>
      <rPr>
        <sz val="10"/>
        <color rgb="FF000000"/>
        <rFont val="Noto Sans CJK SC"/>
        <family val="2"/>
      </rPr>
      <t xml:space="preserve">原文「</t>
    </r>
    <r>
      <rPr>
        <sz val="10"/>
        <color rgb="FF000000"/>
        <rFont val="Arial"/>
        <family val="0"/>
        <charset val="1"/>
      </rPr>
      <t xml:space="preserve">RMB1,363.4 million during the Reporting Period</t>
    </r>
    <r>
      <rPr>
        <sz val="10"/>
        <color rgb="FF000000"/>
        <rFont val="Noto Sans CJK SC"/>
        <family val="2"/>
      </rPr>
      <t xml:space="preserve">」；百萬</t>
    </r>
    <r>
      <rPr>
        <sz val="10"/>
        <color rgb="FF000000"/>
        <rFont val="Arial"/>
        <family val="0"/>
        <charset val="1"/>
      </rPr>
      <t xml:space="preserve">÷100</t>
    </r>
  </si>
  <si>
    <t xml:space="preserve">SRC_ZP_164</t>
  </si>
  <si>
    <t xml:space="preserve">comp_per_head_fy25</t>
  </si>
  <si>
    <t xml:space="preserve">人均薪酬（含股權報酬）</t>
  </si>
  <si>
    <r>
      <rPr>
        <sz val="10"/>
        <color rgb="FF000000"/>
        <rFont val="Arial"/>
        <family val="0"/>
        <charset val="1"/>
      </rPr>
      <t xml:space="preserve">RMB </t>
    </r>
    <r>
      <rPr>
        <sz val="10"/>
        <color rgb="FF000000"/>
        <rFont val="Noto Sans CJK SC"/>
        <family val="2"/>
      </rPr>
      <t xml:space="preserve">億／人</t>
    </r>
  </si>
  <si>
    <t xml:space="preserve">Derived</t>
  </si>
  <si>
    <t xml:space="preserve">2</t>
  </si>
  <si>
    <t xml:space="preserve">推算</t>
  </si>
  <si>
    <r>
      <rPr>
        <sz val="10"/>
        <color rgb="FF000000"/>
        <rFont val="Noto Sans CJK SC"/>
        <family val="2"/>
      </rPr>
      <t xml:space="preserve">由其他 </t>
    </r>
    <r>
      <rPr>
        <sz val="10"/>
        <color rgb="FF000000"/>
        <rFont val="Arial"/>
        <family val="0"/>
        <charset val="1"/>
      </rPr>
      <t xml:space="preserve">SRC </t>
    </r>
    <r>
      <rPr>
        <sz val="10"/>
        <color rgb="FF000000"/>
        <rFont val="Noto Sans CJK SC"/>
        <family val="2"/>
      </rPr>
      <t xml:space="preserve">列推算（見備註）；立場同其來源</t>
    </r>
  </si>
  <si>
    <r>
      <rPr>
        <sz val="10"/>
        <color rgb="FF000000"/>
        <rFont val="Arial"/>
        <family val="0"/>
        <charset val="1"/>
      </rPr>
      <t xml:space="preserve">1,363.4 </t>
    </r>
    <r>
      <rPr>
        <sz val="10"/>
        <color rgb="FF000000"/>
        <rFont val="Noto Sans CJK SC"/>
        <family val="2"/>
      </rPr>
      <t xml:space="preserve">百萬</t>
    </r>
    <r>
      <rPr>
        <sz val="10"/>
        <color rgb="FF000000"/>
        <rFont val="Arial"/>
        <family val="0"/>
        <charset val="1"/>
      </rPr>
      <t xml:space="preserve">÷</t>
    </r>
    <r>
      <rPr>
        <sz val="10"/>
        <color rgb="FF000000"/>
        <rFont val="Noto Sans CJK SC"/>
        <family val="2"/>
      </rPr>
      <t xml:space="preserve">期末人數 </t>
    </r>
    <r>
      <rPr>
        <sz val="10"/>
        <color rgb="FF000000"/>
        <rFont val="Arial"/>
        <family val="0"/>
        <charset val="1"/>
      </rPr>
      <t xml:space="preserve">1,094</t>
    </r>
    <r>
      <rPr>
        <sz val="10"/>
        <color rgb="FF000000"/>
        <rFont val="Noto Sans CJK SC"/>
        <family val="2"/>
      </rPr>
      <t xml:space="preserve">＝約 </t>
    </r>
    <r>
      <rPr>
        <sz val="10"/>
        <color rgb="FF000000"/>
        <rFont val="Arial"/>
        <family val="0"/>
        <charset val="1"/>
      </rPr>
      <t xml:space="preserve">RMB 124.6 </t>
    </r>
    <r>
      <rPr>
        <sz val="10"/>
        <color rgb="FF000000"/>
        <rFont val="Noto Sans CJK SC"/>
        <family val="2"/>
      </rPr>
      <t xml:space="preserve">萬／人；以期末人數計（無平均人數）</t>
    </r>
  </si>
  <si>
    <t xml:space="preserve">SRC_ZP_165</t>
  </si>
  <si>
    <t xml:space="preserve">esop_fy25</t>
  </si>
  <si>
    <t xml:space="preserve">員工激勵計畫</t>
  </si>
  <si>
    <r>
      <rPr>
        <sz val="10"/>
        <color rgb="FF000000"/>
        <rFont val="Noto Sans CJK SC"/>
        <family val="2"/>
      </rPr>
      <t xml:space="preserve">原文「</t>
    </r>
    <r>
      <rPr>
        <sz val="10"/>
        <color rgb="FF000000"/>
        <rFont val="Arial"/>
        <family val="0"/>
        <charset val="1"/>
      </rPr>
      <t xml:space="preserve">adopted the employee incentive scheme and established an employee shareholding platform</t>
    </r>
    <r>
      <rPr>
        <sz val="10"/>
        <color rgb="FF000000"/>
        <rFont val="Noto Sans CJK SC"/>
        <family val="2"/>
      </rPr>
      <t xml:space="preserve">」；條款未揭露</t>
    </r>
  </si>
  <si>
    <t xml:space="preserve">SRC_ZP_166</t>
  </si>
  <si>
    <t xml:space="preserve">api_price_fy25</t>
  </si>
  <si>
    <r>
      <rPr>
        <sz val="10"/>
        <color rgb="FF000000"/>
        <rFont val="Arial"/>
        <family val="0"/>
        <charset val="1"/>
      </rPr>
      <t xml:space="preserve">API </t>
    </r>
    <r>
      <rPr>
        <sz val="10"/>
        <color rgb="FF000000"/>
        <rFont val="Noto Sans CJK SC"/>
        <family val="2"/>
      </rPr>
      <t xml:space="preserve">呼叫價格較上年底上升</t>
    </r>
  </si>
  <si>
    <r>
      <rPr>
        <sz val="10"/>
        <color rgb="FF000000"/>
        <rFont val="Arial"/>
        <family val="0"/>
        <charset val="1"/>
      </rPr>
      <t xml:space="preserve">2026Q1</t>
    </r>
    <r>
      <rPr>
        <sz val="10"/>
        <color rgb="FF000000"/>
        <rFont val="Noto Sans CJK SC"/>
        <family val="2"/>
      </rPr>
      <t xml:space="preserve">（公告時點）</t>
    </r>
  </si>
  <si>
    <t xml:space="preserve">智譜：上市後股價、配售誘因</t>
  </si>
  <si>
    <r>
      <rPr>
        <sz val="10"/>
        <color rgb="FF000000"/>
        <rFont val="Noto Sans CJK SC"/>
        <family val="2"/>
      </rPr>
      <t xml:space="preserve">原文「</t>
    </r>
    <r>
      <rPr>
        <sz val="10"/>
        <color rgb="FF000000"/>
        <rFont val="Arial"/>
        <family val="0"/>
        <charset val="1"/>
      </rPr>
      <t xml:space="preserve">an 83% increase in API call pricing compared to the end of last year</t>
    </r>
    <r>
      <rPr>
        <sz val="10"/>
        <color rgb="FF000000"/>
        <rFont val="Noto Sans CJK SC"/>
        <family val="2"/>
      </rPr>
      <t xml:space="preserve">」</t>
    </r>
  </si>
  <si>
    <t xml:space="preserve">SRC_ZP_167</t>
  </si>
  <si>
    <t xml:space="preserve">codingplan_class_fy25</t>
  </si>
  <si>
    <r>
      <rPr>
        <sz val="10"/>
        <color rgb="FF000000"/>
        <rFont val="Arial"/>
        <family val="0"/>
        <charset val="1"/>
      </rPr>
      <t xml:space="preserve">GLM Coding Plan </t>
    </r>
    <r>
      <rPr>
        <sz val="10"/>
        <color rgb="FF000000"/>
        <rFont val="Noto Sans CJK SC"/>
        <family val="2"/>
      </rPr>
      <t xml:space="preserve">收入歸屬</t>
    </r>
  </si>
  <si>
    <r>
      <rPr>
        <sz val="10"/>
        <color rgb="FF000000"/>
        <rFont val="Noto Sans CJK SC"/>
        <family val="2"/>
      </rPr>
      <t xml:space="preserve">公告於開放平台及 </t>
    </r>
    <r>
      <rPr>
        <sz val="10"/>
        <color rgb="FF000000"/>
        <rFont val="Arial"/>
        <family val="0"/>
        <charset val="1"/>
      </rPr>
      <t xml:space="preserve">API </t>
    </r>
    <r>
      <rPr>
        <sz val="10"/>
        <color rgb="FF000000"/>
        <rFont val="Noto Sans CJK SC"/>
        <family val="2"/>
      </rPr>
      <t xml:space="preserve">毛利段提及「</t>
    </r>
    <r>
      <rPr>
        <sz val="10"/>
        <color rgb="FF000000"/>
        <rFont val="Arial"/>
        <family val="0"/>
        <charset val="1"/>
      </rPr>
      <t xml:space="preserve">programming subscription packages</t>
    </r>
    <r>
      <rPr>
        <sz val="10"/>
        <color rgb="FF000000"/>
        <rFont val="Noto Sans CJK SC"/>
        <family val="2"/>
      </rPr>
      <t xml:space="preserve">」；未單列收入。判定歸入開放平台及 </t>
    </r>
    <r>
      <rPr>
        <sz val="10"/>
        <color rgb="FF000000"/>
        <rFont val="Arial"/>
        <family val="0"/>
        <charset val="1"/>
      </rPr>
      <t xml:space="preserve">API</t>
    </r>
    <r>
      <rPr>
        <sz val="10"/>
        <color rgb="FF000000"/>
        <rFont val="Noto Sans CJK SC"/>
        <family val="2"/>
      </rPr>
      <t xml:space="preserve">（雲端）</t>
    </r>
  </si>
  <si>
    <t xml:space="preserve">SRC_ZP_168</t>
  </si>
  <si>
    <t xml:space="preserve">codingplan_paying_fy25</t>
  </si>
  <si>
    <r>
      <rPr>
        <sz val="10"/>
        <color rgb="FF000000"/>
        <rFont val="Arial"/>
        <family val="0"/>
        <charset val="1"/>
      </rPr>
      <t xml:space="preserve">Coding Plan </t>
    </r>
    <r>
      <rPr>
        <sz val="10"/>
        <color rgb="FF000000"/>
        <rFont val="Noto Sans CJK SC"/>
        <family val="2"/>
      </rPr>
      <t xml:space="preserve">付費開發者</t>
    </r>
  </si>
  <si>
    <r>
      <rPr>
        <sz val="10"/>
        <color rgb="FF000000"/>
        <rFont val="Noto Sans CJK SC"/>
        <family val="2"/>
      </rPr>
      <t xml:space="preserve">原文 </t>
    </r>
    <r>
      <rPr>
        <sz val="10"/>
        <color rgb="FF000000"/>
        <rFont val="Arial"/>
        <family val="0"/>
        <charset val="1"/>
      </rPr>
      <t xml:space="preserve">over 242,000 paying Coding Plan developers</t>
    </r>
    <r>
      <rPr>
        <sz val="10"/>
        <color rgb="FF000000"/>
        <rFont val="Noto Sans CJK SC"/>
        <family val="2"/>
      </rPr>
      <t xml:space="preserve">（下限值）</t>
    </r>
  </si>
  <si>
    <t xml:space="preserve">SRC_ZP_169</t>
  </si>
  <si>
    <t xml:space="preserve">rev_api_1h26</t>
  </si>
  <si>
    <r>
      <rPr>
        <sz val="10"/>
        <color rgb="FF000000"/>
        <rFont val="Noto Sans CJK SC"/>
        <family val="2"/>
      </rPr>
      <t xml:space="preserve">開放平台及 </t>
    </r>
    <r>
      <rPr>
        <sz val="10"/>
        <color rgb="FF000000"/>
        <rFont val="Arial"/>
        <family val="0"/>
        <charset val="1"/>
      </rPr>
      <t xml:space="preserve">API </t>
    </r>
    <r>
      <rPr>
        <sz val="10"/>
        <color rgb="FF000000"/>
        <rFont val="Noto Sans CJK SC"/>
        <family val="2"/>
      </rPr>
      <t xml:space="preserve">收入</t>
    </r>
  </si>
  <si>
    <t xml:space="preserve">1H2026</t>
  </si>
  <si>
    <r>
      <rPr>
        <sz val="10"/>
        <color rgb="FF000000"/>
        <rFont val="Noto Sans CJK SC"/>
        <family val="2"/>
      </rPr>
      <t xml:space="preserve">智譜（</t>
    </r>
    <r>
      <rPr>
        <sz val="10"/>
        <color rgb="FF000000"/>
        <rFont val="Arial"/>
        <family val="0"/>
        <charset val="1"/>
      </rPr>
      <t xml:space="preserve">Z.AI</t>
    </r>
    <r>
      <rPr>
        <sz val="10"/>
        <color rgb="FF000000"/>
        <rFont val="Noto Sans CJK SC"/>
        <family val="2"/>
      </rPr>
      <t xml:space="preserve">）</t>
    </r>
    <r>
      <rPr>
        <sz val="10"/>
        <color rgb="FF000000"/>
        <rFont val="Arial"/>
        <family val="0"/>
        <charset val="1"/>
      </rPr>
      <t xml:space="preserve">2026 </t>
    </r>
    <r>
      <rPr>
        <sz val="10"/>
        <color rgb="FF000000"/>
        <rFont val="Noto Sans CJK SC"/>
        <family val="2"/>
      </rPr>
      <t xml:space="preserve">中期業績公告</t>
    </r>
  </si>
  <si>
    <t xml:space="preserve">https://www1.hkexnews.hk/listedco/listconews/sehk/2026/0831/2026083101539.pdf</t>
  </si>
  <si>
    <t xml:space="preserve">2026-08-31</t>
  </si>
  <si>
    <t xml:space="preserve">未經審計（中期業績公告；是否經核數師審閱公告未見明載）</t>
  </si>
  <si>
    <r>
      <rPr>
        <sz val="10"/>
        <color rgb="FF000000"/>
        <rFont val="Noto Sans CJK SC"/>
        <family val="2"/>
      </rPr>
      <t xml:space="preserve">原文「</t>
    </r>
    <r>
      <rPr>
        <sz val="10"/>
        <color rgb="FF000000"/>
        <rFont val="Arial"/>
        <family val="0"/>
        <charset val="1"/>
      </rPr>
      <t xml:space="preserve">Open Platform and API</t>
    </r>
    <r>
      <rPr>
        <sz val="10"/>
        <color rgb="FF000000"/>
        <rFont val="Noto Sans CJK SC"/>
        <family val="2"/>
      </rPr>
      <t xml:space="preserve">」；千元值 </t>
    </r>
    <r>
      <rPr>
        <sz val="10"/>
        <color rgb="FF000000"/>
        <rFont val="Arial"/>
        <family val="0"/>
        <charset val="1"/>
      </rPr>
      <t xml:space="preserve">825,176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1H26 </t>
    </r>
    <r>
      <rPr>
        <sz val="10"/>
        <color rgb="FF000000"/>
        <rFont val="Noto Sans CJK SC"/>
        <family val="2"/>
      </rPr>
      <t xml:space="preserve">占 </t>
    </r>
    <r>
      <rPr>
        <sz val="10"/>
        <color rgb="FF000000"/>
        <rFont val="Arial"/>
        <family val="0"/>
        <charset val="1"/>
      </rPr>
      <t xml:space="preserve">86.5%</t>
    </r>
    <r>
      <rPr>
        <sz val="10"/>
        <color rgb="FF000000"/>
        <rFont val="Noto Sans CJK SC"/>
        <family val="2"/>
      </rPr>
      <t xml:space="preserve">（</t>
    </r>
    <r>
      <rPr>
        <sz val="10"/>
        <color rgb="FF000000"/>
        <rFont val="Arial"/>
        <family val="0"/>
        <charset val="1"/>
      </rPr>
      <t xml:space="preserve">1H25 15.2%</t>
    </r>
    <r>
      <rPr>
        <sz val="10"/>
        <color rgb="FF000000"/>
        <rFont val="Noto Sans CJK SC"/>
        <family val="2"/>
      </rPr>
      <t xml:space="preserve">）；＝雲端部署分部</t>
    </r>
  </si>
  <si>
    <t xml:space="preserve">SRC_ZP_170</t>
  </si>
  <si>
    <t xml:space="preserve">rev_api_1h25</t>
  </si>
  <si>
    <r>
      <rPr>
        <sz val="10"/>
        <color rgb="FF000000"/>
        <rFont val="Noto Sans CJK SC"/>
        <family val="2"/>
      </rPr>
      <t xml:space="preserve">原文「</t>
    </r>
    <r>
      <rPr>
        <sz val="10"/>
        <color rgb="FF000000"/>
        <rFont val="Arial"/>
        <family val="0"/>
        <charset val="1"/>
      </rPr>
      <t xml:space="preserve">Open Platform and API</t>
    </r>
    <r>
      <rPr>
        <sz val="10"/>
        <color rgb="FF000000"/>
        <rFont val="Noto Sans CJK SC"/>
        <family val="2"/>
      </rPr>
      <t xml:space="preserve">」；千元值 </t>
    </r>
    <r>
      <rPr>
        <sz val="10"/>
        <color rgb="FF000000"/>
        <rFont val="Arial"/>
        <family val="0"/>
        <charset val="1"/>
      </rPr>
      <t xml:space="preserve">29,100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1H26 </t>
    </r>
    <r>
      <rPr>
        <sz val="10"/>
        <color rgb="FF000000"/>
        <rFont val="Noto Sans CJK SC"/>
        <family val="2"/>
      </rPr>
      <t xml:space="preserve">占 </t>
    </r>
    <r>
      <rPr>
        <sz val="10"/>
        <color rgb="FF000000"/>
        <rFont val="Arial"/>
        <family val="0"/>
        <charset val="1"/>
      </rPr>
      <t xml:space="preserve">86.5%</t>
    </r>
    <r>
      <rPr>
        <sz val="10"/>
        <color rgb="FF000000"/>
        <rFont val="Noto Sans CJK SC"/>
        <family val="2"/>
      </rPr>
      <t xml:space="preserve">（</t>
    </r>
    <r>
      <rPr>
        <sz val="10"/>
        <color rgb="FF000000"/>
        <rFont val="Arial"/>
        <family val="0"/>
        <charset val="1"/>
      </rPr>
      <t xml:space="preserve">1H25 15.2%</t>
    </r>
    <r>
      <rPr>
        <sz val="10"/>
        <color rgb="FF000000"/>
        <rFont val="Noto Sans CJK SC"/>
        <family val="2"/>
      </rPr>
      <t xml:space="preserve">）；＝雲端部署分部</t>
    </r>
  </si>
  <si>
    <t xml:space="preserve">SRC_ZP_171</t>
  </si>
  <si>
    <t xml:space="preserve">rev_agent_1h26</t>
  </si>
  <si>
    <t xml:space="preserve">企業級智能體收入</t>
  </si>
  <si>
    <r>
      <rPr>
        <sz val="10"/>
        <color rgb="FF000000"/>
        <rFont val="Noto Sans CJK SC"/>
        <family val="2"/>
      </rPr>
      <t xml:space="preserve">原文「</t>
    </r>
    <r>
      <rPr>
        <sz val="10"/>
        <color rgb="FF000000"/>
        <rFont val="Arial"/>
        <family val="0"/>
        <charset val="1"/>
      </rPr>
      <t xml:space="preserve">Enterprise-level Agents</t>
    </r>
    <r>
      <rPr>
        <sz val="10"/>
        <color rgb="FF000000"/>
        <rFont val="Noto Sans CJK SC"/>
        <family val="2"/>
      </rPr>
      <t xml:space="preserve">」；千元值 </t>
    </r>
    <r>
      <rPr>
        <sz val="10"/>
        <color rgb="FF000000"/>
        <rFont val="Arial"/>
        <family val="0"/>
        <charset val="1"/>
      </rPr>
      <t xml:space="preserve">55,561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</si>
  <si>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SRC_ZP_172</t>
  </si>
  <si>
    <t xml:space="preserve">rev_agent_1h25</t>
  </si>
  <si>
    <r>
      <rPr>
        <sz val="10"/>
        <color rgb="FF000000"/>
        <rFont val="Noto Sans CJK SC"/>
        <family val="2"/>
      </rPr>
      <t xml:space="preserve">原文「</t>
    </r>
    <r>
      <rPr>
        <sz val="10"/>
        <color rgb="FF000000"/>
        <rFont val="Arial"/>
        <family val="0"/>
        <charset val="1"/>
      </rPr>
      <t xml:space="preserve">Enterprise-level Agents</t>
    </r>
    <r>
      <rPr>
        <sz val="10"/>
        <color rgb="FF000000"/>
        <rFont val="Noto Sans CJK SC"/>
        <family val="2"/>
      </rPr>
      <t xml:space="preserve">」；千元值 </t>
    </r>
    <r>
      <rPr>
        <sz val="10"/>
        <color rgb="FF000000"/>
        <rFont val="Arial"/>
        <family val="0"/>
        <charset val="1"/>
      </rPr>
      <t xml:space="preserve">13,739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</si>
  <si>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SRC_ZP_173</t>
  </si>
  <si>
    <t xml:space="preserve">rev_gpllm_1h26</t>
  </si>
  <si>
    <t xml:space="preserve">企業級通用大模型收入</t>
  </si>
  <si>
    <r>
      <rPr>
        <sz val="10"/>
        <color rgb="FF000000"/>
        <rFont val="Noto Sans CJK SC"/>
        <family val="2"/>
      </rPr>
      <t xml:space="preserve">原文「</t>
    </r>
    <r>
      <rPr>
        <sz val="10"/>
        <color rgb="FF000000"/>
        <rFont val="Arial"/>
        <family val="0"/>
        <charset val="1"/>
      </rPr>
      <t xml:space="preserve">Enterprise-level General-purpose Large Models</t>
    </r>
    <r>
      <rPr>
        <sz val="10"/>
        <color rgb="FF000000"/>
        <rFont val="Noto Sans CJK SC"/>
        <family val="2"/>
      </rPr>
      <t xml:space="preserve">」；千元值 </t>
    </r>
    <r>
      <rPr>
        <sz val="10"/>
        <color rgb="FF000000"/>
        <rFont val="Arial"/>
        <family val="0"/>
        <charset val="1"/>
      </rPr>
      <t xml:space="preserve">67,037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</si>
  <si>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SRC_ZP_174</t>
  </si>
  <si>
    <t xml:space="preserve">rev_gpllm_1h25</t>
  </si>
  <si>
    <r>
      <rPr>
        <sz val="10"/>
        <color rgb="FF000000"/>
        <rFont val="Noto Sans CJK SC"/>
        <family val="2"/>
      </rPr>
      <t xml:space="preserve">原文「</t>
    </r>
    <r>
      <rPr>
        <sz val="10"/>
        <color rgb="FF000000"/>
        <rFont val="Arial"/>
        <family val="0"/>
        <charset val="1"/>
      </rPr>
      <t xml:space="preserve">Enterprise-level General-purpose Large Models</t>
    </r>
    <r>
      <rPr>
        <sz val="10"/>
        <color rgb="FF000000"/>
        <rFont val="Noto Sans CJK SC"/>
        <family val="2"/>
      </rPr>
      <t xml:space="preserve">」；千元值 </t>
    </r>
    <r>
      <rPr>
        <sz val="10"/>
        <color rgb="FF000000"/>
        <rFont val="Arial"/>
        <family val="0"/>
        <charset val="1"/>
      </rPr>
      <t xml:space="preserve">147,555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</si>
  <si>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SRC_ZP_175</t>
  </si>
  <si>
    <t xml:space="preserve">rev_techsvc_1h26</t>
  </si>
  <si>
    <t xml:space="preserve">技術服務及其他收入</t>
  </si>
  <si>
    <r>
      <rPr>
        <sz val="10"/>
        <color rgb="FF000000"/>
        <rFont val="Noto Sans CJK SC"/>
        <family val="2"/>
      </rPr>
      <t xml:space="preserve">原文「</t>
    </r>
    <r>
      <rPr>
        <sz val="10"/>
        <color rgb="FF000000"/>
        <rFont val="Arial"/>
        <family val="0"/>
        <charset val="1"/>
      </rPr>
      <t xml:space="preserve">Technical Services and Others</t>
    </r>
    <r>
      <rPr>
        <sz val="10"/>
        <color rgb="FF000000"/>
        <rFont val="Noto Sans CJK SC"/>
        <family val="2"/>
      </rPr>
      <t xml:space="preserve">」；千元值 </t>
    </r>
    <r>
      <rPr>
        <sz val="10"/>
        <color rgb="FF000000"/>
        <rFont val="Arial"/>
        <family val="0"/>
        <charset val="1"/>
      </rPr>
      <t xml:space="preserve">6,118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</si>
  <si>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SRC_ZP_176</t>
  </si>
  <si>
    <t xml:space="preserve">rev_techsvc_1h25</t>
  </si>
  <si>
    <r>
      <rPr>
        <sz val="10"/>
        <color rgb="FF000000"/>
        <rFont val="Noto Sans CJK SC"/>
        <family val="2"/>
      </rPr>
      <t xml:space="preserve">原文「</t>
    </r>
    <r>
      <rPr>
        <sz val="10"/>
        <color rgb="FF000000"/>
        <rFont val="Arial"/>
        <family val="0"/>
        <charset val="1"/>
      </rPr>
      <t xml:space="preserve">Technical Services and Others</t>
    </r>
    <r>
      <rPr>
        <sz val="10"/>
        <color rgb="FF000000"/>
        <rFont val="Noto Sans CJK SC"/>
        <family val="2"/>
      </rPr>
      <t xml:space="preserve">」；千元值 </t>
    </r>
    <r>
      <rPr>
        <sz val="10"/>
        <color rgb="FF000000"/>
        <rFont val="Arial"/>
        <family val="0"/>
        <charset val="1"/>
      </rPr>
      <t xml:space="preserve">483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</si>
  <si>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SRC_ZP_177</t>
  </si>
  <si>
    <t xml:space="preserve">rev_total_1h26</t>
  </si>
  <si>
    <r>
      <rPr>
        <sz val="10"/>
        <color rgb="FF000000"/>
        <rFont val="Noto Sans CJK SC"/>
        <family val="2"/>
      </rPr>
      <t xml:space="preserve">原文 </t>
    </r>
    <r>
      <rPr>
        <sz val="10"/>
        <color rgb="FF000000"/>
        <rFont val="Arial"/>
        <family val="0"/>
        <charset val="1"/>
      </rPr>
      <t xml:space="preserve">revenue 953,892 </t>
    </r>
    <r>
      <rPr>
        <sz val="10"/>
        <color rgb="FF000000"/>
        <rFont val="Noto Sans CJK SC"/>
        <family val="2"/>
      </rPr>
      <t xml:space="preserve">千元（</t>
    </r>
    <r>
      <rPr>
        <sz val="10"/>
        <color rgb="FF000000"/>
        <rFont val="Arial"/>
        <family val="0"/>
        <charset val="1"/>
      </rPr>
      <t xml:space="preserve">1H25 190,877</t>
    </r>
    <r>
      <rPr>
        <sz val="10"/>
        <color rgb="FF000000"/>
        <rFont val="Noto Sans CJK SC"/>
        <family val="2"/>
      </rPr>
      <t xml:space="preserve">），</t>
    </r>
    <r>
      <rPr>
        <sz val="10"/>
        <color rgb="FF000000"/>
        <rFont val="Arial"/>
        <family val="0"/>
        <charset val="1"/>
      </rPr>
      <t xml:space="preserve">+399.7%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</si>
  <si>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SRC_ZP_178</t>
  </si>
  <si>
    <t xml:space="preserve">rev_onprem_1h26</t>
  </si>
  <si>
    <t xml:space="preserve">https://ea-cdn.eurolandir.com/press-releases-attachments/4174939/HKEX-EPS_20260831_12308928_0.PDF</t>
  </si>
  <si>
    <r>
      <rPr>
        <sz val="10"/>
        <color rgb="FF000000"/>
        <rFont val="Arial"/>
        <family val="0"/>
        <charset val="1"/>
      </rPr>
      <t xml:space="preserve">on-premise deployment 128,716 </t>
    </r>
    <r>
      <rPr>
        <sz val="10"/>
        <color rgb="FF000000"/>
        <rFont val="Noto Sans CJK SC"/>
        <family val="2"/>
      </rPr>
      <t xml:space="preserve">千元（</t>
    </r>
    <r>
      <rPr>
        <sz val="10"/>
        <color rgb="FF000000"/>
        <rFont val="Arial"/>
        <family val="0"/>
        <charset val="1"/>
      </rPr>
      <t xml:space="preserve">1H25 161,777</t>
    </r>
    <r>
      <rPr>
        <sz val="10"/>
        <color rgb="FF000000"/>
        <rFont val="Noto Sans CJK SC"/>
        <family val="2"/>
      </rPr>
      <t xml:space="preserve">），占 </t>
    </r>
    <r>
      <rPr>
        <sz val="10"/>
        <color rgb="FF000000"/>
        <rFont val="Arial"/>
        <family val="0"/>
        <charset val="1"/>
      </rPr>
      <t xml:space="preserve">13.5%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</si>
  <si>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SRC_ZP_179</t>
  </si>
  <si>
    <t xml:space="preserve">rev_cloud_1h26</t>
  </si>
  <si>
    <r>
      <rPr>
        <sz val="10"/>
        <color rgb="FF000000"/>
        <rFont val="Arial"/>
        <family val="0"/>
        <charset val="1"/>
      </rPr>
      <t xml:space="preserve">cloud-based deployment 825,176 </t>
    </r>
    <r>
      <rPr>
        <sz val="10"/>
        <color rgb="FF000000"/>
        <rFont val="Noto Sans CJK SC"/>
        <family val="2"/>
      </rPr>
      <t xml:space="preserve">千元＝開放平台及 </t>
    </r>
    <r>
      <rPr>
        <sz val="10"/>
        <color rgb="FF000000"/>
        <rFont val="Arial"/>
        <family val="0"/>
        <charset val="1"/>
      </rPr>
      <t xml:space="preserve">API</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</si>
  <si>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SRC_ZP_180</t>
  </si>
  <si>
    <t xml:space="preserve">rev_onprem_1h26_b</t>
  </si>
  <si>
    <t xml:space="preserve">本地化部署相關收入（媒體）</t>
  </si>
  <si>
    <t xml:space="preserve">鉅亨號〈智譜上半年業績暴漲 造血能力驗證〉</t>
  </si>
  <si>
    <t xml:space="preserve">https://hao.cnyes.com/post/265529</t>
  </si>
  <si>
    <t xml:space="preserve">2026-09-01</t>
  </si>
  <si>
    <t xml:space="preserve">媒體（鉅亨號）轉述</t>
  </si>
  <si>
    <t xml:space="preserve">媒體轉述</t>
  </si>
  <si>
    <t xml:space="preserve">二手</t>
  </si>
  <si>
    <r>
      <rPr>
        <sz val="10"/>
        <color rgb="FF000000"/>
        <rFont val="Noto Sans CJK SC"/>
        <family val="2"/>
      </rPr>
      <t xml:space="preserve">原文「本地化部署相關收入</t>
    </r>
    <r>
      <rPr>
        <sz val="10"/>
        <color rgb="FF000000"/>
        <rFont val="Arial"/>
        <family val="0"/>
        <charset val="1"/>
      </rPr>
      <t xml:space="preserve">6,704</t>
    </r>
    <r>
      <rPr>
        <sz val="10"/>
        <color rgb="FF000000"/>
        <rFont val="Noto Sans CJK SC"/>
        <family val="2"/>
      </rPr>
      <t xml:space="preserve">萬元」；與公告分部 </t>
    </r>
    <r>
      <rPr>
        <sz val="10"/>
        <color rgb="FF000000"/>
        <rFont val="Arial"/>
        <family val="0"/>
        <charset val="1"/>
      </rPr>
      <t xml:space="preserve">1.287 </t>
    </r>
    <r>
      <rPr>
        <sz val="10"/>
        <color rgb="FF000000"/>
        <rFont val="Noto Sans CJK SC"/>
        <family val="2"/>
      </rPr>
      <t xml:space="preserve">億矛盾：媒體只計企業級通用大模型</t>
    </r>
  </si>
  <si>
    <t xml:space="preserve">SRC_ZP_181</t>
  </si>
  <si>
    <t xml:space="preserve">rev_onprem_1h26_c</t>
  </si>
  <si>
    <t xml:space="preserve">本地化部署收入（券商）</t>
  </si>
  <si>
    <r>
      <rPr>
        <sz val="10"/>
        <color rgb="FF000000"/>
        <rFont val="Noto Sans CJK SC"/>
        <family val="2"/>
      </rPr>
      <t xml:space="preserve">國信證券〈</t>
    </r>
    <r>
      <rPr>
        <sz val="10"/>
        <color rgb="FF000000"/>
        <rFont val="Arial"/>
        <family val="0"/>
        <charset val="1"/>
      </rPr>
      <t xml:space="preserve">26H1</t>
    </r>
    <r>
      <rPr>
        <sz val="10"/>
        <color rgb="FF000000"/>
        <rFont val="Noto Sans CJK SC"/>
        <family val="2"/>
      </rPr>
      <t xml:space="preserve">財報點評〉（格隆匯轉載）</t>
    </r>
  </si>
  <si>
    <t xml:space="preserve">https://m.gelonghui.com/news/5306647</t>
  </si>
  <si>
    <t xml:space="preserve">2026-09-04</t>
  </si>
  <si>
    <t xml:space="preserve">國信證券：券商研究，交易誘因</t>
  </si>
  <si>
    <t xml:space="preserve">券商口徑</t>
  </si>
  <si>
    <r>
      <rPr>
        <sz val="10"/>
        <color rgb="FF000000"/>
        <rFont val="Noto Sans CJK SC"/>
        <family val="2"/>
      </rPr>
      <t xml:space="preserve">原文 本地化部署收入 </t>
    </r>
    <r>
      <rPr>
        <sz val="10"/>
        <color rgb="FF000000"/>
        <rFont val="Arial"/>
        <family val="0"/>
        <charset val="1"/>
      </rPr>
      <t xml:space="preserve">1.30 </t>
    </r>
    <r>
      <rPr>
        <sz val="10"/>
        <color rgb="FF000000"/>
        <rFont val="Noto Sans CJK SC"/>
        <family val="2"/>
      </rPr>
      <t xml:space="preserve">億元、毛利率 </t>
    </r>
    <r>
      <rPr>
        <sz val="10"/>
        <color rgb="FF000000"/>
        <rFont val="Arial"/>
        <family val="0"/>
        <charset val="1"/>
      </rPr>
      <t xml:space="preserve">37.9%</t>
    </r>
    <r>
      <rPr>
        <sz val="10"/>
        <color rgb="FF000000"/>
        <rFont val="Noto Sans CJK SC"/>
        <family val="2"/>
      </rPr>
      <t xml:space="preserve">；與公告 </t>
    </r>
    <r>
      <rPr>
        <sz val="10"/>
        <color rgb="FF000000"/>
        <rFont val="Arial"/>
        <family val="0"/>
        <charset val="1"/>
      </rPr>
      <t xml:space="preserve">128,716 </t>
    </r>
    <r>
      <rPr>
        <sz val="10"/>
        <color rgb="FF000000"/>
        <rFont val="Noto Sans CJK SC"/>
        <family val="2"/>
      </rPr>
      <t xml:space="preserve">千元一致（四捨五入）</t>
    </r>
  </si>
  <si>
    <t xml:space="preserve">SRC_ZP_182</t>
  </si>
  <si>
    <t xml:space="preserve">cogs_1h26</t>
  </si>
  <si>
    <r>
      <rPr>
        <sz val="10"/>
        <color rgb="FF000000"/>
        <rFont val="Noto Sans CJK SC"/>
        <family val="2"/>
      </rPr>
      <t xml:space="preserve">原文「</t>
    </r>
    <r>
      <rPr>
        <sz val="10"/>
        <color rgb="FF000000"/>
        <rFont val="Arial"/>
        <family val="0"/>
        <charset val="1"/>
      </rPr>
      <t xml:space="preserve">primarily attributable to the increase in computing service fees</t>
    </r>
    <r>
      <rPr>
        <sz val="10"/>
        <color rgb="FF000000"/>
        <rFont val="Noto Sans CJK SC"/>
        <family val="2"/>
      </rPr>
      <t xml:space="preserve">」；千元 </t>
    </r>
    <r>
      <rPr>
        <sz val="10"/>
        <color rgb="FF000000"/>
        <rFont val="Arial"/>
        <family val="0"/>
        <charset val="1"/>
      </rPr>
      <t xml:space="preserve">702,281</t>
    </r>
    <r>
      <rPr>
        <sz val="10"/>
        <color rgb="FF000000"/>
        <rFont val="Noto Sans CJK SC"/>
        <family val="2"/>
      </rPr>
      <t xml:space="preserve">；算力服務費金額未揭露；</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</si>
  <si>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SRC_ZP_183</t>
  </si>
  <si>
    <t xml:space="preserve">cogs_1h25_i</t>
  </si>
  <si>
    <t xml:space="preserve">銷售成本（中期公告比較數）</t>
  </si>
  <si>
    <r>
      <rPr>
        <sz val="10"/>
        <color rgb="FF000000"/>
        <rFont val="Noto Sans CJK SC"/>
        <family val="2"/>
      </rPr>
      <t xml:space="preserve">千元 </t>
    </r>
    <r>
      <rPr>
        <sz val="10"/>
        <color rgb="FF000000"/>
        <rFont val="Arial"/>
        <family val="0"/>
        <charset val="1"/>
      </rPr>
      <t xml:space="preserve">95,453</t>
    </r>
    <r>
      <rPr>
        <sz val="10"/>
        <color rgb="FF000000"/>
        <rFont val="Noto Sans CJK SC"/>
        <family val="2"/>
      </rPr>
      <t xml:space="preserve">，與招股章程一致；</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</si>
  <si>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SRC_ZP_184</t>
  </si>
  <si>
    <t xml:space="preserve">gp_total_1h26</t>
  </si>
  <si>
    <r>
      <rPr>
        <sz val="10"/>
        <color rgb="FF000000"/>
        <rFont val="Arial"/>
        <family val="0"/>
        <charset val="1"/>
      </rPr>
      <t xml:space="preserve">gross profit 251,611 </t>
    </r>
    <r>
      <rPr>
        <sz val="10"/>
        <color rgb="FF000000"/>
        <rFont val="Noto Sans CJK SC"/>
        <family val="2"/>
      </rPr>
      <t xml:space="preserve">千元；毛利率 </t>
    </r>
    <r>
      <rPr>
        <sz val="10"/>
        <color rgb="FF000000"/>
        <rFont val="Arial"/>
        <family val="0"/>
        <charset val="1"/>
      </rPr>
      <t xml:space="preserve">26.4%</t>
    </r>
    <r>
      <rPr>
        <sz val="10"/>
        <color rgb="FF000000"/>
        <rFont val="Noto Sans CJK SC"/>
        <family val="2"/>
      </rPr>
      <t xml:space="preserve">（</t>
    </r>
    <r>
      <rPr>
        <sz val="10"/>
        <color rgb="FF000000"/>
        <rFont val="Arial"/>
        <family val="0"/>
        <charset val="1"/>
      </rPr>
      <t xml:space="preserve">1H25 50.0%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</si>
  <si>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SRC_ZP_185</t>
  </si>
  <si>
    <t xml:space="preserve">gm_total_1h26</t>
  </si>
  <si>
    <r>
      <rPr>
        <sz val="10"/>
        <color rgb="FF000000"/>
        <rFont val="Noto Sans CJK SC"/>
        <family val="2"/>
      </rPr>
      <t xml:space="preserve">原文 </t>
    </r>
    <r>
      <rPr>
        <sz val="10"/>
        <color rgb="FF000000"/>
        <rFont val="Arial"/>
        <family val="0"/>
        <charset val="1"/>
      </rPr>
      <t xml:space="preserve">gross margin 26.4%</t>
    </r>
    <r>
      <rPr>
        <sz val="10"/>
        <color rgb="FF000000"/>
        <rFont val="Noto Sans CJK SC"/>
        <family val="2"/>
      </rPr>
      <t xml:space="preserve">（</t>
    </r>
    <r>
      <rPr>
        <sz val="10"/>
        <color rgb="FF000000"/>
        <rFont val="Arial"/>
        <family val="0"/>
        <charset val="1"/>
      </rPr>
      <t xml:space="preserve">1H25 50.0%</t>
    </r>
    <r>
      <rPr>
        <sz val="10"/>
        <color rgb="FF000000"/>
        <rFont val="Noto Sans CJK SC"/>
        <family val="2"/>
      </rPr>
      <t xml:space="preserve">）</t>
    </r>
  </si>
  <si>
    <t xml:space="preserve">SRC_ZP_186</t>
  </si>
  <si>
    <t xml:space="preserve">gp_api_1h26</t>
  </si>
  <si>
    <r>
      <rPr>
        <sz val="10"/>
        <color rgb="FF000000"/>
        <rFont val="Noto Sans CJK SC"/>
        <family val="2"/>
      </rPr>
      <t xml:space="preserve">千元 </t>
    </r>
    <r>
      <rPr>
        <sz val="10"/>
        <color rgb="FF000000"/>
        <rFont val="Arial"/>
        <family val="0"/>
        <charset val="1"/>
      </rPr>
      <t xml:space="preserve">202,871</t>
    </r>
    <r>
      <rPr>
        <sz val="10"/>
        <color rgb="FF000000"/>
        <rFont val="Noto Sans CJK SC"/>
        <family val="2"/>
      </rPr>
      <t xml:space="preserve">；毛利率 </t>
    </r>
    <r>
      <rPr>
        <sz val="10"/>
        <color rgb="FF000000"/>
        <rFont val="Arial"/>
        <family val="0"/>
        <charset val="1"/>
      </rPr>
      <t xml:space="preserve">24.6%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</si>
  <si>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SRC_ZP_187</t>
  </si>
  <si>
    <t xml:space="preserve">gp_api_1h25</t>
  </si>
  <si>
    <r>
      <rPr>
        <sz val="10"/>
        <color rgb="FF000000"/>
        <rFont val="Noto Sans CJK SC"/>
        <family val="2"/>
      </rPr>
      <t xml:space="preserve">千元 </t>
    </r>
    <r>
      <rPr>
        <sz val="10"/>
        <color rgb="FF000000"/>
        <rFont val="Arial"/>
        <family val="0"/>
        <charset val="1"/>
      </rPr>
      <t xml:space="preserve">-116</t>
    </r>
    <r>
      <rPr>
        <sz val="10"/>
        <color rgb="FF000000"/>
        <rFont val="Noto Sans CJK SC"/>
        <family val="2"/>
      </rPr>
      <t xml:space="preserve">；毛利率 </t>
    </r>
    <r>
      <rPr>
        <sz val="10"/>
        <color rgb="FF000000"/>
        <rFont val="Arial"/>
        <family val="0"/>
        <charset val="1"/>
      </rPr>
      <t xml:space="preserve">-0.4%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</si>
  <si>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SRC_ZP_188</t>
  </si>
  <si>
    <t xml:space="preserve">gp_agent_1h26</t>
  </si>
  <si>
    <r>
      <rPr>
        <sz val="10"/>
        <color rgb="FF000000"/>
        <rFont val="Noto Sans CJK SC"/>
        <family val="2"/>
      </rPr>
      <t xml:space="preserve">千元 </t>
    </r>
    <r>
      <rPr>
        <sz val="10"/>
        <color rgb="FF000000"/>
        <rFont val="Arial"/>
        <family val="0"/>
        <charset val="1"/>
      </rPr>
      <t xml:space="preserve">19,796</t>
    </r>
    <r>
      <rPr>
        <sz val="10"/>
        <color rgb="FF000000"/>
        <rFont val="Noto Sans CJK SC"/>
        <family val="2"/>
      </rPr>
      <t xml:space="preserve">；毛利率 </t>
    </r>
    <r>
      <rPr>
        <sz val="10"/>
        <color rgb="FF000000"/>
        <rFont val="Arial"/>
        <family val="0"/>
        <charset val="1"/>
      </rPr>
      <t xml:space="preserve">35.6%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</si>
  <si>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SRC_ZP_189</t>
  </si>
  <si>
    <t xml:space="preserve">gp_agent_1h25</t>
  </si>
  <si>
    <r>
      <rPr>
        <sz val="10"/>
        <color rgb="FF000000"/>
        <rFont val="Noto Sans CJK SC"/>
        <family val="2"/>
      </rPr>
      <t xml:space="preserve">千元 </t>
    </r>
    <r>
      <rPr>
        <sz val="10"/>
        <color rgb="FF000000"/>
        <rFont val="Arial"/>
        <family val="0"/>
        <charset val="1"/>
      </rPr>
      <t xml:space="preserve">8,880</t>
    </r>
    <r>
      <rPr>
        <sz val="10"/>
        <color rgb="FF000000"/>
        <rFont val="Noto Sans CJK SC"/>
        <family val="2"/>
      </rPr>
      <t xml:space="preserve">；毛利率 </t>
    </r>
    <r>
      <rPr>
        <sz val="10"/>
        <color rgb="FF000000"/>
        <rFont val="Arial"/>
        <family val="0"/>
        <charset val="1"/>
      </rPr>
      <t xml:space="preserve">64.6%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</si>
  <si>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SRC_ZP_190</t>
  </si>
  <si>
    <t xml:space="preserve">gp_gpllm_1h26</t>
  </si>
  <si>
    <r>
      <rPr>
        <sz val="10"/>
        <color rgb="FF000000"/>
        <rFont val="Noto Sans CJK SC"/>
        <family val="2"/>
      </rPr>
      <t xml:space="preserve">千元 </t>
    </r>
    <r>
      <rPr>
        <sz val="10"/>
        <color rgb="FF000000"/>
        <rFont val="Arial"/>
        <family val="0"/>
        <charset val="1"/>
      </rPr>
      <t xml:space="preserve">28,368</t>
    </r>
    <r>
      <rPr>
        <sz val="10"/>
        <color rgb="FF000000"/>
        <rFont val="Noto Sans CJK SC"/>
        <family val="2"/>
      </rPr>
      <t xml:space="preserve">；毛利率 </t>
    </r>
    <r>
      <rPr>
        <sz val="10"/>
        <color rgb="FF000000"/>
        <rFont val="Arial"/>
        <family val="0"/>
        <charset val="1"/>
      </rPr>
      <t xml:space="preserve">42.3%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</si>
  <si>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SRC_ZP_191</t>
  </si>
  <si>
    <t xml:space="preserve">gp_gpllm_1h25</t>
  </si>
  <si>
    <r>
      <rPr>
        <sz val="10"/>
        <color rgb="FF000000"/>
        <rFont val="Noto Sans CJK SC"/>
        <family val="2"/>
      </rPr>
      <t xml:space="preserve">千元 </t>
    </r>
    <r>
      <rPr>
        <sz val="10"/>
        <color rgb="FF000000"/>
        <rFont val="Arial"/>
        <family val="0"/>
        <charset val="1"/>
      </rPr>
      <t xml:space="preserve">86,342</t>
    </r>
    <r>
      <rPr>
        <sz val="10"/>
        <color rgb="FF000000"/>
        <rFont val="Noto Sans CJK SC"/>
        <family val="2"/>
      </rPr>
      <t xml:space="preserve">；毛利率 </t>
    </r>
    <r>
      <rPr>
        <sz val="10"/>
        <color rgb="FF000000"/>
        <rFont val="Arial"/>
        <family val="0"/>
        <charset val="1"/>
      </rPr>
      <t xml:space="preserve">58.5%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</si>
  <si>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SRC_ZP_192</t>
  </si>
  <si>
    <t xml:space="preserve">gp_techsvc_1h26</t>
  </si>
  <si>
    <r>
      <rPr>
        <sz val="10"/>
        <color rgb="FF000000"/>
        <rFont val="Noto Sans CJK SC"/>
        <family val="2"/>
      </rPr>
      <t xml:space="preserve">千元 </t>
    </r>
    <r>
      <rPr>
        <sz val="10"/>
        <color rgb="FF000000"/>
        <rFont val="Arial"/>
        <family val="0"/>
        <charset val="1"/>
      </rPr>
      <t xml:space="preserve">576</t>
    </r>
    <r>
      <rPr>
        <sz val="10"/>
        <color rgb="FF000000"/>
        <rFont val="Noto Sans CJK SC"/>
        <family val="2"/>
      </rPr>
      <t xml:space="preserve">；毛利率 </t>
    </r>
    <r>
      <rPr>
        <sz val="10"/>
        <color rgb="FF000000"/>
        <rFont val="Arial"/>
        <family val="0"/>
        <charset val="1"/>
      </rPr>
      <t xml:space="preserve">9.4%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</si>
  <si>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SRC_ZP_193</t>
  </si>
  <si>
    <t xml:space="preserve">gp_techsvc_1h25</t>
  </si>
  <si>
    <r>
      <rPr>
        <sz val="10"/>
        <color rgb="FF000000"/>
        <rFont val="Noto Sans CJK SC"/>
        <family val="2"/>
      </rPr>
      <t xml:space="preserve">千元 </t>
    </r>
    <r>
      <rPr>
        <sz val="10"/>
        <color rgb="FF000000"/>
        <rFont val="Arial"/>
        <family val="0"/>
        <charset val="1"/>
      </rPr>
      <t xml:space="preserve">318</t>
    </r>
    <r>
      <rPr>
        <sz val="10"/>
        <color rgb="FF000000"/>
        <rFont val="Noto Sans CJK SC"/>
        <family val="2"/>
      </rPr>
      <t xml:space="preserve">；毛利率 </t>
    </r>
    <r>
      <rPr>
        <sz val="10"/>
        <color rgb="FF000000"/>
        <rFont val="Arial"/>
        <family val="0"/>
        <charset val="1"/>
      </rPr>
      <t xml:space="preserve">65.8%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</si>
  <si>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SRC_ZP_194</t>
  </si>
  <si>
    <t xml:space="preserve">gp_onprem_1h26</t>
  </si>
  <si>
    <r>
      <rPr>
        <sz val="10"/>
        <color rgb="FF000000"/>
        <rFont val="Arial"/>
        <family val="0"/>
        <charset val="1"/>
      </rPr>
      <t xml:space="preserve">segment gross profit on-premise 48,740</t>
    </r>
    <r>
      <rPr>
        <sz val="10"/>
        <color rgb="FF000000"/>
        <rFont val="Noto Sans CJK SC"/>
        <family val="2"/>
      </rPr>
      <t xml:space="preserve">（</t>
    </r>
    <r>
      <rPr>
        <sz val="10"/>
        <color rgb="FF000000"/>
        <rFont val="Arial"/>
        <family val="0"/>
        <charset val="1"/>
      </rPr>
      <t xml:space="preserve">1H25 95,540</t>
    </r>
    <r>
      <rPr>
        <sz val="10"/>
        <color rgb="FF000000"/>
        <rFont val="Noto Sans CJK SC"/>
        <family val="2"/>
      </rPr>
      <t xml:space="preserve">）；毛利率 </t>
    </r>
    <r>
      <rPr>
        <sz val="10"/>
        <color rgb="FF000000"/>
        <rFont val="Arial"/>
        <family val="0"/>
        <charset val="1"/>
      </rPr>
      <t xml:space="preserve">37.9%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</si>
  <si>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SRC_ZP_195</t>
  </si>
  <si>
    <t xml:space="preserve">cogs_api_1h26</t>
  </si>
  <si>
    <r>
      <rPr>
        <sz val="10"/>
        <color rgb="FF000000"/>
        <rFont val="Noto Sans CJK SC"/>
        <family val="2"/>
      </rPr>
      <t xml:space="preserve">開放平台及 </t>
    </r>
    <r>
      <rPr>
        <sz val="10"/>
        <color rgb="FF000000"/>
        <rFont val="Arial"/>
        <family val="0"/>
        <charset val="1"/>
      </rPr>
      <t xml:space="preserve">API </t>
    </r>
    <r>
      <rPr>
        <sz val="10"/>
        <color rgb="FF000000"/>
        <rFont val="Noto Sans CJK SC"/>
        <family val="2"/>
      </rPr>
      <t xml:space="preserve">銷售成本（推算）</t>
    </r>
  </si>
  <si>
    <r>
      <rPr>
        <sz val="10"/>
        <color rgb="FF000000"/>
        <rFont val="Noto Sans CJK SC"/>
        <family val="2"/>
      </rPr>
      <t xml:space="preserve">收入 </t>
    </r>
    <r>
      <rPr>
        <sz val="10"/>
        <color rgb="FF000000"/>
        <rFont val="Arial"/>
        <family val="0"/>
        <charset val="1"/>
      </rPr>
      <t xml:space="preserve">825,176</t>
    </r>
    <r>
      <rPr>
        <sz val="10"/>
        <color rgb="FF000000"/>
        <rFont val="Noto Sans CJK SC"/>
        <family val="2"/>
      </rPr>
      <t xml:space="preserve">－毛利 </t>
    </r>
    <r>
      <rPr>
        <sz val="10"/>
        <color rgb="FF000000"/>
        <rFont val="Arial"/>
        <family val="0"/>
        <charset val="1"/>
      </rPr>
      <t xml:space="preserve">202,871</t>
    </r>
    <r>
      <rPr>
        <sz val="10"/>
        <color rgb="FF000000"/>
        <rFont val="Noto Sans CJK SC"/>
        <family val="2"/>
      </rPr>
      <t xml:space="preserve">＝</t>
    </r>
    <r>
      <rPr>
        <sz val="10"/>
        <color rgb="FF000000"/>
        <rFont val="Arial"/>
        <family val="0"/>
        <charset val="1"/>
      </rPr>
      <t xml:space="preserve">622,305 </t>
    </r>
    <r>
      <rPr>
        <sz val="10"/>
        <color rgb="FF000000"/>
        <rFont val="Noto Sans CJK SC"/>
        <family val="2"/>
      </rPr>
      <t xml:space="preserve">千元；公告未直接列分部成本</t>
    </r>
  </si>
  <si>
    <t xml:space="preserve">SRC_ZP_196</t>
  </si>
  <si>
    <t xml:space="preserve">cogs_onprem_1h26</t>
  </si>
  <si>
    <t xml:space="preserve">本地化部署銷售成本（推算）</t>
  </si>
  <si>
    <r>
      <rPr>
        <sz val="10"/>
        <color rgb="FF000000"/>
        <rFont val="Arial"/>
        <family val="0"/>
        <charset val="1"/>
      </rPr>
      <t xml:space="preserve">128,716</t>
    </r>
    <r>
      <rPr>
        <sz val="10"/>
        <color rgb="FF000000"/>
        <rFont val="Noto Sans CJK SC"/>
        <family val="2"/>
      </rPr>
      <t xml:space="preserve">－</t>
    </r>
    <r>
      <rPr>
        <sz val="10"/>
        <color rgb="FF000000"/>
        <rFont val="Arial"/>
        <family val="0"/>
        <charset val="1"/>
      </rPr>
      <t xml:space="preserve">48,740</t>
    </r>
    <r>
      <rPr>
        <sz val="10"/>
        <color rgb="FF000000"/>
        <rFont val="Noto Sans CJK SC"/>
        <family val="2"/>
      </rPr>
      <t xml:space="preserve">＝</t>
    </r>
    <r>
      <rPr>
        <sz val="10"/>
        <color rgb="FF000000"/>
        <rFont val="Arial"/>
        <family val="0"/>
        <charset val="1"/>
      </rPr>
      <t xml:space="preserve">79,976 </t>
    </r>
    <r>
      <rPr>
        <sz val="10"/>
        <color rgb="FF000000"/>
        <rFont val="Noto Sans CJK SC"/>
        <family val="2"/>
      </rPr>
      <t xml:space="preserve">千元；公告未直接列分部成本</t>
    </r>
  </si>
  <si>
    <t xml:space="preserve">SRC_ZP_197</t>
  </si>
  <si>
    <t xml:space="preserve">cogs_api_fy25</t>
  </si>
  <si>
    <r>
      <rPr>
        <sz val="10"/>
        <color rgb="FF000000"/>
        <rFont val="Arial"/>
        <family val="0"/>
        <charset val="1"/>
      </rPr>
      <t xml:space="preserve">190,379</t>
    </r>
    <r>
      <rPr>
        <sz val="10"/>
        <color rgb="FF000000"/>
        <rFont val="Noto Sans CJK SC"/>
        <family val="2"/>
      </rPr>
      <t xml:space="preserve">－</t>
    </r>
    <r>
      <rPr>
        <sz val="10"/>
        <color rgb="FF000000"/>
        <rFont val="Arial"/>
        <family val="0"/>
        <charset val="1"/>
      </rPr>
      <t xml:space="preserve">36,000</t>
    </r>
    <r>
      <rPr>
        <sz val="10"/>
        <color rgb="FF000000"/>
        <rFont val="Noto Sans CJK SC"/>
        <family val="2"/>
      </rPr>
      <t xml:space="preserve">＝</t>
    </r>
    <r>
      <rPr>
        <sz val="10"/>
        <color rgb="FF000000"/>
        <rFont val="Arial"/>
        <family val="0"/>
        <charset val="1"/>
      </rPr>
      <t xml:space="preserve">154,379 </t>
    </r>
    <r>
      <rPr>
        <sz val="10"/>
        <color rgb="FF000000"/>
        <rFont val="Noto Sans CJK SC"/>
        <family val="2"/>
      </rPr>
      <t xml:space="preserve">千元</t>
    </r>
  </si>
  <si>
    <t xml:space="preserve">SRC_ZP_198</t>
  </si>
  <si>
    <t xml:space="preserve">cogs_onprem_fy25</t>
  </si>
  <si>
    <r>
      <rPr>
        <sz val="10"/>
        <color rgb="FF000000"/>
        <rFont val="Arial"/>
        <family val="0"/>
        <charset val="1"/>
      </rPr>
      <t xml:space="preserve">533,955</t>
    </r>
    <r>
      <rPr>
        <sz val="10"/>
        <color rgb="FF000000"/>
        <rFont val="Noto Sans CJK SC"/>
        <family val="2"/>
      </rPr>
      <t xml:space="preserve">－</t>
    </r>
    <r>
      <rPr>
        <sz val="10"/>
        <color rgb="FF000000"/>
        <rFont val="Arial"/>
        <family val="0"/>
        <charset val="1"/>
      </rPr>
      <t xml:space="preserve">260,656</t>
    </r>
    <r>
      <rPr>
        <sz val="10"/>
        <color rgb="FF000000"/>
        <rFont val="Noto Sans CJK SC"/>
        <family val="2"/>
      </rPr>
      <t xml:space="preserve">＝</t>
    </r>
    <r>
      <rPr>
        <sz val="10"/>
        <color rgb="FF000000"/>
        <rFont val="Arial"/>
        <family val="0"/>
        <charset val="1"/>
      </rPr>
      <t xml:space="preserve">273,299 </t>
    </r>
    <r>
      <rPr>
        <sz val="10"/>
        <color rgb="FF000000"/>
        <rFont val="Noto Sans CJK SC"/>
        <family val="2"/>
      </rPr>
      <t xml:space="preserve">千元</t>
    </r>
  </si>
  <si>
    <t xml:space="preserve">SRC_ZP_199</t>
  </si>
  <si>
    <t xml:space="preserve">rd_1h26</t>
  </si>
  <si>
    <r>
      <rPr>
        <sz val="10"/>
        <color rgb="FF000000"/>
        <rFont val="Noto Sans CJK SC"/>
        <family val="2"/>
      </rPr>
      <t xml:space="preserve">原文「</t>
    </r>
    <r>
      <rPr>
        <sz val="10"/>
        <color rgb="FF000000"/>
        <rFont val="Arial"/>
        <family val="0"/>
        <charset val="1"/>
      </rPr>
      <t xml:space="preserve">continued increase in research and development investment in model training</t>
    </r>
    <r>
      <rPr>
        <sz val="10"/>
        <color rgb="FF000000"/>
        <rFont val="Noto Sans CJK SC"/>
        <family val="2"/>
      </rPr>
      <t xml:space="preserve">」；千元 </t>
    </r>
    <r>
      <rPr>
        <sz val="10"/>
        <color rgb="FF000000"/>
        <rFont val="Arial"/>
        <family val="0"/>
        <charset val="1"/>
      </rPr>
      <t xml:space="preserve">2,131,171</t>
    </r>
    <r>
      <rPr>
        <sz val="10"/>
        <color rgb="FF000000"/>
        <rFont val="Noto Sans CJK SC"/>
        <family val="2"/>
      </rPr>
      <t xml:space="preserve">，</t>
    </r>
    <r>
      <rPr>
        <sz val="10"/>
        <color rgb="FF000000"/>
        <rFont val="Arial"/>
        <family val="0"/>
        <charset val="1"/>
      </rPr>
      <t xml:space="preserve">+33.6%</t>
    </r>
    <r>
      <rPr>
        <sz val="10"/>
        <color rgb="FF000000"/>
        <rFont val="Noto Sans CJK SC"/>
        <family val="2"/>
      </rPr>
      <t xml:space="preserve">；組成未揭露；</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</si>
  <si>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SRC_ZP_200</t>
  </si>
  <si>
    <t xml:space="preserve">sm_1h26</t>
  </si>
  <si>
    <r>
      <rPr>
        <sz val="10"/>
        <color rgb="FF000000"/>
        <rFont val="Noto Sans CJK SC"/>
        <family val="2"/>
      </rPr>
      <t xml:space="preserve">千元 </t>
    </r>
    <r>
      <rPr>
        <sz val="10"/>
        <color rgb="FF000000"/>
        <rFont val="Arial"/>
        <family val="0"/>
        <charset val="1"/>
      </rPr>
      <t xml:space="preserve">177,666</t>
    </r>
    <r>
      <rPr>
        <sz val="10"/>
        <color rgb="FF000000"/>
        <rFont val="Noto Sans CJK SC"/>
        <family val="2"/>
      </rPr>
      <t xml:space="preserve">，−</t>
    </r>
    <r>
      <rPr>
        <sz val="10"/>
        <color rgb="FF000000"/>
        <rFont val="Arial"/>
        <family val="0"/>
        <charset val="1"/>
      </rPr>
      <t xml:space="preserve">14.8%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</si>
  <si>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SRC_ZP_201</t>
  </si>
  <si>
    <t xml:space="preserve">ga_1h26</t>
  </si>
  <si>
    <r>
      <rPr>
        <sz val="10"/>
        <color rgb="FF000000"/>
        <rFont val="Noto Sans CJK SC"/>
        <family val="2"/>
      </rPr>
      <t xml:space="preserve">千元 </t>
    </r>
    <r>
      <rPr>
        <sz val="10"/>
        <color rgb="FF000000"/>
        <rFont val="Arial"/>
        <family val="0"/>
        <charset val="1"/>
      </rPr>
      <t xml:space="preserve">103,346</t>
    </r>
    <r>
      <rPr>
        <sz val="10"/>
        <color rgb="FF000000"/>
        <rFont val="Noto Sans CJK SC"/>
        <family val="2"/>
      </rPr>
      <t xml:space="preserve">，−</t>
    </r>
    <r>
      <rPr>
        <sz val="10"/>
        <color rgb="FF000000"/>
        <rFont val="Arial"/>
        <family val="0"/>
        <charset val="1"/>
      </rPr>
      <t xml:space="preserve">44.2%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</si>
  <si>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SRC_ZP_202</t>
  </si>
  <si>
    <t xml:space="preserve">sbc_1h26</t>
  </si>
  <si>
    <t xml:space="preserve">以權益結算股權報酬</t>
  </si>
  <si>
    <r>
      <rPr>
        <sz val="10"/>
        <color rgb="FF000000"/>
        <rFont val="Noto Sans CJK SC"/>
        <family val="2"/>
      </rPr>
      <t xml:space="preserve">原文「</t>
    </r>
    <r>
      <rPr>
        <sz val="10"/>
        <color rgb="FF000000"/>
        <rFont val="Arial"/>
        <family val="0"/>
        <charset val="1"/>
      </rPr>
      <t xml:space="preserve">equity-settled share-based compensation</t>
    </r>
    <r>
      <rPr>
        <sz val="10"/>
        <color rgb="FF000000"/>
        <rFont val="Noto Sans CJK SC"/>
        <family val="2"/>
      </rPr>
      <t xml:space="preserve">」；千元值 </t>
    </r>
    <r>
      <rPr>
        <sz val="10"/>
        <color rgb="FF000000"/>
        <rFont val="Arial"/>
        <family val="0"/>
        <charset val="1"/>
      </rPr>
      <t xml:space="preserve">85,764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1H25 </t>
    </r>
    <r>
      <rPr>
        <sz val="10"/>
        <color rgb="FF000000"/>
        <rFont val="Noto Sans CJK SC"/>
        <family val="2"/>
      </rPr>
      <t xml:space="preserve">比較數 </t>
    </r>
    <r>
      <rPr>
        <sz val="10"/>
        <color rgb="FF000000"/>
        <rFont val="Arial"/>
        <family val="0"/>
        <charset val="1"/>
      </rPr>
      <t xml:space="preserve">158,852 </t>
    </r>
    <r>
      <rPr>
        <sz val="10"/>
        <color rgb="FF000000"/>
        <rFont val="Noto Sans CJK SC"/>
        <family val="2"/>
      </rPr>
      <t xml:space="preserve">與招股章程同</t>
    </r>
  </si>
  <si>
    <t xml:space="preserve">SRC_ZP_203</t>
  </si>
  <si>
    <t xml:space="preserve">other_inc_1h26</t>
  </si>
  <si>
    <r>
      <rPr>
        <sz val="10"/>
        <color rgb="FF000000"/>
        <rFont val="Noto Sans CJK SC"/>
        <family val="2"/>
      </rPr>
      <t xml:space="preserve">千元 </t>
    </r>
    <r>
      <rPr>
        <sz val="10"/>
        <color rgb="FF000000"/>
        <rFont val="Arial"/>
        <family val="0"/>
        <charset val="1"/>
      </rPr>
      <t xml:space="preserve">41,436</t>
    </r>
    <r>
      <rPr>
        <sz val="10"/>
        <color rgb="FF000000"/>
        <rFont val="Noto Sans CJK SC"/>
        <family val="2"/>
      </rPr>
      <t xml:space="preserve">；公告歸因上市後銀行存款增加帶來利息收入；未提政府補助；</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</si>
  <si>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SRC_ZP_204</t>
  </si>
  <si>
    <t xml:space="preserve">fin_cost_1h26</t>
  </si>
  <si>
    <r>
      <rPr>
        <sz val="10"/>
        <color rgb="FF000000"/>
        <rFont val="Noto Sans CJK SC"/>
        <family val="2"/>
      </rPr>
      <t xml:space="preserve">原文「</t>
    </r>
    <r>
      <rPr>
        <sz val="10"/>
        <color rgb="FF000000"/>
        <rFont val="Arial"/>
        <family val="0"/>
        <charset val="1"/>
      </rPr>
      <t xml:space="preserve">net foreign exchange losses and the increase in interest expenses on bank loans</t>
    </r>
    <r>
      <rPr>
        <sz val="10"/>
        <color rgb="FF000000"/>
        <rFont val="Noto Sans CJK SC"/>
        <family val="2"/>
      </rPr>
      <t xml:space="preserve">」；千元 </t>
    </r>
    <r>
      <rPr>
        <sz val="10"/>
        <color rgb="FF000000"/>
        <rFont val="Arial"/>
        <family val="0"/>
        <charset val="1"/>
      </rPr>
      <t xml:space="preserve">95,925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</si>
  <si>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SRC_ZP_205</t>
  </si>
  <si>
    <t xml:space="preserve">net_loss_1h26</t>
  </si>
  <si>
    <t xml:space="preserve">期內虧損</t>
  </si>
  <si>
    <r>
      <rPr>
        <sz val="10"/>
        <color rgb="FF000000"/>
        <rFont val="Arial"/>
        <family val="0"/>
        <charset val="1"/>
      </rPr>
      <t xml:space="preserve">loss for the period 2,071,992 </t>
    </r>
    <r>
      <rPr>
        <sz val="10"/>
        <color rgb="FF000000"/>
        <rFont val="Noto Sans CJK SC"/>
        <family val="2"/>
      </rPr>
      <t xml:space="preserve">千元（</t>
    </r>
    <r>
      <rPr>
        <sz val="10"/>
        <color rgb="FF000000"/>
        <rFont val="Arial"/>
        <family val="0"/>
        <charset val="1"/>
      </rPr>
      <t xml:space="preserve">1H25 2,357,852</t>
    </r>
    <r>
      <rPr>
        <sz val="10"/>
        <color rgb="FF000000"/>
        <rFont val="Noto Sans CJK SC"/>
        <family val="2"/>
      </rPr>
      <t xml:space="preserve">）；正數記虧損；</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</si>
  <si>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SRC_ZP_206</t>
  </si>
  <si>
    <t xml:space="preserve">adj_loss_1h26</t>
  </si>
  <si>
    <r>
      <rPr>
        <sz val="10"/>
        <color rgb="FF000000"/>
        <rFont val="Noto Sans CJK SC"/>
        <family val="2"/>
      </rPr>
      <t xml:space="preserve">加回 </t>
    </r>
    <r>
      <rPr>
        <sz val="10"/>
        <color rgb="FF000000"/>
        <rFont val="Arial"/>
        <family val="0"/>
        <charset val="1"/>
      </rPr>
      <t xml:space="preserve">SBC 85,764</t>
    </r>
    <r>
      <rPr>
        <sz val="10"/>
        <color rgb="FF000000"/>
        <rFont val="Noto Sans CJK SC"/>
        <family val="2"/>
      </rPr>
      <t xml:space="preserve">、投資人工具變動 </t>
    </r>
    <r>
      <rPr>
        <sz val="10"/>
        <color rgb="FF000000"/>
        <rFont val="Arial"/>
        <family val="0"/>
        <charset val="1"/>
      </rPr>
      <t xml:space="preserve">22,090</t>
    </r>
    <r>
      <rPr>
        <sz val="10"/>
        <color rgb="FF000000"/>
        <rFont val="Noto Sans CJK SC"/>
        <family val="2"/>
      </rPr>
      <t xml:space="preserve">；千元 </t>
    </r>
    <r>
      <rPr>
        <sz val="10"/>
        <color rgb="FF000000"/>
        <rFont val="Arial"/>
        <family val="0"/>
        <charset val="1"/>
      </rPr>
      <t xml:space="preserve">1,964,138</t>
    </r>
    <r>
      <rPr>
        <sz val="10"/>
        <color rgb="FF000000"/>
        <rFont val="Noto Sans CJK SC"/>
        <family val="2"/>
      </rPr>
      <t xml:space="preserve">（</t>
    </r>
    <r>
      <rPr>
        <sz val="10"/>
        <color rgb="FF000000"/>
        <rFont val="Arial"/>
        <family val="0"/>
        <charset val="1"/>
      </rPr>
      <t xml:space="preserve">1H25 1,751,974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</si>
  <si>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SRC_ZP_207</t>
  </si>
  <si>
    <t xml:space="preserve">net_loss_1h25_b</t>
  </si>
  <si>
    <t xml:space="preserve">期內淨虧損（媒體引部落客）</t>
  </si>
  <si>
    <r>
      <rPr>
        <sz val="10"/>
        <color rgb="FF000000"/>
        <rFont val="Arial"/>
        <family val="0"/>
        <charset val="1"/>
      </rPr>
      <t xml:space="preserve">36</t>
    </r>
    <r>
      <rPr>
        <sz val="10"/>
        <color rgb="FF000000"/>
        <rFont val="Noto Sans CJK SC"/>
        <family val="2"/>
      </rPr>
      <t xml:space="preserve">氪轉載〈市值水晶〉</t>
    </r>
  </si>
  <si>
    <t xml:space="preserve">https://www.36kr.com/p/3611675144253960</t>
  </si>
  <si>
    <t xml:space="preserve">2025-12-26</t>
  </si>
  <si>
    <r>
      <rPr>
        <sz val="10"/>
        <color rgb="FF000000"/>
        <rFont val="Noto Sans CJK SC"/>
        <family val="2"/>
      </rPr>
      <t xml:space="preserve">媒體稱淨虧損 </t>
    </r>
    <r>
      <rPr>
        <sz val="10"/>
        <color rgb="FF000000"/>
        <rFont val="Arial"/>
        <family val="0"/>
        <charset val="1"/>
      </rPr>
      <t xml:space="preserve">17.51 </t>
    </r>
    <r>
      <rPr>
        <sz val="10"/>
        <color rgb="FF000000"/>
        <rFont val="Noto Sans CJK SC"/>
        <family val="2"/>
      </rPr>
      <t xml:space="preserve">億；實為經調整淨虧損（招股章程 </t>
    </r>
    <r>
      <rPr>
        <sz val="10"/>
        <color rgb="FF000000"/>
        <rFont val="Arial"/>
        <family val="0"/>
        <charset val="1"/>
      </rPr>
      <t xml:space="preserve">17.52 </t>
    </r>
    <r>
      <rPr>
        <sz val="10"/>
        <color rgb="FF000000"/>
        <rFont val="Noto Sans CJK SC"/>
        <family val="2"/>
      </rPr>
      <t xml:space="preserve">億），與期內虧損 </t>
    </r>
    <r>
      <rPr>
        <sz val="10"/>
        <color rgb="FF000000"/>
        <rFont val="Arial"/>
        <family val="0"/>
        <charset val="1"/>
      </rPr>
      <t xml:space="preserve">23.58 </t>
    </r>
    <r>
      <rPr>
        <sz val="10"/>
        <color rgb="FF000000"/>
        <rFont val="Noto Sans CJK SC"/>
        <family val="2"/>
      </rPr>
      <t xml:space="preserve">億矛盾</t>
    </r>
  </si>
  <si>
    <t xml:space="preserve">SRC_ZP_208</t>
  </si>
  <si>
    <t xml:space="preserve">net_loss_1h25_c</t>
  </si>
  <si>
    <t xml:space="preserve">淨利潤（券商）</t>
  </si>
  <si>
    <r>
      <rPr>
        <sz val="10"/>
        <color rgb="FF000000"/>
        <rFont val="Noto Sans CJK SC"/>
        <family val="2"/>
      </rPr>
      <t xml:space="preserve">國信證券〈垂類</t>
    </r>
    <r>
      <rPr>
        <sz val="10"/>
        <color rgb="FF000000"/>
        <rFont val="Arial"/>
        <family val="0"/>
        <charset val="1"/>
      </rPr>
      <t xml:space="preserve">AI</t>
    </r>
    <r>
      <rPr>
        <sz val="10"/>
        <color rgb="FF000000"/>
        <rFont val="Noto Sans CJK SC"/>
        <family val="2"/>
      </rPr>
      <t xml:space="preserve">應用專題：智譜〉</t>
    </r>
  </si>
  <si>
    <t xml:space="preserve">https://pdf.dfcfw.com/pdf/H3_AP202601071816825157_1.pdf</t>
  </si>
  <si>
    <t xml:space="preserve">2026-01-07</t>
  </si>
  <si>
    <r>
      <rPr>
        <sz val="10"/>
        <color rgb="FF000000"/>
        <rFont val="Noto Sans CJK SC"/>
        <family val="2"/>
      </rPr>
      <t xml:space="preserve">原文「净利润为</t>
    </r>
    <r>
      <rPr>
        <sz val="10"/>
        <color rgb="FF000000"/>
        <rFont val="Arial"/>
        <family val="0"/>
        <charset val="1"/>
      </rPr>
      <t xml:space="preserve">-23.51</t>
    </r>
    <r>
      <rPr>
        <sz val="10"/>
        <color rgb="FF000000"/>
        <rFont val="Noto Sans CJK SC"/>
        <family val="2"/>
      </rPr>
      <t xml:space="preserve">亿元」；與招股章程期內虧損 </t>
    </r>
    <r>
      <rPr>
        <sz val="10"/>
        <color rgb="FF000000"/>
        <rFont val="Arial"/>
        <family val="0"/>
        <charset val="1"/>
      </rPr>
      <t xml:space="preserve">23.58 </t>
    </r>
    <r>
      <rPr>
        <sz val="10"/>
        <color rgb="FF000000"/>
        <rFont val="Noto Sans CJK SC"/>
        <family val="2"/>
      </rPr>
      <t xml:space="preserve">億不一致（可能為歸母）</t>
    </r>
  </si>
  <si>
    <t xml:space="preserve">SRC_ZP_209</t>
  </si>
  <si>
    <t xml:space="preserve">capex_1h26</t>
  </si>
  <si>
    <r>
      <rPr>
        <sz val="10"/>
        <color rgb="FF000000"/>
        <rFont val="Noto Sans CJK SC"/>
        <family val="2"/>
      </rPr>
      <t xml:space="preserve">原文 </t>
    </r>
    <r>
      <rPr>
        <sz val="10"/>
        <color rgb="FF000000"/>
        <rFont val="Arial"/>
        <family val="0"/>
        <charset val="1"/>
      </rPr>
      <t xml:space="preserve">increased from RMB53.7 million to RMB390.6 million</t>
    </r>
    <r>
      <rPr>
        <sz val="10"/>
        <color rgb="FF000000"/>
        <rFont val="Noto Sans CJK SC"/>
        <family val="2"/>
      </rPr>
      <t xml:space="preserve">（</t>
    </r>
    <r>
      <rPr>
        <sz val="10"/>
        <color rgb="FF000000"/>
        <rFont val="Arial"/>
        <family val="0"/>
        <charset val="1"/>
      </rPr>
      <t xml:space="preserve">+627.4%</t>
    </r>
    <r>
      <rPr>
        <sz val="10"/>
        <color rgb="FF000000"/>
        <rFont val="Noto Sans CJK SC"/>
        <family val="2"/>
      </rPr>
      <t xml:space="preserve">），主因收購北京紅鑽；百萬</t>
    </r>
    <r>
      <rPr>
        <sz val="10"/>
        <color rgb="FF000000"/>
        <rFont val="Arial"/>
        <family val="0"/>
        <charset val="1"/>
      </rPr>
      <t xml:space="preserve">÷100</t>
    </r>
  </si>
  <si>
    <t xml:space="preserve">SRC_ZP_210</t>
  </si>
  <si>
    <t xml:space="preserve">capex_1h25</t>
  </si>
  <si>
    <r>
      <rPr>
        <sz val="10"/>
        <color rgb="FF000000"/>
        <rFont val="Noto Sans CJK SC"/>
        <family val="2"/>
      </rPr>
      <t xml:space="preserve">中期公告比較數 </t>
    </r>
    <r>
      <rPr>
        <sz val="10"/>
        <color rgb="FF000000"/>
        <rFont val="Arial"/>
        <family val="0"/>
        <charset val="1"/>
      </rPr>
      <t xml:space="preserve">RMB53.7 million</t>
    </r>
    <r>
      <rPr>
        <sz val="10"/>
        <color rgb="FF000000"/>
        <rFont val="Noto Sans CJK SC"/>
        <family val="2"/>
      </rPr>
      <t xml:space="preserve">；百萬</t>
    </r>
    <r>
      <rPr>
        <sz val="10"/>
        <color rgb="FF000000"/>
        <rFont val="Arial"/>
        <family val="0"/>
        <charset val="1"/>
      </rPr>
      <t xml:space="preserve">÷100</t>
    </r>
    <r>
      <rPr>
        <sz val="10"/>
        <color rgb="FF000000"/>
        <rFont val="Noto Sans CJK SC"/>
        <family val="2"/>
      </rPr>
      <t xml:space="preserve">；【</t>
    </r>
    <r>
      <rPr>
        <sz val="10"/>
        <color rgb="FF000000"/>
        <rFont val="Arial"/>
        <family val="0"/>
        <charset val="1"/>
      </rPr>
      <t xml:space="preserve">r2 P2 </t>
    </r>
    <r>
      <rPr>
        <sz val="10"/>
        <color rgb="FF000000"/>
        <rFont val="Noto Sans CJK SC"/>
        <family val="2"/>
      </rPr>
      <t xml:space="preserve">口徑差異】公告「資本開支」含使用權資產添置 </t>
    </r>
    <r>
      <rPr>
        <sz val="10"/>
        <color rgb="FF000000"/>
        <rFont val="Arial"/>
        <family val="0"/>
        <charset val="1"/>
      </rPr>
      <t xml:space="preserve">0.34 </t>
    </r>
    <r>
      <rPr>
        <sz val="10"/>
        <color rgb="FF000000"/>
        <rFont val="Noto Sans CJK SC"/>
        <family val="2"/>
      </rPr>
      <t xml:space="preserve">億；現金資本開支 </t>
    </r>
    <r>
      <rPr>
        <sz val="10"/>
        <color rgb="FF000000"/>
        <rFont val="Arial"/>
        <family val="0"/>
        <charset val="1"/>
      </rPr>
      <t xml:space="preserve">0.24 </t>
    </r>
    <r>
      <rPr>
        <sz val="10"/>
        <color rgb="FF000000"/>
        <rFont val="Noto Sans CJK SC"/>
        <family val="2"/>
      </rPr>
      <t xml:space="preserve">億見 </t>
    </r>
    <r>
      <rPr>
        <sz val="10"/>
        <color rgb="FF000000"/>
        <rFont val="Arial"/>
        <family val="0"/>
        <charset val="1"/>
      </rPr>
      <t xml:space="preserve">SRC_ZP_891</t>
    </r>
  </si>
  <si>
    <t xml:space="preserve">SRC_ZP_211</t>
  </si>
  <si>
    <t xml:space="preserve">cash_end_1h26</t>
  </si>
  <si>
    <t xml:space="preserve">期末現金及現金等價物</t>
  </si>
  <si>
    <t xml:space="preserve">2026-06-30</t>
  </si>
  <si>
    <r>
      <rPr>
        <sz val="10"/>
        <color rgb="FF000000"/>
        <rFont val="Noto Sans CJK SC"/>
        <family val="2"/>
      </rPr>
      <t xml:space="preserve">千元 </t>
    </r>
    <r>
      <rPr>
        <sz val="10"/>
        <color rgb="FF000000"/>
        <rFont val="Arial"/>
        <family val="0"/>
        <charset val="1"/>
      </rPr>
      <t xml:space="preserve">3,993,722</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年末 </t>
    </r>
    <r>
      <rPr>
        <sz val="10"/>
        <color rgb="FF000000"/>
        <rFont val="Arial"/>
        <family val="0"/>
        <charset val="1"/>
      </rPr>
      <t xml:space="preserve">2,259,147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</si>
  <si>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SRC_ZP_212</t>
  </si>
  <si>
    <t xml:space="preserve">time_dep_1h26</t>
  </si>
  <si>
    <t xml:space="preserve">定期存款</t>
  </si>
  <si>
    <r>
      <rPr>
        <sz val="10"/>
        <color rgb="FF000000"/>
        <rFont val="Arial"/>
        <family val="0"/>
        <charset val="1"/>
      </rPr>
      <t xml:space="preserve">time deposits nil</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年末 </t>
    </r>
    <r>
      <rPr>
        <sz val="10"/>
        <color rgb="FF000000"/>
        <rFont val="Arial"/>
        <family val="0"/>
        <charset val="1"/>
      </rPr>
      <t xml:space="preserve">108,593 </t>
    </r>
    <r>
      <rPr>
        <sz val="10"/>
        <color rgb="FF000000"/>
        <rFont val="Noto Sans CJK SC"/>
        <family val="2"/>
      </rPr>
      <t xml:space="preserve">千元）</t>
    </r>
  </si>
  <si>
    <t xml:space="preserve">SRC_ZP_213</t>
  </si>
  <si>
    <t xml:space="preserve">bank_loans_1h26</t>
  </si>
  <si>
    <r>
      <rPr>
        <sz val="10"/>
        <color rgb="FF000000"/>
        <rFont val="Noto Sans CJK SC"/>
        <family val="2"/>
      </rPr>
      <t xml:space="preserve">流動 </t>
    </r>
    <r>
      <rPr>
        <sz val="10"/>
        <color rgb="FF000000"/>
        <rFont val="Arial"/>
        <family val="0"/>
        <charset val="1"/>
      </rPr>
      <t xml:space="preserve">789,831</t>
    </r>
    <r>
      <rPr>
        <sz val="10"/>
        <color rgb="FF000000"/>
        <rFont val="Noto Sans CJK SC"/>
        <family val="2"/>
      </rPr>
      <t xml:space="preserve">＋非流動 </t>
    </r>
    <r>
      <rPr>
        <sz val="10"/>
        <color rgb="FF000000"/>
        <rFont val="Arial"/>
        <family val="0"/>
        <charset val="1"/>
      </rPr>
      <t xml:space="preserve">1,434,958 </t>
    </r>
    <r>
      <rPr>
        <sz val="10"/>
        <color rgb="FF000000"/>
        <rFont val="Noto Sans CJK SC"/>
        <family val="2"/>
      </rPr>
      <t xml:space="preserve">千元；原文「</t>
    </r>
    <r>
      <rPr>
        <sz val="10"/>
        <color rgb="FF000000"/>
        <rFont val="Arial"/>
        <family val="0"/>
        <charset val="1"/>
      </rPr>
      <t xml:space="preserve">interest-bearing, denominated primarily in RMB and unsecured</t>
    </r>
    <r>
      <rPr>
        <sz val="10"/>
        <color rgb="FF000000"/>
        <rFont val="Noto Sans CJK SC"/>
        <family val="2"/>
      </rPr>
      <t xml:space="preserve">」；利率、到期未揭露；</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</si>
  <si>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SRC_ZP_214</t>
  </si>
  <si>
    <t xml:space="preserve">bank_loans_cur_1h26</t>
  </si>
  <si>
    <t xml:space="preserve">銀行貸款（流動，一年內到期）</t>
  </si>
  <si>
    <r>
      <rPr>
        <sz val="10"/>
        <color rgb="FF000000"/>
        <rFont val="Arial"/>
        <family val="0"/>
        <charset val="1"/>
      </rPr>
      <t xml:space="preserve">current 789,831 </t>
    </r>
    <r>
      <rPr>
        <sz val="10"/>
        <color rgb="FF000000"/>
        <rFont val="Noto Sans CJK SC"/>
        <family val="2"/>
      </rPr>
      <t xml:space="preserve">千元；</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</si>
  <si>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SRC_ZP_215</t>
  </si>
  <si>
    <t xml:space="preserve">bank_loans_ncur_1h26</t>
  </si>
  <si>
    <t xml:space="preserve">銀行貸款（非流動）</t>
  </si>
  <si>
    <r>
      <rPr>
        <sz val="10"/>
        <color rgb="FF000000"/>
        <rFont val="Arial"/>
        <family val="0"/>
        <charset val="1"/>
      </rPr>
      <t xml:space="preserve">non-current 1,434,958 </t>
    </r>
    <r>
      <rPr>
        <sz val="10"/>
        <color rgb="FF000000"/>
        <rFont val="Noto Sans CJK SC"/>
        <family val="2"/>
      </rPr>
      <t xml:space="preserve">千元；</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</si>
  <si>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SRC_ZP_216</t>
  </si>
  <si>
    <t xml:space="preserve">bank_loans_cur_fy25</t>
  </si>
  <si>
    <t xml:space="preserve">銀行貸款（流動）</t>
  </si>
  <si>
    <r>
      <rPr>
        <sz val="10"/>
        <color rgb="FF000000"/>
        <rFont val="Arial"/>
        <family val="0"/>
        <charset val="1"/>
      </rPr>
      <t xml:space="preserve">current 604,836 </t>
    </r>
    <r>
      <rPr>
        <sz val="10"/>
        <color rgb="FF000000"/>
        <rFont val="Noto Sans CJK SC"/>
        <family val="2"/>
      </rPr>
      <t xml:space="preserve">千元；</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</si>
  <si>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SRC_ZP_217</t>
  </si>
  <si>
    <t xml:space="preserve">bank_loans_ncur_fy25</t>
  </si>
  <si>
    <r>
      <rPr>
        <sz val="10"/>
        <color rgb="FF000000"/>
        <rFont val="Arial"/>
        <family val="0"/>
        <charset val="1"/>
      </rPr>
      <t xml:space="preserve">non-current 84,616 </t>
    </r>
    <r>
      <rPr>
        <sz val="10"/>
        <color rgb="FF000000"/>
        <rFont val="Noto Sans CJK SC"/>
        <family val="2"/>
      </rPr>
      <t xml:space="preserve">千元；</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</si>
  <si>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SRC_ZP_218</t>
  </si>
  <si>
    <t xml:space="preserve">payable_compute_1h26</t>
  </si>
  <si>
    <t xml:space="preserve">應付算力服務費</t>
  </si>
  <si>
    <r>
      <rPr>
        <sz val="10"/>
        <color rgb="FF000000"/>
        <rFont val="Arial"/>
        <family val="0"/>
        <charset val="1"/>
      </rPr>
      <t xml:space="preserve">payables for computing service fees 1,427,415 </t>
    </r>
    <r>
      <rPr>
        <sz val="10"/>
        <color rgb="FF000000"/>
        <rFont val="Noto Sans CJK SC"/>
        <family val="2"/>
      </rPr>
      <t xml:space="preserve">千元；</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</si>
  <si>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SRC_ZP_219</t>
  </si>
  <si>
    <t xml:space="preserve">prepay_compute_1h26</t>
  </si>
  <si>
    <t xml:space="preserve">預付算力服務費及其他</t>
  </si>
  <si>
    <r>
      <rPr>
        <sz val="10"/>
        <color rgb="FF000000"/>
        <rFont val="Arial"/>
        <family val="0"/>
        <charset val="1"/>
      </rPr>
      <t xml:space="preserve">prepayments for computing service fee and others 1,243,736</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年末 </t>
    </r>
    <r>
      <rPr>
        <sz val="10"/>
        <color rgb="FF000000"/>
        <rFont val="Arial"/>
        <family val="0"/>
        <charset val="1"/>
      </rPr>
      <t xml:space="preserve">116,295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</si>
  <si>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SRC_ZP_220</t>
  </si>
  <si>
    <t xml:space="preserve">prepay_compute_fy25</t>
  </si>
  <si>
    <r>
      <rPr>
        <sz val="10"/>
        <color rgb="FF000000"/>
        <rFont val="Noto Sans CJK SC"/>
        <family val="2"/>
      </rPr>
      <t xml:space="preserve">中期公告比較數 </t>
    </r>
    <r>
      <rPr>
        <sz val="10"/>
        <color rgb="FF000000"/>
        <rFont val="Arial"/>
        <family val="0"/>
        <charset val="1"/>
      </rPr>
      <t xml:space="preserve">116,295 </t>
    </r>
    <r>
      <rPr>
        <sz val="10"/>
        <color rgb="FF000000"/>
        <rFont val="Noto Sans CJK SC"/>
        <family val="2"/>
      </rPr>
      <t xml:space="preserve">千元；</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</si>
  <si>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SRC_ZP_221</t>
  </si>
  <si>
    <t xml:space="preserve">deferred_inc_1h26</t>
  </si>
  <si>
    <t xml:space="preserve">遞延收益（非流動）</t>
  </si>
  <si>
    <r>
      <rPr>
        <sz val="10"/>
        <color rgb="FF000000"/>
        <rFont val="Arial"/>
        <family val="0"/>
        <charset val="1"/>
      </rPr>
      <t xml:space="preserve">non-current deferred income 172,991 </t>
    </r>
    <r>
      <rPr>
        <sz val="10"/>
        <color rgb="FF000000"/>
        <rFont val="Noto Sans CJK SC"/>
        <family val="2"/>
      </rPr>
      <t xml:space="preserve">千元；性質未說明（可能含政府補助，未證實）；</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</si>
  <si>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SRC_ZP_222</t>
  </si>
  <si>
    <t xml:space="preserve">employees_1h26</t>
  </si>
  <si>
    <r>
      <rPr>
        <sz val="10"/>
        <color rgb="FF000000"/>
        <rFont val="Noto Sans CJK SC"/>
        <family val="2"/>
      </rPr>
      <t xml:space="preserve">原文「</t>
    </r>
    <r>
      <rPr>
        <sz val="10"/>
        <color rgb="FF000000"/>
        <rFont val="Arial"/>
        <family val="0"/>
        <charset val="1"/>
      </rPr>
      <t xml:space="preserve">the Group had 981 permanent employees</t>
    </r>
    <r>
      <rPr>
        <sz val="10"/>
        <color rgb="FF000000"/>
        <rFont val="Noto Sans CJK SC"/>
        <family val="2"/>
      </rPr>
      <t xml:space="preserve">」</t>
    </r>
  </si>
  <si>
    <t xml:space="preserve">SRC_ZP_223</t>
  </si>
  <si>
    <t xml:space="preserve">employees_1h25</t>
  </si>
  <si>
    <r>
      <rPr>
        <sz val="10"/>
        <color rgb="FF000000"/>
        <rFont val="Noto Sans CJK SC"/>
        <family val="2"/>
      </rPr>
      <t xml:space="preserve">中期公告比較數 </t>
    </r>
    <r>
      <rPr>
        <sz val="10"/>
        <color rgb="FF000000"/>
        <rFont val="Arial"/>
        <family val="0"/>
        <charset val="1"/>
      </rPr>
      <t xml:space="preserve">883</t>
    </r>
    <r>
      <rPr>
        <sz val="10"/>
        <color rgb="FF000000"/>
        <rFont val="Noto Sans CJK SC"/>
        <family val="2"/>
      </rPr>
      <t xml:space="preserve">；鈦媒體亦稱 </t>
    </r>
    <r>
      <rPr>
        <sz val="10"/>
        <color rgb="FF000000"/>
        <rFont val="Arial"/>
        <family val="0"/>
        <charset val="1"/>
      </rPr>
      <t xml:space="preserve">883 </t>
    </r>
    <r>
      <rPr>
        <sz val="10"/>
        <color rgb="FF000000"/>
        <rFont val="Noto Sans CJK SC"/>
        <family val="2"/>
      </rPr>
      <t xml:space="preserve">人、研發 </t>
    </r>
    <r>
      <rPr>
        <sz val="10"/>
        <color rgb="FF000000"/>
        <rFont val="Arial"/>
        <family val="0"/>
        <charset val="1"/>
      </rPr>
      <t xml:space="preserve">657 </t>
    </r>
    <r>
      <rPr>
        <sz val="10"/>
        <color rgb="FF000000"/>
        <rFont val="Noto Sans CJK SC"/>
        <family val="2"/>
      </rPr>
      <t xml:space="preserve">人（</t>
    </r>
    <r>
      <rPr>
        <sz val="10"/>
        <color rgb="FF000000"/>
        <rFont val="Arial"/>
        <family val="0"/>
        <charset val="1"/>
      </rPr>
      <t xml:space="preserve">74.4%</t>
    </r>
    <r>
      <rPr>
        <sz val="10"/>
        <color rgb="FF000000"/>
        <rFont val="Noto Sans CJK SC"/>
        <family val="2"/>
      </rPr>
      <t xml:space="preserve">）</t>
    </r>
  </si>
  <si>
    <t xml:space="preserve">SRC_ZP_224</t>
  </si>
  <si>
    <t xml:space="preserve">remun_1h26</t>
  </si>
  <si>
    <r>
      <rPr>
        <sz val="10"/>
        <color rgb="FF000000"/>
        <rFont val="Noto Sans CJK SC"/>
        <family val="2"/>
      </rPr>
      <t xml:space="preserve">原文「</t>
    </r>
    <r>
      <rPr>
        <sz val="10"/>
        <color rgb="FF000000"/>
        <rFont val="Arial"/>
        <family val="0"/>
        <charset val="1"/>
      </rPr>
      <t xml:space="preserve">total remuneration costs (including share-based payments) of RMB482.1 million</t>
    </r>
    <r>
      <rPr>
        <sz val="10"/>
        <color rgb="FF000000"/>
        <rFont val="Noto Sans CJK SC"/>
        <family val="2"/>
      </rPr>
      <t xml:space="preserve">」</t>
    </r>
  </si>
  <si>
    <t xml:space="preserve">SRC_ZP_225</t>
  </si>
  <si>
    <t xml:space="preserve">remun_1h25</t>
  </si>
  <si>
    <r>
      <rPr>
        <sz val="10"/>
        <color rgb="FF000000"/>
        <rFont val="Noto Sans CJK SC"/>
        <family val="2"/>
      </rPr>
      <t xml:space="preserve">中期公告比較數 </t>
    </r>
    <r>
      <rPr>
        <sz val="10"/>
        <color rgb="FF000000"/>
        <rFont val="Arial"/>
        <family val="0"/>
        <charset val="1"/>
      </rPr>
      <t xml:space="preserve">RMB499.6 million</t>
    </r>
  </si>
  <si>
    <t xml:space="preserve">SRC_ZP_226</t>
  </si>
  <si>
    <t xml:space="preserve">comp_per_head_1h26</t>
  </si>
  <si>
    <t xml:space="preserve">人均半年薪酬（含股權報酬）</t>
  </si>
  <si>
    <r>
      <rPr>
        <sz val="10"/>
        <color rgb="FF000000"/>
        <rFont val="Arial"/>
        <family val="0"/>
        <charset val="1"/>
      </rPr>
      <t xml:space="preserve">RMB </t>
    </r>
    <r>
      <rPr>
        <sz val="10"/>
        <color rgb="FF000000"/>
        <rFont val="Noto Sans CJK SC"/>
        <family val="2"/>
      </rPr>
      <t xml:space="preserve">億／人／半年</t>
    </r>
  </si>
  <si>
    <r>
      <rPr>
        <sz val="10"/>
        <color rgb="FF000000"/>
        <rFont val="Arial"/>
        <family val="0"/>
        <charset val="1"/>
      </rPr>
      <t xml:space="preserve">482.1 </t>
    </r>
    <r>
      <rPr>
        <sz val="10"/>
        <color rgb="FF000000"/>
        <rFont val="Noto Sans CJK SC"/>
        <family val="2"/>
      </rPr>
      <t xml:space="preserve">百萬</t>
    </r>
    <r>
      <rPr>
        <sz val="10"/>
        <color rgb="FF000000"/>
        <rFont val="Arial"/>
        <family val="0"/>
        <charset val="1"/>
      </rPr>
      <t xml:space="preserve">÷</t>
    </r>
    <r>
      <rPr>
        <sz val="10"/>
        <color rgb="FF000000"/>
        <rFont val="Noto Sans CJK SC"/>
        <family val="2"/>
      </rPr>
      <t xml:space="preserve">期末 </t>
    </r>
    <r>
      <rPr>
        <sz val="10"/>
        <color rgb="FF000000"/>
        <rFont val="Arial"/>
        <family val="0"/>
        <charset val="1"/>
      </rPr>
      <t xml:space="preserve">981 </t>
    </r>
    <r>
      <rPr>
        <sz val="10"/>
        <color rgb="FF000000"/>
        <rFont val="Noto Sans CJK SC"/>
        <family val="2"/>
      </rPr>
      <t xml:space="preserve">人＝約 </t>
    </r>
    <r>
      <rPr>
        <sz val="10"/>
        <color rgb="FF000000"/>
        <rFont val="Arial"/>
        <family val="0"/>
        <charset val="1"/>
      </rPr>
      <t xml:space="preserve">49.1 </t>
    </r>
    <r>
      <rPr>
        <sz val="10"/>
        <color rgb="FF000000"/>
        <rFont val="Noto Sans CJK SC"/>
        <family val="2"/>
      </rPr>
      <t xml:space="preserve">萬元／人／半年</t>
    </r>
  </si>
  <si>
    <t xml:space="preserve">SRC_ZP_227</t>
  </si>
  <si>
    <t xml:space="preserve">api_price_1h26</t>
  </si>
  <si>
    <r>
      <rPr>
        <sz val="10"/>
        <color rgb="FF000000"/>
        <rFont val="Arial"/>
        <family val="0"/>
        <charset val="1"/>
      </rPr>
      <t xml:space="preserve">API </t>
    </r>
    <r>
      <rPr>
        <sz val="10"/>
        <color rgb="FF000000"/>
        <rFont val="Noto Sans CJK SC"/>
        <family val="2"/>
      </rPr>
      <t xml:space="preserve">平均售價上升</t>
    </r>
  </si>
  <si>
    <r>
      <rPr>
        <sz val="10"/>
        <color rgb="FF000000"/>
        <rFont val="Noto Sans CJK SC"/>
        <family val="2"/>
      </rPr>
      <t xml:space="preserve">原文「</t>
    </r>
    <r>
      <rPr>
        <sz val="10"/>
        <color rgb="FF000000"/>
        <rFont val="Arial"/>
        <family val="0"/>
        <charset val="1"/>
      </rPr>
      <t xml:space="preserve">the average API selling price increased by approximately 101%</t>
    </r>
    <r>
      <rPr>
        <sz val="10"/>
        <color rgb="FF000000"/>
        <rFont val="Noto Sans CJK SC"/>
        <family val="2"/>
      </rPr>
      <t xml:space="preserve">」；比較基準未明</t>
    </r>
  </si>
  <si>
    <t xml:space="preserve">SRC_ZP_228</t>
  </si>
  <si>
    <t xml:space="preserve">codingplan_class_1h26</t>
  </si>
  <si>
    <r>
      <rPr>
        <sz val="10"/>
        <color rgb="FF000000"/>
        <rFont val="Noto Sans CJK SC"/>
        <family val="2"/>
      </rPr>
      <t xml:space="preserve">未單列。雲端分部＝開放平台及 </t>
    </r>
    <r>
      <rPr>
        <sz val="10"/>
        <color rgb="FF000000"/>
        <rFont val="Arial"/>
        <family val="0"/>
        <charset val="1"/>
      </rPr>
      <t xml:space="preserve">API</t>
    </r>
    <r>
      <rPr>
        <sz val="10"/>
        <color rgb="FF000000"/>
        <rFont val="Noto Sans CJK SC"/>
        <family val="2"/>
      </rPr>
      <t xml:space="preserve">（</t>
    </r>
    <r>
      <rPr>
        <sz val="10"/>
        <color rgb="FF000000"/>
        <rFont val="Arial"/>
        <family val="0"/>
        <charset val="1"/>
      </rPr>
      <t xml:space="preserve">825,176</t>
    </r>
    <r>
      <rPr>
        <sz val="10"/>
        <color rgb="FF000000"/>
        <rFont val="Noto Sans CJK SC"/>
        <family val="2"/>
      </rPr>
      <t xml:space="preserve">），本地化＝其餘三線合計；</t>
    </r>
    <r>
      <rPr>
        <sz val="10"/>
        <color rgb="FF000000"/>
        <rFont val="Arial"/>
        <family val="0"/>
        <charset val="1"/>
      </rPr>
      <t xml:space="preserve">Coding Plan </t>
    </r>
    <r>
      <rPr>
        <sz val="10"/>
        <color rgb="FF000000"/>
        <rFont val="Noto Sans CJK SC"/>
        <family val="2"/>
      </rPr>
      <t xml:space="preserve">為雲端訂閱，故在開放平台及 </t>
    </r>
    <r>
      <rPr>
        <sz val="10"/>
        <color rgb="FF000000"/>
        <rFont val="Arial"/>
        <family val="0"/>
        <charset val="1"/>
      </rPr>
      <t xml:space="preserve">API </t>
    </r>
    <r>
      <rPr>
        <sz val="10"/>
        <color rgb="FF000000"/>
        <rFont val="Noto Sans CJK SC"/>
        <family val="2"/>
      </rPr>
      <t xml:space="preserve">內</t>
    </r>
  </si>
  <si>
    <t xml:space="preserve">SRC_ZP_229</t>
  </si>
  <si>
    <t xml:space="preserve">domestic_chip_1h26</t>
  </si>
  <si>
    <t xml:space="preserve">國產晶片推論集群規模</t>
  </si>
  <si>
    <t xml:space="preserve">顆（下限）</t>
  </si>
  <si>
    <r>
      <rPr>
        <sz val="10"/>
        <color rgb="FF000000"/>
        <rFont val="Noto Sans CJK SC"/>
        <family val="2"/>
      </rPr>
      <t xml:space="preserve">原文「</t>
    </r>
    <r>
      <rPr>
        <sz val="10"/>
        <color rgb="FF000000"/>
        <rFont val="Arial"/>
        <family val="0"/>
        <charset val="1"/>
      </rPr>
      <t xml:space="preserve">across a cluster of over 100,000 domestic chips</t>
    </r>
    <r>
      <rPr>
        <sz val="10"/>
        <color rgb="FF000000"/>
        <rFont val="Noto Sans CJK SC"/>
        <family val="2"/>
      </rPr>
      <t xml:space="preserve">」</t>
    </r>
  </si>
  <si>
    <t xml:space="preserve">SRC_ZP_230</t>
  </si>
  <si>
    <t xml:space="preserve">rd_compute_fy22</t>
  </si>
  <si>
    <t xml:space="preserve">研發開支中算力服務費（含模型訓練及雲端部署服務）</t>
  </si>
  <si>
    <r>
      <rPr>
        <sz val="10"/>
        <color rgb="FF000000"/>
        <rFont val="Arial"/>
        <family val="0"/>
        <charset val="1"/>
      </rPr>
      <t xml:space="preserve">36</t>
    </r>
    <r>
      <rPr>
        <sz val="10"/>
        <color rgb="FF000000"/>
        <rFont val="Noto Sans CJK SC"/>
        <family val="2"/>
      </rPr>
      <t xml:space="preserve">氪轉載〈市值水晶〉（王浩然）</t>
    </r>
  </si>
  <si>
    <t xml:space="preserve">媒體轉述（招股章程）</t>
  </si>
  <si>
    <r>
      <rPr>
        <sz val="10"/>
        <color rgb="FF000000"/>
        <rFont val="Noto Sans CJK SC"/>
        <family val="2"/>
      </rPr>
      <t xml:space="preserve">原文「从</t>
    </r>
    <r>
      <rPr>
        <sz val="10"/>
        <color rgb="FF000000"/>
        <rFont val="Arial"/>
        <family val="0"/>
        <charset val="1"/>
      </rPr>
      <t xml:space="preserve">2022</t>
    </r>
    <r>
      <rPr>
        <sz val="10"/>
        <color rgb="FF000000"/>
        <rFont val="Noto Sans CJK SC"/>
        <family val="2"/>
      </rPr>
      <t xml:space="preserve">年的</t>
    </r>
    <r>
      <rPr>
        <sz val="10"/>
        <color rgb="FF000000"/>
        <rFont val="Arial"/>
        <family val="0"/>
        <charset val="1"/>
      </rPr>
      <t xml:space="preserve">0.15</t>
    </r>
    <r>
      <rPr>
        <sz val="10"/>
        <color rgb="FF000000"/>
        <rFont val="Noto Sans CJK SC"/>
        <family val="2"/>
      </rPr>
      <t xml:space="preserve">亿元」；原始招股章程財務資料節未能讀取；【</t>
    </r>
    <r>
      <rPr>
        <sz val="10"/>
        <color rgb="FF000000"/>
        <rFont val="Arial"/>
        <family val="0"/>
        <charset val="1"/>
      </rPr>
      <t xml:space="preserve">r2 P2 </t>
    </r>
    <r>
      <rPr>
        <sz val="10"/>
        <color rgb="FF000000"/>
        <rFont val="Noto Sans CJK SC"/>
        <family val="2"/>
      </rPr>
      <t xml:space="preserve">口徑更正】原文「含雲端部署」不正確：研發項下算力費（招股章程第 </t>
    </r>
    <r>
      <rPr>
        <sz val="10"/>
        <color rgb="FF000000"/>
        <rFont val="Arial"/>
        <family val="0"/>
        <charset val="1"/>
      </rPr>
      <t xml:space="preserve">255</t>
    </r>
    <r>
      <rPr>
        <sz val="10"/>
        <color rgb="FF000000"/>
        <rFont val="Noto Sans CJK SC"/>
        <family val="2"/>
      </rPr>
      <t xml:space="preserve">、</t>
    </r>
    <r>
      <rPr>
        <sz val="10"/>
        <color rgb="FF000000"/>
        <rFont val="Arial"/>
        <family val="0"/>
        <charset val="1"/>
      </rPr>
      <t xml:space="preserve">267 </t>
    </r>
    <r>
      <rPr>
        <sz val="10"/>
        <color rgb="FF000000"/>
        <rFont val="Noto Sans CJK SC"/>
        <family val="2"/>
      </rPr>
      <t xml:space="preserve">頁，</t>
    </r>
    <r>
      <rPr>
        <sz val="10"/>
        <color rgb="FF000000"/>
        <rFont val="Arial"/>
        <family val="0"/>
        <charset val="1"/>
      </rPr>
      <t xml:space="preserve">SRC_ZP_611</t>
    </r>
    <r>
      <rPr>
        <sz val="10"/>
        <color rgb="FF000000"/>
        <rFont val="Noto Sans CJK SC"/>
        <family val="2"/>
      </rPr>
      <t xml:space="preserve">）不含營業成本中的雲端部署算力</t>
    </r>
  </si>
  <si>
    <t xml:space="preserve">SRC_ZP_231</t>
  </si>
  <si>
    <t xml:space="preserve">rd_compute_1h25</t>
  </si>
  <si>
    <r>
      <rPr>
        <sz val="10"/>
        <color rgb="FF000000"/>
        <rFont val="Noto Sans CJK SC"/>
        <family val="2"/>
      </rPr>
      <t xml:space="preserve">原文「到</t>
    </r>
    <r>
      <rPr>
        <sz val="10"/>
        <color rgb="FF000000"/>
        <rFont val="Arial"/>
        <family val="0"/>
        <charset val="1"/>
      </rPr>
      <t xml:space="preserve">2025</t>
    </r>
    <r>
      <rPr>
        <sz val="10"/>
        <color rgb="FF000000"/>
        <rFont val="Noto Sans CJK SC"/>
        <family val="2"/>
      </rPr>
      <t xml:space="preserve">年上半年的</t>
    </r>
    <r>
      <rPr>
        <sz val="10"/>
        <color rgb="FF000000"/>
        <rFont val="Arial"/>
        <family val="0"/>
        <charset val="1"/>
      </rPr>
      <t xml:space="preserve">11.45</t>
    </r>
    <r>
      <rPr>
        <sz val="10"/>
        <color rgb="FF000000"/>
        <rFont val="Noto Sans CJK SC"/>
        <family val="2"/>
      </rPr>
      <t xml:space="preserve">亿」；原始招股章程財務資料節未能讀取；【</t>
    </r>
    <r>
      <rPr>
        <sz val="10"/>
        <color rgb="FF000000"/>
        <rFont val="Arial"/>
        <family val="0"/>
        <charset val="1"/>
      </rPr>
      <t xml:space="preserve">r2 P2 </t>
    </r>
    <r>
      <rPr>
        <sz val="10"/>
        <color rgb="FF000000"/>
        <rFont val="Noto Sans CJK SC"/>
        <family val="2"/>
      </rPr>
      <t xml:space="preserve">口徑更正】同 </t>
    </r>
    <r>
      <rPr>
        <sz val="10"/>
        <color rgb="FF000000"/>
        <rFont val="Arial"/>
        <family val="0"/>
        <charset val="1"/>
      </rPr>
      <t xml:space="preserve">SRC_ZP_230</t>
    </r>
    <r>
      <rPr>
        <sz val="10"/>
        <color rgb="FF000000"/>
        <rFont val="Noto Sans CJK SC"/>
        <family val="2"/>
      </rPr>
      <t xml:space="preserve">；一手值見 </t>
    </r>
    <r>
      <rPr>
        <sz val="10"/>
        <color rgb="FF000000"/>
        <rFont val="Arial"/>
        <family val="0"/>
        <charset val="1"/>
      </rPr>
      <t xml:space="preserve">SRC_ZP_615</t>
    </r>
    <r>
      <rPr>
        <sz val="10"/>
        <color rgb="FF000000"/>
        <rFont val="Noto Sans CJK SC"/>
        <family val="2"/>
      </rPr>
      <t xml:space="preserve">，三科目合計見 </t>
    </r>
    <r>
      <rPr>
        <sz val="10"/>
        <color rgb="FF000000"/>
        <rFont val="Arial"/>
        <family val="0"/>
        <charset val="1"/>
      </rPr>
      <t xml:space="preserve">SRC_ZP_742</t>
    </r>
  </si>
  <si>
    <t xml:space="preserve">SRC_ZP_232</t>
  </si>
  <si>
    <t xml:space="preserve">rd_compute_fy24</t>
  </si>
  <si>
    <t xml:space="preserve">研發開支中算力服務費</t>
  </si>
  <si>
    <t xml:space="preserve">華爾街見聞</t>
  </si>
  <si>
    <t xml:space="preserve">https://wallstreetcn.com/articles/3761769</t>
  </si>
  <si>
    <t xml:space="preserve">2025-12-20</t>
  </si>
  <si>
    <r>
      <rPr>
        <sz val="10"/>
        <color rgb="FF000000"/>
        <rFont val="Noto Sans CJK SC"/>
        <family val="2"/>
      </rPr>
      <t xml:space="preserve">原文 </t>
    </r>
    <r>
      <rPr>
        <sz val="10"/>
        <color rgb="FF000000"/>
        <rFont val="Arial"/>
        <family val="0"/>
        <charset val="1"/>
      </rPr>
      <t xml:space="preserve">2024</t>
    </r>
    <r>
      <rPr>
        <sz val="10"/>
        <color rgb="FF000000"/>
        <rFont val="Noto Sans CJK SC"/>
        <family val="2"/>
      </rPr>
      <t xml:space="preserve">年算力服務費 </t>
    </r>
    <r>
      <rPr>
        <sz val="10"/>
        <color rgb="FF000000"/>
        <rFont val="Arial"/>
        <family val="0"/>
        <charset val="1"/>
      </rPr>
      <t xml:space="preserve">15.52</t>
    </r>
    <r>
      <rPr>
        <sz val="10"/>
        <color rgb="FF000000"/>
        <rFont val="Noto Sans CJK SC"/>
        <family val="2"/>
      </rPr>
      <t xml:space="preserve">億元，「同期收入的</t>
    </r>
    <r>
      <rPr>
        <sz val="10"/>
        <color rgb="FF000000"/>
        <rFont val="Arial"/>
        <family val="0"/>
        <charset val="1"/>
      </rPr>
      <t xml:space="preserve">5</t>
    </r>
    <r>
      <rPr>
        <sz val="10"/>
        <color rgb="FF000000"/>
        <rFont val="Noto Sans CJK SC"/>
        <family val="2"/>
      </rPr>
      <t xml:space="preserve">倍左右」；原始財務資料節未能讀取</t>
    </r>
  </si>
  <si>
    <t xml:space="preserve">SRC_ZP_233</t>
  </si>
  <si>
    <t xml:space="preserve">rd_compute_fy24_b</t>
  </si>
  <si>
    <t xml:space="preserve">每日經濟新聞</t>
  </si>
  <si>
    <t xml:space="preserve">https://www.nbd.com.cn/articles/2025-12-21/4189232.html</t>
  </si>
  <si>
    <t xml:space="preserve">2025-12-21</t>
  </si>
  <si>
    <r>
      <rPr>
        <sz val="10"/>
        <color rgb="FF000000"/>
        <rFont val="Arial"/>
        <family val="0"/>
        <charset val="1"/>
      </rPr>
      <t xml:space="preserve">15.53 </t>
    </r>
    <r>
      <rPr>
        <sz val="10"/>
        <color rgb="FF000000"/>
        <rFont val="Noto Sans CJK SC"/>
        <family val="2"/>
      </rPr>
      <t xml:space="preserve">億元，占研發逾 </t>
    </r>
    <r>
      <rPr>
        <sz val="10"/>
        <color rgb="FF000000"/>
        <rFont val="Arial"/>
        <family val="0"/>
        <charset val="1"/>
      </rPr>
      <t xml:space="preserve">70%</t>
    </r>
    <r>
      <rPr>
        <sz val="10"/>
        <color rgb="FF000000"/>
        <rFont val="Noto Sans CJK SC"/>
        <family val="2"/>
      </rPr>
      <t xml:space="preserve">；與華爾街見聞 </t>
    </r>
    <r>
      <rPr>
        <sz val="10"/>
        <color rgb="FF000000"/>
        <rFont val="Arial"/>
        <family val="0"/>
        <charset val="1"/>
      </rPr>
      <t xml:space="preserve">15.52 </t>
    </r>
    <r>
      <rPr>
        <sz val="10"/>
        <color rgb="FF000000"/>
        <rFont val="Noto Sans CJK SC"/>
        <family val="2"/>
      </rPr>
      <t xml:space="preserve">億差 </t>
    </r>
    <r>
      <rPr>
        <sz val="10"/>
        <color rgb="FF000000"/>
        <rFont val="Arial"/>
        <family val="0"/>
        <charset val="1"/>
      </rPr>
      <t xml:space="preserve">0.01</t>
    </r>
    <r>
      <rPr>
        <sz val="10"/>
        <color rgb="FF000000"/>
        <rFont val="Noto Sans CJK SC"/>
        <family val="2"/>
      </rPr>
      <t xml:space="preserve">（四捨五入）</t>
    </r>
  </si>
  <si>
    <t xml:space="preserve">SRC_ZP_234</t>
  </si>
  <si>
    <t xml:space="preserve">rd_compute_share_1h25</t>
  </si>
  <si>
    <t xml:space="preserve">算力服務費占研發開支比重</t>
  </si>
  <si>
    <r>
      <rPr>
        <sz val="10"/>
        <color rgb="FF000000"/>
        <rFont val="Arial"/>
        <family val="0"/>
        <charset val="1"/>
      </rPr>
      <t xml:space="preserve">%</t>
    </r>
    <r>
      <rPr>
        <sz val="10"/>
        <color rgb="FF000000"/>
        <rFont val="Noto Sans CJK SC"/>
        <family val="2"/>
      </rPr>
      <t xml:space="preserve">（下限）</t>
    </r>
  </si>
  <si>
    <t xml:space="preserve">原文「仍维持在七成以上」</t>
  </si>
  <si>
    <t xml:space="preserve">SRC_ZP_235</t>
  </si>
  <si>
    <t xml:space="preserve">rd_staff_cost_fy22</t>
  </si>
  <si>
    <t xml:space="preserve">研發人員工資成本</t>
  </si>
  <si>
    <r>
      <rPr>
        <sz val="10"/>
        <color rgb="FF000000"/>
        <rFont val="Noto Sans CJK SC"/>
        <family val="2"/>
      </rPr>
      <t xml:space="preserve">原文「研发人员的工资成本分别为</t>
    </r>
    <r>
      <rPr>
        <sz val="10"/>
        <color rgb="FF000000"/>
        <rFont val="Arial"/>
        <family val="0"/>
        <charset val="1"/>
      </rPr>
      <t xml:space="preserve">0.42</t>
    </r>
    <r>
      <rPr>
        <sz val="10"/>
        <color rgb="FF000000"/>
        <rFont val="Noto Sans CJK SC"/>
        <family val="2"/>
      </rPr>
      <t xml:space="preserve">亿、</t>
    </r>
    <r>
      <rPr>
        <sz val="10"/>
        <color rgb="FF000000"/>
        <rFont val="Arial"/>
        <family val="0"/>
        <charset val="1"/>
      </rPr>
      <t xml:space="preserve">1.37</t>
    </r>
    <r>
      <rPr>
        <sz val="10"/>
        <color rgb="FF000000"/>
        <rFont val="Noto Sans CJK SC"/>
        <family val="2"/>
      </rPr>
      <t xml:space="preserve">亿、</t>
    </r>
    <r>
      <rPr>
        <sz val="10"/>
        <color rgb="FF000000"/>
        <rFont val="Arial"/>
        <family val="0"/>
        <charset val="1"/>
      </rPr>
      <t xml:space="preserve">3.24</t>
    </r>
    <r>
      <rPr>
        <sz val="10"/>
        <color rgb="FF000000"/>
        <rFont val="Noto Sans CJK SC"/>
        <family val="2"/>
      </rPr>
      <t xml:space="preserve">亿元…</t>
    </r>
    <r>
      <rPr>
        <sz val="10"/>
        <color rgb="FF000000"/>
        <rFont val="Arial"/>
        <family val="0"/>
        <charset val="1"/>
      </rPr>
      <t xml:space="preserve">2.66</t>
    </r>
    <r>
      <rPr>
        <sz val="10"/>
        <color rgb="FF000000"/>
        <rFont val="Noto Sans CJK SC"/>
        <family val="2"/>
      </rPr>
      <t xml:space="preserve">亿元」</t>
    </r>
  </si>
  <si>
    <t xml:space="preserve">SRC_ZP_236</t>
  </si>
  <si>
    <t xml:space="preserve">rd_staff_cost_fy23</t>
  </si>
  <si>
    <t xml:space="preserve">SRC_ZP_237</t>
  </si>
  <si>
    <t xml:space="preserve">rd_staff_cost_fy24</t>
  </si>
  <si>
    <t xml:space="preserve">SRC_ZP_238</t>
  </si>
  <si>
    <t xml:space="preserve">rd_staff_cost_1h25</t>
  </si>
  <si>
    <t xml:space="preserve">SRC_ZP_239</t>
  </si>
  <si>
    <t xml:space="preserve">rd_staff_share_fy24</t>
  </si>
  <si>
    <t xml:space="preserve">工資成本占研發開支比重</t>
  </si>
  <si>
    <t xml:space="preserve">鈦媒體（山上）</t>
  </si>
  <si>
    <t xml:space="preserve">https://www.tmtpost.com/7815849.html</t>
  </si>
  <si>
    <r>
      <rPr>
        <sz val="10"/>
        <color rgb="FF000000"/>
        <rFont val="Noto Sans CJK SC"/>
        <family val="2"/>
      </rPr>
      <t xml:space="preserve">原文 </t>
    </r>
    <r>
      <rPr>
        <sz val="10"/>
        <color rgb="FF000000"/>
        <rFont val="Arial"/>
        <family val="0"/>
        <charset val="1"/>
      </rPr>
      <t xml:space="preserve">2024 </t>
    </r>
    <r>
      <rPr>
        <sz val="10"/>
        <color rgb="FF000000"/>
        <rFont val="Noto Sans CJK SC"/>
        <family val="2"/>
      </rPr>
      <t xml:space="preserve">年工資成本占研發 </t>
    </r>
    <r>
      <rPr>
        <sz val="10"/>
        <color rgb="FF000000"/>
        <rFont val="Arial"/>
        <family val="0"/>
        <charset val="1"/>
      </rPr>
      <t xml:space="preserve">14.8%</t>
    </r>
    <r>
      <rPr>
        <sz val="10"/>
        <color rgb="FF000000"/>
        <rFont val="Noto Sans CJK SC"/>
        <family val="2"/>
      </rPr>
      <t xml:space="preserve">（</t>
    </r>
    <r>
      <rPr>
        <sz val="10"/>
        <color rgb="FF000000"/>
        <rFont val="Arial"/>
        <family val="0"/>
        <charset val="1"/>
      </rPr>
      <t xml:space="preserve">3.24/21.95 </t>
    </r>
    <r>
      <rPr>
        <sz val="10"/>
        <color rgb="FF000000"/>
        <rFont val="Noto Sans CJK SC"/>
        <family val="2"/>
      </rPr>
      <t xml:space="preserve">吻合）</t>
    </r>
  </si>
  <si>
    <t xml:space="preserve">SRC_ZP_240</t>
  </si>
  <si>
    <t xml:space="preserve">rd_staff_pct_1h25</t>
  </si>
  <si>
    <t xml:space="preserve">研發人員占員工比重</t>
  </si>
  <si>
    <r>
      <rPr>
        <sz val="10"/>
        <color rgb="FF000000"/>
        <rFont val="Noto Sans CJK SC"/>
        <family val="2"/>
      </rPr>
      <t xml:space="preserve">原文 員工 </t>
    </r>
    <r>
      <rPr>
        <sz val="10"/>
        <color rgb="FF000000"/>
        <rFont val="Arial"/>
        <family val="0"/>
        <charset val="1"/>
      </rPr>
      <t xml:space="preserve">883 </t>
    </r>
    <r>
      <rPr>
        <sz val="10"/>
        <color rgb="FF000000"/>
        <rFont val="Noto Sans CJK SC"/>
        <family val="2"/>
      </rPr>
      <t xml:space="preserve">人、研發 </t>
    </r>
    <r>
      <rPr>
        <sz val="10"/>
        <color rgb="FF000000"/>
        <rFont val="Arial"/>
        <family val="0"/>
        <charset val="1"/>
      </rPr>
      <t xml:space="preserve">657 </t>
    </r>
    <r>
      <rPr>
        <sz val="10"/>
        <color rgb="FF000000"/>
        <rFont val="Noto Sans CJK SC"/>
        <family val="2"/>
      </rPr>
      <t xml:space="preserve">人，占 </t>
    </r>
    <r>
      <rPr>
        <sz val="10"/>
        <color rgb="FF000000"/>
        <rFont val="Arial"/>
        <family val="0"/>
        <charset val="1"/>
      </rPr>
      <t xml:space="preserve">74.4%</t>
    </r>
    <r>
      <rPr>
        <sz val="10"/>
        <color rgb="FF000000"/>
        <rFont val="Noto Sans CJK SC"/>
        <family val="2"/>
      </rPr>
      <t xml:space="preserve">（證券日報稱 </t>
    </r>
    <r>
      <rPr>
        <sz val="10"/>
        <color rgb="FF000000"/>
        <rFont val="Arial"/>
        <family val="0"/>
        <charset val="1"/>
      </rPr>
      <t xml:space="preserve">74%</t>
    </r>
    <r>
      <rPr>
        <sz val="10"/>
        <color rgb="FF000000"/>
        <rFont val="Noto Sans CJK SC"/>
        <family val="2"/>
      </rPr>
      <t xml:space="preserve">）</t>
    </r>
  </si>
  <si>
    <t xml:space="preserve">SRC_ZP_241</t>
  </si>
  <si>
    <t xml:space="preserve">px_usd_glm53_in</t>
  </si>
  <si>
    <r>
      <rPr>
        <sz val="10"/>
        <color rgb="FF000000"/>
        <rFont val="Arial"/>
        <family val="0"/>
        <charset val="1"/>
      </rPr>
      <t xml:space="preserve">GLM-5.3 </t>
    </r>
    <r>
      <rPr>
        <sz val="10"/>
        <color rgb="FF000000"/>
        <rFont val="Noto Sans CJK SC"/>
        <family val="2"/>
      </rPr>
      <t xml:space="preserve">國際站牌價（輸入）</t>
    </r>
  </si>
  <si>
    <r>
      <rPr>
        <sz val="10"/>
        <color rgb="FF000000"/>
        <rFont val="Arial"/>
        <family val="0"/>
        <charset val="1"/>
      </rPr>
      <t xml:space="preserve">USD</t>
    </r>
    <r>
      <rPr>
        <sz val="10"/>
        <color rgb="FF000000"/>
        <rFont val="Noto Sans CJK SC"/>
        <family val="2"/>
      </rPr>
      <t xml:space="preserve">／百萬 </t>
    </r>
    <r>
      <rPr>
        <sz val="10"/>
        <color rgb="FF000000"/>
        <rFont val="Arial"/>
        <family val="0"/>
        <charset val="1"/>
      </rPr>
      <t xml:space="preserve">token</t>
    </r>
  </si>
  <si>
    <r>
      <rPr>
        <sz val="10"/>
        <color rgb="FF000000"/>
        <rFont val="Arial"/>
        <family val="0"/>
        <charset val="1"/>
      </rPr>
      <t xml:space="preserve">2026-10</t>
    </r>
    <r>
      <rPr>
        <sz val="10"/>
        <color rgb="FF000000"/>
        <rFont val="Noto Sans CJK SC"/>
        <family val="2"/>
      </rPr>
      <t xml:space="preserve">（現行）</t>
    </r>
  </si>
  <si>
    <r>
      <rPr>
        <sz val="10"/>
        <color rgb="FF000000"/>
        <rFont val="Arial"/>
        <family val="0"/>
        <charset val="1"/>
      </rPr>
      <t xml:space="preserve">Z.ai </t>
    </r>
    <r>
      <rPr>
        <sz val="10"/>
        <color rgb="FF000000"/>
        <rFont val="Noto Sans CJK SC"/>
        <family val="2"/>
      </rPr>
      <t xml:space="preserve">開發者文件 </t>
    </r>
    <r>
      <rPr>
        <sz val="10"/>
        <color rgb="FF000000"/>
        <rFont val="Arial"/>
        <family val="0"/>
        <charset val="1"/>
      </rPr>
      <t xml:space="preserve">Pricing </t>
    </r>
    <r>
      <rPr>
        <sz val="10"/>
        <color rgb="FF000000"/>
        <rFont val="Noto Sans CJK SC"/>
        <family val="2"/>
      </rPr>
      <t xml:space="preserve">頁（國際站官方牌價）</t>
    </r>
  </si>
  <si>
    <t xml:space="preserve">https://docs.z.ai/guides/overview/pricing.md</t>
  </si>
  <si>
    <t xml:space="preserve">公司公開且具約束力的報價，誤報誘因低</t>
  </si>
  <si>
    <r>
      <rPr>
        <sz val="10"/>
        <color rgb="FF000000"/>
        <rFont val="Noto Sans CJK SC"/>
        <family val="2"/>
      </rPr>
      <t xml:space="preserve">官方表列 </t>
    </r>
    <r>
      <rPr>
        <sz val="10"/>
        <color rgb="FF000000"/>
        <rFont val="Arial"/>
        <family val="0"/>
        <charset val="1"/>
      </rPr>
      <t xml:space="preserve">GLM-5.3</t>
    </r>
    <r>
      <rPr>
        <sz val="10"/>
        <color rgb="FF000000"/>
        <rFont val="Noto Sans CJK SC"/>
        <family val="2"/>
      </rPr>
      <t xml:space="preserve">：</t>
    </r>
    <r>
      <rPr>
        <sz val="10"/>
        <color rgb="FF000000"/>
        <rFont val="Arial"/>
        <family val="0"/>
        <charset val="1"/>
      </rPr>
      <t xml:space="preserve">Input $1.4</t>
    </r>
    <r>
      <rPr>
        <sz val="10"/>
        <color rgb="FF000000"/>
        <rFont val="Noto Sans CJK SC"/>
        <family val="2"/>
      </rPr>
      <t xml:space="preserve">／</t>
    </r>
    <r>
      <rPr>
        <sz val="10"/>
        <color rgb="FF000000"/>
        <rFont val="Arial"/>
        <family val="0"/>
        <charset val="1"/>
      </rPr>
      <t xml:space="preserve">Cached Input $0.26</t>
    </r>
    <r>
      <rPr>
        <sz val="10"/>
        <color rgb="FF000000"/>
        <rFont val="Noto Sans CJK SC"/>
        <family val="2"/>
      </rPr>
      <t xml:space="preserve">／</t>
    </r>
    <r>
      <rPr>
        <sz val="10"/>
        <color rgb="FF000000"/>
        <rFont val="Arial"/>
        <family val="0"/>
        <charset val="1"/>
      </rPr>
      <t xml:space="preserve">Output $4.4</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</si>
  <si>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SRC_ZP_242</t>
  </si>
  <si>
    <t xml:space="preserve">px_usd_glm53_cache</t>
  </si>
  <si>
    <r>
      <rPr>
        <sz val="10"/>
        <color rgb="FF000000"/>
        <rFont val="Arial"/>
        <family val="0"/>
        <charset val="1"/>
      </rPr>
      <t xml:space="preserve">GLM-5.3 </t>
    </r>
    <r>
      <rPr>
        <sz val="10"/>
        <color rgb="FF000000"/>
        <rFont val="Noto Sans CJK SC"/>
        <family val="2"/>
      </rPr>
      <t xml:space="preserve">國際站牌價（快取命中輸入）</t>
    </r>
  </si>
  <si>
    <t xml:space="preserve">SRC_ZP_243</t>
  </si>
  <si>
    <t xml:space="preserve">px_usd_glm53_out</t>
  </si>
  <si>
    <r>
      <rPr>
        <sz val="10"/>
        <color rgb="FF000000"/>
        <rFont val="Arial"/>
        <family val="0"/>
        <charset val="1"/>
      </rPr>
      <t xml:space="preserve">GLM-5.3 </t>
    </r>
    <r>
      <rPr>
        <sz val="10"/>
        <color rgb="FF000000"/>
        <rFont val="Noto Sans CJK SC"/>
        <family val="2"/>
      </rPr>
      <t xml:space="preserve">國際站牌價（輸出）</t>
    </r>
  </si>
  <si>
    <t xml:space="preserve">SRC_ZP_244</t>
  </si>
  <si>
    <t xml:space="preserve">px_usd_glm52_in</t>
  </si>
  <si>
    <r>
      <rPr>
        <sz val="10"/>
        <color rgb="FF000000"/>
        <rFont val="Arial"/>
        <family val="0"/>
        <charset val="1"/>
      </rPr>
      <t xml:space="preserve">GLM-5.2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</si>
  <si>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GLM-5.2</t>
    </r>
    <r>
      <rPr>
        <sz val="10"/>
        <color rgb="FF000000"/>
        <rFont val="Noto Sans CJK SC"/>
        <family val="2"/>
      </rPr>
      <t xml:space="preserve">：</t>
    </r>
    <r>
      <rPr>
        <sz val="10"/>
        <color rgb="FF000000"/>
        <rFont val="Arial"/>
        <family val="0"/>
        <charset val="1"/>
      </rPr>
      <t xml:space="preserve">Input $1.4</t>
    </r>
    <r>
      <rPr>
        <sz val="10"/>
        <color rgb="FF000000"/>
        <rFont val="Noto Sans CJK SC"/>
        <family val="2"/>
      </rPr>
      <t xml:space="preserve">／</t>
    </r>
    <r>
      <rPr>
        <sz val="10"/>
        <color rgb="FF000000"/>
        <rFont val="Arial"/>
        <family val="0"/>
        <charset val="1"/>
      </rPr>
      <t xml:space="preserve">Cached Input $0.26</t>
    </r>
    <r>
      <rPr>
        <sz val="10"/>
        <color rgb="FF000000"/>
        <rFont val="Noto Sans CJK SC"/>
        <family val="2"/>
      </rPr>
      <t xml:space="preserve">／</t>
    </r>
    <r>
      <rPr>
        <sz val="10"/>
        <color rgb="FF000000"/>
        <rFont val="Arial"/>
        <family val="0"/>
        <charset val="1"/>
      </rPr>
      <t xml:space="preserve">Output $4.4</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</si>
  <si>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SRC_ZP_245</t>
  </si>
  <si>
    <t xml:space="preserve">px_usd_glm52_cache</t>
  </si>
  <si>
    <r>
      <rPr>
        <sz val="10"/>
        <color rgb="FF000000"/>
        <rFont val="Arial"/>
        <family val="0"/>
        <charset val="1"/>
      </rPr>
      <t xml:space="preserve">GLM-5.2 </t>
    </r>
    <r>
      <rPr>
        <sz val="10"/>
        <color rgb="FF000000"/>
        <rFont val="Noto Sans CJK SC"/>
        <family val="2"/>
      </rPr>
      <t xml:space="preserve">國際站牌價（快取命中輸入）</t>
    </r>
  </si>
  <si>
    <t xml:space="preserve">SRC_ZP_246</t>
  </si>
  <si>
    <t xml:space="preserve">px_usd_glm52_out</t>
  </si>
  <si>
    <r>
      <rPr>
        <sz val="10"/>
        <color rgb="FF000000"/>
        <rFont val="Arial"/>
        <family val="0"/>
        <charset val="1"/>
      </rPr>
      <t xml:space="preserve">GLM-5.2 </t>
    </r>
    <r>
      <rPr>
        <sz val="10"/>
        <color rgb="FF000000"/>
        <rFont val="Noto Sans CJK SC"/>
        <family val="2"/>
      </rPr>
      <t xml:space="preserve">國際站牌價（輸出）</t>
    </r>
  </si>
  <si>
    <t xml:space="preserve">SRC_ZP_247</t>
  </si>
  <si>
    <t xml:space="preserve">px_usd_glm51_in</t>
  </si>
  <si>
    <r>
      <rPr>
        <sz val="10"/>
        <color rgb="FF000000"/>
        <rFont val="Arial"/>
        <family val="0"/>
        <charset val="1"/>
      </rPr>
      <t xml:space="preserve">GLM-5.1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</si>
  <si>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GLM-5.1</t>
    </r>
    <r>
      <rPr>
        <sz val="10"/>
        <color rgb="FF000000"/>
        <rFont val="Noto Sans CJK SC"/>
        <family val="2"/>
      </rPr>
      <t xml:space="preserve">：</t>
    </r>
    <r>
      <rPr>
        <sz val="10"/>
        <color rgb="FF000000"/>
        <rFont val="Arial"/>
        <family val="0"/>
        <charset val="1"/>
      </rPr>
      <t xml:space="preserve">Input $1.4</t>
    </r>
    <r>
      <rPr>
        <sz val="10"/>
        <color rgb="FF000000"/>
        <rFont val="Noto Sans CJK SC"/>
        <family val="2"/>
      </rPr>
      <t xml:space="preserve">／</t>
    </r>
    <r>
      <rPr>
        <sz val="10"/>
        <color rgb="FF000000"/>
        <rFont val="Arial"/>
        <family val="0"/>
        <charset val="1"/>
      </rPr>
      <t xml:space="preserve">Cached Input $0.26</t>
    </r>
    <r>
      <rPr>
        <sz val="10"/>
        <color rgb="FF000000"/>
        <rFont val="Noto Sans CJK SC"/>
        <family val="2"/>
      </rPr>
      <t xml:space="preserve">／</t>
    </r>
    <r>
      <rPr>
        <sz val="10"/>
        <color rgb="FF000000"/>
        <rFont val="Arial"/>
        <family val="0"/>
        <charset val="1"/>
      </rPr>
      <t xml:space="preserve">Output $4.4</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</si>
  <si>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SRC_ZP_248</t>
  </si>
  <si>
    <t xml:space="preserve">px_usd_glm51_cache</t>
  </si>
  <si>
    <r>
      <rPr>
        <sz val="10"/>
        <color rgb="FF000000"/>
        <rFont val="Arial"/>
        <family val="0"/>
        <charset val="1"/>
      </rPr>
      <t xml:space="preserve">GLM-5.1 </t>
    </r>
    <r>
      <rPr>
        <sz val="10"/>
        <color rgb="FF000000"/>
        <rFont val="Noto Sans CJK SC"/>
        <family val="2"/>
      </rPr>
      <t xml:space="preserve">國際站牌價（快取命中輸入）</t>
    </r>
  </si>
  <si>
    <t xml:space="preserve">SRC_ZP_249</t>
  </si>
  <si>
    <t xml:space="preserve">px_usd_glm51_out</t>
  </si>
  <si>
    <r>
      <rPr>
        <sz val="10"/>
        <color rgb="FF000000"/>
        <rFont val="Arial"/>
        <family val="0"/>
        <charset val="1"/>
      </rPr>
      <t xml:space="preserve">GLM-5.1 </t>
    </r>
    <r>
      <rPr>
        <sz val="10"/>
        <color rgb="FF000000"/>
        <rFont val="Noto Sans CJK SC"/>
        <family val="2"/>
      </rPr>
      <t xml:space="preserve">國際站牌價（輸出）</t>
    </r>
  </si>
  <si>
    <t xml:space="preserve">SRC_ZP_250</t>
  </si>
  <si>
    <t xml:space="preserve">px_usd_glm5_in</t>
  </si>
  <si>
    <r>
      <rPr>
        <sz val="10"/>
        <color rgb="FF000000"/>
        <rFont val="Arial"/>
        <family val="0"/>
        <charset val="1"/>
      </rPr>
      <t xml:space="preserve">GLM-5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</si>
  <si>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GLM-5</t>
    </r>
    <r>
      <rPr>
        <sz val="10"/>
        <color rgb="FF000000"/>
        <rFont val="Noto Sans CJK SC"/>
        <family val="2"/>
      </rPr>
      <t xml:space="preserve">：</t>
    </r>
    <r>
      <rPr>
        <sz val="10"/>
        <color rgb="FF000000"/>
        <rFont val="Arial"/>
        <family val="0"/>
        <charset val="1"/>
      </rPr>
      <t xml:space="preserve">Input $1.0</t>
    </r>
    <r>
      <rPr>
        <sz val="10"/>
        <color rgb="FF000000"/>
        <rFont val="Noto Sans CJK SC"/>
        <family val="2"/>
      </rPr>
      <t xml:space="preserve">／</t>
    </r>
    <r>
      <rPr>
        <sz val="10"/>
        <color rgb="FF000000"/>
        <rFont val="Arial"/>
        <family val="0"/>
        <charset val="1"/>
      </rPr>
      <t xml:space="preserve">Cached Input $0.2</t>
    </r>
    <r>
      <rPr>
        <sz val="10"/>
        <color rgb="FF000000"/>
        <rFont val="Noto Sans CJK SC"/>
        <family val="2"/>
      </rPr>
      <t xml:space="preserve">／</t>
    </r>
    <r>
      <rPr>
        <sz val="10"/>
        <color rgb="FF000000"/>
        <rFont val="Arial"/>
        <family val="0"/>
        <charset val="1"/>
      </rPr>
      <t xml:space="preserve">Output $3.2</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</si>
  <si>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SRC_ZP_251</t>
  </si>
  <si>
    <t xml:space="preserve">px_usd_glm5_cache</t>
  </si>
  <si>
    <r>
      <rPr>
        <sz val="10"/>
        <color rgb="FF000000"/>
        <rFont val="Arial"/>
        <family val="0"/>
        <charset val="1"/>
      </rPr>
      <t xml:space="preserve">GLM-5 </t>
    </r>
    <r>
      <rPr>
        <sz val="10"/>
        <color rgb="FF000000"/>
        <rFont val="Noto Sans CJK SC"/>
        <family val="2"/>
      </rPr>
      <t xml:space="preserve">國際站牌價（快取命中輸入）</t>
    </r>
  </si>
  <si>
    <t xml:space="preserve">SRC_ZP_252</t>
  </si>
  <si>
    <t xml:space="preserve">px_usd_glm5_out</t>
  </si>
  <si>
    <r>
      <rPr>
        <sz val="10"/>
        <color rgb="FF000000"/>
        <rFont val="Arial"/>
        <family val="0"/>
        <charset val="1"/>
      </rPr>
      <t xml:space="preserve">GLM-5 </t>
    </r>
    <r>
      <rPr>
        <sz val="10"/>
        <color rgb="FF000000"/>
        <rFont val="Noto Sans CJK SC"/>
        <family val="2"/>
      </rPr>
      <t xml:space="preserve">國際站牌價（輸出）</t>
    </r>
  </si>
  <si>
    <t xml:space="preserve">SRC_ZP_253</t>
  </si>
  <si>
    <t xml:space="preserve">px_usd_glm47_in</t>
  </si>
  <si>
    <r>
      <rPr>
        <sz val="10"/>
        <color rgb="FF000000"/>
        <rFont val="Arial"/>
        <family val="0"/>
        <charset val="1"/>
      </rPr>
      <t xml:space="preserve">GLM-4.7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</si>
  <si>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GLM-4.7</t>
    </r>
    <r>
      <rPr>
        <sz val="10"/>
        <color rgb="FF000000"/>
        <rFont val="Noto Sans CJK SC"/>
        <family val="2"/>
      </rPr>
      <t xml:space="preserve">：</t>
    </r>
    <r>
      <rPr>
        <sz val="10"/>
        <color rgb="FF000000"/>
        <rFont val="Arial"/>
        <family val="0"/>
        <charset val="1"/>
      </rPr>
      <t xml:space="preserve">Input $0.6</t>
    </r>
    <r>
      <rPr>
        <sz val="10"/>
        <color rgb="FF000000"/>
        <rFont val="Noto Sans CJK SC"/>
        <family val="2"/>
      </rPr>
      <t xml:space="preserve">／</t>
    </r>
    <r>
      <rPr>
        <sz val="10"/>
        <color rgb="FF000000"/>
        <rFont val="Arial"/>
        <family val="0"/>
        <charset val="1"/>
      </rPr>
      <t xml:space="preserve">Cached Input $0.11</t>
    </r>
    <r>
      <rPr>
        <sz val="10"/>
        <color rgb="FF000000"/>
        <rFont val="Noto Sans CJK SC"/>
        <family val="2"/>
      </rPr>
      <t xml:space="preserve">／</t>
    </r>
    <r>
      <rPr>
        <sz val="10"/>
        <color rgb="FF000000"/>
        <rFont val="Arial"/>
        <family val="0"/>
        <charset val="1"/>
      </rPr>
      <t xml:space="preserve">Output $2.2</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</si>
  <si>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SRC_ZP_254</t>
  </si>
  <si>
    <t xml:space="preserve">px_usd_glm47_cache</t>
  </si>
  <si>
    <r>
      <rPr>
        <sz val="10"/>
        <color rgb="FF000000"/>
        <rFont val="Arial"/>
        <family val="0"/>
        <charset val="1"/>
      </rPr>
      <t xml:space="preserve">GLM-4.7 </t>
    </r>
    <r>
      <rPr>
        <sz val="10"/>
        <color rgb="FF000000"/>
        <rFont val="Noto Sans CJK SC"/>
        <family val="2"/>
      </rPr>
      <t xml:space="preserve">國際站牌價（快取命中輸入）</t>
    </r>
  </si>
  <si>
    <t xml:space="preserve">SRC_ZP_255</t>
  </si>
  <si>
    <t xml:space="preserve">px_usd_glm47_out</t>
  </si>
  <si>
    <r>
      <rPr>
        <sz val="10"/>
        <color rgb="FF000000"/>
        <rFont val="Arial"/>
        <family val="0"/>
        <charset val="1"/>
      </rPr>
      <t xml:space="preserve">GLM-4.7 </t>
    </r>
    <r>
      <rPr>
        <sz val="10"/>
        <color rgb="FF000000"/>
        <rFont val="Noto Sans CJK SC"/>
        <family val="2"/>
      </rPr>
      <t xml:space="preserve">國際站牌價（輸出）</t>
    </r>
  </si>
  <si>
    <t xml:space="preserve">SRC_ZP_256</t>
  </si>
  <si>
    <t xml:space="preserve">px_usd_glm46_in</t>
  </si>
  <si>
    <r>
      <rPr>
        <sz val="10"/>
        <color rgb="FF000000"/>
        <rFont val="Arial"/>
        <family val="0"/>
        <charset val="1"/>
      </rPr>
      <t xml:space="preserve">GLM-4.6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</si>
  <si>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GLM-4.6</t>
    </r>
    <r>
      <rPr>
        <sz val="10"/>
        <color rgb="FF000000"/>
        <rFont val="Noto Sans CJK SC"/>
        <family val="2"/>
      </rPr>
      <t xml:space="preserve">：</t>
    </r>
    <r>
      <rPr>
        <sz val="10"/>
        <color rgb="FF000000"/>
        <rFont val="Arial"/>
        <family val="0"/>
        <charset val="1"/>
      </rPr>
      <t xml:space="preserve">Input $0.6</t>
    </r>
    <r>
      <rPr>
        <sz val="10"/>
        <color rgb="FF000000"/>
        <rFont val="Noto Sans CJK SC"/>
        <family val="2"/>
      </rPr>
      <t xml:space="preserve">／</t>
    </r>
    <r>
      <rPr>
        <sz val="10"/>
        <color rgb="FF000000"/>
        <rFont val="Arial"/>
        <family val="0"/>
        <charset val="1"/>
      </rPr>
      <t xml:space="preserve">Cached Input $0.11</t>
    </r>
    <r>
      <rPr>
        <sz val="10"/>
        <color rgb="FF000000"/>
        <rFont val="Noto Sans CJK SC"/>
        <family val="2"/>
      </rPr>
      <t xml:space="preserve">／</t>
    </r>
    <r>
      <rPr>
        <sz val="10"/>
        <color rgb="FF000000"/>
        <rFont val="Arial"/>
        <family val="0"/>
        <charset val="1"/>
      </rPr>
      <t xml:space="preserve">Output $2.2</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</si>
  <si>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SRC_ZP_257</t>
  </si>
  <si>
    <t xml:space="preserve">px_usd_glm46_cache</t>
  </si>
  <si>
    <r>
      <rPr>
        <sz val="10"/>
        <color rgb="FF000000"/>
        <rFont val="Arial"/>
        <family val="0"/>
        <charset val="1"/>
      </rPr>
      <t xml:space="preserve">GLM-4.6 </t>
    </r>
    <r>
      <rPr>
        <sz val="10"/>
        <color rgb="FF000000"/>
        <rFont val="Noto Sans CJK SC"/>
        <family val="2"/>
      </rPr>
      <t xml:space="preserve">國際站牌價（快取命中輸入）</t>
    </r>
  </si>
  <si>
    <t xml:space="preserve">SRC_ZP_258</t>
  </si>
  <si>
    <t xml:space="preserve">px_usd_glm46_out</t>
  </si>
  <si>
    <r>
      <rPr>
        <sz val="10"/>
        <color rgb="FF000000"/>
        <rFont val="Arial"/>
        <family val="0"/>
        <charset val="1"/>
      </rPr>
      <t xml:space="preserve">GLM-4.6 </t>
    </r>
    <r>
      <rPr>
        <sz val="10"/>
        <color rgb="FF000000"/>
        <rFont val="Noto Sans CJK SC"/>
        <family val="2"/>
      </rPr>
      <t xml:space="preserve">國際站牌價（輸出）</t>
    </r>
  </si>
  <si>
    <t xml:space="preserve">SRC_ZP_259</t>
  </si>
  <si>
    <t xml:space="preserve">px_usd_glm45_in</t>
  </si>
  <si>
    <r>
      <rPr>
        <sz val="10"/>
        <color rgb="FF000000"/>
        <rFont val="Arial"/>
        <family val="0"/>
        <charset val="1"/>
      </rPr>
      <t xml:space="preserve">GLM-4.5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</si>
  <si>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GLM-4.5</t>
    </r>
    <r>
      <rPr>
        <sz val="10"/>
        <color rgb="FF000000"/>
        <rFont val="Noto Sans CJK SC"/>
        <family val="2"/>
      </rPr>
      <t xml:space="preserve">：</t>
    </r>
    <r>
      <rPr>
        <sz val="10"/>
        <color rgb="FF000000"/>
        <rFont val="Arial"/>
        <family val="0"/>
        <charset val="1"/>
      </rPr>
      <t xml:space="preserve">Input $0.6</t>
    </r>
    <r>
      <rPr>
        <sz val="10"/>
        <color rgb="FF000000"/>
        <rFont val="Noto Sans CJK SC"/>
        <family val="2"/>
      </rPr>
      <t xml:space="preserve">／</t>
    </r>
    <r>
      <rPr>
        <sz val="10"/>
        <color rgb="FF000000"/>
        <rFont val="Arial"/>
        <family val="0"/>
        <charset val="1"/>
      </rPr>
      <t xml:space="preserve">Cached Input $0.11</t>
    </r>
    <r>
      <rPr>
        <sz val="10"/>
        <color rgb="FF000000"/>
        <rFont val="Noto Sans CJK SC"/>
        <family val="2"/>
      </rPr>
      <t xml:space="preserve">／</t>
    </r>
    <r>
      <rPr>
        <sz val="10"/>
        <color rgb="FF000000"/>
        <rFont val="Arial"/>
        <family val="0"/>
        <charset val="1"/>
      </rPr>
      <t xml:space="preserve">Output $2.2</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</si>
  <si>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SRC_ZP_260</t>
  </si>
  <si>
    <t xml:space="preserve">px_usd_glm45_cache</t>
  </si>
  <si>
    <r>
      <rPr>
        <sz val="10"/>
        <color rgb="FF000000"/>
        <rFont val="Arial"/>
        <family val="0"/>
        <charset val="1"/>
      </rPr>
      <t xml:space="preserve">GLM-4.5 </t>
    </r>
    <r>
      <rPr>
        <sz val="10"/>
        <color rgb="FF000000"/>
        <rFont val="Noto Sans CJK SC"/>
        <family val="2"/>
      </rPr>
      <t xml:space="preserve">國際站牌價（快取命中輸入）</t>
    </r>
  </si>
  <si>
    <t xml:space="preserve">SRC_ZP_261</t>
  </si>
  <si>
    <t xml:space="preserve">px_usd_glm45_out</t>
  </si>
  <si>
    <r>
      <rPr>
        <sz val="10"/>
        <color rgb="FF000000"/>
        <rFont val="Arial"/>
        <family val="0"/>
        <charset val="1"/>
      </rPr>
      <t xml:space="preserve">GLM-4.5 </t>
    </r>
    <r>
      <rPr>
        <sz val="10"/>
        <color rgb="FF000000"/>
        <rFont val="Noto Sans CJK SC"/>
        <family val="2"/>
      </rPr>
      <t xml:space="preserve">國際站牌價（輸出）</t>
    </r>
  </si>
  <si>
    <t xml:space="preserve">SRC_ZP_262</t>
  </si>
  <si>
    <t xml:space="preserve">px_usd_glm45x_in</t>
  </si>
  <si>
    <r>
      <rPr>
        <sz val="10"/>
        <color rgb="FF000000"/>
        <rFont val="Arial"/>
        <family val="0"/>
        <charset val="1"/>
      </rPr>
      <t xml:space="preserve">GLM-4.5-X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</si>
  <si>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GLM-4.5-X</t>
    </r>
    <r>
      <rPr>
        <sz val="10"/>
        <color rgb="FF000000"/>
        <rFont val="Noto Sans CJK SC"/>
        <family val="2"/>
      </rPr>
      <t xml:space="preserve">：</t>
    </r>
    <r>
      <rPr>
        <sz val="10"/>
        <color rgb="FF000000"/>
        <rFont val="Arial"/>
        <family val="0"/>
        <charset val="1"/>
      </rPr>
      <t xml:space="preserve">Input $2.2</t>
    </r>
    <r>
      <rPr>
        <sz val="10"/>
        <color rgb="FF000000"/>
        <rFont val="Noto Sans CJK SC"/>
        <family val="2"/>
      </rPr>
      <t xml:space="preserve">／</t>
    </r>
    <r>
      <rPr>
        <sz val="10"/>
        <color rgb="FF000000"/>
        <rFont val="Arial"/>
        <family val="0"/>
        <charset val="1"/>
      </rPr>
      <t xml:space="preserve">Cached Input $0.45</t>
    </r>
    <r>
      <rPr>
        <sz val="10"/>
        <color rgb="FF000000"/>
        <rFont val="Noto Sans CJK SC"/>
        <family val="2"/>
      </rPr>
      <t xml:space="preserve">／</t>
    </r>
    <r>
      <rPr>
        <sz val="10"/>
        <color rgb="FF000000"/>
        <rFont val="Arial"/>
        <family val="0"/>
        <charset val="1"/>
      </rPr>
      <t xml:space="preserve">Output $8.9</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</si>
  <si>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SRC_ZP_263</t>
  </si>
  <si>
    <t xml:space="preserve">px_usd_glm45x_cache</t>
  </si>
  <si>
    <r>
      <rPr>
        <sz val="10"/>
        <color rgb="FF000000"/>
        <rFont val="Arial"/>
        <family val="0"/>
        <charset val="1"/>
      </rPr>
      <t xml:space="preserve">GLM-4.5-X </t>
    </r>
    <r>
      <rPr>
        <sz val="10"/>
        <color rgb="FF000000"/>
        <rFont val="Noto Sans CJK SC"/>
        <family val="2"/>
      </rPr>
      <t xml:space="preserve">國際站牌價（快取命中輸入）</t>
    </r>
  </si>
  <si>
    <t xml:space="preserve">SRC_ZP_264</t>
  </si>
  <si>
    <t xml:space="preserve">px_usd_glm45x_out</t>
  </si>
  <si>
    <r>
      <rPr>
        <sz val="10"/>
        <color rgb="FF000000"/>
        <rFont val="Arial"/>
        <family val="0"/>
        <charset val="1"/>
      </rPr>
      <t xml:space="preserve">GLM-4.5-X </t>
    </r>
    <r>
      <rPr>
        <sz val="10"/>
        <color rgb="FF000000"/>
        <rFont val="Noto Sans CJK SC"/>
        <family val="2"/>
      </rPr>
      <t xml:space="preserve">國際站牌價（輸出）</t>
    </r>
  </si>
  <si>
    <t xml:space="preserve">SRC_ZP_265</t>
  </si>
  <si>
    <t xml:space="preserve">px_usd_glm45air_in</t>
  </si>
  <si>
    <r>
      <rPr>
        <sz val="10"/>
        <color rgb="FF000000"/>
        <rFont val="Arial"/>
        <family val="0"/>
        <charset val="1"/>
      </rPr>
      <t xml:space="preserve">GLM-4.5-Air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</si>
  <si>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GLM-4.5-Air</t>
    </r>
    <r>
      <rPr>
        <sz val="10"/>
        <color rgb="FF000000"/>
        <rFont val="Noto Sans CJK SC"/>
        <family val="2"/>
      </rPr>
      <t xml:space="preserve">：</t>
    </r>
    <r>
      <rPr>
        <sz val="10"/>
        <color rgb="FF000000"/>
        <rFont val="Arial"/>
        <family val="0"/>
        <charset val="1"/>
      </rPr>
      <t xml:space="preserve">Input $0.2</t>
    </r>
    <r>
      <rPr>
        <sz val="10"/>
        <color rgb="FF000000"/>
        <rFont val="Noto Sans CJK SC"/>
        <family val="2"/>
      </rPr>
      <t xml:space="preserve">／</t>
    </r>
    <r>
      <rPr>
        <sz val="10"/>
        <color rgb="FF000000"/>
        <rFont val="Arial"/>
        <family val="0"/>
        <charset val="1"/>
      </rPr>
      <t xml:space="preserve">Cached Input $0.03</t>
    </r>
    <r>
      <rPr>
        <sz val="10"/>
        <color rgb="FF000000"/>
        <rFont val="Noto Sans CJK SC"/>
        <family val="2"/>
      </rPr>
      <t xml:space="preserve">／</t>
    </r>
    <r>
      <rPr>
        <sz val="10"/>
        <color rgb="FF000000"/>
        <rFont val="Arial"/>
        <family val="0"/>
        <charset val="1"/>
      </rPr>
      <t xml:space="preserve">Output $1.1</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</si>
  <si>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SRC_ZP_266</t>
  </si>
  <si>
    <t xml:space="preserve">px_usd_glm45air_cache</t>
  </si>
  <si>
    <r>
      <rPr>
        <sz val="10"/>
        <color rgb="FF000000"/>
        <rFont val="Arial"/>
        <family val="0"/>
        <charset val="1"/>
      </rPr>
      <t xml:space="preserve">GLM-4.5-Air </t>
    </r>
    <r>
      <rPr>
        <sz val="10"/>
        <color rgb="FF000000"/>
        <rFont val="Noto Sans CJK SC"/>
        <family val="2"/>
      </rPr>
      <t xml:space="preserve">國際站牌價（快取命中輸入）</t>
    </r>
  </si>
  <si>
    <t xml:space="preserve">SRC_ZP_267</t>
  </si>
  <si>
    <t xml:space="preserve">px_usd_glm45air_out</t>
  </si>
  <si>
    <r>
      <rPr>
        <sz val="10"/>
        <color rgb="FF000000"/>
        <rFont val="Arial"/>
        <family val="0"/>
        <charset val="1"/>
      </rPr>
      <t xml:space="preserve">GLM-4.5-Air </t>
    </r>
    <r>
      <rPr>
        <sz val="10"/>
        <color rgb="FF000000"/>
        <rFont val="Noto Sans CJK SC"/>
        <family val="2"/>
      </rPr>
      <t xml:space="preserve">國際站牌價（輸出）</t>
    </r>
  </si>
  <si>
    <t xml:space="preserve">SRC_ZP_268</t>
  </si>
  <si>
    <t xml:space="preserve">px_usd_glm45airx_in</t>
  </si>
  <si>
    <r>
      <rPr>
        <sz val="10"/>
        <color rgb="FF000000"/>
        <rFont val="Arial"/>
        <family val="0"/>
        <charset val="1"/>
      </rPr>
      <t xml:space="preserve">GLM-4.5-AirX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</si>
  <si>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GLM-4.5-AirX</t>
    </r>
    <r>
      <rPr>
        <sz val="10"/>
        <color rgb="FF000000"/>
        <rFont val="Noto Sans CJK SC"/>
        <family val="2"/>
      </rPr>
      <t xml:space="preserve">：</t>
    </r>
    <r>
      <rPr>
        <sz val="10"/>
        <color rgb="FF000000"/>
        <rFont val="Arial"/>
        <family val="0"/>
        <charset val="1"/>
      </rPr>
      <t xml:space="preserve">Input $1.1</t>
    </r>
    <r>
      <rPr>
        <sz val="10"/>
        <color rgb="FF000000"/>
        <rFont val="Noto Sans CJK SC"/>
        <family val="2"/>
      </rPr>
      <t xml:space="preserve">／</t>
    </r>
    <r>
      <rPr>
        <sz val="10"/>
        <color rgb="FF000000"/>
        <rFont val="Arial"/>
        <family val="0"/>
        <charset val="1"/>
      </rPr>
      <t xml:space="preserve">Cached Input $0.22</t>
    </r>
    <r>
      <rPr>
        <sz val="10"/>
        <color rgb="FF000000"/>
        <rFont val="Noto Sans CJK SC"/>
        <family val="2"/>
      </rPr>
      <t xml:space="preserve">／</t>
    </r>
    <r>
      <rPr>
        <sz val="10"/>
        <color rgb="FF000000"/>
        <rFont val="Arial"/>
        <family val="0"/>
        <charset val="1"/>
      </rPr>
      <t xml:space="preserve">Output $4.5</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</si>
  <si>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SRC_ZP_269</t>
  </si>
  <si>
    <t xml:space="preserve">px_usd_glm45airx_cache</t>
  </si>
  <si>
    <r>
      <rPr>
        <sz val="10"/>
        <color rgb="FF000000"/>
        <rFont val="Arial"/>
        <family val="0"/>
        <charset val="1"/>
      </rPr>
      <t xml:space="preserve">GLM-4.5-AirX </t>
    </r>
    <r>
      <rPr>
        <sz val="10"/>
        <color rgb="FF000000"/>
        <rFont val="Noto Sans CJK SC"/>
        <family val="2"/>
      </rPr>
      <t xml:space="preserve">國際站牌價（快取命中輸入）</t>
    </r>
  </si>
  <si>
    <t xml:space="preserve">SRC_ZP_270</t>
  </si>
  <si>
    <t xml:space="preserve">px_usd_glm45airx_out</t>
  </si>
  <si>
    <r>
      <rPr>
        <sz val="10"/>
        <color rgb="FF000000"/>
        <rFont val="Arial"/>
        <family val="0"/>
        <charset val="1"/>
      </rPr>
      <t xml:space="preserve">GLM-4.5-AirX </t>
    </r>
    <r>
      <rPr>
        <sz val="10"/>
        <color rgb="FF000000"/>
        <rFont val="Noto Sans CJK SC"/>
        <family val="2"/>
      </rPr>
      <t xml:space="preserve">國際站牌價（輸出）</t>
    </r>
  </si>
  <si>
    <t xml:space="preserve">SRC_ZP_271</t>
  </si>
  <si>
    <t xml:space="preserve">px_usd_glm53flash_in</t>
  </si>
  <si>
    <r>
      <rPr>
        <sz val="10"/>
        <color rgb="FF000000"/>
        <rFont val="Arial"/>
        <family val="0"/>
        <charset val="1"/>
      </rPr>
      <t xml:space="preserve">GLM-5.3-Flash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</si>
  <si>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GLM-5.3-Flash</t>
    </r>
    <r>
      <rPr>
        <sz val="10"/>
        <color rgb="FF000000"/>
        <rFont val="Noto Sans CJK SC"/>
        <family val="2"/>
      </rPr>
      <t xml:space="preserve">：</t>
    </r>
    <r>
      <rPr>
        <sz val="10"/>
        <color rgb="FF000000"/>
        <rFont val="Arial"/>
        <family val="0"/>
        <charset val="1"/>
      </rPr>
      <t xml:space="preserve">Input $0.15</t>
    </r>
    <r>
      <rPr>
        <sz val="10"/>
        <color rgb="FF000000"/>
        <rFont val="Noto Sans CJK SC"/>
        <family val="2"/>
      </rPr>
      <t xml:space="preserve">／</t>
    </r>
    <r>
      <rPr>
        <sz val="10"/>
        <color rgb="FF000000"/>
        <rFont val="Arial"/>
        <family val="0"/>
        <charset val="1"/>
      </rPr>
      <t xml:space="preserve">Cached Input $0.03</t>
    </r>
    <r>
      <rPr>
        <sz val="10"/>
        <color rgb="FF000000"/>
        <rFont val="Noto Sans CJK SC"/>
        <family val="2"/>
      </rPr>
      <t xml:space="preserve">／</t>
    </r>
    <r>
      <rPr>
        <sz val="10"/>
        <color rgb="FF000000"/>
        <rFont val="Arial"/>
        <family val="0"/>
        <charset val="1"/>
      </rPr>
      <t xml:space="preserve">Output $0.5</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</si>
  <si>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SRC_ZP_272</t>
  </si>
  <si>
    <t xml:space="preserve">px_usd_glm53flash_cache</t>
  </si>
  <si>
    <r>
      <rPr>
        <sz val="10"/>
        <color rgb="FF000000"/>
        <rFont val="Arial"/>
        <family val="0"/>
        <charset val="1"/>
      </rPr>
      <t xml:space="preserve">GLM-5.3-Flash </t>
    </r>
    <r>
      <rPr>
        <sz val="10"/>
        <color rgb="FF000000"/>
        <rFont val="Noto Sans CJK SC"/>
        <family val="2"/>
      </rPr>
      <t xml:space="preserve">國際站牌價（快取命中輸入）</t>
    </r>
  </si>
  <si>
    <t xml:space="preserve">SRC_ZP_273</t>
  </si>
  <si>
    <t xml:space="preserve">px_usd_glm53flash_out</t>
  </si>
  <si>
    <r>
      <rPr>
        <sz val="10"/>
        <color rgb="FF000000"/>
        <rFont val="Arial"/>
        <family val="0"/>
        <charset val="1"/>
      </rPr>
      <t xml:space="preserve">GLM-5.3-Flash </t>
    </r>
    <r>
      <rPr>
        <sz val="10"/>
        <color rgb="FF000000"/>
        <rFont val="Noto Sans CJK SC"/>
        <family val="2"/>
      </rPr>
      <t xml:space="preserve">國際站牌價（輸出）</t>
    </r>
  </si>
  <si>
    <t xml:space="preserve">SRC_ZP_274</t>
  </si>
  <si>
    <t xml:space="preserve">px_usd_glm53flashx_in</t>
  </si>
  <si>
    <r>
      <rPr>
        <sz val="10"/>
        <color rgb="FF000000"/>
        <rFont val="Arial"/>
        <family val="0"/>
        <charset val="1"/>
      </rPr>
      <t xml:space="preserve">GLM-5.3-FlashX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</si>
  <si>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GLM-5.3-FlashX</t>
    </r>
    <r>
      <rPr>
        <sz val="10"/>
        <color rgb="FF000000"/>
        <rFont val="Noto Sans CJK SC"/>
        <family val="2"/>
      </rPr>
      <t xml:space="preserve">：</t>
    </r>
    <r>
      <rPr>
        <sz val="10"/>
        <color rgb="FF000000"/>
        <rFont val="Arial"/>
        <family val="0"/>
        <charset val="1"/>
      </rPr>
      <t xml:space="preserve">Input $0.37</t>
    </r>
    <r>
      <rPr>
        <sz val="10"/>
        <color rgb="FF000000"/>
        <rFont val="Noto Sans CJK SC"/>
        <family val="2"/>
      </rPr>
      <t xml:space="preserve">／</t>
    </r>
    <r>
      <rPr>
        <sz val="10"/>
        <color rgb="FF000000"/>
        <rFont val="Arial"/>
        <family val="0"/>
        <charset val="1"/>
      </rPr>
      <t xml:space="preserve">Cached Input $0.075</t>
    </r>
    <r>
      <rPr>
        <sz val="10"/>
        <color rgb="FF000000"/>
        <rFont val="Noto Sans CJK SC"/>
        <family val="2"/>
      </rPr>
      <t xml:space="preserve">／</t>
    </r>
    <r>
      <rPr>
        <sz val="10"/>
        <color rgb="FF000000"/>
        <rFont val="Arial"/>
        <family val="0"/>
        <charset val="1"/>
      </rPr>
      <t xml:space="preserve">Output $1.25</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</si>
  <si>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SRC_ZP_275</t>
  </si>
  <si>
    <t xml:space="preserve">px_usd_glm53flashx_cache</t>
  </si>
  <si>
    <r>
      <rPr>
        <sz val="10"/>
        <color rgb="FF000000"/>
        <rFont val="Arial"/>
        <family val="0"/>
        <charset val="1"/>
      </rPr>
      <t xml:space="preserve">GLM-5.3-FlashX </t>
    </r>
    <r>
      <rPr>
        <sz val="10"/>
        <color rgb="FF000000"/>
        <rFont val="Noto Sans CJK SC"/>
        <family val="2"/>
      </rPr>
      <t xml:space="preserve">國際站牌價（快取命中輸入）</t>
    </r>
  </si>
  <si>
    <t xml:space="preserve">SRC_ZP_276</t>
  </si>
  <si>
    <t xml:space="preserve">px_usd_glm53flashx_out</t>
  </si>
  <si>
    <r>
      <rPr>
        <sz val="10"/>
        <color rgb="FF000000"/>
        <rFont val="Arial"/>
        <family val="0"/>
        <charset val="1"/>
      </rPr>
      <t xml:space="preserve">GLM-5.3-FlashX </t>
    </r>
    <r>
      <rPr>
        <sz val="10"/>
        <color rgb="FF000000"/>
        <rFont val="Noto Sans CJK SC"/>
        <family val="2"/>
      </rPr>
      <t xml:space="preserve">國際站牌價（輸出）</t>
    </r>
  </si>
  <si>
    <t xml:space="preserve">SRC_ZP_277</t>
  </si>
  <si>
    <t xml:space="preserve">px_usd_glm47flashx_in</t>
  </si>
  <si>
    <r>
      <rPr>
        <sz val="10"/>
        <color rgb="FF000000"/>
        <rFont val="Arial"/>
        <family val="0"/>
        <charset val="1"/>
      </rPr>
      <t xml:space="preserve">GLM-4.7-FlashX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</si>
  <si>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GLM-4.7-FlashX</t>
    </r>
    <r>
      <rPr>
        <sz val="10"/>
        <color rgb="FF000000"/>
        <rFont val="Noto Sans CJK SC"/>
        <family val="2"/>
      </rPr>
      <t xml:space="preserve">：</t>
    </r>
    <r>
      <rPr>
        <sz val="10"/>
        <color rgb="FF000000"/>
        <rFont val="Arial"/>
        <family val="0"/>
        <charset val="1"/>
      </rPr>
      <t xml:space="preserve">Input $0.07</t>
    </r>
    <r>
      <rPr>
        <sz val="10"/>
        <color rgb="FF000000"/>
        <rFont val="Noto Sans CJK SC"/>
        <family val="2"/>
      </rPr>
      <t xml:space="preserve">／</t>
    </r>
    <r>
      <rPr>
        <sz val="10"/>
        <color rgb="FF000000"/>
        <rFont val="Arial"/>
        <family val="0"/>
        <charset val="1"/>
      </rPr>
      <t xml:space="preserve">Cached Input $0.01</t>
    </r>
    <r>
      <rPr>
        <sz val="10"/>
        <color rgb="FF000000"/>
        <rFont val="Noto Sans CJK SC"/>
        <family val="2"/>
      </rPr>
      <t xml:space="preserve">／</t>
    </r>
    <r>
      <rPr>
        <sz val="10"/>
        <color rgb="FF000000"/>
        <rFont val="Arial"/>
        <family val="0"/>
        <charset val="1"/>
      </rPr>
      <t xml:space="preserve">Output $0.4</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</si>
  <si>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SRC_ZP_278</t>
  </si>
  <si>
    <t xml:space="preserve">px_usd_glm47flashx_cache</t>
  </si>
  <si>
    <r>
      <rPr>
        <sz val="10"/>
        <color rgb="FF000000"/>
        <rFont val="Arial"/>
        <family val="0"/>
        <charset val="1"/>
      </rPr>
      <t xml:space="preserve">GLM-4.7-FlashX </t>
    </r>
    <r>
      <rPr>
        <sz val="10"/>
        <color rgb="FF000000"/>
        <rFont val="Noto Sans CJK SC"/>
        <family val="2"/>
      </rPr>
      <t xml:space="preserve">國際站牌價（快取命中輸入）</t>
    </r>
  </si>
  <si>
    <t xml:space="preserve">SRC_ZP_279</t>
  </si>
  <si>
    <t xml:space="preserve">px_usd_glm47flashx_out</t>
  </si>
  <si>
    <r>
      <rPr>
        <sz val="10"/>
        <color rgb="FF000000"/>
        <rFont val="Arial"/>
        <family val="0"/>
        <charset val="1"/>
      </rPr>
      <t xml:space="preserve">GLM-4.7-FlashX </t>
    </r>
    <r>
      <rPr>
        <sz val="10"/>
        <color rgb="FF000000"/>
        <rFont val="Noto Sans CJK SC"/>
        <family val="2"/>
      </rPr>
      <t xml:space="preserve">國際站牌價（輸出）</t>
    </r>
  </si>
  <si>
    <t xml:space="preserve">SRC_ZP_280</t>
  </si>
  <si>
    <t xml:space="preserve">px_usd_free_flash</t>
  </si>
  <si>
    <t xml:space="preserve">國際站免費模型</t>
  </si>
  <si>
    <r>
      <rPr>
        <sz val="10"/>
        <color rgb="FF000000"/>
        <rFont val="Noto Sans CJK SC"/>
        <family val="2"/>
      </rPr>
      <t xml:space="preserve">官方表列 </t>
    </r>
    <r>
      <rPr>
        <sz val="10"/>
        <color rgb="FF000000"/>
        <rFont val="Arial"/>
        <family val="0"/>
        <charset val="1"/>
      </rPr>
      <t xml:space="preserve">GLM-4.7-Flash</t>
    </r>
    <r>
      <rPr>
        <sz val="10"/>
        <color rgb="FF000000"/>
        <rFont val="Noto Sans CJK SC"/>
        <family val="2"/>
      </rPr>
      <t xml:space="preserve">、</t>
    </r>
    <r>
      <rPr>
        <sz val="10"/>
        <color rgb="FF000000"/>
        <rFont val="Arial"/>
        <family val="0"/>
        <charset val="1"/>
      </rPr>
      <t xml:space="preserve">GLM-4.5-Flash</t>
    </r>
    <r>
      <rPr>
        <sz val="10"/>
        <color rgb="FF000000"/>
        <rFont val="Noto Sans CJK SC"/>
        <family val="2"/>
      </rPr>
      <t xml:space="preserve">、</t>
    </r>
    <r>
      <rPr>
        <sz val="10"/>
        <color rgb="FF000000"/>
        <rFont val="Arial"/>
        <family val="0"/>
        <charset val="1"/>
      </rPr>
      <t xml:space="preserve">GLM-4.6V-Flash </t>
    </r>
    <r>
      <rPr>
        <sz val="10"/>
        <color rgb="FF000000"/>
        <rFont val="Noto Sans CJK SC"/>
        <family val="2"/>
      </rPr>
      <t xml:space="preserve">輸入／輸出皆「</t>
    </r>
    <r>
      <rPr>
        <sz val="10"/>
        <color rgb="FF000000"/>
        <rFont val="Arial"/>
        <family val="0"/>
        <charset val="1"/>
      </rPr>
      <t xml:space="preserve">Free</t>
    </r>
    <r>
      <rPr>
        <sz val="10"/>
        <color rgb="FF000000"/>
        <rFont val="Noto Sans CJK SC"/>
        <family val="2"/>
      </rPr>
      <t xml:space="preserve">」</t>
    </r>
  </si>
  <si>
    <t xml:space="preserve">SRC_ZP_281</t>
  </si>
  <si>
    <t xml:space="preserve">px_usd_websearch</t>
  </si>
  <si>
    <r>
      <rPr>
        <sz val="10"/>
        <color rgb="FF000000"/>
        <rFont val="Noto Sans CJK SC"/>
        <family val="2"/>
      </rPr>
      <t xml:space="preserve">國際站內建 </t>
    </r>
    <r>
      <rPr>
        <sz val="10"/>
        <color rgb="FF000000"/>
        <rFont val="Arial"/>
        <family val="0"/>
        <charset val="1"/>
      </rPr>
      <t xml:space="preserve">Web Search </t>
    </r>
    <r>
      <rPr>
        <sz val="10"/>
        <color rgb="FF000000"/>
        <rFont val="Noto Sans CJK SC"/>
        <family val="2"/>
      </rPr>
      <t xml:space="preserve">單價</t>
    </r>
  </si>
  <si>
    <r>
      <rPr>
        <sz val="10"/>
        <color rgb="FF000000"/>
        <rFont val="Arial"/>
        <family val="0"/>
        <charset val="1"/>
      </rPr>
      <t xml:space="preserve">USD</t>
    </r>
    <r>
      <rPr>
        <sz val="10"/>
        <color rgb="FF000000"/>
        <rFont val="Noto Sans CJK SC"/>
        <family val="2"/>
      </rPr>
      <t xml:space="preserve">／次</t>
    </r>
  </si>
  <si>
    <r>
      <rPr>
        <sz val="10"/>
        <color rgb="FF000000"/>
        <rFont val="Noto Sans CJK SC"/>
        <family val="2"/>
      </rPr>
      <t xml:space="preserve">官方表列 </t>
    </r>
    <r>
      <rPr>
        <sz val="10"/>
        <color rgb="FF000000"/>
        <rFont val="Arial"/>
        <family val="0"/>
        <charset val="1"/>
      </rPr>
      <t xml:space="preserve">Web Search $0.01 per use</t>
    </r>
  </si>
  <si>
    <t xml:space="preserve">SRC_ZP_282</t>
  </si>
  <si>
    <t xml:space="preserve">px_usd_glm5turbo_in</t>
  </si>
  <si>
    <r>
      <rPr>
        <sz val="10"/>
        <color rgb="FF000000"/>
        <rFont val="Arial"/>
        <family val="0"/>
        <charset val="1"/>
      </rPr>
      <t xml:space="preserve">GLM-5-Turbo </t>
    </r>
    <r>
      <rPr>
        <sz val="10"/>
        <color rgb="FF000000"/>
        <rFont val="Noto Sans CJK SC"/>
        <family val="2"/>
      </rPr>
      <t xml:space="preserve">國際站牌價（輸入）</t>
    </r>
  </si>
  <si>
    <r>
      <rPr>
        <sz val="10"/>
        <color rgb="FF000000"/>
        <rFont val="Arial"/>
        <family val="0"/>
        <charset val="1"/>
      </rPr>
      <t xml:space="preserve">2026-07-22 </t>
    </r>
    <r>
      <rPr>
        <sz val="10"/>
        <color rgb="FF000000"/>
        <rFont val="Noto Sans CJK SC"/>
        <family val="2"/>
      </rPr>
      <t xml:space="preserve">擷取</t>
    </r>
  </si>
  <si>
    <r>
      <rPr>
        <sz val="10"/>
        <color rgb="FF000000"/>
        <rFont val="Arial"/>
        <family val="0"/>
        <charset val="1"/>
      </rPr>
      <t xml:space="preserve">UsagePricing</t>
    </r>
    <r>
      <rPr>
        <sz val="10"/>
        <color rgb="FF000000"/>
        <rFont val="Noto Sans CJK SC"/>
        <family val="2"/>
      </rPr>
      <t xml:space="preserve">〈</t>
    </r>
    <r>
      <rPr>
        <sz val="10"/>
        <color rgb="FF000000"/>
        <rFont val="Arial"/>
        <family val="0"/>
        <charset val="1"/>
      </rPr>
      <t xml:space="preserve">Zhipu AI 2026-07-22 price change</t>
    </r>
    <r>
      <rPr>
        <sz val="10"/>
        <color rgb="FF000000"/>
        <rFont val="Noto Sans CJK SC"/>
        <family val="2"/>
      </rPr>
      <t xml:space="preserve">〉（官方 </t>
    </r>
    <r>
      <rPr>
        <sz val="10"/>
        <color rgb="FF000000"/>
        <rFont val="Arial"/>
        <family val="0"/>
        <charset val="1"/>
      </rPr>
      <t xml:space="preserve">API </t>
    </r>
    <r>
      <rPr>
        <sz val="10"/>
        <color rgb="FF000000"/>
        <rFont val="Noto Sans CJK SC"/>
        <family val="2"/>
      </rPr>
      <t xml:space="preserve">文件截圖）</t>
    </r>
  </si>
  <si>
    <t xml:space="preserve">https://usagepricing.com/blueprint/activity/zhipu-ai-2026-07-22-price-change</t>
  </si>
  <si>
    <t xml:space="preserve">2026-07-22</t>
  </si>
  <si>
    <t xml:space="preserve">公司數字經第三方轉錄（見備註）；誘因同公司公告</t>
  </si>
  <si>
    <r>
      <rPr>
        <sz val="10"/>
        <color rgb="FF000000"/>
        <rFont val="Noto Sans CJK SC"/>
        <family val="2"/>
      </rPr>
      <t xml:space="preserve">轉錄官方 </t>
    </r>
    <r>
      <rPr>
        <sz val="10"/>
        <color rgb="FF000000"/>
        <rFont val="Arial"/>
        <family val="0"/>
        <charset val="1"/>
      </rPr>
      <t xml:space="preserve">API </t>
    </r>
    <r>
      <rPr>
        <sz val="10"/>
        <color rgb="FF000000"/>
        <rFont val="Noto Sans CJK SC"/>
        <family val="2"/>
      </rPr>
      <t xml:space="preserve">頁截圖：</t>
    </r>
    <r>
      <rPr>
        <sz val="10"/>
        <color rgb="FF000000"/>
        <rFont val="Arial"/>
        <family val="0"/>
        <charset val="1"/>
      </rPr>
      <t xml:space="preserve">GLM-5-Turbo $1.2 input</t>
    </r>
    <r>
      <rPr>
        <sz val="10"/>
        <color rgb="FF000000"/>
        <rFont val="Noto Sans CJK SC"/>
        <family val="2"/>
      </rPr>
      <t xml:space="preserve">／</t>
    </r>
    <r>
      <rPr>
        <sz val="10"/>
        <color rgb="FF000000"/>
        <rFont val="Arial"/>
        <family val="0"/>
        <charset val="1"/>
      </rPr>
      <t xml:space="preserve">$4.0 output</t>
    </r>
    <r>
      <rPr>
        <sz val="10"/>
        <color rgb="FF000000"/>
        <rFont val="Noto Sans CJK SC"/>
        <family val="2"/>
      </rPr>
      <t xml:space="preserve">；現行 </t>
    </r>
    <r>
      <rPr>
        <sz val="10"/>
        <color rgb="FF000000"/>
        <rFont val="Arial"/>
        <family val="0"/>
        <charset val="1"/>
      </rPr>
      <t xml:space="preserve">docs.z.ai </t>
    </r>
    <r>
      <rPr>
        <sz val="10"/>
        <color rgb="FF000000"/>
        <rFont val="Noto Sans CJK SC"/>
        <family val="2"/>
      </rPr>
      <t xml:space="preserve">定價頁已未列此型號</t>
    </r>
  </si>
  <si>
    <t xml:space="preserve">SRC_ZP_283</t>
  </si>
  <si>
    <t xml:space="preserve">px_usd_glm5turbo_out</t>
  </si>
  <si>
    <r>
      <rPr>
        <sz val="10"/>
        <color rgb="FF000000"/>
        <rFont val="Arial"/>
        <family val="0"/>
        <charset val="1"/>
      </rPr>
      <t xml:space="preserve">GLM-5-Turbo </t>
    </r>
    <r>
      <rPr>
        <sz val="10"/>
        <color rgb="FF000000"/>
        <rFont val="Noto Sans CJK SC"/>
        <family val="2"/>
      </rPr>
      <t xml:space="preserve">國際站牌價（輸出）</t>
    </r>
  </si>
  <si>
    <t xml:space="preserve">同上</t>
  </si>
  <si>
    <t xml:space="preserve">SRC_ZP_284</t>
  </si>
  <si>
    <t xml:space="preserve">px_rmb_glm53_in</t>
  </si>
  <si>
    <r>
      <rPr>
        <sz val="10"/>
        <color rgb="FF000000"/>
        <rFont val="Arial"/>
        <family val="0"/>
        <charset val="1"/>
      </rPr>
      <t xml:space="preserve">GLM-5.3 </t>
    </r>
    <r>
      <rPr>
        <sz val="10"/>
        <color rgb="FF000000"/>
        <rFont val="Noto Sans CJK SC"/>
        <family val="2"/>
      </rPr>
      <t xml:space="preserve">開放平台牌價（</t>
    </r>
    <r>
      <rPr>
        <sz val="10"/>
        <color rgb="FF000000"/>
        <rFont val="Arial"/>
        <family val="0"/>
        <charset val="1"/>
      </rPr>
      <t xml:space="preserve">1M </t>
    </r>
    <r>
      <rPr>
        <sz val="10"/>
        <color rgb="FF000000"/>
        <rFont val="Noto Sans CJK SC"/>
        <family val="2"/>
      </rPr>
      <t xml:space="preserve">全量（不分段），輸入）</t>
    </r>
  </si>
  <si>
    <r>
      <rPr>
        <sz val="10"/>
        <color rgb="FF000000"/>
        <rFont val="Arial"/>
        <family val="0"/>
        <charset val="1"/>
      </rPr>
      <t xml:space="preserve">RMB </t>
    </r>
    <r>
      <rPr>
        <sz val="10"/>
        <color rgb="FF000000"/>
        <rFont val="Noto Sans CJK SC"/>
        <family val="2"/>
      </rPr>
      <t xml:space="preserve">元／百萬 </t>
    </r>
    <r>
      <rPr>
        <sz val="10"/>
        <color rgb="FF000000"/>
        <rFont val="Arial"/>
        <family val="0"/>
        <charset val="1"/>
      </rPr>
      <t xml:space="preserve">token</t>
    </r>
  </si>
  <si>
    <r>
      <rPr>
        <sz val="10"/>
        <color rgb="FF000000"/>
        <rFont val="Arial"/>
        <family val="0"/>
        <charset val="1"/>
      </rPr>
      <t xml:space="preserve">2026-08-09</t>
    </r>
    <r>
      <rPr>
        <sz val="10"/>
        <color rgb="FF000000"/>
        <rFont val="Noto Sans CJK SC"/>
        <family val="2"/>
      </rPr>
      <t xml:space="preserve">（</t>
    </r>
    <r>
      <rPr>
        <sz val="10"/>
        <color rgb="FF000000"/>
        <rFont val="Arial"/>
        <family val="0"/>
        <charset val="1"/>
      </rPr>
      <t xml:space="preserve">GLM-5.3 </t>
    </r>
    <r>
      <rPr>
        <sz val="10"/>
        <color rgb="FF000000"/>
        <rFont val="Noto Sans CJK SC"/>
        <family val="2"/>
      </rPr>
      <t xml:space="preserve">系列 </t>
    </r>
    <r>
      <rPr>
        <sz val="10"/>
        <color rgb="FF000000"/>
        <rFont val="Arial"/>
        <family val="0"/>
        <charset val="1"/>
      </rPr>
      <t xml:space="preserve">2026-09-28</t>
    </r>
    <r>
      <rPr>
        <sz val="10"/>
        <color rgb="FF000000"/>
        <rFont val="Noto Sans CJK SC"/>
        <family val="2"/>
      </rPr>
      <t xml:space="preserve">）</t>
    </r>
  </si>
  <si>
    <r>
      <rPr>
        <sz val="10"/>
        <color rgb="FF000000"/>
        <rFont val="Noto Sans CJK SC"/>
        <family val="2"/>
      </rPr>
      <t xml:space="preserve">奇連 </t>
    </r>
    <r>
      <rPr>
        <sz val="10"/>
        <color rgb="FF000000"/>
        <rFont val="Arial"/>
        <family val="0"/>
        <charset val="1"/>
      </rPr>
      <t xml:space="preserve">AI</t>
    </r>
    <r>
      <rPr>
        <sz val="10"/>
        <color rgb="FF000000"/>
        <rFont val="Noto Sans CJK SC"/>
        <family val="2"/>
      </rPr>
      <t xml:space="preserve">〈</t>
    </r>
    <r>
      <rPr>
        <sz val="10"/>
        <color rgb="FF000000"/>
        <rFont val="Arial"/>
        <family val="0"/>
        <charset val="1"/>
      </rPr>
      <t xml:space="preserve">GLM API </t>
    </r>
    <r>
      <rPr>
        <sz val="10"/>
        <color rgb="FF000000"/>
        <rFont val="Noto Sans CJK SC"/>
        <family val="2"/>
      </rPr>
      <t xml:space="preserve">價格怎麼算〉（轉錄 </t>
    </r>
    <r>
      <rPr>
        <sz val="10"/>
        <color rgb="FF000000"/>
        <rFont val="Arial"/>
        <family val="0"/>
        <charset val="1"/>
      </rPr>
      <t xml:space="preserve">bigmodel.cn/pricing</t>
    </r>
    <r>
      <rPr>
        <sz val="10"/>
        <color rgb="FF000000"/>
        <rFont val="Noto Sans CJK SC"/>
        <family val="2"/>
      </rPr>
      <t xml:space="preserve">，資料截至 </t>
    </r>
    <r>
      <rPr>
        <sz val="10"/>
        <color rgb="FF000000"/>
        <rFont val="Arial"/>
        <family val="0"/>
        <charset val="1"/>
      </rPr>
      <t xml:space="preserve">2026-08-09</t>
    </r>
    <r>
      <rPr>
        <sz val="10"/>
        <color rgb="FF000000"/>
        <rFont val="Noto Sans CJK SC"/>
        <family val="2"/>
      </rPr>
      <t xml:space="preserve">，</t>
    </r>
    <r>
      <rPr>
        <sz val="10"/>
        <color rgb="FF000000"/>
        <rFont val="Arial"/>
        <family val="0"/>
        <charset val="1"/>
      </rPr>
      <t xml:space="preserve">09-28 </t>
    </r>
    <r>
      <rPr>
        <sz val="10"/>
        <color rgb="FF000000"/>
        <rFont val="Noto Sans CJK SC"/>
        <family val="2"/>
      </rPr>
      <t xml:space="preserve">補 </t>
    </r>
    <r>
      <rPr>
        <sz val="10"/>
        <color rgb="FF000000"/>
        <rFont val="Arial"/>
        <family val="0"/>
        <charset val="1"/>
      </rPr>
      <t xml:space="preserve">GLM-5.3</t>
    </r>
    <r>
      <rPr>
        <sz val="10"/>
        <color rgb="FF000000"/>
        <rFont val="Noto Sans CJK SC"/>
        <family val="2"/>
      </rPr>
      <t xml:space="preserve">）</t>
    </r>
  </si>
  <si>
    <t xml:space="preserve">https://iqilian.com/learn/glm-api-jifei/</t>
  </si>
  <si>
    <t xml:space="preserve">2026-09-28</t>
  </si>
  <si>
    <t xml:space="preserve">二手（含一手公告轉載）</t>
  </si>
  <si>
    <r>
      <rPr>
        <sz val="10"/>
        <color rgb="FF000000"/>
        <rFont val="Noto Sans CJK SC"/>
        <family val="2"/>
      </rPr>
      <t xml:space="preserve">轉錄官方表 </t>
    </r>
    <r>
      <rPr>
        <sz val="10"/>
        <color rgb="FF000000"/>
        <rFont val="Arial"/>
        <family val="0"/>
        <charset val="1"/>
      </rPr>
      <t xml:space="preserve">GLM-5.3 1M </t>
    </r>
    <r>
      <rPr>
        <sz val="10"/>
        <color rgb="FF000000"/>
        <rFont val="Noto Sans CJK SC"/>
        <family val="2"/>
      </rPr>
      <t xml:space="preserve">全量（不分段）：輸入 </t>
    </r>
    <r>
      <rPr>
        <sz val="10"/>
        <color rgb="FF000000"/>
        <rFont val="Arial"/>
        <family val="0"/>
        <charset val="1"/>
      </rPr>
      <t xml:space="preserve">8</t>
    </r>
    <r>
      <rPr>
        <sz val="10"/>
        <color rgb="FF000000"/>
        <rFont val="Noto Sans CJK SC"/>
        <family val="2"/>
      </rPr>
      <t xml:space="preserve">／快取 </t>
    </r>
    <r>
      <rPr>
        <sz val="10"/>
        <color rgb="FF000000"/>
        <rFont val="Arial"/>
        <family val="0"/>
        <charset val="1"/>
      </rPr>
      <t xml:space="preserve">2</t>
    </r>
    <r>
      <rPr>
        <sz val="10"/>
        <color rgb="FF000000"/>
        <rFont val="Noto Sans CJK SC"/>
        <family val="2"/>
      </rPr>
      <t xml:space="preserve">／輸出 </t>
    </r>
    <r>
      <rPr>
        <sz val="10"/>
        <color rgb="FF000000"/>
        <rFont val="Arial"/>
        <family val="0"/>
        <charset val="1"/>
      </rPr>
      <t xml:space="preserve">28</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</si>
  <si>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SRC_ZP_285</t>
  </si>
  <si>
    <t xml:space="preserve">px_rmb_glm53_cache</t>
  </si>
  <si>
    <r>
      <rPr>
        <sz val="10"/>
        <color rgb="FF000000"/>
        <rFont val="Arial"/>
        <family val="0"/>
        <charset val="1"/>
      </rPr>
      <t xml:space="preserve">GLM-5.3 </t>
    </r>
    <r>
      <rPr>
        <sz val="10"/>
        <color rgb="FF000000"/>
        <rFont val="Noto Sans CJK SC"/>
        <family val="2"/>
      </rPr>
      <t xml:space="preserve">開放平台牌價（</t>
    </r>
    <r>
      <rPr>
        <sz val="10"/>
        <color rgb="FF000000"/>
        <rFont val="Arial"/>
        <family val="0"/>
        <charset val="1"/>
      </rPr>
      <t xml:space="preserve">1M </t>
    </r>
    <r>
      <rPr>
        <sz val="10"/>
        <color rgb="FF000000"/>
        <rFont val="Noto Sans CJK SC"/>
        <family val="2"/>
      </rPr>
      <t xml:space="preserve">全量（不分段），快取命中）</t>
    </r>
  </si>
  <si>
    <t xml:space="preserve">SRC_ZP_286</t>
  </si>
  <si>
    <t xml:space="preserve">px_rmb_glm53_out</t>
  </si>
  <si>
    <r>
      <rPr>
        <sz val="10"/>
        <color rgb="FF000000"/>
        <rFont val="Arial"/>
        <family val="0"/>
        <charset val="1"/>
      </rPr>
      <t xml:space="preserve">GLM-5.3 </t>
    </r>
    <r>
      <rPr>
        <sz val="10"/>
        <color rgb="FF000000"/>
        <rFont val="Noto Sans CJK SC"/>
        <family val="2"/>
      </rPr>
      <t xml:space="preserve">開放平台牌價（</t>
    </r>
    <r>
      <rPr>
        <sz val="10"/>
        <color rgb="FF000000"/>
        <rFont val="Arial"/>
        <family val="0"/>
        <charset val="1"/>
      </rPr>
      <t xml:space="preserve">1M </t>
    </r>
    <r>
      <rPr>
        <sz val="10"/>
        <color rgb="FF000000"/>
        <rFont val="Noto Sans CJK SC"/>
        <family val="2"/>
      </rPr>
      <t xml:space="preserve">全量（不分段），輸出）</t>
    </r>
  </si>
  <si>
    <t xml:space="preserve">SRC_ZP_287</t>
  </si>
  <si>
    <t xml:space="preserve">px_rmb_glm52_in</t>
  </si>
  <si>
    <r>
      <rPr>
        <sz val="10"/>
        <color rgb="FF000000"/>
        <rFont val="Arial"/>
        <family val="0"/>
        <charset val="1"/>
      </rPr>
      <t xml:space="preserve">GLM-5.2 </t>
    </r>
    <r>
      <rPr>
        <sz val="10"/>
        <color rgb="FF000000"/>
        <rFont val="Noto Sans CJK SC"/>
        <family val="2"/>
      </rPr>
      <t xml:space="preserve">開放平台牌價（</t>
    </r>
    <r>
      <rPr>
        <sz val="10"/>
        <color rgb="FF000000"/>
        <rFont val="Arial"/>
        <family val="0"/>
        <charset val="1"/>
      </rPr>
      <t xml:space="preserve">1M </t>
    </r>
    <r>
      <rPr>
        <sz val="10"/>
        <color rgb="FF000000"/>
        <rFont val="Noto Sans CJK SC"/>
        <family val="2"/>
      </rPr>
      <t xml:space="preserve">全量（不分段），輸入）</t>
    </r>
  </si>
  <si>
    <r>
      <rPr>
        <sz val="10"/>
        <color rgb="FF000000"/>
        <rFont val="Noto Sans CJK SC"/>
        <family val="2"/>
      </rPr>
      <t xml:space="preserve">轉錄官方表 </t>
    </r>
    <r>
      <rPr>
        <sz val="10"/>
        <color rgb="FF000000"/>
        <rFont val="Arial"/>
        <family val="0"/>
        <charset val="1"/>
      </rPr>
      <t xml:space="preserve">GLM-5.2 1M </t>
    </r>
    <r>
      <rPr>
        <sz val="10"/>
        <color rgb="FF000000"/>
        <rFont val="Noto Sans CJK SC"/>
        <family val="2"/>
      </rPr>
      <t xml:space="preserve">全量（不分段）：輸入 </t>
    </r>
    <r>
      <rPr>
        <sz val="10"/>
        <color rgb="FF000000"/>
        <rFont val="Arial"/>
        <family val="0"/>
        <charset val="1"/>
      </rPr>
      <t xml:space="preserve">8</t>
    </r>
    <r>
      <rPr>
        <sz val="10"/>
        <color rgb="FF000000"/>
        <rFont val="Noto Sans CJK SC"/>
        <family val="2"/>
      </rPr>
      <t xml:space="preserve">／快取 </t>
    </r>
    <r>
      <rPr>
        <sz val="10"/>
        <color rgb="FF000000"/>
        <rFont val="Arial"/>
        <family val="0"/>
        <charset val="1"/>
      </rPr>
      <t xml:space="preserve">2</t>
    </r>
    <r>
      <rPr>
        <sz val="10"/>
        <color rgb="FF000000"/>
        <rFont val="Noto Sans CJK SC"/>
        <family val="2"/>
      </rPr>
      <t xml:space="preserve">／輸出 </t>
    </r>
    <r>
      <rPr>
        <sz val="10"/>
        <color rgb="FF000000"/>
        <rFont val="Arial"/>
        <family val="0"/>
        <charset val="1"/>
      </rPr>
      <t xml:space="preserve">28</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</si>
  <si>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SRC_ZP_288</t>
  </si>
  <si>
    <t xml:space="preserve">px_rmb_glm52_cache</t>
  </si>
  <si>
    <r>
      <rPr>
        <sz val="10"/>
        <color rgb="FF000000"/>
        <rFont val="Arial"/>
        <family val="0"/>
        <charset val="1"/>
      </rPr>
      <t xml:space="preserve">GLM-5.2 </t>
    </r>
    <r>
      <rPr>
        <sz val="10"/>
        <color rgb="FF000000"/>
        <rFont val="Noto Sans CJK SC"/>
        <family val="2"/>
      </rPr>
      <t xml:space="preserve">開放平台牌價（</t>
    </r>
    <r>
      <rPr>
        <sz val="10"/>
        <color rgb="FF000000"/>
        <rFont val="Arial"/>
        <family val="0"/>
        <charset val="1"/>
      </rPr>
      <t xml:space="preserve">1M </t>
    </r>
    <r>
      <rPr>
        <sz val="10"/>
        <color rgb="FF000000"/>
        <rFont val="Noto Sans CJK SC"/>
        <family val="2"/>
      </rPr>
      <t xml:space="preserve">全量（不分段），快取命中）</t>
    </r>
  </si>
  <si>
    <t xml:space="preserve">SRC_ZP_289</t>
  </si>
  <si>
    <t xml:space="preserve">px_rmb_glm52_out</t>
  </si>
  <si>
    <r>
      <rPr>
        <sz val="10"/>
        <color rgb="FF000000"/>
        <rFont val="Arial"/>
        <family val="0"/>
        <charset val="1"/>
      </rPr>
      <t xml:space="preserve">GLM-5.2 </t>
    </r>
    <r>
      <rPr>
        <sz val="10"/>
        <color rgb="FF000000"/>
        <rFont val="Noto Sans CJK SC"/>
        <family val="2"/>
      </rPr>
      <t xml:space="preserve">開放平台牌價（</t>
    </r>
    <r>
      <rPr>
        <sz val="10"/>
        <color rgb="FF000000"/>
        <rFont val="Arial"/>
        <family val="0"/>
        <charset val="1"/>
      </rPr>
      <t xml:space="preserve">1M </t>
    </r>
    <r>
      <rPr>
        <sz val="10"/>
        <color rgb="FF000000"/>
        <rFont val="Noto Sans CJK SC"/>
        <family val="2"/>
      </rPr>
      <t xml:space="preserve">全量（不分段），輸出）</t>
    </r>
  </si>
  <si>
    <t xml:space="preserve">SRC_ZP_290</t>
  </si>
  <si>
    <t xml:space="preserve">px_rmb_glm51_lt32k_in</t>
  </si>
  <si>
    <r>
      <rPr>
        <sz val="10"/>
        <color rgb="FF000000"/>
        <rFont val="Arial"/>
        <family val="0"/>
        <charset val="1"/>
      </rPr>
      <t xml:space="preserve">GLM-5.1 </t>
    </r>
    <r>
      <rPr>
        <sz val="10"/>
        <color rgb="FF000000"/>
        <rFont val="Noto Sans CJK SC"/>
        <family val="2"/>
      </rPr>
      <t xml:space="preserve">開放平台牌價（輸入 </t>
    </r>
    <r>
      <rPr>
        <sz val="10"/>
        <color rgb="FF000000"/>
        <rFont val="Arial"/>
        <family val="0"/>
        <charset val="1"/>
      </rPr>
      <t xml:space="preserve">&lt;32K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</si>
  <si>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GLM-5.1 </t>
    </r>
    <r>
      <rPr>
        <sz val="10"/>
        <color rgb="FF000000"/>
        <rFont val="Noto Sans CJK SC"/>
        <family val="2"/>
      </rPr>
      <t xml:space="preserve">輸入 </t>
    </r>
    <r>
      <rPr>
        <sz val="10"/>
        <color rgb="FF000000"/>
        <rFont val="Arial"/>
        <family val="0"/>
        <charset val="1"/>
      </rPr>
      <t xml:space="preserve">&lt;32K</t>
    </r>
    <r>
      <rPr>
        <sz val="10"/>
        <color rgb="FF000000"/>
        <rFont val="Noto Sans CJK SC"/>
        <family val="2"/>
      </rPr>
      <t xml:space="preserve">：輸入 </t>
    </r>
    <r>
      <rPr>
        <sz val="10"/>
        <color rgb="FF000000"/>
        <rFont val="Arial"/>
        <family val="0"/>
        <charset val="1"/>
      </rPr>
      <t xml:space="preserve">6</t>
    </r>
    <r>
      <rPr>
        <sz val="10"/>
        <color rgb="FF000000"/>
        <rFont val="Noto Sans CJK SC"/>
        <family val="2"/>
      </rPr>
      <t xml:space="preserve">／快取 </t>
    </r>
    <r>
      <rPr>
        <sz val="10"/>
        <color rgb="FF000000"/>
        <rFont val="Arial"/>
        <family val="0"/>
        <charset val="1"/>
      </rPr>
      <t xml:space="preserve">1.3</t>
    </r>
    <r>
      <rPr>
        <sz val="10"/>
        <color rgb="FF000000"/>
        <rFont val="Noto Sans CJK SC"/>
        <family val="2"/>
      </rPr>
      <t xml:space="preserve">／輸出 </t>
    </r>
    <r>
      <rPr>
        <sz val="10"/>
        <color rgb="FF000000"/>
        <rFont val="Arial"/>
        <family val="0"/>
        <charset val="1"/>
      </rPr>
      <t xml:space="preserve">24</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</si>
  <si>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SRC_ZP_291</t>
  </si>
  <si>
    <t xml:space="preserve">px_rmb_glm51_lt32k_cache</t>
  </si>
  <si>
    <r>
      <rPr>
        <sz val="10"/>
        <color rgb="FF000000"/>
        <rFont val="Arial"/>
        <family val="0"/>
        <charset val="1"/>
      </rPr>
      <t xml:space="preserve">GLM-5.1 </t>
    </r>
    <r>
      <rPr>
        <sz val="10"/>
        <color rgb="FF000000"/>
        <rFont val="Noto Sans CJK SC"/>
        <family val="2"/>
      </rPr>
      <t xml:space="preserve">開放平台牌價（輸入 </t>
    </r>
    <r>
      <rPr>
        <sz val="10"/>
        <color rgb="FF000000"/>
        <rFont val="Arial"/>
        <family val="0"/>
        <charset val="1"/>
      </rPr>
      <t xml:space="preserve">&lt;32K</t>
    </r>
    <r>
      <rPr>
        <sz val="10"/>
        <color rgb="FF000000"/>
        <rFont val="Noto Sans CJK SC"/>
        <family val="2"/>
      </rPr>
      <t xml:space="preserve">，快取命中）</t>
    </r>
  </si>
  <si>
    <t xml:space="preserve">SRC_ZP_292</t>
  </si>
  <si>
    <t xml:space="preserve">px_rmb_glm51_lt32k_out</t>
  </si>
  <si>
    <r>
      <rPr>
        <sz val="10"/>
        <color rgb="FF000000"/>
        <rFont val="Arial"/>
        <family val="0"/>
        <charset val="1"/>
      </rPr>
      <t xml:space="preserve">GLM-5.1 </t>
    </r>
    <r>
      <rPr>
        <sz val="10"/>
        <color rgb="FF000000"/>
        <rFont val="Noto Sans CJK SC"/>
        <family val="2"/>
      </rPr>
      <t xml:space="preserve">開放平台牌價（輸入 </t>
    </r>
    <r>
      <rPr>
        <sz val="10"/>
        <color rgb="FF000000"/>
        <rFont val="Arial"/>
        <family val="0"/>
        <charset val="1"/>
      </rPr>
      <t xml:space="preserve">&lt;32K</t>
    </r>
    <r>
      <rPr>
        <sz val="10"/>
        <color rgb="FF000000"/>
        <rFont val="Noto Sans CJK SC"/>
        <family val="2"/>
      </rPr>
      <t xml:space="preserve">，輸出）</t>
    </r>
  </si>
  <si>
    <t xml:space="preserve">SRC_ZP_293</t>
  </si>
  <si>
    <t xml:space="preserve">px_rmb_glm51_ge32k_in</t>
  </si>
  <si>
    <r>
      <rPr>
        <sz val="10"/>
        <color rgb="FF000000"/>
        <rFont val="Arial"/>
        <family val="0"/>
        <charset val="1"/>
      </rPr>
      <t xml:space="preserve">GLM-5.1 </t>
    </r>
    <r>
      <rPr>
        <sz val="10"/>
        <color rgb="FF000000"/>
        <rFont val="Noto Sans CJK SC"/>
        <family val="2"/>
      </rPr>
      <t xml:space="preserve">開放平台牌價（輸入 ≥</t>
    </r>
    <r>
      <rPr>
        <sz val="10"/>
        <color rgb="FF000000"/>
        <rFont val="Arial"/>
        <family val="0"/>
        <charset val="1"/>
      </rPr>
      <t xml:space="preserve">32K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</si>
  <si>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GLM-5.1 </t>
    </r>
    <r>
      <rPr>
        <sz val="10"/>
        <color rgb="FF000000"/>
        <rFont val="Noto Sans CJK SC"/>
        <family val="2"/>
      </rPr>
      <t xml:space="preserve">輸入 ≥</t>
    </r>
    <r>
      <rPr>
        <sz val="10"/>
        <color rgb="FF000000"/>
        <rFont val="Arial"/>
        <family val="0"/>
        <charset val="1"/>
      </rPr>
      <t xml:space="preserve">32K</t>
    </r>
    <r>
      <rPr>
        <sz val="10"/>
        <color rgb="FF000000"/>
        <rFont val="Noto Sans CJK SC"/>
        <family val="2"/>
      </rPr>
      <t xml:space="preserve">：輸入 </t>
    </r>
    <r>
      <rPr>
        <sz val="10"/>
        <color rgb="FF000000"/>
        <rFont val="Arial"/>
        <family val="0"/>
        <charset val="1"/>
      </rPr>
      <t xml:space="preserve">8</t>
    </r>
    <r>
      <rPr>
        <sz val="10"/>
        <color rgb="FF000000"/>
        <rFont val="Noto Sans CJK SC"/>
        <family val="2"/>
      </rPr>
      <t xml:space="preserve">／快取 </t>
    </r>
    <r>
      <rPr>
        <sz val="10"/>
        <color rgb="FF000000"/>
        <rFont val="Arial"/>
        <family val="0"/>
        <charset val="1"/>
      </rPr>
      <t xml:space="preserve">2</t>
    </r>
    <r>
      <rPr>
        <sz val="10"/>
        <color rgb="FF000000"/>
        <rFont val="Noto Sans CJK SC"/>
        <family val="2"/>
      </rPr>
      <t xml:space="preserve">／輸出 </t>
    </r>
    <r>
      <rPr>
        <sz val="10"/>
        <color rgb="FF000000"/>
        <rFont val="Arial"/>
        <family val="0"/>
        <charset val="1"/>
      </rPr>
      <t xml:space="preserve">28</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</si>
  <si>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SRC_ZP_294</t>
  </si>
  <si>
    <t xml:space="preserve">px_rmb_glm51_ge32k_cache</t>
  </si>
  <si>
    <r>
      <rPr>
        <sz val="10"/>
        <color rgb="FF000000"/>
        <rFont val="Arial"/>
        <family val="0"/>
        <charset val="1"/>
      </rPr>
      <t xml:space="preserve">GLM-5.1 </t>
    </r>
    <r>
      <rPr>
        <sz val="10"/>
        <color rgb="FF000000"/>
        <rFont val="Noto Sans CJK SC"/>
        <family val="2"/>
      </rPr>
      <t xml:space="preserve">開放平台牌價（輸入 ≥</t>
    </r>
    <r>
      <rPr>
        <sz val="10"/>
        <color rgb="FF000000"/>
        <rFont val="Arial"/>
        <family val="0"/>
        <charset val="1"/>
      </rPr>
      <t xml:space="preserve">32K</t>
    </r>
    <r>
      <rPr>
        <sz val="10"/>
        <color rgb="FF000000"/>
        <rFont val="Noto Sans CJK SC"/>
        <family val="2"/>
      </rPr>
      <t xml:space="preserve">，快取命中）</t>
    </r>
  </si>
  <si>
    <t xml:space="preserve">SRC_ZP_295</t>
  </si>
  <si>
    <t xml:space="preserve">px_rmb_glm51_ge32k_out</t>
  </si>
  <si>
    <r>
      <rPr>
        <sz val="10"/>
        <color rgb="FF000000"/>
        <rFont val="Arial"/>
        <family val="0"/>
        <charset val="1"/>
      </rPr>
      <t xml:space="preserve">GLM-5.1 </t>
    </r>
    <r>
      <rPr>
        <sz val="10"/>
        <color rgb="FF000000"/>
        <rFont val="Noto Sans CJK SC"/>
        <family val="2"/>
      </rPr>
      <t xml:space="preserve">開放平台牌價（輸入 ≥</t>
    </r>
    <r>
      <rPr>
        <sz val="10"/>
        <color rgb="FF000000"/>
        <rFont val="Arial"/>
        <family val="0"/>
        <charset val="1"/>
      </rPr>
      <t xml:space="preserve">32K</t>
    </r>
    <r>
      <rPr>
        <sz val="10"/>
        <color rgb="FF000000"/>
        <rFont val="Noto Sans CJK SC"/>
        <family val="2"/>
      </rPr>
      <t xml:space="preserve">，輸出）</t>
    </r>
  </si>
  <si>
    <t xml:space="preserve">SRC_ZP_296</t>
  </si>
  <si>
    <t xml:space="preserve">px_rmb_glm5turbo_lt32k_in</t>
  </si>
  <si>
    <r>
      <rPr>
        <sz val="10"/>
        <color rgb="FF000000"/>
        <rFont val="Arial"/>
        <family val="0"/>
        <charset val="1"/>
      </rPr>
      <t xml:space="preserve">GLM-5-Turbo </t>
    </r>
    <r>
      <rPr>
        <sz val="10"/>
        <color rgb="FF000000"/>
        <rFont val="Noto Sans CJK SC"/>
        <family val="2"/>
      </rPr>
      <t xml:space="preserve">開放平台牌價（輸入 </t>
    </r>
    <r>
      <rPr>
        <sz val="10"/>
        <color rgb="FF000000"/>
        <rFont val="Arial"/>
        <family val="0"/>
        <charset val="1"/>
      </rPr>
      <t xml:space="preserve">&lt;32K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</si>
  <si>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GLM-5-Turbo </t>
    </r>
    <r>
      <rPr>
        <sz val="10"/>
        <color rgb="FF000000"/>
        <rFont val="Noto Sans CJK SC"/>
        <family val="2"/>
      </rPr>
      <t xml:space="preserve">輸入 </t>
    </r>
    <r>
      <rPr>
        <sz val="10"/>
        <color rgb="FF000000"/>
        <rFont val="Arial"/>
        <family val="0"/>
        <charset val="1"/>
      </rPr>
      <t xml:space="preserve">&lt;32K</t>
    </r>
    <r>
      <rPr>
        <sz val="10"/>
        <color rgb="FF000000"/>
        <rFont val="Noto Sans CJK SC"/>
        <family val="2"/>
      </rPr>
      <t xml:space="preserve">：輸入 </t>
    </r>
    <r>
      <rPr>
        <sz val="10"/>
        <color rgb="FF000000"/>
        <rFont val="Arial"/>
        <family val="0"/>
        <charset val="1"/>
      </rPr>
      <t xml:space="preserve">5</t>
    </r>
    <r>
      <rPr>
        <sz val="10"/>
        <color rgb="FF000000"/>
        <rFont val="Noto Sans CJK SC"/>
        <family val="2"/>
      </rPr>
      <t xml:space="preserve">／快取 </t>
    </r>
    <r>
      <rPr>
        <sz val="10"/>
        <color rgb="FF000000"/>
        <rFont val="Arial"/>
        <family val="0"/>
        <charset val="1"/>
      </rPr>
      <t xml:space="preserve">1.2</t>
    </r>
    <r>
      <rPr>
        <sz val="10"/>
        <color rgb="FF000000"/>
        <rFont val="Noto Sans CJK SC"/>
        <family val="2"/>
      </rPr>
      <t xml:space="preserve">／輸出 </t>
    </r>
    <r>
      <rPr>
        <sz val="10"/>
        <color rgb="FF000000"/>
        <rFont val="Arial"/>
        <family val="0"/>
        <charset val="1"/>
      </rPr>
      <t xml:space="preserve">22</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</si>
  <si>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SRC_ZP_297</t>
  </si>
  <si>
    <t xml:space="preserve">px_rmb_glm5turbo_lt32k_cache</t>
  </si>
  <si>
    <r>
      <rPr>
        <sz val="10"/>
        <color rgb="FF000000"/>
        <rFont val="Arial"/>
        <family val="0"/>
        <charset val="1"/>
      </rPr>
      <t xml:space="preserve">GLM-5-Turbo </t>
    </r>
    <r>
      <rPr>
        <sz val="10"/>
        <color rgb="FF000000"/>
        <rFont val="Noto Sans CJK SC"/>
        <family val="2"/>
      </rPr>
      <t xml:space="preserve">開放平台牌價（輸入 </t>
    </r>
    <r>
      <rPr>
        <sz val="10"/>
        <color rgb="FF000000"/>
        <rFont val="Arial"/>
        <family val="0"/>
        <charset val="1"/>
      </rPr>
      <t xml:space="preserve">&lt;32K</t>
    </r>
    <r>
      <rPr>
        <sz val="10"/>
        <color rgb="FF000000"/>
        <rFont val="Noto Sans CJK SC"/>
        <family val="2"/>
      </rPr>
      <t xml:space="preserve">，快取命中）</t>
    </r>
  </si>
  <si>
    <t xml:space="preserve">SRC_ZP_298</t>
  </si>
  <si>
    <t xml:space="preserve">px_rmb_glm5turbo_lt32k_out</t>
  </si>
  <si>
    <r>
      <rPr>
        <sz val="10"/>
        <color rgb="FF000000"/>
        <rFont val="Arial"/>
        <family val="0"/>
        <charset val="1"/>
      </rPr>
      <t xml:space="preserve">GLM-5-Turbo </t>
    </r>
    <r>
      <rPr>
        <sz val="10"/>
        <color rgb="FF000000"/>
        <rFont val="Noto Sans CJK SC"/>
        <family val="2"/>
      </rPr>
      <t xml:space="preserve">開放平台牌價（輸入 </t>
    </r>
    <r>
      <rPr>
        <sz val="10"/>
        <color rgb="FF000000"/>
        <rFont val="Arial"/>
        <family val="0"/>
        <charset val="1"/>
      </rPr>
      <t xml:space="preserve">&lt;32K</t>
    </r>
    <r>
      <rPr>
        <sz val="10"/>
        <color rgb="FF000000"/>
        <rFont val="Noto Sans CJK SC"/>
        <family val="2"/>
      </rPr>
      <t xml:space="preserve">，輸出）</t>
    </r>
  </si>
  <si>
    <t xml:space="preserve">SRC_ZP_299</t>
  </si>
  <si>
    <t xml:space="preserve">px_rmb_glm5turbo_ge32k_in</t>
  </si>
  <si>
    <r>
      <rPr>
        <sz val="10"/>
        <color rgb="FF000000"/>
        <rFont val="Arial"/>
        <family val="0"/>
        <charset val="1"/>
      </rPr>
      <t xml:space="preserve">GLM-5-Turbo </t>
    </r>
    <r>
      <rPr>
        <sz val="10"/>
        <color rgb="FF000000"/>
        <rFont val="Noto Sans CJK SC"/>
        <family val="2"/>
      </rPr>
      <t xml:space="preserve">開放平台牌價（輸入 ≥</t>
    </r>
    <r>
      <rPr>
        <sz val="10"/>
        <color rgb="FF000000"/>
        <rFont val="Arial"/>
        <family val="0"/>
        <charset val="1"/>
      </rPr>
      <t xml:space="preserve">32K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</si>
  <si>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GLM-5-Turbo </t>
    </r>
    <r>
      <rPr>
        <sz val="10"/>
        <color rgb="FF000000"/>
        <rFont val="Noto Sans CJK SC"/>
        <family val="2"/>
      </rPr>
      <t xml:space="preserve">輸入 ≥</t>
    </r>
    <r>
      <rPr>
        <sz val="10"/>
        <color rgb="FF000000"/>
        <rFont val="Arial"/>
        <family val="0"/>
        <charset val="1"/>
      </rPr>
      <t xml:space="preserve">32K</t>
    </r>
    <r>
      <rPr>
        <sz val="10"/>
        <color rgb="FF000000"/>
        <rFont val="Noto Sans CJK SC"/>
        <family val="2"/>
      </rPr>
      <t xml:space="preserve">：輸入 </t>
    </r>
    <r>
      <rPr>
        <sz val="10"/>
        <color rgb="FF000000"/>
        <rFont val="Arial"/>
        <family val="0"/>
        <charset val="1"/>
      </rPr>
      <t xml:space="preserve">7</t>
    </r>
    <r>
      <rPr>
        <sz val="10"/>
        <color rgb="FF000000"/>
        <rFont val="Noto Sans CJK SC"/>
        <family val="2"/>
      </rPr>
      <t xml:space="preserve">／快取 </t>
    </r>
    <r>
      <rPr>
        <sz val="10"/>
        <color rgb="FF000000"/>
        <rFont val="Arial"/>
        <family val="0"/>
        <charset val="1"/>
      </rPr>
      <t xml:space="preserve">1.8</t>
    </r>
    <r>
      <rPr>
        <sz val="10"/>
        <color rgb="FF000000"/>
        <rFont val="Noto Sans CJK SC"/>
        <family val="2"/>
      </rPr>
      <t xml:space="preserve">／輸出 </t>
    </r>
    <r>
      <rPr>
        <sz val="10"/>
        <color rgb="FF000000"/>
        <rFont val="Arial"/>
        <family val="0"/>
        <charset val="1"/>
      </rPr>
      <t xml:space="preserve">26</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</si>
  <si>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SRC_ZP_300</t>
  </si>
  <si>
    <t xml:space="preserve">px_rmb_glm5turbo_ge32k_cache</t>
  </si>
  <si>
    <r>
      <rPr>
        <sz val="10"/>
        <color rgb="FF000000"/>
        <rFont val="Arial"/>
        <family val="0"/>
        <charset val="1"/>
      </rPr>
      <t xml:space="preserve">GLM-5-Turbo </t>
    </r>
    <r>
      <rPr>
        <sz val="10"/>
        <color rgb="FF000000"/>
        <rFont val="Noto Sans CJK SC"/>
        <family val="2"/>
      </rPr>
      <t xml:space="preserve">開放平台牌價（輸入 ≥</t>
    </r>
    <r>
      <rPr>
        <sz val="10"/>
        <color rgb="FF000000"/>
        <rFont val="Arial"/>
        <family val="0"/>
        <charset val="1"/>
      </rPr>
      <t xml:space="preserve">32K</t>
    </r>
    <r>
      <rPr>
        <sz val="10"/>
        <color rgb="FF000000"/>
        <rFont val="Noto Sans CJK SC"/>
        <family val="2"/>
      </rPr>
      <t xml:space="preserve">，快取命中）</t>
    </r>
  </si>
  <si>
    <t xml:space="preserve">SRC_ZP_301</t>
  </si>
  <si>
    <t xml:space="preserve">px_rmb_glm5turbo_ge32k_out</t>
  </si>
  <si>
    <r>
      <rPr>
        <sz val="10"/>
        <color rgb="FF000000"/>
        <rFont val="Arial"/>
        <family val="0"/>
        <charset val="1"/>
      </rPr>
      <t xml:space="preserve">GLM-5-Turbo </t>
    </r>
    <r>
      <rPr>
        <sz val="10"/>
        <color rgb="FF000000"/>
        <rFont val="Noto Sans CJK SC"/>
        <family val="2"/>
      </rPr>
      <t xml:space="preserve">開放平台牌價（輸入 ≥</t>
    </r>
    <r>
      <rPr>
        <sz val="10"/>
        <color rgb="FF000000"/>
        <rFont val="Arial"/>
        <family val="0"/>
        <charset val="1"/>
      </rPr>
      <t xml:space="preserve">32K</t>
    </r>
    <r>
      <rPr>
        <sz val="10"/>
        <color rgb="FF000000"/>
        <rFont val="Noto Sans CJK SC"/>
        <family val="2"/>
      </rPr>
      <t xml:space="preserve">，輸出）</t>
    </r>
  </si>
  <si>
    <t xml:space="preserve">SRC_ZP_302</t>
  </si>
  <si>
    <t xml:space="preserve">px_rmb_glm5_lt32k_in</t>
  </si>
  <si>
    <r>
      <rPr>
        <sz val="10"/>
        <color rgb="FF000000"/>
        <rFont val="Arial"/>
        <family val="0"/>
        <charset val="1"/>
      </rPr>
      <t xml:space="preserve">GLM-5 </t>
    </r>
    <r>
      <rPr>
        <sz val="10"/>
        <color rgb="FF000000"/>
        <rFont val="Noto Sans CJK SC"/>
        <family val="2"/>
      </rPr>
      <t xml:space="preserve">開放平台牌價（輸入 </t>
    </r>
    <r>
      <rPr>
        <sz val="10"/>
        <color rgb="FF000000"/>
        <rFont val="Arial"/>
        <family val="0"/>
        <charset val="1"/>
      </rPr>
      <t xml:space="preserve">&lt;32K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</si>
  <si>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GLM-5 </t>
    </r>
    <r>
      <rPr>
        <sz val="10"/>
        <color rgb="FF000000"/>
        <rFont val="Noto Sans CJK SC"/>
        <family val="2"/>
      </rPr>
      <t xml:space="preserve">輸入 </t>
    </r>
    <r>
      <rPr>
        <sz val="10"/>
        <color rgb="FF000000"/>
        <rFont val="Arial"/>
        <family val="0"/>
        <charset val="1"/>
      </rPr>
      <t xml:space="preserve">&lt;32K</t>
    </r>
    <r>
      <rPr>
        <sz val="10"/>
        <color rgb="FF000000"/>
        <rFont val="Noto Sans CJK SC"/>
        <family val="2"/>
      </rPr>
      <t xml:space="preserve">：輸入 </t>
    </r>
    <r>
      <rPr>
        <sz val="10"/>
        <color rgb="FF000000"/>
        <rFont val="Arial"/>
        <family val="0"/>
        <charset val="1"/>
      </rPr>
      <t xml:space="preserve">4</t>
    </r>
    <r>
      <rPr>
        <sz val="10"/>
        <color rgb="FF000000"/>
        <rFont val="Noto Sans CJK SC"/>
        <family val="2"/>
      </rPr>
      <t xml:space="preserve">／快取 </t>
    </r>
    <r>
      <rPr>
        <sz val="10"/>
        <color rgb="FF000000"/>
        <rFont val="Arial"/>
        <family val="0"/>
        <charset val="1"/>
      </rPr>
      <t xml:space="preserve">1</t>
    </r>
    <r>
      <rPr>
        <sz val="10"/>
        <color rgb="FF000000"/>
        <rFont val="Noto Sans CJK SC"/>
        <family val="2"/>
      </rPr>
      <t xml:space="preserve">／輸出 </t>
    </r>
    <r>
      <rPr>
        <sz val="10"/>
        <color rgb="FF000000"/>
        <rFont val="Arial"/>
        <family val="0"/>
        <charset val="1"/>
      </rPr>
      <t xml:space="preserve">18</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</si>
  <si>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SRC_ZP_303</t>
  </si>
  <si>
    <t xml:space="preserve">px_rmb_glm5_lt32k_cache</t>
  </si>
  <si>
    <r>
      <rPr>
        <sz val="10"/>
        <color rgb="FF000000"/>
        <rFont val="Arial"/>
        <family val="0"/>
        <charset val="1"/>
      </rPr>
      <t xml:space="preserve">GLM-5 </t>
    </r>
    <r>
      <rPr>
        <sz val="10"/>
        <color rgb="FF000000"/>
        <rFont val="Noto Sans CJK SC"/>
        <family val="2"/>
      </rPr>
      <t xml:space="preserve">開放平台牌價（輸入 </t>
    </r>
    <r>
      <rPr>
        <sz val="10"/>
        <color rgb="FF000000"/>
        <rFont val="Arial"/>
        <family val="0"/>
        <charset val="1"/>
      </rPr>
      <t xml:space="preserve">&lt;32K</t>
    </r>
    <r>
      <rPr>
        <sz val="10"/>
        <color rgb="FF000000"/>
        <rFont val="Noto Sans CJK SC"/>
        <family val="2"/>
      </rPr>
      <t xml:space="preserve">，快取命中）</t>
    </r>
  </si>
  <si>
    <t xml:space="preserve">SRC_ZP_304</t>
  </si>
  <si>
    <t xml:space="preserve">px_rmb_glm5_lt32k_out</t>
  </si>
  <si>
    <r>
      <rPr>
        <sz val="10"/>
        <color rgb="FF000000"/>
        <rFont val="Arial"/>
        <family val="0"/>
        <charset val="1"/>
      </rPr>
      <t xml:space="preserve">GLM-5 </t>
    </r>
    <r>
      <rPr>
        <sz val="10"/>
        <color rgb="FF000000"/>
        <rFont val="Noto Sans CJK SC"/>
        <family val="2"/>
      </rPr>
      <t xml:space="preserve">開放平台牌價（輸入 </t>
    </r>
    <r>
      <rPr>
        <sz val="10"/>
        <color rgb="FF000000"/>
        <rFont val="Arial"/>
        <family val="0"/>
        <charset val="1"/>
      </rPr>
      <t xml:space="preserve">&lt;32K</t>
    </r>
    <r>
      <rPr>
        <sz val="10"/>
        <color rgb="FF000000"/>
        <rFont val="Noto Sans CJK SC"/>
        <family val="2"/>
      </rPr>
      <t xml:space="preserve">，輸出）</t>
    </r>
  </si>
  <si>
    <t xml:space="preserve">SRC_ZP_305</t>
  </si>
  <si>
    <t xml:space="preserve">px_rmb_glm5_ge32k_in</t>
  </si>
  <si>
    <r>
      <rPr>
        <sz val="10"/>
        <color rgb="FF000000"/>
        <rFont val="Arial"/>
        <family val="0"/>
        <charset val="1"/>
      </rPr>
      <t xml:space="preserve">GLM-5 </t>
    </r>
    <r>
      <rPr>
        <sz val="10"/>
        <color rgb="FF000000"/>
        <rFont val="Noto Sans CJK SC"/>
        <family val="2"/>
      </rPr>
      <t xml:space="preserve">開放平台牌價（輸入 ≥</t>
    </r>
    <r>
      <rPr>
        <sz val="10"/>
        <color rgb="FF000000"/>
        <rFont val="Arial"/>
        <family val="0"/>
        <charset val="1"/>
      </rPr>
      <t xml:space="preserve">32K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</si>
  <si>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GLM-5 </t>
    </r>
    <r>
      <rPr>
        <sz val="10"/>
        <color rgb="FF000000"/>
        <rFont val="Noto Sans CJK SC"/>
        <family val="2"/>
      </rPr>
      <t xml:space="preserve">輸入 ≥</t>
    </r>
    <r>
      <rPr>
        <sz val="10"/>
        <color rgb="FF000000"/>
        <rFont val="Arial"/>
        <family val="0"/>
        <charset val="1"/>
      </rPr>
      <t xml:space="preserve">32K</t>
    </r>
    <r>
      <rPr>
        <sz val="10"/>
        <color rgb="FF000000"/>
        <rFont val="Noto Sans CJK SC"/>
        <family val="2"/>
      </rPr>
      <t xml:space="preserve">：輸入 </t>
    </r>
    <r>
      <rPr>
        <sz val="10"/>
        <color rgb="FF000000"/>
        <rFont val="Arial"/>
        <family val="0"/>
        <charset val="1"/>
      </rPr>
      <t xml:space="preserve">6</t>
    </r>
    <r>
      <rPr>
        <sz val="10"/>
        <color rgb="FF000000"/>
        <rFont val="Noto Sans CJK SC"/>
        <family val="2"/>
      </rPr>
      <t xml:space="preserve">／快取 </t>
    </r>
    <r>
      <rPr>
        <sz val="10"/>
        <color rgb="FF000000"/>
        <rFont val="Arial"/>
        <family val="0"/>
        <charset val="1"/>
      </rPr>
      <t xml:space="preserve">1.5</t>
    </r>
    <r>
      <rPr>
        <sz val="10"/>
        <color rgb="FF000000"/>
        <rFont val="Noto Sans CJK SC"/>
        <family val="2"/>
      </rPr>
      <t xml:space="preserve">／輸出 </t>
    </r>
    <r>
      <rPr>
        <sz val="10"/>
        <color rgb="FF000000"/>
        <rFont val="Arial"/>
        <family val="0"/>
        <charset val="1"/>
      </rPr>
      <t xml:space="preserve">22</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</si>
  <si>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SRC_ZP_306</t>
  </si>
  <si>
    <t xml:space="preserve">px_rmb_glm5_ge32k_cache</t>
  </si>
  <si>
    <r>
      <rPr>
        <sz val="10"/>
        <color rgb="FF000000"/>
        <rFont val="Arial"/>
        <family val="0"/>
        <charset val="1"/>
      </rPr>
      <t xml:space="preserve">GLM-5 </t>
    </r>
    <r>
      <rPr>
        <sz val="10"/>
        <color rgb="FF000000"/>
        <rFont val="Noto Sans CJK SC"/>
        <family val="2"/>
      </rPr>
      <t xml:space="preserve">開放平台牌價（輸入 ≥</t>
    </r>
    <r>
      <rPr>
        <sz val="10"/>
        <color rgb="FF000000"/>
        <rFont val="Arial"/>
        <family val="0"/>
        <charset val="1"/>
      </rPr>
      <t xml:space="preserve">32K</t>
    </r>
    <r>
      <rPr>
        <sz val="10"/>
        <color rgb="FF000000"/>
        <rFont val="Noto Sans CJK SC"/>
        <family val="2"/>
      </rPr>
      <t xml:space="preserve">，快取命中）</t>
    </r>
  </si>
  <si>
    <t xml:space="preserve">SRC_ZP_307</t>
  </si>
  <si>
    <t xml:space="preserve">px_rmb_glm5_ge32k_out</t>
  </si>
  <si>
    <r>
      <rPr>
        <sz val="10"/>
        <color rgb="FF000000"/>
        <rFont val="Arial"/>
        <family val="0"/>
        <charset val="1"/>
      </rPr>
      <t xml:space="preserve">GLM-5 </t>
    </r>
    <r>
      <rPr>
        <sz val="10"/>
        <color rgb="FF000000"/>
        <rFont val="Noto Sans CJK SC"/>
        <family val="2"/>
      </rPr>
      <t xml:space="preserve">開放平台牌價（輸入 ≥</t>
    </r>
    <r>
      <rPr>
        <sz val="10"/>
        <color rgb="FF000000"/>
        <rFont val="Arial"/>
        <family val="0"/>
        <charset val="1"/>
      </rPr>
      <t xml:space="preserve">32K</t>
    </r>
    <r>
      <rPr>
        <sz val="10"/>
        <color rgb="FF000000"/>
        <rFont val="Noto Sans CJK SC"/>
        <family val="2"/>
      </rPr>
      <t xml:space="preserve">，輸出）</t>
    </r>
  </si>
  <si>
    <t xml:space="preserve">SRC_ZP_308</t>
  </si>
  <si>
    <t xml:space="preserve">px_rmb_glm47_short_in</t>
  </si>
  <si>
    <r>
      <rPr>
        <sz val="10"/>
        <color rgb="FF000000"/>
        <rFont val="Arial"/>
        <family val="0"/>
        <charset val="1"/>
      </rPr>
      <t xml:space="preserve">GLM-4.7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&lt;0.2K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</si>
  <si>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GLM-4.7 </t>
    </r>
    <r>
      <rPr>
        <sz val="10"/>
        <color rgb="FF000000"/>
        <rFont val="Noto Sans CJK SC"/>
        <family val="2"/>
      </rPr>
      <t xml:space="preserve">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&lt;0.2K</t>
    </r>
    <r>
      <rPr>
        <sz val="10"/>
        <color rgb="FF000000"/>
        <rFont val="Noto Sans CJK SC"/>
        <family val="2"/>
      </rPr>
      <t xml:space="preserve">：輸入 </t>
    </r>
    <r>
      <rPr>
        <sz val="10"/>
        <color rgb="FF000000"/>
        <rFont val="Arial"/>
        <family val="0"/>
        <charset val="1"/>
      </rPr>
      <t xml:space="preserve">2</t>
    </r>
    <r>
      <rPr>
        <sz val="10"/>
        <color rgb="FF000000"/>
        <rFont val="Noto Sans CJK SC"/>
        <family val="2"/>
      </rPr>
      <t xml:space="preserve">／快取 </t>
    </r>
    <r>
      <rPr>
        <sz val="10"/>
        <color rgb="FF000000"/>
        <rFont val="Arial"/>
        <family val="0"/>
        <charset val="1"/>
      </rPr>
      <t xml:space="preserve">0.4</t>
    </r>
    <r>
      <rPr>
        <sz val="10"/>
        <color rgb="FF000000"/>
        <rFont val="Noto Sans CJK SC"/>
        <family val="2"/>
      </rPr>
      <t xml:space="preserve">／輸出 </t>
    </r>
    <r>
      <rPr>
        <sz val="10"/>
        <color rgb="FF000000"/>
        <rFont val="Arial"/>
        <family val="0"/>
        <charset val="1"/>
      </rPr>
      <t xml:space="preserve">8</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</si>
  <si>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SRC_ZP_309</t>
  </si>
  <si>
    <t xml:space="preserve">px_rmb_glm47_short_cache</t>
  </si>
  <si>
    <r>
      <rPr>
        <sz val="10"/>
        <color rgb="FF000000"/>
        <rFont val="Arial"/>
        <family val="0"/>
        <charset val="1"/>
      </rPr>
      <t xml:space="preserve">GLM-4.7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&lt;0.2K</t>
    </r>
    <r>
      <rPr>
        <sz val="10"/>
        <color rgb="FF000000"/>
        <rFont val="Noto Sans CJK SC"/>
        <family val="2"/>
      </rPr>
      <t xml:space="preserve">，快取命中）</t>
    </r>
  </si>
  <si>
    <t xml:space="preserve">SRC_ZP_310</t>
  </si>
  <si>
    <t xml:space="preserve">px_rmb_glm47_short_out</t>
  </si>
  <si>
    <r>
      <rPr>
        <sz val="10"/>
        <color rgb="FF000000"/>
        <rFont val="Arial"/>
        <family val="0"/>
        <charset val="1"/>
      </rPr>
      <t xml:space="preserve">GLM-4.7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&lt;0.2K</t>
    </r>
    <r>
      <rPr>
        <sz val="10"/>
        <color rgb="FF000000"/>
        <rFont val="Noto Sans CJK SC"/>
        <family val="2"/>
      </rPr>
      <t xml:space="preserve">，輸出）</t>
    </r>
  </si>
  <si>
    <t xml:space="preserve">SRC_ZP_311</t>
  </si>
  <si>
    <t xml:space="preserve">px_rmb_glm47_long_out_in</t>
  </si>
  <si>
    <r>
      <rPr>
        <sz val="10"/>
        <color rgb="FF000000"/>
        <rFont val="Arial"/>
        <family val="0"/>
        <charset val="1"/>
      </rPr>
      <t xml:space="preserve">GLM-4.7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0.2K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</si>
  <si>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GLM-4.7 </t>
    </r>
    <r>
      <rPr>
        <sz val="10"/>
        <color rgb="FF000000"/>
        <rFont val="Noto Sans CJK SC"/>
        <family val="2"/>
      </rPr>
      <t xml:space="preserve">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0.2K</t>
    </r>
    <r>
      <rPr>
        <sz val="10"/>
        <color rgb="FF000000"/>
        <rFont val="Noto Sans CJK SC"/>
        <family val="2"/>
      </rPr>
      <t xml:space="preserve">：輸入 </t>
    </r>
    <r>
      <rPr>
        <sz val="10"/>
        <color rgb="FF000000"/>
        <rFont val="Arial"/>
        <family val="0"/>
        <charset val="1"/>
      </rPr>
      <t xml:space="preserve">3</t>
    </r>
    <r>
      <rPr>
        <sz val="10"/>
        <color rgb="FF000000"/>
        <rFont val="Noto Sans CJK SC"/>
        <family val="2"/>
      </rPr>
      <t xml:space="preserve">／快取 </t>
    </r>
    <r>
      <rPr>
        <sz val="10"/>
        <color rgb="FF000000"/>
        <rFont val="Arial"/>
        <family val="0"/>
        <charset val="1"/>
      </rPr>
      <t xml:space="preserve">0.6</t>
    </r>
    <r>
      <rPr>
        <sz val="10"/>
        <color rgb="FF000000"/>
        <rFont val="Noto Sans CJK SC"/>
        <family val="2"/>
      </rPr>
      <t xml:space="preserve">／輸出 </t>
    </r>
    <r>
      <rPr>
        <sz val="10"/>
        <color rgb="FF000000"/>
        <rFont val="Arial"/>
        <family val="0"/>
        <charset val="1"/>
      </rPr>
      <t xml:space="preserve">14</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</si>
  <si>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SRC_ZP_312</t>
  </si>
  <si>
    <t xml:space="preserve">px_rmb_glm47_long_out_cache</t>
  </si>
  <si>
    <r>
      <rPr>
        <sz val="10"/>
        <color rgb="FF000000"/>
        <rFont val="Arial"/>
        <family val="0"/>
        <charset val="1"/>
      </rPr>
      <t xml:space="preserve">GLM-4.7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0.2K</t>
    </r>
    <r>
      <rPr>
        <sz val="10"/>
        <color rgb="FF000000"/>
        <rFont val="Noto Sans CJK SC"/>
        <family val="2"/>
      </rPr>
      <t xml:space="preserve">，快取命中）</t>
    </r>
  </si>
  <si>
    <t xml:space="preserve">SRC_ZP_313</t>
  </si>
  <si>
    <t xml:space="preserve">px_rmb_glm47_long_out_out</t>
  </si>
  <si>
    <r>
      <rPr>
        <sz val="10"/>
        <color rgb="FF000000"/>
        <rFont val="Arial"/>
        <family val="0"/>
        <charset val="1"/>
      </rPr>
      <t xml:space="preserve">GLM-4.7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0.2K</t>
    </r>
    <r>
      <rPr>
        <sz val="10"/>
        <color rgb="FF000000"/>
        <rFont val="Noto Sans CJK SC"/>
        <family val="2"/>
      </rPr>
      <t xml:space="preserve">，輸出）</t>
    </r>
  </si>
  <si>
    <t xml:space="preserve">SRC_ZP_314</t>
  </si>
  <si>
    <t xml:space="preserve">px_rmb_glm47_32k200k_in</t>
  </si>
  <si>
    <r>
      <rPr>
        <sz val="10"/>
        <color rgb="FF000000"/>
        <rFont val="Arial"/>
        <family val="0"/>
        <charset val="1"/>
      </rPr>
      <t xml:space="preserve">GLM-4.7 </t>
    </r>
    <r>
      <rPr>
        <sz val="10"/>
        <color rgb="FF000000"/>
        <rFont val="Noto Sans CJK SC"/>
        <family val="2"/>
      </rPr>
      <t xml:space="preserve">開放平台牌價（輸入 </t>
    </r>
    <r>
      <rPr>
        <sz val="10"/>
        <color rgb="FF000000"/>
        <rFont val="Arial"/>
        <family val="0"/>
        <charset val="1"/>
      </rPr>
      <t xml:space="preserve">32K–200K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</si>
  <si>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GLM-4.7 </t>
    </r>
    <r>
      <rPr>
        <sz val="10"/>
        <color rgb="FF000000"/>
        <rFont val="Noto Sans CJK SC"/>
        <family val="2"/>
      </rPr>
      <t xml:space="preserve">輸入 </t>
    </r>
    <r>
      <rPr>
        <sz val="10"/>
        <color rgb="FF000000"/>
        <rFont val="Arial"/>
        <family val="0"/>
        <charset val="1"/>
      </rPr>
      <t xml:space="preserve">32K–200K</t>
    </r>
    <r>
      <rPr>
        <sz val="10"/>
        <color rgb="FF000000"/>
        <rFont val="Noto Sans CJK SC"/>
        <family val="2"/>
      </rPr>
      <t xml:space="preserve">：輸入 </t>
    </r>
    <r>
      <rPr>
        <sz val="10"/>
        <color rgb="FF000000"/>
        <rFont val="Arial"/>
        <family val="0"/>
        <charset val="1"/>
      </rPr>
      <t xml:space="preserve">4</t>
    </r>
    <r>
      <rPr>
        <sz val="10"/>
        <color rgb="FF000000"/>
        <rFont val="Noto Sans CJK SC"/>
        <family val="2"/>
      </rPr>
      <t xml:space="preserve">／快取 </t>
    </r>
    <r>
      <rPr>
        <sz val="10"/>
        <color rgb="FF000000"/>
        <rFont val="Arial"/>
        <family val="0"/>
        <charset val="1"/>
      </rPr>
      <t xml:space="preserve">0.8</t>
    </r>
    <r>
      <rPr>
        <sz val="10"/>
        <color rgb="FF000000"/>
        <rFont val="Noto Sans CJK SC"/>
        <family val="2"/>
      </rPr>
      <t xml:space="preserve">／輸出 </t>
    </r>
    <r>
      <rPr>
        <sz val="10"/>
        <color rgb="FF000000"/>
        <rFont val="Arial"/>
        <family val="0"/>
        <charset val="1"/>
      </rPr>
      <t xml:space="preserve">16</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</si>
  <si>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SRC_ZP_315</t>
  </si>
  <si>
    <t xml:space="preserve">px_rmb_glm47_32k200k_cache</t>
  </si>
  <si>
    <r>
      <rPr>
        <sz val="10"/>
        <color rgb="FF000000"/>
        <rFont val="Arial"/>
        <family val="0"/>
        <charset val="1"/>
      </rPr>
      <t xml:space="preserve">GLM-4.7 </t>
    </r>
    <r>
      <rPr>
        <sz val="10"/>
        <color rgb="FF000000"/>
        <rFont val="Noto Sans CJK SC"/>
        <family val="2"/>
      </rPr>
      <t xml:space="preserve">開放平台牌價（輸入 </t>
    </r>
    <r>
      <rPr>
        <sz val="10"/>
        <color rgb="FF000000"/>
        <rFont val="Arial"/>
        <family val="0"/>
        <charset val="1"/>
      </rPr>
      <t xml:space="preserve">32K–200K</t>
    </r>
    <r>
      <rPr>
        <sz val="10"/>
        <color rgb="FF000000"/>
        <rFont val="Noto Sans CJK SC"/>
        <family val="2"/>
      </rPr>
      <t xml:space="preserve">，快取命中）</t>
    </r>
  </si>
  <si>
    <t xml:space="preserve">SRC_ZP_316</t>
  </si>
  <si>
    <t xml:space="preserve">px_rmb_glm47_32k200k_out</t>
  </si>
  <si>
    <r>
      <rPr>
        <sz val="10"/>
        <color rgb="FF000000"/>
        <rFont val="Arial"/>
        <family val="0"/>
        <charset val="1"/>
      </rPr>
      <t xml:space="preserve">GLM-4.7 </t>
    </r>
    <r>
      <rPr>
        <sz val="10"/>
        <color rgb="FF000000"/>
        <rFont val="Noto Sans CJK SC"/>
        <family val="2"/>
      </rPr>
      <t xml:space="preserve">開放平台牌價（輸入 </t>
    </r>
    <r>
      <rPr>
        <sz val="10"/>
        <color rgb="FF000000"/>
        <rFont val="Arial"/>
        <family val="0"/>
        <charset val="1"/>
      </rPr>
      <t xml:space="preserve">32K–200K</t>
    </r>
    <r>
      <rPr>
        <sz val="10"/>
        <color rgb="FF000000"/>
        <rFont val="Noto Sans CJK SC"/>
        <family val="2"/>
      </rPr>
      <t xml:space="preserve">，輸出）</t>
    </r>
  </si>
  <si>
    <t xml:space="preserve">SRC_ZP_317</t>
  </si>
  <si>
    <t xml:space="preserve">px_rmb_glm45air_short_in</t>
  </si>
  <si>
    <r>
      <rPr>
        <sz val="10"/>
        <color rgb="FF000000"/>
        <rFont val="Arial"/>
        <family val="0"/>
        <charset val="1"/>
      </rPr>
      <t xml:space="preserve">GLM-4.5-Air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&lt;0.2K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</si>
  <si>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GLM-4.5-Air </t>
    </r>
    <r>
      <rPr>
        <sz val="10"/>
        <color rgb="FF000000"/>
        <rFont val="Noto Sans CJK SC"/>
        <family val="2"/>
      </rPr>
      <t xml:space="preserve">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&lt;0.2K</t>
    </r>
    <r>
      <rPr>
        <sz val="10"/>
        <color rgb="FF000000"/>
        <rFont val="Noto Sans CJK SC"/>
        <family val="2"/>
      </rPr>
      <t xml:space="preserve">：輸入 </t>
    </r>
    <r>
      <rPr>
        <sz val="10"/>
        <color rgb="FF000000"/>
        <rFont val="Arial"/>
        <family val="0"/>
        <charset val="1"/>
      </rPr>
      <t xml:space="preserve">0.8</t>
    </r>
    <r>
      <rPr>
        <sz val="10"/>
        <color rgb="FF000000"/>
        <rFont val="Noto Sans CJK SC"/>
        <family val="2"/>
      </rPr>
      <t xml:space="preserve">／快取 </t>
    </r>
    <r>
      <rPr>
        <sz val="10"/>
        <color rgb="FF000000"/>
        <rFont val="Arial"/>
        <family val="0"/>
        <charset val="1"/>
      </rPr>
      <t xml:space="preserve">0.16</t>
    </r>
    <r>
      <rPr>
        <sz val="10"/>
        <color rgb="FF000000"/>
        <rFont val="Noto Sans CJK SC"/>
        <family val="2"/>
      </rPr>
      <t xml:space="preserve">／輸出 </t>
    </r>
    <r>
      <rPr>
        <sz val="10"/>
        <color rgb="FF000000"/>
        <rFont val="Arial"/>
        <family val="0"/>
        <charset val="1"/>
      </rPr>
      <t xml:space="preserve">2</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</si>
  <si>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SRC_ZP_318</t>
  </si>
  <si>
    <t xml:space="preserve">px_rmb_glm45air_short_cache</t>
  </si>
  <si>
    <r>
      <rPr>
        <sz val="10"/>
        <color rgb="FF000000"/>
        <rFont val="Arial"/>
        <family val="0"/>
        <charset val="1"/>
      </rPr>
      <t xml:space="preserve">GLM-4.5-Air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&lt;0.2K</t>
    </r>
    <r>
      <rPr>
        <sz val="10"/>
        <color rgb="FF000000"/>
        <rFont val="Noto Sans CJK SC"/>
        <family val="2"/>
      </rPr>
      <t xml:space="preserve">，快取命中）</t>
    </r>
  </si>
  <si>
    <t xml:space="preserve">SRC_ZP_319</t>
  </si>
  <si>
    <t xml:space="preserve">px_rmb_glm45air_short_out</t>
  </si>
  <si>
    <r>
      <rPr>
        <sz val="10"/>
        <color rgb="FF000000"/>
        <rFont val="Arial"/>
        <family val="0"/>
        <charset val="1"/>
      </rPr>
      <t xml:space="preserve">GLM-4.5-Air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&lt;0.2K</t>
    </r>
    <r>
      <rPr>
        <sz val="10"/>
        <color rgb="FF000000"/>
        <rFont val="Noto Sans CJK SC"/>
        <family val="2"/>
      </rPr>
      <t xml:space="preserve">，輸出）</t>
    </r>
  </si>
  <si>
    <t xml:space="preserve">SRC_ZP_320</t>
  </si>
  <si>
    <t xml:space="preserve">px_rmb_glm45air_long_out_in</t>
  </si>
  <si>
    <r>
      <rPr>
        <sz val="10"/>
        <color rgb="FF000000"/>
        <rFont val="Arial"/>
        <family val="0"/>
        <charset val="1"/>
      </rPr>
      <t xml:space="preserve">GLM-4.5-Air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0.2K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</si>
  <si>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GLM-4.5-Air </t>
    </r>
    <r>
      <rPr>
        <sz val="10"/>
        <color rgb="FF000000"/>
        <rFont val="Noto Sans CJK SC"/>
        <family val="2"/>
      </rPr>
      <t xml:space="preserve">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0.2K</t>
    </r>
    <r>
      <rPr>
        <sz val="10"/>
        <color rgb="FF000000"/>
        <rFont val="Noto Sans CJK SC"/>
        <family val="2"/>
      </rPr>
      <t xml:space="preserve">：輸入 </t>
    </r>
    <r>
      <rPr>
        <sz val="10"/>
        <color rgb="FF000000"/>
        <rFont val="Arial"/>
        <family val="0"/>
        <charset val="1"/>
      </rPr>
      <t xml:space="preserve">0.8</t>
    </r>
    <r>
      <rPr>
        <sz val="10"/>
        <color rgb="FF000000"/>
        <rFont val="Noto Sans CJK SC"/>
        <family val="2"/>
      </rPr>
      <t xml:space="preserve">／快取 </t>
    </r>
    <r>
      <rPr>
        <sz val="10"/>
        <color rgb="FF000000"/>
        <rFont val="Arial"/>
        <family val="0"/>
        <charset val="1"/>
      </rPr>
      <t xml:space="preserve">0.16</t>
    </r>
    <r>
      <rPr>
        <sz val="10"/>
        <color rgb="FF000000"/>
        <rFont val="Noto Sans CJK SC"/>
        <family val="2"/>
      </rPr>
      <t xml:space="preserve">／輸出 </t>
    </r>
    <r>
      <rPr>
        <sz val="10"/>
        <color rgb="FF000000"/>
        <rFont val="Arial"/>
        <family val="0"/>
        <charset val="1"/>
      </rPr>
      <t xml:space="preserve">6</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</si>
  <si>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SRC_ZP_321</t>
  </si>
  <si>
    <t xml:space="preserve">px_rmb_glm45air_long_out_cache</t>
  </si>
  <si>
    <r>
      <rPr>
        <sz val="10"/>
        <color rgb="FF000000"/>
        <rFont val="Arial"/>
        <family val="0"/>
        <charset val="1"/>
      </rPr>
      <t xml:space="preserve">GLM-4.5-Air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0.2K</t>
    </r>
    <r>
      <rPr>
        <sz val="10"/>
        <color rgb="FF000000"/>
        <rFont val="Noto Sans CJK SC"/>
        <family val="2"/>
      </rPr>
      <t xml:space="preserve">，快取命中）</t>
    </r>
  </si>
  <si>
    <t xml:space="preserve">SRC_ZP_322</t>
  </si>
  <si>
    <t xml:space="preserve">px_rmb_glm45air_long_out_out</t>
  </si>
  <si>
    <r>
      <rPr>
        <sz val="10"/>
        <color rgb="FF000000"/>
        <rFont val="Arial"/>
        <family val="0"/>
        <charset val="1"/>
      </rPr>
      <t xml:space="preserve">GLM-4.5-Air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0.2K</t>
    </r>
    <r>
      <rPr>
        <sz val="10"/>
        <color rgb="FF000000"/>
        <rFont val="Noto Sans CJK SC"/>
        <family val="2"/>
      </rPr>
      <t xml:space="preserve">，輸出）</t>
    </r>
  </si>
  <si>
    <t xml:space="preserve">SRC_ZP_323</t>
  </si>
  <si>
    <t xml:space="preserve">px_rmb_glm45air_32k128k_in</t>
  </si>
  <si>
    <r>
      <rPr>
        <sz val="10"/>
        <color rgb="FF000000"/>
        <rFont val="Arial"/>
        <family val="0"/>
        <charset val="1"/>
      </rPr>
      <t xml:space="preserve">GLM-4.5-Air </t>
    </r>
    <r>
      <rPr>
        <sz val="10"/>
        <color rgb="FF000000"/>
        <rFont val="Noto Sans CJK SC"/>
        <family val="2"/>
      </rPr>
      <t xml:space="preserve">開放平台牌價（輸入 </t>
    </r>
    <r>
      <rPr>
        <sz val="10"/>
        <color rgb="FF000000"/>
        <rFont val="Arial"/>
        <family val="0"/>
        <charset val="1"/>
      </rPr>
      <t xml:space="preserve">32K–128K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</si>
  <si>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GLM-4.5-Air </t>
    </r>
    <r>
      <rPr>
        <sz val="10"/>
        <color rgb="FF000000"/>
        <rFont val="Noto Sans CJK SC"/>
        <family val="2"/>
      </rPr>
      <t xml:space="preserve">輸入 </t>
    </r>
    <r>
      <rPr>
        <sz val="10"/>
        <color rgb="FF000000"/>
        <rFont val="Arial"/>
        <family val="0"/>
        <charset val="1"/>
      </rPr>
      <t xml:space="preserve">32K–128K</t>
    </r>
    <r>
      <rPr>
        <sz val="10"/>
        <color rgb="FF000000"/>
        <rFont val="Noto Sans CJK SC"/>
        <family val="2"/>
      </rPr>
      <t xml:space="preserve">：輸入 </t>
    </r>
    <r>
      <rPr>
        <sz val="10"/>
        <color rgb="FF000000"/>
        <rFont val="Arial"/>
        <family val="0"/>
        <charset val="1"/>
      </rPr>
      <t xml:space="preserve">1.2</t>
    </r>
    <r>
      <rPr>
        <sz val="10"/>
        <color rgb="FF000000"/>
        <rFont val="Noto Sans CJK SC"/>
        <family val="2"/>
      </rPr>
      <t xml:space="preserve">／快取 </t>
    </r>
    <r>
      <rPr>
        <sz val="10"/>
        <color rgb="FF000000"/>
        <rFont val="Arial"/>
        <family val="0"/>
        <charset val="1"/>
      </rPr>
      <t xml:space="preserve">0.24</t>
    </r>
    <r>
      <rPr>
        <sz val="10"/>
        <color rgb="FF000000"/>
        <rFont val="Noto Sans CJK SC"/>
        <family val="2"/>
      </rPr>
      <t xml:space="preserve">／輸出 </t>
    </r>
    <r>
      <rPr>
        <sz val="10"/>
        <color rgb="FF000000"/>
        <rFont val="Arial"/>
        <family val="0"/>
        <charset val="1"/>
      </rPr>
      <t xml:space="preserve">8</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</si>
  <si>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SRC_ZP_324</t>
  </si>
  <si>
    <t xml:space="preserve">px_rmb_glm45air_32k128k_cache</t>
  </si>
  <si>
    <r>
      <rPr>
        <sz val="10"/>
        <color rgb="FF000000"/>
        <rFont val="Arial"/>
        <family val="0"/>
        <charset val="1"/>
      </rPr>
      <t xml:space="preserve">GLM-4.5-Air </t>
    </r>
    <r>
      <rPr>
        <sz val="10"/>
        <color rgb="FF000000"/>
        <rFont val="Noto Sans CJK SC"/>
        <family val="2"/>
      </rPr>
      <t xml:space="preserve">開放平台牌價（輸入 </t>
    </r>
    <r>
      <rPr>
        <sz val="10"/>
        <color rgb="FF000000"/>
        <rFont val="Arial"/>
        <family val="0"/>
        <charset val="1"/>
      </rPr>
      <t xml:space="preserve">32K–128K</t>
    </r>
    <r>
      <rPr>
        <sz val="10"/>
        <color rgb="FF000000"/>
        <rFont val="Noto Sans CJK SC"/>
        <family val="2"/>
      </rPr>
      <t xml:space="preserve">，快取命中）</t>
    </r>
  </si>
  <si>
    <t xml:space="preserve">SRC_ZP_325</t>
  </si>
  <si>
    <t xml:space="preserve">px_rmb_glm45air_32k128k_out</t>
  </si>
  <si>
    <r>
      <rPr>
        <sz val="10"/>
        <color rgb="FF000000"/>
        <rFont val="Arial"/>
        <family val="0"/>
        <charset val="1"/>
      </rPr>
      <t xml:space="preserve">GLM-4.5-Air </t>
    </r>
    <r>
      <rPr>
        <sz val="10"/>
        <color rgb="FF000000"/>
        <rFont val="Noto Sans CJK SC"/>
        <family val="2"/>
      </rPr>
      <t xml:space="preserve">開放平台牌價（輸入 </t>
    </r>
    <r>
      <rPr>
        <sz val="10"/>
        <color rgb="FF000000"/>
        <rFont val="Arial"/>
        <family val="0"/>
        <charset val="1"/>
      </rPr>
      <t xml:space="preserve">32K–128K</t>
    </r>
    <r>
      <rPr>
        <sz val="10"/>
        <color rgb="FF000000"/>
        <rFont val="Noto Sans CJK SC"/>
        <family val="2"/>
      </rPr>
      <t xml:space="preserve">，輸出）</t>
    </r>
  </si>
  <si>
    <t xml:space="preserve">SRC_ZP_326</t>
  </si>
  <si>
    <t xml:space="preserve">px_rmb_glm47flashx_in</t>
  </si>
  <si>
    <r>
      <rPr>
        <sz val="10"/>
        <color rgb="FF000000"/>
        <rFont val="Arial"/>
        <family val="0"/>
        <charset val="1"/>
      </rPr>
      <t xml:space="preserve">GLM-4.7-FlashX </t>
    </r>
    <r>
      <rPr>
        <sz val="10"/>
        <color rgb="FF000000"/>
        <rFont val="Noto Sans CJK SC"/>
        <family val="2"/>
      </rPr>
      <t xml:space="preserve">開放平台牌價（</t>
    </r>
    <r>
      <rPr>
        <sz val="10"/>
        <color rgb="FF000000"/>
        <rFont val="Arial"/>
        <family val="0"/>
        <charset val="1"/>
      </rPr>
      <t xml:space="preserve">200K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</si>
  <si>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GLM-4.7-FlashX 200K</t>
    </r>
    <r>
      <rPr>
        <sz val="10"/>
        <color rgb="FF000000"/>
        <rFont val="Noto Sans CJK SC"/>
        <family val="2"/>
      </rPr>
      <t xml:space="preserve">：輸入 </t>
    </r>
    <r>
      <rPr>
        <sz val="10"/>
        <color rgb="FF000000"/>
        <rFont val="Arial"/>
        <family val="0"/>
        <charset val="1"/>
      </rPr>
      <t xml:space="preserve">0.5</t>
    </r>
    <r>
      <rPr>
        <sz val="10"/>
        <color rgb="FF000000"/>
        <rFont val="Noto Sans CJK SC"/>
        <family val="2"/>
      </rPr>
      <t xml:space="preserve">／快取 </t>
    </r>
    <r>
      <rPr>
        <sz val="10"/>
        <color rgb="FF000000"/>
        <rFont val="Arial"/>
        <family val="0"/>
        <charset val="1"/>
      </rPr>
      <t xml:space="preserve">0.1</t>
    </r>
    <r>
      <rPr>
        <sz val="10"/>
        <color rgb="FF000000"/>
        <rFont val="Noto Sans CJK SC"/>
        <family val="2"/>
      </rPr>
      <t xml:space="preserve">／輸出 </t>
    </r>
    <r>
      <rPr>
        <sz val="10"/>
        <color rgb="FF000000"/>
        <rFont val="Arial"/>
        <family val="0"/>
        <charset val="1"/>
      </rPr>
      <t xml:space="preserve">3</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</si>
  <si>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SRC_ZP_327</t>
  </si>
  <si>
    <t xml:space="preserve">px_rmb_glm47flashx_cache</t>
  </si>
  <si>
    <r>
      <rPr>
        <sz val="10"/>
        <color rgb="FF000000"/>
        <rFont val="Arial"/>
        <family val="0"/>
        <charset val="1"/>
      </rPr>
      <t xml:space="preserve">GLM-4.7-FlashX </t>
    </r>
    <r>
      <rPr>
        <sz val="10"/>
        <color rgb="FF000000"/>
        <rFont val="Noto Sans CJK SC"/>
        <family val="2"/>
      </rPr>
      <t xml:space="preserve">開放平台牌價（</t>
    </r>
    <r>
      <rPr>
        <sz val="10"/>
        <color rgb="FF000000"/>
        <rFont val="Arial"/>
        <family val="0"/>
        <charset val="1"/>
      </rPr>
      <t xml:space="preserve">200K</t>
    </r>
    <r>
      <rPr>
        <sz val="10"/>
        <color rgb="FF000000"/>
        <rFont val="Noto Sans CJK SC"/>
        <family val="2"/>
      </rPr>
      <t xml:space="preserve">，快取命中）</t>
    </r>
  </si>
  <si>
    <t xml:space="preserve">SRC_ZP_328</t>
  </si>
  <si>
    <t xml:space="preserve">px_rmb_glm47flashx_out</t>
  </si>
  <si>
    <r>
      <rPr>
        <sz val="10"/>
        <color rgb="FF000000"/>
        <rFont val="Arial"/>
        <family val="0"/>
        <charset val="1"/>
      </rPr>
      <t xml:space="preserve">GLM-4.7-FlashX </t>
    </r>
    <r>
      <rPr>
        <sz val="10"/>
        <color rgb="FF000000"/>
        <rFont val="Noto Sans CJK SC"/>
        <family val="2"/>
      </rPr>
      <t xml:space="preserve">開放平台牌價（</t>
    </r>
    <r>
      <rPr>
        <sz val="10"/>
        <color rgb="FF000000"/>
        <rFont val="Arial"/>
        <family val="0"/>
        <charset val="1"/>
      </rPr>
      <t xml:space="preserve">200K</t>
    </r>
    <r>
      <rPr>
        <sz val="10"/>
        <color rgb="FF000000"/>
        <rFont val="Noto Sans CJK SC"/>
        <family val="2"/>
      </rPr>
      <t xml:space="preserve">，輸出）</t>
    </r>
  </si>
  <si>
    <t xml:space="preserve">SRC_ZP_329</t>
  </si>
  <si>
    <t xml:space="preserve">px_rmb_glm53flash_in</t>
  </si>
  <si>
    <r>
      <rPr>
        <sz val="10"/>
        <color rgb="FF000000"/>
        <rFont val="Arial"/>
        <family val="0"/>
        <charset val="1"/>
      </rPr>
      <t xml:space="preserve">GLM-5.3-Flash </t>
    </r>
    <r>
      <rPr>
        <sz val="10"/>
        <color rgb="FF000000"/>
        <rFont val="Noto Sans CJK SC"/>
        <family val="2"/>
      </rPr>
      <t xml:space="preserve">開放平台牌價（</t>
    </r>
    <r>
      <rPr>
        <sz val="10"/>
        <color rgb="FF000000"/>
        <rFont val="Arial"/>
        <family val="0"/>
        <charset val="1"/>
      </rPr>
      <t xml:space="preserve">1M</t>
    </r>
    <r>
      <rPr>
        <sz val="10"/>
        <color rgb="FF000000"/>
        <rFont val="Noto Sans CJK SC"/>
        <family val="2"/>
      </rPr>
      <t xml:space="preserve">（原價；限時五折見 </t>
    </r>
    <r>
      <rPr>
        <sz val="10"/>
        <color rgb="FF000000"/>
        <rFont val="Arial"/>
        <family val="0"/>
        <charset val="1"/>
      </rPr>
      <t xml:space="preserve">note</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</si>
  <si>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GLM-5.3-Flash 1M</t>
    </r>
    <r>
      <rPr>
        <sz val="10"/>
        <color rgb="FF000000"/>
        <rFont val="Noto Sans CJK SC"/>
        <family val="2"/>
      </rPr>
      <t xml:space="preserve">（原價；限時五折見 </t>
    </r>
    <r>
      <rPr>
        <sz val="10"/>
        <color rgb="FF000000"/>
        <rFont val="Arial"/>
        <family val="0"/>
        <charset val="1"/>
      </rPr>
      <t xml:space="preserve">note</t>
    </r>
    <r>
      <rPr>
        <sz val="10"/>
        <color rgb="FF000000"/>
        <rFont val="Noto Sans CJK SC"/>
        <family val="2"/>
      </rPr>
      <t xml:space="preserve">）：輸入 </t>
    </r>
    <r>
      <rPr>
        <sz val="10"/>
        <color rgb="FF000000"/>
        <rFont val="Arial"/>
        <family val="0"/>
        <charset val="1"/>
      </rPr>
      <t xml:space="preserve">0.8</t>
    </r>
    <r>
      <rPr>
        <sz val="10"/>
        <color rgb="FF000000"/>
        <rFont val="Noto Sans CJK SC"/>
        <family val="2"/>
      </rPr>
      <t xml:space="preserve">／快取 </t>
    </r>
    <r>
      <rPr>
        <sz val="10"/>
        <color rgb="FF000000"/>
        <rFont val="Arial"/>
        <family val="0"/>
        <charset val="1"/>
      </rPr>
      <t xml:space="preserve">0.23</t>
    </r>
    <r>
      <rPr>
        <sz val="10"/>
        <color rgb="FF000000"/>
        <rFont val="Noto Sans CJK SC"/>
        <family val="2"/>
      </rPr>
      <t xml:space="preserve">／輸出 </t>
    </r>
    <r>
      <rPr>
        <sz val="10"/>
        <color rgb="FF000000"/>
        <rFont val="Arial"/>
        <family val="0"/>
        <charset val="1"/>
      </rPr>
      <t xml:space="preserve">2.8</t>
    </r>
    <r>
      <rPr>
        <sz val="10"/>
        <color rgb="FF000000"/>
        <rFont val="Noto Sans CJK SC"/>
        <family val="2"/>
      </rPr>
      <t xml:space="preserve">；限時五折 </t>
    </r>
    <r>
      <rPr>
        <sz val="10"/>
        <color rgb="FF000000"/>
        <rFont val="Arial"/>
        <family val="0"/>
        <charset val="1"/>
      </rPr>
      <t xml:space="preserve">0.4</t>
    </r>
    <r>
      <rPr>
        <sz val="10"/>
        <color rgb="FF000000"/>
        <rFont val="Noto Sans CJK SC"/>
        <family val="2"/>
      </rPr>
      <t xml:space="preserve">／</t>
    </r>
    <r>
      <rPr>
        <sz val="10"/>
        <color rgb="FF000000"/>
        <rFont val="Arial"/>
        <family val="0"/>
        <charset val="1"/>
      </rPr>
      <t xml:space="preserve">0.115</t>
    </r>
    <r>
      <rPr>
        <sz val="10"/>
        <color rgb="FF000000"/>
        <rFont val="Noto Sans CJK SC"/>
        <family val="2"/>
      </rPr>
      <t xml:space="preserve">／</t>
    </r>
    <r>
      <rPr>
        <sz val="10"/>
        <color rgb="FF000000"/>
        <rFont val="Arial"/>
        <family val="0"/>
        <charset val="1"/>
      </rPr>
      <t xml:space="preserve">1.4</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</si>
  <si>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SRC_ZP_330</t>
  </si>
  <si>
    <t xml:space="preserve">px_rmb_glm53flash_cache</t>
  </si>
  <si>
    <r>
      <rPr>
        <sz val="10"/>
        <color rgb="FF000000"/>
        <rFont val="Arial"/>
        <family val="0"/>
        <charset val="1"/>
      </rPr>
      <t xml:space="preserve">GLM-5.3-Flash </t>
    </r>
    <r>
      <rPr>
        <sz val="10"/>
        <color rgb="FF000000"/>
        <rFont val="Noto Sans CJK SC"/>
        <family val="2"/>
      </rPr>
      <t xml:space="preserve">開放平台牌價（</t>
    </r>
    <r>
      <rPr>
        <sz val="10"/>
        <color rgb="FF000000"/>
        <rFont val="Arial"/>
        <family val="0"/>
        <charset val="1"/>
      </rPr>
      <t xml:space="preserve">1M</t>
    </r>
    <r>
      <rPr>
        <sz val="10"/>
        <color rgb="FF000000"/>
        <rFont val="Noto Sans CJK SC"/>
        <family val="2"/>
      </rPr>
      <t xml:space="preserve">（原價；限時五折見 </t>
    </r>
    <r>
      <rPr>
        <sz val="10"/>
        <color rgb="FF000000"/>
        <rFont val="Arial"/>
        <family val="0"/>
        <charset val="1"/>
      </rPr>
      <t xml:space="preserve">note</t>
    </r>
    <r>
      <rPr>
        <sz val="10"/>
        <color rgb="FF000000"/>
        <rFont val="Noto Sans CJK SC"/>
        <family val="2"/>
      </rPr>
      <t xml:space="preserve">），快取命中）</t>
    </r>
  </si>
  <si>
    <t xml:space="preserve">SRC_ZP_331</t>
  </si>
  <si>
    <t xml:space="preserve">px_rmb_glm53flash_out</t>
  </si>
  <si>
    <r>
      <rPr>
        <sz val="10"/>
        <color rgb="FF000000"/>
        <rFont val="Arial"/>
        <family val="0"/>
        <charset val="1"/>
      </rPr>
      <t xml:space="preserve">GLM-5.3-Flash </t>
    </r>
    <r>
      <rPr>
        <sz val="10"/>
        <color rgb="FF000000"/>
        <rFont val="Noto Sans CJK SC"/>
        <family val="2"/>
      </rPr>
      <t xml:space="preserve">開放平台牌價（</t>
    </r>
    <r>
      <rPr>
        <sz val="10"/>
        <color rgb="FF000000"/>
        <rFont val="Arial"/>
        <family val="0"/>
        <charset val="1"/>
      </rPr>
      <t xml:space="preserve">1M</t>
    </r>
    <r>
      <rPr>
        <sz val="10"/>
        <color rgb="FF000000"/>
        <rFont val="Noto Sans CJK SC"/>
        <family val="2"/>
      </rPr>
      <t xml:space="preserve">（原價；限時五折見 </t>
    </r>
    <r>
      <rPr>
        <sz val="10"/>
        <color rgb="FF000000"/>
        <rFont val="Arial"/>
        <family val="0"/>
        <charset val="1"/>
      </rPr>
      <t xml:space="preserve">note</t>
    </r>
    <r>
      <rPr>
        <sz val="10"/>
        <color rgb="FF000000"/>
        <rFont val="Noto Sans CJK SC"/>
        <family val="2"/>
      </rPr>
      <t xml:space="preserve">），輸出）</t>
    </r>
  </si>
  <si>
    <t xml:space="preserve">SRC_ZP_332</t>
  </si>
  <si>
    <t xml:space="preserve">px_rmb_batch_discount</t>
  </si>
  <si>
    <r>
      <rPr>
        <sz val="10"/>
        <color rgb="FF000000"/>
        <rFont val="Noto Sans CJK SC"/>
        <family val="2"/>
      </rPr>
      <t xml:space="preserve">開放平台 </t>
    </r>
    <r>
      <rPr>
        <sz val="10"/>
        <color rgb="FF000000"/>
        <rFont val="Arial"/>
        <family val="0"/>
        <charset val="1"/>
      </rPr>
      <t xml:space="preserve">Batch API </t>
    </r>
    <r>
      <rPr>
        <sz val="10"/>
        <color rgb="FF000000"/>
        <rFont val="Noto Sans CJK SC"/>
        <family val="2"/>
      </rPr>
      <t xml:space="preserve">折扣</t>
    </r>
  </si>
  <si>
    <t xml:space="preserve">倍（原價）</t>
  </si>
  <si>
    <t xml:space="preserve">2026-08</t>
  </si>
  <si>
    <r>
      <rPr>
        <sz val="10"/>
        <color rgb="FF000000"/>
        <rFont val="Noto Sans CJK SC"/>
        <family val="2"/>
      </rPr>
      <t xml:space="preserve">引官方說明 </t>
    </r>
    <r>
      <rPr>
        <sz val="10"/>
        <color rgb="FF000000"/>
        <rFont val="Arial"/>
        <family val="0"/>
        <charset val="1"/>
      </rPr>
      <t xml:space="preserve">Batch API</t>
    </r>
    <r>
      <rPr>
        <sz val="10"/>
        <color rgb="FF000000"/>
        <rFont val="Noto Sans CJK SC"/>
        <family val="2"/>
      </rPr>
      <t xml:space="preserve">「只需五折費用」</t>
    </r>
  </si>
  <si>
    <t xml:space="preserve">SRC_ZP_333</t>
  </si>
  <si>
    <t xml:space="preserve">px_rmb_glm47flash_free</t>
  </si>
  <si>
    <r>
      <rPr>
        <sz val="10"/>
        <color rgb="FF000000"/>
        <rFont val="Arial"/>
        <family val="0"/>
        <charset val="1"/>
      </rPr>
      <t xml:space="preserve">GLM-4.7-Flash </t>
    </r>
    <r>
      <rPr>
        <sz val="10"/>
        <color rgb="FF000000"/>
        <rFont val="Noto Sans CJK SC"/>
        <family val="2"/>
      </rPr>
      <t xml:space="preserve">開放平台價格</t>
    </r>
  </si>
  <si>
    <r>
      <rPr>
        <sz val="10"/>
        <color rgb="FF000000"/>
        <rFont val="Noto Sans CJK SC"/>
        <family val="2"/>
      </rPr>
      <t xml:space="preserve">價目表輸入／輸出／快取皆標「免費」，稱長期免費；</t>
    </r>
    <r>
      <rPr>
        <sz val="10"/>
        <color rgb="FF000000"/>
        <rFont val="Arial"/>
        <family val="0"/>
        <charset val="1"/>
      </rPr>
      <t xml:space="preserve">GLM-4.5-Flash </t>
    </r>
    <r>
      <rPr>
        <sz val="10"/>
        <color rgb="FF000000"/>
        <rFont val="Noto Sans CJK SC"/>
        <family val="2"/>
      </rPr>
      <t xml:space="preserve">已於 </t>
    </r>
    <r>
      <rPr>
        <sz val="10"/>
        <color rgb="FF000000"/>
        <rFont val="Arial"/>
        <family val="0"/>
        <charset val="1"/>
      </rPr>
      <t xml:space="preserve">2026-01-30 </t>
    </r>
    <r>
      <rPr>
        <sz val="10"/>
        <color rgb="FF000000"/>
        <rFont val="Noto Sans CJK SC"/>
        <family val="2"/>
      </rPr>
      <t xml:space="preserve">下線改路由至 </t>
    </r>
    <r>
      <rPr>
        <sz val="10"/>
        <color rgb="FF000000"/>
        <rFont val="Arial"/>
        <family val="0"/>
        <charset val="1"/>
      </rPr>
      <t xml:space="preserve">4.7-Flash</t>
    </r>
  </si>
  <si>
    <t xml:space="preserve">SRC_ZP_334</t>
  </si>
  <si>
    <t xml:space="preserve">px_rmb_glm52_huaweicloud_in</t>
  </si>
  <si>
    <r>
      <rPr>
        <sz val="10"/>
        <color rgb="FF000000"/>
        <rFont val="Arial"/>
        <family val="0"/>
        <charset val="1"/>
      </rPr>
      <t xml:space="preserve">GLM-5.2 </t>
    </r>
    <r>
      <rPr>
        <sz val="10"/>
        <color rgb="FF000000"/>
        <rFont val="Noto Sans CJK SC"/>
        <family val="2"/>
      </rPr>
      <t xml:space="preserve">華為雲 </t>
    </r>
    <r>
      <rPr>
        <sz val="10"/>
        <color rgb="FF000000"/>
        <rFont val="Arial"/>
        <family val="0"/>
        <charset val="1"/>
      </rPr>
      <t xml:space="preserve">MaaS </t>
    </r>
    <r>
      <rPr>
        <sz val="10"/>
        <color rgb="FF000000"/>
        <rFont val="Noto Sans CJK SC"/>
        <family val="2"/>
      </rPr>
      <t xml:space="preserve">價（輸入，區間）</t>
    </r>
  </si>
  <si>
    <r>
      <rPr>
        <sz val="10"/>
        <color rgb="FF000000"/>
        <rFont val="Noto Sans CJK SC"/>
        <family val="2"/>
      </rPr>
      <t xml:space="preserve">華為雲 </t>
    </r>
    <r>
      <rPr>
        <sz val="10"/>
        <color rgb="FF000000"/>
        <rFont val="Arial"/>
        <family val="0"/>
        <charset val="1"/>
      </rPr>
      <t xml:space="preserve">ModelArts Studio MaaS GLM </t>
    </r>
    <r>
      <rPr>
        <sz val="10"/>
        <color rgb="FF000000"/>
        <rFont val="Noto Sans CJK SC"/>
        <family val="2"/>
      </rPr>
      <t xml:space="preserve">頁</t>
    </r>
  </si>
  <si>
    <t xml:space="preserve">https://www.huaweicloud.com/product/modelarts/studio/maas-GLM.html</t>
  </si>
  <si>
    <t xml:space="preserve">華為雲：合作方宣傳、雲平台導流誘因</t>
  </si>
  <si>
    <t xml:space="preserve">未評</t>
  </si>
  <si>
    <r>
      <rPr>
        <sz val="10"/>
        <color rgb="FF000000"/>
        <rFont val="Noto Sans CJK SC"/>
        <family val="2"/>
      </rPr>
      <t xml:space="preserve">頁示「推理輸入 </t>
    </r>
    <r>
      <rPr>
        <sz val="10"/>
        <color rgb="FF000000"/>
        <rFont val="Arial"/>
        <family val="0"/>
        <charset val="1"/>
      </rPr>
      <t xml:space="preserve">¥5.60 - ¥8.00 / </t>
    </r>
    <r>
      <rPr>
        <sz val="10"/>
        <color rgb="FF000000"/>
        <rFont val="Noto Sans CJK SC"/>
        <family val="2"/>
      </rPr>
      <t xml:space="preserve">百萬</t>
    </r>
    <r>
      <rPr>
        <sz val="10"/>
        <color rgb="FF000000"/>
        <rFont val="Arial"/>
        <family val="0"/>
        <charset val="1"/>
      </rPr>
      <t xml:space="preserve">tokens</t>
    </r>
    <r>
      <rPr>
        <sz val="10"/>
        <color rgb="FF000000"/>
        <rFont val="Noto Sans CJK SC"/>
        <family val="2"/>
      </rPr>
      <t xml:space="preserve">」；與 </t>
    </r>
    <r>
      <rPr>
        <sz val="10"/>
        <color rgb="FF000000"/>
        <rFont val="Arial"/>
        <family val="0"/>
        <charset val="1"/>
      </rPr>
      <t xml:space="preserve">bigmodel 8 </t>
    </r>
    <r>
      <rPr>
        <sz val="10"/>
        <color rgb="FF000000"/>
        <rFont val="Noto Sans CJK SC"/>
        <family val="2"/>
      </rPr>
      <t xml:space="preserve">元上限一致，低端或為折扣價</t>
    </r>
  </si>
  <si>
    <t xml:space="preserve">SRC_ZP_335</t>
  </si>
  <si>
    <t xml:space="preserve">px_rmb_glm52_huaweicloud_out</t>
  </si>
  <si>
    <r>
      <rPr>
        <sz val="10"/>
        <color rgb="FF000000"/>
        <rFont val="Arial"/>
        <family val="0"/>
        <charset val="1"/>
      </rPr>
      <t xml:space="preserve">GLM-5.2 </t>
    </r>
    <r>
      <rPr>
        <sz val="10"/>
        <color rgb="FF000000"/>
        <rFont val="Noto Sans CJK SC"/>
        <family val="2"/>
      </rPr>
      <t xml:space="preserve">華為雲 </t>
    </r>
    <r>
      <rPr>
        <sz val="10"/>
        <color rgb="FF000000"/>
        <rFont val="Arial"/>
        <family val="0"/>
        <charset val="1"/>
      </rPr>
      <t xml:space="preserve">MaaS </t>
    </r>
    <r>
      <rPr>
        <sz val="10"/>
        <color rgb="FF000000"/>
        <rFont val="Noto Sans CJK SC"/>
        <family val="2"/>
      </rPr>
      <t xml:space="preserve">價（輸出，區間）</t>
    </r>
  </si>
  <si>
    <r>
      <rPr>
        <sz val="10"/>
        <color rgb="FF000000"/>
        <rFont val="Noto Sans CJK SC"/>
        <family val="2"/>
      </rPr>
      <t xml:space="preserve">頁示「推理輸出 </t>
    </r>
    <r>
      <rPr>
        <sz val="10"/>
        <color rgb="FF000000"/>
        <rFont val="Arial"/>
        <family val="0"/>
        <charset val="1"/>
      </rPr>
      <t xml:space="preserve">¥19.60 - ¥28.00 / </t>
    </r>
    <r>
      <rPr>
        <sz val="10"/>
        <color rgb="FF000000"/>
        <rFont val="Noto Sans CJK SC"/>
        <family val="2"/>
      </rPr>
      <t xml:space="preserve">百萬</t>
    </r>
    <r>
      <rPr>
        <sz val="10"/>
        <color rgb="FF000000"/>
        <rFont val="Arial"/>
        <family val="0"/>
        <charset val="1"/>
      </rPr>
      <t xml:space="preserve">tokens</t>
    </r>
    <r>
      <rPr>
        <sz val="10"/>
        <color rgb="FF000000"/>
        <rFont val="Noto Sans CJK SC"/>
        <family val="2"/>
      </rPr>
      <t xml:space="preserve">」</t>
    </r>
  </si>
  <si>
    <t xml:space="preserve">SRC_ZP_336</t>
  </si>
  <si>
    <t xml:space="preserve">px_rmb_glm45_launch_in</t>
  </si>
  <si>
    <r>
      <rPr>
        <sz val="10"/>
        <color rgb="FF000000"/>
        <rFont val="Arial"/>
        <family val="0"/>
        <charset val="1"/>
      </rPr>
      <t xml:space="preserve">GLM-4.5 </t>
    </r>
    <r>
      <rPr>
        <sz val="10"/>
        <color rgb="FF000000"/>
        <rFont val="Noto Sans CJK SC"/>
        <family val="2"/>
      </rPr>
      <t xml:space="preserve">上市時開放平台價（輸入，最低檔）</t>
    </r>
  </si>
  <si>
    <t xml:space="preserve">2025-07</t>
  </si>
  <si>
    <t xml:space="preserve">愛范兒〈智譜發布新開源模型〉</t>
  </si>
  <si>
    <t xml:space="preserve">https://www.ifanr.com/1632223</t>
  </si>
  <si>
    <t xml:space="preserve">2025-07-29</t>
  </si>
  <si>
    <r>
      <rPr>
        <sz val="10"/>
        <color rgb="FF000000"/>
        <rFont val="Noto Sans CJK SC"/>
        <family val="2"/>
      </rPr>
      <t xml:space="preserve">原文「輸入 </t>
    </r>
    <r>
      <rPr>
        <sz val="10"/>
        <color rgb="FF000000"/>
        <rFont val="Arial"/>
        <family val="0"/>
        <charset val="1"/>
      </rPr>
      <t xml:space="preserve">0.8 </t>
    </r>
    <r>
      <rPr>
        <sz val="10"/>
        <color rgb="FF000000"/>
        <rFont val="Noto Sans CJK SC"/>
        <family val="2"/>
      </rPr>
      <t xml:space="preserve">元</t>
    </r>
    <r>
      <rPr>
        <sz val="10"/>
        <color rgb="FF000000"/>
        <rFont val="Arial"/>
        <family val="0"/>
        <charset val="1"/>
      </rPr>
      <t xml:space="preserve">/</t>
    </r>
    <r>
      <rPr>
        <sz val="10"/>
        <color rgb="FF000000"/>
        <rFont val="Noto Sans CJK SC"/>
        <family val="2"/>
      </rPr>
      <t xml:space="preserve">百萬</t>
    </r>
    <r>
      <rPr>
        <sz val="10"/>
        <color rgb="FF000000"/>
        <rFont val="Arial"/>
        <family val="0"/>
        <charset val="1"/>
      </rPr>
      <t xml:space="preserve">tokens</t>
    </r>
    <r>
      <rPr>
        <sz val="10"/>
        <color rgb="FF000000"/>
        <rFont val="Noto Sans CJK SC"/>
        <family val="2"/>
      </rPr>
      <t xml:space="preserve">」「輸出 </t>
    </r>
    <r>
      <rPr>
        <sz val="10"/>
        <color rgb="FF000000"/>
        <rFont val="Arial"/>
        <family val="0"/>
        <charset val="1"/>
      </rPr>
      <t xml:space="preserve">2 </t>
    </r>
    <r>
      <rPr>
        <sz val="10"/>
        <color rgb="FF000000"/>
        <rFont val="Noto Sans CJK SC"/>
        <family val="2"/>
      </rPr>
      <t xml:space="preserve">元</t>
    </r>
    <r>
      <rPr>
        <sz val="10"/>
        <color rgb="FF000000"/>
        <rFont val="Arial"/>
        <family val="0"/>
        <charset val="1"/>
      </rPr>
      <t xml:space="preserve">/</t>
    </r>
    <r>
      <rPr>
        <sz val="10"/>
        <color rgb="FF000000"/>
        <rFont val="Noto Sans CJK SC"/>
        <family val="2"/>
      </rPr>
      <t xml:space="preserve">百萬</t>
    </r>
    <r>
      <rPr>
        <sz val="10"/>
        <color rgb="FF000000"/>
        <rFont val="Arial"/>
        <family val="0"/>
        <charset val="1"/>
      </rPr>
      <t xml:space="preserve">tokens</t>
    </r>
    <r>
      <rPr>
        <sz val="10"/>
        <color rgb="FF000000"/>
        <rFont val="Noto Sans CJK SC"/>
        <family val="2"/>
      </rPr>
      <t xml:space="preserve">」；為最低檔位價，未列長上下文檔</t>
    </r>
  </si>
  <si>
    <t xml:space="preserve">SRC_ZP_337</t>
  </si>
  <si>
    <t xml:space="preserve">px_rmb_glm45_launch_out</t>
  </si>
  <si>
    <r>
      <rPr>
        <sz val="10"/>
        <color rgb="FF000000"/>
        <rFont val="Arial"/>
        <family val="0"/>
        <charset val="1"/>
      </rPr>
      <t xml:space="preserve">GLM-4.5 </t>
    </r>
    <r>
      <rPr>
        <sz val="10"/>
        <color rgb="FF000000"/>
        <rFont val="Noto Sans CJK SC"/>
        <family val="2"/>
      </rPr>
      <t xml:space="preserve">上市時開放平台價（輸出，最低檔）</t>
    </r>
  </si>
  <si>
    <t xml:space="preserve">SRC_ZP_338</t>
  </si>
  <si>
    <t xml:space="preserve">px_rmb_glm4plus_cut_2025</t>
  </si>
  <si>
    <r>
      <rPr>
        <sz val="10"/>
        <color rgb="FF000000"/>
        <rFont val="Arial"/>
        <family val="0"/>
        <charset val="1"/>
      </rPr>
      <t xml:space="preserve">GLM-4-Plus </t>
    </r>
    <r>
      <rPr>
        <sz val="10"/>
        <color rgb="FF000000"/>
        <rFont val="Noto Sans CJK SC"/>
        <family val="2"/>
      </rPr>
      <t xml:space="preserve">降價後價格</t>
    </r>
  </si>
  <si>
    <t xml:space="preserve">2025-04-24</t>
  </si>
  <si>
    <r>
      <rPr>
        <sz val="10"/>
        <color rgb="FF000000"/>
        <rFont val="Noto Sans CJK SC"/>
        <family val="2"/>
      </rPr>
      <t xml:space="preserve">愛范兒〈</t>
    </r>
    <r>
      <rPr>
        <sz val="10"/>
        <color rgb="FF000000"/>
        <rFont val="Arial"/>
        <family val="0"/>
        <charset val="1"/>
      </rPr>
      <t xml:space="preserve">BigModel </t>
    </r>
    <r>
      <rPr>
        <sz val="10"/>
        <color rgb="FF000000"/>
        <rFont val="Noto Sans CJK SC"/>
        <family val="2"/>
      </rPr>
      <t xml:space="preserve">進入「億」時代〉</t>
    </r>
  </si>
  <si>
    <t xml:space="preserve">https://www.ifanr.com/1621829</t>
  </si>
  <si>
    <r>
      <rPr>
        <sz val="10"/>
        <color rgb="FF000000"/>
        <rFont val="Arial"/>
        <family val="0"/>
        <charset val="1"/>
      </rPr>
      <t xml:space="preserve">GLM-4-Plus </t>
    </r>
    <r>
      <rPr>
        <sz val="10"/>
        <color rgb="FF000000"/>
        <rFont val="Noto Sans CJK SC"/>
        <family val="2"/>
      </rPr>
      <t xml:space="preserve">降價 </t>
    </r>
    <r>
      <rPr>
        <sz val="10"/>
        <color rgb="FF000000"/>
        <rFont val="Arial"/>
        <family val="0"/>
        <charset val="1"/>
      </rPr>
      <t xml:space="preserve">90%</t>
    </r>
    <r>
      <rPr>
        <sz val="10"/>
        <color rgb="FF000000"/>
        <rFont val="Noto Sans CJK SC"/>
        <family val="2"/>
      </rPr>
      <t xml:space="preserve">，由 </t>
    </r>
    <r>
      <rPr>
        <sz val="10"/>
        <color rgb="FF000000"/>
        <rFont val="Arial"/>
        <family val="0"/>
        <charset val="1"/>
      </rPr>
      <t xml:space="preserve">50 </t>
    </r>
    <r>
      <rPr>
        <sz val="10"/>
        <color rgb="FF000000"/>
        <rFont val="Noto Sans CJK SC"/>
        <family val="2"/>
      </rPr>
      <t xml:space="preserve">元降至 </t>
    </r>
    <r>
      <rPr>
        <sz val="10"/>
        <color rgb="FF000000"/>
        <rFont val="Arial"/>
        <family val="0"/>
        <charset val="1"/>
      </rPr>
      <t xml:space="preserve">5 </t>
    </r>
    <r>
      <rPr>
        <sz val="10"/>
        <color rgb="FF000000"/>
        <rFont val="Noto Sans CJK SC"/>
        <family val="2"/>
      </rPr>
      <t xml:space="preserve">元</t>
    </r>
    <r>
      <rPr>
        <sz val="10"/>
        <color rgb="FF000000"/>
        <rFont val="Arial"/>
        <family val="0"/>
        <charset val="1"/>
      </rPr>
      <t xml:space="preserve">/</t>
    </r>
    <r>
      <rPr>
        <sz val="10"/>
        <color rgb="FF000000"/>
        <rFont val="Noto Sans CJK SC"/>
        <family val="2"/>
      </rPr>
      <t xml:space="preserve">百萬 </t>
    </r>
    <r>
      <rPr>
        <sz val="10"/>
        <color rgb="FF000000"/>
        <rFont val="Arial"/>
        <family val="0"/>
        <charset val="1"/>
      </rPr>
      <t xml:space="preserve">Tokens</t>
    </r>
    <r>
      <rPr>
        <sz val="10"/>
        <color rgb="FF000000"/>
        <rFont val="Noto Sans CJK SC"/>
        <family val="2"/>
      </rPr>
      <t xml:space="preserve">（輸入輸出同價）；價格戰期間事件</t>
    </r>
  </si>
  <si>
    <t xml:space="preserve">SRC_ZP_339</t>
  </si>
  <si>
    <t xml:space="preserve">px_usd_glm46_launch_in</t>
  </si>
  <si>
    <r>
      <rPr>
        <sz val="10"/>
        <color rgb="FF000000"/>
        <rFont val="Arial"/>
        <family val="0"/>
        <charset val="1"/>
      </rPr>
      <t xml:space="preserve">GLM-4.6 </t>
    </r>
    <r>
      <rPr>
        <sz val="10"/>
        <color rgb="FF000000"/>
        <rFont val="Noto Sans CJK SC"/>
        <family val="2"/>
      </rPr>
      <t xml:space="preserve">上市時國際站價（輸入）</t>
    </r>
  </si>
  <si>
    <t xml:space="preserve">2025-09-30</t>
  </si>
  <si>
    <r>
      <rPr>
        <sz val="10"/>
        <color rgb="FF000000"/>
        <rFont val="Arial"/>
        <family val="0"/>
        <charset val="1"/>
      </rPr>
      <t xml:space="preserve">TypingMind Zhipu GLM-4.6 </t>
    </r>
    <r>
      <rPr>
        <sz val="10"/>
        <color rgb="FF000000"/>
        <rFont val="Noto Sans CJK SC"/>
        <family val="2"/>
      </rPr>
      <t xml:space="preserve">價格頁</t>
    </r>
  </si>
  <si>
    <t xml:space="preserve">https://custom.typingmind.com/tools/estimate-llm-usage-costs/zhipuai/glm-4-6</t>
  </si>
  <si>
    <t xml:space="preserve">Analogy</t>
  </si>
  <si>
    <t xml:space="preserve">第三方</t>
  </si>
  <si>
    <t xml:space="preserve">第三方量測或類比資料，非智譜利害方；只作區間參考</t>
  </si>
  <si>
    <r>
      <rPr>
        <sz val="10"/>
        <color rgb="FF000000"/>
        <rFont val="Noto Sans CJK SC"/>
        <family val="2"/>
      </rPr>
      <t xml:space="preserve">頁示 </t>
    </r>
    <r>
      <rPr>
        <sz val="10"/>
        <color rgb="FF000000"/>
        <rFont val="Arial"/>
        <family val="0"/>
        <charset val="1"/>
      </rPr>
      <t xml:space="preserve">Input $0.6000</t>
    </r>
    <r>
      <rPr>
        <sz val="10"/>
        <color rgb="FF000000"/>
        <rFont val="Noto Sans CJK SC"/>
        <family val="2"/>
      </rPr>
      <t xml:space="preserve">、</t>
    </r>
    <r>
      <rPr>
        <sz val="10"/>
        <color rgb="FF000000"/>
        <rFont val="Arial"/>
        <family val="0"/>
        <charset val="1"/>
      </rPr>
      <t xml:space="preserve">Cache read $0.11</t>
    </r>
    <r>
      <rPr>
        <sz val="10"/>
        <color rgb="FF000000"/>
        <rFont val="Noto Sans CJK SC"/>
        <family val="2"/>
      </rPr>
      <t xml:space="preserve">、</t>
    </r>
    <r>
      <rPr>
        <sz val="10"/>
        <color rgb="FF000000"/>
        <rFont val="Arial"/>
        <family val="0"/>
        <charset val="1"/>
      </rPr>
      <t xml:space="preserve">Output $2.20</t>
    </r>
    <r>
      <rPr>
        <sz val="10"/>
        <color rgb="FF000000"/>
        <rFont val="Noto Sans CJK SC"/>
        <family val="2"/>
      </rPr>
      <t xml:space="preserve">，更新日 </t>
    </r>
    <r>
      <rPr>
        <sz val="10"/>
        <color rgb="FF000000"/>
        <rFont val="Arial"/>
        <family val="0"/>
        <charset val="1"/>
      </rPr>
      <t xml:space="preserve">2025-09-30</t>
    </r>
    <r>
      <rPr>
        <sz val="10"/>
        <color rgb="FF000000"/>
        <rFont val="Noto Sans CJK SC"/>
        <family val="2"/>
      </rPr>
      <t xml:space="preserve">；第三方彙整，與現行官方表一致（即上市後未改價）</t>
    </r>
  </si>
  <si>
    <t xml:space="preserve">SRC_ZP_340</t>
  </si>
  <si>
    <t xml:space="preserve">px_usd_glm5_launch_in</t>
  </si>
  <si>
    <r>
      <rPr>
        <sz val="10"/>
        <color rgb="FF000000"/>
        <rFont val="Arial"/>
        <family val="0"/>
        <charset val="1"/>
      </rPr>
      <t xml:space="preserve">GLM-5 </t>
    </r>
    <r>
      <rPr>
        <sz val="10"/>
        <color rgb="FF000000"/>
        <rFont val="Noto Sans CJK SC"/>
        <family val="2"/>
      </rPr>
      <t xml:space="preserve">上市時國際站價（輸入）</t>
    </r>
  </si>
  <si>
    <t xml:space="preserve">2026-02-11</t>
  </si>
  <si>
    <r>
      <rPr>
        <sz val="10"/>
        <color rgb="FF000000"/>
        <rFont val="Arial"/>
        <family val="0"/>
        <charset val="1"/>
      </rPr>
      <t xml:space="preserve">TypingMind Zhipu GLM-5 </t>
    </r>
    <r>
      <rPr>
        <sz val="10"/>
        <color rgb="FF000000"/>
        <rFont val="Noto Sans CJK SC"/>
        <family val="2"/>
      </rPr>
      <t xml:space="preserve">價格頁</t>
    </r>
  </si>
  <si>
    <t xml:space="preserve">https://custom.typingmind.com/tools/estimate-llm-usage-costs/zhipuai/glm-5</t>
  </si>
  <si>
    <r>
      <rPr>
        <sz val="10"/>
        <color rgb="FF000000"/>
        <rFont val="Noto Sans CJK SC"/>
        <family val="2"/>
      </rPr>
      <t xml:space="preserve">「</t>
    </r>
    <r>
      <rPr>
        <sz val="10"/>
        <color rgb="FF000000"/>
        <rFont val="Arial"/>
        <family val="0"/>
        <charset val="1"/>
      </rPr>
      <t xml:space="preserve">priced at $1.00/1M input tokens and $3.20/1M output tokens</t>
    </r>
    <r>
      <rPr>
        <sz val="10"/>
        <color rgb="FF000000"/>
        <rFont val="Noto Sans CJK SC"/>
        <family val="2"/>
      </rPr>
      <t xml:space="preserve">」；更新日 </t>
    </r>
    <r>
      <rPr>
        <sz val="10"/>
        <color rgb="FF000000"/>
        <rFont val="Arial"/>
        <family val="0"/>
        <charset val="1"/>
      </rPr>
      <t xml:space="preserve">2026-02-11</t>
    </r>
    <r>
      <rPr>
        <sz val="10"/>
        <color rgb="FF000000"/>
        <rFont val="Noto Sans CJK SC"/>
        <family val="2"/>
      </rPr>
      <t xml:space="preserve">；與現行官方表一致</t>
    </r>
  </si>
  <si>
    <t xml:space="preserve">SRC_ZP_341</t>
  </si>
  <si>
    <t xml:space="preserve">px_usd_glm53flash_launch</t>
  </si>
  <si>
    <r>
      <rPr>
        <sz val="10"/>
        <color rgb="FF000000"/>
        <rFont val="Arial"/>
        <family val="0"/>
        <charset val="1"/>
      </rPr>
      <t xml:space="preserve">GLM-5.3-Flash </t>
    </r>
    <r>
      <rPr>
        <sz val="10"/>
        <color rgb="FF000000"/>
        <rFont val="Noto Sans CJK SC"/>
        <family val="2"/>
      </rPr>
      <t xml:space="preserve">上市國際站價（輸入）</t>
    </r>
  </si>
  <si>
    <t xml:space="preserve">2026-08-26</t>
  </si>
  <si>
    <r>
      <rPr>
        <sz val="10"/>
        <color rgb="FF000000"/>
        <rFont val="Arial"/>
        <family val="0"/>
        <charset val="1"/>
      </rPr>
      <t xml:space="preserve">80AJ</t>
    </r>
    <r>
      <rPr>
        <sz val="10"/>
        <color rgb="FF000000"/>
        <rFont val="Noto Sans CJK SC"/>
        <family val="2"/>
      </rPr>
      <t xml:space="preserve">〈</t>
    </r>
    <r>
      <rPr>
        <sz val="10"/>
        <color rgb="FF000000"/>
        <rFont val="Arial"/>
        <family val="0"/>
        <charset val="1"/>
      </rPr>
      <t xml:space="preserve">GLM-5.3-Flash </t>
    </r>
    <r>
      <rPr>
        <sz val="10"/>
        <color rgb="FF000000"/>
        <rFont val="Noto Sans CJK SC"/>
        <family val="2"/>
      </rPr>
      <t xml:space="preserve">價格〉（引官方博客）</t>
    </r>
  </si>
  <si>
    <t xml:space="preserve">https://www.80aj.com/2026/08/26/glm-5-3-flash-price-drop/</t>
  </si>
  <si>
    <r>
      <rPr>
        <sz val="10"/>
        <color rgb="FF000000"/>
        <rFont val="Noto Sans CJK SC"/>
        <family val="2"/>
      </rPr>
      <t xml:space="preserve">原文「每百萬 </t>
    </r>
    <r>
      <rPr>
        <sz val="10"/>
        <color rgb="FF000000"/>
        <rFont val="Arial"/>
        <family val="0"/>
        <charset val="1"/>
      </rPr>
      <t xml:space="preserve">tokens </t>
    </r>
    <r>
      <rPr>
        <sz val="10"/>
        <color rgb="FF000000"/>
        <rFont val="Noto Sans CJK SC"/>
        <family val="2"/>
      </rPr>
      <t xml:space="preserve">輸入 </t>
    </r>
    <r>
      <rPr>
        <sz val="10"/>
        <color rgb="FF000000"/>
        <rFont val="Arial"/>
        <family val="0"/>
        <charset val="1"/>
      </rPr>
      <t xml:space="preserve">0.15 </t>
    </r>
    <r>
      <rPr>
        <sz val="10"/>
        <color rgb="FF000000"/>
        <rFont val="Noto Sans CJK SC"/>
        <family val="2"/>
      </rPr>
      <t xml:space="preserve">美元」「輸出 </t>
    </r>
    <r>
      <rPr>
        <sz val="10"/>
        <color rgb="FF000000"/>
        <rFont val="Arial"/>
        <family val="0"/>
        <charset val="1"/>
      </rPr>
      <t xml:space="preserve">0.50 </t>
    </r>
    <r>
      <rPr>
        <sz val="10"/>
        <color rgb="FF000000"/>
        <rFont val="Noto Sans CJK SC"/>
        <family val="2"/>
      </rPr>
      <t xml:space="preserve">美元」快取「</t>
    </r>
    <r>
      <rPr>
        <sz val="10"/>
        <color rgb="FF000000"/>
        <rFont val="Arial"/>
        <family val="0"/>
        <charset val="1"/>
      </rPr>
      <t xml:space="preserve">0.03 </t>
    </r>
    <r>
      <rPr>
        <sz val="10"/>
        <color rgb="FF000000"/>
        <rFont val="Noto Sans CJK SC"/>
        <family val="2"/>
      </rPr>
      <t xml:space="preserve">美元」；與官方表一致</t>
    </r>
  </si>
  <si>
    <t xml:space="preserve">SRC_ZP_342</t>
  </si>
  <si>
    <t xml:space="preserve">pxev_api_overseas_feb2026</t>
  </si>
  <si>
    <r>
      <rPr>
        <sz val="10"/>
        <color rgb="FF000000"/>
        <rFont val="Noto Sans CJK SC"/>
        <family val="2"/>
      </rPr>
      <t xml:space="preserve">海外 </t>
    </r>
    <r>
      <rPr>
        <sz val="10"/>
        <color rgb="FF000000"/>
        <rFont val="Arial"/>
        <family val="0"/>
        <charset val="1"/>
      </rPr>
      <t xml:space="preserve">API </t>
    </r>
    <r>
      <rPr>
        <sz val="10"/>
        <color rgb="FF000000"/>
        <rFont val="Noto Sans CJK SC"/>
        <family val="2"/>
      </rPr>
      <t xml:space="preserve">呼叫價格上調幅度（</t>
    </r>
    <r>
      <rPr>
        <sz val="10"/>
        <color rgb="FF000000"/>
        <rFont val="Arial"/>
        <family val="0"/>
        <charset val="1"/>
      </rPr>
      <t xml:space="preserve">2026-02-12</t>
    </r>
    <r>
      <rPr>
        <sz val="10"/>
        <color rgb="FF000000"/>
        <rFont val="Noto Sans CJK SC"/>
        <family val="2"/>
      </rPr>
      <t xml:space="preserve">）</t>
    </r>
  </si>
  <si>
    <t xml:space="preserve">2026-02-12</t>
  </si>
  <si>
    <r>
      <rPr>
        <sz val="10"/>
        <color rgb="FF000000"/>
        <rFont val="Arial"/>
        <family val="0"/>
        <charset val="1"/>
      </rPr>
      <t xml:space="preserve">AIbase</t>
    </r>
    <r>
      <rPr>
        <sz val="10"/>
        <color rgb="FF000000"/>
        <rFont val="Noto Sans CJK SC"/>
        <family val="2"/>
      </rPr>
      <t xml:space="preserve">〈智譜連發兩項重磅動作〉</t>
    </r>
  </si>
  <si>
    <t xml:space="preserve">https://www.aibase.com/zh/news/25514</t>
  </si>
  <si>
    <t xml:space="preserve">2026-02-13</t>
  </si>
  <si>
    <r>
      <rPr>
        <sz val="10"/>
        <color rgb="FF000000"/>
        <rFont val="Noto Sans CJK SC"/>
        <family val="2"/>
      </rPr>
      <t xml:space="preserve">媒體（</t>
    </r>
    <r>
      <rPr>
        <sz val="10"/>
        <color rgb="FF000000"/>
        <rFont val="Arial"/>
        <family val="0"/>
        <charset val="1"/>
      </rPr>
      <t xml:space="preserve">AIbase</t>
    </r>
    <r>
      <rPr>
        <sz val="10"/>
        <color rgb="FF000000"/>
        <rFont val="Noto Sans CJK SC"/>
        <family val="2"/>
      </rPr>
      <t xml:space="preserve">）轉述智譜調價函；智譜誘因同上</t>
    </r>
  </si>
  <si>
    <r>
      <rPr>
        <sz val="10"/>
        <color rgb="FF000000"/>
        <rFont val="Noto Sans CJK SC"/>
        <family val="2"/>
      </rPr>
      <t xml:space="preserve">原文「</t>
    </r>
    <r>
      <rPr>
        <sz val="10"/>
        <color rgb="FF000000"/>
        <rFont val="Arial"/>
        <family val="0"/>
        <charset val="1"/>
      </rPr>
      <t xml:space="preserve">API </t>
    </r>
    <r>
      <rPr>
        <sz val="10"/>
        <color rgb="FF000000"/>
        <rFont val="Noto Sans CJK SC"/>
        <family val="2"/>
      </rPr>
      <t xml:space="preserve">調用價格更是直接提升了 </t>
    </r>
    <r>
      <rPr>
        <sz val="10"/>
        <color rgb="FF000000"/>
        <rFont val="Arial"/>
        <family val="0"/>
        <charset val="1"/>
      </rPr>
      <t xml:space="preserve">67%-100%</t>
    </r>
    <r>
      <rPr>
        <sz val="10"/>
        <color rgb="FF000000"/>
        <rFont val="Noto Sans CJK SC"/>
        <family val="2"/>
      </rPr>
      <t xml:space="preserve">」；媒體轉述，未見官方百分比；</t>
    </r>
    <r>
      <rPr>
        <sz val="10"/>
        <color rgb="FF000000"/>
        <rFont val="Arial"/>
        <family val="0"/>
        <charset val="1"/>
      </rPr>
      <t xml:space="preserve">GLM-4.7 $0.6/$2.2→GLM-5 $1.0/$3.2 </t>
    </r>
    <r>
      <rPr>
        <sz val="10"/>
        <color rgb="FF000000"/>
        <rFont val="Noto Sans CJK SC"/>
        <family val="2"/>
      </rPr>
      <t xml:space="preserve">合 </t>
    </r>
    <r>
      <rPr>
        <sz val="10"/>
        <color rgb="FF000000"/>
        <rFont val="Arial"/>
        <family val="0"/>
        <charset val="1"/>
      </rPr>
      <t xml:space="preserve">+67%/+45%</t>
    </r>
  </si>
  <si>
    <t xml:space="preserve">SRC_ZP_343</t>
  </si>
  <si>
    <t xml:space="preserve">pxev_api_glm51_apr2026</t>
  </si>
  <si>
    <r>
      <rPr>
        <sz val="10"/>
        <color rgb="FF000000"/>
        <rFont val="Arial"/>
        <family val="0"/>
        <charset val="1"/>
      </rPr>
      <t xml:space="preserve">GLM-5.1 </t>
    </r>
    <r>
      <rPr>
        <sz val="10"/>
        <color rgb="FF000000"/>
        <rFont val="Noto Sans CJK SC"/>
        <family val="2"/>
      </rPr>
      <t xml:space="preserve">上線時 </t>
    </r>
    <r>
      <rPr>
        <sz val="10"/>
        <color rgb="FF000000"/>
        <rFont val="Arial"/>
        <family val="0"/>
        <charset val="1"/>
      </rPr>
      <t xml:space="preserve">API </t>
    </r>
    <r>
      <rPr>
        <sz val="10"/>
        <color rgb="FF000000"/>
        <rFont val="Noto Sans CJK SC"/>
        <family val="2"/>
      </rPr>
      <t xml:space="preserve">再漲幅（</t>
    </r>
    <r>
      <rPr>
        <sz val="10"/>
        <color rgb="FF000000"/>
        <rFont val="Arial"/>
        <family val="0"/>
        <charset val="1"/>
      </rPr>
      <t xml:space="preserve">2026-04</t>
    </r>
    <r>
      <rPr>
        <sz val="10"/>
        <color rgb="FF000000"/>
        <rFont val="Noto Sans CJK SC"/>
        <family val="2"/>
      </rPr>
      <t xml:space="preserve">）</t>
    </r>
  </si>
  <si>
    <t xml:space="preserve">2026-04-07</t>
  </si>
  <si>
    <r>
      <rPr>
        <sz val="10"/>
        <color rgb="FF000000"/>
        <rFont val="Noto Sans CJK SC"/>
        <family val="2"/>
      </rPr>
      <t xml:space="preserve">騰訊新聞（</t>
    </r>
    <r>
      <rPr>
        <sz val="10"/>
        <color rgb="FF000000"/>
        <rFont val="Arial"/>
        <family val="0"/>
        <charset val="1"/>
      </rPr>
      <t xml:space="preserve">2026-04-08</t>
    </r>
    <r>
      <rPr>
        <sz val="10"/>
        <color rgb="FF000000"/>
        <rFont val="Noto Sans CJK SC"/>
        <family val="2"/>
      </rPr>
      <t xml:space="preserve">）</t>
    </r>
  </si>
  <si>
    <t xml:space="preserve">https://news.qq.com/rain/a/20260408A05BMM00</t>
  </si>
  <si>
    <t xml:space="preserve">2026-04-08</t>
  </si>
  <si>
    <t xml:space="preserve">媒體轉述；智譜：上市後股價誘因</t>
  </si>
  <si>
    <r>
      <rPr>
        <sz val="10"/>
        <color rgb="FF000000"/>
        <rFont val="Noto Sans CJK SC"/>
        <family val="2"/>
      </rPr>
      <t xml:space="preserve">原文「智譜</t>
    </r>
    <r>
      <rPr>
        <sz val="10"/>
        <color rgb="FF000000"/>
        <rFont val="Arial"/>
        <family val="0"/>
        <charset val="1"/>
      </rPr>
      <t xml:space="preserve">GLM</t>
    </r>
    <r>
      <rPr>
        <sz val="10"/>
        <color rgb="FF000000"/>
        <rFont val="Noto Sans CJK SC"/>
        <family val="2"/>
      </rPr>
      <t xml:space="preserve">再提價</t>
    </r>
    <r>
      <rPr>
        <sz val="10"/>
        <color rgb="FF000000"/>
        <rFont val="Arial"/>
        <family val="0"/>
        <charset val="1"/>
      </rPr>
      <t xml:space="preserve">10%</t>
    </r>
    <r>
      <rPr>
        <sz val="10"/>
        <color rgb="FF000000"/>
        <rFont val="Noto Sans CJK SC"/>
        <family val="2"/>
      </rPr>
      <t xml:space="preserve">」；另稱雲端調用價「較舊版</t>
    </r>
    <r>
      <rPr>
        <sz val="10"/>
        <color rgb="FF000000"/>
        <rFont val="Arial"/>
        <family val="0"/>
        <charset val="1"/>
      </rPr>
      <t xml:space="preserve">GLM-5 Turbo</t>
    </r>
    <r>
      <rPr>
        <sz val="10"/>
        <color rgb="FF000000"/>
        <rFont val="Noto Sans CJK SC"/>
        <family val="2"/>
      </rPr>
      <t xml:space="preserve">上調</t>
    </r>
    <r>
      <rPr>
        <sz val="10"/>
        <color rgb="FF000000"/>
        <rFont val="Arial"/>
        <family val="0"/>
        <charset val="1"/>
      </rPr>
      <t xml:space="preserve">8%</t>
    </r>
    <r>
      <rPr>
        <sz val="10"/>
        <color rgb="FF000000"/>
        <rFont val="Noto Sans CJK SC"/>
        <family val="2"/>
      </rPr>
      <t xml:space="preserve">至</t>
    </r>
    <r>
      <rPr>
        <sz val="10"/>
        <color rgb="FF000000"/>
        <rFont val="Arial"/>
        <family val="0"/>
        <charset val="1"/>
      </rPr>
      <t xml:space="preserve">17%</t>
    </r>
    <r>
      <rPr>
        <sz val="10"/>
        <color rgb="FF000000"/>
        <rFont val="Noto Sans CJK SC"/>
        <family val="2"/>
      </rPr>
      <t xml:space="preserve">不等」；</t>
    </r>
    <r>
      <rPr>
        <sz val="10"/>
        <color rgb="FF000000"/>
        <rFont val="Arial"/>
        <family val="0"/>
        <charset val="1"/>
      </rPr>
      <t xml:space="preserve">Wikipedia </t>
    </r>
    <r>
      <rPr>
        <sz val="10"/>
        <color rgb="FF000000"/>
        <rFont val="Noto Sans CJK SC"/>
        <family val="2"/>
      </rPr>
      <t xml:space="preserve">引 </t>
    </r>
    <r>
      <rPr>
        <sz val="10"/>
        <color rgb="FF000000"/>
        <rFont val="Arial"/>
        <family val="0"/>
        <charset val="1"/>
      </rPr>
      <t xml:space="preserve">SCMP </t>
    </r>
    <r>
      <rPr>
        <sz val="10"/>
        <color rgb="FF000000"/>
        <rFont val="Noto Sans CJK SC"/>
        <family val="2"/>
      </rPr>
      <t xml:space="preserve">同稱 </t>
    </r>
    <r>
      <rPr>
        <sz val="10"/>
        <color rgb="FF000000"/>
        <rFont val="Arial"/>
        <family val="0"/>
        <charset val="1"/>
      </rPr>
      <t xml:space="preserve">API </t>
    </r>
    <r>
      <rPr>
        <sz val="10"/>
        <color rgb="FF000000"/>
        <rFont val="Noto Sans CJK SC"/>
        <family val="2"/>
      </rPr>
      <t xml:space="preserve">漲 </t>
    </r>
    <r>
      <rPr>
        <sz val="10"/>
        <color rgb="FF000000"/>
        <rFont val="Arial"/>
        <family val="0"/>
        <charset val="1"/>
      </rPr>
      <t xml:space="preserve">10%</t>
    </r>
  </si>
  <si>
    <t xml:space="preserve">SRC_ZP_344</t>
  </si>
  <si>
    <t xml:space="preserve">pxev_api_glm51_vs_turbo</t>
  </si>
  <si>
    <r>
      <rPr>
        <sz val="10"/>
        <color rgb="FF000000"/>
        <rFont val="Arial"/>
        <family val="0"/>
        <charset val="1"/>
      </rPr>
      <t xml:space="preserve">GLM-5.1 </t>
    </r>
    <r>
      <rPr>
        <sz val="10"/>
        <color rgb="FF000000"/>
        <rFont val="Noto Sans CJK SC"/>
        <family val="2"/>
      </rPr>
      <t xml:space="preserve">雲端調用價較 </t>
    </r>
    <r>
      <rPr>
        <sz val="10"/>
        <color rgb="FF000000"/>
        <rFont val="Arial"/>
        <family val="0"/>
        <charset val="1"/>
      </rPr>
      <t xml:space="preserve">GLM-5-Turbo </t>
    </r>
    <r>
      <rPr>
        <sz val="10"/>
        <color rgb="FF000000"/>
        <rFont val="Noto Sans CJK SC"/>
        <family val="2"/>
      </rPr>
      <t xml:space="preserve">漲幅</t>
    </r>
  </si>
  <si>
    <t xml:space="preserve">2026-04</t>
  </si>
  <si>
    <r>
      <rPr>
        <sz val="10"/>
        <color rgb="FF000000"/>
        <rFont val="Noto Sans CJK SC"/>
        <family val="2"/>
      </rPr>
      <t xml:space="preserve">原文「較舊版</t>
    </r>
    <r>
      <rPr>
        <sz val="10"/>
        <color rgb="FF000000"/>
        <rFont val="Arial"/>
        <family val="0"/>
        <charset val="1"/>
      </rPr>
      <t xml:space="preserve">GLM-5 Turbo</t>
    </r>
    <r>
      <rPr>
        <sz val="10"/>
        <color rgb="FF000000"/>
        <rFont val="Noto Sans CJK SC"/>
        <family val="2"/>
      </rPr>
      <t xml:space="preserve">上調</t>
    </r>
    <r>
      <rPr>
        <sz val="10"/>
        <color rgb="FF000000"/>
        <rFont val="Arial"/>
        <family val="0"/>
        <charset val="1"/>
      </rPr>
      <t xml:space="preserve">8%</t>
    </r>
    <r>
      <rPr>
        <sz val="10"/>
        <color rgb="FF000000"/>
        <rFont val="Noto Sans CJK SC"/>
        <family val="2"/>
      </rPr>
      <t xml:space="preserve">至</t>
    </r>
    <r>
      <rPr>
        <sz val="10"/>
        <color rgb="FF000000"/>
        <rFont val="Arial"/>
        <family val="0"/>
        <charset val="1"/>
      </rPr>
      <t xml:space="preserve">17%</t>
    </r>
    <r>
      <rPr>
        <sz val="10"/>
        <color rgb="FF000000"/>
        <rFont val="Noto Sans CJK SC"/>
        <family val="2"/>
      </rPr>
      <t xml:space="preserve">不等」；</t>
    </r>
    <r>
      <rPr>
        <sz val="10"/>
        <color rgb="FF000000"/>
        <rFont val="Arial"/>
        <family val="0"/>
        <charset val="1"/>
      </rPr>
      <t xml:space="preserve">bigmodel </t>
    </r>
    <r>
      <rPr>
        <sz val="10"/>
        <color rgb="FF000000"/>
        <rFont val="Noto Sans CJK SC"/>
        <family val="2"/>
      </rPr>
      <t xml:space="preserve">牌價 </t>
    </r>
    <r>
      <rPr>
        <sz val="10"/>
        <color rgb="FF000000"/>
        <rFont val="Arial"/>
        <family val="0"/>
        <charset val="1"/>
      </rPr>
      <t xml:space="preserve">5→6</t>
    </r>
    <r>
      <rPr>
        <sz val="10"/>
        <color rgb="FF000000"/>
        <rFont val="Noto Sans CJK SC"/>
        <family val="2"/>
      </rPr>
      <t xml:space="preserve">、</t>
    </r>
    <r>
      <rPr>
        <sz val="10"/>
        <color rgb="FF000000"/>
        <rFont val="Arial"/>
        <family val="0"/>
        <charset val="1"/>
      </rPr>
      <t xml:space="preserve">22→24</t>
    </r>
    <r>
      <rPr>
        <sz val="10"/>
        <color rgb="FF000000"/>
        <rFont val="Noto Sans CJK SC"/>
        <family val="2"/>
      </rPr>
      <t xml:space="preserve">、</t>
    </r>
    <r>
      <rPr>
        <sz val="10"/>
        <color rgb="FF000000"/>
        <rFont val="Arial"/>
        <family val="0"/>
        <charset val="1"/>
      </rPr>
      <t xml:space="preserve">7→8</t>
    </r>
    <r>
      <rPr>
        <sz val="10"/>
        <color rgb="FF000000"/>
        <rFont val="Noto Sans CJK SC"/>
        <family val="2"/>
      </rPr>
      <t xml:space="preserve">、</t>
    </r>
    <r>
      <rPr>
        <sz val="10"/>
        <color rgb="FF000000"/>
        <rFont val="Arial"/>
        <family val="0"/>
        <charset val="1"/>
      </rPr>
      <t xml:space="preserve">26→28 </t>
    </r>
    <r>
      <rPr>
        <sz val="10"/>
        <color rgb="FF000000"/>
        <rFont val="Noto Sans CJK SC"/>
        <family val="2"/>
      </rPr>
      <t xml:space="preserve">合 </t>
    </r>
    <r>
      <rPr>
        <sz val="10"/>
        <color rgb="FF000000"/>
        <rFont val="Arial"/>
        <family val="0"/>
        <charset val="1"/>
      </rPr>
      <t xml:space="preserve">+8%</t>
    </r>
    <r>
      <rPr>
        <sz val="10"/>
        <color rgb="FF000000"/>
        <rFont val="Noto Sans CJK SC"/>
        <family val="2"/>
      </rPr>
      <t xml:space="preserve">～</t>
    </r>
    <r>
      <rPr>
        <sz val="10"/>
        <color rgb="FF000000"/>
        <rFont val="Arial"/>
        <family val="0"/>
        <charset val="1"/>
      </rPr>
      <t xml:space="preserve">+20%</t>
    </r>
  </si>
  <si>
    <t xml:space="preserve">SRC_ZP_345</t>
  </si>
  <si>
    <t xml:space="preserve">pxev_api_cum_feb_apr2026</t>
  </si>
  <si>
    <r>
      <rPr>
        <sz val="10"/>
        <color rgb="FF000000"/>
        <rFont val="Arial"/>
        <family val="0"/>
        <charset val="1"/>
      </rPr>
      <t xml:space="preserve">2026-02</t>
    </r>
    <r>
      <rPr>
        <sz val="10"/>
        <color rgb="FF000000"/>
        <rFont val="Noto Sans CJK SC"/>
        <family val="2"/>
      </rPr>
      <t xml:space="preserve">～</t>
    </r>
    <r>
      <rPr>
        <sz val="10"/>
        <color rgb="FF000000"/>
        <rFont val="Arial"/>
        <family val="0"/>
        <charset val="1"/>
      </rPr>
      <t xml:space="preserve">04 API </t>
    </r>
    <r>
      <rPr>
        <sz val="10"/>
        <color rgb="FF000000"/>
        <rFont val="Noto Sans CJK SC"/>
        <family val="2"/>
      </rPr>
      <t xml:space="preserve">連續三次漲價累計幅度</t>
    </r>
  </si>
  <si>
    <r>
      <rPr>
        <sz val="10"/>
        <color rgb="FF000000"/>
        <rFont val="Arial"/>
        <family val="0"/>
        <charset val="1"/>
      </rPr>
      <t xml:space="preserve">2026-02</t>
    </r>
    <r>
      <rPr>
        <sz val="10"/>
        <color rgb="FF000000"/>
        <rFont val="Noto Sans CJK SC"/>
        <family val="2"/>
      </rPr>
      <t xml:space="preserve">～</t>
    </r>
    <r>
      <rPr>
        <sz val="10"/>
        <color rgb="FF000000"/>
        <rFont val="Arial"/>
        <family val="0"/>
        <charset val="1"/>
      </rPr>
      <t xml:space="preserve">2026-04</t>
    </r>
  </si>
  <si>
    <r>
      <rPr>
        <sz val="10"/>
        <color rgb="FF000000"/>
        <rFont val="Noto Sans CJK SC"/>
        <family val="2"/>
      </rPr>
      <t xml:space="preserve">虎嗅（</t>
    </r>
    <r>
      <rPr>
        <sz val="10"/>
        <color rgb="FF000000"/>
        <rFont val="Arial"/>
        <family val="0"/>
        <charset val="1"/>
      </rPr>
      <t xml:space="preserve">2026-09-14</t>
    </r>
    <r>
      <rPr>
        <sz val="10"/>
        <color rgb="FF000000"/>
        <rFont val="Noto Sans CJK SC"/>
        <family val="2"/>
      </rPr>
      <t xml:space="preserve">）</t>
    </r>
  </si>
  <si>
    <t xml:space="preserve">https://m.huxiu.com/article/4890871.html</t>
  </si>
  <si>
    <t xml:space="preserve">2026-09-14</t>
  </si>
  <si>
    <t xml:space="preserve">媒體轉述公司數字；智譜誘因同上</t>
  </si>
  <si>
    <r>
      <rPr>
        <sz val="10"/>
        <color rgb="FF000000"/>
        <rFont val="Noto Sans CJK SC"/>
        <family val="2"/>
      </rPr>
      <t xml:space="preserve">原文「</t>
    </r>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2</t>
    </r>
    <r>
      <rPr>
        <sz val="10"/>
        <color rgb="FF000000"/>
        <rFont val="Noto Sans CJK SC"/>
        <family val="2"/>
      </rPr>
      <t xml:space="preserve">月到</t>
    </r>
    <r>
      <rPr>
        <sz val="10"/>
        <color rgb="FF000000"/>
        <rFont val="Arial"/>
        <family val="0"/>
        <charset val="1"/>
      </rPr>
      <t xml:space="preserve">4</t>
    </r>
    <r>
      <rPr>
        <sz val="10"/>
        <color rgb="FF000000"/>
        <rFont val="Noto Sans CJK SC"/>
        <family val="2"/>
      </rPr>
      <t xml:space="preserve">月，智譜連續三次上調</t>
    </r>
    <r>
      <rPr>
        <sz val="10"/>
        <color rgb="FF000000"/>
        <rFont val="Arial"/>
        <family val="0"/>
        <charset val="1"/>
      </rPr>
      <t xml:space="preserve">API</t>
    </r>
    <r>
      <rPr>
        <sz val="10"/>
        <color rgb="FF000000"/>
        <rFont val="Noto Sans CJK SC"/>
        <family val="2"/>
      </rPr>
      <t xml:space="preserve">價格，累計漲幅超過</t>
    </r>
    <r>
      <rPr>
        <sz val="10"/>
        <color rgb="FF000000"/>
        <rFont val="Arial"/>
        <family val="0"/>
        <charset val="1"/>
      </rPr>
      <t xml:space="preserve">83%</t>
    </r>
    <r>
      <rPr>
        <sz val="10"/>
        <color rgb="FF000000"/>
        <rFont val="Noto Sans CJK SC"/>
        <family val="2"/>
      </rPr>
      <t xml:space="preserve">」；與年度業績公告 </t>
    </r>
    <r>
      <rPr>
        <sz val="10"/>
        <color rgb="FF000000"/>
        <rFont val="Arial"/>
        <family val="0"/>
        <charset val="1"/>
      </rPr>
      <t xml:space="preserve">83% </t>
    </r>
    <r>
      <rPr>
        <sz val="10"/>
        <color rgb="FF000000"/>
        <rFont val="Noto Sans CJK SC"/>
        <family val="2"/>
      </rPr>
      <t xml:space="preserve">同數，口徑疑為同一數</t>
    </r>
  </si>
  <si>
    <t xml:space="preserve">SRC_ZP_346</t>
  </si>
  <si>
    <t xml:space="preserve">pxev_api_price_vs_ye2025</t>
  </si>
  <si>
    <r>
      <rPr>
        <sz val="10"/>
        <color rgb="FF000000"/>
        <rFont val="Arial"/>
        <family val="0"/>
        <charset val="1"/>
      </rPr>
      <t xml:space="preserve">API </t>
    </r>
    <r>
      <rPr>
        <sz val="10"/>
        <color rgb="FF000000"/>
        <rFont val="Noto Sans CJK SC"/>
        <family val="2"/>
      </rPr>
      <t xml:space="preserve">呼叫定價較 </t>
    </r>
    <r>
      <rPr>
        <sz val="10"/>
        <color rgb="FF000000"/>
        <rFont val="Arial"/>
        <family val="0"/>
        <charset val="1"/>
      </rPr>
      <t xml:space="preserve">2025 </t>
    </r>
    <r>
      <rPr>
        <sz val="10"/>
        <color rgb="FF000000"/>
        <rFont val="Noto Sans CJK SC"/>
        <family val="2"/>
      </rPr>
      <t xml:space="preserve">年底上升</t>
    </r>
  </si>
  <si>
    <r>
      <rPr>
        <sz val="10"/>
        <color rgb="FF000000"/>
        <rFont val="Noto Sans CJK SC"/>
        <family val="2"/>
      </rPr>
      <t xml:space="preserve">截至 </t>
    </r>
    <r>
      <rPr>
        <sz val="10"/>
        <color rgb="FF000000"/>
        <rFont val="Arial"/>
        <family val="0"/>
        <charset val="1"/>
      </rPr>
      <t xml:space="preserve">2026-03</t>
    </r>
  </si>
  <si>
    <r>
      <rPr>
        <sz val="10"/>
        <color rgb="FF000000"/>
        <rFont val="Noto Sans CJK SC"/>
        <family val="2"/>
      </rPr>
      <t xml:space="preserve">智譜 </t>
    </r>
    <r>
      <rPr>
        <sz val="10"/>
        <color rgb="FF000000"/>
        <rFont val="Arial"/>
        <family val="0"/>
        <charset val="1"/>
      </rPr>
      <t xml:space="preserve">2025 </t>
    </r>
    <r>
      <rPr>
        <sz val="10"/>
        <color rgb="FF000000"/>
        <rFont val="Noto Sans CJK SC"/>
        <family val="2"/>
      </rPr>
      <t xml:space="preserve">年度業績公告（截至 </t>
    </r>
    <r>
      <rPr>
        <sz val="10"/>
        <color rgb="FF000000"/>
        <rFont val="Arial"/>
        <family val="0"/>
        <charset val="1"/>
      </rPr>
      <t xml:space="preserve">2025-12-31</t>
    </r>
    <r>
      <rPr>
        <sz val="10"/>
        <color rgb="FF000000"/>
        <rFont val="Noto Sans CJK SC"/>
        <family val="2"/>
      </rPr>
      <t xml:space="preserve">）（第 </t>
    </r>
    <r>
      <rPr>
        <sz val="10"/>
        <color rgb="FF000000"/>
        <rFont val="Arial"/>
        <family val="0"/>
        <charset val="1"/>
      </rPr>
      <t xml:space="preserve">4 </t>
    </r>
    <r>
      <rPr>
        <sz val="10"/>
        <color rgb="FF000000"/>
        <rFont val="Noto Sans CJK SC"/>
        <family val="2"/>
      </rPr>
      <t xml:space="preserve">頁）</t>
    </r>
  </si>
  <si>
    <t xml:space="preserve">智譜：上市後股價、配售、招募誘因</t>
  </si>
  <si>
    <r>
      <rPr>
        <sz val="10"/>
        <color rgb="FF000000"/>
        <rFont val="Noto Sans CJK SC"/>
        <family val="2"/>
      </rPr>
      <t xml:space="preserve">原文「</t>
    </r>
    <r>
      <rPr>
        <sz val="10"/>
        <color rgb="FF000000"/>
        <rFont val="Arial"/>
        <family val="0"/>
        <charset val="1"/>
      </rPr>
      <t xml:space="preserve">despite an 83% increase in API call pricing compared to the end of last year</t>
    </r>
    <r>
      <rPr>
        <sz val="10"/>
        <color rgb="FF000000"/>
        <rFont val="Noto Sans CJK SC"/>
        <family val="2"/>
      </rPr>
      <t xml:space="preserve">」；口徑：牌價或呼叫定價，非實現 </t>
    </r>
    <r>
      <rPr>
        <sz val="10"/>
        <color rgb="FF000000"/>
        <rFont val="Arial"/>
        <family val="0"/>
        <charset val="1"/>
      </rPr>
      <t xml:space="preserve">ASP</t>
    </r>
  </si>
  <si>
    <t xml:space="preserve">SRC_ZP_347</t>
  </si>
  <si>
    <t xml:space="preserve">pxev_api_asp_1h26</t>
  </si>
  <si>
    <r>
      <rPr>
        <sz val="10"/>
        <color rgb="FF000000"/>
        <rFont val="Arial"/>
        <family val="0"/>
        <charset val="1"/>
      </rPr>
      <t xml:space="preserve">API </t>
    </r>
    <r>
      <rPr>
        <sz val="10"/>
        <color rgb="FF000000"/>
        <rFont val="Noto Sans CJK SC"/>
        <family val="2"/>
      </rPr>
      <t xml:space="preserve">平均售價較年初上升（中期口徑）</t>
    </r>
  </si>
  <si>
    <r>
      <rPr>
        <sz val="10"/>
        <color rgb="FF000000"/>
        <rFont val="Arial"/>
        <family val="0"/>
        <charset val="1"/>
      </rPr>
      <t xml:space="preserve">2026-01-01→2026-06-30</t>
    </r>
    <r>
      <rPr>
        <sz val="10"/>
        <color rgb="FF000000"/>
        <rFont val="Noto Sans CJK SC"/>
        <family val="2"/>
      </rPr>
      <t xml:space="preserve">（或公告日）</t>
    </r>
  </si>
  <si>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中期業績公告（</t>
    </r>
    <r>
      <rPr>
        <sz val="10"/>
        <color rgb="FF000000"/>
        <rFont val="Arial"/>
        <family val="0"/>
        <charset val="1"/>
      </rPr>
      <t xml:space="preserve">Z.AI Co., Ltd.</t>
    </r>
    <r>
      <rPr>
        <sz val="10"/>
        <color rgb="FF000000"/>
        <rFont val="Noto Sans CJK SC"/>
        <family val="2"/>
      </rPr>
      <t xml:space="preserve">，截至 </t>
    </r>
    <r>
      <rPr>
        <sz val="10"/>
        <color rgb="FF000000"/>
        <rFont val="Arial"/>
        <family val="0"/>
        <charset val="1"/>
      </rPr>
      <t xml:space="preserve">2026-06-30 </t>
    </r>
    <r>
      <rPr>
        <sz val="10"/>
        <color rgb="FF000000"/>
        <rFont val="Noto Sans CJK SC"/>
        <family val="2"/>
      </rPr>
      <t xml:space="preserve">止六個月）（第 </t>
    </r>
    <r>
      <rPr>
        <sz val="10"/>
        <color rgb="FF000000"/>
        <rFont val="Arial"/>
        <family val="0"/>
        <charset val="1"/>
      </rPr>
      <t xml:space="preserve">14 </t>
    </r>
    <r>
      <rPr>
        <sz val="10"/>
        <color rgb="FF000000"/>
        <rFont val="Noto Sans CJK SC"/>
        <family val="2"/>
      </rPr>
      <t xml:space="preserve">頁）</t>
    </r>
  </si>
  <si>
    <r>
      <rPr>
        <sz val="10"/>
        <color rgb="FF000000"/>
        <rFont val="Noto Sans CJK SC"/>
        <family val="2"/>
      </rPr>
      <t xml:space="preserve">原文「</t>
    </r>
    <r>
      <rPr>
        <sz val="10"/>
        <color rgb="FF000000"/>
        <rFont val="Arial"/>
        <family val="0"/>
        <charset val="1"/>
      </rPr>
      <t xml:space="preserve">the average API selling price increased by approximately 101%</t>
    </r>
    <r>
      <rPr>
        <sz val="10"/>
        <color rgb="FF000000"/>
        <rFont val="Noto Sans CJK SC"/>
        <family val="2"/>
      </rPr>
      <t xml:space="preserve">」；基期「</t>
    </r>
    <r>
      <rPr>
        <sz val="10"/>
        <color rgb="FF000000"/>
        <rFont val="Arial"/>
        <family val="0"/>
        <charset val="1"/>
      </rPr>
      <t xml:space="preserve">from the beginning of 2026</t>
    </r>
    <r>
      <rPr>
        <sz val="10"/>
        <color rgb="FF000000"/>
        <rFont val="Noto Sans CJK SC"/>
        <family val="2"/>
      </rPr>
      <t xml:space="preserve">」；實現售價口徑（收入</t>
    </r>
    <r>
      <rPr>
        <sz val="10"/>
        <color rgb="FF000000"/>
        <rFont val="Arial"/>
        <family val="0"/>
        <charset val="1"/>
      </rPr>
      <t xml:space="preserve">÷token</t>
    </r>
    <r>
      <rPr>
        <sz val="10"/>
        <color rgb="FF000000"/>
        <rFont val="Noto Sans CJK SC"/>
        <family val="2"/>
      </rPr>
      <t xml:space="preserve">），非牌價</t>
    </r>
  </si>
  <si>
    <t xml:space="preserve">SRC_ZP_348</t>
  </si>
  <si>
    <t xml:space="preserve">pxev_api_asp_1h26_b</t>
  </si>
  <si>
    <r>
      <rPr>
        <sz val="10"/>
        <color rgb="FF000000"/>
        <rFont val="Arial"/>
        <family val="0"/>
        <charset val="1"/>
      </rPr>
      <t xml:space="preserve">API </t>
    </r>
    <r>
      <rPr>
        <sz val="10"/>
        <color rgb="FF000000"/>
        <rFont val="Noto Sans CJK SC"/>
        <family val="2"/>
      </rPr>
      <t xml:space="preserve">平均售價較年初上升（媒體中文轉述）</t>
    </r>
  </si>
  <si>
    <t xml:space="preserve">科創板日報（財聯社）</t>
  </si>
  <si>
    <t xml:space="preserve">https://m.cls.cn/detail/2470120</t>
  </si>
  <si>
    <r>
      <rPr>
        <sz val="10"/>
        <color rgb="FF000000"/>
        <rFont val="Noto Sans CJK SC"/>
        <family val="2"/>
      </rPr>
      <t xml:space="preserve">原文「</t>
    </r>
    <r>
      <rPr>
        <sz val="10"/>
        <color rgb="FF000000"/>
        <rFont val="Arial"/>
        <family val="0"/>
        <charset val="1"/>
      </rPr>
      <t xml:space="preserve">API</t>
    </r>
    <r>
      <rPr>
        <sz val="10"/>
        <color rgb="FF000000"/>
        <rFont val="Noto Sans CJK SC"/>
        <family val="2"/>
      </rPr>
      <t xml:space="preserve">平均售價提高約</t>
    </r>
    <r>
      <rPr>
        <sz val="10"/>
        <color rgb="FF000000"/>
        <rFont val="Arial"/>
        <family val="0"/>
        <charset val="1"/>
      </rPr>
      <t xml:space="preserve">101%</t>
    </r>
    <r>
      <rPr>
        <sz val="10"/>
        <color rgb="FF000000"/>
        <rFont val="Noto Sans CJK SC"/>
        <family val="2"/>
      </rPr>
      <t xml:space="preserve">，推動該業務毛利率由負轉正至</t>
    </r>
    <r>
      <rPr>
        <sz val="10"/>
        <color rgb="FF000000"/>
        <rFont val="Arial"/>
        <family val="0"/>
        <charset val="1"/>
      </rPr>
      <t xml:space="preserve">24.6%</t>
    </r>
    <r>
      <rPr>
        <sz val="10"/>
        <color rgb="FF000000"/>
        <rFont val="Noto Sans CJK SC"/>
        <family val="2"/>
      </rPr>
      <t xml:space="preserve">」；與公告一致</t>
    </r>
  </si>
  <si>
    <t xml:space="preserve">SRC_ZP_349</t>
  </si>
  <si>
    <t xml:space="preserve">pxev_cp_cn_feb2026</t>
  </si>
  <si>
    <r>
      <rPr>
        <sz val="10"/>
        <color rgb="FF000000"/>
        <rFont val="Arial"/>
        <family val="0"/>
        <charset val="1"/>
      </rPr>
      <t xml:space="preserve">GLM Coding Plan</t>
    </r>
    <r>
      <rPr>
        <sz val="10"/>
        <color rgb="FF000000"/>
        <rFont val="Noto Sans CJK SC"/>
        <family val="2"/>
      </rPr>
      <t xml:space="preserve">（國內）結構性漲價幅度</t>
    </r>
  </si>
  <si>
    <r>
      <rPr>
        <sz val="10"/>
        <color rgb="FF000000"/>
        <rFont val="Noto Sans CJK SC"/>
        <family val="2"/>
      </rPr>
      <t xml:space="preserve">財聯社〈智譜：對</t>
    </r>
    <r>
      <rPr>
        <sz val="10"/>
        <color rgb="FF000000"/>
        <rFont val="Arial"/>
        <family val="0"/>
        <charset val="1"/>
      </rPr>
      <t xml:space="preserve">GLM Coding Plan</t>
    </r>
    <r>
      <rPr>
        <sz val="10"/>
        <color rgb="FF000000"/>
        <rFont val="Noto Sans CJK SC"/>
        <family val="2"/>
      </rPr>
      <t xml:space="preserve">套餐價格進行結構性調整〉</t>
    </r>
  </si>
  <si>
    <t xml:space="preserve">https://m.cls.cn/detail/2287878</t>
  </si>
  <si>
    <r>
      <rPr>
        <sz val="10"/>
        <color rgb="FF000000"/>
        <rFont val="Noto Sans CJK SC"/>
        <family val="2"/>
      </rPr>
      <t xml:space="preserve">原文「整體漲幅自</t>
    </r>
    <r>
      <rPr>
        <sz val="10"/>
        <color rgb="FF000000"/>
        <rFont val="Arial"/>
        <family val="0"/>
        <charset val="1"/>
      </rPr>
      <t xml:space="preserve">30%</t>
    </r>
    <r>
      <rPr>
        <sz val="10"/>
        <color rgb="FF000000"/>
        <rFont val="Noto Sans CJK SC"/>
        <family val="2"/>
      </rPr>
      <t xml:space="preserve">起」，生效 </t>
    </r>
    <r>
      <rPr>
        <sz val="10"/>
        <color rgb="FF000000"/>
        <rFont val="Arial"/>
        <family val="0"/>
        <charset val="1"/>
      </rPr>
      <t xml:space="preserve">2026-02-12</t>
    </r>
    <r>
      <rPr>
        <sz val="10"/>
        <color rgb="FF000000"/>
        <rFont val="Noto Sans CJK SC"/>
        <family val="2"/>
      </rPr>
      <t xml:space="preserve">；取消首購優惠，保留包季包年折扣，「已訂閱用戶價格保持不變」</t>
    </r>
  </si>
  <si>
    <t xml:space="preserve">SRC_ZP_350</t>
  </si>
  <si>
    <t xml:space="preserve">pxev_cp_ar_feb2026</t>
  </si>
  <si>
    <r>
      <rPr>
        <sz val="10"/>
        <color rgb="FF000000"/>
        <rFont val="Arial"/>
        <family val="0"/>
        <charset val="1"/>
      </rPr>
      <t xml:space="preserve">Coding Plan </t>
    </r>
    <r>
      <rPr>
        <sz val="10"/>
        <color rgb="FF000000"/>
        <rFont val="Noto Sans CJK SC"/>
        <family val="2"/>
      </rPr>
      <t xml:space="preserve">漲價（年度業績公告口徑）</t>
    </r>
  </si>
  <si>
    <t xml:space="preserve">2026-02</t>
  </si>
  <si>
    <r>
      <rPr>
        <sz val="10"/>
        <color rgb="FF000000"/>
        <rFont val="Noto Sans CJK SC"/>
        <family val="2"/>
      </rPr>
      <t xml:space="preserve">原文「</t>
    </r>
    <r>
      <rPr>
        <sz val="10"/>
        <color rgb="FF000000"/>
        <rFont val="Arial"/>
        <family val="0"/>
        <charset val="1"/>
      </rPr>
      <t xml:space="preserve">we proactively raised prices by 30%</t>
    </r>
    <r>
      <rPr>
        <sz val="10"/>
        <color rgb="FF000000"/>
        <rFont val="Noto Sans CJK SC"/>
        <family val="2"/>
      </rPr>
      <t xml:space="preserve">」並取消首購優惠（</t>
    </r>
    <r>
      <rPr>
        <sz val="10"/>
        <color rgb="FF000000"/>
        <rFont val="Arial"/>
        <family val="0"/>
        <charset val="1"/>
      </rPr>
      <t xml:space="preserve">2026-02</t>
    </r>
    <r>
      <rPr>
        <sz val="10"/>
        <color rgb="FF000000"/>
        <rFont val="Noto Sans CJK SC"/>
        <family val="2"/>
      </rPr>
      <t xml:space="preserve">）</t>
    </r>
  </si>
  <si>
    <t xml:space="preserve">SRC_ZP_351</t>
  </si>
  <si>
    <t xml:space="preserve">pxev_cp_overseas_feb2026</t>
  </si>
  <si>
    <r>
      <rPr>
        <sz val="10"/>
        <color rgb="FF000000"/>
        <rFont val="Noto Sans CJK SC"/>
        <family val="2"/>
      </rPr>
      <t xml:space="preserve">海外 </t>
    </r>
    <r>
      <rPr>
        <sz val="10"/>
        <color rgb="FF000000"/>
        <rFont val="Arial"/>
        <family val="0"/>
        <charset val="1"/>
      </rPr>
      <t xml:space="preserve">Coding Plan </t>
    </r>
    <r>
      <rPr>
        <sz val="10"/>
        <color rgb="FF000000"/>
        <rFont val="Noto Sans CJK SC"/>
        <family val="2"/>
      </rPr>
      <t xml:space="preserve">漲幅（</t>
    </r>
    <r>
      <rPr>
        <sz val="10"/>
        <color rgb="FF000000"/>
        <rFont val="Arial"/>
        <family val="0"/>
        <charset val="1"/>
      </rPr>
      <t xml:space="preserve">2026-02</t>
    </r>
    <r>
      <rPr>
        <sz val="10"/>
        <color rgb="FF000000"/>
        <rFont val="Noto Sans CJK SC"/>
        <family val="2"/>
      </rPr>
      <t xml:space="preserve">）</t>
    </r>
  </si>
  <si>
    <r>
      <rPr>
        <sz val="10"/>
        <color rgb="FF000000"/>
        <rFont val="Arial"/>
        <family val="0"/>
        <charset val="1"/>
      </rPr>
      <t xml:space="preserve">AIbase</t>
    </r>
    <r>
      <rPr>
        <sz val="10"/>
        <color rgb="FF000000"/>
        <rFont val="Noto Sans CJK SC"/>
        <family val="2"/>
      </rPr>
      <t xml:space="preserve">（</t>
    </r>
    <r>
      <rPr>
        <sz val="10"/>
        <color rgb="FF000000"/>
        <rFont val="Arial"/>
        <family val="0"/>
        <charset val="1"/>
      </rPr>
      <t xml:space="preserve">2026-02-13</t>
    </r>
    <r>
      <rPr>
        <sz val="10"/>
        <color rgb="FF000000"/>
        <rFont val="Noto Sans CJK SC"/>
        <family val="2"/>
      </rPr>
      <t xml:space="preserve">）</t>
    </r>
  </si>
  <si>
    <r>
      <rPr>
        <sz val="10"/>
        <color rgb="FF000000"/>
        <rFont val="Noto Sans CJK SC"/>
        <family val="2"/>
      </rPr>
      <t xml:space="preserve">原文海外 </t>
    </r>
    <r>
      <rPr>
        <sz val="10"/>
        <color rgb="FF000000"/>
        <rFont val="Arial"/>
        <family val="0"/>
        <charset val="1"/>
      </rPr>
      <t xml:space="preserve">Coding Plan </t>
    </r>
    <r>
      <rPr>
        <sz val="10"/>
        <color rgb="FF000000"/>
        <rFont val="Noto Sans CJK SC"/>
        <family val="2"/>
      </rPr>
      <t xml:space="preserve">訂閱上調 </t>
    </r>
    <r>
      <rPr>
        <sz val="10"/>
        <color rgb="FF000000"/>
        <rFont val="Arial"/>
        <family val="0"/>
        <charset val="1"/>
      </rPr>
      <t xml:space="preserve">30%</t>
    </r>
    <r>
      <rPr>
        <sz val="10"/>
        <color rgb="FF000000"/>
        <rFont val="Noto Sans CJK SC"/>
        <family val="2"/>
      </rPr>
      <t xml:space="preserve">～</t>
    </r>
    <r>
      <rPr>
        <sz val="10"/>
        <color rgb="FF000000"/>
        <rFont val="Arial"/>
        <family val="0"/>
        <charset val="1"/>
      </rPr>
      <t xml:space="preserve">60%</t>
    </r>
  </si>
  <si>
    <t xml:space="preserve">SRC_ZP_352</t>
  </si>
  <si>
    <t xml:space="preserve">pxev_cp_overseas_feb2026_b</t>
  </si>
  <si>
    <r>
      <rPr>
        <sz val="10"/>
        <color rgb="FF000000"/>
        <rFont val="Noto Sans CJK SC"/>
        <family val="2"/>
      </rPr>
      <t xml:space="preserve">海外 </t>
    </r>
    <r>
      <rPr>
        <sz val="10"/>
        <color rgb="FF000000"/>
        <rFont val="Arial"/>
        <family val="0"/>
        <charset val="1"/>
      </rPr>
      <t xml:space="preserve">Coding Plan </t>
    </r>
    <r>
      <rPr>
        <sz val="10"/>
        <color rgb="FF000000"/>
        <rFont val="Noto Sans CJK SC"/>
        <family val="2"/>
      </rPr>
      <t xml:space="preserve">漲幅（虎嗅口徑）</t>
    </r>
  </si>
  <si>
    <r>
      <rPr>
        <sz val="10"/>
        <color rgb="FF000000"/>
        <rFont val="Arial"/>
        <family val="0"/>
        <charset val="1"/>
      </rPr>
      <t xml:space="preserve">2026</t>
    </r>
    <r>
      <rPr>
        <sz val="10"/>
        <color rgb="FF000000"/>
        <rFont val="Noto Sans CJK SC"/>
        <family val="2"/>
      </rPr>
      <t xml:space="preserve">（未明）</t>
    </r>
  </si>
  <si>
    <r>
      <rPr>
        <sz val="10"/>
        <color rgb="FF000000"/>
        <rFont val="Noto Sans CJK SC"/>
        <family val="2"/>
      </rPr>
      <t xml:space="preserve">原文「海外版</t>
    </r>
    <r>
      <rPr>
        <sz val="10"/>
        <color rgb="FF000000"/>
        <rFont val="Arial"/>
        <family val="0"/>
        <charset val="1"/>
      </rPr>
      <t xml:space="preserve">Coding Plan</t>
    </r>
    <r>
      <rPr>
        <sz val="10"/>
        <color rgb="FF000000"/>
        <rFont val="Noto Sans CJK SC"/>
        <family val="2"/>
      </rPr>
      <t xml:space="preserve">漲幅在</t>
    </r>
    <r>
      <rPr>
        <sz val="10"/>
        <color rgb="FF000000"/>
        <rFont val="Arial"/>
        <family val="0"/>
        <charset val="1"/>
      </rPr>
      <t xml:space="preserve">80%</t>
    </r>
    <r>
      <rPr>
        <sz val="10"/>
        <color rgb="FF000000"/>
        <rFont val="Noto Sans CJK SC"/>
        <family val="2"/>
      </rPr>
      <t xml:space="preserve">到</t>
    </r>
    <r>
      <rPr>
        <sz val="10"/>
        <color rgb="FF000000"/>
        <rFont val="Arial"/>
        <family val="0"/>
        <charset val="1"/>
      </rPr>
      <t xml:space="preserve">150%</t>
    </r>
    <r>
      <rPr>
        <sz val="10"/>
        <color rgb="FF000000"/>
        <rFont val="Noto Sans CJK SC"/>
        <family val="2"/>
      </rPr>
      <t xml:space="preserve">之間」；與 </t>
    </r>
    <r>
      <rPr>
        <sz val="10"/>
        <color rgb="FF000000"/>
        <rFont val="Arial"/>
        <family val="0"/>
        <charset val="1"/>
      </rPr>
      <t xml:space="preserve">AIbase 30–60% </t>
    </r>
    <r>
      <rPr>
        <sz val="10"/>
        <color rgb="FF000000"/>
        <rFont val="Noto Sans CJK SC"/>
        <family val="2"/>
      </rPr>
      <t xml:space="preserve">矛盾，疑為累計（含 </t>
    </r>
    <r>
      <rPr>
        <sz val="10"/>
        <color rgb="FF000000"/>
        <rFont val="Arial"/>
        <family val="0"/>
        <charset val="1"/>
      </rPr>
      <t xml:space="preserve">2026-07 </t>
    </r>
    <r>
      <rPr>
        <sz val="10"/>
        <color rgb="FF000000"/>
        <rFont val="Noto Sans CJK SC"/>
        <family val="2"/>
      </rPr>
      <t xml:space="preserve">再調價）</t>
    </r>
  </si>
  <si>
    <t xml:space="preserve">SRC_ZP_353</t>
  </si>
  <si>
    <t xml:space="preserve">pxev_cp_oldplan_apr2026</t>
  </si>
  <si>
    <r>
      <rPr>
        <sz val="10"/>
        <color rgb="FF000000"/>
        <rFont val="Arial"/>
        <family val="0"/>
        <charset val="1"/>
      </rPr>
      <t xml:space="preserve">Coding Plan </t>
    </r>
    <r>
      <rPr>
        <sz val="10"/>
        <color rgb="FF000000"/>
        <rFont val="Noto Sans CJK SC"/>
        <family val="2"/>
      </rPr>
      <t xml:space="preserve">舊套餐（無週限額）停止自動續訂日</t>
    </r>
  </si>
  <si>
    <t xml:space="preserve">日期</t>
  </si>
  <si>
    <t xml:space="preserve">2026-04-30</t>
  </si>
  <si>
    <r>
      <rPr>
        <sz val="10"/>
        <color rgb="FF000000"/>
        <rFont val="Arial"/>
        <family val="0"/>
        <charset val="1"/>
      </rPr>
      <t xml:space="preserve">IT</t>
    </r>
    <r>
      <rPr>
        <sz val="10"/>
        <color rgb="FF000000"/>
        <rFont val="Noto Sans CJK SC"/>
        <family val="2"/>
      </rPr>
      <t xml:space="preserve">之家（</t>
    </r>
    <r>
      <rPr>
        <sz val="10"/>
        <color rgb="FF000000"/>
        <rFont val="Arial"/>
        <family val="0"/>
        <charset val="1"/>
      </rPr>
      <t xml:space="preserve">2026-04-22</t>
    </r>
    <r>
      <rPr>
        <sz val="10"/>
        <color rgb="FF000000"/>
        <rFont val="Noto Sans CJK SC"/>
        <family val="2"/>
      </rPr>
      <t xml:space="preserve">）</t>
    </r>
  </si>
  <si>
    <t xml:space="preserve">https://www.ithome.com/0/941/977.htm</t>
  </si>
  <si>
    <t xml:space="preserve">2026-04-22</t>
  </si>
  <si>
    <r>
      <rPr>
        <sz val="10"/>
        <color rgb="FF000000"/>
        <rFont val="Noto Sans CJK SC"/>
        <family val="2"/>
      </rPr>
      <t xml:space="preserve">原文「</t>
    </r>
    <r>
      <rPr>
        <sz val="10"/>
        <color rgb="FF000000"/>
        <rFont val="Arial"/>
        <family val="0"/>
        <charset val="1"/>
      </rPr>
      <t xml:space="preserve">GLM Coding Plan </t>
    </r>
    <r>
      <rPr>
        <sz val="10"/>
        <color rgb="FF000000"/>
        <rFont val="Noto Sans CJK SC"/>
        <family val="2"/>
      </rPr>
      <t xml:space="preserve">老套餐（無周限額版本）將停止自動續訂」</t>
    </r>
    <r>
      <rPr>
        <sz val="10"/>
        <color rgb="FF000000"/>
        <rFont val="Arial"/>
        <family val="0"/>
        <charset val="1"/>
      </rPr>
      <t xml:space="preserve">2026-04-30 10:00 </t>
    </r>
    <r>
      <rPr>
        <sz val="10"/>
        <color rgb="FF000000"/>
        <rFont val="Noto Sans CJK SC"/>
        <family val="2"/>
      </rPr>
      <t xml:space="preserve">起；改新套餐並贈 </t>
    </r>
    <r>
      <rPr>
        <sz val="10"/>
        <color rgb="FF000000"/>
        <rFont val="Arial"/>
        <family val="0"/>
        <charset val="1"/>
      </rPr>
      <t xml:space="preserve">2 </t>
    </r>
    <r>
      <rPr>
        <sz val="10"/>
        <color rgb="FF000000"/>
        <rFont val="Noto Sans CJK SC"/>
        <family val="2"/>
      </rPr>
      <t xml:space="preserve">個月，實質加週限額＝變相漲價</t>
    </r>
  </si>
  <si>
    <t xml:space="preserve">SRC_ZP_354</t>
  </si>
  <si>
    <t xml:space="preserve">pxev_cp_cn_launch_2025</t>
  </si>
  <si>
    <r>
      <rPr>
        <sz val="10"/>
        <color rgb="FF000000"/>
        <rFont val="Arial"/>
        <family val="0"/>
        <charset val="1"/>
      </rPr>
      <t xml:space="preserve">GLM Coding Plan </t>
    </r>
    <r>
      <rPr>
        <sz val="10"/>
        <color rgb="FF000000"/>
        <rFont val="Noto Sans CJK SC"/>
        <family val="2"/>
      </rPr>
      <t xml:space="preserve">國內上市價（</t>
    </r>
    <r>
      <rPr>
        <sz val="10"/>
        <color rgb="FF000000"/>
        <rFont val="Arial"/>
        <family val="0"/>
        <charset val="1"/>
      </rPr>
      <t xml:space="preserve">2025-09</t>
    </r>
    <r>
      <rPr>
        <sz val="10"/>
        <color rgb="FF000000"/>
        <rFont val="Noto Sans CJK SC"/>
        <family val="2"/>
      </rPr>
      <t xml:space="preserve">）</t>
    </r>
  </si>
  <si>
    <r>
      <rPr>
        <sz val="10"/>
        <color rgb="FF000000"/>
        <rFont val="Arial"/>
        <family val="0"/>
        <charset val="1"/>
      </rPr>
      <t xml:space="preserve">RMB </t>
    </r>
    <r>
      <rPr>
        <sz val="10"/>
        <color rgb="FF000000"/>
        <rFont val="Noto Sans CJK SC"/>
        <family val="2"/>
      </rPr>
      <t xml:space="preserve">元／月</t>
    </r>
  </si>
  <si>
    <t xml:space="preserve">2025-09-01</t>
  </si>
  <si>
    <r>
      <rPr>
        <sz val="10"/>
        <color rgb="FF000000"/>
        <rFont val="Noto Sans CJK SC"/>
        <family val="2"/>
      </rPr>
      <t xml:space="preserve">鳳凰網科技（</t>
    </r>
    <r>
      <rPr>
        <sz val="10"/>
        <color rgb="FF000000"/>
        <rFont val="Arial"/>
        <family val="0"/>
        <charset val="1"/>
      </rPr>
      <t xml:space="preserve">2025-09-02</t>
    </r>
    <r>
      <rPr>
        <sz val="10"/>
        <color rgb="FF000000"/>
        <rFont val="Noto Sans CJK SC"/>
        <family val="2"/>
      </rPr>
      <t xml:space="preserve">）</t>
    </r>
  </si>
  <si>
    <t xml:space="preserve">https://tech.ifeng.com/c/8mJoak9q60M</t>
  </si>
  <si>
    <t xml:space="preserve">2025-09-02</t>
  </si>
  <si>
    <r>
      <rPr>
        <sz val="10"/>
        <color rgb="FF000000"/>
        <rFont val="Noto Sans CJK SC"/>
        <family val="2"/>
      </rPr>
      <t xml:space="preserve">原文「每月 </t>
    </r>
    <r>
      <rPr>
        <sz val="10"/>
        <color rgb="FF000000"/>
        <rFont val="Arial"/>
        <family val="0"/>
        <charset val="1"/>
      </rPr>
      <t xml:space="preserve">20~100 </t>
    </r>
    <r>
      <rPr>
        <sz val="10"/>
        <color rgb="FF000000"/>
        <rFont val="Noto Sans CJK SC"/>
        <family val="2"/>
      </rPr>
      <t xml:space="preserve">元」，「自 </t>
    </r>
    <r>
      <rPr>
        <sz val="10"/>
        <color rgb="FF000000"/>
        <rFont val="Arial"/>
        <family val="0"/>
        <charset val="1"/>
      </rPr>
      <t xml:space="preserve">9 </t>
    </r>
    <r>
      <rPr>
        <sz val="10"/>
        <color rgb="FF000000"/>
        <rFont val="Noto Sans CJK SC"/>
        <family val="2"/>
      </rPr>
      <t xml:space="preserve">月 </t>
    </r>
    <r>
      <rPr>
        <sz val="10"/>
        <color rgb="FF000000"/>
        <rFont val="Arial"/>
        <family val="0"/>
        <charset val="1"/>
      </rPr>
      <t xml:space="preserve">1 </t>
    </r>
    <r>
      <rPr>
        <sz val="10"/>
        <color rgb="FF000000"/>
        <rFont val="Noto Sans CJK SC"/>
        <family val="2"/>
      </rPr>
      <t xml:space="preserve">日起」；未分方案</t>
    </r>
  </si>
  <si>
    <t xml:space="preserve">SRC_ZP_355</t>
  </si>
  <si>
    <t xml:space="preserve">pxev_cp_intl_promo_pre2026</t>
  </si>
  <si>
    <r>
      <rPr>
        <sz val="10"/>
        <color rgb="FF000000"/>
        <rFont val="Noto Sans CJK SC"/>
        <family val="2"/>
      </rPr>
      <t xml:space="preserve">國際站 </t>
    </r>
    <r>
      <rPr>
        <sz val="10"/>
        <color rgb="FF000000"/>
        <rFont val="Arial"/>
        <family val="0"/>
        <charset val="1"/>
      </rPr>
      <t xml:space="preserve">Coding Plan </t>
    </r>
    <r>
      <rPr>
        <sz val="10"/>
        <color rgb="FF000000"/>
        <rFont val="Noto Sans CJK SC"/>
        <family val="2"/>
      </rPr>
      <t xml:space="preserve">舊促銷價（</t>
    </r>
    <r>
      <rPr>
        <sz val="10"/>
        <color rgb="FF000000"/>
        <rFont val="Arial"/>
        <family val="0"/>
        <charset val="1"/>
      </rPr>
      <t xml:space="preserve">Lite</t>
    </r>
    <r>
      <rPr>
        <sz val="10"/>
        <color rgb="FF000000"/>
        <rFont val="Noto Sans CJK SC"/>
        <family val="2"/>
      </rPr>
      <t xml:space="preserve">）</t>
    </r>
  </si>
  <si>
    <r>
      <rPr>
        <sz val="10"/>
        <color rgb="FF000000"/>
        <rFont val="Arial"/>
        <family val="0"/>
        <charset val="1"/>
      </rPr>
      <t xml:space="preserve">USD</t>
    </r>
    <r>
      <rPr>
        <sz val="10"/>
        <color rgb="FF000000"/>
        <rFont val="Noto Sans CJK SC"/>
        <family val="2"/>
      </rPr>
      <t xml:space="preserve">／月</t>
    </r>
  </si>
  <si>
    <r>
      <rPr>
        <sz val="10"/>
        <color rgb="FF000000"/>
        <rFont val="Arial"/>
        <family val="0"/>
        <charset val="1"/>
      </rPr>
      <t xml:space="preserve">2026-02-11 </t>
    </r>
    <r>
      <rPr>
        <sz val="10"/>
        <color rgb="FF000000"/>
        <rFont val="Noto Sans CJK SC"/>
        <family val="2"/>
      </rPr>
      <t xml:space="preserve">前</t>
    </r>
  </si>
  <si>
    <r>
      <rPr>
        <sz val="10"/>
        <color rgb="FF000000"/>
        <rFont val="Arial"/>
        <family val="0"/>
        <charset val="1"/>
      </rPr>
      <t xml:space="preserve">Labmemo</t>
    </r>
    <r>
      <rPr>
        <sz val="10"/>
        <color rgb="FF000000"/>
        <rFont val="Noto Sans CJK SC"/>
        <family val="2"/>
      </rPr>
      <t xml:space="preserve">〈</t>
    </r>
    <r>
      <rPr>
        <sz val="10"/>
        <color rgb="FF000000"/>
        <rFont val="Arial"/>
        <family val="0"/>
        <charset val="1"/>
      </rPr>
      <t xml:space="preserve">Zai GLM Coding Plan </t>
    </r>
    <r>
      <rPr>
        <sz val="10"/>
        <color rgb="FF000000"/>
        <rFont val="Noto Sans CJK SC"/>
        <family val="2"/>
      </rPr>
      <t xml:space="preserve">値上げ完了〉</t>
    </r>
  </si>
  <si>
    <t xml:space="preserve">https://labmemo.com/zai-glm-price-increase-2026/</t>
  </si>
  <si>
    <t xml:space="preserve">2026-04-14</t>
  </si>
  <si>
    <r>
      <rPr>
        <sz val="10"/>
        <color rgb="FF000000"/>
        <rFont val="Noto Sans CJK SC"/>
        <family val="2"/>
      </rPr>
      <t xml:space="preserve">原文「</t>
    </r>
    <r>
      <rPr>
        <sz val="10"/>
        <color rgb="FF000000"/>
        <rFont val="Arial"/>
        <family val="0"/>
        <charset val="1"/>
      </rPr>
      <t xml:space="preserve">$3/</t>
    </r>
    <r>
      <rPr>
        <sz val="10"/>
        <color rgb="FF000000"/>
        <rFont val="Noto Sans CJK SC"/>
        <family val="2"/>
      </rPr>
      <t xml:space="preserve">月という破格のプロモーション価格が廃止され」</t>
    </r>
    <r>
      <rPr>
        <sz val="10"/>
        <color rgb="FF000000"/>
        <rFont val="Arial"/>
        <family val="0"/>
        <charset val="1"/>
      </rPr>
      <t xml:space="preserve">2026-02-11 </t>
    </r>
    <r>
      <rPr>
        <sz val="10"/>
        <color rgb="FF000000"/>
        <rFont val="Noto Sans CJK SC"/>
        <family val="2"/>
      </rPr>
      <t xml:space="preserve">起改三段定額；第三方部落格</t>
    </r>
  </si>
  <si>
    <t xml:space="preserve">SRC_ZP_356</t>
  </si>
  <si>
    <t xml:space="preserve">cp_rmb_lite_month</t>
  </si>
  <si>
    <r>
      <rPr>
        <sz val="10"/>
        <color rgb="FF000000"/>
        <rFont val="Arial"/>
        <family val="0"/>
        <charset val="1"/>
      </rPr>
      <t xml:space="preserve">GLM Coding Plan Lite</t>
    </r>
    <r>
      <rPr>
        <sz val="10"/>
        <color rgb="FF000000"/>
        <rFont val="Noto Sans CJK SC"/>
        <family val="2"/>
      </rPr>
      <t xml:space="preserve">（國內）月付</t>
    </r>
  </si>
  <si>
    <r>
      <rPr>
        <sz val="10"/>
        <color rgb="FF000000"/>
        <rFont val="Arial"/>
        <family val="0"/>
        <charset val="1"/>
      </rPr>
      <t xml:space="preserve">2026-05</t>
    </r>
    <r>
      <rPr>
        <sz val="10"/>
        <color rgb="FF000000"/>
        <rFont val="Noto Sans CJK SC"/>
        <family val="2"/>
      </rPr>
      <t xml:space="preserve">（</t>
    </r>
    <r>
      <rPr>
        <sz val="10"/>
        <color rgb="FF000000"/>
        <rFont val="Arial"/>
        <family val="0"/>
        <charset val="1"/>
      </rPr>
      <t xml:space="preserve">2026-02 </t>
    </r>
    <r>
      <rPr>
        <sz val="10"/>
        <color rgb="FF000000"/>
        <rFont val="Noto Sans CJK SC"/>
        <family val="2"/>
      </rPr>
      <t xml:space="preserve">漲價後）</t>
    </r>
  </si>
  <si>
    <r>
      <rPr>
        <sz val="10"/>
        <color rgb="FF000000"/>
        <rFont val="Arial"/>
        <family val="0"/>
        <charset val="1"/>
      </rPr>
      <t xml:space="preserve">CodePick</t>
    </r>
    <r>
      <rPr>
        <sz val="10"/>
        <color rgb="FF000000"/>
        <rFont val="Noto Sans CJK SC"/>
        <family val="2"/>
      </rPr>
      <t xml:space="preserve">〈國內 </t>
    </r>
    <r>
      <rPr>
        <sz val="10"/>
        <color rgb="FF000000"/>
        <rFont val="Arial"/>
        <family val="0"/>
        <charset val="1"/>
      </rPr>
      <t xml:space="preserve">Coding API </t>
    </r>
    <r>
      <rPr>
        <sz val="10"/>
        <color rgb="FF000000"/>
        <rFont val="Noto Sans CJK SC"/>
        <family val="2"/>
      </rPr>
      <t xml:space="preserve">橫評 </t>
    </r>
    <r>
      <rPr>
        <sz val="10"/>
        <color rgb="FF000000"/>
        <rFont val="Arial"/>
        <family val="0"/>
        <charset val="1"/>
      </rPr>
      <t xml:space="preserve">2026</t>
    </r>
    <r>
      <rPr>
        <sz val="10"/>
        <color rgb="FF000000"/>
        <rFont val="Noto Sans CJK SC"/>
        <family val="2"/>
      </rPr>
      <t xml:space="preserve">〉</t>
    </r>
  </si>
  <si>
    <t xml:space="preserve">https://codepick.dev/zh/guides/china-coding-api-roundup-2026/</t>
  </si>
  <si>
    <t xml:space="preserve">2026-05-19</t>
  </si>
  <si>
    <r>
      <rPr>
        <sz val="10"/>
        <color rgb="FF000000"/>
        <rFont val="Noto Sans CJK SC"/>
        <family val="2"/>
      </rPr>
      <t xml:space="preserve">表列 </t>
    </r>
    <r>
      <rPr>
        <sz val="10"/>
        <color rgb="FF000000"/>
        <rFont val="Arial"/>
        <family val="0"/>
        <charset val="1"/>
      </rPr>
      <t xml:space="preserve">Lite </t>
    </r>
    <r>
      <rPr>
        <sz val="10"/>
        <color rgb="FF000000"/>
        <rFont val="Noto Sans CJK SC"/>
        <family val="2"/>
      </rPr>
      <t xml:space="preserve">月付 </t>
    </r>
    <r>
      <rPr>
        <sz val="10"/>
        <color rgb="FF000000"/>
        <rFont val="Arial"/>
        <family val="0"/>
        <charset val="1"/>
      </rPr>
      <t xml:space="preserve">¥49</t>
    </r>
    <r>
      <rPr>
        <sz val="10"/>
        <color rgb="FF000000"/>
        <rFont val="Noto Sans CJK SC"/>
        <family val="2"/>
      </rPr>
      <t xml:space="preserve">、包季每月 </t>
    </r>
    <r>
      <rPr>
        <sz val="10"/>
        <color rgb="FF000000"/>
        <rFont val="Arial"/>
        <family val="0"/>
        <charset val="1"/>
      </rPr>
      <t xml:space="preserve">¥44</t>
    </r>
    <r>
      <rPr>
        <sz val="10"/>
        <color rgb="FF000000"/>
        <rFont val="Noto Sans CJK SC"/>
        <family val="2"/>
      </rPr>
      <t xml:space="preserve">、包年每月 </t>
    </r>
    <r>
      <rPr>
        <sz val="10"/>
        <color rgb="FF000000"/>
        <rFont val="Arial"/>
        <family val="0"/>
        <charset val="1"/>
      </rPr>
      <t xml:space="preserve">¥34</t>
    </r>
    <r>
      <rPr>
        <sz val="10"/>
        <color rgb="FF000000"/>
        <rFont val="Noto Sans CJK SC"/>
        <family val="2"/>
      </rPr>
      <t xml:space="preserve">；「包季 </t>
    </r>
    <r>
      <rPr>
        <sz val="10"/>
        <color rgb="FF000000"/>
        <rFont val="Arial"/>
        <family val="0"/>
        <charset val="1"/>
      </rPr>
      <t xml:space="preserve">9 </t>
    </r>
    <r>
      <rPr>
        <sz val="10"/>
        <color rgb="FF000000"/>
        <rFont val="Noto Sans CJK SC"/>
        <family val="2"/>
      </rPr>
      <t xml:space="preserve">折／包年 </t>
    </r>
    <r>
      <rPr>
        <sz val="10"/>
        <color rgb="FF000000"/>
        <rFont val="Arial"/>
        <family val="0"/>
        <charset val="1"/>
      </rPr>
      <t xml:space="preserve">7 </t>
    </r>
    <r>
      <rPr>
        <sz val="10"/>
        <color rgb="FF000000"/>
        <rFont val="Noto Sans CJK SC"/>
        <family val="2"/>
      </rPr>
      <t xml:space="preserve">折」；第三方整理官方價</t>
    </r>
  </si>
  <si>
    <t xml:space="preserve">SRC_ZP_357</t>
  </si>
  <si>
    <t xml:space="preserve">cp_rmb_lite_qtr_permonth</t>
  </si>
  <si>
    <r>
      <rPr>
        <sz val="10"/>
        <color rgb="FF000000"/>
        <rFont val="Arial"/>
        <family val="0"/>
        <charset val="1"/>
      </rPr>
      <t xml:space="preserve">GLM Coding Plan Lite</t>
    </r>
    <r>
      <rPr>
        <sz val="10"/>
        <color rgb="FF000000"/>
        <rFont val="Noto Sans CJK SC"/>
        <family val="2"/>
      </rPr>
      <t xml:space="preserve">（國內）包季折合每月</t>
    </r>
  </si>
  <si>
    <t xml:space="preserve">2026-05</t>
  </si>
  <si>
    <r>
      <rPr>
        <sz val="10"/>
        <color rgb="FF000000"/>
        <rFont val="Noto Sans CJK SC"/>
        <family val="2"/>
      </rPr>
      <t xml:space="preserve">同上（</t>
    </r>
    <r>
      <rPr>
        <sz val="10"/>
        <color rgb="FF000000"/>
        <rFont val="Arial"/>
        <family val="0"/>
        <charset val="1"/>
      </rPr>
      <t xml:space="preserve">9 </t>
    </r>
    <r>
      <rPr>
        <sz val="10"/>
        <color rgb="FF000000"/>
        <rFont val="Noto Sans CJK SC"/>
        <family val="2"/>
      </rPr>
      <t xml:space="preserve">折）</t>
    </r>
  </si>
  <si>
    <t xml:space="preserve">SRC_ZP_358</t>
  </si>
  <si>
    <t xml:space="preserve">cp_rmb_lite_yr_permonth</t>
  </si>
  <si>
    <r>
      <rPr>
        <sz val="10"/>
        <color rgb="FF000000"/>
        <rFont val="Arial"/>
        <family val="0"/>
        <charset val="1"/>
      </rPr>
      <t xml:space="preserve">GLM Coding Plan Lite</t>
    </r>
    <r>
      <rPr>
        <sz val="10"/>
        <color rgb="FF000000"/>
        <rFont val="Noto Sans CJK SC"/>
        <family val="2"/>
      </rPr>
      <t xml:space="preserve">（國內）包年折合每月</t>
    </r>
  </si>
  <si>
    <r>
      <rPr>
        <sz val="10"/>
        <color rgb="FF000000"/>
        <rFont val="Noto Sans CJK SC"/>
        <family val="2"/>
      </rPr>
      <t xml:space="preserve">同上（</t>
    </r>
    <r>
      <rPr>
        <sz val="10"/>
        <color rgb="FF000000"/>
        <rFont val="Arial"/>
        <family val="0"/>
        <charset val="1"/>
      </rPr>
      <t xml:space="preserve">7 </t>
    </r>
    <r>
      <rPr>
        <sz val="10"/>
        <color rgb="FF000000"/>
        <rFont val="Noto Sans CJK SC"/>
        <family val="2"/>
      </rPr>
      <t xml:space="preserve">折）</t>
    </r>
  </si>
  <si>
    <t xml:space="preserve">SRC_ZP_359</t>
  </si>
  <si>
    <t xml:space="preserve">cp_rmb_pro_month</t>
  </si>
  <si>
    <r>
      <rPr>
        <sz val="10"/>
        <color rgb="FF000000"/>
        <rFont val="Arial"/>
        <family val="0"/>
        <charset val="1"/>
      </rPr>
      <t xml:space="preserve">GLM Coding Plan Pro</t>
    </r>
    <r>
      <rPr>
        <sz val="10"/>
        <color rgb="FF000000"/>
        <rFont val="Noto Sans CJK SC"/>
        <family val="2"/>
      </rPr>
      <t xml:space="preserve">（國內）月付</t>
    </r>
  </si>
  <si>
    <r>
      <rPr>
        <sz val="10"/>
        <color rgb="FF000000"/>
        <rFont val="Noto Sans CJK SC"/>
        <family val="2"/>
      </rPr>
      <t xml:space="preserve">表列 </t>
    </r>
    <r>
      <rPr>
        <sz val="10"/>
        <color rgb="FF000000"/>
        <rFont val="Arial"/>
        <family val="0"/>
        <charset val="1"/>
      </rPr>
      <t xml:space="preserve">Pro </t>
    </r>
    <r>
      <rPr>
        <sz val="10"/>
        <color rgb="FF000000"/>
        <rFont val="Noto Sans CJK SC"/>
        <family val="2"/>
      </rPr>
      <t xml:space="preserve">月付 </t>
    </r>
    <r>
      <rPr>
        <sz val="10"/>
        <color rgb="FF000000"/>
        <rFont val="Arial"/>
        <family val="0"/>
        <charset val="1"/>
      </rPr>
      <t xml:space="preserve">¥149</t>
    </r>
    <r>
      <rPr>
        <sz val="10"/>
        <color rgb="FF000000"/>
        <rFont val="Noto Sans CJK SC"/>
        <family val="2"/>
      </rPr>
      <t xml:space="preserve">、包季每月 </t>
    </r>
    <r>
      <rPr>
        <sz val="10"/>
        <color rgb="FF000000"/>
        <rFont val="Arial"/>
        <family val="0"/>
        <charset val="1"/>
      </rPr>
      <t xml:space="preserve">¥134</t>
    </r>
    <r>
      <rPr>
        <sz val="10"/>
        <color rgb="FF000000"/>
        <rFont val="Noto Sans CJK SC"/>
        <family val="2"/>
      </rPr>
      <t xml:space="preserve">、包年每月 </t>
    </r>
    <r>
      <rPr>
        <sz val="10"/>
        <color rgb="FF000000"/>
        <rFont val="Arial"/>
        <family val="0"/>
        <charset val="1"/>
      </rPr>
      <t xml:space="preserve">¥104</t>
    </r>
    <r>
      <rPr>
        <sz val="10"/>
        <color rgb="FF000000"/>
        <rFont val="Noto Sans CJK SC"/>
        <family val="2"/>
      </rPr>
      <t xml:space="preserve">；「包季 </t>
    </r>
    <r>
      <rPr>
        <sz val="10"/>
        <color rgb="FF000000"/>
        <rFont val="Arial"/>
        <family val="0"/>
        <charset val="1"/>
      </rPr>
      <t xml:space="preserve">9 </t>
    </r>
    <r>
      <rPr>
        <sz val="10"/>
        <color rgb="FF000000"/>
        <rFont val="Noto Sans CJK SC"/>
        <family val="2"/>
      </rPr>
      <t xml:space="preserve">折／包年 </t>
    </r>
    <r>
      <rPr>
        <sz val="10"/>
        <color rgb="FF000000"/>
        <rFont val="Arial"/>
        <family val="0"/>
        <charset val="1"/>
      </rPr>
      <t xml:space="preserve">7 </t>
    </r>
    <r>
      <rPr>
        <sz val="10"/>
        <color rgb="FF000000"/>
        <rFont val="Noto Sans CJK SC"/>
        <family val="2"/>
      </rPr>
      <t xml:space="preserve">折」；第三方整理官方價</t>
    </r>
  </si>
  <si>
    <t xml:space="preserve">SRC_ZP_360</t>
  </si>
  <si>
    <t xml:space="preserve">cp_rmb_pro_qtr_permonth</t>
  </si>
  <si>
    <r>
      <rPr>
        <sz val="10"/>
        <color rgb="FF000000"/>
        <rFont val="Arial"/>
        <family val="0"/>
        <charset val="1"/>
      </rPr>
      <t xml:space="preserve">GLM Coding Plan Pro</t>
    </r>
    <r>
      <rPr>
        <sz val="10"/>
        <color rgb="FF000000"/>
        <rFont val="Noto Sans CJK SC"/>
        <family val="2"/>
      </rPr>
      <t xml:space="preserve">（國內）包季折合每月</t>
    </r>
  </si>
  <si>
    <t xml:space="preserve">SRC_ZP_361</t>
  </si>
  <si>
    <t xml:space="preserve">cp_rmb_pro_yr_permonth</t>
  </si>
  <si>
    <r>
      <rPr>
        <sz val="10"/>
        <color rgb="FF000000"/>
        <rFont val="Arial"/>
        <family val="0"/>
        <charset val="1"/>
      </rPr>
      <t xml:space="preserve">GLM Coding Plan Pro</t>
    </r>
    <r>
      <rPr>
        <sz val="10"/>
        <color rgb="FF000000"/>
        <rFont val="Noto Sans CJK SC"/>
        <family val="2"/>
      </rPr>
      <t xml:space="preserve">（國內）包年折合每月</t>
    </r>
  </si>
  <si>
    <t xml:space="preserve">SRC_ZP_362</t>
  </si>
  <si>
    <t xml:space="preserve">cp_rmb_max_month</t>
  </si>
  <si>
    <r>
      <rPr>
        <sz val="10"/>
        <color rgb="FF000000"/>
        <rFont val="Arial"/>
        <family val="0"/>
        <charset val="1"/>
      </rPr>
      <t xml:space="preserve">GLM Coding Plan Max</t>
    </r>
    <r>
      <rPr>
        <sz val="10"/>
        <color rgb="FF000000"/>
        <rFont val="Noto Sans CJK SC"/>
        <family val="2"/>
      </rPr>
      <t xml:space="preserve">（國內）月付</t>
    </r>
  </si>
  <si>
    <r>
      <rPr>
        <sz val="10"/>
        <color rgb="FF000000"/>
        <rFont val="Noto Sans CJK SC"/>
        <family val="2"/>
      </rPr>
      <t xml:space="preserve">表列 </t>
    </r>
    <r>
      <rPr>
        <sz val="10"/>
        <color rgb="FF000000"/>
        <rFont val="Arial"/>
        <family val="0"/>
        <charset val="1"/>
      </rPr>
      <t xml:space="preserve">Max </t>
    </r>
    <r>
      <rPr>
        <sz val="10"/>
        <color rgb="FF000000"/>
        <rFont val="Noto Sans CJK SC"/>
        <family val="2"/>
      </rPr>
      <t xml:space="preserve">月付 </t>
    </r>
    <r>
      <rPr>
        <sz val="10"/>
        <color rgb="FF000000"/>
        <rFont val="Arial"/>
        <family val="0"/>
        <charset val="1"/>
      </rPr>
      <t xml:space="preserve">¥469</t>
    </r>
    <r>
      <rPr>
        <sz val="10"/>
        <color rgb="FF000000"/>
        <rFont val="Noto Sans CJK SC"/>
        <family val="2"/>
      </rPr>
      <t xml:space="preserve">、包季每月 </t>
    </r>
    <r>
      <rPr>
        <sz val="10"/>
        <color rgb="FF000000"/>
        <rFont val="Arial"/>
        <family val="0"/>
        <charset val="1"/>
      </rPr>
      <t xml:space="preserve">¥422</t>
    </r>
    <r>
      <rPr>
        <sz val="10"/>
        <color rgb="FF000000"/>
        <rFont val="Noto Sans CJK SC"/>
        <family val="2"/>
      </rPr>
      <t xml:space="preserve">、包年每月 </t>
    </r>
    <r>
      <rPr>
        <sz val="10"/>
        <color rgb="FF000000"/>
        <rFont val="Arial"/>
        <family val="0"/>
        <charset val="1"/>
      </rPr>
      <t xml:space="preserve">¥328</t>
    </r>
    <r>
      <rPr>
        <sz val="10"/>
        <color rgb="FF000000"/>
        <rFont val="Noto Sans CJK SC"/>
        <family val="2"/>
      </rPr>
      <t xml:space="preserve">；「包季 </t>
    </r>
    <r>
      <rPr>
        <sz val="10"/>
        <color rgb="FF000000"/>
        <rFont val="Arial"/>
        <family val="0"/>
        <charset val="1"/>
      </rPr>
      <t xml:space="preserve">9 </t>
    </r>
    <r>
      <rPr>
        <sz val="10"/>
        <color rgb="FF000000"/>
        <rFont val="Noto Sans CJK SC"/>
        <family val="2"/>
      </rPr>
      <t xml:space="preserve">折／包年 </t>
    </r>
    <r>
      <rPr>
        <sz val="10"/>
        <color rgb="FF000000"/>
        <rFont val="Arial"/>
        <family val="0"/>
        <charset val="1"/>
      </rPr>
      <t xml:space="preserve">7 </t>
    </r>
    <r>
      <rPr>
        <sz val="10"/>
        <color rgb="FF000000"/>
        <rFont val="Noto Sans CJK SC"/>
        <family val="2"/>
      </rPr>
      <t xml:space="preserve">折」；第三方整理官方價</t>
    </r>
  </si>
  <si>
    <t xml:space="preserve">SRC_ZP_363</t>
  </si>
  <si>
    <t xml:space="preserve">cp_rmb_max_qtr_permonth</t>
  </si>
  <si>
    <r>
      <rPr>
        <sz val="10"/>
        <color rgb="FF000000"/>
        <rFont val="Arial"/>
        <family val="0"/>
        <charset val="1"/>
      </rPr>
      <t xml:space="preserve">GLM Coding Plan Max</t>
    </r>
    <r>
      <rPr>
        <sz val="10"/>
        <color rgb="FF000000"/>
        <rFont val="Noto Sans CJK SC"/>
        <family val="2"/>
      </rPr>
      <t xml:space="preserve">（國內）包季折合每月</t>
    </r>
  </si>
  <si>
    <t xml:space="preserve">SRC_ZP_364</t>
  </si>
  <si>
    <t xml:space="preserve">cp_rmb_max_yr_permonth</t>
  </si>
  <si>
    <r>
      <rPr>
        <sz val="10"/>
        <color rgb="FF000000"/>
        <rFont val="Arial"/>
        <family val="0"/>
        <charset val="1"/>
      </rPr>
      <t xml:space="preserve">GLM Coding Plan Max</t>
    </r>
    <r>
      <rPr>
        <sz val="10"/>
        <color rgb="FF000000"/>
        <rFont val="Noto Sans CJK SC"/>
        <family val="2"/>
      </rPr>
      <t xml:space="preserve">（國內）包年折合每月</t>
    </r>
  </si>
  <si>
    <t xml:space="preserve">SRC_ZP_365</t>
  </si>
  <si>
    <t xml:space="preserve">cp_rmb_pro_qtr</t>
  </si>
  <si>
    <r>
      <rPr>
        <sz val="10"/>
        <color rgb="FF000000"/>
        <rFont val="Arial"/>
        <family val="0"/>
        <charset val="1"/>
      </rPr>
      <t xml:space="preserve">GLM Coding Pro </t>
    </r>
    <r>
      <rPr>
        <sz val="10"/>
        <color rgb="FF000000"/>
        <rFont val="Noto Sans CJK SC"/>
        <family val="2"/>
      </rPr>
      <t xml:space="preserve">連續包季</t>
    </r>
  </si>
  <si>
    <r>
      <rPr>
        <sz val="10"/>
        <color rgb="FF000000"/>
        <rFont val="Arial"/>
        <family val="0"/>
        <charset val="1"/>
      </rPr>
      <t xml:space="preserve">RMB </t>
    </r>
    <r>
      <rPr>
        <sz val="10"/>
        <color rgb="FF000000"/>
        <rFont val="Noto Sans CJK SC"/>
        <family val="2"/>
      </rPr>
      <t xml:space="preserve">元／季</t>
    </r>
  </si>
  <si>
    <r>
      <rPr>
        <sz val="10"/>
        <color rgb="FF000000"/>
        <rFont val="Arial"/>
        <family val="0"/>
        <charset val="1"/>
      </rPr>
      <t xml:space="preserve">17173 </t>
    </r>
    <r>
      <rPr>
        <sz val="10"/>
        <color rgb="FF000000"/>
        <rFont val="Noto Sans CJK SC"/>
        <family val="2"/>
      </rPr>
      <t xml:space="preserve">新聞（</t>
    </r>
    <r>
      <rPr>
        <sz val="10"/>
        <color rgb="FF000000"/>
        <rFont val="Arial"/>
        <family val="0"/>
        <charset val="1"/>
      </rPr>
      <t xml:space="preserve">2026-02-13</t>
    </r>
    <r>
      <rPr>
        <sz val="10"/>
        <color rgb="FF000000"/>
        <rFont val="Noto Sans CJK SC"/>
        <family val="2"/>
      </rPr>
      <t xml:space="preserve">）</t>
    </r>
  </si>
  <si>
    <t xml:space="preserve">https://news.17173.com/content/02132026/080853761.shtml</t>
  </si>
  <si>
    <r>
      <rPr>
        <sz val="10"/>
        <color rgb="FF000000"/>
        <rFont val="Noto Sans CJK SC"/>
        <family val="2"/>
      </rPr>
      <t xml:space="preserve">原文「連續包季享受 </t>
    </r>
    <r>
      <rPr>
        <sz val="10"/>
        <color rgb="FF000000"/>
        <rFont val="Arial"/>
        <family val="0"/>
        <charset val="1"/>
      </rPr>
      <t xml:space="preserve">9 </t>
    </r>
    <r>
      <rPr>
        <sz val="10"/>
        <color rgb="FF000000"/>
        <rFont val="Noto Sans CJK SC"/>
        <family val="2"/>
      </rPr>
      <t xml:space="preserve">折優惠（</t>
    </r>
    <r>
      <rPr>
        <sz val="10"/>
        <color rgb="FF000000"/>
        <rFont val="Arial"/>
        <family val="0"/>
        <charset val="1"/>
      </rPr>
      <t xml:space="preserve">402 </t>
    </r>
    <r>
      <rPr>
        <sz val="10"/>
        <color rgb="FF000000"/>
        <rFont val="Noto Sans CJK SC"/>
        <family val="2"/>
      </rPr>
      <t xml:space="preserve">元</t>
    </r>
    <r>
      <rPr>
        <sz val="10"/>
        <color rgb="FF000000"/>
        <rFont val="Arial"/>
        <family val="0"/>
        <charset val="1"/>
      </rPr>
      <t xml:space="preserve">/</t>
    </r>
    <r>
      <rPr>
        <sz val="10"/>
        <color rgb="FF000000"/>
        <rFont val="Noto Sans CJK SC"/>
        <family val="2"/>
      </rPr>
      <t xml:space="preserve">季）」；月付「</t>
    </r>
    <r>
      <rPr>
        <sz val="10"/>
        <color rgb="FF000000"/>
        <rFont val="Arial"/>
        <family val="0"/>
        <charset val="1"/>
      </rPr>
      <t xml:space="preserve">149 </t>
    </r>
    <r>
      <rPr>
        <sz val="10"/>
        <color rgb="FF000000"/>
        <rFont val="Noto Sans CJK SC"/>
        <family val="2"/>
      </rPr>
      <t xml:space="preserve">元 </t>
    </r>
    <r>
      <rPr>
        <sz val="10"/>
        <color rgb="FF000000"/>
        <rFont val="Arial"/>
        <family val="0"/>
        <charset val="1"/>
      </rPr>
      <t xml:space="preserve">/ </t>
    </r>
    <r>
      <rPr>
        <sz val="10"/>
        <color rgb="FF000000"/>
        <rFont val="Noto Sans CJK SC"/>
        <family val="2"/>
      </rPr>
      <t xml:space="preserve">月」；與 </t>
    </r>
    <r>
      <rPr>
        <sz val="10"/>
        <color rgb="FF000000"/>
        <rFont val="Arial"/>
        <family val="0"/>
        <charset val="1"/>
      </rPr>
      <t xml:space="preserve">CodePick 134×3=402 </t>
    </r>
    <r>
      <rPr>
        <sz val="10"/>
        <color rgb="FF000000"/>
        <rFont val="Noto Sans CJK SC"/>
        <family val="2"/>
      </rPr>
      <t xml:space="preserve">一致</t>
    </r>
  </si>
  <si>
    <t xml:space="preserve">SRC_ZP_366</t>
  </si>
  <si>
    <t xml:space="preserve">cp_rmb_pro_yr</t>
  </si>
  <si>
    <r>
      <rPr>
        <sz val="10"/>
        <color rgb="FF000000"/>
        <rFont val="Arial"/>
        <family val="0"/>
        <charset val="1"/>
      </rPr>
      <t xml:space="preserve">GLM Coding Pro </t>
    </r>
    <r>
      <rPr>
        <sz val="10"/>
        <color rgb="FF000000"/>
        <rFont val="Noto Sans CJK SC"/>
        <family val="2"/>
      </rPr>
      <t xml:space="preserve">連續包年</t>
    </r>
  </si>
  <si>
    <r>
      <rPr>
        <sz val="10"/>
        <color rgb="FF000000"/>
        <rFont val="Arial"/>
        <family val="0"/>
        <charset val="1"/>
      </rPr>
      <t xml:space="preserve">RMB </t>
    </r>
    <r>
      <rPr>
        <sz val="10"/>
        <color rgb="FF000000"/>
        <rFont val="Noto Sans CJK SC"/>
        <family val="2"/>
      </rPr>
      <t xml:space="preserve">元／年</t>
    </r>
  </si>
  <si>
    <r>
      <rPr>
        <sz val="10"/>
        <color rgb="FF000000"/>
        <rFont val="Noto Sans CJK SC"/>
        <family val="2"/>
      </rPr>
      <t xml:space="preserve">原文「連續包年享 </t>
    </r>
    <r>
      <rPr>
        <sz val="10"/>
        <color rgb="FF000000"/>
        <rFont val="Arial"/>
        <family val="0"/>
        <charset val="1"/>
      </rPr>
      <t xml:space="preserve">7 </t>
    </r>
    <r>
      <rPr>
        <sz val="10"/>
        <color rgb="FF000000"/>
        <rFont val="Noto Sans CJK SC"/>
        <family val="2"/>
      </rPr>
      <t xml:space="preserve">折優惠（</t>
    </r>
    <r>
      <rPr>
        <sz val="10"/>
        <color rgb="FF000000"/>
        <rFont val="Arial"/>
        <family val="0"/>
        <charset val="1"/>
      </rPr>
      <t xml:space="preserve">1251 </t>
    </r>
    <r>
      <rPr>
        <sz val="10"/>
        <color rgb="FF000000"/>
        <rFont val="Noto Sans CJK SC"/>
        <family val="2"/>
      </rPr>
      <t xml:space="preserve">元</t>
    </r>
    <r>
      <rPr>
        <sz val="10"/>
        <color rgb="FF000000"/>
        <rFont val="Arial"/>
        <family val="0"/>
        <charset val="1"/>
      </rPr>
      <t xml:space="preserve">/</t>
    </r>
    <r>
      <rPr>
        <sz val="10"/>
        <color rgb="FF000000"/>
        <rFont val="Noto Sans CJK SC"/>
        <family val="2"/>
      </rPr>
      <t xml:space="preserve">年）」；與 </t>
    </r>
    <r>
      <rPr>
        <sz val="10"/>
        <color rgb="FF000000"/>
        <rFont val="Arial"/>
        <family val="0"/>
        <charset val="1"/>
      </rPr>
      <t xml:space="preserve">CodePick 104×12=1248 </t>
    </r>
    <r>
      <rPr>
        <sz val="10"/>
        <color rgb="FF000000"/>
        <rFont val="Noto Sans CJK SC"/>
        <family val="2"/>
      </rPr>
      <t xml:space="preserve">差 </t>
    </r>
    <r>
      <rPr>
        <sz val="10"/>
        <color rgb="FF000000"/>
        <rFont val="Arial"/>
        <family val="0"/>
        <charset val="1"/>
      </rPr>
      <t xml:space="preserve">3 </t>
    </r>
    <r>
      <rPr>
        <sz val="10"/>
        <color rgb="FF000000"/>
        <rFont val="Noto Sans CJK SC"/>
        <family val="2"/>
      </rPr>
      <t xml:space="preserve">元（四捨五入）</t>
    </r>
  </si>
  <si>
    <t xml:space="preserve">SRC_ZP_367</t>
  </si>
  <si>
    <t xml:space="preserve">cp_usd_lite_list</t>
  </si>
  <si>
    <r>
      <rPr>
        <sz val="10"/>
        <color rgb="FF000000"/>
        <rFont val="Arial"/>
        <family val="0"/>
        <charset val="1"/>
      </rPr>
      <t xml:space="preserve">GLM Coding Plan Lite</t>
    </r>
    <r>
      <rPr>
        <sz val="10"/>
        <color rgb="FF000000"/>
        <rFont val="Noto Sans CJK SC"/>
        <family val="2"/>
      </rPr>
      <t xml:space="preserve">（國際）牌價</t>
    </r>
  </si>
  <si>
    <r>
      <rPr>
        <sz val="10"/>
        <color rgb="FF000000"/>
        <rFont val="Arial"/>
        <family val="0"/>
        <charset val="1"/>
      </rPr>
      <t xml:space="preserve">2026-07-03 </t>
    </r>
    <r>
      <rPr>
        <sz val="10"/>
        <color rgb="FF000000"/>
        <rFont val="Noto Sans CJK SC"/>
        <family val="2"/>
      </rPr>
      <t xml:space="preserve">起（快照）</t>
    </r>
  </si>
  <si>
    <r>
      <rPr>
        <sz val="10"/>
        <color rgb="FF000000"/>
        <rFont val="Arial"/>
        <family val="0"/>
        <charset val="1"/>
      </rPr>
      <t xml:space="preserve">Digital Applied</t>
    </r>
    <r>
      <rPr>
        <sz val="10"/>
        <color rgb="FF000000"/>
        <rFont val="Noto Sans CJK SC"/>
        <family val="2"/>
      </rPr>
      <t xml:space="preserve">〈</t>
    </r>
    <r>
      <rPr>
        <sz val="10"/>
        <color rgb="FF000000"/>
        <rFont val="Arial"/>
        <family val="0"/>
        <charset val="1"/>
      </rPr>
      <t xml:space="preserve">GLM Coding Plan worth it 2026</t>
    </r>
    <r>
      <rPr>
        <sz val="10"/>
        <color rgb="FF000000"/>
        <rFont val="Noto Sans CJK SC"/>
        <family val="2"/>
      </rPr>
      <t xml:space="preserve">〉</t>
    </r>
  </si>
  <si>
    <t xml:space="preserve">https://www.digitalapplied.com/blog/glm-coding-plan-worth-it-2026-value-analysis</t>
  </si>
  <si>
    <t xml:space="preserve">2026-07-03</t>
  </si>
  <si>
    <r>
      <rPr>
        <sz val="10"/>
        <color rgb="FF000000"/>
        <rFont val="Noto Sans CJK SC"/>
        <family val="2"/>
      </rPr>
      <t xml:space="preserve">表列 </t>
    </r>
    <r>
      <rPr>
        <sz val="10"/>
        <color rgb="FF000000"/>
        <rFont val="Arial"/>
        <family val="0"/>
        <charset val="1"/>
      </rPr>
      <t xml:space="preserve">Lite </t>
    </r>
    <r>
      <rPr>
        <sz val="10"/>
        <color rgb="FF000000"/>
        <rFont val="Noto Sans CJK SC"/>
        <family val="2"/>
      </rPr>
      <t xml:space="preserve">牌價 </t>
    </r>
    <r>
      <rPr>
        <sz val="10"/>
        <color rgb="FF000000"/>
        <rFont val="Arial"/>
        <family val="0"/>
        <charset val="1"/>
      </rPr>
      <t xml:space="preserve">$18</t>
    </r>
    <r>
      <rPr>
        <sz val="10"/>
        <color rgb="FF000000"/>
        <rFont val="Noto Sans CJK SC"/>
        <family val="2"/>
      </rPr>
      <t xml:space="preserve">；月付 −</t>
    </r>
    <r>
      <rPr>
        <sz val="10"/>
        <color rgb="FF000000"/>
        <rFont val="Arial"/>
        <family val="0"/>
        <charset val="1"/>
      </rPr>
      <t xml:space="preserve">10% $16.2</t>
    </r>
    <r>
      <rPr>
        <sz val="10"/>
        <color rgb="FF000000"/>
        <rFont val="Noto Sans CJK SC"/>
        <family val="2"/>
      </rPr>
      <t xml:space="preserve">；季付 −</t>
    </r>
    <r>
      <rPr>
        <sz val="10"/>
        <color rgb="FF000000"/>
        <rFont val="Arial"/>
        <family val="0"/>
        <charset val="1"/>
      </rPr>
      <t xml:space="preserve">20% $14.4/</t>
    </r>
    <r>
      <rPr>
        <sz val="10"/>
        <color rgb="FF000000"/>
        <rFont val="Noto Sans CJK SC"/>
        <family val="2"/>
      </rPr>
      <t xml:space="preserve">月；年付 −</t>
    </r>
    <r>
      <rPr>
        <sz val="10"/>
        <color rgb="FF000000"/>
        <rFont val="Arial"/>
        <family val="0"/>
        <charset val="1"/>
      </rPr>
      <t xml:space="preserve">30% $12.6/</t>
    </r>
    <r>
      <rPr>
        <sz val="10"/>
        <color rgb="FF000000"/>
        <rFont val="Noto Sans CJK SC"/>
        <family val="2"/>
      </rPr>
      <t xml:space="preserve">月；</t>
    </r>
    <r>
      <rPr>
        <sz val="10"/>
        <color rgb="FF000000"/>
        <rFont val="Arial"/>
        <family val="0"/>
        <charset val="1"/>
      </rPr>
      <t xml:space="preserve">aipricing.guru 2026-10-07 </t>
    </r>
    <r>
      <rPr>
        <sz val="10"/>
        <color rgb="FF000000"/>
        <rFont val="Noto Sans CJK SC"/>
        <family val="2"/>
      </rPr>
      <t xml:space="preserve">核對同價</t>
    </r>
  </si>
  <si>
    <t xml:space="preserve">SRC_ZP_368</t>
  </si>
  <si>
    <t xml:space="preserve">cp_usd_lite_yr_permonth</t>
  </si>
  <si>
    <r>
      <rPr>
        <sz val="10"/>
        <color rgb="FF000000"/>
        <rFont val="Arial"/>
        <family val="0"/>
        <charset val="1"/>
      </rPr>
      <t xml:space="preserve">GLM Coding Plan Lite</t>
    </r>
    <r>
      <rPr>
        <sz val="10"/>
        <color rgb="FF000000"/>
        <rFont val="Noto Sans CJK SC"/>
        <family val="2"/>
      </rPr>
      <t xml:space="preserve">（國際）年付折合每月</t>
    </r>
  </si>
  <si>
    <r>
      <rPr>
        <sz val="10"/>
        <color rgb="FF000000"/>
        <rFont val="Arial"/>
        <family val="0"/>
        <charset val="1"/>
      </rPr>
      <t xml:space="preserve">2026-07</t>
    </r>
    <r>
      <rPr>
        <sz val="10"/>
        <color rgb="FF000000"/>
        <rFont val="Noto Sans CJK SC"/>
        <family val="2"/>
      </rPr>
      <t xml:space="preserve">～</t>
    </r>
    <r>
      <rPr>
        <sz val="10"/>
        <color rgb="FF000000"/>
        <rFont val="Arial"/>
        <family val="0"/>
        <charset val="1"/>
      </rPr>
      <t xml:space="preserve">2026-10</t>
    </r>
  </si>
  <si>
    <r>
      <rPr>
        <sz val="10"/>
        <color rgb="FF000000"/>
        <rFont val="Arial"/>
        <family val="0"/>
        <charset val="1"/>
      </rPr>
      <t xml:space="preserve">UsagePricing</t>
    </r>
    <r>
      <rPr>
        <sz val="10"/>
        <color rgb="FF000000"/>
        <rFont val="Noto Sans CJK SC"/>
        <family val="2"/>
      </rPr>
      <t xml:space="preserve">〈</t>
    </r>
    <r>
      <rPr>
        <sz val="10"/>
        <color rgb="FF000000"/>
        <rFont val="Arial"/>
        <family val="0"/>
        <charset val="1"/>
      </rPr>
      <t xml:space="preserve">2026-07-22 price change</t>
    </r>
    <r>
      <rPr>
        <sz val="10"/>
        <color rgb="FF000000"/>
        <rFont val="Noto Sans CJK SC"/>
        <family val="2"/>
      </rPr>
      <t xml:space="preserve">〉</t>
    </r>
  </si>
  <si>
    <r>
      <rPr>
        <sz val="10"/>
        <color rgb="FF000000"/>
        <rFont val="Noto Sans CJK SC"/>
        <family val="2"/>
      </rPr>
      <t xml:space="preserve">年付 </t>
    </r>
    <r>
      <rPr>
        <sz val="10"/>
        <color rgb="FF000000"/>
        <rFont val="Arial"/>
        <family val="0"/>
        <charset val="1"/>
      </rPr>
      <t xml:space="preserve">30% off</t>
    </r>
    <r>
      <rPr>
        <sz val="10"/>
        <color rgb="FF000000"/>
        <rFont val="Noto Sans CJK SC"/>
        <family val="2"/>
      </rPr>
      <t xml:space="preserve">：</t>
    </r>
    <r>
      <rPr>
        <sz val="10"/>
        <color rgb="FF000000"/>
        <rFont val="Arial"/>
        <family val="0"/>
        <charset val="1"/>
      </rPr>
      <t xml:space="preserve">$12.6</t>
    </r>
    <r>
      <rPr>
        <sz val="10"/>
        <color rgb="FF000000"/>
        <rFont val="Noto Sans CJK SC"/>
        <family val="2"/>
      </rPr>
      <t xml:space="preserve">／</t>
    </r>
    <r>
      <rPr>
        <sz val="10"/>
        <color rgb="FF000000"/>
        <rFont val="Arial"/>
        <family val="0"/>
        <charset val="1"/>
      </rPr>
      <t xml:space="preserve">$50.4</t>
    </r>
    <r>
      <rPr>
        <sz val="10"/>
        <color rgb="FF000000"/>
        <rFont val="Noto Sans CJK SC"/>
        <family val="2"/>
      </rPr>
      <t xml:space="preserve">／</t>
    </r>
    <r>
      <rPr>
        <sz val="10"/>
        <color rgb="FF000000"/>
        <rFont val="Arial"/>
        <family val="0"/>
        <charset val="1"/>
      </rPr>
      <t xml:space="preserve">$112</t>
    </r>
    <r>
      <rPr>
        <sz val="10"/>
        <color rgb="FF000000"/>
        <rFont val="Noto Sans CJK SC"/>
        <family val="2"/>
      </rPr>
      <t xml:space="preserve">；季付 </t>
    </r>
    <r>
      <rPr>
        <sz val="10"/>
        <color rgb="FF000000"/>
        <rFont val="Arial"/>
        <family val="0"/>
        <charset val="1"/>
      </rPr>
      <t xml:space="preserve">20% off</t>
    </r>
    <r>
      <rPr>
        <sz val="10"/>
        <color rgb="FF000000"/>
        <rFont val="Noto Sans CJK SC"/>
        <family val="2"/>
      </rPr>
      <t xml:space="preserve">：</t>
    </r>
    <r>
      <rPr>
        <sz val="10"/>
        <color rgb="FF000000"/>
        <rFont val="Arial"/>
        <family val="0"/>
        <charset val="1"/>
      </rPr>
      <t xml:space="preserve">$14.4</t>
    </r>
    <r>
      <rPr>
        <sz val="10"/>
        <color rgb="FF000000"/>
        <rFont val="Noto Sans CJK SC"/>
        <family val="2"/>
      </rPr>
      <t xml:space="preserve">／</t>
    </r>
    <r>
      <rPr>
        <sz val="10"/>
        <color rgb="FF000000"/>
        <rFont val="Arial"/>
        <family val="0"/>
        <charset val="1"/>
      </rPr>
      <t xml:space="preserve">$57.6</t>
    </r>
    <r>
      <rPr>
        <sz val="10"/>
        <color rgb="FF000000"/>
        <rFont val="Noto Sans CJK SC"/>
        <family val="2"/>
      </rPr>
      <t xml:space="preserve">／</t>
    </r>
    <r>
      <rPr>
        <sz val="10"/>
        <color rgb="FF000000"/>
        <rFont val="Arial"/>
        <family val="0"/>
        <charset val="1"/>
      </rPr>
      <t xml:space="preserve">$128</t>
    </r>
  </si>
  <si>
    <t xml:space="preserve">SRC_ZP_369</t>
  </si>
  <si>
    <t xml:space="preserve">cp_usd_pro_list</t>
  </si>
  <si>
    <r>
      <rPr>
        <sz val="10"/>
        <color rgb="FF000000"/>
        <rFont val="Arial"/>
        <family val="0"/>
        <charset val="1"/>
      </rPr>
      <t xml:space="preserve">GLM Coding Plan Pro</t>
    </r>
    <r>
      <rPr>
        <sz val="10"/>
        <color rgb="FF000000"/>
        <rFont val="Noto Sans CJK SC"/>
        <family val="2"/>
      </rPr>
      <t xml:space="preserve">（國際）牌價</t>
    </r>
  </si>
  <si>
    <r>
      <rPr>
        <sz val="10"/>
        <color rgb="FF000000"/>
        <rFont val="Noto Sans CJK SC"/>
        <family val="2"/>
      </rPr>
      <t xml:space="preserve">表列 </t>
    </r>
    <r>
      <rPr>
        <sz val="10"/>
        <color rgb="FF000000"/>
        <rFont val="Arial"/>
        <family val="0"/>
        <charset val="1"/>
      </rPr>
      <t xml:space="preserve">Pro </t>
    </r>
    <r>
      <rPr>
        <sz val="10"/>
        <color rgb="FF000000"/>
        <rFont val="Noto Sans CJK SC"/>
        <family val="2"/>
      </rPr>
      <t xml:space="preserve">牌價 </t>
    </r>
    <r>
      <rPr>
        <sz val="10"/>
        <color rgb="FF000000"/>
        <rFont val="Arial"/>
        <family val="0"/>
        <charset val="1"/>
      </rPr>
      <t xml:space="preserve">$72</t>
    </r>
    <r>
      <rPr>
        <sz val="10"/>
        <color rgb="FF000000"/>
        <rFont val="Noto Sans CJK SC"/>
        <family val="2"/>
      </rPr>
      <t xml:space="preserve">；月付 −</t>
    </r>
    <r>
      <rPr>
        <sz val="10"/>
        <color rgb="FF000000"/>
        <rFont val="Arial"/>
        <family val="0"/>
        <charset val="1"/>
      </rPr>
      <t xml:space="preserve">10% $64.8</t>
    </r>
    <r>
      <rPr>
        <sz val="10"/>
        <color rgb="FF000000"/>
        <rFont val="Noto Sans CJK SC"/>
        <family val="2"/>
      </rPr>
      <t xml:space="preserve">；季付 −</t>
    </r>
    <r>
      <rPr>
        <sz val="10"/>
        <color rgb="FF000000"/>
        <rFont val="Arial"/>
        <family val="0"/>
        <charset val="1"/>
      </rPr>
      <t xml:space="preserve">20% $57.6/</t>
    </r>
    <r>
      <rPr>
        <sz val="10"/>
        <color rgb="FF000000"/>
        <rFont val="Noto Sans CJK SC"/>
        <family val="2"/>
      </rPr>
      <t xml:space="preserve">月；年付 −</t>
    </r>
    <r>
      <rPr>
        <sz val="10"/>
        <color rgb="FF000000"/>
        <rFont val="Arial"/>
        <family val="0"/>
        <charset val="1"/>
      </rPr>
      <t xml:space="preserve">30% $50.4/</t>
    </r>
    <r>
      <rPr>
        <sz val="10"/>
        <color rgb="FF000000"/>
        <rFont val="Noto Sans CJK SC"/>
        <family val="2"/>
      </rPr>
      <t xml:space="preserve">月；</t>
    </r>
    <r>
      <rPr>
        <sz val="10"/>
        <color rgb="FF000000"/>
        <rFont val="Arial"/>
        <family val="0"/>
        <charset val="1"/>
      </rPr>
      <t xml:space="preserve">aipricing.guru 2026-10-07 </t>
    </r>
    <r>
      <rPr>
        <sz val="10"/>
        <color rgb="FF000000"/>
        <rFont val="Noto Sans CJK SC"/>
        <family val="2"/>
      </rPr>
      <t xml:space="preserve">核對同價</t>
    </r>
  </si>
  <si>
    <t xml:space="preserve">SRC_ZP_370</t>
  </si>
  <si>
    <t xml:space="preserve">cp_usd_pro_yr_permonth</t>
  </si>
  <si>
    <r>
      <rPr>
        <sz val="10"/>
        <color rgb="FF000000"/>
        <rFont val="Arial"/>
        <family val="0"/>
        <charset val="1"/>
      </rPr>
      <t xml:space="preserve">GLM Coding Plan Pro</t>
    </r>
    <r>
      <rPr>
        <sz val="10"/>
        <color rgb="FF000000"/>
        <rFont val="Noto Sans CJK SC"/>
        <family val="2"/>
      </rPr>
      <t xml:space="preserve">（國際）年付折合每月</t>
    </r>
  </si>
  <si>
    <t xml:space="preserve">SRC_ZP_371</t>
  </si>
  <si>
    <t xml:space="preserve">cp_usd_max_list</t>
  </si>
  <si>
    <r>
      <rPr>
        <sz val="10"/>
        <color rgb="FF000000"/>
        <rFont val="Arial"/>
        <family val="0"/>
        <charset val="1"/>
      </rPr>
      <t xml:space="preserve">GLM Coding Plan Max</t>
    </r>
    <r>
      <rPr>
        <sz val="10"/>
        <color rgb="FF000000"/>
        <rFont val="Noto Sans CJK SC"/>
        <family val="2"/>
      </rPr>
      <t xml:space="preserve">（國際）牌價</t>
    </r>
  </si>
  <si>
    <r>
      <rPr>
        <sz val="10"/>
        <color rgb="FF000000"/>
        <rFont val="Noto Sans CJK SC"/>
        <family val="2"/>
      </rPr>
      <t xml:space="preserve">表列 </t>
    </r>
    <r>
      <rPr>
        <sz val="10"/>
        <color rgb="FF000000"/>
        <rFont val="Arial"/>
        <family val="0"/>
        <charset val="1"/>
      </rPr>
      <t xml:space="preserve">Max </t>
    </r>
    <r>
      <rPr>
        <sz val="10"/>
        <color rgb="FF000000"/>
        <rFont val="Noto Sans CJK SC"/>
        <family val="2"/>
      </rPr>
      <t xml:space="preserve">牌價 </t>
    </r>
    <r>
      <rPr>
        <sz val="10"/>
        <color rgb="FF000000"/>
        <rFont val="Arial"/>
        <family val="0"/>
        <charset val="1"/>
      </rPr>
      <t xml:space="preserve">$160</t>
    </r>
    <r>
      <rPr>
        <sz val="10"/>
        <color rgb="FF000000"/>
        <rFont val="Noto Sans CJK SC"/>
        <family val="2"/>
      </rPr>
      <t xml:space="preserve">；月付 −</t>
    </r>
    <r>
      <rPr>
        <sz val="10"/>
        <color rgb="FF000000"/>
        <rFont val="Arial"/>
        <family val="0"/>
        <charset val="1"/>
      </rPr>
      <t xml:space="preserve">10% $144</t>
    </r>
    <r>
      <rPr>
        <sz val="10"/>
        <color rgb="FF000000"/>
        <rFont val="Noto Sans CJK SC"/>
        <family val="2"/>
      </rPr>
      <t xml:space="preserve">；季付 −</t>
    </r>
    <r>
      <rPr>
        <sz val="10"/>
        <color rgb="FF000000"/>
        <rFont val="Arial"/>
        <family val="0"/>
        <charset val="1"/>
      </rPr>
      <t xml:space="preserve">20% $128/</t>
    </r>
    <r>
      <rPr>
        <sz val="10"/>
        <color rgb="FF000000"/>
        <rFont val="Noto Sans CJK SC"/>
        <family val="2"/>
      </rPr>
      <t xml:space="preserve">月；年付 −</t>
    </r>
    <r>
      <rPr>
        <sz val="10"/>
        <color rgb="FF000000"/>
        <rFont val="Arial"/>
        <family val="0"/>
        <charset val="1"/>
      </rPr>
      <t xml:space="preserve">30% $112/</t>
    </r>
    <r>
      <rPr>
        <sz val="10"/>
        <color rgb="FF000000"/>
        <rFont val="Noto Sans CJK SC"/>
        <family val="2"/>
      </rPr>
      <t xml:space="preserve">月；</t>
    </r>
    <r>
      <rPr>
        <sz val="10"/>
        <color rgb="FF000000"/>
        <rFont val="Arial"/>
        <family val="0"/>
        <charset val="1"/>
      </rPr>
      <t xml:space="preserve">aipricing.guru 2026-10-07 </t>
    </r>
    <r>
      <rPr>
        <sz val="10"/>
        <color rgb="FF000000"/>
        <rFont val="Noto Sans CJK SC"/>
        <family val="2"/>
      </rPr>
      <t xml:space="preserve">核對同價</t>
    </r>
  </si>
  <si>
    <t xml:space="preserve">SRC_ZP_372</t>
  </si>
  <si>
    <t xml:space="preserve">cp_usd_max_yr_permonth</t>
  </si>
  <si>
    <r>
      <rPr>
        <sz val="10"/>
        <color rgb="FF000000"/>
        <rFont val="Arial"/>
        <family val="0"/>
        <charset val="1"/>
      </rPr>
      <t xml:space="preserve">GLM Coding Plan Max</t>
    </r>
    <r>
      <rPr>
        <sz val="10"/>
        <color rgb="FF000000"/>
        <rFont val="Noto Sans CJK SC"/>
        <family val="2"/>
      </rPr>
      <t xml:space="preserve">（國際）年付折合每月</t>
    </r>
  </si>
  <si>
    <t xml:space="preserve">SRC_ZP_373</t>
  </si>
  <si>
    <t xml:space="preserve">cp_usd_lite_qtr_feb2026</t>
  </si>
  <si>
    <r>
      <rPr>
        <sz val="10"/>
        <color rgb="FF000000"/>
        <rFont val="Arial"/>
        <family val="0"/>
        <charset val="1"/>
      </rPr>
      <t xml:space="preserve">GLM Coding Plan Lite</t>
    </r>
    <r>
      <rPr>
        <sz val="10"/>
        <color rgb="FF000000"/>
        <rFont val="Noto Sans CJK SC"/>
        <family val="2"/>
      </rPr>
      <t xml:space="preserve">（國際）</t>
    </r>
    <r>
      <rPr>
        <sz val="10"/>
        <color rgb="FF000000"/>
        <rFont val="Arial"/>
        <family val="0"/>
        <charset val="1"/>
      </rPr>
      <t xml:space="preserve">2026-02</t>
    </r>
    <r>
      <rPr>
        <sz val="10"/>
        <color rgb="FF000000"/>
        <rFont val="Noto Sans CJK SC"/>
        <family val="2"/>
      </rPr>
      <t xml:space="preserve">～</t>
    </r>
    <r>
      <rPr>
        <sz val="10"/>
        <color rgb="FF000000"/>
        <rFont val="Arial"/>
        <family val="0"/>
        <charset val="1"/>
      </rPr>
      <t xml:space="preserve">07 </t>
    </r>
    <r>
      <rPr>
        <sz val="10"/>
        <color rgb="FF000000"/>
        <rFont val="Noto Sans CJK SC"/>
        <family val="2"/>
      </rPr>
      <t xml:space="preserve">季付價</t>
    </r>
  </si>
  <si>
    <r>
      <rPr>
        <sz val="10"/>
        <color rgb="FF000000"/>
        <rFont val="Arial"/>
        <family val="0"/>
        <charset val="1"/>
      </rPr>
      <t xml:space="preserve">USD</t>
    </r>
    <r>
      <rPr>
        <sz val="10"/>
        <color rgb="FF000000"/>
        <rFont val="Noto Sans CJK SC"/>
        <family val="2"/>
      </rPr>
      <t xml:space="preserve">／季</t>
    </r>
  </si>
  <si>
    <r>
      <rPr>
        <sz val="10"/>
        <color rgb="FF000000"/>
        <rFont val="Arial"/>
        <family val="0"/>
        <charset val="1"/>
      </rPr>
      <t xml:space="preserve">2026-02-11</t>
    </r>
    <r>
      <rPr>
        <sz val="10"/>
        <color rgb="FF000000"/>
        <rFont val="Noto Sans CJK SC"/>
        <family val="2"/>
      </rPr>
      <t xml:space="preserve">～</t>
    </r>
    <r>
      <rPr>
        <sz val="10"/>
        <color rgb="FF000000"/>
        <rFont val="Arial"/>
        <family val="0"/>
        <charset val="1"/>
      </rPr>
      <t xml:space="preserve">2026-07</t>
    </r>
  </si>
  <si>
    <r>
      <rPr>
        <sz val="10"/>
        <color rgb="FF000000"/>
        <rFont val="Arial"/>
        <family val="0"/>
        <charset val="1"/>
      </rPr>
      <t xml:space="preserve">UsagePricing</t>
    </r>
    <r>
      <rPr>
        <sz val="10"/>
        <color rgb="FF000000"/>
        <rFont val="Noto Sans CJK SC"/>
        <family val="2"/>
      </rPr>
      <t xml:space="preserve">〈</t>
    </r>
    <r>
      <rPr>
        <sz val="10"/>
        <color rgb="FF000000"/>
        <rFont val="Arial"/>
        <family val="0"/>
        <charset val="1"/>
      </rPr>
      <t xml:space="preserve">2026-07-22 price change</t>
    </r>
    <r>
      <rPr>
        <sz val="10"/>
        <color rgb="FF000000"/>
        <rFont val="Noto Sans CJK SC"/>
        <family val="2"/>
      </rPr>
      <t xml:space="preserve">〉（</t>
    </r>
    <r>
      <rPr>
        <sz val="10"/>
        <color rgb="FF000000"/>
        <rFont val="Arial"/>
        <family val="0"/>
        <charset val="1"/>
      </rPr>
      <t xml:space="preserve">before </t>
    </r>
    <r>
      <rPr>
        <sz val="10"/>
        <color rgb="FF000000"/>
        <rFont val="Noto Sans CJK SC"/>
        <family val="2"/>
      </rPr>
      <t xml:space="preserve">欄）</t>
    </r>
  </si>
  <si>
    <r>
      <rPr>
        <sz val="10"/>
        <color rgb="FF000000"/>
        <rFont val="Arial"/>
        <family val="0"/>
        <charset val="1"/>
      </rPr>
      <t xml:space="preserve">before</t>
    </r>
    <r>
      <rPr>
        <sz val="10"/>
        <color rgb="FF000000"/>
        <rFont val="Noto Sans CJK SC"/>
        <family val="2"/>
      </rPr>
      <t xml:space="preserve">：約 </t>
    </r>
    <r>
      <rPr>
        <sz val="10"/>
        <color rgb="FF000000"/>
        <rFont val="Arial"/>
        <family val="0"/>
        <charset val="1"/>
      </rPr>
      <t xml:space="preserve">$30/</t>
    </r>
    <r>
      <rPr>
        <sz val="10"/>
        <color rgb="FF000000"/>
        <rFont val="Noto Sans CJK SC"/>
        <family val="2"/>
      </rPr>
      <t xml:space="preserve">季（約 </t>
    </r>
    <r>
      <rPr>
        <sz val="10"/>
        <color rgb="FF000000"/>
        <rFont val="Arial"/>
        <family val="0"/>
        <charset val="1"/>
      </rPr>
      <t xml:space="preserve">$10/</t>
    </r>
    <r>
      <rPr>
        <sz val="10"/>
        <color rgb="FF000000"/>
        <rFont val="Noto Sans CJK SC"/>
        <family val="2"/>
      </rPr>
      <t xml:space="preserve">月）；</t>
    </r>
    <r>
      <rPr>
        <sz val="10"/>
        <color rgb="FF000000"/>
        <rFont val="Arial"/>
        <family val="0"/>
        <charset val="1"/>
      </rPr>
      <t xml:space="preserve">Labmemo 2026-04 </t>
    </r>
    <r>
      <rPr>
        <sz val="10"/>
        <color rgb="FF000000"/>
        <rFont val="Noto Sans CJK SC"/>
        <family val="2"/>
      </rPr>
      <t xml:space="preserve">同列 </t>
    </r>
    <r>
      <rPr>
        <sz val="10"/>
        <color rgb="FF000000"/>
        <rFont val="Arial"/>
        <family val="0"/>
        <charset val="1"/>
      </rPr>
      <t xml:space="preserve">$30/$90/$240 </t>
    </r>
    <r>
      <rPr>
        <sz val="10"/>
        <color rgb="FF000000"/>
        <rFont val="Noto Sans CJK SC"/>
        <family val="2"/>
      </rPr>
      <t xml:space="preserve">季付</t>
    </r>
  </si>
  <si>
    <t xml:space="preserve">SRC_ZP_374</t>
  </si>
  <si>
    <t xml:space="preserve">cp_usd_pro_qtr_feb2026</t>
  </si>
  <si>
    <r>
      <rPr>
        <sz val="10"/>
        <color rgb="FF000000"/>
        <rFont val="Arial"/>
        <family val="0"/>
        <charset val="1"/>
      </rPr>
      <t xml:space="preserve">GLM Coding Plan Pro</t>
    </r>
    <r>
      <rPr>
        <sz val="10"/>
        <color rgb="FF000000"/>
        <rFont val="Noto Sans CJK SC"/>
        <family val="2"/>
      </rPr>
      <t xml:space="preserve">（國際）</t>
    </r>
    <r>
      <rPr>
        <sz val="10"/>
        <color rgb="FF000000"/>
        <rFont val="Arial"/>
        <family val="0"/>
        <charset val="1"/>
      </rPr>
      <t xml:space="preserve">2026-02</t>
    </r>
    <r>
      <rPr>
        <sz val="10"/>
        <color rgb="FF000000"/>
        <rFont val="Noto Sans CJK SC"/>
        <family val="2"/>
      </rPr>
      <t xml:space="preserve">～</t>
    </r>
    <r>
      <rPr>
        <sz val="10"/>
        <color rgb="FF000000"/>
        <rFont val="Arial"/>
        <family val="0"/>
        <charset val="1"/>
      </rPr>
      <t xml:space="preserve">07 </t>
    </r>
    <r>
      <rPr>
        <sz val="10"/>
        <color rgb="FF000000"/>
        <rFont val="Noto Sans CJK SC"/>
        <family val="2"/>
      </rPr>
      <t xml:space="preserve">季付價</t>
    </r>
  </si>
  <si>
    <r>
      <rPr>
        <sz val="10"/>
        <color rgb="FF000000"/>
        <rFont val="Arial"/>
        <family val="0"/>
        <charset val="1"/>
      </rPr>
      <t xml:space="preserve">before</t>
    </r>
    <r>
      <rPr>
        <sz val="10"/>
        <color rgb="FF000000"/>
        <rFont val="Noto Sans CJK SC"/>
        <family val="2"/>
      </rPr>
      <t xml:space="preserve">：約 </t>
    </r>
    <r>
      <rPr>
        <sz val="10"/>
        <color rgb="FF000000"/>
        <rFont val="Arial"/>
        <family val="0"/>
        <charset val="1"/>
      </rPr>
      <t xml:space="preserve">$90/</t>
    </r>
    <r>
      <rPr>
        <sz val="10"/>
        <color rgb="FF000000"/>
        <rFont val="Noto Sans CJK SC"/>
        <family val="2"/>
      </rPr>
      <t xml:space="preserve">季（約 </t>
    </r>
    <r>
      <rPr>
        <sz val="10"/>
        <color rgb="FF000000"/>
        <rFont val="Arial"/>
        <family val="0"/>
        <charset val="1"/>
      </rPr>
      <t xml:space="preserve">$30/</t>
    </r>
    <r>
      <rPr>
        <sz val="10"/>
        <color rgb="FF000000"/>
        <rFont val="Noto Sans CJK SC"/>
        <family val="2"/>
      </rPr>
      <t xml:space="preserve">月）；</t>
    </r>
    <r>
      <rPr>
        <sz val="10"/>
        <color rgb="FF000000"/>
        <rFont val="Arial"/>
        <family val="0"/>
        <charset val="1"/>
      </rPr>
      <t xml:space="preserve">Labmemo 2026-04 </t>
    </r>
    <r>
      <rPr>
        <sz val="10"/>
        <color rgb="FF000000"/>
        <rFont val="Noto Sans CJK SC"/>
        <family val="2"/>
      </rPr>
      <t xml:space="preserve">同列 </t>
    </r>
    <r>
      <rPr>
        <sz val="10"/>
        <color rgb="FF000000"/>
        <rFont val="Arial"/>
        <family val="0"/>
        <charset val="1"/>
      </rPr>
      <t xml:space="preserve">$30/$90/$240 </t>
    </r>
    <r>
      <rPr>
        <sz val="10"/>
        <color rgb="FF000000"/>
        <rFont val="Noto Sans CJK SC"/>
        <family val="2"/>
      </rPr>
      <t xml:space="preserve">季付</t>
    </r>
  </si>
  <si>
    <t xml:space="preserve">SRC_ZP_375</t>
  </si>
  <si>
    <t xml:space="preserve">cp_usd_max_qtr_feb2026</t>
  </si>
  <si>
    <r>
      <rPr>
        <sz val="10"/>
        <color rgb="FF000000"/>
        <rFont val="Arial"/>
        <family val="0"/>
        <charset val="1"/>
      </rPr>
      <t xml:space="preserve">GLM Coding Plan Max</t>
    </r>
    <r>
      <rPr>
        <sz val="10"/>
        <color rgb="FF000000"/>
        <rFont val="Noto Sans CJK SC"/>
        <family val="2"/>
      </rPr>
      <t xml:space="preserve">（國際）</t>
    </r>
    <r>
      <rPr>
        <sz val="10"/>
        <color rgb="FF000000"/>
        <rFont val="Arial"/>
        <family val="0"/>
        <charset val="1"/>
      </rPr>
      <t xml:space="preserve">2026-02</t>
    </r>
    <r>
      <rPr>
        <sz val="10"/>
        <color rgb="FF000000"/>
        <rFont val="Noto Sans CJK SC"/>
        <family val="2"/>
      </rPr>
      <t xml:space="preserve">～</t>
    </r>
    <r>
      <rPr>
        <sz val="10"/>
        <color rgb="FF000000"/>
        <rFont val="Arial"/>
        <family val="0"/>
        <charset val="1"/>
      </rPr>
      <t xml:space="preserve">07 </t>
    </r>
    <r>
      <rPr>
        <sz val="10"/>
        <color rgb="FF000000"/>
        <rFont val="Noto Sans CJK SC"/>
        <family val="2"/>
      </rPr>
      <t xml:space="preserve">季付價</t>
    </r>
  </si>
  <si>
    <r>
      <rPr>
        <sz val="10"/>
        <color rgb="FF000000"/>
        <rFont val="Arial"/>
        <family val="0"/>
        <charset val="1"/>
      </rPr>
      <t xml:space="preserve">before</t>
    </r>
    <r>
      <rPr>
        <sz val="10"/>
        <color rgb="FF000000"/>
        <rFont val="Noto Sans CJK SC"/>
        <family val="2"/>
      </rPr>
      <t xml:space="preserve">：約 </t>
    </r>
    <r>
      <rPr>
        <sz val="10"/>
        <color rgb="FF000000"/>
        <rFont val="Arial"/>
        <family val="0"/>
        <charset val="1"/>
      </rPr>
      <t xml:space="preserve">$240/</t>
    </r>
    <r>
      <rPr>
        <sz val="10"/>
        <color rgb="FF000000"/>
        <rFont val="Noto Sans CJK SC"/>
        <family val="2"/>
      </rPr>
      <t xml:space="preserve">季（約 </t>
    </r>
    <r>
      <rPr>
        <sz val="10"/>
        <color rgb="FF000000"/>
        <rFont val="Arial"/>
        <family val="0"/>
        <charset val="1"/>
      </rPr>
      <t xml:space="preserve">$80/</t>
    </r>
    <r>
      <rPr>
        <sz val="10"/>
        <color rgb="FF000000"/>
        <rFont val="Noto Sans CJK SC"/>
        <family val="2"/>
      </rPr>
      <t xml:space="preserve">月）；</t>
    </r>
    <r>
      <rPr>
        <sz val="10"/>
        <color rgb="FF000000"/>
        <rFont val="Arial"/>
        <family val="0"/>
        <charset val="1"/>
      </rPr>
      <t xml:space="preserve">Labmemo 2026-04 </t>
    </r>
    <r>
      <rPr>
        <sz val="10"/>
        <color rgb="FF000000"/>
        <rFont val="Noto Sans CJK SC"/>
        <family val="2"/>
      </rPr>
      <t xml:space="preserve">同列 </t>
    </r>
    <r>
      <rPr>
        <sz val="10"/>
        <color rgb="FF000000"/>
        <rFont val="Arial"/>
        <family val="0"/>
        <charset val="1"/>
      </rPr>
      <t xml:space="preserve">$30/$90/$240 </t>
    </r>
    <r>
      <rPr>
        <sz val="10"/>
        <color rgb="FF000000"/>
        <rFont val="Noto Sans CJK SC"/>
        <family val="2"/>
      </rPr>
      <t xml:space="preserve">季付</t>
    </r>
  </si>
  <si>
    <t xml:space="preserve">SRC_ZP_376</t>
  </si>
  <si>
    <t xml:space="preserve">cp_quota_lite_5h</t>
  </si>
  <si>
    <r>
      <rPr>
        <sz val="10"/>
        <color rgb="FF000000"/>
        <rFont val="Arial"/>
        <family val="0"/>
        <charset val="1"/>
      </rPr>
      <t xml:space="preserve">Coding Plan Lite </t>
    </r>
    <r>
      <rPr>
        <sz val="10"/>
        <color rgb="FF000000"/>
        <rFont val="Noto Sans CJK SC"/>
        <family val="2"/>
      </rPr>
      <t xml:space="preserve">額度（每 </t>
    </r>
    <r>
      <rPr>
        <sz val="10"/>
        <color rgb="FF000000"/>
        <rFont val="Arial"/>
        <family val="0"/>
        <charset val="1"/>
      </rPr>
      <t xml:space="preserve">5 </t>
    </r>
    <r>
      <rPr>
        <sz val="10"/>
        <color rgb="FF000000"/>
        <rFont val="Noto Sans CJK SC"/>
        <family val="2"/>
      </rPr>
      <t xml:space="preserve">小時）</t>
    </r>
  </si>
  <si>
    <r>
      <rPr>
        <sz val="10"/>
        <color rgb="FF000000"/>
        <rFont val="Arial"/>
        <family val="0"/>
        <charset val="1"/>
      </rPr>
      <t xml:space="preserve">prompts</t>
    </r>
    <r>
      <rPr>
        <sz val="10"/>
        <color rgb="FF000000"/>
        <rFont val="Noto Sans CJK SC"/>
        <family val="2"/>
      </rPr>
      <t xml:space="preserve">／</t>
    </r>
    <r>
      <rPr>
        <sz val="10"/>
        <color rgb="FF000000"/>
        <rFont val="Arial"/>
        <family val="0"/>
        <charset val="1"/>
      </rPr>
      <t xml:space="preserve">5 </t>
    </r>
    <r>
      <rPr>
        <sz val="10"/>
        <color rgb="FF000000"/>
        <rFont val="Noto Sans CJK SC"/>
        <family val="2"/>
      </rPr>
      <t xml:space="preserve">小時</t>
    </r>
  </si>
  <si>
    <r>
      <rPr>
        <sz val="10"/>
        <color rgb="FF000000"/>
        <rFont val="Arial"/>
        <family val="0"/>
        <charset val="1"/>
      </rPr>
      <t xml:space="preserve">2026-04-30 </t>
    </r>
    <r>
      <rPr>
        <sz val="10"/>
        <color rgb="FF000000"/>
        <rFont val="Noto Sans CJK SC"/>
        <family val="2"/>
      </rPr>
      <t xml:space="preserve">起</t>
    </r>
  </si>
  <si>
    <r>
      <rPr>
        <sz val="10"/>
        <color rgb="FF000000"/>
        <rFont val="Arial"/>
        <family val="0"/>
        <charset val="1"/>
      </rPr>
      <t xml:space="preserve">Lite ~80</t>
    </r>
    <r>
      <rPr>
        <sz val="10"/>
        <color rgb="FF000000"/>
        <rFont val="Noto Sans CJK SC"/>
        <family val="2"/>
      </rPr>
      <t xml:space="preserve">／</t>
    </r>
    <r>
      <rPr>
        <sz val="10"/>
        <color rgb="FF000000"/>
        <rFont val="Arial"/>
        <family val="0"/>
        <charset val="1"/>
      </rPr>
      <t xml:space="preserve">5h</t>
    </r>
    <r>
      <rPr>
        <sz val="10"/>
        <color rgb="FF000000"/>
        <rFont val="Noto Sans CJK SC"/>
        <family val="2"/>
      </rPr>
      <t xml:space="preserve">、</t>
    </r>
    <r>
      <rPr>
        <sz val="10"/>
        <color rgb="FF000000"/>
        <rFont val="Arial"/>
        <family val="0"/>
        <charset val="1"/>
      </rPr>
      <t xml:space="preserve">~400</t>
    </r>
    <r>
      <rPr>
        <sz val="10"/>
        <color rgb="FF000000"/>
        <rFont val="Noto Sans CJK SC"/>
        <family val="2"/>
      </rPr>
      <t xml:space="preserve">／週；</t>
    </r>
    <r>
      <rPr>
        <sz val="10"/>
        <color rgb="FF000000"/>
        <rFont val="Arial"/>
        <family val="0"/>
        <charset val="1"/>
      </rPr>
      <t xml:space="preserve">Pro ~400</t>
    </r>
    <r>
      <rPr>
        <sz val="10"/>
        <color rgb="FF000000"/>
        <rFont val="Noto Sans CJK SC"/>
        <family val="2"/>
      </rPr>
      <t xml:space="preserve">／</t>
    </r>
    <r>
      <rPr>
        <sz val="10"/>
        <color rgb="FF000000"/>
        <rFont val="Arial"/>
        <family val="0"/>
        <charset val="1"/>
      </rPr>
      <t xml:space="preserve">~2000</t>
    </r>
    <r>
      <rPr>
        <sz val="10"/>
        <color rgb="FF000000"/>
        <rFont val="Noto Sans CJK SC"/>
        <family val="2"/>
      </rPr>
      <t xml:space="preserve">；</t>
    </r>
    <r>
      <rPr>
        <sz val="10"/>
        <color rgb="FF000000"/>
        <rFont val="Arial"/>
        <family val="0"/>
        <charset val="1"/>
      </rPr>
      <t xml:space="preserve">Max ~1600</t>
    </r>
    <r>
      <rPr>
        <sz val="10"/>
        <color rgb="FF000000"/>
        <rFont val="Noto Sans CJK SC"/>
        <family val="2"/>
      </rPr>
      <t xml:space="preserve">／</t>
    </r>
    <r>
      <rPr>
        <sz val="10"/>
        <color rgb="FF000000"/>
        <rFont val="Arial"/>
        <family val="0"/>
        <charset val="1"/>
      </rPr>
      <t xml:space="preserve">~8000</t>
    </r>
    <r>
      <rPr>
        <sz val="10"/>
        <color rgb="FF000000"/>
        <rFont val="Noto Sans CJK SC"/>
        <family val="2"/>
      </rPr>
      <t xml:space="preserve">；每 </t>
    </r>
    <r>
      <rPr>
        <sz val="10"/>
        <color rgb="FF000000"/>
        <rFont val="Arial"/>
        <family val="0"/>
        <charset val="1"/>
      </rPr>
      <t xml:space="preserve">prompt </t>
    </r>
    <r>
      <rPr>
        <sz val="10"/>
        <color rgb="FF000000"/>
        <rFont val="Noto Sans CJK SC"/>
        <family val="2"/>
      </rPr>
      <t xml:space="preserve">約 </t>
    </r>
    <r>
      <rPr>
        <sz val="10"/>
        <color rgb="FF000000"/>
        <rFont val="Arial"/>
        <family val="0"/>
        <charset val="1"/>
      </rPr>
      <t xml:space="preserve">15–20 </t>
    </r>
    <r>
      <rPr>
        <sz val="10"/>
        <color rgb="FF000000"/>
        <rFont val="Noto Sans CJK SC"/>
        <family val="2"/>
      </rPr>
      <t xml:space="preserve">次模型呼叫</t>
    </r>
  </si>
  <si>
    <t xml:space="preserve">SRC_ZP_377</t>
  </si>
  <si>
    <t xml:space="preserve">cp_quota_pro_5h</t>
  </si>
  <si>
    <r>
      <rPr>
        <sz val="10"/>
        <color rgb="FF000000"/>
        <rFont val="Arial"/>
        <family val="0"/>
        <charset val="1"/>
      </rPr>
      <t xml:space="preserve">Coding Plan Pro </t>
    </r>
    <r>
      <rPr>
        <sz val="10"/>
        <color rgb="FF000000"/>
        <rFont val="Noto Sans CJK SC"/>
        <family val="2"/>
      </rPr>
      <t xml:space="preserve">額度（每 </t>
    </r>
    <r>
      <rPr>
        <sz val="10"/>
        <color rgb="FF000000"/>
        <rFont val="Arial"/>
        <family val="0"/>
        <charset val="1"/>
      </rPr>
      <t xml:space="preserve">5 </t>
    </r>
    <r>
      <rPr>
        <sz val="10"/>
        <color rgb="FF000000"/>
        <rFont val="Noto Sans CJK SC"/>
        <family val="2"/>
      </rPr>
      <t xml:space="preserve">小時）</t>
    </r>
  </si>
  <si>
    <r>
      <rPr>
        <sz val="10"/>
        <color rgb="FF000000"/>
        <rFont val="Arial"/>
        <family val="0"/>
        <charset val="1"/>
      </rPr>
      <t xml:space="preserve">Pro</t>
    </r>
    <r>
      <rPr>
        <sz val="10"/>
        <color rgb="FF000000"/>
        <rFont val="Noto Sans CJK SC"/>
        <family val="2"/>
      </rPr>
      <t xml:space="preserve">＝</t>
    </r>
    <r>
      <rPr>
        <sz val="10"/>
        <color rgb="FF000000"/>
        <rFont val="Arial"/>
        <family val="0"/>
        <charset val="1"/>
      </rPr>
      <t xml:space="preserve">5× Lite</t>
    </r>
    <r>
      <rPr>
        <sz val="10"/>
        <color rgb="FF000000"/>
        <rFont val="Noto Sans CJK SC"/>
        <family val="2"/>
      </rPr>
      <t xml:space="preserve">；週 </t>
    </r>
    <r>
      <rPr>
        <sz val="10"/>
        <color rgb="FF000000"/>
        <rFont val="Arial"/>
        <family val="0"/>
        <charset val="1"/>
      </rPr>
      <t xml:space="preserve">~2000</t>
    </r>
  </si>
  <si>
    <t xml:space="preserve">SRC_ZP_378</t>
  </si>
  <si>
    <t xml:space="preserve">cp_quota_max_5h</t>
  </si>
  <si>
    <r>
      <rPr>
        <sz val="10"/>
        <color rgb="FF000000"/>
        <rFont val="Arial"/>
        <family val="0"/>
        <charset val="1"/>
      </rPr>
      <t xml:space="preserve">Coding Plan Max </t>
    </r>
    <r>
      <rPr>
        <sz val="10"/>
        <color rgb="FF000000"/>
        <rFont val="Noto Sans CJK SC"/>
        <family val="2"/>
      </rPr>
      <t xml:space="preserve">額度（每 </t>
    </r>
    <r>
      <rPr>
        <sz val="10"/>
        <color rgb="FF000000"/>
        <rFont val="Arial"/>
        <family val="0"/>
        <charset val="1"/>
      </rPr>
      <t xml:space="preserve">5 </t>
    </r>
    <r>
      <rPr>
        <sz val="10"/>
        <color rgb="FF000000"/>
        <rFont val="Noto Sans CJK SC"/>
        <family val="2"/>
      </rPr>
      <t xml:space="preserve">小時）</t>
    </r>
  </si>
  <si>
    <r>
      <rPr>
        <sz val="10"/>
        <color rgb="FF000000"/>
        <rFont val="Arial"/>
        <family val="0"/>
        <charset val="1"/>
      </rPr>
      <t xml:space="preserve">Max</t>
    </r>
    <r>
      <rPr>
        <sz val="10"/>
        <color rgb="FF000000"/>
        <rFont val="Noto Sans CJK SC"/>
        <family val="2"/>
      </rPr>
      <t xml:space="preserve">＝</t>
    </r>
    <r>
      <rPr>
        <sz val="10"/>
        <color rgb="FF000000"/>
        <rFont val="Arial"/>
        <family val="0"/>
        <charset val="1"/>
      </rPr>
      <t xml:space="preserve">20× Lite</t>
    </r>
    <r>
      <rPr>
        <sz val="10"/>
        <color rgb="FF000000"/>
        <rFont val="Noto Sans CJK SC"/>
        <family val="2"/>
      </rPr>
      <t xml:space="preserve">；週 </t>
    </r>
    <r>
      <rPr>
        <sz val="10"/>
        <color rgb="FF000000"/>
        <rFont val="Arial"/>
        <family val="0"/>
        <charset val="1"/>
      </rPr>
      <t xml:space="preserve">~8000</t>
    </r>
  </si>
  <si>
    <t xml:space="preserve">SRC_ZP_379</t>
  </si>
  <si>
    <t xml:space="preserve">cp_calls_per_prompt</t>
  </si>
  <si>
    <r>
      <rPr>
        <sz val="10"/>
        <color rgb="FF000000"/>
        <rFont val="Noto Sans CJK SC"/>
        <family val="2"/>
      </rPr>
      <t xml:space="preserve">每 </t>
    </r>
    <r>
      <rPr>
        <sz val="10"/>
        <color rgb="FF000000"/>
        <rFont val="Arial"/>
        <family val="0"/>
        <charset val="1"/>
      </rPr>
      <t xml:space="preserve">prompt </t>
    </r>
    <r>
      <rPr>
        <sz val="10"/>
        <color rgb="FF000000"/>
        <rFont val="Noto Sans CJK SC"/>
        <family val="2"/>
      </rPr>
      <t xml:space="preserve">對應模型呼叫次數</t>
    </r>
  </si>
  <si>
    <t xml:space="preserve">次</t>
  </si>
  <si>
    <r>
      <rPr>
        <sz val="10"/>
        <color rgb="FF000000"/>
        <rFont val="Noto Sans CJK SC"/>
        <family val="2"/>
      </rPr>
      <t xml:space="preserve">原文每 </t>
    </r>
    <r>
      <rPr>
        <sz val="10"/>
        <color rgb="FF000000"/>
        <rFont val="Arial"/>
        <family val="0"/>
        <charset val="1"/>
      </rPr>
      <t xml:space="preserve">prompt</t>
    </r>
    <r>
      <rPr>
        <sz val="10"/>
        <color rgb="FF000000"/>
        <rFont val="Noto Sans CJK SC"/>
        <family val="2"/>
      </rPr>
      <t xml:space="preserve">「預計可調用模型 </t>
    </r>
    <r>
      <rPr>
        <sz val="10"/>
        <color rgb="FF000000"/>
        <rFont val="Arial"/>
        <family val="0"/>
        <charset val="1"/>
      </rPr>
      <t xml:space="preserve">15–20 </t>
    </r>
    <r>
      <rPr>
        <sz val="10"/>
        <color rgb="FF000000"/>
        <rFont val="Noto Sans CJK SC"/>
        <family val="2"/>
      </rPr>
      <t xml:space="preserve">次」；公司估計</t>
    </r>
  </si>
  <si>
    <t xml:space="preserve">SRC_ZP_380</t>
  </si>
  <si>
    <t xml:space="preserve">qy_iap_auto_month</t>
  </si>
  <si>
    <r>
      <rPr>
        <sz val="10"/>
        <color rgb="FF000000"/>
        <rFont val="Noto Sans CJK SC"/>
        <family val="2"/>
      </rPr>
      <t xml:space="preserve">清言連續包月會員（</t>
    </r>
    <r>
      <rPr>
        <sz val="10"/>
        <color rgb="FF000000"/>
        <rFont val="Arial"/>
        <family val="0"/>
        <charset val="1"/>
      </rPr>
      <t xml:space="preserve">App </t>
    </r>
    <r>
      <rPr>
        <sz val="10"/>
        <color rgb="FF000000"/>
        <rFont val="Noto Sans CJK SC"/>
        <family val="2"/>
      </rPr>
      <t xml:space="preserve">內購）</t>
    </r>
  </si>
  <si>
    <r>
      <rPr>
        <sz val="10"/>
        <color rgb="FF000000"/>
        <rFont val="Arial"/>
        <family val="0"/>
        <charset val="1"/>
      </rPr>
      <t xml:space="preserve">2026-10</t>
    </r>
    <r>
      <rPr>
        <sz val="10"/>
        <color rgb="FF000000"/>
        <rFont val="Noto Sans CJK SC"/>
        <family val="2"/>
      </rPr>
      <t xml:space="preserve">（</t>
    </r>
    <r>
      <rPr>
        <sz val="10"/>
        <color rgb="FF000000"/>
        <rFont val="Arial"/>
        <family val="0"/>
        <charset val="1"/>
      </rPr>
      <t xml:space="preserve">App Store </t>
    </r>
    <r>
      <rPr>
        <sz val="10"/>
        <color rgb="FF000000"/>
        <rFont val="Noto Sans CJK SC"/>
        <family val="2"/>
      </rPr>
      <t xml:space="preserve">現行）</t>
    </r>
  </si>
  <si>
    <r>
      <rPr>
        <sz val="10"/>
        <color rgb="FF000000"/>
        <rFont val="Arial"/>
        <family val="0"/>
        <charset val="1"/>
      </rPr>
      <t xml:space="preserve">Apple App Store </t>
    </r>
    <r>
      <rPr>
        <sz val="10"/>
        <color rgb="FF000000"/>
        <rFont val="Noto Sans CJK SC"/>
        <family val="2"/>
      </rPr>
      <t xml:space="preserve">中國區「智譜清言」頁</t>
    </r>
  </si>
  <si>
    <t xml:space="preserve">https://apps.apple.com/cn/app/%E6%99%BA%E8%B0%B1%E6%B8%85%E8%A8%80-%E5%B7%A5%E4%BD%9C%E7%94%9F%E6%B4%BB%E5%AD%A6%E4%B9%A0ai%E5%8A%A9%E6%89%8B/id6450893458</t>
  </si>
  <si>
    <r>
      <rPr>
        <sz val="10"/>
        <color rgb="FF000000"/>
        <rFont val="Arial"/>
        <family val="0"/>
        <charset val="1"/>
      </rPr>
      <t xml:space="preserve">App </t>
    </r>
    <r>
      <rPr>
        <sz val="10"/>
        <color rgb="FF000000"/>
        <rFont val="Noto Sans CJK SC"/>
        <family val="2"/>
      </rPr>
      <t xml:space="preserve">內購買列「連續包月會員 </t>
    </r>
    <r>
      <rPr>
        <sz val="10"/>
        <color rgb="FF000000"/>
        <rFont val="Arial"/>
        <family val="0"/>
        <charset val="1"/>
      </rPr>
      <t xml:space="preserve">¥79.00</t>
    </r>
    <r>
      <rPr>
        <sz val="10"/>
        <color rgb="FF000000"/>
        <rFont val="Noto Sans CJK SC"/>
        <family val="2"/>
      </rPr>
      <t xml:space="preserve">」；與 </t>
    </r>
    <r>
      <rPr>
        <sz val="10"/>
        <color rgb="FF000000"/>
        <rFont val="Arial"/>
        <family val="0"/>
        <charset val="1"/>
      </rPr>
      <t xml:space="preserve">App </t>
    </r>
    <r>
      <rPr>
        <sz val="10"/>
        <color rgb="FF000000"/>
        <rFont val="Noto Sans CJK SC"/>
        <family val="2"/>
      </rPr>
      <t xml:space="preserve">描述價矛盾（見 </t>
    </r>
    <r>
      <rPr>
        <sz val="10"/>
        <color rgb="FF000000"/>
        <rFont val="Arial"/>
        <family val="0"/>
        <charset val="1"/>
      </rPr>
      <t xml:space="preserve">_b</t>
    </r>
    <r>
      <rPr>
        <sz val="10"/>
        <color rgb="FF000000"/>
        <rFont val="Noto Sans CJK SC"/>
        <family val="2"/>
      </rPr>
      <t xml:space="preserve">）</t>
    </r>
  </si>
  <si>
    <t xml:space="preserve">SRC_ZP_381</t>
  </si>
  <si>
    <t xml:space="preserve">qy_iap_auto_qtr</t>
  </si>
  <si>
    <r>
      <rPr>
        <sz val="10"/>
        <color rgb="FF000000"/>
        <rFont val="Noto Sans CJK SC"/>
        <family val="2"/>
      </rPr>
      <t xml:space="preserve">清言連續包季會員（</t>
    </r>
    <r>
      <rPr>
        <sz val="10"/>
        <color rgb="FF000000"/>
        <rFont val="Arial"/>
        <family val="0"/>
        <charset val="1"/>
      </rPr>
      <t xml:space="preserve">App </t>
    </r>
    <r>
      <rPr>
        <sz val="10"/>
        <color rgb="FF000000"/>
        <rFont val="Noto Sans CJK SC"/>
        <family val="2"/>
      </rPr>
      <t xml:space="preserve">內購）</t>
    </r>
  </si>
  <si>
    <r>
      <rPr>
        <sz val="10"/>
        <color rgb="FF000000"/>
        <rFont val="Noto Sans CJK SC"/>
        <family val="2"/>
      </rPr>
      <t xml:space="preserve">「連續包季會員 </t>
    </r>
    <r>
      <rPr>
        <sz val="10"/>
        <color rgb="FF000000"/>
        <rFont val="Arial"/>
        <family val="0"/>
        <charset val="1"/>
      </rPr>
      <t xml:space="preserve">¥219.00</t>
    </r>
    <r>
      <rPr>
        <sz val="10"/>
        <color rgb="FF000000"/>
        <rFont val="Noto Sans CJK SC"/>
        <family val="2"/>
      </rPr>
      <t xml:space="preserve">」；與 </t>
    </r>
    <r>
      <rPr>
        <sz val="10"/>
        <color rgb="FF000000"/>
        <rFont val="Arial"/>
        <family val="0"/>
        <charset val="1"/>
      </rPr>
      <t xml:space="preserve">App </t>
    </r>
    <r>
      <rPr>
        <sz val="10"/>
        <color rgb="FF000000"/>
        <rFont val="Noto Sans CJK SC"/>
        <family val="2"/>
      </rPr>
      <t xml:space="preserve">描述價矛盾（見 </t>
    </r>
    <r>
      <rPr>
        <sz val="10"/>
        <color rgb="FF000000"/>
        <rFont val="Arial"/>
        <family val="0"/>
        <charset val="1"/>
      </rPr>
      <t xml:space="preserve">_b</t>
    </r>
    <r>
      <rPr>
        <sz val="10"/>
        <color rgb="FF000000"/>
        <rFont val="Noto Sans CJK SC"/>
        <family val="2"/>
      </rPr>
      <t xml:space="preserve">）</t>
    </r>
  </si>
  <si>
    <t xml:space="preserve">SRC_ZP_382</t>
  </si>
  <si>
    <t xml:space="preserve">qy_iap_auto_year</t>
  </si>
  <si>
    <r>
      <rPr>
        <sz val="10"/>
        <color rgb="FF000000"/>
        <rFont val="Noto Sans CJK SC"/>
        <family val="2"/>
      </rPr>
      <t xml:space="preserve">清言連續包年會員（</t>
    </r>
    <r>
      <rPr>
        <sz val="10"/>
        <color rgb="FF000000"/>
        <rFont val="Arial"/>
        <family val="0"/>
        <charset val="1"/>
      </rPr>
      <t xml:space="preserve">App </t>
    </r>
    <r>
      <rPr>
        <sz val="10"/>
        <color rgb="FF000000"/>
        <rFont val="Noto Sans CJK SC"/>
        <family val="2"/>
      </rPr>
      <t xml:space="preserve">內購）</t>
    </r>
  </si>
  <si>
    <r>
      <rPr>
        <sz val="10"/>
        <color rgb="FF000000"/>
        <rFont val="Noto Sans CJK SC"/>
        <family val="2"/>
      </rPr>
      <t xml:space="preserve">「連續包年會員 </t>
    </r>
    <r>
      <rPr>
        <sz val="10"/>
        <color rgb="FF000000"/>
        <rFont val="Arial"/>
        <family val="0"/>
        <charset val="1"/>
      </rPr>
      <t xml:space="preserve">¥859.00</t>
    </r>
    <r>
      <rPr>
        <sz val="10"/>
        <color rgb="FF000000"/>
        <rFont val="Noto Sans CJK SC"/>
        <family val="2"/>
      </rPr>
      <t xml:space="preserve">」；與 </t>
    </r>
    <r>
      <rPr>
        <sz val="10"/>
        <color rgb="FF000000"/>
        <rFont val="Arial"/>
        <family val="0"/>
        <charset val="1"/>
      </rPr>
      <t xml:space="preserve">App </t>
    </r>
    <r>
      <rPr>
        <sz val="10"/>
        <color rgb="FF000000"/>
        <rFont val="Noto Sans CJK SC"/>
        <family val="2"/>
      </rPr>
      <t xml:space="preserve">描述價矛盾（見 </t>
    </r>
    <r>
      <rPr>
        <sz val="10"/>
        <color rgb="FF000000"/>
        <rFont val="Arial"/>
        <family val="0"/>
        <charset val="1"/>
      </rPr>
      <t xml:space="preserve">_b</t>
    </r>
    <r>
      <rPr>
        <sz val="10"/>
        <color rgb="FF000000"/>
        <rFont val="Noto Sans CJK SC"/>
        <family val="2"/>
      </rPr>
      <t xml:space="preserve">）</t>
    </r>
  </si>
  <si>
    <t xml:space="preserve">SRC_ZP_383</t>
  </si>
  <si>
    <t xml:space="preserve">qy_iap_month_card</t>
  </si>
  <si>
    <r>
      <rPr>
        <sz val="10"/>
        <color rgb="FF000000"/>
        <rFont val="Noto Sans CJK SC"/>
        <family val="2"/>
      </rPr>
      <t xml:space="preserve">清言月卡會員（</t>
    </r>
    <r>
      <rPr>
        <sz val="10"/>
        <color rgb="FF000000"/>
        <rFont val="Arial"/>
        <family val="0"/>
        <charset val="1"/>
      </rPr>
      <t xml:space="preserve">App </t>
    </r>
    <r>
      <rPr>
        <sz val="10"/>
        <color rgb="FF000000"/>
        <rFont val="Noto Sans CJK SC"/>
        <family val="2"/>
      </rPr>
      <t xml:space="preserve">內購）</t>
    </r>
  </si>
  <si>
    <r>
      <rPr>
        <sz val="10"/>
        <color rgb="FF000000"/>
        <rFont val="Noto Sans CJK SC"/>
        <family val="2"/>
      </rPr>
      <t xml:space="preserve">「清言月卡會員 </t>
    </r>
    <r>
      <rPr>
        <sz val="10"/>
        <color rgb="FF000000"/>
        <rFont val="Arial"/>
        <family val="0"/>
        <charset val="1"/>
      </rPr>
      <t xml:space="preserve">¥119.00</t>
    </r>
    <r>
      <rPr>
        <sz val="10"/>
        <color rgb="FF000000"/>
        <rFont val="Noto Sans CJK SC"/>
        <family val="2"/>
      </rPr>
      <t xml:space="preserve">」；與 </t>
    </r>
    <r>
      <rPr>
        <sz val="10"/>
        <color rgb="FF000000"/>
        <rFont val="Arial"/>
        <family val="0"/>
        <charset val="1"/>
      </rPr>
      <t xml:space="preserve">App </t>
    </r>
    <r>
      <rPr>
        <sz val="10"/>
        <color rgb="FF000000"/>
        <rFont val="Noto Sans CJK SC"/>
        <family val="2"/>
      </rPr>
      <t xml:space="preserve">描述價矛盾（見 </t>
    </r>
    <r>
      <rPr>
        <sz val="10"/>
        <color rgb="FF000000"/>
        <rFont val="Arial"/>
        <family val="0"/>
        <charset val="1"/>
      </rPr>
      <t xml:space="preserve">_b</t>
    </r>
    <r>
      <rPr>
        <sz val="10"/>
        <color rgb="FF000000"/>
        <rFont val="Noto Sans CJK SC"/>
        <family val="2"/>
      </rPr>
      <t xml:space="preserve">）</t>
    </r>
  </si>
  <si>
    <t xml:space="preserve">SRC_ZP_384</t>
  </si>
  <si>
    <t xml:space="preserve">qy_iap_svip_month</t>
  </si>
  <si>
    <r>
      <rPr>
        <sz val="10"/>
        <color rgb="FF000000"/>
        <rFont val="Noto Sans CJK SC"/>
        <family val="2"/>
      </rPr>
      <t xml:space="preserve">清言 </t>
    </r>
    <r>
      <rPr>
        <sz val="10"/>
        <color rgb="FF000000"/>
        <rFont val="Arial"/>
        <family val="0"/>
        <charset val="1"/>
      </rPr>
      <t xml:space="preserve">SVIP </t>
    </r>
    <r>
      <rPr>
        <sz val="10"/>
        <color rgb="FF000000"/>
        <rFont val="Noto Sans CJK SC"/>
        <family val="2"/>
      </rPr>
      <t xml:space="preserve">連續包月（</t>
    </r>
    <r>
      <rPr>
        <sz val="10"/>
        <color rgb="FF000000"/>
        <rFont val="Arial"/>
        <family val="0"/>
        <charset val="1"/>
      </rPr>
      <t xml:space="preserve">App </t>
    </r>
    <r>
      <rPr>
        <sz val="10"/>
        <color rgb="FF000000"/>
        <rFont val="Noto Sans CJK SC"/>
        <family val="2"/>
      </rPr>
      <t xml:space="preserve">內購）</t>
    </r>
  </si>
  <si>
    <r>
      <rPr>
        <sz val="10"/>
        <color rgb="FF000000"/>
        <rFont val="Noto Sans CJK SC"/>
        <family val="2"/>
      </rPr>
      <t xml:space="preserve">「清言</t>
    </r>
    <r>
      <rPr>
        <sz val="10"/>
        <color rgb="FF000000"/>
        <rFont val="Arial"/>
        <family val="0"/>
        <charset val="1"/>
      </rPr>
      <t xml:space="preserve">SVIP</t>
    </r>
    <r>
      <rPr>
        <sz val="10"/>
        <color rgb="FF000000"/>
        <rFont val="Noto Sans CJK SC"/>
        <family val="2"/>
      </rPr>
      <t xml:space="preserve">連續包月 </t>
    </r>
    <r>
      <rPr>
        <sz val="10"/>
        <color rgb="FF000000"/>
        <rFont val="Arial"/>
        <family val="0"/>
        <charset val="1"/>
      </rPr>
      <t xml:space="preserve">¥229.00</t>
    </r>
    <r>
      <rPr>
        <sz val="10"/>
        <color rgb="FF000000"/>
        <rFont val="Noto Sans CJK SC"/>
        <family val="2"/>
      </rPr>
      <t xml:space="preserve">」；與 </t>
    </r>
    <r>
      <rPr>
        <sz val="10"/>
        <color rgb="FF000000"/>
        <rFont val="Arial"/>
        <family val="0"/>
        <charset val="1"/>
      </rPr>
      <t xml:space="preserve">App </t>
    </r>
    <r>
      <rPr>
        <sz val="10"/>
        <color rgb="FF000000"/>
        <rFont val="Noto Sans CJK SC"/>
        <family val="2"/>
      </rPr>
      <t xml:space="preserve">描述價矛盾（見 </t>
    </r>
    <r>
      <rPr>
        <sz val="10"/>
        <color rgb="FF000000"/>
        <rFont val="Arial"/>
        <family val="0"/>
        <charset val="1"/>
      </rPr>
      <t xml:space="preserve">_b</t>
    </r>
    <r>
      <rPr>
        <sz val="10"/>
        <color rgb="FF000000"/>
        <rFont val="Noto Sans CJK SC"/>
        <family val="2"/>
      </rPr>
      <t xml:space="preserve">）</t>
    </r>
  </si>
  <si>
    <t xml:space="preserve">SRC_ZP_385</t>
  </si>
  <si>
    <t xml:space="preserve">qy_desc_auto_month_b</t>
  </si>
  <si>
    <r>
      <rPr>
        <sz val="10"/>
        <color rgb="FF000000"/>
        <rFont val="Noto Sans CJK SC"/>
        <family val="2"/>
      </rPr>
      <t xml:space="preserve">清言連續包月（</t>
    </r>
    <r>
      <rPr>
        <sz val="10"/>
        <color rgb="FF000000"/>
        <rFont val="Arial"/>
        <family val="0"/>
        <charset val="1"/>
      </rPr>
      <t xml:space="preserve">App </t>
    </r>
    <r>
      <rPr>
        <sz val="10"/>
        <color rgb="FF000000"/>
        <rFont val="Noto Sans CJK SC"/>
        <family val="2"/>
      </rPr>
      <t xml:space="preserve">描述文字）</t>
    </r>
  </si>
  <si>
    <t xml:space="preserve">描述文字（日期未明）</t>
  </si>
  <si>
    <r>
      <rPr>
        <sz val="10"/>
        <color rgb="FF000000"/>
        <rFont val="Noto Sans CJK SC"/>
        <family val="2"/>
      </rPr>
      <t xml:space="preserve">描述「連續包月（</t>
    </r>
    <r>
      <rPr>
        <sz val="10"/>
        <color rgb="FF000000"/>
        <rFont val="Arial"/>
        <family val="0"/>
        <charset val="1"/>
      </rPr>
      <t xml:space="preserve">¥19/</t>
    </r>
    <r>
      <rPr>
        <sz val="10"/>
        <color rgb="FF000000"/>
        <rFont val="Noto Sans CJK SC"/>
        <family val="2"/>
      </rPr>
      <t xml:space="preserve">月）」「連續包季（</t>
    </r>
    <r>
      <rPr>
        <sz val="10"/>
        <color rgb="FF000000"/>
        <rFont val="Arial"/>
        <family val="0"/>
        <charset val="1"/>
      </rPr>
      <t xml:space="preserve">¥79/</t>
    </r>
    <r>
      <rPr>
        <sz val="10"/>
        <color rgb="FF000000"/>
        <rFont val="Noto Sans CJK SC"/>
        <family val="2"/>
      </rPr>
      <t xml:space="preserve">季）」「連續包年（</t>
    </r>
    <r>
      <rPr>
        <sz val="10"/>
        <color rgb="FF000000"/>
        <rFont val="Arial"/>
        <family val="0"/>
        <charset val="1"/>
      </rPr>
      <t xml:space="preserve">¥299/</t>
    </r>
    <r>
      <rPr>
        <sz val="10"/>
        <color rgb="FF000000"/>
        <rFont val="Noto Sans CJK SC"/>
        <family val="2"/>
      </rPr>
      <t xml:space="preserve">年）」「單月</t>
    </r>
    <r>
      <rPr>
        <sz val="10"/>
        <color rgb="FF000000"/>
        <rFont val="Arial"/>
        <family val="0"/>
        <charset val="1"/>
      </rPr>
      <t xml:space="preserve">¥59</t>
    </r>
    <r>
      <rPr>
        <sz val="10"/>
        <color rgb="FF000000"/>
        <rFont val="Noto Sans CJK SC"/>
        <family val="2"/>
      </rPr>
      <t xml:space="preserve">」「年卡 </t>
    </r>
    <r>
      <rPr>
        <sz val="10"/>
        <color rgb="FF000000"/>
        <rFont val="Arial"/>
        <family val="0"/>
        <charset val="1"/>
      </rPr>
      <t xml:space="preserve">¥399</t>
    </r>
    <r>
      <rPr>
        <sz val="10"/>
        <color rgb="FF000000"/>
        <rFont val="Noto Sans CJK SC"/>
        <family val="2"/>
      </rPr>
      <t xml:space="preserve">」；與內購清單 </t>
    </r>
    <r>
      <rPr>
        <sz val="10"/>
        <color rgb="FF000000"/>
        <rFont val="Arial"/>
        <family val="0"/>
        <charset val="1"/>
      </rPr>
      <t xml:space="preserve">¥79/219/859 </t>
    </r>
    <r>
      <rPr>
        <sz val="10"/>
        <color rgb="FF000000"/>
        <rFont val="Noto Sans CJK SC"/>
        <family val="2"/>
      </rPr>
      <t xml:space="preserve">矛盾，疑描述為舊版或不同檔位</t>
    </r>
  </si>
  <si>
    <t xml:space="preserve">SRC_ZP_386</t>
  </si>
  <si>
    <t xml:space="preserve">rel_glm45</t>
  </si>
  <si>
    <r>
      <rPr>
        <sz val="10"/>
        <color rgb="FF000000"/>
        <rFont val="Arial"/>
        <family val="0"/>
        <charset val="1"/>
      </rPr>
      <t xml:space="preserve">GLM-4.5</t>
    </r>
    <r>
      <rPr>
        <sz val="10"/>
        <color rgb="FF000000"/>
        <rFont val="Noto Sans CJK SC"/>
        <family val="2"/>
      </rPr>
      <t xml:space="preserve">／</t>
    </r>
    <r>
      <rPr>
        <sz val="10"/>
        <color rgb="FF000000"/>
        <rFont val="Arial"/>
        <family val="0"/>
        <charset val="1"/>
      </rPr>
      <t xml:space="preserve">4.5-Air </t>
    </r>
    <r>
      <rPr>
        <sz val="10"/>
        <color rgb="FF000000"/>
        <rFont val="Noto Sans CJK SC"/>
        <family val="2"/>
      </rPr>
      <t xml:space="preserve">發布日</t>
    </r>
  </si>
  <si>
    <t xml:space="preserve">2025-07-28</t>
  </si>
  <si>
    <r>
      <rPr>
        <sz val="10"/>
        <color rgb="FF000000"/>
        <rFont val="Arial"/>
        <family val="0"/>
        <charset val="1"/>
      </rPr>
      <t xml:space="preserve">Wikipedia</t>
    </r>
    <r>
      <rPr>
        <sz val="10"/>
        <color rgb="FF000000"/>
        <rFont val="Noto Sans CJK SC"/>
        <family val="2"/>
      </rPr>
      <t xml:space="preserve">〈</t>
    </r>
    <r>
      <rPr>
        <sz val="10"/>
        <color rgb="FF000000"/>
        <rFont val="Arial"/>
        <family val="0"/>
        <charset val="1"/>
      </rPr>
      <t xml:space="preserve">Z.ai</t>
    </r>
    <r>
      <rPr>
        <sz val="10"/>
        <color rgb="FF000000"/>
        <rFont val="Noto Sans CJK SC"/>
        <family val="2"/>
      </rPr>
      <t xml:space="preserve">〉（引 </t>
    </r>
    <r>
      <rPr>
        <sz val="10"/>
        <color rgb="FF000000"/>
        <rFont val="Arial"/>
        <family val="0"/>
        <charset val="1"/>
      </rPr>
      <t xml:space="preserve">Z.ai blog</t>
    </r>
    <r>
      <rPr>
        <sz val="10"/>
        <color rgb="FF000000"/>
        <rFont val="Noto Sans CJK SC"/>
        <family val="2"/>
      </rPr>
      <t xml:space="preserve">）</t>
    </r>
  </si>
  <si>
    <t xml:space="preserve">https://en.wikipedia.org/wiki/Z.ai</t>
  </si>
  <si>
    <r>
      <rPr>
        <sz val="10"/>
        <color rgb="FF000000"/>
        <rFont val="Noto Sans CJK SC"/>
        <family val="2"/>
      </rPr>
      <t xml:space="preserve">引 </t>
    </r>
    <r>
      <rPr>
        <sz val="10"/>
        <color rgb="FF000000"/>
        <rFont val="Arial"/>
        <family val="0"/>
        <charset val="1"/>
      </rPr>
      <t xml:space="preserve">Z.ai blog</t>
    </r>
    <r>
      <rPr>
        <sz val="10"/>
        <color rgb="FF000000"/>
        <rFont val="Noto Sans CJK SC"/>
        <family val="2"/>
      </rPr>
      <t xml:space="preserve">〈</t>
    </r>
    <r>
      <rPr>
        <sz val="10"/>
        <color rgb="FF000000"/>
        <rFont val="Arial"/>
        <family val="0"/>
        <charset val="1"/>
      </rPr>
      <t xml:space="preserve">GLM-4.5: Reasoning, Coding, and Agentic Abilities</t>
    </r>
    <r>
      <rPr>
        <sz val="10"/>
        <color rgb="FF000000"/>
        <rFont val="Noto Sans CJK SC"/>
        <family val="2"/>
      </rPr>
      <t xml:space="preserve">〉</t>
    </r>
    <r>
      <rPr>
        <sz val="10"/>
        <color rgb="FF000000"/>
        <rFont val="Arial"/>
        <family val="0"/>
        <charset val="1"/>
      </rPr>
      <t xml:space="preserve">28 July 2025</t>
    </r>
    <r>
      <rPr>
        <sz val="10"/>
        <color rgb="FF000000"/>
        <rFont val="Noto Sans CJK SC"/>
        <family val="2"/>
      </rPr>
      <t xml:space="preserve">；愛范兒 </t>
    </r>
    <r>
      <rPr>
        <sz val="10"/>
        <color rgb="FF000000"/>
        <rFont val="Arial"/>
        <family val="0"/>
        <charset val="1"/>
      </rPr>
      <t xml:space="preserve">2025-07-29 07:44 </t>
    </r>
    <r>
      <rPr>
        <sz val="10"/>
        <color rgb="FF000000"/>
        <rFont val="Noto Sans CJK SC"/>
        <family val="2"/>
      </rPr>
      <t xml:space="preserve">稱「就在剛剛」</t>
    </r>
  </si>
  <si>
    <t xml:space="preserve">SRC_ZP_387</t>
  </si>
  <si>
    <t xml:space="preserve">rel_glm45_b</t>
  </si>
  <si>
    <r>
      <rPr>
        <sz val="10"/>
        <color rgb="FF000000"/>
        <rFont val="Arial"/>
        <family val="0"/>
        <charset val="1"/>
      </rPr>
      <t xml:space="preserve">GLM-4.5 </t>
    </r>
    <r>
      <rPr>
        <sz val="10"/>
        <color rgb="FF000000"/>
        <rFont val="Noto Sans CJK SC"/>
        <family val="2"/>
      </rPr>
      <t xml:space="preserve">發布日（彙整站）</t>
    </r>
  </si>
  <si>
    <t xml:space="preserve">2025-07-25</t>
  </si>
  <si>
    <r>
      <rPr>
        <sz val="10"/>
        <color rgb="FF000000"/>
        <rFont val="Arial"/>
        <family val="0"/>
        <charset val="1"/>
      </rPr>
      <t xml:space="preserve">The GTM Directory GLM </t>
    </r>
    <r>
      <rPr>
        <sz val="10"/>
        <color rgb="FF000000"/>
        <rFont val="Noto Sans CJK SC"/>
        <family val="2"/>
      </rPr>
      <t xml:space="preserve">頁</t>
    </r>
  </si>
  <si>
    <t xml:space="preserve">https://thegtmdirectory.com/models/z-ai-glm</t>
  </si>
  <si>
    <r>
      <rPr>
        <sz val="10"/>
        <color rgb="FF000000"/>
        <rFont val="Noto Sans CJK SC"/>
        <family val="2"/>
      </rPr>
      <t xml:space="preserve">表列 </t>
    </r>
    <r>
      <rPr>
        <sz val="10"/>
        <color rgb="FF000000"/>
        <rFont val="Arial"/>
        <family val="0"/>
        <charset val="1"/>
      </rPr>
      <t xml:space="preserve">2025-07-25</t>
    </r>
    <r>
      <rPr>
        <sz val="10"/>
        <color rgb="FF000000"/>
        <rFont val="Noto Sans CJK SC"/>
        <family val="2"/>
      </rPr>
      <t xml:space="preserve">；與 </t>
    </r>
    <r>
      <rPr>
        <sz val="10"/>
        <color rgb="FF000000"/>
        <rFont val="Arial"/>
        <family val="0"/>
        <charset val="1"/>
      </rPr>
      <t xml:space="preserve">07-28 </t>
    </r>
    <r>
      <rPr>
        <sz val="10"/>
        <color rgb="FF000000"/>
        <rFont val="Noto Sans CJK SC"/>
        <family val="2"/>
      </rPr>
      <t xml:space="preserve">矛盾，以官方 </t>
    </r>
    <r>
      <rPr>
        <sz val="10"/>
        <color rgb="FF000000"/>
        <rFont val="Arial"/>
        <family val="0"/>
        <charset val="1"/>
      </rPr>
      <t xml:space="preserve">blog 07-28 </t>
    </r>
    <r>
      <rPr>
        <sz val="10"/>
        <color rgb="FF000000"/>
        <rFont val="Noto Sans CJK SC"/>
        <family val="2"/>
      </rPr>
      <t xml:space="preserve">為準</t>
    </r>
  </si>
  <si>
    <t xml:space="preserve">SRC_ZP_388</t>
  </si>
  <si>
    <t xml:space="preserve">rel_glm46</t>
  </si>
  <si>
    <r>
      <rPr>
        <sz val="10"/>
        <color rgb="FF000000"/>
        <rFont val="Arial"/>
        <family val="0"/>
        <charset val="1"/>
      </rPr>
      <t xml:space="preserve">GLM-4.6 </t>
    </r>
    <r>
      <rPr>
        <sz val="10"/>
        <color rgb="FF000000"/>
        <rFont val="Noto Sans CJK SC"/>
        <family val="2"/>
      </rPr>
      <t xml:space="preserve">發布日</t>
    </r>
  </si>
  <si>
    <r>
      <rPr>
        <sz val="10"/>
        <color rgb="FF000000"/>
        <rFont val="Noto Sans CJK SC"/>
        <family val="2"/>
      </rPr>
      <t xml:space="preserve">「</t>
    </r>
    <r>
      <rPr>
        <sz val="10"/>
        <color rgb="FF000000"/>
        <rFont val="Arial"/>
        <family val="0"/>
        <charset val="1"/>
      </rPr>
      <t xml:space="preserve">reported as 30 September 2025</t>
    </r>
    <r>
      <rPr>
        <sz val="10"/>
        <color rgb="FF000000"/>
        <rFont val="Noto Sans CJK SC"/>
        <family val="2"/>
      </rPr>
      <t xml:space="preserve">」；</t>
    </r>
    <r>
      <rPr>
        <sz val="10"/>
        <color rgb="FF000000"/>
        <rFont val="Arial"/>
        <family val="0"/>
        <charset val="1"/>
      </rPr>
      <t xml:space="preserve">GTM Directory </t>
    </r>
    <r>
      <rPr>
        <sz val="10"/>
        <color rgb="FF000000"/>
        <rFont val="Noto Sans CJK SC"/>
        <family val="2"/>
      </rPr>
      <t xml:space="preserve">同</t>
    </r>
  </si>
  <si>
    <t xml:space="preserve">SRC_ZP_389</t>
  </si>
  <si>
    <t xml:space="preserve">rel_glm47</t>
  </si>
  <si>
    <r>
      <rPr>
        <sz val="10"/>
        <color rgb="FF000000"/>
        <rFont val="Arial"/>
        <family val="0"/>
        <charset val="1"/>
      </rPr>
      <t xml:space="preserve">GLM-4.7 </t>
    </r>
    <r>
      <rPr>
        <sz val="10"/>
        <color rgb="FF000000"/>
        <rFont val="Noto Sans CJK SC"/>
        <family val="2"/>
      </rPr>
      <t xml:space="preserve">發布日</t>
    </r>
  </si>
  <si>
    <t xml:space="preserve">2025-12-22</t>
  </si>
  <si>
    <r>
      <rPr>
        <sz val="10"/>
        <color rgb="FF000000"/>
        <rFont val="Noto Sans CJK SC"/>
        <family val="2"/>
      </rPr>
      <t xml:space="preserve">表列 </t>
    </r>
    <r>
      <rPr>
        <sz val="10"/>
        <color rgb="FF000000"/>
        <rFont val="Arial"/>
        <family val="0"/>
        <charset val="1"/>
      </rPr>
      <t xml:space="preserve">2025-12-22</t>
    </r>
    <r>
      <rPr>
        <sz val="10"/>
        <color rgb="FF000000"/>
        <rFont val="Noto Sans CJK SC"/>
        <family val="2"/>
      </rPr>
      <t xml:space="preserve">；</t>
    </r>
    <r>
      <rPr>
        <sz val="10"/>
        <color rgb="FF000000"/>
        <rFont val="Arial"/>
        <family val="0"/>
        <charset val="1"/>
      </rPr>
      <t xml:space="preserve">Wikipedia </t>
    </r>
    <r>
      <rPr>
        <sz val="10"/>
        <color rgb="FF000000"/>
        <rFont val="Noto Sans CJK SC"/>
        <family val="2"/>
      </rPr>
      <t xml:space="preserve">稱 </t>
    </r>
    <r>
      <rPr>
        <sz val="10"/>
        <color rgb="FF000000"/>
        <rFont val="Arial"/>
        <family val="0"/>
        <charset val="1"/>
      </rPr>
      <t xml:space="preserve">December 2025</t>
    </r>
    <r>
      <rPr>
        <sz val="10"/>
        <color rgb="FF000000"/>
        <rFont val="Noto Sans CJK SC"/>
        <family val="2"/>
      </rPr>
      <t xml:space="preserve">（</t>
    </r>
    <r>
      <rPr>
        <sz val="10"/>
        <color rgb="FF000000"/>
        <rFont val="Arial"/>
        <family val="0"/>
        <charset val="1"/>
      </rPr>
      <t xml:space="preserve">Gigazine 23 Dec 2025</t>
    </r>
    <r>
      <rPr>
        <sz val="10"/>
        <color rgb="FF000000"/>
        <rFont val="Noto Sans CJK SC"/>
        <family val="2"/>
      </rPr>
      <t xml:space="preserve">）</t>
    </r>
  </si>
  <si>
    <t xml:space="preserve">SRC_ZP_390</t>
  </si>
  <si>
    <t xml:space="preserve">rel_glm5</t>
  </si>
  <si>
    <r>
      <rPr>
        <sz val="10"/>
        <color rgb="FF000000"/>
        <rFont val="Arial"/>
        <family val="0"/>
        <charset val="1"/>
      </rPr>
      <t xml:space="preserve">GLM-5 </t>
    </r>
    <r>
      <rPr>
        <sz val="10"/>
        <color rgb="FF000000"/>
        <rFont val="Noto Sans CJK SC"/>
        <family val="2"/>
      </rPr>
      <t xml:space="preserve">發布日</t>
    </r>
  </si>
  <si>
    <r>
      <rPr>
        <sz val="10"/>
        <color rgb="FF000000"/>
        <rFont val="Noto Sans CJK SC"/>
        <family val="2"/>
      </rPr>
      <t xml:space="preserve">上海證券報（同花順 </t>
    </r>
    <r>
      <rPr>
        <sz val="10"/>
        <color rgb="FF000000"/>
        <rFont val="Arial"/>
        <family val="0"/>
        <charset val="1"/>
      </rPr>
      <t xml:space="preserve">2026-02-13</t>
    </r>
    <r>
      <rPr>
        <sz val="10"/>
        <color rgb="FF000000"/>
        <rFont val="Noto Sans CJK SC"/>
        <family val="2"/>
      </rPr>
      <t xml:space="preserve">）</t>
    </r>
  </si>
  <si>
    <t xml:space="preserve">https://stock.10jqka.com.cn/20260213/c674781266.shtml</t>
  </si>
  <si>
    <r>
      <rPr>
        <sz val="10"/>
        <color rgb="FF000000"/>
        <rFont val="Arial"/>
        <family val="0"/>
        <charset val="1"/>
      </rPr>
      <t xml:space="preserve">GLM-5</t>
    </r>
    <r>
      <rPr>
        <sz val="10"/>
        <color rgb="FF000000"/>
        <rFont val="Noto Sans CJK SC"/>
        <family val="2"/>
      </rPr>
      <t xml:space="preserve">「正式開源並上線」於 </t>
    </r>
    <r>
      <rPr>
        <sz val="10"/>
        <color rgb="FF000000"/>
        <rFont val="Arial"/>
        <family val="0"/>
        <charset val="1"/>
      </rPr>
      <t xml:space="preserve">2 </t>
    </r>
    <r>
      <rPr>
        <sz val="10"/>
        <color rgb="FF000000"/>
        <rFont val="Noto Sans CJK SC"/>
        <family val="2"/>
      </rPr>
      <t xml:space="preserve">月 </t>
    </r>
    <r>
      <rPr>
        <sz val="10"/>
        <color rgb="FF000000"/>
        <rFont val="Arial"/>
        <family val="0"/>
        <charset val="1"/>
      </rPr>
      <t xml:space="preserve">12 </t>
    </r>
    <r>
      <rPr>
        <sz val="10"/>
        <color rgb="FF000000"/>
        <rFont val="Noto Sans CJK SC"/>
        <family val="2"/>
      </rPr>
      <t xml:space="preserve">日；同日發 </t>
    </r>
    <r>
      <rPr>
        <sz val="10"/>
        <color rgb="FF000000"/>
        <rFont val="Arial"/>
        <family val="0"/>
        <charset val="1"/>
      </rPr>
      <t xml:space="preserve">Coding Plan </t>
    </r>
    <r>
      <rPr>
        <sz val="10"/>
        <color rgb="FF000000"/>
        <rFont val="Noto Sans CJK SC"/>
        <family val="2"/>
      </rPr>
      <t xml:space="preserve">調價函</t>
    </r>
  </si>
  <si>
    <t xml:space="preserve">SRC_ZP_391</t>
  </si>
  <si>
    <t xml:space="preserve">rel_glm5_b</t>
  </si>
  <si>
    <r>
      <rPr>
        <sz val="10"/>
        <color rgb="FF000000"/>
        <rFont val="Arial"/>
        <family val="0"/>
        <charset val="1"/>
      </rPr>
      <t xml:space="preserve">GLM-5 </t>
    </r>
    <r>
      <rPr>
        <sz val="10"/>
        <color rgb="FF000000"/>
        <rFont val="Noto Sans CJK SC"/>
        <family val="2"/>
      </rPr>
      <t xml:space="preserve">發布日（彙整站／</t>
    </r>
    <r>
      <rPr>
        <sz val="10"/>
        <color rgb="FF000000"/>
        <rFont val="Arial"/>
        <family val="0"/>
        <charset val="1"/>
      </rPr>
      <t xml:space="preserve">Reuters</t>
    </r>
    <r>
      <rPr>
        <sz val="10"/>
        <color rgb="FF000000"/>
        <rFont val="Noto Sans CJK SC"/>
        <family val="2"/>
      </rPr>
      <t xml:space="preserve">）</t>
    </r>
  </si>
  <si>
    <r>
      <rPr>
        <sz val="10"/>
        <color rgb="FF000000"/>
        <rFont val="Noto Sans CJK SC"/>
        <family val="2"/>
      </rPr>
      <t xml:space="preserve">表列 </t>
    </r>
    <r>
      <rPr>
        <sz val="10"/>
        <color rgb="FF000000"/>
        <rFont val="Arial"/>
        <family val="0"/>
        <charset val="1"/>
      </rPr>
      <t xml:space="preserve">2026-02-11</t>
    </r>
    <r>
      <rPr>
        <sz val="10"/>
        <color rgb="FF000000"/>
        <rFont val="Noto Sans CJK SC"/>
        <family val="2"/>
      </rPr>
      <t xml:space="preserve">；</t>
    </r>
    <r>
      <rPr>
        <sz val="10"/>
        <color rgb="FF000000"/>
        <rFont val="Arial"/>
        <family val="0"/>
        <charset val="1"/>
      </rPr>
      <t xml:space="preserve">Wikipedia </t>
    </r>
    <r>
      <rPr>
        <sz val="10"/>
        <color rgb="FF000000"/>
        <rFont val="Noto Sans CJK SC"/>
        <family val="2"/>
      </rPr>
      <t xml:space="preserve">稱 </t>
    </r>
    <r>
      <rPr>
        <sz val="10"/>
        <color rgb="FF000000"/>
        <rFont val="Arial"/>
        <family val="0"/>
        <charset val="1"/>
      </rPr>
      <t xml:space="preserve">Reuters </t>
    </r>
    <r>
      <rPr>
        <sz val="10"/>
        <color rgb="FF000000"/>
        <rFont val="Noto Sans CJK SC"/>
        <family val="2"/>
      </rPr>
      <t xml:space="preserve">記 </t>
    </r>
    <r>
      <rPr>
        <sz val="10"/>
        <color rgb="FF000000"/>
        <rFont val="Arial"/>
        <family val="0"/>
        <charset val="1"/>
      </rPr>
      <t xml:space="preserve">11 February</t>
    </r>
    <r>
      <rPr>
        <sz val="10"/>
        <color rgb="FF000000"/>
        <rFont val="Noto Sans CJK SC"/>
        <family val="2"/>
      </rPr>
      <t xml:space="preserve">（時區差）</t>
    </r>
  </si>
  <si>
    <t xml:space="preserve">SRC_ZP_392</t>
  </si>
  <si>
    <t xml:space="preserve">rel_glm51</t>
  </si>
  <si>
    <r>
      <rPr>
        <sz val="10"/>
        <color rgb="FF000000"/>
        <rFont val="Arial"/>
        <family val="0"/>
        <charset val="1"/>
      </rPr>
      <t xml:space="preserve">GLM-5.1 </t>
    </r>
    <r>
      <rPr>
        <sz val="10"/>
        <color rgb="FF000000"/>
        <rFont val="Noto Sans CJK SC"/>
        <family val="2"/>
      </rPr>
      <t xml:space="preserve">開源發布日</t>
    </r>
  </si>
  <si>
    <r>
      <rPr>
        <sz val="10"/>
        <color rgb="FF000000"/>
        <rFont val="Arial"/>
        <family val="0"/>
        <charset val="1"/>
      </rPr>
      <t xml:space="preserve">Wikipedia</t>
    </r>
    <r>
      <rPr>
        <sz val="10"/>
        <color rgb="FF000000"/>
        <rFont val="Noto Sans CJK SC"/>
        <family val="2"/>
      </rPr>
      <t xml:space="preserve">〈</t>
    </r>
    <r>
      <rPr>
        <sz val="10"/>
        <color rgb="FF000000"/>
        <rFont val="Arial"/>
        <family val="0"/>
        <charset val="1"/>
      </rPr>
      <t xml:space="preserve">Z.ai</t>
    </r>
    <r>
      <rPr>
        <sz val="10"/>
        <color rgb="FF000000"/>
        <rFont val="Noto Sans CJK SC"/>
        <family val="2"/>
      </rPr>
      <t xml:space="preserve">〉（引 </t>
    </r>
    <r>
      <rPr>
        <sz val="10"/>
        <color rgb="FF000000"/>
        <rFont val="Arial"/>
        <family val="0"/>
        <charset val="1"/>
      </rPr>
      <t xml:space="preserve">SCMP</t>
    </r>
    <r>
      <rPr>
        <sz val="10"/>
        <color rgb="FF000000"/>
        <rFont val="Noto Sans CJK SC"/>
        <family val="2"/>
      </rPr>
      <t xml:space="preserve">、</t>
    </r>
    <r>
      <rPr>
        <sz val="10"/>
        <color rgb="FF000000"/>
        <rFont val="Arial"/>
        <family val="0"/>
        <charset val="1"/>
      </rPr>
      <t xml:space="preserve">Computerworld</t>
    </r>
    <r>
      <rPr>
        <sz val="10"/>
        <color rgb="FF000000"/>
        <rFont val="Noto Sans CJK SC"/>
        <family val="2"/>
      </rPr>
      <t xml:space="preserve">）</t>
    </r>
  </si>
  <si>
    <r>
      <rPr>
        <sz val="10"/>
        <color rgb="FF000000"/>
        <rFont val="Noto Sans CJK SC"/>
        <family val="2"/>
      </rPr>
      <t xml:space="preserve">「</t>
    </r>
    <r>
      <rPr>
        <sz val="10"/>
        <color rgb="FF000000"/>
        <rFont val="Arial"/>
        <family val="0"/>
        <charset val="1"/>
      </rPr>
      <t xml:space="preserve">released as open-source on 7 April 2026</t>
    </r>
    <r>
      <rPr>
        <sz val="10"/>
        <color rgb="FF000000"/>
        <rFont val="Noto Sans CJK SC"/>
        <family val="2"/>
      </rPr>
      <t xml:space="preserve">」；</t>
    </r>
    <r>
      <rPr>
        <sz val="10"/>
        <color rgb="FF000000"/>
        <rFont val="Arial"/>
        <family val="0"/>
        <charset val="1"/>
      </rPr>
      <t xml:space="preserve">3 </t>
    </r>
    <r>
      <rPr>
        <sz val="10"/>
        <color rgb="FF000000"/>
        <rFont val="Noto Sans CJK SC"/>
        <family val="2"/>
      </rPr>
      <t xml:space="preserve">月底先推訂閱用戶；</t>
    </r>
    <r>
      <rPr>
        <sz val="10"/>
        <color rgb="FF000000"/>
        <rFont val="Arial"/>
        <family val="0"/>
        <charset val="1"/>
      </rPr>
      <t xml:space="preserve">GTM </t>
    </r>
    <r>
      <rPr>
        <sz val="10"/>
        <color rgb="FF000000"/>
        <rFont val="Noto Sans CJK SC"/>
        <family val="2"/>
      </rPr>
      <t xml:space="preserve">列 </t>
    </r>
    <r>
      <rPr>
        <sz val="10"/>
        <color rgb="FF000000"/>
        <rFont val="Arial"/>
        <family val="0"/>
        <charset val="1"/>
      </rPr>
      <t xml:space="preserve">04-06</t>
    </r>
  </si>
  <si>
    <t xml:space="preserve">SRC_ZP_393</t>
  </si>
  <si>
    <t xml:space="preserve">rel_glm52</t>
  </si>
  <si>
    <r>
      <rPr>
        <sz val="10"/>
        <color rgb="FF000000"/>
        <rFont val="Arial"/>
        <family val="0"/>
        <charset val="1"/>
      </rPr>
      <t xml:space="preserve">GLM-5.2 </t>
    </r>
    <r>
      <rPr>
        <sz val="10"/>
        <color rgb="FF000000"/>
        <rFont val="Noto Sans CJK SC"/>
        <family val="2"/>
      </rPr>
      <t xml:space="preserve">發布日</t>
    </r>
  </si>
  <si>
    <t xml:space="preserve">2026-06-16</t>
  </si>
  <si>
    <r>
      <rPr>
        <sz val="10"/>
        <color rgb="FF000000"/>
        <rFont val="Arial"/>
        <family val="0"/>
        <charset val="1"/>
      </rPr>
      <t xml:space="preserve">36</t>
    </r>
    <r>
      <rPr>
        <sz val="10"/>
        <color rgb="FF000000"/>
        <rFont val="Noto Sans CJK SC"/>
        <family val="2"/>
      </rPr>
      <t xml:space="preserve">氪（</t>
    </r>
    <r>
      <rPr>
        <sz val="10"/>
        <color rgb="FF000000"/>
        <rFont val="Arial"/>
        <family val="0"/>
        <charset val="1"/>
      </rPr>
      <t xml:space="preserve">2026-06-18</t>
    </r>
    <r>
      <rPr>
        <sz val="10"/>
        <color rgb="FF000000"/>
        <rFont val="Noto Sans CJK SC"/>
        <family val="2"/>
      </rPr>
      <t xml:space="preserve">）</t>
    </r>
  </si>
  <si>
    <t xml:space="preserve">https://www.36kr.com/p/3858548611709828</t>
  </si>
  <si>
    <t xml:space="preserve">2026-06-18</t>
  </si>
  <si>
    <r>
      <rPr>
        <sz val="10"/>
        <color rgb="FF000000"/>
        <rFont val="Noto Sans CJK SC"/>
        <family val="2"/>
      </rPr>
      <t xml:space="preserve">原文「</t>
    </r>
    <r>
      <rPr>
        <sz val="10"/>
        <color rgb="FF000000"/>
        <rFont val="Arial"/>
        <family val="0"/>
        <charset val="1"/>
      </rPr>
      <t xml:space="preserve">6</t>
    </r>
    <r>
      <rPr>
        <sz val="10"/>
        <color rgb="FF000000"/>
        <rFont val="Noto Sans CJK SC"/>
        <family val="2"/>
      </rPr>
      <t xml:space="preserve">月</t>
    </r>
    <r>
      <rPr>
        <sz val="10"/>
        <color rgb="FF000000"/>
        <rFont val="Arial"/>
        <family val="0"/>
        <charset val="1"/>
      </rPr>
      <t xml:space="preserve">16</t>
    </r>
    <r>
      <rPr>
        <sz val="10"/>
        <color rgb="FF000000"/>
        <rFont val="Noto Sans CJK SC"/>
        <family val="2"/>
      </rPr>
      <t xml:space="preserve">日晚，智譜正式開源新一代旗艦模型</t>
    </r>
    <r>
      <rPr>
        <sz val="10"/>
        <color rgb="FF000000"/>
        <rFont val="Arial"/>
        <family val="0"/>
        <charset val="1"/>
      </rPr>
      <t xml:space="preserve">GLM-5.2</t>
    </r>
    <r>
      <rPr>
        <sz val="10"/>
        <color rgb="FF000000"/>
        <rFont val="Noto Sans CJK SC"/>
        <family val="2"/>
      </rPr>
      <t xml:space="preserve">」；</t>
    </r>
    <r>
      <rPr>
        <sz val="10"/>
        <color rgb="FF000000"/>
        <rFont val="Arial"/>
        <family val="0"/>
        <charset val="1"/>
      </rPr>
      <t xml:space="preserve">1M </t>
    </r>
    <r>
      <rPr>
        <sz val="10"/>
        <color rgb="FF000000"/>
        <rFont val="Noto Sans CJK SC"/>
        <family val="2"/>
      </rPr>
      <t xml:space="preserve">上下文</t>
    </r>
  </si>
  <si>
    <t xml:space="preserve">SRC_ZP_394</t>
  </si>
  <si>
    <t xml:space="preserve">rel_glm52_b</t>
  </si>
  <si>
    <r>
      <rPr>
        <sz val="10"/>
        <color rgb="FF000000"/>
        <rFont val="Arial"/>
        <family val="0"/>
        <charset val="1"/>
      </rPr>
      <t xml:space="preserve">GLM-5.2 </t>
    </r>
    <r>
      <rPr>
        <sz val="10"/>
        <color rgb="FF000000"/>
        <rFont val="Noto Sans CJK SC"/>
        <family val="2"/>
      </rPr>
      <t xml:space="preserve">發布日（華為雲）</t>
    </r>
  </si>
  <si>
    <t xml:space="preserve">2026-06-17</t>
  </si>
  <si>
    <r>
      <rPr>
        <sz val="10"/>
        <color rgb="FF000000"/>
        <rFont val="Noto Sans CJK SC"/>
        <family val="2"/>
      </rPr>
      <t xml:space="preserve">華為雲 </t>
    </r>
    <r>
      <rPr>
        <sz val="10"/>
        <color rgb="FF000000"/>
        <rFont val="Arial"/>
        <family val="0"/>
        <charset val="1"/>
      </rPr>
      <t xml:space="preserve">MaaS GLM </t>
    </r>
    <r>
      <rPr>
        <sz val="10"/>
        <color rgb="FF000000"/>
        <rFont val="Noto Sans CJK SC"/>
        <family val="2"/>
      </rPr>
      <t xml:space="preserve">頁</t>
    </r>
  </si>
  <si>
    <r>
      <rPr>
        <sz val="10"/>
        <color rgb="FF000000"/>
        <rFont val="Noto Sans CJK SC"/>
        <family val="2"/>
      </rPr>
      <t xml:space="preserve">頁示「</t>
    </r>
    <r>
      <rPr>
        <sz val="10"/>
        <color rgb="FF000000"/>
        <rFont val="Arial"/>
        <family val="0"/>
        <charset val="1"/>
      </rPr>
      <t xml:space="preserve">GLM-5.2 20260617</t>
    </r>
    <r>
      <rPr>
        <sz val="10"/>
        <color rgb="FF000000"/>
        <rFont val="Noto Sans CJK SC"/>
        <family val="2"/>
      </rPr>
      <t xml:space="preserve">」；與 </t>
    </r>
    <r>
      <rPr>
        <sz val="10"/>
        <color rgb="FF000000"/>
        <rFont val="Arial"/>
        <family val="0"/>
        <charset val="1"/>
      </rPr>
      <t xml:space="preserve">06-16 </t>
    </r>
    <r>
      <rPr>
        <sz val="10"/>
        <color rgb="FF000000"/>
        <rFont val="Noto Sans CJK SC"/>
        <family val="2"/>
      </rPr>
      <t xml:space="preserve">晚差一日</t>
    </r>
  </si>
  <si>
    <t xml:space="preserve">SRC_ZP_395</t>
  </si>
  <si>
    <t xml:space="preserve">rel_glm53</t>
  </si>
  <si>
    <r>
      <rPr>
        <sz val="10"/>
        <color rgb="FF000000"/>
        <rFont val="Arial"/>
        <family val="0"/>
        <charset val="1"/>
      </rPr>
      <t xml:space="preserve">GLM-5.3 </t>
    </r>
    <r>
      <rPr>
        <sz val="10"/>
        <color rgb="FF000000"/>
        <rFont val="Noto Sans CJK SC"/>
        <family val="2"/>
      </rPr>
      <t xml:space="preserve">發布日</t>
    </r>
  </si>
  <si>
    <t xml:space="preserve">2026-08-14</t>
  </si>
  <si>
    <r>
      <rPr>
        <sz val="10"/>
        <color rgb="FF000000"/>
        <rFont val="Arial"/>
        <family val="0"/>
        <charset val="1"/>
      </rPr>
      <t xml:space="preserve">DataNorth</t>
    </r>
    <r>
      <rPr>
        <sz val="10"/>
        <color rgb="FF000000"/>
        <rFont val="Noto Sans CJK SC"/>
        <family val="2"/>
      </rPr>
      <t xml:space="preserve">〈</t>
    </r>
    <r>
      <rPr>
        <sz val="10"/>
        <color rgb="FF000000"/>
        <rFont val="Arial"/>
        <family val="0"/>
        <charset val="1"/>
      </rPr>
      <t xml:space="preserve">Z.ai releases GLM-5.3</t>
    </r>
    <r>
      <rPr>
        <sz val="10"/>
        <color rgb="FF000000"/>
        <rFont val="Noto Sans CJK SC"/>
        <family val="2"/>
      </rPr>
      <t xml:space="preserve">〉</t>
    </r>
  </si>
  <si>
    <t xml:space="preserve">https://datanorth.ai/news/z-ai-releases-glm-5-3</t>
  </si>
  <si>
    <t xml:space="preserve">2026-08-17</t>
  </si>
  <si>
    <r>
      <rPr>
        <sz val="10"/>
        <color rgb="FF000000"/>
        <rFont val="Noto Sans CJK SC"/>
        <family val="2"/>
      </rPr>
      <t xml:space="preserve">「</t>
    </r>
    <r>
      <rPr>
        <sz val="10"/>
        <color rgb="FF000000"/>
        <rFont val="Arial"/>
        <family val="0"/>
        <charset val="1"/>
      </rPr>
      <t xml:space="preserve">released GLM-5.3 on 14 August 2026</t>
    </r>
    <r>
      <rPr>
        <sz val="10"/>
        <color rgb="FF000000"/>
        <rFont val="Noto Sans CJK SC"/>
        <family val="2"/>
      </rPr>
      <t xml:space="preserve">」，</t>
    </r>
    <r>
      <rPr>
        <sz val="10"/>
        <color rgb="FF000000"/>
        <rFont val="Arial"/>
        <family val="0"/>
        <charset val="1"/>
      </rPr>
      <t xml:space="preserve">API </t>
    </r>
    <r>
      <rPr>
        <sz val="10"/>
        <color rgb="FF000000"/>
        <rFont val="Noto Sans CJK SC"/>
        <family val="2"/>
      </rPr>
      <t xml:space="preserve">上市時「</t>
    </r>
    <r>
      <rPr>
        <sz val="10"/>
        <color rgb="FF000000"/>
        <rFont val="Arial"/>
        <family val="0"/>
        <charset val="1"/>
      </rPr>
      <t xml:space="preserve">coming soon</t>
    </r>
    <r>
      <rPr>
        <sz val="10"/>
        <color rgb="FF000000"/>
        <rFont val="Noto Sans CJK SC"/>
        <family val="2"/>
      </rPr>
      <t xml:space="preserve">」，先經 </t>
    </r>
    <r>
      <rPr>
        <sz val="10"/>
        <color rgb="FF000000"/>
        <rFont val="Arial"/>
        <family val="0"/>
        <charset val="1"/>
      </rPr>
      <t xml:space="preserve">Coding Plan</t>
    </r>
    <r>
      <rPr>
        <sz val="10"/>
        <color rgb="FF000000"/>
        <rFont val="Noto Sans CJK SC"/>
        <family val="2"/>
      </rPr>
      <t xml:space="preserve">；權重約 </t>
    </r>
    <r>
      <rPr>
        <sz val="10"/>
        <color rgb="FF000000"/>
        <rFont val="Arial"/>
        <family val="0"/>
        <charset val="1"/>
      </rPr>
      <t xml:space="preserve">08-28</t>
    </r>
    <r>
      <rPr>
        <sz val="10"/>
        <color rgb="FF000000"/>
        <rFont val="Noto Sans CJK SC"/>
        <family val="2"/>
      </rPr>
      <t xml:space="preserve">；</t>
    </r>
    <r>
      <rPr>
        <sz val="10"/>
        <color rgb="FF000000"/>
        <rFont val="Arial"/>
        <family val="0"/>
        <charset val="1"/>
      </rPr>
      <t xml:space="preserve">DataLearner </t>
    </r>
    <r>
      <rPr>
        <sz val="10"/>
        <color rgb="FF000000"/>
        <rFont val="Noto Sans CJK SC"/>
        <family val="2"/>
      </rPr>
      <t xml:space="preserve">同 </t>
    </r>
    <r>
      <rPr>
        <sz val="10"/>
        <color rgb="FF000000"/>
        <rFont val="Arial"/>
        <family val="0"/>
        <charset val="1"/>
      </rPr>
      <t xml:space="preserve">08-14</t>
    </r>
    <r>
      <rPr>
        <sz val="10"/>
        <color rgb="FF000000"/>
        <rFont val="Noto Sans CJK SC"/>
        <family val="2"/>
      </rPr>
      <t xml:space="preserve">；</t>
    </r>
    <r>
      <rPr>
        <sz val="10"/>
        <color rgb="FF000000"/>
        <rFont val="Arial"/>
        <family val="0"/>
        <charset val="1"/>
      </rPr>
      <t xml:space="preserve">GTM </t>
    </r>
    <r>
      <rPr>
        <sz val="10"/>
        <color rgb="FF000000"/>
        <rFont val="Noto Sans CJK SC"/>
        <family val="2"/>
      </rPr>
      <t xml:space="preserve">列 </t>
    </r>
    <r>
      <rPr>
        <sz val="10"/>
        <color rgb="FF000000"/>
        <rFont val="Arial"/>
        <family val="0"/>
        <charset val="1"/>
      </rPr>
      <t xml:space="preserve">08-16</t>
    </r>
  </si>
  <si>
    <t xml:space="preserve">SRC_ZP_396</t>
  </si>
  <si>
    <t xml:space="preserve">rel_glm53flash</t>
  </si>
  <si>
    <r>
      <rPr>
        <sz val="10"/>
        <color rgb="FF000000"/>
        <rFont val="Arial"/>
        <family val="0"/>
        <charset val="1"/>
      </rPr>
      <t xml:space="preserve">GLM-5.3-Flash </t>
    </r>
    <r>
      <rPr>
        <sz val="10"/>
        <color rgb="FF000000"/>
        <rFont val="Noto Sans CJK SC"/>
        <family val="2"/>
      </rPr>
      <t xml:space="preserve">發布日</t>
    </r>
  </si>
  <si>
    <r>
      <rPr>
        <sz val="10"/>
        <color rgb="FF000000"/>
        <rFont val="Arial"/>
        <family val="0"/>
        <charset val="1"/>
      </rPr>
      <t xml:space="preserve">AIToolly</t>
    </r>
    <r>
      <rPr>
        <sz val="10"/>
        <color rgb="FF000000"/>
        <rFont val="Noto Sans CJK SC"/>
        <family val="2"/>
      </rPr>
      <t xml:space="preserve">（</t>
    </r>
    <r>
      <rPr>
        <sz val="10"/>
        <color rgb="FF000000"/>
        <rFont val="Arial"/>
        <family val="0"/>
        <charset val="1"/>
      </rPr>
      <t xml:space="preserve">2026-08-27</t>
    </r>
    <r>
      <rPr>
        <sz val="10"/>
        <color rgb="FF000000"/>
        <rFont val="Noto Sans CJK SC"/>
        <family val="2"/>
      </rPr>
      <t xml:space="preserve">）</t>
    </r>
  </si>
  <si>
    <t xml:space="preserve">https://aitoolly.com/zh/ai-news/article/2026-08-27-glm-53-flash-zhipu-ais-strategic-leap-in-high-efficiency-language-model-performance</t>
  </si>
  <si>
    <t xml:space="preserve">2026-08-27</t>
  </si>
  <si>
    <r>
      <rPr>
        <sz val="10"/>
        <color rgb="FF000000"/>
        <rFont val="Noto Sans CJK SC"/>
        <family val="2"/>
      </rPr>
      <t xml:space="preserve">原文「</t>
    </r>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8</t>
    </r>
    <r>
      <rPr>
        <sz val="10"/>
        <color rgb="FF000000"/>
        <rFont val="Noto Sans CJK SC"/>
        <family val="2"/>
      </rPr>
      <t xml:space="preserve">月</t>
    </r>
    <r>
      <rPr>
        <sz val="10"/>
        <color rgb="FF000000"/>
        <rFont val="Arial"/>
        <family val="0"/>
        <charset val="1"/>
      </rPr>
      <t xml:space="preserve">26</t>
    </r>
    <r>
      <rPr>
        <sz val="10"/>
        <color rgb="FF000000"/>
        <rFont val="Noto Sans CJK SC"/>
        <family val="2"/>
      </rPr>
      <t xml:space="preserve">日，關於 </t>
    </r>
    <r>
      <rPr>
        <sz val="10"/>
        <color rgb="FF000000"/>
        <rFont val="Arial"/>
        <family val="0"/>
        <charset val="1"/>
      </rPr>
      <t xml:space="preserve">GLM-5.3-Flash </t>
    </r>
    <r>
      <rPr>
        <sz val="10"/>
        <color rgb="FF000000"/>
        <rFont val="Noto Sans CJK SC"/>
        <family val="2"/>
      </rPr>
      <t xml:space="preserve">的消息在 </t>
    </r>
    <r>
      <rPr>
        <sz val="10"/>
        <color rgb="FF000000"/>
        <rFont val="Arial"/>
        <family val="0"/>
        <charset val="1"/>
      </rPr>
      <t xml:space="preserve">Hacker News </t>
    </r>
    <r>
      <rPr>
        <sz val="10"/>
        <color rgb="FF000000"/>
        <rFont val="Noto Sans CJK SC"/>
        <family val="2"/>
      </rPr>
      <t xml:space="preserve">及 </t>
    </r>
    <r>
      <rPr>
        <sz val="10"/>
        <color rgb="FF000000"/>
        <rFont val="Arial"/>
        <family val="0"/>
        <charset val="1"/>
      </rPr>
      <t xml:space="preserve">z.ai </t>
    </r>
    <r>
      <rPr>
        <sz val="10"/>
        <color rgb="FF000000"/>
        <rFont val="Noto Sans CJK SC"/>
        <family val="2"/>
      </rPr>
      <t xml:space="preserve">博客上發布」；上市前以代號 </t>
    </r>
    <r>
      <rPr>
        <sz val="10"/>
        <color rgb="FF000000"/>
        <rFont val="Arial"/>
        <family val="0"/>
        <charset val="1"/>
      </rPr>
      <t xml:space="preserve">Ox-Alpha </t>
    </r>
    <r>
      <rPr>
        <sz val="10"/>
        <color rgb="FF000000"/>
        <rFont val="Noto Sans CJK SC"/>
        <family val="2"/>
      </rPr>
      <t xml:space="preserve">匿名測試（中期公告）</t>
    </r>
  </si>
  <si>
    <t xml:space="preserve">SRC_ZP_397</t>
  </si>
  <si>
    <t xml:space="preserve">usr_maas_1h26_pe</t>
  </si>
  <si>
    <r>
      <rPr>
        <sz val="10"/>
        <color rgb="FF000000"/>
        <rFont val="Arial"/>
        <family val="0"/>
        <charset val="1"/>
      </rPr>
      <t xml:space="preserve">GLM MaaS </t>
    </r>
    <r>
      <rPr>
        <sz val="10"/>
        <color rgb="FF000000"/>
        <rFont val="Noto Sans CJK SC"/>
        <family val="2"/>
      </rPr>
      <t xml:space="preserve">平台企業及開發者用戶數（期末）</t>
    </r>
  </si>
  <si>
    <t xml:space="preserve">萬</t>
  </si>
  <si>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中期業績公告（</t>
    </r>
    <r>
      <rPr>
        <sz val="10"/>
        <color rgb="FF000000"/>
        <rFont val="Arial"/>
        <family val="0"/>
        <charset val="1"/>
      </rPr>
      <t xml:space="preserve">Z.AI Co., Ltd.</t>
    </r>
    <r>
      <rPr>
        <sz val="10"/>
        <color rgb="FF000000"/>
        <rFont val="Noto Sans CJK SC"/>
        <family val="2"/>
      </rPr>
      <t xml:space="preserve">，截至 </t>
    </r>
    <r>
      <rPr>
        <sz val="10"/>
        <color rgb="FF000000"/>
        <rFont val="Arial"/>
        <family val="0"/>
        <charset val="1"/>
      </rPr>
      <t xml:space="preserve">2026-06-30 </t>
    </r>
    <r>
      <rPr>
        <sz val="10"/>
        <color rgb="FF000000"/>
        <rFont val="Noto Sans CJK SC"/>
        <family val="2"/>
      </rPr>
      <t xml:space="preserve">止六個月）（第 </t>
    </r>
    <r>
      <rPr>
        <sz val="10"/>
        <color rgb="FF000000"/>
        <rFont val="Arial"/>
        <family val="0"/>
        <charset val="1"/>
      </rPr>
      <t xml:space="preserve">3 </t>
    </r>
    <r>
      <rPr>
        <sz val="10"/>
        <color rgb="FF000000"/>
        <rFont val="Noto Sans CJK SC"/>
        <family val="2"/>
      </rPr>
      <t xml:space="preserve">頁）</t>
    </r>
  </si>
  <si>
    <r>
      <rPr>
        <sz val="10"/>
        <color rgb="FF000000"/>
        <rFont val="Noto Sans CJK SC"/>
        <family val="2"/>
      </rPr>
      <t xml:space="preserve">原文「</t>
    </r>
    <r>
      <rPr>
        <sz val="10"/>
        <color rgb="FF000000"/>
        <rFont val="Arial"/>
        <family val="0"/>
        <charset val="1"/>
      </rPr>
      <t xml:space="preserve">enterprise and developer users on the GLM MaaS platform exceeded 5.8 million</t>
    </r>
    <r>
      <rPr>
        <sz val="10"/>
        <color rgb="FF000000"/>
        <rFont val="Noto Sans CJK SC"/>
        <family val="2"/>
      </rPr>
      <t xml:space="preserve">」（報告期末）</t>
    </r>
  </si>
  <si>
    <t xml:space="preserve">SRC_ZP_398</t>
  </si>
  <si>
    <t xml:space="preserve">usr_maas_ann</t>
  </si>
  <si>
    <r>
      <rPr>
        <sz val="10"/>
        <color rgb="FF000000"/>
        <rFont val="Arial"/>
        <family val="0"/>
        <charset val="1"/>
      </rPr>
      <t xml:space="preserve">GLM MaaS </t>
    </r>
    <r>
      <rPr>
        <sz val="10"/>
        <color rgb="FF000000"/>
        <rFont val="Noto Sans CJK SC"/>
        <family val="2"/>
      </rPr>
      <t xml:space="preserve">平台企業及開發者用戶數（公告日）</t>
    </r>
  </si>
  <si>
    <r>
      <rPr>
        <sz val="10"/>
        <color rgb="FF000000"/>
        <rFont val="Arial"/>
        <family val="0"/>
        <charset val="1"/>
      </rPr>
      <t xml:space="preserve">2026-08-31</t>
    </r>
    <r>
      <rPr>
        <sz val="10"/>
        <color rgb="FF000000"/>
        <rFont val="Noto Sans CJK SC"/>
        <family val="2"/>
      </rPr>
      <t xml:space="preserve">（公告日）</t>
    </r>
  </si>
  <si>
    <r>
      <rPr>
        <sz val="10"/>
        <color rgb="FF000000"/>
        <rFont val="Noto Sans CJK SC"/>
        <family val="2"/>
      </rPr>
      <t xml:space="preserve">原文「</t>
    </r>
    <r>
      <rPr>
        <sz val="10"/>
        <color rgb="FF000000"/>
        <rFont val="Arial"/>
        <family val="0"/>
        <charset val="1"/>
      </rPr>
      <t xml:space="preserve">As of the date of this announcement ... over 7.4 million enterprise and developer users</t>
    </r>
    <r>
      <rPr>
        <sz val="10"/>
        <color rgb="FF000000"/>
        <rFont val="Noto Sans CJK SC"/>
        <family val="2"/>
      </rPr>
      <t xml:space="preserve">」；第 </t>
    </r>
    <r>
      <rPr>
        <sz val="10"/>
        <color rgb="FF000000"/>
        <rFont val="Arial"/>
        <family val="0"/>
        <charset val="1"/>
      </rPr>
      <t xml:space="preserve">15 </t>
    </r>
    <r>
      <rPr>
        <sz val="10"/>
        <color rgb="FF000000"/>
        <rFont val="Noto Sans CJK SC"/>
        <family val="2"/>
      </rPr>
      <t xml:space="preserve">頁稱較年初 </t>
    </r>
    <r>
      <rPr>
        <sz val="10"/>
        <color rgb="FF000000"/>
        <rFont val="Arial"/>
        <family val="0"/>
        <charset val="1"/>
      </rPr>
      <t xml:space="preserve">+144%</t>
    </r>
  </si>
  <si>
    <t xml:space="preserve">SRC_ZP_399</t>
  </si>
  <si>
    <t xml:space="preserve">usr_maas_growth_ytd</t>
  </si>
  <si>
    <r>
      <rPr>
        <sz val="10"/>
        <color rgb="FF000000"/>
        <rFont val="Arial"/>
        <family val="0"/>
        <charset val="1"/>
      </rPr>
      <t xml:space="preserve">MaaS </t>
    </r>
    <r>
      <rPr>
        <sz val="10"/>
        <color rgb="FF000000"/>
        <rFont val="Noto Sans CJK SC"/>
        <family val="2"/>
      </rPr>
      <t xml:space="preserve">用戶數較年初增幅</t>
    </r>
  </si>
  <si>
    <r>
      <rPr>
        <sz val="10"/>
        <color rgb="FF000000"/>
        <rFont val="Arial"/>
        <family val="0"/>
        <charset val="1"/>
      </rPr>
      <t xml:space="preserve">2026-01-01→</t>
    </r>
    <r>
      <rPr>
        <sz val="10"/>
        <color rgb="FF000000"/>
        <rFont val="Noto Sans CJK SC"/>
        <family val="2"/>
      </rPr>
      <t xml:space="preserve">公告日</t>
    </r>
  </si>
  <si>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中期業績公告（</t>
    </r>
    <r>
      <rPr>
        <sz val="10"/>
        <color rgb="FF000000"/>
        <rFont val="Arial"/>
        <family val="0"/>
        <charset val="1"/>
      </rPr>
      <t xml:space="preserve">Z.AI Co., Ltd.</t>
    </r>
    <r>
      <rPr>
        <sz val="10"/>
        <color rgb="FF000000"/>
        <rFont val="Noto Sans CJK SC"/>
        <family val="2"/>
      </rPr>
      <t xml:space="preserve">，截至 </t>
    </r>
    <r>
      <rPr>
        <sz val="10"/>
        <color rgb="FF000000"/>
        <rFont val="Arial"/>
        <family val="0"/>
        <charset val="1"/>
      </rPr>
      <t xml:space="preserve">2026-06-30 </t>
    </r>
    <r>
      <rPr>
        <sz val="10"/>
        <color rgb="FF000000"/>
        <rFont val="Noto Sans CJK SC"/>
        <family val="2"/>
      </rPr>
      <t xml:space="preserve">止六個月）（第 </t>
    </r>
    <r>
      <rPr>
        <sz val="10"/>
        <color rgb="FF000000"/>
        <rFont val="Arial"/>
        <family val="0"/>
        <charset val="1"/>
      </rPr>
      <t xml:space="preserve">15 </t>
    </r>
    <r>
      <rPr>
        <sz val="10"/>
        <color rgb="FF000000"/>
        <rFont val="Noto Sans CJK SC"/>
        <family val="2"/>
      </rPr>
      <t xml:space="preserve">頁）</t>
    </r>
  </si>
  <si>
    <r>
      <rPr>
        <sz val="10"/>
        <color rgb="FF000000"/>
        <rFont val="Noto Sans CJK SC"/>
        <family val="2"/>
      </rPr>
      <t xml:space="preserve">原文「</t>
    </r>
    <r>
      <rPr>
        <sz val="10"/>
        <color rgb="FF000000"/>
        <rFont val="Arial"/>
        <family val="0"/>
        <charset val="1"/>
      </rPr>
      <t xml:space="preserve">over 7.4 million users, an increase of 144% from the beginning of 2026</t>
    </r>
    <r>
      <rPr>
        <sz val="10"/>
        <color rgb="FF000000"/>
        <rFont val="Noto Sans CJK SC"/>
        <family val="2"/>
      </rPr>
      <t xml:space="preserve">」；反推年初約 </t>
    </r>
    <r>
      <rPr>
        <sz val="10"/>
        <color rgb="FF000000"/>
        <rFont val="Arial"/>
        <family val="0"/>
        <charset val="1"/>
      </rPr>
      <t xml:space="preserve">303 </t>
    </r>
    <r>
      <rPr>
        <sz val="10"/>
        <color rgb="FF000000"/>
        <rFont val="Noto Sans CJK SC"/>
        <family val="2"/>
      </rPr>
      <t xml:space="preserve">萬（</t>
    </r>
    <r>
      <rPr>
        <sz val="10"/>
        <color rgb="FF000000"/>
        <rFont val="Arial"/>
        <family val="0"/>
        <charset val="1"/>
      </rPr>
      <t xml:space="preserve">Derived</t>
    </r>
    <r>
      <rPr>
        <sz val="10"/>
        <color rgb="FF000000"/>
        <rFont val="Noto Sans CJK SC"/>
        <family val="2"/>
      </rPr>
      <t xml:space="preserve">）</t>
    </r>
  </si>
  <si>
    <t xml:space="preserve">SRC_ZP_400</t>
  </si>
  <si>
    <t xml:space="preserve">usr_maas_mar26</t>
  </si>
  <si>
    <t xml:space="preserve">開放平台註冊用戶數</t>
  </si>
  <si>
    <t xml:space="preserve">2026-03</t>
  </si>
  <si>
    <r>
      <rPr>
        <sz val="10"/>
        <color rgb="FF000000"/>
        <rFont val="Noto Sans CJK SC"/>
        <family val="2"/>
      </rPr>
      <t xml:space="preserve">原文「</t>
    </r>
    <r>
      <rPr>
        <sz val="10"/>
        <color rgb="FF000000"/>
        <rFont val="Arial"/>
        <family val="0"/>
        <charset val="1"/>
      </rPr>
      <t xml:space="preserve">surpassed 4 million registered users as of March 2026</t>
    </r>
    <r>
      <rPr>
        <sz val="10"/>
        <color rgb="FF000000"/>
        <rFont val="Noto Sans CJK SC"/>
        <family val="2"/>
      </rPr>
      <t xml:space="preserve">」；另稱合作「</t>
    </r>
    <r>
      <rPr>
        <sz val="10"/>
        <color rgb="FF000000"/>
        <rFont val="Arial"/>
        <family val="0"/>
        <charset val="1"/>
      </rPr>
      <t xml:space="preserve">over 4 million small and medium-sized enterprises and developers</t>
    </r>
    <r>
      <rPr>
        <sz val="10"/>
        <color rgb="FF000000"/>
        <rFont val="Noto Sans CJK SC"/>
        <family val="2"/>
      </rPr>
      <t xml:space="preserve">」</t>
    </r>
  </si>
  <si>
    <t xml:space="preserve">SRC_ZP_401</t>
  </si>
  <si>
    <t xml:space="preserve">usr_paid_dau_growth</t>
  </si>
  <si>
    <t xml:space="preserve">付費日活用戶較年初增幅</t>
  </si>
  <si>
    <t xml:space="preserve">2026-01-01→1H2026</t>
  </si>
  <si>
    <r>
      <rPr>
        <sz val="10"/>
        <color rgb="FF000000"/>
        <rFont val="Noto Sans CJK SC"/>
        <family val="2"/>
      </rPr>
      <t xml:space="preserve">原文「</t>
    </r>
    <r>
      <rPr>
        <sz val="10"/>
        <color rgb="FF000000"/>
        <rFont val="Arial"/>
        <family val="0"/>
        <charset val="1"/>
      </rPr>
      <t xml:space="preserve">the number of paid daily active users rising by 603%</t>
    </r>
    <r>
      <rPr>
        <sz val="10"/>
        <color rgb="FF000000"/>
        <rFont val="Noto Sans CJK SC"/>
        <family val="2"/>
      </rPr>
      <t xml:space="preserve">」；未揭露絕對數</t>
    </r>
  </si>
  <si>
    <t xml:space="preserve">SRC_ZP_402</t>
  </si>
  <si>
    <t xml:space="preserve">usr_cp_paying_dev</t>
  </si>
  <si>
    <r>
      <rPr>
        <sz val="10"/>
        <color rgb="FF000000"/>
        <rFont val="Arial"/>
        <family val="0"/>
        <charset val="1"/>
      </rPr>
      <t xml:space="preserve">GLM Coding Plan </t>
    </r>
    <r>
      <rPr>
        <sz val="10"/>
        <color rgb="FF000000"/>
        <rFont val="Noto Sans CJK SC"/>
        <family val="2"/>
      </rPr>
      <t xml:space="preserve">付費開發者數</t>
    </r>
  </si>
  <si>
    <r>
      <rPr>
        <sz val="10"/>
        <color rgb="FF000000"/>
        <rFont val="Noto Sans CJK SC"/>
        <family val="2"/>
      </rPr>
      <t xml:space="preserve">原文「</t>
    </r>
    <r>
      <rPr>
        <sz val="10"/>
        <color rgb="FF000000"/>
        <rFont val="Arial"/>
        <family val="0"/>
        <charset val="1"/>
      </rPr>
      <t xml:space="preserve">reaching over 242,000 paying developers</t>
    </r>
    <r>
      <rPr>
        <sz val="10"/>
        <color rgb="FF000000"/>
        <rFont val="Noto Sans CJK SC"/>
        <family val="2"/>
      </rPr>
      <t xml:space="preserve">」（</t>
    </r>
    <r>
      <rPr>
        <sz val="10"/>
        <color rgb="FF000000"/>
        <rFont val="Arial"/>
        <family val="0"/>
        <charset val="1"/>
      </rPr>
      <t xml:space="preserve">Coding Plan </t>
    </r>
    <r>
      <rPr>
        <sz val="10"/>
        <color rgb="FF000000"/>
        <rFont val="Noto Sans CJK SC"/>
        <family val="2"/>
      </rPr>
      <t xml:space="preserve">段落）</t>
    </r>
  </si>
  <si>
    <t xml:space="preserve">SRC_ZP_403</t>
  </si>
  <si>
    <t xml:space="preserve">usr_clawplan_subs</t>
  </si>
  <si>
    <r>
      <rPr>
        <sz val="10"/>
        <color rgb="FF000000"/>
        <rFont val="Arial"/>
        <family val="0"/>
        <charset val="1"/>
      </rPr>
      <t xml:space="preserve">Claw Plan </t>
    </r>
    <r>
      <rPr>
        <sz val="10"/>
        <color rgb="FF000000"/>
        <rFont val="Noto Sans CJK SC"/>
        <family val="2"/>
      </rPr>
      <t xml:space="preserve">訂閱數（</t>
    </r>
    <r>
      <rPr>
        <sz val="10"/>
        <color rgb="FF000000"/>
        <rFont val="Arial"/>
        <family val="0"/>
        <charset val="1"/>
      </rPr>
      <t xml:space="preserve">20 </t>
    </r>
    <r>
      <rPr>
        <sz val="10"/>
        <color rgb="FF000000"/>
        <rFont val="Noto Sans CJK SC"/>
        <family val="2"/>
      </rPr>
      <t xml:space="preserve">天）</t>
    </r>
  </si>
  <si>
    <r>
      <rPr>
        <sz val="10"/>
        <color rgb="FF000000"/>
        <rFont val="Noto Sans CJK SC"/>
        <family val="2"/>
      </rPr>
      <t xml:space="preserve">原文「</t>
    </r>
    <r>
      <rPr>
        <sz val="10"/>
        <color rgb="FF000000"/>
        <rFont val="Arial"/>
        <family val="0"/>
        <charset val="1"/>
      </rPr>
      <t xml:space="preserve">100,000 subscribers within just two days and 400,000 subscribers within 20 days</t>
    </r>
    <r>
      <rPr>
        <sz val="10"/>
        <color rgb="FF000000"/>
        <rFont val="Noto Sans CJK SC"/>
        <family val="2"/>
      </rPr>
      <t xml:space="preserve">」；未稱付費</t>
    </r>
  </si>
  <si>
    <t xml:space="preserve">SRC_ZP_404</t>
  </si>
  <si>
    <t xml:space="preserve">usr_inst_cust_1h25</t>
  </si>
  <si>
    <t xml:space="preserve">機構客戶數</t>
  </si>
  <si>
    <t xml:space="preserve">家</t>
  </si>
  <si>
    <r>
      <rPr>
        <sz val="10"/>
        <color rgb="FF000000"/>
        <rFont val="Noto Sans CJK SC"/>
        <family val="2"/>
      </rPr>
      <t xml:space="preserve">智譜招股章程（全球發售，</t>
    </r>
    <r>
      <rPr>
        <sz val="10"/>
        <color rgb="FF000000"/>
        <rFont val="Arial"/>
        <family val="0"/>
        <charset val="1"/>
      </rPr>
      <t xml:space="preserve">2025-12-30</t>
    </r>
    <r>
      <rPr>
        <sz val="10"/>
        <color rgb="FF000000"/>
        <rFont val="Noto Sans CJK SC"/>
        <family val="2"/>
      </rPr>
      <t xml:space="preserve">）</t>
    </r>
  </si>
  <si>
    <r>
      <rPr>
        <sz val="10"/>
        <color rgb="FF000000"/>
        <rFont val="Noto Sans CJK SC"/>
        <family val="2"/>
      </rPr>
      <t xml:space="preserve">原文「</t>
    </r>
    <r>
      <rPr>
        <sz val="10"/>
        <color rgb="FF000000"/>
        <rFont val="Arial"/>
        <family val="0"/>
        <charset val="1"/>
      </rPr>
      <t xml:space="preserve">empowered over eight thousand institutional customers as of June 30, 2025</t>
    </r>
    <r>
      <rPr>
        <sz val="10"/>
        <color rgb="FF000000"/>
        <rFont val="Noto Sans CJK SC"/>
        <family val="2"/>
      </rPr>
      <t xml:space="preserve">」</t>
    </r>
  </si>
  <si>
    <t xml:space="preserve">SRC_ZP_405</t>
  </si>
  <si>
    <t xml:space="preserve">usr_inst_cust_9m25</t>
  </si>
  <si>
    <t xml:space="preserve">機構客戶數（九個月）</t>
  </si>
  <si>
    <r>
      <rPr>
        <sz val="10"/>
        <color rgb="FF000000"/>
        <rFont val="Arial"/>
        <family val="0"/>
        <charset val="1"/>
      </rPr>
      <t xml:space="preserve">9M2025</t>
    </r>
    <r>
      <rPr>
        <sz val="10"/>
        <color rgb="FF000000"/>
        <rFont val="Noto Sans CJK SC"/>
        <family val="2"/>
      </rPr>
      <t xml:space="preserve">（截至 </t>
    </r>
    <r>
      <rPr>
        <sz val="10"/>
        <color rgb="FF000000"/>
        <rFont val="Arial"/>
        <family val="0"/>
        <charset val="1"/>
      </rPr>
      <t xml:space="preserve">2025-09-30</t>
    </r>
    <r>
      <rPr>
        <sz val="10"/>
        <color rgb="FF000000"/>
        <rFont val="Noto Sans CJK SC"/>
        <family val="2"/>
      </rPr>
      <t xml:space="preserve">）</t>
    </r>
  </si>
  <si>
    <r>
      <rPr>
        <sz val="10"/>
        <color rgb="FF000000"/>
        <rFont val="Noto Sans CJK SC"/>
        <family val="2"/>
      </rPr>
      <t xml:space="preserve">原文「</t>
    </r>
    <r>
      <rPr>
        <sz val="10"/>
        <color rgb="FF000000"/>
        <rFont val="Arial"/>
        <family val="0"/>
        <charset val="1"/>
      </rPr>
      <t xml:space="preserve">over 12,000 institutional customers</t>
    </r>
    <r>
      <rPr>
        <sz val="10"/>
        <color rgb="FF000000"/>
        <rFont val="Noto Sans CJK SC"/>
        <family val="2"/>
      </rPr>
      <t xml:space="preserve">」</t>
    </r>
  </si>
  <si>
    <t xml:space="preserve">SRC_ZP_406</t>
  </si>
  <si>
    <t xml:space="preserve">usr_devices</t>
  </si>
  <si>
    <t xml:space="preserve">賦能終端設備數</t>
  </si>
  <si>
    <t xml:space="preserve">萬台</t>
  </si>
  <si>
    <r>
      <rPr>
        <sz val="10"/>
        <color rgb="FF000000"/>
        <rFont val="Noto Sans CJK SC"/>
        <family val="2"/>
      </rPr>
      <t xml:space="preserve">最後實際可行日期（</t>
    </r>
    <r>
      <rPr>
        <sz val="10"/>
        <color rgb="FF000000"/>
        <rFont val="Arial"/>
        <family val="0"/>
        <charset val="1"/>
      </rPr>
      <t xml:space="preserve">2025-12</t>
    </r>
    <r>
      <rPr>
        <sz val="10"/>
        <color rgb="FF000000"/>
        <rFont val="Noto Sans CJK SC"/>
        <family val="2"/>
      </rPr>
      <t xml:space="preserve">）</t>
    </r>
  </si>
  <si>
    <r>
      <rPr>
        <sz val="10"/>
        <color rgb="FF000000"/>
        <rFont val="Noto Sans CJK SC"/>
        <family val="2"/>
      </rPr>
      <t xml:space="preserve">原文「</t>
    </r>
    <r>
      <rPr>
        <sz val="10"/>
        <color rgb="FF000000"/>
        <rFont val="Arial"/>
        <family val="0"/>
        <charset val="1"/>
      </rPr>
      <t xml:space="preserve">approximately 80 million devices</t>
    </r>
    <r>
      <rPr>
        <sz val="10"/>
        <color rgb="FF000000"/>
        <rFont val="Noto Sans CJK SC"/>
        <family val="2"/>
      </rPr>
      <t xml:space="preserve">」</t>
    </r>
  </si>
  <si>
    <t xml:space="preserve">SRC_ZP_407</t>
  </si>
  <si>
    <t xml:space="preserve">usr_top10_internet</t>
  </si>
  <si>
    <r>
      <rPr>
        <sz val="10"/>
        <color rgb="FF000000"/>
        <rFont val="Noto Sans CJK SC"/>
        <family val="2"/>
      </rPr>
      <t xml:space="preserve">中國前十大互聯網公司中接入 </t>
    </r>
    <r>
      <rPr>
        <sz val="10"/>
        <color rgb="FF000000"/>
        <rFont val="Arial"/>
        <family val="0"/>
        <charset val="1"/>
      </rPr>
      <t xml:space="preserve">GLM </t>
    </r>
    <r>
      <rPr>
        <sz val="10"/>
        <color rgb="FF000000"/>
        <rFont val="Noto Sans CJK SC"/>
        <family val="2"/>
      </rPr>
      <t xml:space="preserve">家數</t>
    </r>
  </si>
  <si>
    <r>
      <rPr>
        <sz val="10"/>
        <color rgb="FF000000"/>
        <rFont val="Noto Sans CJK SC"/>
        <family val="2"/>
      </rPr>
      <t xml:space="preserve">智譜 </t>
    </r>
    <r>
      <rPr>
        <sz val="10"/>
        <color rgb="FF000000"/>
        <rFont val="Arial"/>
        <family val="0"/>
        <charset val="1"/>
      </rPr>
      <t xml:space="preserve">2025 </t>
    </r>
    <r>
      <rPr>
        <sz val="10"/>
        <color rgb="FF000000"/>
        <rFont val="Noto Sans CJK SC"/>
        <family val="2"/>
      </rPr>
      <t xml:space="preserve">年度業績公告（截至 </t>
    </r>
    <r>
      <rPr>
        <sz val="10"/>
        <color rgb="FF000000"/>
        <rFont val="Arial"/>
        <family val="0"/>
        <charset val="1"/>
      </rPr>
      <t xml:space="preserve">2025-12-31</t>
    </r>
    <r>
      <rPr>
        <sz val="10"/>
        <color rgb="FF000000"/>
        <rFont val="Noto Sans CJK SC"/>
        <family val="2"/>
      </rPr>
      <t xml:space="preserve">）</t>
    </r>
  </si>
  <si>
    <r>
      <rPr>
        <sz val="10"/>
        <color rgb="FF000000"/>
        <rFont val="Noto Sans CJK SC"/>
        <family val="2"/>
      </rPr>
      <t xml:space="preserve">原文「</t>
    </r>
    <r>
      <rPr>
        <sz val="10"/>
        <color rgb="FF000000"/>
        <rFont val="Arial"/>
        <family val="0"/>
        <charset val="1"/>
      </rPr>
      <t xml:space="preserve">9 of the top 10 Internet companies in China have now deeply integrated GLM</t>
    </r>
    <r>
      <rPr>
        <sz val="10"/>
        <color rgb="FF000000"/>
        <rFont val="Noto Sans CJK SC"/>
        <family val="2"/>
      </rPr>
      <t xml:space="preserve">」</t>
    </r>
  </si>
  <si>
    <t xml:space="preserve">SRC_ZP_408</t>
  </si>
  <si>
    <t xml:space="preserve">usr_countries_fy25</t>
  </si>
  <si>
    <t xml:space="preserve">用戶覆蓋國家與地區</t>
  </si>
  <si>
    <t xml:space="preserve">個</t>
  </si>
  <si>
    <r>
      <rPr>
        <sz val="10"/>
        <color rgb="FF000000"/>
        <rFont val="Noto Sans CJK SC"/>
        <family val="2"/>
      </rPr>
      <t xml:space="preserve">原文「</t>
    </r>
    <r>
      <rPr>
        <sz val="10"/>
        <color rgb="FF000000"/>
        <rFont val="Arial"/>
        <family val="0"/>
        <charset val="1"/>
      </rPr>
      <t xml:space="preserve">covering 218 countries and regions worldwide</t>
    </r>
    <r>
      <rPr>
        <sz val="10"/>
        <color rgb="FF000000"/>
        <rFont val="Noto Sans CJK SC"/>
        <family val="2"/>
      </rPr>
      <t xml:space="preserve">」</t>
    </r>
  </si>
  <si>
    <t xml:space="preserve">SRC_ZP_409</t>
  </si>
  <si>
    <t xml:space="preserve">usr_countries_1h26_b</t>
  </si>
  <si>
    <t xml:space="preserve">用戶覆蓋國家與地區（中期媒體轉述）</t>
  </si>
  <si>
    <r>
      <rPr>
        <sz val="10"/>
        <color rgb="FF000000"/>
        <rFont val="Noto Sans CJK SC"/>
        <family val="2"/>
      </rPr>
      <t xml:space="preserve">原文「用戶覆蓋</t>
    </r>
    <r>
      <rPr>
        <sz val="10"/>
        <color rgb="FF000000"/>
        <rFont val="Arial"/>
        <family val="0"/>
        <charset val="1"/>
      </rPr>
      <t xml:space="preserve">233</t>
    </r>
    <r>
      <rPr>
        <sz val="10"/>
        <color rgb="FF000000"/>
        <rFont val="Noto Sans CJK SC"/>
        <family val="2"/>
      </rPr>
      <t xml:space="preserve">個國家和地區」；公告本文未查得此句</t>
    </r>
  </si>
  <si>
    <t xml:space="preserve">SRC_ZP_410</t>
  </si>
  <si>
    <t xml:space="preserve">tok_maas_growth_ytd</t>
  </si>
  <si>
    <r>
      <rPr>
        <sz val="10"/>
        <color rgb="FF000000"/>
        <rFont val="Arial"/>
        <family val="0"/>
        <charset val="1"/>
      </rPr>
      <t xml:space="preserve">MaaS </t>
    </r>
    <r>
      <rPr>
        <sz val="10"/>
        <color rgb="FF000000"/>
        <rFont val="Noto Sans CJK SC"/>
        <family val="2"/>
      </rPr>
      <t xml:space="preserve">平台 </t>
    </r>
    <r>
      <rPr>
        <sz val="10"/>
        <color rgb="FF000000"/>
        <rFont val="Arial"/>
        <family val="0"/>
        <charset val="1"/>
      </rPr>
      <t xml:space="preserve">token </t>
    </r>
    <r>
      <rPr>
        <sz val="10"/>
        <color rgb="FF000000"/>
        <rFont val="Noto Sans CJK SC"/>
        <family val="2"/>
      </rPr>
      <t xml:space="preserve">呼叫量較年初倍數</t>
    </r>
  </si>
  <si>
    <t xml:space="preserve">倍（以上）</t>
  </si>
  <si>
    <r>
      <rPr>
        <sz val="10"/>
        <color rgb="FF000000"/>
        <rFont val="Noto Sans CJK SC"/>
        <family val="2"/>
      </rPr>
      <t xml:space="preserve">原文「</t>
    </r>
    <r>
      <rPr>
        <sz val="10"/>
        <color rgb="FF000000"/>
        <rFont val="Arial"/>
        <family val="0"/>
        <charset val="1"/>
      </rPr>
      <t xml:space="preserve">Token invocation volume of the MaaS platform had increased over 40 times from the beginning of 2026</t>
    </r>
    <r>
      <rPr>
        <sz val="10"/>
        <color rgb="FF000000"/>
        <rFont val="Noto Sans CJK SC"/>
        <family val="2"/>
      </rPr>
      <t xml:space="preserve">」</t>
    </r>
  </si>
  <si>
    <t xml:space="preserve">SRC_ZP_411</t>
  </si>
  <si>
    <t xml:space="preserve">tok_cp_growth_ytd</t>
  </si>
  <si>
    <r>
      <rPr>
        <sz val="10"/>
        <color rgb="FF000000"/>
        <rFont val="Arial"/>
        <family val="0"/>
        <charset val="1"/>
      </rPr>
      <t xml:space="preserve">Coding Plan </t>
    </r>
    <r>
      <rPr>
        <sz val="10"/>
        <color rgb="FF000000"/>
        <rFont val="Noto Sans CJK SC"/>
        <family val="2"/>
      </rPr>
      <t xml:space="preserve">呼叫量較年初倍數</t>
    </r>
  </si>
  <si>
    <r>
      <rPr>
        <sz val="10"/>
        <color rgb="FF000000"/>
        <rFont val="Noto Sans CJK SC"/>
        <family val="2"/>
      </rPr>
      <t xml:space="preserve">原文「</t>
    </r>
    <r>
      <rPr>
        <sz val="10"/>
        <color rgb="FF000000"/>
        <rFont val="Arial"/>
        <family val="0"/>
        <charset val="1"/>
      </rPr>
      <t xml:space="preserve">with Coding Plan invocation volume growing over 23 times</t>
    </r>
    <r>
      <rPr>
        <sz val="10"/>
        <color rgb="FF000000"/>
        <rFont val="Noto Sans CJK SC"/>
        <family val="2"/>
      </rPr>
      <t xml:space="preserve">」</t>
    </r>
  </si>
  <si>
    <t xml:space="preserve">SRC_ZP_412</t>
  </si>
  <si>
    <t xml:space="preserve">tok_top10_daily_growth</t>
  </si>
  <si>
    <t xml:space="preserve">前十大付費客戶日均呼叫量較年初倍數</t>
  </si>
  <si>
    <t xml:space="preserve">倍</t>
  </si>
  <si>
    <r>
      <rPr>
        <sz val="10"/>
        <color rgb="FF000000"/>
        <rFont val="Noto Sans CJK SC"/>
        <family val="2"/>
      </rPr>
      <t xml:space="preserve">原文「</t>
    </r>
    <r>
      <rPr>
        <sz val="10"/>
        <color rgb="FF000000"/>
        <rFont val="Arial"/>
        <family val="0"/>
        <charset val="1"/>
      </rPr>
      <t xml:space="preserve">For the top ten customers by revenue, the average daily invocation volume soared 98 times</t>
    </r>
    <r>
      <rPr>
        <sz val="10"/>
        <color rgb="FF000000"/>
        <rFont val="Noto Sans CJK SC"/>
        <family val="2"/>
      </rPr>
      <t xml:space="preserve">」</t>
    </r>
  </si>
  <si>
    <t xml:space="preserve">SRC_ZP_413</t>
  </si>
  <si>
    <t xml:space="preserve">tok_daily_nov25</t>
  </si>
  <si>
    <r>
      <rPr>
        <sz val="10"/>
        <color rgb="FF000000"/>
        <rFont val="Noto Sans CJK SC"/>
        <family val="2"/>
      </rPr>
      <t xml:space="preserve">日均 </t>
    </r>
    <r>
      <rPr>
        <sz val="10"/>
        <color rgb="FF000000"/>
        <rFont val="Arial"/>
        <family val="0"/>
        <charset val="1"/>
      </rPr>
      <t xml:space="preserve">token </t>
    </r>
    <r>
      <rPr>
        <sz val="10"/>
        <color rgb="FF000000"/>
        <rFont val="Noto Sans CJK SC"/>
        <family val="2"/>
      </rPr>
      <t xml:space="preserve">消耗量</t>
    </r>
  </si>
  <si>
    <r>
      <rPr>
        <sz val="10"/>
        <color rgb="FF000000"/>
        <rFont val="Arial"/>
        <family val="0"/>
        <charset val="1"/>
      </rPr>
      <t xml:space="preserve">T</t>
    </r>
    <r>
      <rPr>
        <sz val="10"/>
        <color rgb="FF000000"/>
        <rFont val="Noto Sans CJK SC"/>
        <family val="2"/>
      </rPr>
      <t xml:space="preserve">／日</t>
    </r>
  </si>
  <si>
    <t xml:space="preserve">2025-11</t>
  </si>
  <si>
    <r>
      <rPr>
        <sz val="10"/>
        <color rgb="FF000000"/>
        <rFont val="Noto Sans CJK SC"/>
        <family val="2"/>
      </rPr>
      <t xml:space="preserve">原文「</t>
    </r>
    <r>
      <rPr>
        <sz val="10"/>
        <color rgb="FF000000"/>
        <rFont val="Arial"/>
        <family val="0"/>
        <charset val="1"/>
      </rPr>
      <t xml:space="preserve">our average daily token consumption volume was 4.2 trillion in November 2025</t>
    </r>
    <r>
      <rPr>
        <sz val="10"/>
        <color rgb="FF000000"/>
        <rFont val="Noto Sans CJK SC"/>
        <family val="2"/>
      </rPr>
      <t xml:space="preserve">」；口徑可能含本地化以外全部雲端</t>
    </r>
  </si>
  <si>
    <t xml:space="preserve">SRC_ZP_414</t>
  </si>
  <si>
    <t xml:space="preserve">tok_daily_1h25_b</t>
  </si>
  <si>
    <r>
      <rPr>
        <sz val="10"/>
        <color rgb="FF000000"/>
        <rFont val="Noto Sans CJK SC"/>
        <family val="2"/>
      </rPr>
      <t xml:space="preserve">日均 </t>
    </r>
    <r>
      <rPr>
        <sz val="10"/>
        <color rgb="FF000000"/>
        <rFont val="Arial"/>
        <family val="0"/>
        <charset val="1"/>
      </rPr>
      <t xml:space="preserve">token </t>
    </r>
    <r>
      <rPr>
        <sz val="10"/>
        <color rgb="FF000000"/>
        <rFont val="Noto Sans CJK SC"/>
        <family val="2"/>
      </rPr>
      <t xml:space="preserve">消耗量（媒體轉述招股書）</t>
    </r>
  </si>
  <si>
    <r>
      <rPr>
        <sz val="10"/>
        <color rgb="FF000000"/>
        <rFont val="Noto Sans CJK SC"/>
        <family val="2"/>
      </rPr>
      <t xml:space="preserve">鈦媒體（</t>
    </r>
    <r>
      <rPr>
        <sz val="10"/>
        <color rgb="FF000000"/>
        <rFont val="Arial"/>
        <family val="0"/>
        <charset val="1"/>
      </rPr>
      <t xml:space="preserve">2025-12-26</t>
    </r>
    <r>
      <rPr>
        <sz val="10"/>
        <color rgb="FF000000"/>
        <rFont val="Noto Sans CJK SC"/>
        <family val="2"/>
      </rPr>
      <t xml:space="preserve">）</t>
    </r>
  </si>
  <si>
    <t xml:space="preserve">https://www.tmtpost.com/7821744.html</t>
  </si>
  <si>
    <r>
      <rPr>
        <sz val="10"/>
        <color rgb="FF000000"/>
        <rFont val="Noto Sans CJK SC"/>
        <family val="2"/>
      </rPr>
      <t xml:space="preserve">媒體轉述 </t>
    </r>
    <r>
      <rPr>
        <sz val="10"/>
        <color rgb="FF000000"/>
        <rFont val="Arial"/>
        <family val="0"/>
        <charset val="1"/>
      </rPr>
      <t xml:space="preserve">PHIP</t>
    </r>
    <r>
      <rPr>
        <sz val="10"/>
        <color rgb="FF000000"/>
        <rFont val="Noto Sans CJK SC"/>
        <family val="2"/>
      </rPr>
      <t xml:space="preserve">；智譜誘因同上</t>
    </r>
  </si>
  <si>
    <r>
      <rPr>
        <sz val="10"/>
        <color rgb="FF000000"/>
        <rFont val="Noto Sans CJK SC"/>
        <family val="2"/>
      </rPr>
      <t xml:space="preserve">原文「日均</t>
    </r>
    <r>
      <rPr>
        <sz val="10"/>
        <color rgb="FF000000"/>
        <rFont val="Arial"/>
        <family val="0"/>
        <charset val="1"/>
      </rPr>
      <t xml:space="preserve">token</t>
    </r>
    <r>
      <rPr>
        <sz val="10"/>
        <color rgb="FF000000"/>
        <rFont val="Noto Sans CJK SC"/>
        <family val="2"/>
      </rPr>
      <t xml:space="preserve">消耗量，從</t>
    </r>
    <r>
      <rPr>
        <sz val="10"/>
        <color rgb="FF000000"/>
        <rFont val="Arial"/>
        <family val="0"/>
        <charset val="1"/>
      </rPr>
      <t xml:space="preserve">2022</t>
    </r>
    <r>
      <rPr>
        <sz val="10"/>
        <color rgb="FF000000"/>
        <rFont val="Noto Sans CJK SC"/>
        <family val="2"/>
      </rPr>
      <t xml:space="preserve">年的</t>
    </r>
    <r>
      <rPr>
        <sz val="10"/>
        <color rgb="FF000000"/>
        <rFont val="Arial"/>
        <family val="0"/>
        <charset val="1"/>
      </rPr>
      <t xml:space="preserve">5</t>
    </r>
    <r>
      <rPr>
        <sz val="10"/>
        <color rgb="FF000000"/>
        <rFont val="Noto Sans CJK SC"/>
        <family val="2"/>
      </rPr>
      <t xml:space="preserve">億上升到</t>
    </r>
    <r>
      <rPr>
        <sz val="10"/>
        <color rgb="FF000000"/>
        <rFont val="Arial"/>
        <family val="0"/>
        <charset val="1"/>
      </rPr>
      <t xml:space="preserve">2025</t>
    </r>
    <r>
      <rPr>
        <sz val="10"/>
        <color rgb="FF000000"/>
        <rFont val="Noto Sans CJK SC"/>
        <family val="2"/>
      </rPr>
      <t xml:space="preserve">年上半年</t>
    </r>
    <r>
      <rPr>
        <sz val="10"/>
        <color rgb="FF000000"/>
        <rFont val="Arial"/>
        <family val="0"/>
        <charset val="1"/>
      </rPr>
      <t xml:space="preserve">4.6</t>
    </r>
    <r>
      <rPr>
        <sz val="10"/>
        <color rgb="FF000000"/>
        <rFont val="Noto Sans CJK SC"/>
        <family val="2"/>
      </rPr>
      <t xml:space="preserve">萬億」；與招股章程 </t>
    </r>
    <r>
      <rPr>
        <sz val="10"/>
        <color rgb="FF000000"/>
        <rFont val="Arial"/>
        <family val="0"/>
        <charset val="1"/>
      </rPr>
      <t xml:space="preserve">2025-11 </t>
    </r>
    <r>
      <rPr>
        <sz val="10"/>
        <color rgb="FF000000"/>
        <rFont val="Noto Sans CJK SC"/>
        <family val="2"/>
      </rPr>
      <t xml:space="preserve">的 </t>
    </r>
    <r>
      <rPr>
        <sz val="10"/>
        <color rgb="FF000000"/>
        <rFont val="Arial"/>
        <family val="0"/>
        <charset val="1"/>
      </rPr>
      <t xml:space="preserve">4.2T </t>
    </r>
    <r>
      <rPr>
        <sz val="10"/>
        <color rgb="FF000000"/>
        <rFont val="Noto Sans CJK SC"/>
        <family val="2"/>
      </rPr>
      <t xml:space="preserve">矛盾（期間不同或口徑不同），全部登錄</t>
    </r>
  </si>
  <si>
    <t xml:space="preserve">SRC_ZP_415</t>
  </si>
  <si>
    <t xml:space="preserve">tok_daily_2022_b</t>
  </si>
  <si>
    <r>
      <rPr>
        <sz val="10"/>
        <color rgb="FF000000"/>
        <rFont val="Noto Sans CJK SC"/>
        <family val="2"/>
      </rPr>
      <t xml:space="preserve">日均 </t>
    </r>
    <r>
      <rPr>
        <sz val="10"/>
        <color rgb="FF000000"/>
        <rFont val="Arial"/>
        <family val="0"/>
        <charset val="1"/>
      </rPr>
      <t xml:space="preserve">token </t>
    </r>
    <r>
      <rPr>
        <sz val="10"/>
        <color rgb="FF000000"/>
        <rFont val="Noto Sans CJK SC"/>
        <family val="2"/>
      </rPr>
      <t xml:space="preserve">消耗量（</t>
    </r>
    <r>
      <rPr>
        <sz val="10"/>
        <color rgb="FF000000"/>
        <rFont val="Arial"/>
        <family val="0"/>
        <charset val="1"/>
      </rPr>
      <t xml:space="preserve">2022</t>
    </r>
    <r>
      <rPr>
        <sz val="10"/>
        <color rgb="FF000000"/>
        <rFont val="Noto Sans CJK SC"/>
        <family val="2"/>
      </rPr>
      <t xml:space="preserve">）</t>
    </r>
  </si>
  <si>
    <r>
      <rPr>
        <sz val="10"/>
        <color rgb="FF000000"/>
        <rFont val="Noto Sans CJK SC"/>
        <family val="2"/>
      </rPr>
      <t xml:space="preserve">媒體轉述 </t>
    </r>
    <r>
      <rPr>
        <sz val="10"/>
        <color rgb="FF000000"/>
        <rFont val="Arial"/>
        <family val="0"/>
        <charset val="1"/>
      </rPr>
      <t xml:space="preserve">PHIP</t>
    </r>
  </si>
  <si>
    <r>
      <rPr>
        <sz val="10"/>
        <color rgb="FF000000"/>
        <rFont val="Noto Sans CJK SC"/>
        <family val="2"/>
      </rPr>
      <t xml:space="preserve">原文「從</t>
    </r>
    <r>
      <rPr>
        <sz val="10"/>
        <color rgb="FF000000"/>
        <rFont val="Arial"/>
        <family val="0"/>
        <charset val="1"/>
      </rPr>
      <t xml:space="preserve">2022</t>
    </r>
    <r>
      <rPr>
        <sz val="10"/>
        <color rgb="FF000000"/>
        <rFont val="Noto Sans CJK SC"/>
        <family val="2"/>
      </rPr>
      <t xml:space="preserve">年的</t>
    </r>
    <r>
      <rPr>
        <sz val="10"/>
        <color rgb="FF000000"/>
        <rFont val="Arial"/>
        <family val="0"/>
        <charset val="1"/>
      </rPr>
      <t xml:space="preserve">5</t>
    </r>
    <r>
      <rPr>
        <sz val="10"/>
        <color rgb="FF000000"/>
        <rFont val="Noto Sans CJK SC"/>
        <family val="2"/>
      </rPr>
      <t xml:space="preserve">億」＝</t>
    </r>
    <r>
      <rPr>
        <sz val="10"/>
        <color rgb="FF000000"/>
        <rFont val="Arial"/>
        <family val="0"/>
        <charset val="1"/>
      </rPr>
      <t xml:space="preserve">5 </t>
    </r>
    <r>
      <rPr>
        <sz val="10"/>
        <color rgb="FF000000"/>
        <rFont val="Noto Sans CJK SC"/>
        <family val="2"/>
      </rPr>
      <t xml:space="preserve">億 </t>
    </r>
    <r>
      <rPr>
        <sz val="10"/>
        <color rgb="FF000000"/>
        <rFont val="Arial"/>
        <family val="0"/>
        <charset val="1"/>
      </rPr>
      <t xml:space="preserve">token</t>
    </r>
    <r>
      <rPr>
        <sz val="10"/>
        <color rgb="FF000000"/>
        <rFont val="Noto Sans CJK SC"/>
        <family val="2"/>
      </rPr>
      <t xml:space="preserve">／日＝</t>
    </r>
    <r>
      <rPr>
        <sz val="10"/>
        <color rgb="FF000000"/>
        <rFont val="Arial"/>
        <family val="0"/>
        <charset val="1"/>
      </rPr>
      <t xml:space="preserve">0.0005T</t>
    </r>
  </si>
  <si>
    <t xml:space="preserve">SRC_ZP_416</t>
  </si>
  <si>
    <t xml:space="preserve">tok_oxalpha_6d</t>
  </si>
  <si>
    <r>
      <rPr>
        <sz val="10"/>
        <color rgb="FF000000"/>
        <rFont val="Arial"/>
        <family val="0"/>
        <charset val="1"/>
      </rPr>
      <t xml:space="preserve">GLM-5.3-Flash</t>
    </r>
    <r>
      <rPr>
        <sz val="10"/>
        <color rgb="FF000000"/>
        <rFont val="Noto Sans CJK SC"/>
        <family val="2"/>
      </rPr>
      <t xml:space="preserve">（代號 </t>
    </r>
    <r>
      <rPr>
        <sz val="10"/>
        <color rgb="FF000000"/>
        <rFont val="Arial"/>
        <family val="0"/>
        <charset val="1"/>
      </rPr>
      <t xml:space="preserve">Ox-Alpha</t>
    </r>
    <r>
      <rPr>
        <sz val="10"/>
        <color rgb="FF000000"/>
        <rFont val="Noto Sans CJK SC"/>
        <family val="2"/>
      </rPr>
      <t xml:space="preserve">）匿名測試 </t>
    </r>
    <r>
      <rPr>
        <sz val="10"/>
        <color rgb="FF000000"/>
        <rFont val="Arial"/>
        <family val="0"/>
        <charset val="1"/>
      </rPr>
      <t xml:space="preserve">6 </t>
    </r>
    <r>
      <rPr>
        <sz val="10"/>
        <color rgb="FF000000"/>
        <rFont val="Noto Sans CJK SC"/>
        <family val="2"/>
      </rPr>
      <t xml:space="preserve">日累計 </t>
    </r>
    <r>
      <rPr>
        <sz val="10"/>
        <color rgb="FF000000"/>
        <rFont val="Arial"/>
        <family val="0"/>
        <charset val="1"/>
      </rPr>
      <t xml:space="preserve">token</t>
    </r>
  </si>
  <si>
    <r>
      <rPr>
        <sz val="10"/>
        <color rgb="FF000000"/>
        <rFont val="Arial"/>
        <family val="0"/>
        <charset val="1"/>
      </rPr>
      <t xml:space="preserve">T</t>
    </r>
    <r>
      <rPr>
        <sz val="10"/>
        <color rgb="FF000000"/>
        <rFont val="Noto Sans CJK SC"/>
        <family val="2"/>
      </rPr>
      <t xml:space="preserve">（</t>
    </r>
    <r>
      <rPr>
        <sz val="10"/>
        <color rgb="FF000000"/>
        <rFont val="Arial"/>
        <family val="0"/>
        <charset val="1"/>
      </rPr>
      <t xml:space="preserve">6 </t>
    </r>
    <r>
      <rPr>
        <sz val="10"/>
        <color rgb="FF000000"/>
        <rFont val="Noto Sans CJK SC"/>
        <family val="2"/>
      </rPr>
      <t xml:space="preserve">日累計）</t>
    </r>
  </si>
  <si>
    <r>
      <rPr>
        <sz val="10"/>
        <color rgb="FF000000"/>
        <rFont val="Arial"/>
        <family val="0"/>
        <charset val="1"/>
      </rPr>
      <t xml:space="preserve">2026-08</t>
    </r>
    <r>
      <rPr>
        <sz val="10"/>
        <color rgb="FF000000"/>
        <rFont val="Noto Sans CJK SC"/>
        <family val="2"/>
      </rPr>
      <t xml:space="preserve">（上市前一週）</t>
    </r>
  </si>
  <si>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中期業績公告（</t>
    </r>
    <r>
      <rPr>
        <sz val="10"/>
        <color rgb="FF000000"/>
        <rFont val="Arial"/>
        <family val="0"/>
        <charset val="1"/>
      </rPr>
      <t xml:space="preserve">Z.AI Co., Ltd.</t>
    </r>
    <r>
      <rPr>
        <sz val="10"/>
        <color rgb="FF000000"/>
        <rFont val="Noto Sans CJK SC"/>
        <family val="2"/>
      </rPr>
      <t xml:space="preserve">，截至 </t>
    </r>
    <r>
      <rPr>
        <sz val="10"/>
        <color rgb="FF000000"/>
        <rFont val="Arial"/>
        <family val="0"/>
        <charset val="1"/>
      </rPr>
      <t xml:space="preserve">2026-06-30 </t>
    </r>
    <r>
      <rPr>
        <sz val="10"/>
        <color rgb="FF000000"/>
        <rFont val="Noto Sans CJK SC"/>
        <family val="2"/>
      </rPr>
      <t xml:space="preserve">止六個月）（第 </t>
    </r>
    <r>
      <rPr>
        <sz val="10"/>
        <color rgb="FF000000"/>
        <rFont val="Arial"/>
        <family val="0"/>
        <charset val="1"/>
      </rPr>
      <t xml:space="preserve">10 </t>
    </r>
    <r>
      <rPr>
        <sz val="10"/>
        <color rgb="FF000000"/>
        <rFont val="Noto Sans CJK SC"/>
        <family val="2"/>
      </rPr>
      <t xml:space="preserve">頁）</t>
    </r>
  </si>
  <si>
    <r>
      <rPr>
        <sz val="10"/>
        <color rgb="FF000000"/>
        <rFont val="Noto Sans CJK SC"/>
        <family val="2"/>
      </rPr>
      <t xml:space="preserve">原文「</t>
    </r>
    <r>
      <rPr>
        <sz val="10"/>
        <color rgb="FF000000"/>
        <rFont val="Arial"/>
        <family val="0"/>
        <charset val="1"/>
      </rPr>
      <t xml:space="preserve">6-day cumulative Token volume of more than 62 trillion</t>
    </r>
    <r>
      <rPr>
        <sz val="10"/>
        <color rgb="FF000000"/>
        <rFont val="Noto Sans CJK SC"/>
        <family val="2"/>
      </rPr>
      <t xml:space="preserve">」，於 </t>
    </r>
    <r>
      <rPr>
        <sz val="10"/>
        <color rgb="FF000000"/>
        <rFont val="Arial"/>
        <family val="0"/>
        <charset val="1"/>
      </rPr>
      <t xml:space="preserve">OpenCode</t>
    </r>
    <r>
      <rPr>
        <sz val="10"/>
        <color rgb="FF000000"/>
        <rFont val="Noto Sans CJK SC"/>
        <family val="2"/>
      </rPr>
      <t xml:space="preserve">／</t>
    </r>
    <r>
      <rPr>
        <sz val="10"/>
        <color rgb="FF000000"/>
        <rFont val="Arial"/>
        <family val="0"/>
        <charset val="1"/>
      </rPr>
      <t xml:space="preserve">OpenRouter </t>
    </r>
    <r>
      <rPr>
        <sz val="10"/>
        <color rgb="FF000000"/>
        <rFont val="Noto Sans CJK SC"/>
        <family val="2"/>
      </rPr>
      <t xml:space="preserve">匿名部署；含免費流量，非付費口徑</t>
    </r>
  </si>
  <si>
    <t xml:space="preserve">SRC_ZP_417</t>
  </si>
  <si>
    <t xml:space="preserve">arr_maas_aug26_monthly</t>
  </si>
  <si>
    <r>
      <rPr>
        <sz val="10"/>
        <color rgb="FF000000"/>
        <rFont val="Arial"/>
        <family val="0"/>
        <charset val="1"/>
      </rPr>
      <t xml:space="preserve">MaaS </t>
    </r>
    <r>
      <rPr>
        <sz val="10"/>
        <color rgb="FF000000"/>
        <rFont val="Noto Sans CJK SC"/>
        <family val="2"/>
      </rPr>
      <t xml:space="preserve">平台 </t>
    </r>
    <r>
      <rPr>
        <sz val="10"/>
        <color rgb="FF000000"/>
        <rFont val="Arial"/>
        <family val="0"/>
        <charset val="1"/>
      </rPr>
      <t xml:space="preserve">ARR</t>
    </r>
    <r>
      <rPr>
        <sz val="10"/>
        <color rgb="FF000000"/>
        <rFont val="Noto Sans CJK SC"/>
        <family val="2"/>
      </rPr>
      <t xml:space="preserve">（月度年化）</t>
    </r>
  </si>
  <si>
    <r>
      <rPr>
        <sz val="10"/>
        <color rgb="FF000000"/>
        <rFont val="Arial"/>
        <family val="0"/>
        <charset val="1"/>
      </rPr>
      <t xml:space="preserve">USD </t>
    </r>
    <r>
      <rPr>
        <sz val="10"/>
        <color rgb="FF000000"/>
        <rFont val="Noto Sans CJK SC"/>
        <family val="2"/>
      </rPr>
      <t xml:space="preserve">億</t>
    </r>
  </si>
  <si>
    <r>
      <rPr>
        <sz val="10"/>
        <color rgb="FF000000"/>
        <rFont val="Arial"/>
        <family val="0"/>
        <charset val="1"/>
      </rPr>
      <t xml:space="preserve">2026-08 </t>
    </r>
    <r>
      <rPr>
        <sz val="10"/>
        <color rgb="FF000000"/>
        <rFont val="Noto Sans CJK SC"/>
        <family val="2"/>
      </rPr>
      <t xml:space="preserve">末</t>
    </r>
  </si>
  <si>
    <t xml:space="preserve">網易科技（同花順轉載，業績電話會）</t>
  </si>
  <si>
    <t xml:space="preserve">https://stock.10jqka.com.cn/20260901/c679482271.shtml</t>
  </si>
  <si>
    <r>
      <rPr>
        <sz val="10"/>
        <color rgb="FF000000"/>
        <rFont val="Noto Sans CJK SC"/>
        <family val="2"/>
      </rPr>
      <t xml:space="preserve">原文「截至</t>
    </r>
    <r>
      <rPr>
        <sz val="10"/>
        <color rgb="FF000000"/>
        <rFont val="Arial"/>
        <family val="0"/>
        <charset val="1"/>
      </rPr>
      <t xml:space="preserve">8</t>
    </r>
    <r>
      <rPr>
        <sz val="10"/>
        <color rgb="FF000000"/>
        <rFont val="Noto Sans CJK SC"/>
        <family val="2"/>
      </rPr>
      <t xml:space="preserve">月末…</t>
    </r>
    <r>
      <rPr>
        <sz val="10"/>
        <color rgb="FF000000"/>
        <rFont val="Arial"/>
        <family val="0"/>
        <charset val="1"/>
      </rPr>
      <t xml:space="preserve">MaaS</t>
    </r>
    <r>
      <rPr>
        <sz val="10"/>
        <color rgb="FF000000"/>
        <rFont val="Noto Sans CJK SC"/>
        <family val="2"/>
      </rPr>
      <t xml:space="preserve">平台按月度收入年化計算的</t>
    </r>
    <r>
      <rPr>
        <sz val="10"/>
        <color rgb="FF000000"/>
        <rFont val="Arial"/>
        <family val="0"/>
        <charset val="1"/>
      </rPr>
      <t xml:space="preserve">ARR</t>
    </r>
    <r>
      <rPr>
        <sz val="10"/>
        <color rgb="FF000000"/>
        <rFont val="Noto Sans CJK SC"/>
        <family val="2"/>
      </rPr>
      <t xml:space="preserve">達到</t>
    </r>
    <r>
      <rPr>
        <sz val="10"/>
        <color rgb="FF000000"/>
        <rFont val="Arial"/>
        <family val="0"/>
        <charset val="1"/>
      </rPr>
      <t xml:space="preserve">16</t>
    </r>
    <r>
      <rPr>
        <sz val="10"/>
        <color rgb="FF000000"/>
        <rFont val="Noto Sans CJK SC"/>
        <family val="2"/>
      </rPr>
      <t xml:space="preserve">億美元，按周度年化口徑超過</t>
    </r>
    <r>
      <rPr>
        <sz val="10"/>
        <color rgb="FF000000"/>
        <rFont val="Arial"/>
        <family val="0"/>
        <charset val="1"/>
      </rPr>
      <t xml:space="preserve">20</t>
    </r>
    <r>
      <rPr>
        <sz val="10"/>
        <color rgb="FF000000"/>
        <rFont val="Noto Sans CJK SC"/>
        <family val="2"/>
      </rPr>
      <t xml:space="preserve">億美元」</t>
    </r>
  </si>
  <si>
    <t xml:space="preserve">SRC_ZP_418</t>
  </si>
  <si>
    <t xml:space="preserve">arr_maas_aug26_weekly_b</t>
  </si>
  <si>
    <r>
      <rPr>
        <sz val="10"/>
        <color rgb="FF000000"/>
        <rFont val="Arial"/>
        <family val="0"/>
        <charset val="1"/>
      </rPr>
      <t xml:space="preserve">MaaS </t>
    </r>
    <r>
      <rPr>
        <sz val="10"/>
        <color rgb="FF000000"/>
        <rFont val="Noto Sans CJK SC"/>
        <family val="2"/>
      </rPr>
      <t xml:space="preserve">平台 </t>
    </r>
    <r>
      <rPr>
        <sz val="10"/>
        <color rgb="FF000000"/>
        <rFont val="Arial"/>
        <family val="0"/>
        <charset val="1"/>
      </rPr>
      <t xml:space="preserve">ARR</t>
    </r>
    <r>
      <rPr>
        <sz val="10"/>
        <color rgb="FF000000"/>
        <rFont val="Noto Sans CJK SC"/>
        <family val="2"/>
      </rPr>
      <t xml:space="preserve">（週度年化）</t>
    </r>
  </si>
  <si>
    <r>
      <rPr>
        <sz val="10"/>
        <color rgb="FF000000"/>
        <rFont val="Arial"/>
        <family val="0"/>
        <charset val="1"/>
      </rPr>
      <t xml:space="preserve">USD </t>
    </r>
    <r>
      <rPr>
        <sz val="10"/>
        <color rgb="FF000000"/>
        <rFont val="Noto Sans CJK SC"/>
        <family val="2"/>
      </rPr>
      <t xml:space="preserve">億（以上）</t>
    </r>
  </si>
  <si>
    <r>
      <rPr>
        <sz val="10"/>
        <color rgb="FF000000"/>
        <rFont val="Noto Sans CJK SC"/>
        <family val="2"/>
      </rPr>
      <t xml:space="preserve">同上「按周度年化口徑超過</t>
    </r>
    <r>
      <rPr>
        <sz val="10"/>
        <color rgb="FF000000"/>
        <rFont val="Arial"/>
        <family val="0"/>
        <charset val="1"/>
      </rPr>
      <t xml:space="preserve">20</t>
    </r>
    <r>
      <rPr>
        <sz val="10"/>
        <color rgb="FF000000"/>
        <rFont val="Noto Sans CJK SC"/>
        <family val="2"/>
      </rPr>
      <t xml:space="preserve">億美元」</t>
    </r>
  </si>
  <si>
    <t xml:space="preserve">SRC_ZP_419</t>
  </si>
  <si>
    <t xml:space="preserve">arr_total_sep26</t>
  </si>
  <si>
    <r>
      <rPr>
        <sz val="10"/>
        <color rgb="FF000000"/>
        <rFont val="Noto Sans CJK SC"/>
        <family val="2"/>
      </rPr>
      <t xml:space="preserve">全業務 </t>
    </r>
    <r>
      <rPr>
        <sz val="10"/>
        <color rgb="FF000000"/>
        <rFont val="Arial"/>
        <family val="0"/>
        <charset val="1"/>
      </rPr>
      <t xml:space="preserve">ARR</t>
    </r>
  </si>
  <si>
    <t xml:space="preserve">2026-09-16</t>
  </si>
  <si>
    <r>
      <rPr>
        <sz val="10"/>
        <color rgb="FF000000"/>
        <rFont val="Noto Sans CJK SC"/>
        <family val="2"/>
      </rPr>
      <t xml:space="preserve">證券日報（同花順 </t>
    </r>
    <r>
      <rPr>
        <sz val="10"/>
        <color rgb="FF000000"/>
        <rFont val="Arial"/>
        <family val="0"/>
        <charset val="1"/>
      </rPr>
      <t xml:space="preserve">2026-09-16</t>
    </r>
    <r>
      <rPr>
        <sz val="10"/>
        <color rgb="FF000000"/>
        <rFont val="Noto Sans CJK SC"/>
        <family val="2"/>
      </rPr>
      <t xml:space="preserve">）</t>
    </r>
  </si>
  <si>
    <t xml:space="preserve">https://stock.10jqka.com.cn/20260916/c679973930.shtml</t>
  </si>
  <si>
    <r>
      <rPr>
        <sz val="10"/>
        <color rgb="FF000000"/>
        <rFont val="Noto Sans CJK SC"/>
        <family val="2"/>
      </rPr>
      <t xml:space="preserve">原文「全業務口徑</t>
    </r>
    <r>
      <rPr>
        <sz val="10"/>
        <color rgb="FF000000"/>
        <rFont val="Arial"/>
        <family val="0"/>
        <charset val="1"/>
      </rPr>
      <t xml:space="preserve">ARR…</t>
    </r>
    <r>
      <rPr>
        <sz val="10"/>
        <color rgb="FF000000"/>
        <rFont val="Noto Sans CJK SC"/>
        <family val="2"/>
      </rPr>
      <t xml:space="preserve">已經達到</t>
    </r>
    <r>
      <rPr>
        <sz val="10"/>
        <color rgb="FF000000"/>
        <rFont val="Arial"/>
        <family val="0"/>
        <charset val="1"/>
      </rPr>
      <t xml:space="preserve">18</t>
    </r>
    <r>
      <rPr>
        <sz val="10"/>
        <color rgb="FF000000"/>
        <rFont val="Noto Sans CJK SC"/>
        <family val="2"/>
      </rPr>
      <t xml:space="preserve">億美元，年末</t>
    </r>
    <r>
      <rPr>
        <sz val="10"/>
        <color rgb="FF000000"/>
        <rFont val="Arial"/>
        <family val="0"/>
        <charset val="1"/>
      </rPr>
      <t xml:space="preserve">ARR</t>
    </r>
    <r>
      <rPr>
        <sz val="10"/>
        <color rgb="FF000000"/>
        <rFont val="Noto Sans CJK SC"/>
        <family val="2"/>
      </rPr>
      <t xml:space="preserve">指引由</t>
    </r>
    <r>
      <rPr>
        <sz val="10"/>
        <color rgb="FF000000"/>
        <rFont val="Arial"/>
        <family val="0"/>
        <charset val="1"/>
      </rPr>
      <t xml:space="preserve">24</t>
    </r>
    <r>
      <rPr>
        <sz val="10"/>
        <color rgb="FF000000"/>
        <rFont val="Noto Sans CJK SC"/>
        <family val="2"/>
      </rPr>
      <t xml:space="preserve">億美元上調至</t>
    </r>
    <r>
      <rPr>
        <sz val="10"/>
        <color rgb="FF000000"/>
        <rFont val="Arial"/>
        <family val="0"/>
        <charset val="1"/>
      </rPr>
      <t xml:space="preserve">30</t>
    </r>
    <r>
      <rPr>
        <sz val="10"/>
        <color rgb="FF000000"/>
        <rFont val="Noto Sans CJK SC"/>
        <family val="2"/>
      </rPr>
      <t xml:space="preserve">億美元」；指引不得用於反推</t>
    </r>
  </si>
  <si>
    <t xml:space="preserve">SRC_ZP_420</t>
  </si>
  <si>
    <t xml:space="preserve">arr_guide_ye26</t>
  </si>
  <si>
    <r>
      <rPr>
        <sz val="10"/>
        <color rgb="FF000000"/>
        <rFont val="Noto Sans CJK SC"/>
        <family val="2"/>
      </rPr>
      <t xml:space="preserve">年末 </t>
    </r>
    <r>
      <rPr>
        <sz val="10"/>
        <color rgb="FF000000"/>
        <rFont val="Arial"/>
        <family val="0"/>
        <charset val="1"/>
      </rPr>
      <t xml:space="preserve">ARR </t>
    </r>
    <r>
      <rPr>
        <sz val="10"/>
        <color rgb="FF000000"/>
        <rFont val="Noto Sans CJK SC"/>
        <family val="2"/>
      </rPr>
      <t xml:space="preserve">指引（上調後）</t>
    </r>
  </si>
  <si>
    <r>
      <rPr>
        <sz val="10"/>
        <color rgb="FF000000"/>
        <rFont val="Arial"/>
        <family val="0"/>
        <charset val="1"/>
      </rPr>
      <t xml:space="preserve">2026-12</t>
    </r>
    <r>
      <rPr>
        <sz val="10"/>
        <color rgb="FF000000"/>
        <rFont val="Noto Sans CJK SC"/>
        <family val="2"/>
      </rPr>
      <t xml:space="preserve">（目標）</t>
    </r>
  </si>
  <si>
    <r>
      <rPr>
        <sz val="10"/>
        <color rgb="FF000000"/>
        <rFont val="Noto Sans CJK SC"/>
        <family val="2"/>
      </rPr>
      <t xml:space="preserve">由 </t>
    </r>
    <r>
      <rPr>
        <sz val="10"/>
        <color rgb="FF000000"/>
        <rFont val="Arial"/>
        <family val="0"/>
        <charset val="1"/>
      </rPr>
      <t xml:space="preserve">24 </t>
    </r>
    <r>
      <rPr>
        <sz val="10"/>
        <color rgb="FF000000"/>
        <rFont val="Noto Sans CJK SC"/>
        <family val="2"/>
      </rPr>
      <t xml:space="preserve">億美元上調至 </t>
    </r>
    <r>
      <rPr>
        <sz val="10"/>
        <color rgb="FF000000"/>
        <rFont val="Arial"/>
        <family val="0"/>
        <charset val="1"/>
      </rPr>
      <t xml:space="preserve">30 </t>
    </r>
    <r>
      <rPr>
        <sz val="10"/>
        <color rgb="FF000000"/>
        <rFont val="Noto Sans CJK SC"/>
        <family val="2"/>
      </rPr>
      <t xml:space="preserve">億美元；屬公司目標，只作對照（規格 </t>
    </r>
    <r>
      <rPr>
        <sz val="10"/>
        <color rgb="FF000000"/>
        <rFont val="Arial"/>
        <family val="0"/>
        <charset val="1"/>
      </rPr>
      <t xml:space="preserve">D22</t>
    </r>
    <r>
      <rPr>
        <sz val="10"/>
        <color rgb="FF000000"/>
        <rFont val="Noto Sans CJK SC"/>
        <family val="2"/>
      </rPr>
      <t xml:space="preserve">）</t>
    </r>
  </si>
  <si>
    <t xml:space="preserve">SRC_ZP_421</t>
  </si>
  <si>
    <t xml:space="preserve">dem_glm5_10x</t>
  </si>
  <si>
    <r>
      <rPr>
        <sz val="10"/>
        <color rgb="FF000000"/>
        <rFont val="Arial"/>
        <family val="0"/>
        <charset val="1"/>
      </rPr>
      <t xml:space="preserve">GLM-5 </t>
    </r>
    <r>
      <rPr>
        <sz val="10"/>
        <color rgb="FF000000"/>
        <rFont val="Noto Sans CJK SC"/>
        <family val="2"/>
      </rPr>
      <t xml:space="preserve">發布後模型呼叫需求倍數</t>
    </r>
  </si>
  <si>
    <r>
      <rPr>
        <sz val="10"/>
        <color rgb="FF000000"/>
        <rFont val="Arial"/>
        <family val="0"/>
        <charset val="1"/>
      </rPr>
      <t xml:space="preserve">2026-02 </t>
    </r>
    <r>
      <rPr>
        <sz val="10"/>
        <color rgb="FF000000"/>
        <rFont val="Noto Sans CJK SC"/>
        <family val="2"/>
      </rPr>
      <t xml:space="preserve">後</t>
    </r>
  </si>
  <si>
    <r>
      <rPr>
        <sz val="10"/>
        <color rgb="FF000000"/>
        <rFont val="Noto Sans CJK SC"/>
        <family val="2"/>
      </rPr>
      <t xml:space="preserve">原文「模型調用需求量比發布之前增長</t>
    </r>
    <r>
      <rPr>
        <sz val="10"/>
        <color rgb="FF000000"/>
        <rFont val="Arial"/>
        <family val="0"/>
        <charset val="1"/>
      </rPr>
      <t xml:space="preserve">10</t>
    </r>
    <r>
      <rPr>
        <sz val="10"/>
        <color rgb="FF000000"/>
        <rFont val="Noto Sans CJK SC"/>
        <family val="2"/>
      </rPr>
      <t xml:space="preserve">倍」</t>
    </r>
  </si>
  <si>
    <t xml:space="preserve">SRC_ZP_422</t>
  </si>
  <si>
    <t xml:space="preserve">dem_signup_restrict_feb26</t>
  </si>
  <si>
    <r>
      <rPr>
        <sz val="10"/>
        <color rgb="FF000000"/>
        <rFont val="Arial"/>
        <family val="0"/>
        <charset val="1"/>
      </rPr>
      <t xml:space="preserve">2026-02 </t>
    </r>
    <r>
      <rPr>
        <sz val="10"/>
        <color rgb="FF000000"/>
        <rFont val="Noto Sans CJK SC"/>
        <family val="2"/>
      </rPr>
      <t xml:space="preserve">算力不足限制新用戶註冊</t>
    </r>
  </si>
  <si>
    <t xml:space="preserve">事件</t>
  </si>
  <si>
    <r>
      <rPr>
        <sz val="10"/>
        <color rgb="FF000000"/>
        <rFont val="Arial"/>
        <family val="0"/>
        <charset val="1"/>
      </rPr>
      <t xml:space="preserve">2026-02 </t>
    </r>
    <r>
      <rPr>
        <sz val="10"/>
        <color rgb="FF000000"/>
        <rFont val="Noto Sans CJK SC"/>
        <family val="2"/>
      </rPr>
      <t xml:space="preserve">下旬</t>
    </r>
  </si>
  <si>
    <r>
      <rPr>
        <sz val="10"/>
        <color rgb="FF000000"/>
        <rFont val="Arial"/>
        <family val="0"/>
        <charset val="1"/>
      </rPr>
      <t xml:space="preserve">Wikipedia</t>
    </r>
    <r>
      <rPr>
        <sz val="10"/>
        <color rgb="FF000000"/>
        <rFont val="Noto Sans CJK SC"/>
        <family val="2"/>
      </rPr>
      <t xml:space="preserve">〈</t>
    </r>
    <r>
      <rPr>
        <sz val="10"/>
        <color rgb="FF000000"/>
        <rFont val="Arial"/>
        <family val="0"/>
        <charset val="1"/>
      </rPr>
      <t xml:space="preserve">Z.ai</t>
    </r>
    <r>
      <rPr>
        <sz val="10"/>
        <color rgb="FF000000"/>
        <rFont val="Noto Sans CJK SC"/>
        <family val="2"/>
      </rPr>
      <t xml:space="preserve">〉（引 </t>
    </r>
    <r>
      <rPr>
        <sz val="10"/>
        <color rgb="FF000000"/>
        <rFont val="Arial"/>
        <family val="0"/>
        <charset val="1"/>
      </rPr>
      <t xml:space="preserve">SCMP 2026-02-23</t>
    </r>
    <r>
      <rPr>
        <sz val="10"/>
        <color rgb="FF000000"/>
        <rFont val="Noto Sans CJK SC"/>
        <family val="2"/>
      </rPr>
      <t xml:space="preserve">）</t>
    </r>
  </si>
  <si>
    <r>
      <rPr>
        <sz val="10"/>
        <color rgb="FF000000"/>
        <rFont val="Noto Sans CJK SC"/>
        <family val="2"/>
      </rPr>
      <t xml:space="preserve">媒體（</t>
    </r>
    <r>
      <rPr>
        <sz val="10"/>
        <color rgb="FF000000"/>
        <rFont val="Arial"/>
        <family val="0"/>
        <charset val="1"/>
      </rPr>
      <t xml:space="preserve">SCMP</t>
    </r>
    <r>
      <rPr>
        <sz val="10"/>
        <color rgb="FF000000"/>
        <rFont val="Noto Sans CJK SC"/>
        <family val="2"/>
      </rPr>
      <t xml:space="preserve">）</t>
    </r>
  </si>
  <si>
    <r>
      <rPr>
        <sz val="10"/>
        <color rgb="FF000000"/>
        <rFont val="Noto Sans CJK SC"/>
        <family val="2"/>
      </rPr>
      <t xml:space="preserve">引 </t>
    </r>
    <r>
      <rPr>
        <sz val="10"/>
        <color rgb="FF000000"/>
        <rFont val="Arial"/>
        <family val="0"/>
        <charset val="1"/>
      </rPr>
      <t xml:space="preserve">SCMP</t>
    </r>
    <r>
      <rPr>
        <sz val="10"/>
        <color rgb="FF000000"/>
        <rFont val="Noto Sans CJK SC"/>
        <family val="2"/>
      </rPr>
      <t xml:space="preserve">：</t>
    </r>
    <r>
      <rPr>
        <sz val="10"/>
        <color rgb="FF000000"/>
        <rFont val="Arial"/>
        <family val="0"/>
        <charset val="1"/>
      </rPr>
      <t xml:space="preserve">compute shortage </t>
    </r>
    <r>
      <rPr>
        <sz val="10"/>
        <color rgb="FF000000"/>
        <rFont val="Noto Sans CJK SC"/>
        <family val="2"/>
      </rPr>
      <t xml:space="preserve">致用戶抱怨，「</t>
    </r>
    <r>
      <rPr>
        <sz val="10"/>
        <color rgb="FF000000"/>
        <rFont val="Arial"/>
        <family val="0"/>
        <charset val="1"/>
      </rPr>
      <t xml:space="preserve">new user signups were restricted</t>
    </r>
    <r>
      <rPr>
        <sz val="10"/>
        <color rgb="FF000000"/>
        <rFont val="Noto Sans CJK SC"/>
        <family val="2"/>
      </rPr>
      <t xml:space="preserve">」；容量上限曾綁定</t>
    </r>
  </si>
  <si>
    <t xml:space="preserve">SRC_ZP_423</t>
  </si>
  <si>
    <t xml:space="preserve">cust_top5_share_fy22</t>
  </si>
  <si>
    <t xml:space="preserve">前五大客戶收入占比</t>
  </si>
  <si>
    <t xml:space="preserve">經審計（往績記錄期）</t>
  </si>
  <si>
    <r>
      <rPr>
        <sz val="10"/>
        <color rgb="FF000000"/>
        <rFont val="Noto Sans CJK SC"/>
        <family val="2"/>
      </rPr>
      <t xml:space="preserve">招股章程：前五大 </t>
    </r>
    <r>
      <rPr>
        <sz val="10"/>
        <color rgb="FF000000"/>
        <rFont val="Arial"/>
        <family val="0"/>
        <charset val="1"/>
      </rPr>
      <t xml:space="preserve">55.4%</t>
    </r>
    <r>
      <rPr>
        <sz val="10"/>
        <color rgb="FF000000"/>
        <rFont val="Noto Sans CJK SC"/>
        <family val="2"/>
      </rPr>
      <t xml:space="preserve">、最大客戶 </t>
    </r>
    <r>
      <rPr>
        <sz val="10"/>
        <color rgb="FF000000"/>
        <rFont val="Arial"/>
        <family val="0"/>
        <charset val="1"/>
      </rPr>
      <t xml:space="preserve">15.4%</t>
    </r>
  </si>
  <si>
    <t xml:space="preserve">SRC_ZP_424</t>
  </si>
  <si>
    <t xml:space="preserve">cust_top1_share_fy22</t>
  </si>
  <si>
    <t xml:space="preserve">最大客戶收入占比</t>
  </si>
  <si>
    <t xml:space="preserve">SRC_ZP_425</t>
  </si>
  <si>
    <t xml:space="preserve">cust_top5_share_fy23</t>
  </si>
  <si>
    <r>
      <rPr>
        <sz val="10"/>
        <color rgb="FF000000"/>
        <rFont val="Noto Sans CJK SC"/>
        <family val="2"/>
      </rPr>
      <t xml:space="preserve">招股章程：前五大 </t>
    </r>
    <r>
      <rPr>
        <sz val="10"/>
        <color rgb="FF000000"/>
        <rFont val="Arial"/>
        <family val="0"/>
        <charset val="1"/>
      </rPr>
      <t xml:space="preserve">61.5%</t>
    </r>
    <r>
      <rPr>
        <sz val="10"/>
        <color rgb="FF000000"/>
        <rFont val="Noto Sans CJK SC"/>
        <family val="2"/>
      </rPr>
      <t xml:space="preserve">、最大客戶 </t>
    </r>
    <r>
      <rPr>
        <sz val="10"/>
        <color rgb="FF000000"/>
        <rFont val="Arial"/>
        <family val="0"/>
        <charset val="1"/>
      </rPr>
      <t xml:space="preserve">14.7%</t>
    </r>
  </si>
  <si>
    <t xml:space="preserve">SRC_ZP_426</t>
  </si>
  <si>
    <t xml:space="preserve">cust_top1_share_fy23</t>
  </si>
  <si>
    <t xml:space="preserve">SRC_ZP_427</t>
  </si>
  <si>
    <t xml:space="preserve">cust_top5_share_fy24</t>
  </si>
  <si>
    <r>
      <rPr>
        <sz val="10"/>
        <color rgb="FF000000"/>
        <rFont val="Noto Sans CJK SC"/>
        <family val="2"/>
      </rPr>
      <t xml:space="preserve">招股章程：前五大 </t>
    </r>
    <r>
      <rPr>
        <sz val="10"/>
        <color rgb="FF000000"/>
        <rFont val="Arial"/>
        <family val="0"/>
        <charset val="1"/>
      </rPr>
      <t xml:space="preserve">45.5%</t>
    </r>
    <r>
      <rPr>
        <sz val="10"/>
        <color rgb="FF000000"/>
        <rFont val="Noto Sans CJK SC"/>
        <family val="2"/>
      </rPr>
      <t xml:space="preserve">、最大客戶 </t>
    </r>
    <r>
      <rPr>
        <sz val="10"/>
        <color rgb="FF000000"/>
        <rFont val="Arial"/>
        <family val="0"/>
        <charset val="1"/>
      </rPr>
      <t xml:space="preserve">19.0%</t>
    </r>
  </si>
  <si>
    <t xml:space="preserve">SRC_ZP_428</t>
  </si>
  <si>
    <t xml:space="preserve">cust_top1_share_fy24</t>
  </si>
  <si>
    <t xml:space="preserve">SRC_ZP_429</t>
  </si>
  <si>
    <t xml:space="preserve">cust_top5_share_1h25</t>
  </si>
  <si>
    <r>
      <rPr>
        <sz val="10"/>
        <color rgb="FF000000"/>
        <rFont val="Noto Sans CJK SC"/>
        <family val="2"/>
      </rPr>
      <t xml:space="preserve">招股章程：前五大 </t>
    </r>
    <r>
      <rPr>
        <sz val="10"/>
        <color rgb="FF000000"/>
        <rFont val="Arial"/>
        <family val="0"/>
        <charset val="1"/>
      </rPr>
      <t xml:space="preserve">40.0%</t>
    </r>
    <r>
      <rPr>
        <sz val="10"/>
        <color rgb="FF000000"/>
        <rFont val="Noto Sans CJK SC"/>
        <family val="2"/>
      </rPr>
      <t xml:space="preserve">、最大客戶 </t>
    </r>
    <r>
      <rPr>
        <sz val="10"/>
        <color rgb="FF000000"/>
        <rFont val="Arial"/>
        <family val="0"/>
        <charset val="1"/>
      </rPr>
      <t xml:space="preserve">11.0%</t>
    </r>
  </si>
  <si>
    <t xml:space="preserve">SRC_ZP_430</t>
  </si>
  <si>
    <t xml:space="preserve">cust_top1_share_1h25</t>
  </si>
  <si>
    <t xml:space="preserve">SRC_ZP_431</t>
  </si>
  <si>
    <t xml:space="preserve">cust_top5_rev_fy24</t>
  </si>
  <si>
    <t xml:space="preserve">前五大客戶收入金額</t>
  </si>
  <si>
    <r>
      <rPr>
        <sz val="10"/>
        <color rgb="FF000000"/>
        <rFont val="Noto Sans CJK SC"/>
        <family val="2"/>
      </rPr>
      <t xml:space="preserve">華爾街見聞（</t>
    </r>
    <r>
      <rPr>
        <sz val="10"/>
        <color rgb="FF000000"/>
        <rFont val="Arial"/>
        <family val="0"/>
        <charset val="1"/>
      </rPr>
      <t xml:space="preserve">2025-12-20</t>
    </r>
    <r>
      <rPr>
        <sz val="10"/>
        <color rgb="FF000000"/>
        <rFont val="Noto Sans CJK SC"/>
        <family val="2"/>
      </rPr>
      <t xml:space="preserve">）</t>
    </r>
  </si>
  <si>
    <r>
      <rPr>
        <sz val="10"/>
        <color rgb="FF000000"/>
        <rFont val="Noto Sans CJK SC"/>
        <family val="2"/>
      </rPr>
      <t xml:space="preserve">原文「</t>
    </r>
    <r>
      <rPr>
        <sz val="10"/>
        <color rgb="FF000000"/>
        <rFont val="Arial"/>
        <family val="0"/>
        <charset val="1"/>
      </rPr>
      <t xml:space="preserve">2024</t>
    </r>
    <r>
      <rPr>
        <sz val="10"/>
        <color rgb="FF000000"/>
        <rFont val="Noto Sans CJK SC"/>
        <family val="2"/>
      </rPr>
      <t xml:space="preserve">年前五大客戶貢獻了</t>
    </r>
    <r>
      <rPr>
        <sz val="10"/>
        <color rgb="FF000000"/>
        <rFont val="Arial"/>
        <family val="0"/>
        <charset val="1"/>
      </rPr>
      <t xml:space="preserve">1.42</t>
    </r>
    <r>
      <rPr>
        <sz val="10"/>
        <color rgb="FF000000"/>
        <rFont val="Noto Sans CJK SC"/>
        <family val="2"/>
      </rPr>
      <t xml:space="preserve">億元的收入，佔比達到</t>
    </r>
    <r>
      <rPr>
        <sz val="10"/>
        <color rgb="FF000000"/>
        <rFont val="Arial"/>
        <family val="0"/>
        <charset val="1"/>
      </rPr>
      <t xml:space="preserve">45.5%</t>
    </r>
    <r>
      <rPr>
        <sz val="10"/>
        <color rgb="FF000000"/>
        <rFont val="Noto Sans CJK SC"/>
        <family val="2"/>
      </rPr>
      <t xml:space="preserve">」；轉述招股文件</t>
    </r>
  </si>
  <si>
    <t xml:space="preserve">SRC_ZP_432</t>
  </si>
  <si>
    <t xml:space="preserve">cust_no10pct_fy25</t>
  </si>
  <si>
    <r>
      <rPr>
        <sz val="10"/>
        <color rgb="FF000000"/>
        <rFont val="Arial"/>
        <family val="0"/>
        <charset val="1"/>
      </rPr>
      <t xml:space="preserve">FY2025 </t>
    </r>
    <r>
      <rPr>
        <sz val="10"/>
        <color rgb="FF000000"/>
        <rFont val="Noto Sans CJK SC"/>
        <family val="2"/>
      </rPr>
      <t xml:space="preserve">單一客戶占收入 </t>
    </r>
    <r>
      <rPr>
        <sz val="10"/>
        <color rgb="FF000000"/>
        <rFont val="Arial"/>
        <family val="0"/>
        <charset val="1"/>
      </rPr>
      <t xml:space="preserve">&gt;10% </t>
    </r>
    <r>
      <rPr>
        <sz val="10"/>
        <color rgb="FF000000"/>
        <rFont val="Noto Sans CJK SC"/>
        <family val="2"/>
      </rPr>
      <t xml:space="preserve">者</t>
    </r>
  </si>
  <si>
    <r>
      <rPr>
        <sz val="10"/>
        <color rgb="FF000000"/>
        <rFont val="Noto Sans CJK SC"/>
        <family val="2"/>
      </rPr>
      <t xml:space="preserve">智譜 </t>
    </r>
    <r>
      <rPr>
        <sz val="10"/>
        <color rgb="FF000000"/>
        <rFont val="Arial"/>
        <family val="0"/>
        <charset val="1"/>
      </rPr>
      <t xml:space="preserve">2025 </t>
    </r>
    <r>
      <rPr>
        <sz val="10"/>
        <color rgb="FF000000"/>
        <rFont val="Noto Sans CJK SC"/>
        <family val="2"/>
      </rPr>
      <t xml:space="preserve">年度業績公告（截至 </t>
    </r>
    <r>
      <rPr>
        <sz val="10"/>
        <color rgb="FF000000"/>
        <rFont val="Arial"/>
        <family val="0"/>
        <charset val="1"/>
      </rPr>
      <t xml:space="preserve">2025-12-31</t>
    </r>
    <r>
      <rPr>
        <sz val="10"/>
        <color rgb="FF000000"/>
        <rFont val="Noto Sans CJK SC"/>
        <family val="2"/>
      </rPr>
      <t xml:space="preserve">）（第 </t>
    </r>
    <r>
      <rPr>
        <sz val="10"/>
        <color rgb="FF000000"/>
        <rFont val="Arial"/>
        <family val="0"/>
        <charset val="1"/>
      </rPr>
      <t xml:space="preserve">24 </t>
    </r>
    <r>
      <rPr>
        <sz val="10"/>
        <color rgb="FF000000"/>
        <rFont val="Noto Sans CJK SC"/>
        <family val="2"/>
      </rPr>
      <t xml:space="preserve">頁）</t>
    </r>
  </si>
  <si>
    <t xml:space="preserve">經審計</t>
  </si>
  <si>
    <r>
      <rPr>
        <sz val="10"/>
        <color rgb="FF000000"/>
        <rFont val="Noto Sans CJK SC"/>
        <family val="2"/>
      </rPr>
      <t xml:space="preserve">原文「</t>
    </r>
    <r>
      <rPr>
        <sz val="10"/>
        <color rgb="FF000000"/>
        <rFont val="Arial"/>
        <family val="0"/>
        <charset val="1"/>
      </rPr>
      <t xml:space="preserve">There is no individual customer contributing over 10% of the total revenue</t>
    </r>
    <r>
      <rPr>
        <sz val="10"/>
        <color rgb="FF000000"/>
        <rFont val="Noto Sans CJK SC"/>
        <family val="2"/>
      </rPr>
      <t xml:space="preserve">」</t>
    </r>
  </si>
  <si>
    <t xml:space="preserve">SRC_ZP_433</t>
  </si>
  <si>
    <t xml:space="preserve">cust_a_sales_vs_purch</t>
  </si>
  <si>
    <r>
      <rPr>
        <sz val="10"/>
        <color rgb="FF000000"/>
        <rFont val="Noto Sans CJK SC"/>
        <family val="2"/>
      </rPr>
      <t xml:space="preserve">最大客戶 </t>
    </r>
    <r>
      <rPr>
        <sz val="10"/>
        <color rgb="FF000000"/>
        <rFont val="Arial"/>
        <family val="0"/>
        <charset val="1"/>
      </rPr>
      <t xml:space="preserve">A</t>
    </r>
    <r>
      <rPr>
        <sz val="10"/>
        <color rgb="FF000000"/>
        <rFont val="Noto Sans CJK SC"/>
        <family val="2"/>
      </rPr>
      <t xml:space="preserve">：銷售 </t>
    </r>
    <r>
      <rPr>
        <sz val="10"/>
        <color rgb="FF000000"/>
        <rFont val="Arial"/>
        <family val="0"/>
        <charset val="1"/>
      </rPr>
      <t xml:space="preserve">vs </t>
    </r>
    <r>
      <rPr>
        <sz val="10"/>
        <color rgb="FF000000"/>
        <rFont val="Noto Sans CJK SC"/>
        <family val="2"/>
      </rPr>
      <t xml:space="preserve">向其採購（</t>
    </r>
    <r>
      <rPr>
        <sz val="10"/>
        <color rgb="FF000000"/>
        <rFont val="Arial"/>
        <family val="0"/>
        <charset val="1"/>
      </rPr>
      <t xml:space="preserve">2022–1H25 </t>
    </r>
    <r>
      <rPr>
        <sz val="10"/>
        <color rgb="FF000000"/>
        <rFont val="Noto Sans CJK SC"/>
        <family val="2"/>
      </rPr>
      <t xml:space="preserve">累計）</t>
    </r>
  </si>
  <si>
    <r>
      <rPr>
        <sz val="10"/>
        <color rgb="FF000000"/>
        <rFont val="Arial"/>
        <family val="0"/>
        <charset val="1"/>
      </rPr>
      <t xml:space="preserve">RMB </t>
    </r>
    <r>
      <rPr>
        <sz val="10"/>
        <color rgb="FF000000"/>
        <rFont val="Noto Sans CJK SC"/>
        <family val="2"/>
      </rPr>
      <t xml:space="preserve">億（銷售）</t>
    </r>
  </si>
  <si>
    <r>
      <rPr>
        <sz val="10"/>
        <color rgb="FF000000"/>
        <rFont val="Arial"/>
        <family val="0"/>
        <charset val="1"/>
      </rPr>
      <t xml:space="preserve">2022</t>
    </r>
    <r>
      <rPr>
        <sz val="10"/>
        <color rgb="FF000000"/>
        <rFont val="Noto Sans CJK SC"/>
        <family val="2"/>
      </rPr>
      <t xml:space="preserve">～</t>
    </r>
    <r>
      <rPr>
        <sz val="10"/>
        <color rgb="FF000000"/>
        <rFont val="Arial"/>
        <family val="0"/>
        <charset val="1"/>
      </rPr>
      <t xml:space="preserve">1H2025</t>
    </r>
  </si>
  <si>
    <r>
      <rPr>
        <sz val="10"/>
        <color rgb="FF000000"/>
        <rFont val="Noto Sans CJK SC"/>
        <family val="2"/>
      </rPr>
      <t xml:space="preserve">原文「向最大客戶</t>
    </r>
    <r>
      <rPr>
        <sz val="10"/>
        <color rgb="FF000000"/>
        <rFont val="Arial"/>
        <family val="0"/>
        <charset val="1"/>
      </rPr>
      <t xml:space="preserve">A</t>
    </r>
    <r>
      <rPr>
        <sz val="10"/>
        <color rgb="FF000000"/>
        <rFont val="Noto Sans CJK SC"/>
        <family val="2"/>
      </rPr>
      <t xml:space="preserve">銷售了</t>
    </r>
    <r>
      <rPr>
        <sz val="10"/>
        <color rgb="FF000000"/>
        <rFont val="Arial"/>
        <family val="0"/>
        <charset val="1"/>
      </rPr>
      <t xml:space="preserve">2.42</t>
    </r>
    <r>
      <rPr>
        <sz val="10"/>
        <color rgb="FF000000"/>
        <rFont val="Noto Sans CJK SC"/>
        <family val="2"/>
      </rPr>
      <t xml:space="preserve">億元，但卻向客戶採購了</t>
    </r>
    <r>
      <rPr>
        <sz val="10"/>
        <color rgb="FF000000"/>
        <rFont val="Arial"/>
        <family val="0"/>
        <charset val="1"/>
      </rPr>
      <t xml:space="preserve">2.47</t>
    </r>
    <r>
      <rPr>
        <sz val="10"/>
        <color rgb="FF000000"/>
        <rFont val="Noto Sans CJK SC"/>
        <family val="2"/>
      </rPr>
      <t xml:space="preserve">億元」；客戶兼供應商（</t>
    </r>
    <r>
      <rPr>
        <sz val="10"/>
        <color rgb="FF000000"/>
        <rFont val="Arial"/>
        <family val="0"/>
        <charset val="1"/>
      </rPr>
      <t xml:space="preserve">D19 </t>
    </r>
    <r>
      <rPr>
        <sz val="10"/>
        <color rgb="FF000000"/>
        <rFont val="Noto Sans CJK SC"/>
        <family val="2"/>
      </rPr>
      <t xml:space="preserve">回流對照）；【</t>
    </r>
    <r>
      <rPr>
        <sz val="10"/>
        <color rgb="FF000000"/>
        <rFont val="Arial"/>
        <family val="0"/>
        <charset val="1"/>
      </rPr>
      <t xml:space="preserve">r2 P2 </t>
    </r>
    <r>
      <rPr>
        <sz val="10"/>
        <color rgb="FF000000"/>
        <rFont val="Noto Sans CJK SC"/>
        <family val="2"/>
      </rPr>
      <t xml:space="preserve">引用更正】招股章程會計師報告：銷售 </t>
    </r>
    <r>
      <rPr>
        <sz val="10"/>
        <color rgb="FF000000"/>
        <rFont val="Arial"/>
        <family val="0"/>
        <charset val="1"/>
      </rPr>
      <t xml:space="preserve">24.2 </t>
    </r>
    <r>
      <rPr>
        <sz val="10"/>
        <color rgb="FF000000"/>
        <rFont val="Noto Sans CJK SC"/>
        <family val="2"/>
      </rPr>
      <t xml:space="preserve">百萬元、採購 </t>
    </r>
    <r>
      <rPr>
        <sz val="10"/>
        <color rgb="FF000000"/>
        <rFont val="Arial"/>
        <family val="0"/>
        <charset val="1"/>
      </rPr>
      <t xml:space="preserve">24.7 </t>
    </r>
    <r>
      <rPr>
        <sz val="10"/>
        <color rgb="FF000000"/>
        <rFont val="Noto Sans CJK SC"/>
        <family val="2"/>
      </rPr>
      <t xml:space="preserve">百萬元（僅 </t>
    </r>
    <r>
      <rPr>
        <sz val="10"/>
        <color rgb="FF000000"/>
        <rFont val="Arial"/>
        <family val="0"/>
        <charset val="1"/>
      </rPr>
      <t xml:space="preserve">FY2024</t>
    </r>
    <r>
      <rPr>
        <sz val="10"/>
        <color rgb="FF000000"/>
        <rFont val="Noto Sans CJK SC"/>
        <family val="2"/>
      </rPr>
      <t xml:space="preserve">＋</t>
    </r>
    <r>
      <rPr>
        <sz val="10"/>
        <color rgb="FF000000"/>
        <rFont val="Arial"/>
        <family val="0"/>
        <charset val="1"/>
      </rPr>
      <t xml:space="preserve">1H25</t>
    </r>
    <r>
      <rPr>
        <sz val="10"/>
        <color rgb="FF000000"/>
        <rFont val="Noto Sans CJK SC"/>
        <family val="2"/>
      </rPr>
      <t xml:space="preserve">），媒體值差 </t>
    </r>
    <r>
      <rPr>
        <sz val="10"/>
        <color rgb="FF000000"/>
        <rFont val="Arial"/>
        <family val="0"/>
        <charset val="1"/>
      </rPr>
      <t xml:space="preserve">10 </t>
    </r>
    <r>
      <rPr>
        <sz val="10"/>
        <color rgb="FF000000"/>
        <rFont val="Noto Sans CJK SC"/>
        <family val="2"/>
      </rPr>
      <t xml:space="preserve">倍；模型改引用 </t>
    </r>
    <r>
      <rPr>
        <sz val="10"/>
        <color rgb="FF000000"/>
        <rFont val="Arial"/>
        <family val="0"/>
        <charset val="1"/>
      </rPr>
      <t xml:space="preserve">SRC_ZP_785</t>
    </r>
    <r>
      <rPr>
        <sz val="10"/>
        <color rgb="FF000000"/>
        <rFont val="Noto Sans CJK SC"/>
        <family val="2"/>
      </rPr>
      <t xml:space="preserve">、</t>
    </r>
    <r>
      <rPr>
        <sz val="10"/>
        <color rgb="FF000000"/>
        <rFont val="Arial"/>
        <family val="0"/>
        <charset val="1"/>
      </rPr>
      <t xml:space="preserve">786</t>
    </r>
  </si>
  <si>
    <t xml:space="preserve">SRC_ZP_434</t>
  </si>
  <si>
    <t xml:space="preserve">qy_mau_q1_26</t>
  </si>
  <si>
    <r>
      <rPr>
        <sz val="10"/>
        <color rgb="FF000000"/>
        <rFont val="Noto Sans CJK SC"/>
        <family val="2"/>
      </rPr>
      <t xml:space="preserve">智譜清言月活排名（</t>
    </r>
    <r>
      <rPr>
        <sz val="10"/>
        <color rgb="FF000000"/>
        <rFont val="Arial"/>
        <family val="0"/>
        <charset val="1"/>
      </rPr>
      <t xml:space="preserve">QuestMobile 2026Q1</t>
    </r>
    <r>
      <rPr>
        <sz val="10"/>
        <color rgb="FF000000"/>
        <rFont val="Noto Sans CJK SC"/>
        <family val="2"/>
      </rPr>
      <t xml:space="preserve">）</t>
    </r>
  </si>
  <si>
    <t xml:space="preserve">排名</t>
  </si>
  <si>
    <t xml:space="preserve">2026Q1</t>
  </si>
  <si>
    <r>
      <rPr>
        <sz val="10"/>
        <color rgb="FF000000"/>
        <rFont val="Noto Sans CJK SC"/>
        <family val="2"/>
      </rPr>
      <t xml:space="preserve">每日經濟新聞</t>
    </r>
    <r>
      <rPr>
        <sz val="10"/>
        <color rgb="FF000000"/>
        <rFont val="Arial"/>
        <family val="0"/>
        <charset val="1"/>
      </rPr>
      <t xml:space="preserve">×QuestMobile</t>
    </r>
    <r>
      <rPr>
        <sz val="10"/>
        <color rgb="FF000000"/>
        <rFont val="Noto Sans CJK SC"/>
        <family val="2"/>
      </rPr>
      <t xml:space="preserve">〈</t>
    </r>
    <r>
      <rPr>
        <sz val="10"/>
        <color rgb="FF000000"/>
        <rFont val="Arial"/>
        <family val="0"/>
        <charset val="1"/>
      </rPr>
      <t xml:space="preserve">2026 </t>
    </r>
    <r>
      <rPr>
        <sz val="10"/>
        <color rgb="FF000000"/>
        <rFont val="Noto Sans CJK SC"/>
        <family val="2"/>
      </rPr>
      <t xml:space="preserve">年一季度 </t>
    </r>
    <r>
      <rPr>
        <sz val="10"/>
        <color rgb="FF000000"/>
        <rFont val="Arial"/>
        <family val="0"/>
        <charset val="1"/>
      </rPr>
      <t xml:space="preserve">AI </t>
    </r>
    <r>
      <rPr>
        <sz val="10"/>
        <color rgb="FF000000"/>
        <rFont val="Noto Sans CJK SC"/>
        <family val="2"/>
      </rPr>
      <t xml:space="preserve">應用價值榜〉</t>
    </r>
  </si>
  <si>
    <t xml:space="preserve">https://www.nbd.com.cn/articles/2026-04-21/4350446.html</t>
  </si>
  <si>
    <t xml:space="preserve">2026-04-21</t>
  </si>
  <si>
    <r>
      <rPr>
        <sz val="10"/>
        <color rgb="FF000000"/>
        <rFont val="Noto Sans CJK SC"/>
        <family val="2"/>
      </rPr>
      <t xml:space="preserve">原文「智譜清言、階躍、</t>
    </r>
    <r>
      <rPr>
        <sz val="10"/>
        <color rgb="FF000000"/>
        <rFont val="Arial"/>
        <family val="0"/>
        <charset val="1"/>
      </rPr>
      <t xml:space="preserve">MiniMax</t>
    </r>
    <r>
      <rPr>
        <sz val="10"/>
        <color rgb="FF000000"/>
        <rFont val="Noto Sans CJK SC"/>
        <family val="2"/>
      </rPr>
      <t xml:space="preserve">均未進入一季度月活、下載</t>
    </r>
    <r>
      <rPr>
        <sz val="10"/>
        <color rgb="FF000000"/>
        <rFont val="Arial"/>
        <family val="0"/>
        <charset val="1"/>
      </rPr>
      <t xml:space="preserve">TOP 20</t>
    </r>
    <r>
      <rPr>
        <sz val="10"/>
        <color rgb="FF000000"/>
        <rFont val="Noto Sans CJK SC"/>
        <family val="2"/>
      </rPr>
      <t xml:space="preserve">」；無絕對值；</t>
    </r>
    <r>
      <rPr>
        <sz val="10"/>
        <color rgb="FF000000"/>
        <rFont val="Arial"/>
        <family val="0"/>
        <charset val="1"/>
      </rPr>
      <t xml:space="preserve">C </t>
    </r>
    <r>
      <rPr>
        <sz val="10"/>
        <color rgb="FF000000"/>
        <rFont val="Noto Sans CJK SC"/>
        <family val="2"/>
      </rPr>
      <t xml:space="preserve">端規模小</t>
    </r>
  </si>
  <si>
    <t xml:space="preserve">SRC_ZP_435</t>
  </si>
  <si>
    <t xml:space="preserve">or_glm52_weekly_tok</t>
  </si>
  <si>
    <r>
      <rPr>
        <sz val="10"/>
        <color rgb="FF000000"/>
        <rFont val="Arial"/>
        <family val="0"/>
        <charset val="1"/>
      </rPr>
      <t xml:space="preserve">OpenRouter</t>
    </r>
    <r>
      <rPr>
        <sz val="10"/>
        <color rgb="FF000000"/>
        <rFont val="Noto Sans CJK SC"/>
        <family val="2"/>
      </rPr>
      <t xml:space="preserve">：</t>
    </r>
    <r>
      <rPr>
        <sz val="10"/>
        <color rgb="FF000000"/>
        <rFont val="Arial"/>
        <family val="0"/>
        <charset val="1"/>
      </rPr>
      <t xml:space="preserve">GLM-5.2 </t>
    </r>
    <r>
      <rPr>
        <sz val="10"/>
        <color rgb="FF000000"/>
        <rFont val="Noto Sans CJK SC"/>
        <family val="2"/>
      </rPr>
      <t xml:space="preserve">週呼叫量</t>
    </r>
  </si>
  <si>
    <r>
      <rPr>
        <sz val="10"/>
        <color rgb="FF000000"/>
        <rFont val="Arial"/>
        <family val="0"/>
        <charset val="1"/>
      </rPr>
      <t xml:space="preserve">T</t>
    </r>
    <r>
      <rPr>
        <sz val="10"/>
        <color rgb="FF000000"/>
        <rFont val="Noto Sans CJK SC"/>
        <family val="2"/>
      </rPr>
      <t xml:space="preserve">／週</t>
    </r>
  </si>
  <si>
    <r>
      <rPr>
        <sz val="10"/>
        <color rgb="FF000000"/>
        <rFont val="Arial"/>
        <family val="0"/>
        <charset val="1"/>
      </rPr>
      <t xml:space="preserve">2026-06-29</t>
    </r>
    <r>
      <rPr>
        <sz val="10"/>
        <color rgb="FF000000"/>
        <rFont val="Noto Sans CJK SC"/>
        <family val="2"/>
      </rPr>
      <t xml:space="preserve">～</t>
    </r>
    <r>
      <rPr>
        <sz val="10"/>
        <color rgb="FF000000"/>
        <rFont val="Arial"/>
        <family val="0"/>
        <charset val="1"/>
      </rPr>
      <t xml:space="preserve">07-05</t>
    </r>
  </si>
  <si>
    <r>
      <rPr>
        <sz val="10"/>
        <color rgb="FF000000"/>
        <rFont val="Arial"/>
        <family val="0"/>
        <charset val="1"/>
      </rPr>
      <t xml:space="preserve">21</t>
    </r>
    <r>
      <rPr>
        <sz val="10"/>
        <color rgb="FF000000"/>
        <rFont val="Noto Sans CJK SC"/>
        <family val="2"/>
      </rPr>
      <t xml:space="preserve">世紀經濟報道（新浪財經 </t>
    </r>
    <r>
      <rPr>
        <sz val="10"/>
        <color rgb="FF000000"/>
        <rFont val="Arial"/>
        <family val="0"/>
        <charset val="1"/>
      </rPr>
      <t xml:space="preserve">2026-07-06</t>
    </r>
    <r>
      <rPr>
        <sz val="10"/>
        <color rgb="FF000000"/>
        <rFont val="Noto Sans CJK SC"/>
        <family val="2"/>
      </rPr>
      <t xml:space="preserve">）</t>
    </r>
  </si>
  <si>
    <t xml:space="preserve">https://finance.sina.cn/2026-07-06/detail-inifwfpy8578766.d.html</t>
  </si>
  <si>
    <t xml:space="preserve">2026-07-06</t>
  </si>
  <si>
    <r>
      <rPr>
        <sz val="10"/>
        <color rgb="FF000000"/>
        <rFont val="Noto Sans CJK SC"/>
        <family val="2"/>
      </rPr>
      <t xml:space="preserve">原文 </t>
    </r>
    <r>
      <rPr>
        <sz val="10"/>
        <color rgb="FF000000"/>
        <rFont val="Arial"/>
        <family val="0"/>
        <charset val="1"/>
      </rPr>
      <t xml:space="preserve">GLM-5.2</t>
    </r>
    <r>
      <rPr>
        <sz val="10"/>
        <color rgb="FF000000"/>
        <rFont val="Noto Sans CJK SC"/>
        <family val="2"/>
      </rPr>
      <t xml:space="preserve">「</t>
    </r>
    <r>
      <rPr>
        <sz val="10"/>
        <color rgb="FF000000"/>
        <rFont val="Arial"/>
        <family val="0"/>
        <charset val="1"/>
      </rPr>
      <t xml:space="preserve">2.58</t>
    </r>
    <r>
      <rPr>
        <sz val="10"/>
        <color rgb="FF000000"/>
        <rFont val="Noto Sans CJK SC"/>
        <family val="2"/>
      </rPr>
      <t xml:space="preserve">萬億</t>
    </r>
    <r>
      <rPr>
        <sz val="10"/>
        <color rgb="FF000000"/>
        <rFont val="Arial"/>
        <family val="0"/>
        <charset val="1"/>
      </rPr>
      <t xml:space="preserve">Token</t>
    </r>
    <r>
      <rPr>
        <sz val="10"/>
        <color rgb="FF000000"/>
        <rFont val="Noto Sans CJK SC"/>
        <family val="2"/>
      </rPr>
      <t xml:space="preserve">」週增 </t>
    </r>
    <r>
      <rPr>
        <sz val="10"/>
        <color rgb="FF000000"/>
        <rFont val="Arial"/>
        <family val="0"/>
        <charset val="1"/>
      </rPr>
      <t xml:space="preserve">22%</t>
    </r>
    <r>
      <rPr>
        <sz val="10"/>
        <color rgb="FF000000"/>
        <rFont val="Noto Sans CJK SC"/>
        <family val="2"/>
      </rPr>
      <t xml:space="preserve">、進前五；同週全平台「</t>
    </r>
    <r>
      <rPr>
        <sz val="10"/>
        <color rgb="FF000000"/>
        <rFont val="Arial"/>
        <family val="0"/>
        <charset val="1"/>
      </rPr>
      <t xml:space="preserve">46.7</t>
    </r>
    <r>
      <rPr>
        <sz val="10"/>
        <color rgb="FF000000"/>
        <rFont val="Noto Sans CJK SC"/>
        <family val="2"/>
      </rPr>
      <t xml:space="preserve">萬億</t>
    </r>
    <r>
      <rPr>
        <sz val="10"/>
        <color rgb="FF000000"/>
        <rFont val="Arial"/>
        <family val="0"/>
        <charset val="1"/>
      </rPr>
      <t xml:space="preserve">Token</t>
    </r>
    <r>
      <rPr>
        <sz val="10"/>
        <color rgb="FF000000"/>
        <rFont val="Noto Sans CJK SC"/>
        <family val="2"/>
      </rPr>
      <t xml:space="preserve">」</t>
    </r>
  </si>
  <si>
    <t xml:space="preserve">SRC_ZP_436</t>
  </si>
  <si>
    <t xml:space="preserve">or_total_weekly_tok</t>
  </si>
  <si>
    <r>
      <rPr>
        <sz val="10"/>
        <color rgb="FF000000"/>
        <rFont val="Arial"/>
        <family val="0"/>
        <charset val="1"/>
      </rPr>
      <t xml:space="preserve">OpenRouter</t>
    </r>
    <r>
      <rPr>
        <sz val="10"/>
        <color rgb="FF000000"/>
        <rFont val="Noto Sans CJK SC"/>
        <family val="2"/>
      </rPr>
      <t xml:space="preserve">：全平台週呼叫量</t>
    </r>
  </si>
  <si>
    <r>
      <rPr>
        <sz val="10"/>
        <color rgb="FF000000"/>
        <rFont val="Noto Sans CJK SC"/>
        <family val="2"/>
      </rPr>
      <t xml:space="preserve">原文「</t>
    </r>
    <r>
      <rPr>
        <sz val="10"/>
        <color rgb="FF000000"/>
        <rFont val="Arial"/>
        <family val="0"/>
        <charset val="1"/>
      </rPr>
      <t xml:space="preserve">46.7</t>
    </r>
    <r>
      <rPr>
        <sz val="10"/>
        <color rgb="FF000000"/>
        <rFont val="Noto Sans CJK SC"/>
        <family val="2"/>
      </rPr>
      <t xml:space="preserve">萬億</t>
    </r>
    <r>
      <rPr>
        <sz val="10"/>
        <color rgb="FF000000"/>
        <rFont val="Arial"/>
        <family val="0"/>
        <charset val="1"/>
      </rPr>
      <t xml:space="preserve">Token</t>
    </r>
    <r>
      <rPr>
        <sz val="10"/>
        <color rgb="FF000000"/>
        <rFont val="Noto Sans CJK SC"/>
        <family val="2"/>
      </rPr>
      <t xml:space="preserve">」</t>
    </r>
  </si>
  <si>
    <t xml:space="preserve">SRC_ZP_437</t>
  </si>
  <si>
    <t xml:space="preserve">or_glm52_share_derived</t>
  </si>
  <si>
    <r>
      <rPr>
        <sz val="10"/>
        <color rgb="FF000000"/>
        <rFont val="Arial"/>
        <family val="0"/>
        <charset val="1"/>
      </rPr>
      <t xml:space="preserve">OpenRouter</t>
    </r>
    <r>
      <rPr>
        <sz val="10"/>
        <color rgb="FF000000"/>
        <rFont val="Noto Sans CJK SC"/>
        <family val="2"/>
      </rPr>
      <t xml:space="preserve">：</t>
    </r>
    <r>
      <rPr>
        <sz val="10"/>
        <color rgb="FF000000"/>
        <rFont val="Arial"/>
        <family val="0"/>
        <charset val="1"/>
      </rPr>
      <t xml:space="preserve">GLM-5.2 </t>
    </r>
    <r>
      <rPr>
        <sz val="10"/>
        <color rgb="FF000000"/>
        <rFont val="Noto Sans CJK SC"/>
        <family val="2"/>
      </rPr>
      <t xml:space="preserve">週 </t>
    </r>
    <r>
      <rPr>
        <sz val="10"/>
        <color rgb="FF000000"/>
        <rFont val="Arial"/>
        <family val="0"/>
        <charset val="1"/>
      </rPr>
      <t xml:space="preserve">token </t>
    </r>
    <r>
      <rPr>
        <sz val="10"/>
        <color rgb="FF000000"/>
        <rFont val="Noto Sans CJK SC"/>
        <family val="2"/>
      </rPr>
      <t xml:space="preserve">份額</t>
    </r>
  </si>
  <si>
    <r>
      <rPr>
        <sz val="10"/>
        <color rgb="FF000000"/>
        <rFont val="Noto Sans CJK SC"/>
        <family val="2"/>
      </rPr>
      <t xml:space="preserve">由 </t>
    </r>
    <r>
      <rPr>
        <sz val="10"/>
        <color rgb="FF000000"/>
        <rFont val="Arial"/>
        <family val="0"/>
        <charset val="1"/>
      </rPr>
      <t xml:space="preserve">or_glm52_weekly_tok ÷ or_total_weekly_tok</t>
    </r>
  </si>
  <si>
    <r>
      <rPr>
        <sz val="10"/>
        <color rgb="FF000000"/>
        <rFont val="Arial"/>
        <family val="0"/>
        <charset val="1"/>
      </rPr>
      <t xml:space="preserve">2.58÷46.7</t>
    </r>
    <r>
      <rPr>
        <sz val="10"/>
        <color rgb="FF000000"/>
        <rFont val="Noto Sans CJK SC"/>
        <family val="2"/>
      </rPr>
      <t xml:space="preserve">＝</t>
    </r>
    <r>
      <rPr>
        <sz val="10"/>
        <color rgb="FF000000"/>
        <rFont val="Arial"/>
        <family val="0"/>
        <charset val="1"/>
      </rPr>
      <t xml:space="preserve">5.52%</t>
    </r>
    <r>
      <rPr>
        <sz val="10"/>
        <color rgb="FF000000"/>
        <rFont val="Noto Sans CJK SC"/>
        <family val="2"/>
      </rPr>
      <t xml:space="preserve">；僅單一型號，不含 </t>
    </r>
    <r>
      <rPr>
        <sz val="10"/>
        <color rgb="FF000000"/>
        <rFont val="Arial"/>
        <family val="0"/>
        <charset val="1"/>
      </rPr>
      <t xml:space="preserve">GLM </t>
    </r>
    <r>
      <rPr>
        <sz val="10"/>
        <color rgb="FF000000"/>
        <rFont val="Noto Sans CJK SC"/>
        <family val="2"/>
      </rPr>
      <t xml:space="preserve">其他版本；</t>
    </r>
    <r>
      <rPr>
        <sz val="10"/>
        <color rgb="FF000000"/>
        <rFont val="Arial"/>
        <family val="0"/>
        <charset val="1"/>
      </rPr>
      <t xml:space="preserve">OpenRouter </t>
    </r>
    <r>
      <rPr>
        <sz val="10"/>
        <color rgb="FF000000"/>
        <rFont val="Noto Sans CJK SC"/>
        <family val="2"/>
      </rPr>
      <t xml:space="preserve">為海外開發者通路，不代表智譜整體（</t>
    </r>
    <r>
      <rPr>
        <sz val="10"/>
        <color rgb="FF000000"/>
        <rFont val="Arial"/>
        <family val="0"/>
        <charset val="1"/>
      </rPr>
      <t xml:space="preserve">Analogy </t>
    </r>
    <r>
      <rPr>
        <sz val="10"/>
        <color rgb="FF000000"/>
        <rFont val="Noto Sans CJK SC"/>
        <family val="2"/>
      </rPr>
      <t xml:space="preserve">用途）</t>
    </r>
  </si>
  <si>
    <t xml:space="preserve">SRC_ZP_438</t>
  </si>
  <si>
    <t xml:space="preserve">or_glm52_rank_jul26</t>
  </si>
  <si>
    <r>
      <rPr>
        <sz val="10"/>
        <color rgb="FF000000"/>
        <rFont val="Arial"/>
        <family val="0"/>
        <charset val="1"/>
      </rPr>
      <t xml:space="preserve">OpenRouter</t>
    </r>
    <r>
      <rPr>
        <sz val="10"/>
        <color rgb="FF000000"/>
        <rFont val="Noto Sans CJK SC"/>
        <family val="2"/>
      </rPr>
      <t xml:space="preserve">：</t>
    </r>
    <r>
      <rPr>
        <sz val="10"/>
        <color rgb="FF000000"/>
        <rFont val="Arial"/>
        <family val="0"/>
        <charset val="1"/>
      </rPr>
      <t xml:space="preserve">GLM-5.2 </t>
    </r>
    <r>
      <rPr>
        <sz val="10"/>
        <color rgb="FF000000"/>
        <rFont val="Noto Sans CJK SC"/>
        <family val="2"/>
      </rPr>
      <t xml:space="preserve">週排名</t>
    </r>
  </si>
  <si>
    <t xml:space="preserve">名</t>
  </si>
  <si>
    <r>
      <rPr>
        <sz val="10"/>
        <color rgb="FF000000"/>
        <rFont val="Arial"/>
        <family val="0"/>
        <charset val="1"/>
      </rPr>
      <t xml:space="preserve">2026-07-20</t>
    </r>
    <r>
      <rPr>
        <sz val="10"/>
        <color rgb="FF000000"/>
        <rFont val="Noto Sans CJK SC"/>
        <family val="2"/>
      </rPr>
      <t xml:space="preserve">～</t>
    </r>
    <r>
      <rPr>
        <sz val="10"/>
        <color rgb="FF000000"/>
        <rFont val="Arial"/>
        <family val="0"/>
        <charset val="1"/>
      </rPr>
      <t xml:space="preserve">26</t>
    </r>
  </si>
  <si>
    <r>
      <rPr>
        <sz val="10"/>
        <color rgb="FF000000"/>
        <rFont val="Noto Sans CJK SC"/>
        <family val="2"/>
      </rPr>
      <t xml:space="preserve">老虎證券（</t>
    </r>
    <r>
      <rPr>
        <sz val="10"/>
        <color rgb="FF000000"/>
        <rFont val="Arial"/>
        <family val="0"/>
        <charset val="1"/>
      </rPr>
      <t xml:space="preserve">2026-07-27</t>
    </r>
    <r>
      <rPr>
        <sz val="10"/>
        <color rgb="FF000000"/>
        <rFont val="Noto Sans CJK SC"/>
        <family val="2"/>
      </rPr>
      <t xml:space="preserve">）</t>
    </r>
  </si>
  <si>
    <t xml:space="preserve">https://www.itiger.com/hans/news/2654013695</t>
  </si>
  <si>
    <t xml:space="preserve">2026-07-27</t>
  </si>
  <si>
    <r>
      <rPr>
        <sz val="10"/>
        <color rgb="FF000000"/>
        <rFont val="Noto Sans CJK SC"/>
        <family val="2"/>
      </rPr>
      <t xml:space="preserve">原文「智譜</t>
    </r>
    <r>
      <rPr>
        <sz val="10"/>
        <color rgb="FF000000"/>
        <rFont val="Arial"/>
        <family val="0"/>
        <charset val="1"/>
      </rPr>
      <t xml:space="preserve">GLM-5.2</t>
    </r>
    <r>
      <rPr>
        <sz val="10"/>
        <color rgb="FF000000"/>
        <rFont val="Noto Sans CJK SC"/>
        <family val="2"/>
      </rPr>
      <t xml:space="preserve">及</t>
    </r>
    <r>
      <rPr>
        <sz val="10"/>
        <color rgb="FF000000"/>
        <rFont val="Arial"/>
        <family val="0"/>
        <charset val="1"/>
      </rPr>
      <t xml:space="preserve">DeepSeek-V4-Pro</t>
    </r>
    <r>
      <rPr>
        <sz val="10"/>
        <color rgb="FF000000"/>
        <rFont val="Noto Sans CJK SC"/>
        <family val="2"/>
      </rPr>
      <t xml:space="preserve">分列第四及第五位」；同週總量「</t>
    </r>
    <r>
      <rPr>
        <sz val="10"/>
        <color rgb="FF000000"/>
        <rFont val="Arial"/>
        <family val="0"/>
        <charset val="1"/>
      </rPr>
      <t xml:space="preserve">58</t>
    </r>
    <r>
      <rPr>
        <sz val="10"/>
        <color rgb="FF000000"/>
        <rFont val="Noto Sans CJK SC"/>
        <family val="2"/>
      </rPr>
      <t xml:space="preserve">萬億</t>
    </r>
    <r>
      <rPr>
        <sz val="10"/>
        <color rgb="FF000000"/>
        <rFont val="Arial"/>
        <family val="0"/>
        <charset val="1"/>
      </rPr>
      <t xml:space="preserve">Token</t>
    </r>
    <r>
      <rPr>
        <sz val="10"/>
        <color rgb="FF000000"/>
        <rFont val="Noto Sans CJK SC"/>
        <family val="2"/>
      </rPr>
      <t xml:space="preserve">」</t>
    </r>
  </si>
  <si>
    <t xml:space="preserve">SRC_ZP_439</t>
  </si>
  <si>
    <t xml:space="preserve">or_glm52_share_c</t>
  </si>
  <si>
    <r>
      <rPr>
        <sz val="10"/>
        <color rgb="FF000000"/>
        <rFont val="Arial"/>
        <family val="0"/>
        <charset val="1"/>
      </rPr>
      <t xml:space="preserve">OpenRouter</t>
    </r>
    <r>
      <rPr>
        <sz val="10"/>
        <color rgb="FF000000"/>
        <rFont val="Noto Sans CJK SC"/>
        <family val="2"/>
      </rPr>
      <t xml:space="preserve">：</t>
    </r>
    <r>
      <rPr>
        <sz val="10"/>
        <color rgb="FF000000"/>
        <rFont val="Arial"/>
        <family val="0"/>
        <charset val="1"/>
      </rPr>
      <t xml:space="preserve">GLM-5.2</t>
    </r>
    <r>
      <rPr>
        <sz val="10"/>
        <color rgb="FF000000"/>
        <rFont val="Noto Sans CJK SC"/>
        <family val="2"/>
      </rPr>
      <t xml:space="preserve">「市占 </t>
    </r>
    <r>
      <rPr>
        <sz val="10"/>
        <color rgb="FF000000"/>
        <rFont val="Arial"/>
        <family val="0"/>
        <charset val="1"/>
      </rPr>
      <t xml:space="preserve">75%</t>
    </r>
    <r>
      <rPr>
        <sz val="10"/>
        <color rgb="FF000000"/>
        <rFont val="Noto Sans CJK SC"/>
        <family val="2"/>
      </rPr>
      <t xml:space="preserve">」說法</t>
    </r>
  </si>
  <si>
    <r>
      <rPr>
        <sz val="10"/>
        <color rgb="FF000000"/>
        <rFont val="Arial"/>
        <family val="0"/>
        <charset val="1"/>
      </rPr>
      <t xml:space="preserve">%</t>
    </r>
    <r>
      <rPr>
        <sz val="10"/>
        <color rgb="FF000000"/>
        <rFont val="Noto Sans CJK SC"/>
        <family val="2"/>
      </rPr>
      <t xml:space="preserve">（口徑不明）</t>
    </r>
  </si>
  <si>
    <r>
      <rPr>
        <sz val="10"/>
        <color rgb="FF000000"/>
        <rFont val="Arial"/>
        <family val="0"/>
        <charset val="1"/>
      </rPr>
      <t xml:space="preserve">2026-06 </t>
    </r>
    <r>
      <rPr>
        <sz val="10"/>
        <color rgb="FF000000"/>
        <rFont val="Noto Sans CJK SC"/>
        <family val="2"/>
      </rPr>
      <t xml:space="preserve">上市首週</t>
    </r>
  </si>
  <si>
    <r>
      <rPr>
        <sz val="10"/>
        <color rgb="FF000000"/>
        <rFont val="Arial"/>
        <family val="0"/>
        <charset val="1"/>
      </rPr>
      <t xml:space="preserve">GIGAZINE</t>
    </r>
    <r>
      <rPr>
        <sz val="10"/>
        <color rgb="FF000000"/>
        <rFont val="Noto Sans CJK SC"/>
        <family val="2"/>
      </rPr>
      <t xml:space="preserve">（</t>
    </r>
    <r>
      <rPr>
        <sz val="10"/>
        <color rgb="FF000000"/>
        <rFont val="Arial"/>
        <family val="0"/>
        <charset val="1"/>
      </rPr>
      <t xml:space="preserve">2026-06-23</t>
    </r>
    <r>
      <rPr>
        <sz val="10"/>
        <color rgb="FF000000"/>
        <rFont val="Noto Sans CJK SC"/>
        <family val="2"/>
      </rPr>
      <t xml:space="preserve">）</t>
    </r>
  </si>
  <si>
    <t xml:space="preserve">https://www.gigazine.net/gsc_news/en/20260623-glm-5-2-openrouter</t>
  </si>
  <si>
    <t xml:space="preserve">2026-06-23</t>
  </si>
  <si>
    <r>
      <rPr>
        <sz val="10"/>
        <color rgb="FF000000"/>
        <rFont val="Noto Sans CJK SC"/>
        <family val="2"/>
      </rPr>
      <t xml:space="preserve">原文「</t>
    </r>
    <r>
      <rPr>
        <sz val="10"/>
        <color rgb="FF000000"/>
        <rFont val="Arial"/>
        <family val="0"/>
        <charset val="1"/>
      </rPr>
      <t xml:space="preserve">GLM-5.2 reportedly accounts for 75% of the market share</t>
    </r>
    <r>
      <rPr>
        <sz val="10"/>
        <color rgb="FF000000"/>
        <rFont val="Noto Sans CJK SC"/>
        <family val="2"/>
      </rPr>
      <t xml:space="preserve">」，分母未明（疑為 </t>
    </r>
    <r>
      <rPr>
        <sz val="10"/>
        <color rgb="FF000000"/>
        <rFont val="Arial"/>
        <family val="0"/>
        <charset val="1"/>
      </rPr>
      <t xml:space="preserve">Z.ai </t>
    </r>
    <r>
      <rPr>
        <sz val="10"/>
        <color rgb="FF000000"/>
        <rFont val="Noto Sans CJK SC"/>
        <family val="2"/>
      </rPr>
      <t xml:space="preserve">自家型號內占比）；與 </t>
    </r>
    <r>
      <rPr>
        <sz val="10"/>
        <color rgb="FF000000"/>
        <rFont val="Arial"/>
        <family val="0"/>
        <charset val="1"/>
      </rPr>
      <t xml:space="preserve">5.5% </t>
    </r>
    <r>
      <rPr>
        <sz val="10"/>
        <color rgb="FF000000"/>
        <rFont val="Noto Sans CJK SC"/>
        <family val="2"/>
      </rPr>
      <t xml:space="preserve">矛盾，不建議使用</t>
    </r>
  </si>
  <si>
    <t xml:space="preserve">SRC_ZP_440</t>
  </si>
  <si>
    <t xml:space="preserve">sup_top5_share_fy22</t>
  </si>
  <si>
    <t xml:space="preserve">前五大供應商採購占比</t>
  </si>
  <si>
    <r>
      <rPr>
        <sz val="10"/>
        <color rgb="FF000000"/>
        <rFont val="Noto Sans CJK SC"/>
        <family val="2"/>
      </rPr>
      <t xml:space="preserve">招股章程：前五大 </t>
    </r>
    <r>
      <rPr>
        <sz val="10"/>
        <color rgb="FF000000"/>
        <rFont val="Arial"/>
        <family val="0"/>
        <charset val="1"/>
      </rPr>
      <t xml:space="preserve">54.5%</t>
    </r>
    <r>
      <rPr>
        <sz val="10"/>
        <color rgb="FF000000"/>
        <rFont val="Noto Sans CJK SC"/>
        <family val="2"/>
      </rPr>
      <t xml:space="preserve">、最大供應商 </t>
    </r>
    <r>
      <rPr>
        <sz val="10"/>
        <color rgb="FF000000"/>
        <rFont val="Arial"/>
        <family val="0"/>
        <charset val="1"/>
      </rPr>
      <t xml:space="preserve">33.1%</t>
    </r>
    <r>
      <rPr>
        <sz val="10"/>
        <color rgb="FF000000"/>
        <rFont val="Noto Sans CJK SC"/>
        <family val="2"/>
      </rPr>
      <t xml:space="preserve">；供應商含「</t>
    </r>
    <r>
      <rPr>
        <sz val="10"/>
        <color rgb="FF000000"/>
        <rFont val="Arial"/>
        <family val="0"/>
        <charset val="1"/>
      </rPr>
      <t xml:space="preserve">providers of computing resources, such as computing hardware</t>
    </r>
    <r>
      <rPr>
        <sz val="10"/>
        <color rgb="FF000000"/>
        <rFont val="Noto Sans CJK SC"/>
        <family val="2"/>
      </rPr>
      <t xml:space="preserve">」，未揭露名稱與是否皆為算力</t>
    </r>
  </si>
  <si>
    <t xml:space="preserve">SRC_ZP_441</t>
  </si>
  <si>
    <t xml:space="preserve">sup_top1_share_fy22</t>
  </si>
  <si>
    <t xml:space="preserve">最大供應商採購占比</t>
  </si>
  <si>
    <t xml:space="preserve">SRC_ZP_442</t>
  </si>
  <si>
    <t xml:space="preserve">sup_top5_share_fy23</t>
  </si>
  <si>
    <r>
      <rPr>
        <sz val="10"/>
        <color rgb="FF000000"/>
        <rFont val="Noto Sans CJK SC"/>
        <family val="2"/>
      </rPr>
      <t xml:space="preserve">招股章程：前五大 </t>
    </r>
    <r>
      <rPr>
        <sz val="10"/>
        <color rgb="FF000000"/>
        <rFont val="Arial"/>
        <family val="0"/>
        <charset val="1"/>
      </rPr>
      <t xml:space="preserve">53.6%</t>
    </r>
    <r>
      <rPr>
        <sz val="10"/>
        <color rgb="FF000000"/>
        <rFont val="Noto Sans CJK SC"/>
        <family val="2"/>
      </rPr>
      <t xml:space="preserve">、最大供應商 </t>
    </r>
    <r>
      <rPr>
        <sz val="10"/>
        <color rgb="FF000000"/>
        <rFont val="Arial"/>
        <family val="0"/>
        <charset val="1"/>
      </rPr>
      <t xml:space="preserve">16.4%</t>
    </r>
    <r>
      <rPr>
        <sz val="10"/>
        <color rgb="FF000000"/>
        <rFont val="Noto Sans CJK SC"/>
        <family val="2"/>
      </rPr>
      <t xml:space="preserve">；供應商含「</t>
    </r>
    <r>
      <rPr>
        <sz val="10"/>
        <color rgb="FF000000"/>
        <rFont val="Arial"/>
        <family val="0"/>
        <charset val="1"/>
      </rPr>
      <t xml:space="preserve">providers of computing resources, such as computing hardware</t>
    </r>
    <r>
      <rPr>
        <sz val="10"/>
        <color rgb="FF000000"/>
        <rFont val="Noto Sans CJK SC"/>
        <family val="2"/>
      </rPr>
      <t xml:space="preserve">」，未揭露名稱與是否皆為算力</t>
    </r>
  </si>
  <si>
    <t xml:space="preserve">SRC_ZP_443</t>
  </si>
  <si>
    <t xml:space="preserve">sup_top1_share_fy23</t>
  </si>
  <si>
    <t xml:space="preserve">SRC_ZP_444</t>
  </si>
  <si>
    <t xml:space="preserve">sup_top5_share_fy24</t>
  </si>
  <si>
    <r>
      <rPr>
        <sz val="10"/>
        <color rgb="FF000000"/>
        <rFont val="Noto Sans CJK SC"/>
        <family val="2"/>
      </rPr>
      <t xml:space="preserve">招股章程：前五大 </t>
    </r>
    <r>
      <rPr>
        <sz val="10"/>
        <color rgb="FF000000"/>
        <rFont val="Arial"/>
        <family val="0"/>
        <charset val="1"/>
      </rPr>
      <t xml:space="preserve">47.3%</t>
    </r>
    <r>
      <rPr>
        <sz val="10"/>
        <color rgb="FF000000"/>
        <rFont val="Noto Sans CJK SC"/>
        <family val="2"/>
      </rPr>
      <t xml:space="preserve">、最大供應商 </t>
    </r>
    <r>
      <rPr>
        <sz val="10"/>
        <color rgb="FF000000"/>
        <rFont val="Arial"/>
        <family val="0"/>
        <charset val="1"/>
      </rPr>
      <t xml:space="preserve">15.6%</t>
    </r>
    <r>
      <rPr>
        <sz val="10"/>
        <color rgb="FF000000"/>
        <rFont val="Noto Sans CJK SC"/>
        <family val="2"/>
      </rPr>
      <t xml:space="preserve">；供應商含「</t>
    </r>
    <r>
      <rPr>
        <sz val="10"/>
        <color rgb="FF000000"/>
        <rFont val="Arial"/>
        <family val="0"/>
        <charset val="1"/>
      </rPr>
      <t xml:space="preserve">providers of computing resources, such as computing hardware</t>
    </r>
    <r>
      <rPr>
        <sz val="10"/>
        <color rgb="FF000000"/>
        <rFont val="Noto Sans CJK SC"/>
        <family val="2"/>
      </rPr>
      <t xml:space="preserve">」，未揭露名稱與是否皆為算力</t>
    </r>
  </si>
  <si>
    <t xml:space="preserve">SRC_ZP_445</t>
  </si>
  <si>
    <t xml:space="preserve">sup_top1_share_fy24</t>
  </si>
  <si>
    <t xml:space="preserve">SRC_ZP_446</t>
  </si>
  <si>
    <t xml:space="preserve">sup_top5_share_1h25</t>
  </si>
  <si>
    <r>
      <rPr>
        <sz val="10"/>
        <color rgb="FF000000"/>
        <rFont val="Noto Sans CJK SC"/>
        <family val="2"/>
      </rPr>
      <t xml:space="preserve">招股章程：前五大 </t>
    </r>
    <r>
      <rPr>
        <sz val="10"/>
        <color rgb="FF000000"/>
        <rFont val="Arial"/>
        <family val="0"/>
        <charset val="1"/>
      </rPr>
      <t xml:space="preserve">50.2%</t>
    </r>
    <r>
      <rPr>
        <sz val="10"/>
        <color rgb="FF000000"/>
        <rFont val="Noto Sans CJK SC"/>
        <family val="2"/>
      </rPr>
      <t xml:space="preserve">、最大供應商 </t>
    </r>
    <r>
      <rPr>
        <sz val="10"/>
        <color rgb="FF000000"/>
        <rFont val="Arial"/>
        <family val="0"/>
        <charset val="1"/>
      </rPr>
      <t xml:space="preserve">13.4%</t>
    </r>
    <r>
      <rPr>
        <sz val="10"/>
        <color rgb="FF000000"/>
        <rFont val="Noto Sans CJK SC"/>
        <family val="2"/>
      </rPr>
      <t xml:space="preserve">；供應商含「</t>
    </r>
    <r>
      <rPr>
        <sz val="10"/>
        <color rgb="FF000000"/>
        <rFont val="Arial"/>
        <family val="0"/>
        <charset val="1"/>
      </rPr>
      <t xml:space="preserve">providers of computing resources, such as computing hardware</t>
    </r>
    <r>
      <rPr>
        <sz val="10"/>
        <color rgb="FF000000"/>
        <rFont val="Noto Sans CJK SC"/>
        <family val="2"/>
      </rPr>
      <t xml:space="preserve">」，未揭露名稱與是否皆為算力</t>
    </r>
  </si>
  <si>
    <t xml:space="preserve">SRC_ZP_447</t>
  </si>
  <si>
    <t xml:space="preserve">sup_top1_share_1h25</t>
  </si>
  <si>
    <t xml:space="preserve">SRC_ZP_448</t>
  </si>
  <si>
    <t xml:space="preserve">cmp_fee_total_fy24</t>
  </si>
  <si>
    <t xml:space="preserve">算力服務費（研發＋銷售成本合計）</t>
  </si>
  <si>
    <r>
      <rPr>
        <sz val="10"/>
        <color rgb="FF000000"/>
        <rFont val="Noto Sans CJK SC"/>
        <family val="2"/>
      </rPr>
      <t xml:space="preserve">原文「</t>
    </r>
    <r>
      <rPr>
        <sz val="10"/>
        <color rgb="FF000000"/>
        <rFont val="Arial"/>
        <family val="0"/>
        <charset val="1"/>
      </rPr>
      <t xml:space="preserve">2024</t>
    </r>
    <r>
      <rPr>
        <sz val="10"/>
        <color rgb="FF000000"/>
        <rFont val="Noto Sans CJK SC"/>
        <family val="2"/>
      </rPr>
      <t xml:space="preserve">年，智譜的算力服務費達到</t>
    </r>
    <r>
      <rPr>
        <sz val="10"/>
        <color rgb="FF000000"/>
        <rFont val="Arial"/>
        <family val="0"/>
        <charset val="1"/>
      </rPr>
      <t xml:space="preserve">15.52</t>
    </r>
    <r>
      <rPr>
        <sz val="10"/>
        <color rgb="FF000000"/>
        <rFont val="Noto Sans CJK SC"/>
        <family val="2"/>
      </rPr>
      <t xml:space="preserve">億元，這已然是同期收入的</t>
    </r>
    <r>
      <rPr>
        <sz val="10"/>
        <color rgb="FF000000"/>
        <rFont val="Arial"/>
        <family val="0"/>
        <charset val="1"/>
      </rPr>
      <t xml:space="preserve">5</t>
    </r>
    <r>
      <rPr>
        <sz val="10"/>
        <color rgb="FF000000"/>
        <rFont val="Noto Sans CJK SC"/>
        <family val="2"/>
      </rPr>
      <t xml:space="preserve">倍左右」；轉述 </t>
    </r>
    <r>
      <rPr>
        <sz val="10"/>
        <color rgb="FF000000"/>
        <rFont val="Arial"/>
        <family val="0"/>
        <charset val="1"/>
      </rPr>
      <t xml:space="preserve">PHIP</t>
    </r>
    <r>
      <rPr>
        <sz val="10"/>
        <color rgb="FF000000"/>
        <rFont val="Noto Sans CJK SC"/>
        <family val="2"/>
      </rPr>
      <t xml:space="preserve">；【</t>
    </r>
    <r>
      <rPr>
        <sz val="10"/>
        <color rgb="FF000000"/>
        <rFont val="Arial"/>
        <family val="0"/>
        <charset val="1"/>
      </rPr>
      <t xml:space="preserve">r2 P2 </t>
    </r>
    <r>
      <rPr>
        <sz val="10"/>
        <color rgb="FF000000"/>
        <rFont val="Noto Sans CJK SC"/>
        <family val="2"/>
      </rPr>
      <t xml:space="preserve">口徑更正】</t>
    </r>
    <r>
      <rPr>
        <sz val="10"/>
        <color rgb="FF000000"/>
        <rFont val="Arial"/>
        <family val="0"/>
        <charset val="1"/>
      </rPr>
      <t xml:space="preserve">15.52 </t>
    </r>
    <r>
      <rPr>
        <sz val="10"/>
        <color rgb="FF000000"/>
        <rFont val="Noto Sans CJK SC"/>
        <family val="2"/>
      </rPr>
      <t xml:space="preserve">億實為研發項下算力費（</t>
    </r>
    <r>
      <rPr>
        <sz val="10"/>
        <color rgb="FF000000"/>
        <rFont val="Arial"/>
        <family val="0"/>
        <charset val="1"/>
      </rPr>
      <t xml:space="preserve">SRC_ZP_613</t>
    </r>
    <r>
      <rPr>
        <sz val="10"/>
        <color rgb="FF000000"/>
        <rFont val="Noto Sans CJK SC"/>
        <family val="2"/>
      </rPr>
      <t xml:space="preserve">）；三科目合計 </t>
    </r>
    <r>
      <rPr>
        <sz val="10"/>
        <color rgb="FF000000"/>
        <rFont val="Arial"/>
        <family val="0"/>
        <charset val="1"/>
      </rPr>
      <t xml:space="preserve">15.96 </t>
    </r>
    <r>
      <rPr>
        <sz val="10"/>
        <color rgb="FF000000"/>
        <rFont val="Noto Sans CJK SC"/>
        <family val="2"/>
      </rPr>
      <t xml:space="preserve">億見 </t>
    </r>
    <r>
      <rPr>
        <sz val="10"/>
        <color rgb="FF000000"/>
        <rFont val="Arial"/>
        <family val="0"/>
        <charset val="1"/>
      </rPr>
      <t xml:space="preserve">SRC_ZP_740</t>
    </r>
  </si>
  <si>
    <t xml:space="preserve">SRC_ZP_449</t>
  </si>
  <si>
    <t xml:space="preserve">cmp_fee_total_fy24_b</t>
  </si>
  <si>
    <r>
      <rPr>
        <sz val="10"/>
        <color rgb="FF000000"/>
        <rFont val="Noto Sans CJK SC"/>
        <family val="2"/>
      </rPr>
      <t xml:space="preserve">算力服務費（媒體 </t>
    </r>
    <r>
      <rPr>
        <sz val="10"/>
        <color rgb="FF000000"/>
        <rFont val="Arial"/>
        <family val="0"/>
        <charset val="1"/>
      </rPr>
      <t xml:space="preserve">b</t>
    </r>
    <r>
      <rPr>
        <sz val="10"/>
        <color rgb="FF000000"/>
        <rFont val="Noto Sans CJK SC"/>
        <family val="2"/>
      </rPr>
      <t xml:space="preserve">）</t>
    </r>
  </si>
  <si>
    <r>
      <rPr>
        <sz val="10"/>
        <color rgb="FF000000"/>
        <rFont val="Noto Sans CJK SC"/>
        <family val="2"/>
      </rPr>
      <t xml:space="preserve">每日經濟新聞（</t>
    </r>
    <r>
      <rPr>
        <sz val="10"/>
        <color rgb="FF000000"/>
        <rFont val="Arial"/>
        <family val="0"/>
        <charset val="1"/>
      </rPr>
      <t xml:space="preserve">2025-12-21</t>
    </r>
    <r>
      <rPr>
        <sz val="10"/>
        <color rgb="FF000000"/>
        <rFont val="Noto Sans CJK SC"/>
        <family val="2"/>
      </rPr>
      <t xml:space="preserve">）</t>
    </r>
  </si>
  <si>
    <r>
      <rPr>
        <sz val="10"/>
        <color rgb="FF000000"/>
        <rFont val="Noto Sans CJK SC"/>
        <family val="2"/>
      </rPr>
      <t xml:space="preserve">原文「</t>
    </r>
    <r>
      <rPr>
        <sz val="10"/>
        <color rgb="FF000000"/>
        <rFont val="Arial"/>
        <family val="0"/>
        <charset val="1"/>
      </rPr>
      <t xml:space="preserve">2024</t>
    </r>
    <r>
      <rPr>
        <sz val="10"/>
        <color rgb="FF000000"/>
        <rFont val="Noto Sans CJK SC"/>
        <family val="2"/>
      </rPr>
      <t xml:space="preserve">年，智譜算力服務費用為</t>
    </r>
    <r>
      <rPr>
        <sz val="10"/>
        <color rgb="FF000000"/>
        <rFont val="Arial"/>
        <family val="0"/>
        <charset val="1"/>
      </rPr>
      <t xml:space="preserve">15.53</t>
    </r>
    <r>
      <rPr>
        <sz val="10"/>
        <color rgb="FF000000"/>
        <rFont val="Noto Sans CJK SC"/>
        <family val="2"/>
      </rPr>
      <t xml:space="preserve">億元，佔研發開支的比重超過</t>
    </r>
    <r>
      <rPr>
        <sz val="10"/>
        <color rgb="FF000000"/>
        <rFont val="Arial"/>
        <family val="0"/>
        <charset val="1"/>
      </rPr>
      <t xml:space="preserve">70%</t>
    </r>
    <r>
      <rPr>
        <sz val="10"/>
        <color rgb="FF000000"/>
        <rFont val="Noto Sans CJK SC"/>
        <family val="2"/>
      </rPr>
      <t xml:space="preserve">」；與 </t>
    </r>
    <r>
      <rPr>
        <sz val="10"/>
        <color rgb="FF000000"/>
        <rFont val="Arial"/>
        <family val="0"/>
        <charset val="1"/>
      </rPr>
      <t xml:space="preserve">15.52 </t>
    </r>
    <r>
      <rPr>
        <sz val="10"/>
        <color rgb="FF000000"/>
        <rFont val="Noto Sans CJK SC"/>
        <family val="2"/>
      </rPr>
      <t xml:space="preserve">差 </t>
    </r>
    <r>
      <rPr>
        <sz val="10"/>
        <color rgb="FF000000"/>
        <rFont val="Arial"/>
        <family val="0"/>
        <charset val="1"/>
      </rPr>
      <t xml:space="preserve">0.01</t>
    </r>
    <r>
      <rPr>
        <sz val="10"/>
        <color rgb="FF000000"/>
        <rFont val="Noto Sans CJK SC"/>
        <family val="2"/>
      </rPr>
      <t xml:space="preserve">（四捨五入）；【</t>
    </r>
    <r>
      <rPr>
        <sz val="10"/>
        <color rgb="FF000000"/>
        <rFont val="Arial"/>
        <family val="0"/>
        <charset val="1"/>
      </rPr>
      <t xml:space="preserve">r2 P2 </t>
    </r>
    <r>
      <rPr>
        <sz val="10"/>
        <color rgb="FF000000"/>
        <rFont val="Noto Sans CJK SC"/>
        <family val="2"/>
      </rPr>
      <t xml:space="preserve">口徑更正】同 </t>
    </r>
    <r>
      <rPr>
        <sz val="10"/>
        <color rgb="FF000000"/>
        <rFont val="Arial"/>
        <family val="0"/>
        <charset val="1"/>
      </rPr>
      <t xml:space="preserve">SRC_ZP_448</t>
    </r>
    <r>
      <rPr>
        <sz val="10"/>
        <color rgb="FF000000"/>
        <rFont val="Noto Sans CJK SC"/>
        <family val="2"/>
      </rPr>
      <t xml:space="preserve">；研發項下見 </t>
    </r>
    <r>
      <rPr>
        <sz val="10"/>
        <color rgb="FF000000"/>
        <rFont val="Arial"/>
        <family val="0"/>
        <charset val="1"/>
      </rPr>
      <t xml:space="preserve">SRC_ZP_613</t>
    </r>
    <r>
      <rPr>
        <sz val="10"/>
        <color rgb="FF000000"/>
        <rFont val="Noto Sans CJK SC"/>
        <family val="2"/>
      </rPr>
      <t xml:space="preserve">、三科目合計見 </t>
    </r>
    <r>
      <rPr>
        <sz val="10"/>
        <color rgb="FF000000"/>
        <rFont val="Arial"/>
        <family val="0"/>
        <charset val="1"/>
      </rPr>
      <t xml:space="preserve">SRC_ZP_740</t>
    </r>
  </si>
  <si>
    <t xml:space="preserve">SRC_ZP_450</t>
  </si>
  <si>
    <t xml:space="preserve">cmp_fee_total_1h25</t>
  </si>
  <si>
    <t xml:space="preserve">算力服務費（含訓練與雲端部署）</t>
  </si>
  <si>
    <r>
      <rPr>
        <sz val="10"/>
        <color rgb="FF000000"/>
        <rFont val="Noto Sans CJK SC"/>
        <family val="2"/>
      </rPr>
      <t xml:space="preserve">原文「算力服務費（包括模型訓練以及通過雲端部署為客戶提供服務）從</t>
    </r>
    <r>
      <rPr>
        <sz val="10"/>
        <color rgb="FF000000"/>
        <rFont val="Arial"/>
        <family val="0"/>
        <charset val="1"/>
      </rPr>
      <t xml:space="preserve">2022</t>
    </r>
    <r>
      <rPr>
        <sz val="10"/>
        <color rgb="FF000000"/>
        <rFont val="Noto Sans CJK SC"/>
        <family val="2"/>
      </rPr>
      <t xml:space="preserve">年的</t>
    </r>
    <r>
      <rPr>
        <sz val="10"/>
        <color rgb="FF000000"/>
        <rFont val="Arial"/>
        <family val="0"/>
        <charset val="1"/>
      </rPr>
      <t xml:space="preserve">0.15</t>
    </r>
    <r>
      <rPr>
        <sz val="10"/>
        <color rgb="FF000000"/>
        <rFont val="Noto Sans CJK SC"/>
        <family val="2"/>
      </rPr>
      <t xml:space="preserve">億元到</t>
    </r>
    <r>
      <rPr>
        <sz val="10"/>
        <color rgb="FF000000"/>
        <rFont val="Arial"/>
        <family val="0"/>
        <charset val="1"/>
      </rPr>
      <t xml:space="preserve">2025</t>
    </r>
    <r>
      <rPr>
        <sz val="10"/>
        <color rgb="FF000000"/>
        <rFont val="Noto Sans CJK SC"/>
        <family val="2"/>
      </rPr>
      <t xml:space="preserve">年上半年的</t>
    </r>
    <r>
      <rPr>
        <sz val="10"/>
        <color rgb="FF000000"/>
        <rFont val="Arial"/>
        <family val="0"/>
        <charset val="1"/>
      </rPr>
      <t xml:space="preserve">11.45</t>
    </r>
    <r>
      <rPr>
        <sz val="10"/>
        <color rgb="FF000000"/>
        <rFont val="Noto Sans CJK SC"/>
        <family val="2"/>
      </rPr>
      <t xml:space="preserve">億」；【</t>
    </r>
    <r>
      <rPr>
        <sz val="10"/>
        <color rgb="FF000000"/>
        <rFont val="Arial"/>
        <family val="0"/>
        <charset val="1"/>
      </rPr>
      <t xml:space="preserve">r2 P2 </t>
    </r>
    <r>
      <rPr>
        <sz val="10"/>
        <color rgb="FF000000"/>
        <rFont val="Noto Sans CJK SC"/>
        <family val="2"/>
      </rPr>
      <t xml:space="preserve">口徑更正】</t>
    </r>
    <r>
      <rPr>
        <sz val="10"/>
        <color rgb="FF000000"/>
        <rFont val="Arial"/>
        <family val="0"/>
        <charset val="1"/>
      </rPr>
      <t xml:space="preserve">11.45 </t>
    </r>
    <r>
      <rPr>
        <sz val="10"/>
        <color rgb="FF000000"/>
        <rFont val="Noto Sans CJK SC"/>
        <family val="2"/>
      </rPr>
      <t xml:space="preserve">億為研發項下算力費（</t>
    </r>
    <r>
      <rPr>
        <sz val="10"/>
        <color rgb="FF000000"/>
        <rFont val="Arial"/>
        <family val="0"/>
        <charset val="1"/>
      </rPr>
      <t xml:space="preserve">SRC_ZP_615</t>
    </r>
    <r>
      <rPr>
        <sz val="10"/>
        <color rgb="FF000000"/>
        <rFont val="Noto Sans CJK SC"/>
        <family val="2"/>
      </rPr>
      <t xml:space="preserve">），不含營業成本；三科目合計 </t>
    </r>
    <r>
      <rPr>
        <sz val="10"/>
        <color rgb="FF000000"/>
        <rFont val="Arial"/>
        <family val="0"/>
        <charset val="1"/>
      </rPr>
      <t xml:space="preserve">12.02 </t>
    </r>
    <r>
      <rPr>
        <sz val="10"/>
        <color rgb="FF000000"/>
        <rFont val="Noto Sans CJK SC"/>
        <family val="2"/>
      </rPr>
      <t xml:space="preserve">億見 </t>
    </r>
    <r>
      <rPr>
        <sz val="10"/>
        <color rgb="FF000000"/>
        <rFont val="Arial"/>
        <family val="0"/>
        <charset val="1"/>
      </rPr>
      <t xml:space="preserve">SRC_ZP_742</t>
    </r>
  </si>
  <si>
    <t xml:space="preserve">SRC_ZP_451</t>
  </si>
  <si>
    <t xml:space="preserve">cmp_fee_total_fy22</t>
  </si>
  <si>
    <r>
      <rPr>
        <sz val="10"/>
        <color rgb="FF000000"/>
        <rFont val="Noto Sans CJK SC"/>
        <family val="2"/>
      </rPr>
      <t xml:space="preserve">同上「</t>
    </r>
    <r>
      <rPr>
        <sz val="10"/>
        <color rgb="FF000000"/>
        <rFont val="Arial"/>
        <family val="0"/>
        <charset val="1"/>
      </rPr>
      <t xml:space="preserve">2022</t>
    </r>
    <r>
      <rPr>
        <sz val="10"/>
        <color rgb="FF000000"/>
        <rFont val="Noto Sans CJK SC"/>
        <family val="2"/>
      </rPr>
      <t xml:space="preserve">年的</t>
    </r>
    <r>
      <rPr>
        <sz val="10"/>
        <color rgb="FF000000"/>
        <rFont val="Arial"/>
        <family val="0"/>
        <charset val="1"/>
      </rPr>
      <t xml:space="preserve">0.15</t>
    </r>
    <r>
      <rPr>
        <sz val="10"/>
        <color rgb="FF000000"/>
        <rFont val="Noto Sans CJK SC"/>
        <family val="2"/>
      </rPr>
      <t xml:space="preserve">億元」；【</t>
    </r>
    <r>
      <rPr>
        <sz val="10"/>
        <color rgb="FF000000"/>
        <rFont val="Arial"/>
        <family val="0"/>
        <charset val="1"/>
      </rPr>
      <t xml:space="preserve">r2 P2 </t>
    </r>
    <r>
      <rPr>
        <sz val="10"/>
        <color rgb="FF000000"/>
        <rFont val="Noto Sans CJK SC"/>
        <family val="2"/>
      </rPr>
      <t xml:space="preserve">口徑更正】</t>
    </r>
    <r>
      <rPr>
        <sz val="10"/>
        <color rgb="FF000000"/>
        <rFont val="Arial"/>
        <family val="0"/>
        <charset val="1"/>
      </rPr>
      <t xml:space="preserve">0.15 </t>
    </r>
    <r>
      <rPr>
        <sz val="10"/>
        <color rgb="FF000000"/>
        <rFont val="Noto Sans CJK SC"/>
        <family val="2"/>
      </rPr>
      <t xml:space="preserve">億為研發項下（</t>
    </r>
    <r>
      <rPr>
        <sz val="10"/>
        <color rgb="FF000000"/>
        <rFont val="Arial"/>
        <family val="0"/>
        <charset val="1"/>
      </rPr>
      <t xml:space="preserve">SRC_ZP_611</t>
    </r>
    <r>
      <rPr>
        <sz val="10"/>
        <color rgb="FF000000"/>
        <rFont val="Noto Sans CJK SC"/>
        <family val="2"/>
      </rPr>
      <t xml:space="preserve">）；三科目合計見 </t>
    </r>
    <r>
      <rPr>
        <sz val="10"/>
        <color rgb="FF000000"/>
        <rFont val="Arial"/>
        <family val="0"/>
        <charset val="1"/>
      </rPr>
      <t xml:space="preserve">SRC_ZP_738</t>
    </r>
  </si>
  <si>
    <t xml:space="preserve">SRC_ZP_452</t>
  </si>
  <si>
    <t xml:space="preserve">cmp_chips_domestic_100k</t>
  </si>
  <si>
    <t xml:space="preserve">推論用國產晶片規模</t>
  </si>
  <si>
    <r>
      <rPr>
        <sz val="10"/>
        <color rgb="FF000000"/>
        <rFont val="Noto Sans CJK SC"/>
        <family val="2"/>
      </rPr>
      <t xml:space="preserve">張（以上，「</t>
    </r>
    <r>
      <rPr>
        <sz val="10"/>
        <color rgb="FF000000"/>
        <rFont val="Arial"/>
        <family val="0"/>
        <charset val="1"/>
      </rPr>
      <t xml:space="preserve">10 </t>
    </r>
    <r>
      <rPr>
        <sz val="10"/>
        <color rgb="FF000000"/>
        <rFont val="Noto Sans CJK SC"/>
        <family val="2"/>
      </rPr>
      <t xml:space="preserve">萬級」）</t>
    </r>
  </si>
  <si>
    <r>
      <rPr>
        <sz val="10"/>
        <color rgb="FF000000"/>
        <rFont val="Noto Sans CJK SC"/>
        <family val="2"/>
      </rPr>
      <t xml:space="preserve">截至 </t>
    </r>
    <r>
      <rPr>
        <sz val="10"/>
        <color rgb="FF000000"/>
        <rFont val="Arial"/>
        <family val="0"/>
        <charset val="1"/>
      </rPr>
      <t xml:space="preserve">2026-08-31</t>
    </r>
  </si>
  <si>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中期業績公告（</t>
    </r>
    <r>
      <rPr>
        <sz val="10"/>
        <color rgb="FF000000"/>
        <rFont val="Arial"/>
        <family val="0"/>
        <charset val="1"/>
      </rPr>
      <t xml:space="preserve">Z.AI Co., Ltd.</t>
    </r>
    <r>
      <rPr>
        <sz val="10"/>
        <color rgb="FF000000"/>
        <rFont val="Noto Sans CJK SC"/>
        <family val="2"/>
      </rPr>
      <t xml:space="preserve">，截至 </t>
    </r>
    <r>
      <rPr>
        <sz val="10"/>
        <color rgb="FF000000"/>
        <rFont val="Arial"/>
        <family val="0"/>
        <charset val="1"/>
      </rPr>
      <t xml:space="preserve">2026-06-30 </t>
    </r>
    <r>
      <rPr>
        <sz val="10"/>
        <color rgb="FF000000"/>
        <rFont val="Noto Sans CJK SC"/>
        <family val="2"/>
      </rPr>
      <t xml:space="preserve">止六個月）（第 </t>
    </r>
    <r>
      <rPr>
        <sz val="10"/>
        <color rgb="FF000000"/>
        <rFont val="Arial"/>
        <family val="0"/>
        <charset val="1"/>
      </rPr>
      <t xml:space="preserve">4 </t>
    </r>
    <r>
      <rPr>
        <sz val="10"/>
        <color rgb="FF000000"/>
        <rFont val="Noto Sans CJK SC"/>
        <family val="2"/>
      </rPr>
      <t xml:space="preserve">頁）</t>
    </r>
  </si>
  <si>
    <r>
      <rPr>
        <sz val="10"/>
        <color rgb="FF000000"/>
        <rFont val="Noto Sans CJK SC"/>
        <family val="2"/>
      </rPr>
      <t xml:space="preserve">原文「</t>
    </r>
    <r>
      <rPr>
        <sz val="10"/>
        <color rgb="FF000000"/>
        <rFont val="Arial"/>
        <family val="0"/>
        <charset val="1"/>
      </rPr>
      <t xml:space="preserve">large-scale, low-cost inference across a cluster of over 100,000 domestic chips</t>
    </r>
    <r>
      <rPr>
        <sz val="10"/>
        <color rgb="FF000000"/>
        <rFont val="Noto Sans CJK SC"/>
        <family val="2"/>
      </rPr>
      <t xml:space="preserve">」；未揭露廠牌、自有或租用、型號</t>
    </r>
  </si>
  <si>
    <t xml:space="preserve">SRC_ZP_453</t>
  </si>
  <si>
    <t xml:space="preserve">cmp_chips_domestic_100k_b</t>
  </si>
  <si>
    <t xml:space="preserve">推論用國產晶片規模（中文轉述）</t>
  </si>
  <si>
    <r>
      <rPr>
        <sz val="10"/>
        <color rgb="FF000000"/>
        <rFont val="Noto Sans CJK SC"/>
        <family val="2"/>
      </rPr>
      <t xml:space="preserve">張（</t>
    </r>
    <r>
      <rPr>
        <sz val="10"/>
        <color rgb="FF000000"/>
        <rFont val="Arial"/>
        <family val="0"/>
        <charset val="1"/>
      </rPr>
      <t xml:space="preserve">10 </t>
    </r>
    <r>
      <rPr>
        <sz val="10"/>
        <color rgb="FF000000"/>
        <rFont val="Noto Sans CJK SC"/>
        <family val="2"/>
      </rPr>
      <t xml:space="preserve">萬級）</t>
    </r>
  </si>
  <si>
    <t xml:space="preserve">2026</t>
  </si>
  <si>
    <r>
      <rPr>
        <sz val="10"/>
        <color rgb="FF000000"/>
        <rFont val="Noto Sans CJK SC"/>
        <family val="2"/>
      </rPr>
      <t xml:space="preserve">網易科技（同花順 </t>
    </r>
    <r>
      <rPr>
        <sz val="10"/>
        <color rgb="FF000000"/>
        <rFont val="Arial"/>
        <family val="0"/>
        <charset val="1"/>
      </rPr>
      <t xml:space="preserve">2026-09-01</t>
    </r>
    <r>
      <rPr>
        <sz val="10"/>
        <color rgb="FF000000"/>
        <rFont val="Noto Sans CJK SC"/>
        <family val="2"/>
      </rPr>
      <t xml:space="preserve">）</t>
    </r>
  </si>
  <si>
    <r>
      <rPr>
        <sz val="10"/>
        <color rgb="FF000000"/>
        <rFont val="Noto Sans CJK SC"/>
        <family val="2"/>
      </rPr>
      <t xml:space="preserve">原文「已經實現</t>
    </r>
    <r>
      <rPr>
        <sz val="10"/>
        <color rgb="FF000000"/>
        <rFont val="Arial"/>
        <family val="0"/>
        <charset val="1"/>
      </rPr>
      <t xml:space="preserve">10</t>
    </r>
    <r>
      <rPr>
        <sz val="10"/>
        <color rgb="FF000000"/>
        <rFont val="Noto Sans CJK SC"/>
        <family val="2"/>
      </rPr>
      <t xml:space="preserve">萬級國產晶片的規模化低成本推理」，</t>
    </r>
    <r>
      <rPr>
        <sz val="10"/>
        <color rgb="FF000000"/>
        <rFont val="Arial"/>
        <family val="0"/>
        <charset val="1"/>
      </rPr>
      <t xml:space="preserve">2026 </t>
    </r>
    <r>
      <rPr>
        <sz val="10"/>
        <color rgb="FF000000"/>
        <rFont val="Noto Sans CJK SC"/>
        <family val="2"/>
      </rPr>
      <t xml:space="preserve">年初起全面實施 </t>
    </r>
    <r>
      <rPr>
        <sz val="10"/>
        <color rgb="FF000000"/>
        <rFont val="Arial"/>
        <family val="0"/>
        <charset val="1"/>
      </rPr>
      <t xml:space="preserve">All-in-Infra </t>
    </r>
    <r>
      <rPr>
        <sz val="10"/>
        <color rgb="FF000000"/>
        <rFont val="Noto Sans CJK SC"/>
        <family val="2"/>
      </rPr>
      <t xml:space="preserve">戰略</t>
    </r>
  </si>
  <si>
    <t xml:space="preserve">SRC_ZP_454</t>
  </si>
  <si>
    <t xml:space="preserve">cmp_inf_cost_drop</t>
  </si>
  <si>
    <r>
      <rPr>
        <sz val="10"/>
        <color rgb="FF000000"/>
        <rFont val="Noto Sans CJK SC"/>
        <family val="2"/>
      </rPr>
      <t xml:space="preserve">單位 </t>
    </r>
    <r>
      <rPr>
        <sz val="10"/>
        <color rgb="FF000000"/>
        <rFont val="Arial"/>
        <family val="0"/>
        <charset val="1"/>
      </rPr>
      <t xml:space="preserve">token </t>
    </r>
    <r>
      <rPr>
        <sz val="10"/>
        <color rgb="FF000000"/>
        <rFont val="Noto Sans CJK SC"/>
        <family val="2"/>
      </rPr>
      <t xml:space="preserve">推論成本較年初降幅</t>
    </r>
  </si>
  <si>
    <t xml:space="preserve">2026-01-01→2026-08</t>
  </si>
  <si>
    <r>
      <rPr>
        <sz val="10"/>
        <color rgb="FF000000"/>
        <rFont val="Noto Sans CJK SC"/>
        <family val="2"/>
      </rPr>
      <t xml:space="preserve">原文「</t>
    </r>
    <r>
      <rPr>
        <sz val="10"/>
        <color rgb="FF000000"/>
        <rFont val="Arial"/>
        <family val="0"/>
        <charset val="1"/>
      </rPr>
      <t xml:space="preserve">unit Token inference costs declining by 80% from the beginning of the year</t>
    </r>
    <r>
      <rPr>
        <sz val="10"/>
        <color rgb="FF000000"/>
        <rFont val="Noto Sans CJK SC"/>
        <family val="2"/>
      </rPr>
      <t xml:space="preserve">」；未說明是否含晶片折舊</t>
    </r>
  </si>
  <si>
    <t xml:space="preserve">SRC_ZP_455</t>
  </si>
  <si>
    <t xml:space="preserve">cmp_e2e_perf_3x</t>
  </si>
  <si>
    <t xml:space="preserve">同硬體端到端服務效能提升倍數</t>
  </si>
  <si>
    <r>
      <rPr>
        <sz val="10"/>
        <color rgb="FF000000"/>
        <rFont val="Arial"/>
        <family val="0"/>
        <charset val="1"/>
      </rPr>
      <t xml:space="preserve">2026</t>
    </r>
    <r>
      <rPr>
        <sz val="10"/>
        <color rgb="FF000000"/>
        <rFont val="Noto Sans CJK SC"/>
        <family val="2"/>
      </rPr>
      <t xml:space="preserve">（相對初始基線）</t>
    </r>
  </si>
  <si>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中期業績公告（</t>
    </r>
    <r>
      <rPr>
        <sz val="10"/>
        <color rgb="FF000000"/>
        <rFont val="Arial"/>
        <family val="0"/>
        <charset val="1"/>
      </rPr>
      <t xml:space="preserve">Z.AI Co., Ltd.</t>
    </r>
    <r>
      <rPr>
        <sz val="10"/>
        <color rgb="FF000000"/>
        <rFont val="Noto Sans CJK SC"/>
        <family val="2"/>
      </rPr>
      <t xml:space="preserve">，截至 </t>
    </r>
    <r>
      <rPr>
        <sz val="10"/>
        <color rgb="FF000000"/>
        <rFont val="Arial"/>
        <family val="0"/>
        <charset val="1"/>
      </rPr>
      <t xml:space="preserve">2026-06-30 </t>
    </r>
    <r>
      <rPr>
        <sz val="10"/>
        <color rgb="FF000000"/>
        <rFont val="Noto Sans CJK SC"/>
        <family val="2"/>
      </rPr>
      <t xml:space="preserve">止六個月）（第 </t>
    </r>
    <r>
      <rPr>
        <sz val="10"/>
        <color rgb="FF000000"/>
        <rFont val="Arial"/>
        <family val="0"/>
        <charset val="1"/>
      </rPr>
      <t xml:space="preserve">12 </t>
    </r>
    <r>
      <rPr>
        <sz val="10"/>
        <color rgb="FF000000"/>
        <rFont val="Noto Sans CJK SC"/>
        <family val="2"/>
      </rPr>
      <t xml:space="preserve">頁）</t>
    </r>
  </si>
  <si>
    <r>
      <rPr>
        <sz val="10"/>
        <color rgb="FF000000"/>
        <rFont val="Noto Sans CJK SC"/>
        <family val="2"/>
      </rPr>
      <t xml:space="preserve">原文「</t>
    </r>
    <r>
      <rPr>
        <sz val="10"/>
        <color rgb="FF000000"/>
        <rFont val="Arial"/>
        <family val="0"/>
        <charset val="1"/>
      </rPr>
      <t xml:space="preserve">Compared with the initial baseline on the same hardware, end-to-end service performance tripled</t>
    </r>
    <r>
      <rPr>
        <sz val="10"/>
        <color rgb="FF000000"/>
        <rFont val="Noto Sans CJK SC"/>
        <family val="2"/>
      </rPr>
      <t xml:space="preserve">」；第 </t>
    </r>
    <r>
      <rPr>
        <sz val="10"/>
        <color rgb="FF000000"/>
        <rFont val="Arial"/>
        <family val="0"/>
        <charset val="1"/>
      </rPr>
      <t xml:space="preserve">21 </t>
    </r>
    <r>
      <rPr>
        <sz val="10"/>
        <color rgb="FF000000"/>
        <rFont val="Noto Sans CJK SC"/>
        <family val="2"/>
      </rPr>
      <t xml:space="preserve">頁 </t>
    </r>
    <r>
      <rPr>
        <sz val="10"/>
        <color rgb="FF000000"/>
        <rFont val="Arial"/>
        <family val="0"/>
        <charset val="1"/>
      </rPr>
      <t xml:space="preserve">GLM-5.3-Flash </t>
    </r>
    <r>
      <rPr>
        <sz val="10"/>
        <color rgb="FF000000"/>
        <rFont val="Noto Sans CJK SC"/>
        <family val="2"/>
      </rPr>
      <t xml:space="preserve">於國產晶片「</t>
    </r>
    <r>
      <rPr>
        <sz val="10"/>
        <color rgb="FF000000"/>
        <rFont val="Arial"/>
        <family val="0"/>
        <charset val="1"/>
      </rPr>
      <t xml:space="preserve">300% improvement</t>
    </r>
    <r>
      <rPr>
        <sz val="10"/>
        <color rgb="FF000000"/>
        <rFont val="Noto Sans CJK SC"/>
        <family val="2"/>
      </rPr>
      <t xml:space="preserve">」</t>
    </r>
  </si>
  <si>
    <t xml:space="preserve">SRC_ZP_456</t>
  </si>
  <si>
    <t xml:space="preserve">cmp_multiplier_yoy</t>
  </si>
  <si>
    <t xml:space="preserve">「算力乘數」同比增幅</t>
  </si>
  <si>
    <t xml:space="preserve">1H2026 vs 1H2025</t>
  </si>
  <si>
    <r>
      <rPr>
        <sz val="10"/>
        <color rgb="FF000000"/>
        <rFont val="Noto Sans CJK SC"/>
        <family val="2"/>
      </rPr>
      <t xml:space="preserve">定義「</t>
    </r>
    <r>
      <rPr>
        <sz val="10"/>
        <color rgb="FF000000"/>
        <rFont val="Arial"/>
        <family val="0"/>
        <charset val="1"/>
      </rPr>
      <t xml:space="preserve">open platform and API revenue generated from every RMB1 of computing power investment</t>
    </r>
    <r>
      <rPr>
        <sz val="10"/>
        <color rgb="FF000000"/>
        <rFont val="Noto Sans CJK SC"/>
        <family val="2"/>
      </rPr>
      <t xml:space="preserve">」（分母含訓練與推論），「</t>
    </r>
    <r>
      <rPr>
        <sz val="10"/>
        <color rgb="FF000000"/>
        <rFont val="Arial"/>
        <family val="0"/>
        <charset val="1"/>
      </rPr>
      <t xml:space="preserve">increased by approximately 14 times year-on-year</t>
    </r>
    <r>
      <rPr>
        <sz val="10"/>
        <color rgb="FF000000"/>
        <rFont val="Noto Sans CJK SC"/>
        <family val="2"/>
      </rPr>
      <t xml:space="preserve">」</t>
    </r>
  </si>
  <si>
    <t xml:space="preserve">SRC_ZP_457</t>
  </si>
  <si>
    <t xml:space="preserve">cmp_deploy_cost_50</t>
  </si>
  <si>
    <r>
      <rPr>
        <sz val="10"/>
        <color rgb="FF000000"/>
        <rFont val="Noto Sans CJK SC"/>
        <family val="2"/>
      </rPr>
      <t xml:space="preserve">部署成本降幅（</t>
    </r>
    <r>
      <rPr>
        <sz val="10"/>
        <color rgb="FF000000"/>
        <rFont val="Arial"/>
        <family val="0"/>
        <charset val="1"/>
      </rPr>
      <t xml:space="preserve">FY2025 </t>
    </r>
    <r>
      <rPr>
        <sz val="10"/>
        <color rgb="FF000000"/>
        <rFont val="Noto Sans CJK SC"/>
        <family val="2"/>
      </rPr>
      <t xml:space="preserve">說法）</t>
    </r>
  </si>
  <si>
    <r>
      <rPr>
        <sz val="10"/>
        <color rgb="FF000000"/>
        <rFont val="Noto Sans CJK SC"/>
        <family val="2"/>
      </rPr>
      <t xml:space="preserve">原文「</t>
    </r>
    <r>
      <rPr>
        <sz val="10"/>
        <color rgb="FF000000"/>
        <rFont val="Arial"/>
        <family val="0"/>
        <charset val="1"/>
      </rPr>
      <t xml:space="preserve">cutting deployment costs by 50% with zero performance degradation</t>
    </r>
    <r>
      <rPr>
        <sz val="10"/>
        <color rgb="FF000000"/>
        <rFont val="Noto Sans CJK SC"/>
        <family val="2"/>
      </rPr>
      <t xml:space="preserve">」；另稱國產晶片推論效率「</t>
    </r>
    <r>
      <rPr>
        <sz val="10"/>
        <color rgb="FF000000"/>
        <rFont val="Arial"/>
        <family val="0"/>
        <charset val="1"/>
      </rPr>
      <t xml:space="preserve">comparable to that of international top-tier chips</t>
    </r>
    <r>
      <rPr>
        <sz val="10"/>
        <color rgb="FF000000"/>
        <rFont val="Noto Sans CJK SC"/>
        <family val="2"/>
      </rPr>
      <t xml:space="preserve">」</t>
    </r>
  </si>
  <si>
    <t xml:space="preserve">SRC_ZP_458</t>
  </si>
  <si>
    <t xml:space="preserve">cmp_1gw_dc</t>
  </si>
  <si>
    <r>
      <rPr>
        <sz val="10"/>
        <color rgb="FF000000"/>
        <rFont val="Noto Sans CJK SC"/>
        <family val="2"/>
      </rPr>
      <t xml:space="preserve">國產 </t>
    </r>
    <r>
      <rPr>
        <sz val="10"/>
        <color rgb="FF000000"/>
        <rFont val="Arial"/>
        <family val="0"/>
        <charset val="1"/>
      </rPr>
      <t xml:space="preserve">AI </t>
    </r>
    <r>
      <rPr>
        <sz val="10"/>
        <color rgb="FF000000"/>
        <rFont val="Noto Sans CJK SC"/>
        <family val="2"/>
      </rPr>
      <t xml:space="preserve">算力資料中心規模</t>
    </r>
  </si>
  <si>
    <r>
      <rPr>
        <sz val="10"/>
        <color rgb="FF000000"/>
        <rFont val="Arial"/>
        <family val="0"/>
        <charset val="1"/>
      </rPr>
      <t xml:space="preserve">GW</t>
    </r>
    <r>
      <rPr>
        <sz val="10"/>
        <color rgb="FF000000"/>
        <rFont val="Noto Sans CJK SC"/>
        <family val="2"/>
      </rPr>
      <t xml:space="preserve">（口徑未明）</t>
    </r>
  </si>
  <si>
    <t xml:space="preserve">2026-07-21</t>
  </si>
  <si>
    <r>
      <rPr>
        <sz val="10"/>
        <color rgb="FF000000"/>
        <rFont val="Noto Sans CJK SC"/>
        <family val="2"/>
      </rPr>
      <t xml:space="preserve">財聞（同花順 </t>
    </r>
    <r>
      <rPr>
        <sz val="10"/>
        <color rgb="FF000000"/>
        <rFont val="Arial"/>
        <family val="0"/>
        <charset val="1"/>
      </rPr>
      <t xml:space="preserve">2026-07-21</t>
    </r>
    <r>
      <rPr>
        <sz val="10"/>
        <color rgb="FF000000"/>
        <rFont val="Noto Sans CJK SC"/>
        <family val="2"/>
      </rPr>
      <t xml:space="preserve">）</t>
    </r>
  </si>
  <si>
    <t xml:space="preserve">https://stock.10jqka.com.cn/20260721/c678310697.shtml</t>
  </si>
  <si>
    <r>
      <rPr>
        <sz val="10"/>
        <color rgb="FF000000"/>
        <rFont val="Arial"/>
        <family val="0"/>
        <charset val="1"/>
      </rPr>
      <t xml:space="preserve">GW </t>
    </r>
    <r>
      <rPr>
        <sz val="10"/>
        <color rgb="FF000000"/>
        <rFont val="Noto Sans CJK SC"/>
        <family val="2"/>
      </rPr>
      <t xml:space="preserve">口徑未明</t>
    </r>
  </si>
  <si>
    <r>
      <rPr>
        <sz val="10"/>
        <color rgb="FF000000"/>
        <rFont val="Noto Sans CJK SC"/>
        <family val="2"/>
      </rPr>
      <t xml:space="preserve">原文「已落地</t>
    </r>
    <r>
      <rPr>
        <sz val="10"/>
        <color rgb="FF000000"/>
        <rFont val="Arial"/>
        <family val="0"/>
        <charset val="1"/>
      </rPr>
      <t xml:space="preserve">1GW</t>
    </r>
    <r>
      <rPr>
        <sz val="10"/>
        <color rgb="FF000000"/>
        <rFont val="Noto Sans CJK SC"/>
        <family val="2"/>
      </rPr>
      <t xml:space="preserve">級國產</t>
    </r>
    <r>
      <rPr>
        <sz val="10"/>
        <color rgb="FF000000"/>
        <rFont val="Arial"/>
        <family val="0"/>
        <charset val="1"/>
      </rPr>
      <t xml:space="preserve">AI</t>
    </r>
    <r>
      <rPr>
        <sz val="10"/>
        <color rgb="FF000000"/>
        <rFont val="Noto Sans CJK SC"/>
        <family val="2"/>
      </rPr>
      <t xml:space="preserve">算力數據中心建設，並全部採用國產</t>
    </r>
    <r>
      <rPr>
        <sz val="10"/>
        <color rgb="FF000000"/>
        <rFont val="Arial"/>
        <family val="0"/>
        <charset val="1"/>
      </rPr>
      <t xml:space="preserve">AI</t>
    </r>
    <r>
      <rPr>
        <sz val="10"/>
        <color rgb="FF000000"/>
        <rFont val="Noto Sans CJK SC"/>
        <family val="2"/>
      </rPr>
      <t xml:space="preserve">晶片」；未揭露地點、夥伴、</t>
    </r>
    <r>
      <rPr>
        <sz val="10"/>
        <color rgb="FF000000"/>
        <rFont val="Arial"/>
        <family val="0"/>
        <charset val="1"/>
      </rPr>
      <t xml:space="preserve">IT</t>
    </r>
    <r>
      <rPr>
        <sz val="10"/>
        <color rgb="FF000000"/>
        <rFont val="Noto Sans CJK SC"/>
        <family val="2"/>
      </rPr>
      <t xml:space="preserve">／設施口徑、持有方式、完工時點</t>
    </r>
  </si>
  <si>
    <t xml:space="preserve">SRC_ZP_459</t>
  </si>
  <si>
    <t xml:space="preserve">cmp_entity_list</t>
  </si>
  <si>
    <t xml:space="preserve">美國實體清單列入日</t>
  </si>
  <si>
    <t xml:space="preserve">2025-01-16</t>
  </si>
  <si>
    <r>
      <rPr>
        <sz val="10"/>
        <color rgb="FF000000"/>
        <rFont val="Noto Sans CJK SC"/>
        <family val="2"/>
      </rPr>
      <t xml:space="preserve">公司及 </t>
    </r>
    <r>
      <rPr>
        <sz val="10"/>
        <color rgb="FF000000"/>
        <rFont val="Arial"/>
        <family val="0"/>
        <charset val="1"/>
      </rPr>
      <t xml:space="preserve">9 </t>
    </r>
    <r>
      <rPr>
        <sz val="10"/>
        <color rgb="FF000000"/>
        <rFont val="Noto Sans CJK SC"/>
        <family val="2"/>
      </rPr>
      <t xml:space="preserve">家子公司 </t>
    </r>
    <r>
      <rPr>
        <sz val="10"/>
        <color rgb="FF000000"/>
        <rFont val="Arial"/>
        <family val="0"/>
        <charset val="1"/>
      </rPr>
      <t xml:space="preserve">2025-01-16 </t>
    </r>
    <r>
      <rPr>
        <sz val="10"/>
        <color rgb="FF000000"/>
        <rFont val="Noto Sans CJK SC"/>
        <family val="2"/>
      </rPr>
      <t xml:space="preserve">列入 </t>
    </r>
    <r>
      <rPr>
        <sz val="10"/>
        <color rgb="FF000000"/>
        <rFont val="Arial"/>
        <family val="0"/>
        <charset val="1"/>
      </rPr>
      <t xml:space="preserve">BIS </t>
    </r>
    <r>
      <rPr>
        <sz val="10"/>
        <color rgb="FF000000"/>
        <rFont val="Noto Sans CJK SC"/>
        <family val="2"/>
      </rPr>
      <t xml:space="preserve">實體清單；稱往績期間未依賴 </t>
    </r>
    <r>
      <rPr>
        <sz val="10"/>
        <color rgb="FF000000"/>
        <rFont val="Arial"/>
        <family val="0"/>
        <charset val="1"/>
      </rPr>
      <t xml:space="preserve">EAR </t>
    </r>
    <r>
      <rPr>
        <sz val="10"/>
        <color rgb="FF000000"/>
        <rFont val="Noto Sans CJK SC"/>
        <family val="2"/>
      </rPr>
      <t xml:space="preserve">物項，董事與制裁律師預期無重大不利影響</t>
    </r>
  </si>
  <si>
    <t xml:space="preserve">SRC_ZP_460</t>
  </si>
  <si>
    <t xml:space="preserve">cmp_glm52_day0_vendors</t>
  </si>
  <si>
    <r>
      <rPr>
        <sz val="10"/>
        <color rgb="FF000000"/>
        <rFont val="Arial"/>
        <family val="0"/>
        <charset val="1"/>
      </rPr>
      <t xml:space="preserve">GLM-5.2 Day-0 </t>
    </r>
    <r>
      <rPr>
        <sz val="10"/>
        <color rgb="FF000000"/>
        <rFont val="Noto Sans CJK SC"/>
        <family val="2"/>
      </rPr>
      <t xml:space="preserve">適配國產晶片平台</t>
    </r>
  </si>
  <si>
    <t xml:space="preserve">家（以上）</t>
  </si>
  <si>
    <t xml:space="preserve">2026-06</t>
  </si>
  <si>
    <r>
      <rPr>
        <sz val="10"/>
        <color rgb="FF000000"/>
        <rFont val="Noto Sans CJK SC"/>
        <family val="2"/>
      </rPr>
      <t xml:space="preserve">同花順（</t>
    </r>
    <r>
      <rPr>
        <sz val="10"/>
        <color rgb="FF000000"/>
        <rFont val="Arial"/>
        <family val="0"/>
        <charset val="1"/>
      </rPr>
      <t xml:space="preserve">2026-06-23</t>
    </r>
    <r>
      <rPr>
        <sz val="10"/>
        <color rgb="FF000000"/>
        <rFont val="Noto Sans CJK SC"/>
        <family val="2"/>
      </rPr>
      <t xml:space="preserve">）</t>
    </r>
  </si>
  <si>
    <t xml:space="preserve">https://news.10jqka.com.cn/20260623/c677629958.shtml</t>
  </si>
  <si>
    <t xml:space="preserve">晶片廠與智譜：合作宣傳誘因</t>
  </si>
  <si>
    <r>
      <rPr>
        <sz val="10"/>
        <color rgb="FF000000"/>
        <rFont val="Noto Sans CJK SC"/>
        <family val="2"/>
      </rPr>
      <t xml:space="preserve">原文「與昇騰、寒武紀、海光、崑崙芯、壁仞等多個國產算力平台的</t>
    </r>
    <r>
      <rPr>
        <sz val="10"/>
        <color rgb="FF000000"/>
        <rFont val="Arial"/>
        <family val="0"/>
        <charset val="1"/>
      </rPr>
      <t xml:space="preserve">Day0</t>
    </r>
    <r>
      <rPr>
        <sz val="10"/>
        <color rgb="FF000000"/>
        <rFont val="Noto Sans CJK SC"/>
        <family val="2"/>
      </rPr>
      <t xml:space="preserve">適配」；</t>
    </r>
    <r>
      <rPr>
        <sz val="10"/>
        <color rgb="FF000000"/>
        <rFont val="Arial"/>
        <family val="0"/>
        <charset val="1"/>
      </rPr>
      <t xml:space="preserve">36</t>
    </r>
    <r>
      <rPr>
        <sz val="10"/>
        <color rgb="FF000000"/>
        <rFont val="Noto Sans CJK SC"/>
        <family val="2"/>
      </rPr>
      <t xml:space="preserve">氪另列摩爾線程；適配≠採購，不表示 </t>
    </r>
    <r>
      <rPr>
        <sz val="10"/>
        <color rgb="FF000000"/>
        <rFont val="Arial"/>
        <family val="0"/>
        <charset val="1"/>
      </rPr>
      <t xml:space="preserve">10 </t>
    </r>
    <r>
      <rPr>
        <sz val="10"/>
        <color rgb="FF000000"/>
        <rFont val="Noto Sans CJK SC"/>
        <family val="2"/>
      </rPr>
      <t xml:space="preserve">萬張晶片的供應方</t>
    </r>
  </si>
  <si>
    <t xml:space="preserve">SRC_ZP_461</t>
  </si>
  <si>
    <t xml:space="preserve">cmp_capacity_refi_sep26</t>
  </si>
  <si>
    <t xml:space="preserve">為算力擴容之再融資（小股大債）</t>
  </si>
  <si>
    <t xml:space="preserve">2026-09</t>
  </si>
  <si>
    <r>
      <rPr>
        <sz val="10"/>
        <color rgb="FF000000"/>
        <rFont val="Noto Sans CJK SC"/>
        <family val="2"/>
      </rPr>
      <t xml:space="preserve">原文「以“小股大債”的結構完成總額</t>
    </r>
    <r>
      <rPr>
        <sz val="10"/>
        <color rgb="FF000000"/>
        <rFont val="Arial"/>
        <family val="0"/>
        <charset val="1"/>
      </rPr>
      <t xml:space="preserve">50</t>
    </r>
    <r>
      <rPr>
        <sz val="10"/>
        <color rgb="FF000000"/>
        <rFont val="Noto Sans CJK SC"/>
        <family val="2"/>
      </rPr>
      <t xml:space="preserve">億美元的再融資，此次融資是出於算力擴容要求」；</t>
    </r>
    <r>
      <rPr>
        <sz val="10"/>
        <color rgb="FF000000"/>
        <rFont val="Arial"/>
        <family val="0"/>
        <charset val="1"/>
      </rPr>
      <t xml:space="preserve">7 </t>
    </r>
    <r>
      <rPr>
        <sz val="10"/>
        <color rgb="FF000000"/>
        <rFont val="Noto Sans CJK SC"/>
        <family val="2"/>
      </rPr>
      <t xml:space="preserve">月另完成 </t>
    </r>
    <r>
      <rPr>
        <sz val="10"/>
        <color rgb="FF000000"/>
        <rFont val="Arial"/>
        <family val="0"/>
        <charset val="1"/>
      </rPr>
      <t xml:space="preserve">40 </t>
    </r>
    <r>
      <rPr>
        <sz val="10"/>
        <color rgb="FF000000"/>
        <rFont val="Noto Sans CJK SC"/>
        <family val="2"/>
      </rPr>
      <t xml:space="preserve">億美元；細節屬 </t>
    </r>
    <r>
      <rPr>
        <sz val="10"/>
        <color rgb="FF000000"/>
        <rFont val="Arial"/>
        <family val="0"/>
        <charset val="1"/>
      </rPr>
      <t xml:space="preserve">F </t>
    </r>
    <r>
      <rPr>
        <sz val="10"/>
        <color rgb="FF000000"/>
        <rFont val="Noto Sans CJK SC"/>
        <family val="2"/>
      </rPr>
      <t xml:space="preserve">組（</t>
    </r>
    <r>
      <rPr>
        <sz val="10"/>
        <color rgb="FF000000"/>
        <rFont val="Arial"/>
        <family val="0"/>
        <charset val="1"/>
      </rPr>
      <t xml:space="preserve">Z1-M</t>
    </r>
    <r>
      <rPr>
        <sz val="10"/>
        <color rgb="FF000000"/>
        <rFont val="Noto Sans CJK SC"/>
        <family val="2"/>
      </rPr>
      <t xml:space="preserve">）</t>
    </r>
  </si>
  <si>
    <t xml:space="preserve">SRC_ZP_462</t>
  </si>
  <si>
    <t xml:space="preserve">rent_h20_cardhr_sep26</t>
  </si>
  <si>
    <r>
      <rPr>
        <sz val="10"/>
        <color rgb="FF000000"/>
        <rFont val="Arial"/>
        <family val="0"/>
        <charset val="1"/>
      </rPr>
      <t xml:space="preserve">H20-96G </t>
    </r>
    <r>
      <rPr>
        <sz val="10"/>
        <color rgb="FF000000"/>
        <rFont val="Noto Sans CJK SC"/>
        <family val="2"/>
      </rPr>
      <t xml:space="preserve">卡時租價（京津冀均價）</t>
    </r>
  </si>
  <si>
    <r>
      <rPr>
        <sz val="10"/>
        <color rgb="FF000000"/>
        <rFont val="Arial"/>
        <family val="0"/>
        <charset val="1"/>
      </rPr>
      <t xml:space="preserve">RMB </t>
    </r>
    <r>
      <rPr>
        <sz val="10"/>
        <color rgb="FF000000"/>
        <rFont val="Noto Sans CJK SC"/>
        <family val="2"/>
      </rPr>
      <t xml:space="preserve">元／卡／小時</t>
    </r>
  </si>
  <si>
    <r>
      <rPr>
        <sz val="10"/>
        <color rgb="FF000000"/>
        <rFont val="Noto Sans CJK SC"/>
        <family val="2"/>
      </rPr>
      <t xml:space="preserve">上海有色網 </t>
    </r>
    <r>
      <rPr>
        <sz val="10"/>
        <color rgb="FF000000"/>
        <rFont val="Arial"/>
        <family val="0"/>
        <charset val="1"/>
      </rPr>
      <t xml:space="preserve">SMM </t>
    </r>
    <r>
      <rPr>
        <sz val="10"/>
        <color rgb="FF000000"/>
        <rFont val="Noto Sans CJK SC"/>
        <family val="2"/>
      </rPr>
      <t xml:space="preserve">算力日報</t>
    </r>
  </si>
  <si>
    <t xml:space="preserve">https://news.metal.com/newscontent/104091780-smm-computing-power-daily-h20-beijing-tianjin-hebei-highest-price-rises-12-dual-track-pricing-emerges-for-domestic-server-computing-power-leasing</t>
  </si>
  <si>
    <r>
      <rPr>
        <sz val="10"/>
        <color rgb="FF000000"/>
        <rFont val="Noto Sans CJK SC"/>
        <family val="2"/>
      </rPr>
      <t xml:space="preserve">均價 </t>
    </r>
    <r>
      <rPr>
        <sz val="10"/>
        <color rgb="FF000000"/>
        <rFont val="Arial"/>
        <family val="0"/>
        <charset val="1"/>
      </rPr>
      <t xml:space="preserve">7.47</t>
    </r>
    <r>
      <rPr>
        <sz val="10"/>
        <color rgb="FF000000"/>
        <rFont val="Noto Sans CJK SC"/>
        <family val="2"/>
      </rPr>
      <t xml:space="preserve">（前 </t>
    </r>
    <r>
      <rPr>
        <sz val="10"/>
        <color rgb="FF000000"/>
        <rFont val="Arial"/>
        <family val="0"/>
        <charset val="1"/>
      </rPr>
      <t xml:space="preserve">7.03</t>
    </r>
    <r>
      <rPr>
        <sz val="10"/>
        <color rgb="FF000000"/>
        <rFont val="Noto Sans CJK SC"/>
        <family val="2"/>
      </rPr>
      <t xml:space="preserve">）、最高 </t>
    </r>
    <r>
      <rPr>
        <sz val="10"/>
        <color rgb="FF000000"/>
        <rFont val="Arial"/>
        <family val="0"/>
        <charset val="1"/>
      </rPr>
      <t xml:space="preserve">8.16</t>
    </r>
    <r>
      <rPr>
        <sz val="10"/>
        <color rgb="FF000000"/>
        <rFont val="Noto Sans CJK SC"/>
        <family val="2"/>
      </rPr>
      <t xml:space="preserve">（前 </t>
    </r>
    <r>
      <rPr>
        <sz val="10"/>
        <color rgb="FF000000"/>
        <rFont val="Arial"/>
        <family val="0"/>
        <charset val="1"/>
      </rPr>
      <t xml:space="preserve">7.29</t>
    </r>
    <r>
      <rPr>
        <sz val="10"/>
        <color rgb="FF000000"/>
        <rFont val="Noto Sans CJK SC"/>
        <family val="2"/>
      </rPr>
      <t xml:space="preserve">）元</t>
    </r>
    <r>
      <rPr>
        <sz val="10"/>
        <color rgb="FF000000"/>
        <rFont val="Arial"/>
        <family val="0"/>
        <charset val="1"/>
      </rPr>
      <t xml:space="preserve">/</t>
    </r>
    <r>
      <rPr>
        <sz val="10"/>
        <color rgb="FF000000"/>
        <rFont val="Noto Sans CJK SC"/>
        <family val="2"/>
      </rPr>
      <t xml:space="preserve">卡</t>
    </r>
    <r>
      <rPr>
        <sz val="10"/>
        <color rgb="FF000000"/>
        <rFont val="Arial"/>
        <family val="0"/>
        <charset val="1"/>
      </rPr>
      <t xml:space="preserve">/</t>
    </r>
    <r>
      <rPr>
        <sz val="10"/>
        <color rgb="FF000000"/>
        <rFont val="Noto Sans CJK SC"/>
        <family val="2"/>
      </rPr>
      <t xml:space="preserve">時；整機月租均 </t>
    </r>
    <r>
      <rPr>
        <sz val="10"/>
        <color rgb="FF000000"/>
        <rFont val="Arial"/>
        <family val="0"/>
        <charset val="1"/>
      </rPr>
      <t xml:space="preserve">43,000</t>
    </r>
    <r>
      <rPr>
        <sz val="10"/>
        <color rgb="FF000000"/>
        <rFont val="Noto Sans CJK SC"/>
        <family val="2"/>
      </rPr>
      <t xml:space="preserve">、最高 </t>
    </r>
    <r>
      <rPr>
        <sz val="10"/>
        <color rgb="FF000000"/>
        <rFont val="Arial"/>
        <family val="0"/>
        <charset val="1"/>
      </rPr>
      <t xml:space="preserve">47,000</t>
    </r>
  </si>
  <si>
    <t xml:space="preserve">SRC_ZP_463</t>
  </si>
  <si>
    <t xml:space="preserve">rent_h20_machmo_sep26</t>
  </si>
  <si>
    <r>
      <rPr>
        <sz val="10"/>
        <color rgb="FF000000"/>
        <rFont val="Arial"/>
        <family val="0"/>
        <charset val="1"/>
      </rPr>
      <t xml:space="preserve">H20-96G </t>
    </r>
    <r>
      <rPr>
        <sz val="10"/>
        <color rgb="FF000000"/>
        <rFont val="Noto Sans CJK SC"/>
        <family val="2"/>
      </rPr>
      <t xml:space="preserve">整機月租（京津冀均價）</t>
    </r>
  </si>
  <si>
    <r>
      <rPr>
        <sz val="10"/>
        <color rgb="FF000000"/>
        <rFont val="Arial"/>
        <family val="0"/>
        <charset val="1"/>
      </rPr>
      <t xml:space="preserve">RMB </t>
    </r>
    <r>
      <rPr>
        <sz val="10"/>
        <color rgb="FF000000"/>
        <rFont val="Noto Sans CJK SC"/>
        <family val="2"/>
      </rPr>
      <t xml:space="preserve">元／台／月</t>
    </r>
  </si>
  <si>
    <r>
      <rPr>
        <sz val="10"/>
        <color rgb="FF000000"/>
        <rFont val="Noto Sans CJK SC"/>
        <family val="2"/>
      </rPr>
      <t xml:space="preserve">均 </t>
    </r>
    <r>
      <rPr>
        <sz val="10"/>
        <color rgb="FF000000"/>
        <rFont val="Arial"/>
        <family val="0"/>
        <charset val="1"/>
      </rPr>
      <t xml:space="preserve">43,000</t>
    </r>
    <r>
      <rPr>
        <sz val="10"/>
        <color rgb="FF000000"/>
        <rFont val="Noto Sans CJK SC"/>
        <family val="2"/>
      </rPr>
      <t xml:space="preserve">（前 </t>
    </r>
    <r>
      <rPr>
        <sz val="10"/>
        <color rgb="FF000000"/>
        <rFont val="Arial"/>
        <family val="0"/>
        <charset val="1"/>
      </rPr>
      <t xml:space="preserve">40,500</t>
    </r>
    <r>
      <rPr>
        <sz val="10"/>
        <color rgb="FF000000"/>
        <rFont val="Noto Sans CJK SC"/>
        <family val="2"/>
      </rPr>
      <t xml:space="preserve">），最高 </t>
    </r>
    <r>
      <rPr>
        <sz val="10"/>
        <color rgb="FF000000"/>
        <rFont val="Arial"/>
        <family val="0"/>
        <charset val="1"/>
      </rPr>
      <t xml:space="preserve">47,000</t>
    </r>
    <r>
      <rPr>
        <sz val="10"/>
        <color rgb="FF000000"/>
        <rFont val="Noto Sans CJK SC"/>
        <family val="2"/>
      </rPr>
      <t xml:space="preserve">；與卡時價 </t>
    </r>
    <r>
      <rPr>
        <sz val="10"/>
        <color rgb="FF000000"/>
        <rFont val="Arial"/>
        <family val="0"/>
        <charset val="1"/>
      </rPr>
      <t xml:space="preserve">7.47×8 </t>
    </r>
    <r>
      <rPr>
        <sz val="10"/>
        <color rgb="FF000000"/>
        <rFont val="Noto Sans CJK SC"/>
        <family val="2"/>
      </rPr>
      <t xml:space="preserve">卡</t>
    </r>
    <r>
      <rPr>
        <sz val="10"/>
        <color rgb="FF000000"/>
        <rFont val="Arial"/>
        <family val="0"/>
        <charset val="1"/>
      </rPr>
      <t xml:space="preserve">×730h≈43,600 </t>
    </r>
    <r>
      <rPr>
        <sz val="10"/>
        <color rgb="FF000000"/>
        <rFont val="Noto Sans CJK SC"/>
        <family val="2"/>
      </rPr>
      <t xml:space="preserve">吻合，推定整機＝</t>
    </r>
    <r>
      <rPr>
        <sz val="10"/>
        <color rgb="FF000000"/>
        <rFont val="Arial"/>
        <family val="0"/>
        <charset val="1"/>
      </rPr>
      <t xml:space="preserve">8 </t>
    </r>
    <r>
      <rPr>
        <sz val="10"/>
        <color rgb="FF000000"/>
        <rFont val="Noto Sans CJK SC"/>
        <family val="2"/>
      </rPr>
      <t xml:space="preserve">卡</t>
    </r>
  </si>
  <si>
    <t xml:space="preserve">SRC_ZP_464</t>
  </si>
  <si>
    <t xml:space="preserve">rent_h20_machmo_jul26</t>
  </si>
  <si>
    <r>
      <rPr>
        <sz val="10"/>
        <color rgb="FF000000"/>
        <rFont val="Arial"/>
        <family val="0"/>
        <charset val="1"/>
      </rPr>
      <t xml:space="preserve">H20 96G </t>
    </r>
    <r>
      <rPr>
        <sz val="10"/>
        <color rgb="FF000000"/>
        <rFont val="Noto Sans CJK SC"/>
        <family val="2"/>
      </rPr>
      <t xml:space="preserve">整機月租（華東，一年約）</t>
    </r>
  </si>
  <si>
    <t xml:space="preserve">2026-07-23</t>
  </si>
  <si>
    <t xml:space="preserve">https://news.metal.com/newscontent/104021324-smm-computing-power-daily-h100-spot-rental-quotes-hit-a-new-high-of-85000-h20-and-a800-long-term-agreement-resources-ent</t>
  </si>
  <si>
    <r>
      <rPr>
        <sz val="10"/>
        <color rgb="FF000000"/>
        <rFont val="Noto Sans CJK SC"/>
        <family val="2"/>
      </rPr>
      <t xml:space="preserve">一年約 </t>
    </r>
    <r>
      <rPr>
        <sz val="10"/>
        <color rgb="FF000000"/>
        <rFont val="Arial"/>
        <family val="0"/>
        <charset val="1"/>
      </rPr>
      <t xml:space="preserve">35,000</t>
    </r>
    <r>
      <rPr>
        <sz val="10"/>
        <color rgb="FF000000"/>
        <rFont val="Noto Sans CJK SC"/>
        <family val="2"/>
      </rPr>
      <t xml:space="preserve">、三年約 </t>
    </r>
    <r>
      <rPr>
        <sz val="10"/>
        <color rgb="FF000000"/>
        <rFont val="Arial"/>
        <family val="0"/>
        <charset val="1"/>
      </rPr>
      <t xml:space="preserve">34,000</t>
    </r>
    <r>
      <rPr>
        <sz val="10"/>
        <color rgb="FF000000"/>
        <rFont val="Noto Sans CJK SC"/>
        <family val="2"/>
      </rPr>
      <t xml:space="preserve">；</t>
    </r>
    <r>
      <rPr>
        <sz val="10"/>
        <color rgb="FF000000"/>
        <rFont val="Arial"/>
        <family val="0"/>
        <charset val="1"/>
      </rPr>
      <t xml:space="preserve">H20 141G </t>
    </r>
    <r>
      <rPr>
        <sz val="10"/>
        <color rgb="FF000000"/>
        <rFont val="Noto Sans CJK SC"/>
        <family val="2"/>
      </rPr>
      <t xml:space="preserve">版 </t>
    </r>
    <r>
      <rPr>
        <sz val="10"/>
        <color rgb="FF000000"/>
        <rFont val="Arial"/>
        <family val="0"/>
        <charset val="1"/>
      </rPr>
      <t xml:space="preserve">42,000</t>
    </r>
    <r>
      <rPr>
        <sz val="10"/>
        <color rgb="FF000000"/>
        <rFont val="Noto Sans CJK SC"/>
        <family val="2"/>
      </rPr>
      <t xml:space="preserve">（年約）～</t>
    </r>
    <r>
      <rPr>
        <sz val="10"/>
        <color rgb="FF000000"/>
        <rFont val="Arial"/>
        <family val="0"/>
        <charset val="1"/>
      </rPr>
      <t xml:space="preserve">46,000</t>
    </r>
    <r>
      <rPr>
        <sz val="10"/>
        <color rgb="FF000000"/>
        <rFont val="Noto Sans CJK SC"/>
        <family val="2"/>
      </rPr>
      <t xml:space="preserve">（月租）</t>
    </r>
  </si>
  <si>
    <t xml:space="preserve">SRC_ZP_465</t>
  </si>
  <si>
    <t xml:space="preserve">rent_h800_machmo_aug26</t>
  </si>
  <si>
    <r>
      <rPr>
        <sz val="10"/>
        <color rgb="FF000000"/>
        <rFont val="Arial"/>
        <family val="0"/>
        <charset val="1"/>
      </rPr>
      <t xml:space="preserve">H800 </t>
    </r>
    <r>
      <rPr>
        <sz val="10"/>
        <color rgb="FF000000"/>
        <rFont val="Noto Sans CJK SC"/>
        <family val="2"/>
      </rPr>
      <t xml:space="preserve">月租（湖南，兩年長約）</t>
    </r>
  </si>
  <si>
    <t xml:space="preserve">2026-08-21</t>
  </si>
  <si>
    <t xml:space="preserve">https://news.metal.com/newscontent/104072164-smm-computing-power-news-h800-signed-a-2-year-long-term-agreement-at-78000-yuan-per-month-tight-spot-supply</t>
  </si>
  <si>
    <r>
      <rPr>
        <sz val="10"/>
        <color rgb="FF000000"/>
        <rFont val="Noto Sans CJK SC"/>
        <family val="2"/>
      </rPr>
      <t xml:space="preserve">原文「</t>
    </r>
    <r>
      <rPr>
        <sz val="10"/>
        <color rgb="FF000000"/>
        <rFont val="Arial"/>
        <family val="0"/>
        <charset val="1"/>
      </rPr>
      <t xml:space="preserve">78,000 yuan per unit per month on a two-year long-term agreement</t>
    </r>
    <r>
      <rPr>
        <sz val="10"/>
        <color rgb="FF000000"/>
        <rFont val="Noto Sans CJK SC"/>
        <family val="2"/>
      </rPr>
      <t xml:space="preserve">」；短租含維運 </t>
    </r>
    <r>
      <rPr>
        <sz val="10"/>
        <color rgb="FF000000"/>
        <rFont val="Arial"/>
        <family val="0"/>
        <charset val="1"/>
      </rPr>
      <t xml:space="preserve">85,000</t>
    </r>
    <r>
      <rPr>
        <sz val="10"/>
        <color rgb="FF000000"/>
        <rFont val="Noto Sans CJK SC"/>
        <family val="2"/>
      </rPr>
      <t xml:space="preserve">；</t>
    </r>
    <r>
      <rPr>
        <sz val="10"/>
        <color rgb="FF000000"/>
        <rFont val="Arial"/>
        <family val="0"/>
        <charset val="1"/>
      </rPr>
      <t xml:space="preserve">unit </t>
    </r>
    <r>
      <rPr>
        <sz val="10"/>
        <color rgb="FF000000"/>
        <rFont val="Noto Sans CJK SC"/>
        <family val="2"/>
      </rPr>
      <t xml:space="preserve">未定義（推定 </t>
    </r>
    <r>
      <rPr>
        <sz val="10"/>
        <color rgb="FF000000"/>
        <rFont val="Arial"/>
        <family val="0"/>
        <charset val="1"/>
      </rPr>
      <t xml:space="preserve">8 </t>
    </r>
    <r>
      <rPr>
        <sz val="10"/>
        <color rgb="FF000000"/>
        <rFont val="Noto Sans CJK SC"/>
        <family val="2"/>
      </rPr>
      <t xml:space="preserve">卡整機）</t>
    </r>
  </si>
  <si>
    <t xml:space="preserve">SRC_ZP_466</t>
  </si>
  <si>
    <t xml:space="preserve">rent_a800_machmo_jul26</t>
  </si>
  <si>
    <r>
      <rPr>
        <sz val="10"/>
        <color rgb="FF000000"/>
        <rFont val="Arial"/>
        <family val="0"/>
        <charset val="1"/>
      </rPr>
      <t xml:space="preserve">A800 80G </t>
    </r>
    <r>
      <rPr>
        <sz val="10"/>
        <color rgb="FF000000"/>
        <rFont val="Noto Sans CJK SC"/>
        <family val="2"/>
      </rPr>
      <t xml:space="preserve">整機月租（華中）</t>
    </r>
  </si>
  <si>
    <r>
      <rPr>
        <sz val="10"/>
        <color rgb="FF000000"/>
        <rFont val="Noto Sans CJK SC"/>
        <family val="2"/>
      </rPr>
      <t xml:space="preserve">一年約 </t>
    </r>
    <r>
      <rPr>
        <sz val="10"/>
        <color rgb="FF000000"/>
        <rFont val="Arial"/>
        <family val="0"/>
        <charset val="1"/>
      </rPr>
      <t xml:space="preserve">36,000</t>
    </r>
    <r>
      <rPr>
        <sz val="10"/>
        <color rgb="FF000000"/>
        <rFont val="Noto Sans CJK SC"/>
        <family val="2"/>
      </rPr>
      <t xml:space="preserve">、三年約 </t>
    </r>
    <r>
      <rPr>
        <sz val="10"/>
        <color rgb="FF000000"/>
        <rFont val="Arial"/>
        <family val="0"/>
        <charset val="1"/>
      </rPr>
      <t xml:space="preserve">34,000</t>
    </r>
    <r>
      <rPr>
        <sz val="10"/>
        <color rgb="FF000000"/>
        <rFont val="Noto Sans CJK SC"/>
        <family val="2"/>
      </rPr>
      <t xml:space="preserve">（</t>
    </r>
    <r>
      <rPr>
        <sz val="10"/>
        <color rgb="FF000000"/>
        <rFont val="Arial"/>
        <family val="0"/>
        <charset val="1"/>
      </rPr>
      <t xml:space="preserve">16 </t>
    </r>
    <r>
      <rPr>
        <sz val="10"/>
        <color rgb="FF000000"/>
        <rFont val="Noto Sans CJK SC"/>
        <family val="2"/>
      </rPr>
      <t xml:space="preserve">台）</t>
    </r>
  </si>
  <si>
    <t xml:space="preserve">SRC_ZP_467</t>
  </si>
  <si>
    <t xml:space="preserve">rent_h100_machmo_jul26</t>
  </si>
  <si>
    <r>
      <rPr>
        <sz val="10"/>
        <color rgb="FF000000"/>
        <rFont val="Arial"/>
        <family val="0"/>
        <charset val="1"/>
      </rPr>
      <t xml:space="preserve">H100 80G SXM </t>
    </r>
    <r>
      <rPr>
        <sz val="10"/>
        <color rgb="FF000000"/>
        <rFont val="Noto Sans CJK SC"/>
        <family val="2"/>
      </rPr>
      <t xml:space="preserve">整機月租（長三角）</t>
    </r>
  </si>
  <si>
    <r>
      <rPr>
        <sz val="10"/>
        <color rgb="FF000000"/>
        <rFont val="Noto Sans CJK SC"/>
        <family val="2"/>
      </rPr>
      <t xml:space="preserve">短租 </t>
    </r>
    <r>
      <rPr>
        <sz val="10"/>
        <color rgb="FF000000"/>
        <rFont val="Arial"/>
        <family val="0"/>
        <charset val="1"/>
      </rPr>
      <t xml:space="preserve">85,000</t>
    </r>
    <r>
      <rPr>
        <sz val="10"/>
        <color rgb="FF000000"/>
        <rFont val="Noto Sans CJK SC"/>
        <family val="2"/>
      </rPr>
      <t xml:space="preserve">（新高）、一年以上 </t>
    </r>
    <r>
      <rPr>
        <sz val="10"/>
        <color rgb="FF000000"/>
        <rFont val="Arial"/>
        <family val="0"/>
        <charset val="1"/>
      </rPr>
      <t xml:space="preserve">80,000</t>
    </r>
    <r>
      <rPr>
        <sz val="10"/>
        <color rgb="FF000000"/>
        <rFont val="Noto Sans CJK SC"/>
        <family val="2"/>
      </rPr>
      <t xml:space="preserve">；前主流 </t>
    </r>
    <r>
      <rPr>
        <sz val="10"/>
        <color rgb="FF000000"/>
        <rFont val="Arial"/>
        <family val="0"/>
        <charset val="1"/>
      </rPr>
      <t xml:space="preserve">75,000–80,000</t>
    </r>
    <r>
      <rPr>
        <sz val="10"/>
        <color rgb="FF000000"/>
        <rFont val="Noto Sans CJK SC"/>
        <family val="2"/>
      </rPr>
      <t xml:space="preserve">；表頭為 </t>
    </r>
    <r>
      <rPr>
        <sz val="10"/>
        <color rgb="FF000000"/>
        <rFont val="Arial"/>
        <family val="0"/>
        <charset val="1"/>
      </rPr>
      <t xml:space="preserve">per 8-card server</t>
    </r>
  </si>
  <si>
    <t xml:space="preserve">SRC_ZP_468</t>
  </si>
  <si>
    <t xml:space="preserve">rent_910b4_mo_aug26</t>
  </si>
  <si>
    <r>
      <rPr>
        <sz val="10"/>
        <color rgb="FF000000"/>
        <rFont val="Noto Sans CJK SC"/>
        <family val="2"/>
      </rPr>
      <t xml:space="preserve">昇騰 </t>
    </r>
    <r>
      <rPr>
        <sz val="10"/>
        <color rgb="FF000000"/>
        <rFont val="Arial"/>
        <family val="0"/>
        <charset val="1"/>
      </rPr>
      <t xml:space="preserve">910B4 </t>
    </r>
    <r>
      <rPr>
        <sz val="10"/>
        <color rgb="FF000000"/>
        <rFont val="Noto Sans CJK SC"/>
        <family val="2"/>
      </rPr>
      <t xml:space="preserve">月租（西南）</t>
    </r>
  </si>
  <si>
    <r>
      <rPr>
        <sz val="10"/>
        <color rgb="FF000000"/>
        <rFont val="Arial"/>
        <family val="0"/>
        <charset val="1"/>
      </rPr>
      <t xml:space="preserve">RMB </t>
    </r>
    <r>
      <rPr>
        <sz val="10"/>
        <color rgb="FF000000"/>
        <rFont val="Noto Sans CJK SC"/>
        <family val="2"/>
      </rPr>
      <t xml:space="preserve">元／</t>
    </r>
    <r>
      <rPr>
        <sz val="10"/>
        <color rgb="FF000000"/>
        <rFont val="Arial"/>
        <family val="0"/>
        <charset val="1"/>
      </rPr>
      <t xml:space="preserve">unit</t>
    </r>
    <r>
      <rPr>
        <sz val="10"/>
        <color rgb="FF000000"/>
        <rFont val="Noto Sans CJK SC"/>
        <family val="2"/>
      </rPr>
      <t xml:space="preserve">／月</t>
    </r>
  </si>
  <si>
    <t xml:space="preserve">https://news.metal.com/newscontent/104082769-smm-computing-power-midday-review-market-overall-sideways-domestic-computing-power-rental-and-procurement-prices-emerge</t>
  </si>
  <si>
    <r>
      <rPr>
        <sz val="10"/>
        <color rgb="FF000000"/>
        <rFont val="Noto Sans CJK SC"/>
        <family val="2"/>
      </rPr>
      <t xml:space="preserve">原文「</t>
    </r>
    <r>
      <rPr>
        <sz val="10"/>
        <color rgb="FF000000"/>
        <rFont val="Arial"/>
        <family val="0"/>
        <charset val="1"/>
      </rPr>
      <t xml:space="preserve">monthly rental quote for the 910B was 16,000 yuan per unit per month</t>
    </r>
    <r>
      <rPr>
        <sz val="10"/>
        <color rgb="FF000000"/>
        <rFont val="Noto Sans CJK SC"/>
        <family val="2"/>
      </rPr>
      <t xml:space="preserve">」，未定義 </t>
    </r>
    <r>
      <rPr>
        <sz val="10"/>
        <color rgb="FF000000"/>
        <rFont val="Arial"/>
        <family val="0"/>
        <charset val="1"/>
      </rPr>
      <t xml:space="preserve">unit</t>
    </r>
    <r>
      <rPr>
        <sz val="10"/>
        <color rgb="FF000000"/>
        <rFont val="Noto Sans CJK SC"/>
        <family val="2"/>
      </rPr>
      <t xml:space="preserve">（卡或 </t>
    </r>
    <r>
      <rPr>
        <sz val="10"/>
        <color rgb="FF000000"/>
        <rFont val="Arial"/>
        <family val="0"/>
        <charset val="1"/>
      </rPr>
      <t xml:space="preserve">8 </t>
    </r>
    <r>
      <rPr>
        <sz val="10"/>
        <color rgb="FF000000"/>
        <rFont val="Noto Sans CJK SC"/>
        <family val="2"/>
      </rPr>
      <t xml:space="preserve">卡整機）；華東一年全包 </t>
    </r>
    <r>
      <rPr>
        <sz val="10"/>
        <color rgb="FF000000"/>
        <rFont val="Arial"/>
        <family val="0"/>
        <charset val="1"/>
      </rPr>
      <t xml:space="preserve">15,000</t>
    </r>
    <r>
      <rPr>
        <sz val="10"/>
        <color rgb="FF000000"/>
        <rFont val="Noto Sans CJK SC"/>
        <family val="2"/>
      </rPr>
      <t xml:space="preserve">；</t>
    </r>
    <r>
      <rPr>
        <sz val="10"/>
        <color rgb="FF000000"/>
        <rFont val="Arial"/>
        <family val="0"/>
        <charset val="1"/>
      </rPr>
      <t xml:space="preserve">910B4 </t>
    </r>
    <r>
      <rPr>
        <sz val="10"/>
        <color rgb="FF000000"/>
        <rFont val="Noto Sans CJK SC"/>
        <family val="2"/>
      </rPr>
      <t xml:space="preserve">八卡整機採購約 </t>
    </r>
    <r>
      <rPr>
        <sz val="10"/>
        <color rgb="FF000000"/>
        <rFont val="Arial"/>
        <family val="0"/>
        <charset val="1"/>
      </rPr>
      <t xml:space="preserve">76 </t>
    </r>
    <r>
      <rPr>
        <sz val="10"/>
        <color rgb="FF000000"/>
        <rFont val="Noto Sans CJK SC"/>
        <family val="2"/>
      </rPr>
      <t xml:space="preserve">萬元</t>
    </r>
  </si>
  <si>
    <t xml:space="preserve">SRC_ZP_469</t>
  </si>
  <si>
    <t xml:space="preserve">rent_910b3_mo_sep26</t>
  </si>
  <si>
    <r>
      <rPr>
        <sz val="10"/>
        <color rgb="FF000000"/>
        <rFont val="Noto Sans CJK SC"/>
        <family val="2"/>
      </rPr>
      <t xml:space="preserve">昇騰 </t>
    </r>
    <r>
      <rPr>
        <sz val="10"/>
        <color rgb="FF000000"/>
        <rFont val="Arial"/>
        <family val="0"/>
        <charset val="1"/>
      </rPr>
      <t xml:space="preserve">910B3 </t>
    </r>
    <r>
      <rPr>
        <sz val="10"/>
        <color rgb="FF000000"/>
        <rFont val="Noto Sans CJK SC"/>
        <family val="2"/>
      </rPr>
      <t xml:space="preserve">月租（線上雲）</t>
    </r>
  </si>
  <si>
    <t xml:space="preserve">2026-09-07</t>
  </si>
  <si>
    <t xml:space="preserve">https://news.metal.com/newscontent/104099764-smm-computing-power-flash-30-units-of-910b3-available-for-online-rental-at-16000-yuan-3000-yuan-lower-than-relocatable-units</t>
  </si>
  <si>
    <r>
      <rPr>
        <sz val="10"/>
        <color rgb="FF000000"/>
        <rFont val="Noto Sans CJK SC"/>
        <family val="2"/>
      </rPr>
      <t xml:space="preserve">線上 </t>
    </r>
    <r>
      <rPr>
        <sz val="10"/>
        <color rgb="FF000000"/>
        <rFont val="Arial"/>
        <family val="0"/>
        <charset val="1"/>
      </rPr>
      <t xml:space="preserve">16,000</t>
    </r>
    <r>
      <rPr>
        <sz val="10"/>
        <color rgb="FF000000"/>
        <rFont val="Noto Sans CJK SC"/>
        <family val="2"/>
      </rPr>
      <t xml:space="preserve">、華東可搬遷 </t>
    </r>
    <r>
      <rPr>
        <sz val="10"/>
        <color rgb="FF000000"/>
        <rFont val="Arial"/>
        <family val="0"/>
        <charset val="1"/>
      </rPr>
      <t xml:space="preserve">19,000</t>
    </r>
    <r>
      <rPr>
        <sz val="10"/>
        <color rgb="FF000000"/>
        <rFont val="Noto Sans CJK SC"/>
        <family val="2"/>
      </rPr>
      <t xml:space="preserve">；</t>
    </r>
    <r>
      <rPr>
        <sz val="10"/>
        <color rgb="FF000000"/>
        <rFont val="Arial"/>
        <family val="0"/>
        <charset val="1"/>
      </rPr>
      <t xml:space="preserve">910B2 </t>
    </r>
    <r>
      <rPr>
        <sz val="10"/>
        <color rgb="FF000000"/>
        <rFont val="Noto Sans CJK SC"/>
        <family val="2"/>
      </rPr>
      <t xml:space="preserve">線上 </t>
    </r>
    <r>
      <rPr>
        <sz val="10"/>
        <color rgb="FF000000"/>
        <rFont val="Arial"/>
        <family val="0"/>
        <charset val="1"/>
      </rPr>
      <t xml:space="preserve">17,000</t>
    </r>
    <r>
      <rPr>
        <sz val="10"/>
        <color rgb="FF000000"/>
        <rFont val="Noto Sans CJK SC"/>
        <family val="2"/>
      </rPr>
      <t xml:space="preserve">；</t>
    </r>
    <r>
      <rPr>
        <sz val="10"/>
        <color rgb="FF000000"/>
        <rFont val="Arial"/>
        <family val="0"/>
        <charset val="1"/>
      </rPr>
      <t xml:space="preserve">unit </t>
    </r>
    <r>
      <rPr>
        <sz val="10"/>
        <color rgb="FF000000"/>
        <rFont val="Noto Sans CJK SC"/>
        <family val="2"/>
      </rPr>
      <t xml:space="preserve">未定義</t>
    </r>
  </si>
  <si>
    <t xml:space="preserve">SRC_ZP_470</t>
  </si>
  <si>
    <t xml:space="preserve">rent_910b2_mo_aug26</t>
  </si>
  <si>
    <r>
      <rPr>
        <sz val="10"/>
        <color rgb="FF000000"/>
        <rFont val="Noto Sans CJK SC"/>
        <family val="2"/>
      </rPr>
      <t xml:space="preserve">昇騰 </t>
    </r>
    <r>
      <rPr>
        <sz val="10"/>
        <color rgb="FF000000"/>
        <rFont val="Arial"/>
        <family val="0"/>
        <charset val="1"/>
      </rPr>
      <t xml:space="preserve">910B2 </t>
    </r>
    <r>
      <rPr>
        <sz val="10"/>
        <color rgb="FF000000"/>
        <rFont val="Noto Sans CJK SC"/>
        <family val="2"/>
      </rPr>
      <t xml:space="preserve">月租（華東）</t>
    </r>
  </si>
  <si>
    <t xml:space="preserve">https://news.metal.com/newscontent/104088520-smm-computing-power-flash-ascend-910b-rental-demand-heats-up-preference-for-910b3-or-higher-specifications</t>
  </si>
  <si>
    <r>
      <rPr>
        <sz val="10"/>
        <color rgb="FF000000"/>
        <rFont val="Noto Sans CJK SC"/>
        <family val="2"/>
      </rPr>
      <t xml:space="preserve">原文「</t>
    </r>
    <r>
      <rPr>
        <sz val="10"/>
        <color rgb="FF000000"/>
        <rFont val="Arial"/>
        <family val="0"/>
        <charset val="1"/>
      </rPr>
      <t xml:space="preserve">910B2 monthly rentals at 12,000 yuan in east China</t>
    </r>
    <r>
      <rPr>
        <sz val="10"/>
        <color rgb="FF000000"/>
        <rFont val="Noto Sans CJK SC"/>
        <family val="2"/>
      </rPr>
      <t xml:space="preserve">」；合約常見「兩年固定加一年開放」；</t>
    </r>
    <r>
      <rPr>
        <sz val="10"/>
        <color rgb="FF000000"/>
        <rFont val="Arial"/>
        <family val="0"/>
        <charset val="1"/>
      </rPr>
      <t xml:space="preserve">unit </t>
    </r>
    <r>
      <rPr>
        <sz val="10"/>
        <color rgb="FF000000"/>
        <rFont val="Noto Sans CJK SC"/>
        <family val="2"/>
      </rPr>
      <t xml:space="preserve">未定義</t>
    </r>
  </si>
  <si>
    <t xml:space="preserve">SRC_ZP_471</t>
  </si>
  <si>
    <t xml:space="preserve">rent_910b_8card_mo_may26</t>
  </si>
  <si>
    <r>
      <rPr>
        <sz val="10"/>
        <color rgb="FF000000"/>
        <rFont val="Noto Sans CJK SC"/>
        <family val="2"/>
      </rPr>
      <t xml:space="preserve">昇騰 </t>
    </r>
    <r>
      <rPr>
        <sz val="10"/>
        <color rgb="FF000000"/>
        <rFont val="Arial"/>
        <family val="0"/>
        <charset val="1"/>
      </rPr>
      <t xml:space="preserve">910B </t>
    </r>
    <r>
      <rPr>
        <sz val="10"/>
        <color rgb="FF000000"/>
        <rFont val="Noto Sans CJK SC"/>
        <family val="2"/>
      </rPr>
      <t xml:space="preserve">八卡月租（智星雲）</t>
    </r>
  </si>
  <si>
    <r>
      <rPr>
        <sz val="10"/>
        <color rgb="FF000000"/>
        <rFont val="Arial"/>
        <family val="0"/>
        <charset val="1"/>
      </rPr>
      <t xml:space="preserve">RMB </t>
    </r>
    <r>
      <rPr>
        <sz val="10"/>
        <color rgb="FF000000"/>
        <rFont val="Noto Sans CJK SC"/>
        <family val="2"/>
      </rPr>
      <t xml:space="preserve">元／</t>
    </r>
    <r>
      <rPr>
        <sz val="10"/>
        <color rgb="FF000000"/>
        <rFont val="Arial"/>
        <family val="0"/>
        <charset val="1"/>
      </rPr>
      <t xml:space="preserve">8 </t>
    </r>
    <r>
      <rPr>
        <sz val="10"/>
        <color rgb="FF000000"/>
        <rFont val="Noto Sans CJK SC"/>
        <family val="2"/>
      </rPr>
      <t xml:space="preserve">卡／月</t>
    </r>
  </si>
  <si>
    <t xml:space="preserve">2026-05-12</t>
  </si>
  <si>
    <r>
      <rPr>
        <sz val="10"/>
        <color rgb="FF000000"/>
        <rFont val="Arial"/>
        <family val="0"/>
        <charset val="1"/>
      </rPr>
      <t xml:space="preserve">AtomGit</t>
    </r>
    <r>
      <rPr>
        <sz val="10"/>
        <color rgb="FF000000"/>
        <rFont val="Noto Sans CJK SC"/>
        <family val="2"/>
      </rPr>
      <t xml:space="preserve">／</t>
    </r>
    <r>
      <rPr>
        <sz val="10"/>
        <color rgb="FF000000"/>
        <rFont val="Arial"/>
        <family val="0"/>
        <charset val="1"/>
      </rPr>
      <t xml:space="preserve">CSDN</t>
    </r>
    <r>
      <rPr>
        <sz val="10"/>
        <color rgb="FF000000"/>
        <rFont val="Noto Sans CJK SC"/>
        <family val="2"/>
      </rPr>
      <t xml:space="preserve">〈</t>
    </r>
    <r>
      <rPr>
        <sz val="10"/>
        <color rgb="FF000000"/>
        <rFont val="Arial"/>
        <family val="0"/>
        <charset val="1"/>
      </rPr>
      <t xml:space="preserve">2026 </t>
    </r>
    <r>
      <rPr>
        <sz val="10"/>
        <color rgb="FF000000"/>
        <rFont val="Noto Sans CJK SC"/>
        <family val="2"/>
      </rPr>
      <t xml:space="preserve">怎麼租到高性價比 </t>
    </r>
    <r>
      <rPr>
        <sz val="10"/>
        <color rgb="FF000000"/>
        <rFont val="Arial"/>
        <family val="0"/>
        <charset val="1"/>
      </rPr>
      <t xml:space="preserve">GPU </t>
    </r>
    <r>
      <rPr>
        <sz val="10"/>
        <color rgb="FF000000"/>
        <rFont val="Noto Sans CJK SC"/>
        <family val="2"/>
      </rPr>
      <t xml:space="preserve">算力〉</t>
    </r>
  </si>
  <si>
    <t xml:space="preserve">https://gitcode.csdn.net/6a02e16154b52172bc73777e.html</t>
  </si>
  <si>
    <r>
      <rPr>
        <sz val="10"/>
        <color rgb="FF000000"/>
        <rFont val="Noto Sans CJK SC"/>
        <family val="2"/>
      </rPr>
      <t xml:space="preserve">表列昇騰 </t>
    </r>
    <r>
      <rPr>
        <sz val="10"/>
        <color rgb="FF000000"/>
        <rFont val="Arial"/>
        <family val="0"/>
        <charset val="1"/>
      </rPr>
      <t xml:space="preserve">910B </t>
    </r>
    <r>
      <rPr>
        <sz val="10"/>
        <color rgb="FF000000"/>
        <rFont val="Noto Sans CJK SC"/>
        <family val="2"/>
      </rPr>
      <t xml:space="preserve">八卡配置月租 </t>
    </r>
    <r>
      <rPr>
        <sz val="10"/>
        <color rgb="FF000000"/>
        <rFont val="Arial"/>
        <family val="0"/>
        <charset val="1"/>
      </rPr>
      <t xml:space="preserve">25,000</t>
    </r>
    <r>
      <rPr>
        <sz val="10"/>
        <color rgb="FF000000"/>
        <rFont val="Noto Sans CJK SC"/>
        <family val="2"/>
      </rPr>
      <t xml:space="preserve">；與 </t>
    </r>
    <r>
      <rPr>
        <sz val="10"/>
        <color rgb="FF000000"/>
        <rFont val="Arial"/>
        <family val="0"/>
        <charset val="1"/>
      </rPr>
      <t xml:space="preserve">SMM 16,000 </t>
    </r>
    <r>
      <rPr>
        <sz val="10"/>
        <color rgb="FF000000"/>
        <rFont val="Noto Sans CJK SC"/>
        <family val="2"/>
      </rPr>
      <t xml:space="preserve">矛盾（若 </t>
    </r>
    <r>
      <rPr>
        <sz val="10"/>
        <color rgb="FF000000"/>
        <rFont val="Arial"/>
        <family val="0"/>
        <charset val="1"/>
      </rPr>
      <t xml:space="preserve">SMM unit</t>
    </r>
    <r>
      <rPr>
        <sz val="10"/>
        <color rgb="FF000000"/>
        <rFont val="Noto Sans CJK SC"/>
        <family val="2"/>
      </rPr>
      <t xml:space="preserve">＝</t>
    </r>
    <r>
      <rPr>
        <sz val="10"/>
        <color rgb="FF000000"/>
        <rFont val="Arial"/>
        <family val="0"/>
        <charset val="1"/>
      </rPr>
      <t xml:space="preserve">8 </t>
    </r>
    <r>
      <rPr>
        <sz val="10"/>
        <color rgb="FF000000"/>
        <rFont val="Noto Sans CJK SC"/>
        <family val="2"/>
      </rPr>
      <t xml:space="preserve">卡）</t>
    </r>
  </si>
  <si>
    <t xml:space="preserve">SRC_ZP_472</t>
  </si>
  <si>
    <t xml:space="preserve">rent_h800_cardhr_aliyun</t>
  </si>
  <si>
    <r>
      <rPr>
        <sz val="10"/>
        <color rgb="FF000000"/>
        <rFont val="Arial"/>
        <family val="0"/>
        <charset val="1"/>
      </rPr>
      <t xml:space="preserve">H800 80G </t>
    </r>
    <r>
      <rPr>
        <sz val="10"/>
        <color rgb="FF000000"/>
        <rFont val="Noto Sans CJK SC"/>
        <family val="2"/>
      </rPr>
      <t xml:space="preserve">單卡時租（阿里雲）</t>
    </r>
  </si>
  <si>
    <r>
      <rPr>
        <sz val="10"/>
        <color rgb="FF000000"/>
        <rFont val="Noto Sans CJK SC"/>
        <family val="2"/>
      </rPr>
      <t xml:space="preserve">表列阿里雲 </t>
    </r>
    <r>
      <rPr>
        <sz val="10"/>
        <color rgb="FF000000"/>
        <rFont val="Arial"/>
        <family val="0"/>
        <charset val="1"/>
      </rPr>
      <t xml:space="preserve">H800 </t>
    </r>
    <r>
      <rPr>
        <sz val="10"/>
        <color rgb="FF000000"/>
        <rFont val="Noto Sans CJK SC"/>
        <family val="2"/>
      </rPr>
      <t xml:space="preserve">時租 </t>
    </r>
    <r>
      <rPr>
        <sz val="10"/>
        <color rgb="FF000000"/>
        <rFont val="Arial"/>
        <family val="0"/>
        <charset val="1"/>
      </rPr>
      <t xml:space="preserve">18.75</t>
    </r>
    <r>
      <rPr>
        <sz val="10"/>
        <color rgb="FF000000"/>
        <rFont val="Noto Sans CJK SC"/>
        <family val="2"/>
      </rPr>
      <t xml:space="preserve">、月約 </t>
    </r>
    <r>
      <rPr>
        <sz val="10"/>
        <color rgb="FF000000"/>
        <rFont val="Arial"/>
        <family val="0"/>
        <charset val="1"/>
      </rPr>
      <t xml:space="preserve">13,500</t>
    </r>
    <r>
      <rPr>
        <sz val="10"/>
        <color rgb="FF000000"/>
        <rFont val="Noto Sans CJK SC"/>
        <family val="2"/>
      </rPr>
      <t xml:space="preserve">；圖靈小鎮 </t>
    </r>
    <r>
      <rPr>
        <sz val="10"/>
        <color rgb="FF000000"/>
        <rFont val="Arial"/>
        <family val="0"/>
        <charset val="1"/>
      </rPr>
      <t xml:space="preserve">11.83</t>
    </r>
    <r>
      <rPr>
        <sz val="10"/>
        <color rgb="FF000000"/>
        <rFont val="Noto Sans CJK SC"/>
        <family val="2"/>
      </rPr>
      <t xml:space="preserve">／月約 </t>
    </r>
    <r>
      <rPr>
        <sz val="10"/>
        <color rgb="FF000000"/>
        <rFont val="Arial"/>
        <family val="0"/>
        <charset val="1"/>
      </rPr>
      <t xml:space="preserve">8,518</t>
    </r>
  </si>
  <si>
    <t xml:space="preserve">SRC_ZP_473</t>
  </si>
  <si>
    <t xml:space="preserve">rent_h800_cardhr_turing_b</t>
  </si>
  <si>
    <r>
      <rPr>
        <sz val="10"/>
        <color rgb="FF000000"/>
        <rFont val="Arial"/>
        <family val="0"/>
        <charset val="1"/>
      </rPr>
      <t xml:space="preserve">H800 80G </t>
    </r>
    <r>
      <rPr>
        <sz val="10"/>
        <color rgb="FF000000"/>
        <rFont val="Noto Sans CJK SC"/>
        <family val="2"/>
      </rPr>
      <t xml:space="preserve">單卡時租（圖靈小鎮）</t>
    </r>
  </si>
  <si>
    <t xml:space="preserve">SRC_ZP_474</t>
  </si>
  <si>
    <t xml:space="preserve">rent_h800_cardhr_derived</t>
  </si>
  <si>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SMM </t>
    </r>
    <r>
      <rPr>
        <sz val="10"/>
        <color rgb="FF000000"/>
        <rFont val="Noto Sans CJK SC"/>
        <family val="2"/>
      </rPr>
      <t xml:space="preserve">兩年約） 折算卡時價</t>
    </r>
  </si>
  <si>
    <r>
      <rPr>
        <sz val="10"/>
        <color rgb="FF000000"/>
        <rFont val="Arial"/>
        <family val="0"/>
        <charset val="1"/>
      </rPr>
      <t xml:space="preserve">2026-07</t>
    </r>
    <r>
      <rPr>
        <sz val="10"/>
        <color rgb="FF000000"/>
        <rFont val="Noto Sans CJK SC"/>
        <family val="2"/>
      </rPr>
      <t xml:space="preserve">～</t>
    </r>
    <r>
      <rPr>
        <sz val="10"/>
        <color rgb="FF000000"/>
        <rFont val="Arial"/>
        <family val="0"/>
        <charset val="1"/>
      </rPr>
      <t xml:space="preserve">09</t>
    </r>
  </si>
  <si>
    <r>
      <rPr>
        <sz val="10"/>
        <color rgb="FF000000"/>
        <rFont val="Noto Sans CJK SC"/>
        <family val="2"/>
      </rPr>
      <t xml:space="preserve">由 </t>
    </r>
    <r>
      <rPr>
        <sz val="10"/>
        <color rgb="FF000000"/>
        <rFont val="Arial"/>
        <family val="0"/>
        <charset val="1"/>
      </rPr>
      <t xml:space="preserve">rent_h800_machmo_aug26 ÷ 8 </t>
    </r>
    <r>
      <rPr>
        <sz val="10"/>
        <color rgb="FF000000"/>
        <rFont val="Noto Sans CJK SC"/>
        <family val="2"/>
      </rPr>
      <t xml:space="preserve">卡 </t>
    </r>
    <r>
      <rPr>
        <sz val="10"/>
        <color rgb="FF000000"/>
        <rFont val="Arial"/>
        <family val="0"/>
        <charset val="1"/>
      </rPr>
      <t xml:space="preserve">÷ 730 </t>
    </r>
    <r>
      <rPr>
        <sz val="10"/>
        <color rgb="FF000000"/>
        <rFont val="Noto Sans CJK SC"/>
        <family val="2"/>
      </rPr>
      <t xml:space="preserve">小時</t>
    </r>
  </si>
  <si>
    <t xml:space="preserve">https://news.metal.com/</t>
  </si>
  <si>
    <r>
      <rPr>
        <sz val="10"/>
        <color rgb="FF000000"/>
        <rFont val="Arial"/>
        <family val="0"/>
        <charset val="1"/>
      </rPr>
      <t xml:space="preserve">78000÷8÷730</t>
    </r>
    <r>
      <rPr>
        <sz val="10"/>
        <color rgb="FF000000"/>
        <rFont val="Noto Sans CJK SC"/>
        <family val="2"/>
      </rPr>
      <t xml:space="preserve">＝</t>
    </r>
    <r>
      <rPr>
        <sz val="10"/>
        <color rgb="FF000000"/>
        <rFont val="Arial"/>
        <family val="0"/>
        <charset val="1"/>
      </rPr>
      <t xml:space="preserve">13.36</t>
    </r>
    <r>
      <rPr>
        <sz val="10"/>
        <color rgb="FF000000"/>
        <rFont val="Noto Sans CJK SC"/>
        <family val="2"/>
      </rPr>
      <t xml:space="preserve">；假設整機 </t>
    </r>
    <r>
      <rPr>
        <sz val="10"/>
        <color rgb="FF000000"/>
        <rFont val="Arial"/>
        <family val="0"/>
        <charset val="1"/>
      </rPr>
      <t xml:space="preserve">8 </t>
    </r>
    <r>
      <rPr>
        <sz val="10"/>
        <color rgb="FF000000"/>
        <rFont val="Noto Sans CJK SC"/>
        <family val="2"/>
      </rPr>
      <t xml:space="preserve">卡、每月 </t>
    </r>
    <r>
      <rPr>
        <sz val="10"/>
        <color rgb="FF000000"/>
        <rFont val="Arial"/>
        <family val="0"/>
        <charset val="1"/>
      </rPr>
      <t xml:space="preserve">730 </t>
    </r>
    <r>
      <rPr>
        <sz val="10"/>
        <color rgb="FF000000"/>
        <rFont val="Noto Sans CJK SC"/>
        <family val="2"/>
      </rPr>
      <t xml:space="preserve">小時、全月計費</t>
    </r>
  </si>
  <si>
    <t xml:space="preserve">SRC_ZP_475</t>
  </si>
  <si>
    <t xml:space="preserve">rent_a800_cardhr_derived</t>
  </si>
  <si>
    <r>
      <rPr>
        <sz val="10"/>
        <color rgb="FF000000"/>
        <rFont val="Arial"/>
        <family val="0"/>
        <charset val="1"/>
      </rPr>
      <t xml:space="preserve">A800</t>
    </r>
    <r>
      <rPr>
        <sz val="10"/>
        <color rgb="FF000000"/>
        <rFont val="Noto Sans CJK SC"/>
        <family val="2"/>
      </rPr>
      <t xml:space="preserve">（</t>
    </r>
    <r>
      <rPr>
        <sz val="10"/>
        <color rgb="FF000000"/>
        <rFont val="Arial"/>
        <family val="0"/>
        <charset val="1"/>
      </rPr>
      <t xml:space="preserve">SMM </t>
    </r>
    <r>
      <rPr>
        <sz val="10"/>
        <color rgb="FF000000"/>
        <rFont val="Noto Sans CJK SC"/>
        <family val="2"/>
      </rPr>
      <t xml:space="preserve">一年約） 折算卡時價</t>
    </r>
  </si>
  <si>
    <r>
      <rPr>
        <sz val="10"/>
        <color rgb="FF000000"/>
        <rFont val="Noto Sans CJK SC"/>
        <family val="2"/>
      </rPr>
      <t xml:space="preserve">由 </t>
    </r>
    <r>
      <rPr>
        <sz val="10"/>
        <color rgb="FF000000"/>
        <rFont val="Arial"/>
        <family val="0"/>
        <charset val="1"/>
      </rPr>
      <t xml:space="preserve">rent_a800_machmo_jul26 ÷ 8 </t>
    </r>
    <r>
      <rPr>
        <sz val="10"/>
        <color rgb="FF000000"/>
        <rFont val="Noto Sans CJK SC"/>
        <family val="2"/>
      </rPr>
      <t xml:space="preserve">卡 </t>
    </r>
    <r>
      <rPr>
        <sz val="10"/>
        <color rgb="FF000000"/>
        <rFont val="Arial"/>
        <family val="0"/>
        <charset val="1"/>
      </rPr>
      <t xml:space="preserve">÷ 730 </t>
    </r>
    <r>
      <rPr>
        <sz val="10"/>
        <color rgb="FF000000"/>
        <rFont val="Noto Sans CJK SC"/>
        <family val="2"/>
      </rPr>
      <t xml:space="preserve">小時</t>
    </r>
  </si>
  <si>
    <r>
      <rPr>
        <sz val="10"/>
        <color rgb="FF000000"/>
        <rFont val="Arial"/>
        <family val="0"/>
        <charset val="1"/>
      </rPr>
      <t xml:space="preserve">36000÷8÷730</t>
    </r>
    <r>
      <rPr>
        <sz val="10"/>
        <color rgb="FF000000"/>
        <rFont val="Noto Sans CJK SC"/>
        <family val="2"/>
      </rPr>
      <t xml:space="preserve">＝</t>
    </r>
    <r>
      <rPr>
        <sz val="10"/>
        <color rgb="FF000000"/>
        <rFont val="Arial"/>
        <family val="0"/>
        <charset val="1"/>
      </rPr>
      <t xml:space="preserve">6.16</t>
    </r>
    <r>
      <rPr>
        <sz val="10"/>
        <color rgb="FF000000"/>
        <rFont val="Noto Sans CJK SC"/>
        <family val="2"/>
      </rPr>
      <t xml:space="preserve">；假設整機 </t>
    </r>
    <r>
      <rPr>
        <sz val="10"/>
        <color rgb="FF000000"/>
        <rFont val="Arial"/>
        <family val="0"/>
        <charset val="1"/>
      </rPr>
      <t xml:space="preserve">8 </t>
    </r>
    <r>
      <rPr>
        <sz val="10"/>
        <color rgb="FF000000"/>
        <rFont val="Noto Sans CJK SC"/>
        <family val="2"/>
      </rPr>
      <t xml:space="preserve">卡、每月 </t>
    </r>
    <r>
      <rPr>
        <sz val="10"/>
        <color rgb="FF000000"/>
        <rFont val="Arial"/>
        <family val="0"/>
        <charset val="1"/>
      </rPr>
      <t xml:space="preserve">730 </t>
    </r>
    <r>
      <rPr>
        <sz val="10"/>
        <color rgb="FF000000"/>
        <rFont val="Noto Sans CJK SC"/>
        <family val="2"/>
      </rPr>
      <t xml:space="preserve">小時、全月計費</t>
    </r>
  </si>
  <si>
    <t xml:space="preserve">SRC_ZP_476</t>
  </si>
  <si>
    <t xml:space="preserve">rent_h100_cardhr_derived</t>
  </si>
  <si>
    <r>
      <rPr>
        <sz val="10"/>
        <color rgb="FF000000"/>
        <rFont val="Arial"/>
        <family val="0"/>
        <charset val="1"/>
      </rPr>
      <t xml:space="preserve">H100</t>
    </r>
    <r>
      <rPr>
        <sz val="10"/>
        <color rgb="FF000000"/>
        <rFont val="Noto Sans CJK SC"/>
        <family val="2"/>
      </rPr>
      <t xml:space="preserve">（</t>
    </r>
    <r>
      <rPr>
        <sz val="10"/>
        <color rgb="FF000000"/>
        <rFont val="Arial"/>
        <family val="0"/>
        <charset val="1"/>
      </rPr>
      <t xml:space="preserve">SMM </t>
    </r>
    <r>
      <rPr>
        <sz val="10"/>
        <color rgb="FF000000"/>
        <rFont val="Noto Sans CJK SC"/>
        <family val="2"/>
      </rPr>
      <t xml:space="preserve">一年以上） 折算卡時價</t>
    </r>
  </si>
  <si>
    <r>
      <rPr>
        <sz val="10"/>
        <color rgb="FF000000"/>
        <rFont val="Noto Sans CJK SC"/>
        <family val="2"/>
      </rPr>
      <t xml:space="preserve">由 </t>
    </r>
    <r>
      <rPr>
        <sz val="10"/>
        <color rgb="FF000000"/>
        <rFont val="Arial"/>
        <family val="0"/>
        <charset val="1"/>
      </rPr>
      <t xml:space="preserve">rent_h100_machmo_jul26 ÷ 8 </t>
    </r>
    <r>
      <rPr>
        <sz val="10"/>
        <color rgb="FF000000"/>
        <rFont val="Noto Sans CJK SC"/>
        <family val="2"/>
      </rPr>
      <t xml:space="preserve">卡 </t>
    </r>
    <r>
      <rPr>
        <sz val="10"/>
        <color rgb="FF000000"/>
        <rFont val="Arial"/>
        <family val="0"/>
        <charset val="1"/>
      </rPr>
      <t xml:space="preserve">÷ 730 </t>
    </r>
    <r>
      <rPr>
        <sz val="10"/>
        <color rgb="FF000000"/>
        <rFont val="Noto Sans CJK SC"/>
        <family val="2"/>
      </rPr>
      <t xml:space="preserve">小時</t>
    </r>
  </si>
  <si>
    <r>
      <rPr>
        <sz val="10"/>
        <color rgb="FF000000"/>
        <rFont val="Arial"/>
        <family val="0"/>
        <charset val="1"/>
      </rPr>
      <t xml:space="preserve">80000÷8÷730</t>
    </r>
    <r>
      <rPr>
        <sz val="10"/>
        <color rgb="FF000000"/>
        <rFont val="Noto Sans CJK SC"/>
        <family val="2"/>
      </rPr>
      <t xml:space="preserve">＝</t>
    </r>
    <r>
      <rPr>
        <sz val="10"/>
        <color rgb="FF000000"/>
        <rFont val="Arial"/>
        <family val="0"/>
        <charset val="1"/>
      </rPr>
      <t xml:space="preserve">13.7</t>
    </r>
    <r>
      <rPr>
        <sz val="10"/>
        <color rgb="FF000000"/>
        <rFont val="Noto Sans CJK SC"/>
        <family val="2"/>
      </rPr>
      <t xml:space="preserve">；假設整機 </t>
    </r>
    <r>
      <rPr>
        <sz val="10"/>
        <color rgb="FF000000"/>
        <rFont val="Arial"/>
        <family val="0"/>
        <charset val="1"/>
      </rPr>
      <t xml:space="preserve">8 </t>
    </r>
    <r>
      <rPr>
        <sz val="10"/>
        <color rgb="FF000000"/>
        <rFont val="Noto Sans CJK SC"/>
        <family val="2"/>
      </rPr>
      <t xml:space="preserve">卡、每月 </t>
    </r>
    <r>
      <rPr>
        <sz val="10"/>
        <color rgb="FF000000"/>
        <rFont val="Arial"/>
        <family val="0"/>
        <charset val="1"/>
      </rPr>
      <t xml:space="preserve">730 </t>
    </r>
    <r>
      <rPr>
        <sz val="10"/>
        <color rgb="FF000000"/>
        <rFont val="Noto Sans CJK SC"/>
        <family val="2"/>
      </rPr>
      <t xml:space="preserve">小時、全月計費</t>
    </r>
  </si>
  <si>
    <t xml:space="preserve">SRC_ZP_477</t>
  </si>
  <si>
    <t xml:space="preserve">rent_h20_cardhr_derived</t>
  </si>
  <si>
    <r>
      <rPr>
        <sz val="10"/>
        <color rgb="FF000000"/>
        <rFont val="Arial"/>
        <family val="0"/>
        <charset val="1"/>
      </rPr>
      <t xml:space="preserve">H20 96G</t>
    </r>
    <r>
      <rPr>
        <sz val="10"/>
        <color rgb="FF000000"/>
        <rFont val="Noto Sans CJK SC"/>
        <family val="2"/>
      </rPr>
      <t xml:space="preserve">（</t>
    </r>
    <r>
      <rPr>
        <sz val="10"/>
        <color rgb="FF000000"/>
        <rFont val="Arial"/>
        <family val="0"/>
        <charset val="1"/>
      </rPr>
      <t xml:space="preserve">SMM </t>
    </r>
    <r>
      <rPr>
        <sz val="10"/>
        <color rgb="FF000000"/>
        <rFont val="Noto Sans CJK SC"/>
        <family val="2"/>
      </rPr>
      <t xml:space="preserve">京津冀均） 折算卡時價</t>
    </r>
  </si>
  <si>
    <r>
      <rPr>
        <sz val="10"/>
        <color rgb="FF000000"/>
        <rFont val="Noto Sans CJK SC"/>
        <family val="2"/>
      </rPr>
      <t xml:space="preserve">由 </t>
    </r>
    <r>
      <rPr>
        <sz val="10"/>
        <color rgb="FF000000"/>
        <rFont val="Arial"/>
        <family val="0"/>
        <charset val="1"/>
      </rPr>
      <t xml:space="preserve">rent_h20_machmo_sep26 ÷ 8 </t>
    </r>
    <r>
      <rPr>
        <sz val="10"/>
        <color rgb="FF000000"/>
        <rFont val="Noto Sans CJK SC"/>
        <family val="2"/>
      </rPr>
      <t xml:space="preserve">卡 </t>
    </r>
    <r>
      <rPr>
        <sz val="10"/>
        <color rgb="FF000000"/>
        <rFont val="Arial"/>
        <family val="0"/>
        <charset val="1"/>
      </rPr>
      <t xml:space="preserve">÷ 730 </t>
    </r>
    <r>
      <rPr>
        <sz val="10"/>
        <color rgb="FF000000"/>
        <rFont val="Noto Sans CJK SC"/>
        <family val="2"/>
      </rPr>
      <t xml:space="preserve">小時</t>
    </r>
  </si>
  <si>
    <r>
      <rPr>
        <sz val="10"/>
        <color rgb="FF000000"/>
        <rFont val="Arial"/>
        <family val="0"/>
        <charset val="1"/>
      </rPr>
      <t xml:space="preserve">43000÷8÷730</t>
    </r>
    <r>
      <rPr>
        <sz val="10"/>
        <color rgb="FF000000"/>
        <rFont val="Noto Sans CJK SC"/>
        <family val="2"/>
      </rPr>
      <t xml:space="preserve">＝</t>
    </r>
    <r>
      <rPr>
        <sz val="10"/>
        <color rgb="FF000000"/>
        <rFont val="Arial"/>
        <family val="0"/>
        <charset val="1"/>
      </rPr>
      <t xml:space="preserve">7.36</t>
    </r>
    <r>
      <rPr>
        <sz val="10"/>
        <color rgb="FF000000"/>
        <rFont val="Noto Sans CJK SC"/>
        <family val="2"/>
      </rPr>
      <t xml:space="preserve">；假設整機 </t>
    </r>
    <r>
      <rPr>
        <sz val="10"/>
        <color rgb="FF000000"/>
        <rFont val="Arial"/>
        <family val="0"/>
        <charset val="1"/>
      </rPr>
      <t xml:space="preserve">8 </t>
    </r>
    <r>
      <rPr>
        <sz val="10"/>
        <color rgb="FF000000"/>
        <rFont val="Noto Sans CJK SC"/>
        <family val="2"/>
      </rPr>
      <t xml:space="preserve">卡、每月 </t>
    </r>
    <r>
      <rPr>
        <sz val="10"/>
        <color rgb="FF000000"/>
        <rFont val="Arial"/>
        <family val="0"/>
        <charset val="1"/>
      </rPr>
      <t xml:space="preserve">730 </t>
    </r>
    <r>
      <rPr>
        <sz val="10"/>
        <color rgb="FF000000"/>
        <rFont val="Noto Sans CJK SC"/>
        <family val="2"/>
      </rPr>
      <t xml:space="preserve">小時、全月計費</t>
    </r>
  </si>
  <si>
    <t xml:space="preserve">SRC_ZP_478</t>
  </si>
  <si>
    <t xml:space="preserve">rent_910b4_cardhr_derived</t>
  </si>
  <si>
    <r>
      <rPr>
        <sz val="10"/>
        <color rgb="FF000000"/>
        <rFont val="Noto Sans CJK SC"/>
        <family val="2"/>
      </rPr>
      <t xml:space="preserve">昇騰 </t>
    </r>
    <r>
      <rPr>
        <sz val="10"/>
        <color rgb="FF000000"/>
        <rFont val="Arial"/>
        <family val="0"/>
        <charset val="1"/>
      </rPr>
      <t xml:space="preserve">910B4</t>
    </r>
    <r>
      <rPr>
        <sz val="10"/>
        <color rgb="FF000000"/>
        <rFont val="Noto Sans CJK SC"/>
        <family val="2"/>
      </rPr>
      <t xml:space="preserve">／</t>
    </r>
    <r>
      <rPr>
        <sz val="10"/>
        <color rgb="FF000000"/>
        <rFont val="Arial"/>
        <family val="0"/>
        <charset val="1"/>
      </rPr>
      <t xml:space="preserve">910B3 16,000 </t>
    </r>
    <r>
      <rPr>
        <sz val="10"/>
        <color rgb="FF000000"/>
        <rFont val="Noto Sans CJK SC"/>
        <family val="2"/>
      </rPr>
      <t xml:space="preserve">折算卡時價（假設 </t>
    </r>
    <r>
      <rPr>
        <sz val="10"/>
        <color rgb="FF000000"/>
        <rFont val="Arial"/>
        <family val="0"/>
        <charset val="1"/>
      </rPr>
      <t xml:space="preserve">8 </t>
    </r>
    <r>
      <rPr>
        <sz val="10"/>
        <color rgb="FF000000"/>
        <rFont val="Noto Sans CJK SC"/>
        <family val="2"/>
      </rPr>
      <t xml:space="preserve">卡整機）</t>
    </r>
  </si>
  <si>
    <r>
      <rPr>
        <sz val="10"/>
        <color rgb="FF000000"/>
        <rFont val="Arial"/>
        <family val="0"/>
        <charset val="1"/>
      </rPr>
      <t xml:space="preserve">2026-05</t>
    </r>
    <r>
      <rPr>
        <sz val="10"/>
        <color rgb="FF000000"/>
        <rFont val="Noto Sans CJK SC"/>
        <family val="2"/>
      </rPr>
      <t xml:space="preserve">～</t>
    </r>
    <r>
      <rPr>
        <sz val="10"/>
        <color rgb="FF000000"/>
        <rFont val="Arial"/>
        <family val="0"/>
        <charset val="1"/>
      </rPr>
      <t xml:space="preserve">09</t>
    </r>
  </si>
  <si>
    <r>
      <rPr>
        <sz val="10"/>
        <color rgb="FF000000"/>
        <rFont val="Noto Sans CJK SC"/>
        <family val="2"/>
      </rPr>
      <t xml:space="preserve">由 </t>
    </r>
    <r>
      <rPr>
        <sz val="10"/>
        <color rgb="FF000000"/>
        <rFont val="Arial"/>
        <family val="0"/>
        <charset val="1"/>
      </rPr>
      <t xml:space="preserve">SMM</t>
    </r>
    <r>
      <rPr>
        <sz val="10"/>
        <color rgb="FF000000"/>
        <rFont val="Noto Sans CJK SC"/>
        <family val="2"/>
      </rPr>
      <t xml:space="preserve">／</t>
    </r>
    <r>
      <rPr>
        <sz val="10"/>
        <color rgb="FF000000"/>
        <rFont val="Arial"/>
        <family val="0"/>
        <charset val="1"/>
      </rPr>
      <t xml:space="preserve">AtomGit </t>
    </r>
    <r>
      <rPr>
        <sz val="10"/>
        <color rgb="FF000000"/>
        <rFont val="Noto Sans CJK SC"/>
        <family val="2"/>
      </rPr>
      <t xml:space="preserve">月租 </t>
    </r>
    <r>
      <rPr>
        <sz val="10"/>
        <color rgb="FF000000"/>
        <rFont val="Arial"/>
        <family val="0"/>
        <charset val="1"/>
      </rPr>
      <t xml:space="preserve">÷ 8 ÷ 730</t>
    </r>
  </si>
  <si>
    <r>
      <rPr>
        <sz val="10"/>
        <color rgb="FF000000"/>
        <rFont val="Arial"/>
        <family val="0"/>
        <charset val="1"/>
      </rPr>
      <t xml:space="preserve">16000÷8÷730</t>
    </r>
    <r>
      <rPr>
        <sz val="10"/>
        <color rgb="FF000000"/>
        <rFont val="Noto Sans CJK SC"/>
        <family val="2"/>
      </rPr>
      <t xml:space="preserve">＝</t>
    </r>
    <r>
      <rPr>
        <sz val="10"/>
        <color rgb="FF000000"/>
        <rFont val="Arial"/>
        <family val="0"/>
        <charset val="1"/>
      </rPr>
      <t xml:space="preserve">2.74</t>
    </r>
    <r>
      <rPr>
        <sz val="10"/>
        <color rgb="FF000000"/>
        <rFont val="Noto Sans CJK SC"/>
        <family val="2"/>
      </rPr>
      <t xml:space="preserve">；若 </t>
    </r>
    <r>
      <rPr>
        <sz val="10"/>
        <color rgb="FF000000"/>
        <rFont val="Arial"/>
        <family val="0"/>
        <charset val="1"/>
      </rPr>
      <t xml:space="preserve">unit </t>
    </r>
    <r>
      <rPr>
        <sz val="10"/>
        <color rgb="FF000000"/>
        <rFont val="Noto Sans CJK SC"/>
        <family val="2"/>
      </rPr>
      <t xml:space="preserve">為單卡則為 </t>
    </r>
    <r>
      <rPr>
        <sz val="10"/>
        <color rgb="FF000000"/>
        <rFont val="Arial"/>
        <family val="0"/>
        <charset val="1"/>
      </rPr>
      <t xml:space="preserve">21.9</t>
    </r>
    <r>
      <rPr>
        <sz val="10"/>
        <color rgb="FF000000"/>
        <rFont val="Noto Sans CJK SC"/>
        <family val="2"/>
      </rPr>
      <t xml:space="preserve">（不合理高於 </t>
    </r>
    <r>
      <rPr>
        <sz val="10"/>
        <color rgb="FF000000"/>
        <rFont val="Arial"/>
        <family val="0"/>
        <charset val="1"/>
      </rPr>
      <t xml:space="preserve">H800</t>
    </r>
    <r>
      <rPr>
        <sz val="10"/>
        <color rgb="FF000000"/>
        <rFont val="Noto Sans CJK SC"/>
        <family val="2"/>
      </rPr>
      <t xml:space="preserve">，故推定 </t>
    </r>
    <r>
      <rPr>
        <sz val="10"/>
        <color rgb="FF000000"/>
        <rFont val="Arial"/>
        <family val="0"/>
        <charset val="1"/>
      </rPr>
      <t xml:space="preserve">8 </t>
    </r>
    <r>
      <rPr>
        <sz val="10"/>
        <color rgb="FF000000"/>
        <rFont val="Noto Sans CJK SC"/>
        <family val="2"/>
      </rPr>
      <t xml:space="preserve">卡）</t>
    </r>
  </si>
  <si>
    <t xml:space="preserve">SRC_ZP_479</t>
  </si>
  <si>
    <t xml:space="preserve">rent_910b_zxy_cardhr_derived</t>
  </si>
  <si>
    <r>
      <rPr>
        <sz val="10"/>
        <color rgb="FF000000"/>
        <rFont val="Noto Sans CJK SC"/>
        <family val="2"/>
      </rPr>
      <t xml:space="preserve">昇騰 </t>
    </r>
    <r>
      <rPr>
        <sz val="10"/>
        <color rgb="FF000000"/>
        <rFont val="Arial"/>
        <family val="0"/>
        <charset val="1"/>
      </rPr>
      <t xml:space="preserve">910B </t>
    </r>
    <r>
      <rPr>
        <sz val="10"/>
        <color rgb="FF000000"/>
        <rFont val="Noto Sans CJK SC"/>
        <family val="2"/>
      </rPr>
      <t xml:space="preserve">八卡 </t>
    </r>
    <r>
      <rPr>
        <sz val="10"/>
        <color rgb="FF000000"/>
        <rFont val="Arial"/>
        <family val="0"/>
        <charset val="1"/>
      </rPr>
      <t xml:space="preserve">25,000</t>
    </r>
    <r>
      <rPr>
        <sz val="10"/>
        <color rgb="FF000000"/>
        <rFont val="Noto Sans CJK SC"/>
        <family val="2"/>
      </rPr>
      <t xml:space="preserve">（智星雲） 折算卡時價（假設 </t>
    </r>
    <r>
      <rPr>
        <sz val="10"/>
        <color rgb="FF000000"/>
        <rFont val="Arial"/>
        <family val="0"/>
        <charset val="1"/>
      </rPr>
      <t xml:space="preserve">8 </t>
    </r>
    <r>
      <rPr>
        <sz val="10"/>
        <color rgb="FF000000"/>
        <rFont val="Noto Sans CJK SC"/>
        <family val="2"/>
      </rPr>
      <t xml:space="preserve">卡整機）</t>
    </r>
  </si>
  <si>
    <r>
      <rPr>
        <sz val="10"/>
        <color rgb="FF000000"/>
        <rFont val="Arial"/>
        <family val="0"/>
        <charset val="1"/>
      </rPr>
      <t xml:space="preserve">25000÷8÷730</t>
    </r>
    <r>
      <rPr>
        <sz val="10"/>
        <color rgb="FF000000"/>
        <rFont val="Noto Sans CJK SC"/>
        <family val="2"/>
      </rPr>
      <t xml:space="preserve">＝</t>
    </r>
    <r>
      <rPr>
        <sz val="10"/>
        <color rgb="FF000000"/>
        <rFont val="Arial"/>
        <family val="0"/>
        <charset val="1"/>
      </rPr>
      <t xml:space="preserve">4.28</t>
    </r>
    <r>
      <rPr>
        <sz val="10"/>
        <color rgb="FF000000"/>
        <rFont val="Noto Sans CJK SC"/>
        <family val="2"/>
      </rPr>
      <t xml:space="preserve">；若 </t>
    </r>
    <r>
      <rPr>
        <sz val="10"/>
        <color rgb="FF000000"/>
        <rFont val="Arial"/>
        <family val="0"/>
        <charset val="1"/>
      </rPr>
      <t xml:space="preserve">unit </t>
    </r>
    <r>
      <rPr>
        <sz val="10"/>
        <color rgb="FF000000"/>
        <rFont val="Noto Sans CJK SC"/>
        <family val="2"/>
      </rPr>
      <t xml:space="preserve">為單卡則為 </t>
    </r>
    <r>
      <rPr>
        <sz val="10"/>
        <color rgb="FF000000"/>
        <rFont val="Arial"/>
        <family val="0"/>
        <charset val="1"/>
      </rPr>
      <t xml:space="preserve">34.2</t>
    </r>
    <r>
      <rPr>
        <sz val="10"/>
        <color rgb="FF000000"/>
        <rFont val="Noto Sans CJK SC"/>
        <family val="2"/>
      </rPr>
      <t xml:space="preserve">（不合理高於 </t>
    </r>
    <r>
      <rPr>
        <sz val="10"/>
        <color rgb="FF000000"/>
        <rFont val="Arial"/>
        <family val="0"/>
        <charset val="1"/>
      </rPr>
      <t xml:space="preserve">H800</t>
    </r>
    <r>
      <rPr>
        <sz val="10"/>
        <color rgb="FF000000"/>
        <rFont val="Noto Sans CJK SC"/>
        <family val="2"/>
      </rPr>
      <t xml:space="preserve">，故推定 </t>
    </r>
    <r>
      <rPr>
        <sz val="10"/>
        <color rgb="FF000000"/>
        <rFont val="Arial"/>
        <family val="0"/>
        <charset val="1"/>
      </rPr>
      <t xml:space="preserve">8 </t>
    </r>
    <r>
      <rPr>
        <sz val="10"/>
        <color rgb="FF000000"/>
        <rFont val="Noto Sans CJK SC"/>
        <family val="2"/>
      </rPr>
      <t xml:space="preserve">卡）</t>
    </r>
  </si>
  <si>
    <t xml:space="preserve">SRC_ZP_480</t>
  </si>
  <si>
    <t xml:space="preserve">perf_910c_vs_h100_inf</t>
  </si>
  <si>
    <r>
      <rPr>
        <sz val="10"/>
        <color rgb="FF000000"/>
        <rFont val="Noto Sans CJK SC"/>
        <family val="2"/>
      </rPr>
      <t xml:space="preserve">昇騰 </t>
    </r>
    <r>
      <rPr>
        <sz val="10"/>
        <color rgb="FF000000"/>
        <rFont val="Arial"/>
        <family val="0"/>
        <charset val="1"/>
      </rPr>
      <t xml:space="preserve">910C </t>
    </r>
    <r>
      <rPr>
        <sz val="10"/>
        <color rgb="FF000000"/>
        <rFont val="Noto Sans CJK SC"/>
        <family val="2"/>
      </rPr>
      <t xml:space="preserve">推論效能／</t>
    </r>
    <r>
      <rPr>
        <sz val="10"/>
        <color rgb="FF000000"/>
        <rFont val="Arial"/>
        <family val="0"/>
        <charset val="1"/>
      </rPr>
      <t xml:space="preserve">H100</t>
    </r>
  </si>
  <si>
    <t xml:space="preserve">2025-02</t>
  </si>
  <si>
    <r>
      <rPr>
        <sz val="10"/>
        <color rgb="FF000000"/>
        <rFont val="Arial"/>
        <family val="0"/>
        <charset val="1"/>
      </rPr>
      <t xml:space="preserve">GIGAZINE</t>
    </r>
    <r>
      <rPr>
        <sz val="10"/>
        <color rgb="FF000000"/>
        <rFont val="Noto Sans CJK SC"/>
        <family val="2"/>
      </rPr>
      <t xml:space="preserve">（</t>
    </r>
    <r>
      <rPr>
        <sz val="10"/>
        <color rgb="FF000000"/>
        <rFont val="Arial"/>
        <family val="0"/>
        <charset val="1"/>
      </rPr>
      <t xml:space="preserve">2025-02-07</t>
    </r>
    <r>
      <rPr>
        <sz val="10"/>
        <color rgb="FF000000"/>
        <rFont val="Noto Sans CJK SC"/>
        <family val="2"/>
      </rPr>
      <t xml:space="preserve">，引 </t>
    </r>
    <r>
      <rPr>
        <sz val="10"/>
        <color rgb="FF000000"/>
        <rFont val="Arial"/>
        <family val="0"/>
        <charset val="1"/>
      </rPr>
      <t xml:space="preserve">AGI Hunt</t>
    </r>
    <r>
      <rPr>
        <sz val="10"/>
        <color rgb="FF000000"/>
        <rFont val="Noto Sans CJK SC"/>
        <family val="2"/>
      </rPr>
      <t xml:space="preserve">／</t>
    </r>
    <r>
      <rPr>
        <sz val="10"/>
        <color rgb="FF000000"/>
        <rFont val="Arial"/>
        <family val="0"/>
        <charset val="1"/>
      </rPr>
      <t xml:space="preserve">DeepSeek </t>
    </r>
    <r>
      <rPr>
        <sz val="10"/>
        <color rgb="FF000000"/>
        <rFont val="Noto Sans CJK SC"/>
        <family val="2"/>
      </rPr>
      <t xml:space="preserve">測試）</t>
    </r>
  </si>
  <si>
    <t xml:space="preserve">https://gigazine.net/gsc_news/en/20250207-huawei-ascend-910c-inference-performance-nvidia</t>
  </si>
  <si>
    <t xml:space="preserve">2025-02-07</t>
  </si>
  <si>
    <r>
      <rPr>
        <sz val="10"/>
        <color rgb="FF000000"/>
        <rFont val="Noto Sans CJK SC"/>
        <family val="2"/>
      </rPr>
      <t xml:space="preserve">原文「</t>
    </r>
    <r>
      <rPr>
        <sz val="10"/>
        <color rgb="FF000000"/>
        <rFont val="Arial"/>
        <family val="0"/>
        <charset val="1"/>
      </rPr>
      <t xml:space="preserve">Ascend 910C delivered 60% of the performance of NVIDIA’s H100 in inference tasks</t>
    </r>
    <r>
      <rPr>
        <sz val="10"/>
        <color rgb="FF000000"/>
        <rFont val="Noto Sans CJK SC"/>
        <family val="2"/>
      </rPr>
      <t xml:space="preserve">」；</t>
    </r>
    <r>
      <rPr>
        <sz val="10"/>
        <color rgb="FF000000"/>
        <rFont val="Arial"/>
        <family val="0"/>
        <charset val="1"/>
      </rPr>
      <t xml:space="preserve">aiwiki </t>
    </r>
    <r>
      <rPr>
        <sz val="10"/>
        <color rgb="FF000000"/>
        <rFont val="Noto Sans CJK SC"/>
        <family val="2"/>
      </rPr>
      <t xml:space="preserve">另引 </t>
    </r>
    <r>
      <rPr>
        <sz val="10"/>
        <color rgb="FF000000"/>
        <rFont val="Arial"/>
        <family val="0"/>
        <charset val="1"/>
      </rPr>
      <t xml:space="preserve">Reuters </t>
    </r>
    <r>
      <rPr>
        <sz val="10"/>
        <color rgb="FF000000"/>
        <rFont val="Noto Sans CJK SC"/>
        <family val="2"/>
      </rPr>
      <t xml:space="preserve">同 </t>
    </r>
    <r>
      <rPr>
        <sz val="10"/>
        <color rgb="FF000000"/>
        <rFont val="Arial"/>
        <family val="0"/>
        <charset val="1"/>
      </rPr>
      <t xml:space="preserve">60%</t>
    </r>
    <r>
      <rPr>
        <sz val="10"/>
        <color rgb="FF000000"/>
        <rFont val="Noto Sans CJK SC"/>
        <family val="2"/>
      </rPr>
      <t xml:space="preserve">，分析師估 </t>
    </r>
    <r>
      <rPr>
        <sz val="10"/>
        <color rgb="FF000000"/>
        <rFont val="Arial"/>
        <family val="0"/>
        <charset val="1"/>
      </rPr>
      <t xml:space="preserve">BF16 </t>
    </r>
    <r>
      <rPr>
        <sz val="10"/>
        <color rgb="FF000000"/>
        <rFont val="Noto Sans CJK SC"/>
        <family val="2"/>
      </rPr>
      <t xml:space="preserve">吞吐約 </t>
    </r>
    <r>
      <rPr>
        <sz val="10"/>
        <color rgb="FF000000"/>
        <rFont val="Arial"/>
        <family val="0"/>
        <charset val="1"/>
      </rPr>
      <t xml:space="preserve">80%</t>
    </r>
  </si>
  <si>
    <t xml:space="preserve">SRC_ZP_481</t>
  </si>
  <si>
    <t xml:space="preserve">perf_910c_power</t>
  </si>
  <si>
    <r>
      <rPr>
        <sz val="10"/>
        <color rgb="FF000000"/>
        <rFont val="Noto Sans CJK SC"/>
        <family val="2"/>
      </rPr>
      <t xml:space="preserve">昇騰 </t>
    </r>
    <r>
      <rPr>
        <sz val="10"/>
        <color rgb="FF000000"/>
        <rFont val="Arial"/>
        <family val="0"/>
        <charset val="1"/>
      </rPr>
      <t xml:space="preserve">910C </t>
    </r>
    <r>
      <rPr>
        <sz val="10"/>
        <color rgb="FF000000"/>
        <rFont val="Noto Sans CJK SC"/>
        <family val="2"/>
      </rPr>
      <t xml:space="preserve">單卡功耗</t>
    </r>
  </si>
  <si>
    <t xml:space="preserve">W</t>
  </si>
  <si>
    <r>
      <rPr>
        <sz val="10"/>
        <color rgb="FF000000"/>
        <rFont val="Arial"/>
        <family val="0"/>
        <charset val="1"/>
      </rPr>
      <t xml:space="preserve">2024-11</t>
    </r>
    <r>
      <rPr>
        <sz val="10"/>
        <color rgb="FF000000"/>
        <rFont val="Noto Sans CJK SC"/>
        <family val="2"/>
      </rPr>
      <t xml:space="preserve">（</t>
    </r>
    <r>
      <rPr>
        <sz val="10"/>
        <color rgb="FF000000"/>
        <rFont val="Arial"/>
        <family val="0"/>
        <charset val="1"/>
      </rPr>
      <t xml:space="preserve">2025-02 </t>
    </r>
    <r>
      <rPr>
        <sz val="10"/>
        <color rgb="FF000000"/>
        <rFont val="Noto Sans CJK SC"/>
        <family val="2"/>
      </rPr>
      <t xml:space="preserve">更新）</t>
    </r>
  </si>
  <si>
    <r>
      <rPr>
        <sz val="10"/>
        <color rgb="FF000000"/>
        <rFont val="Arial"/>
        <family val="0"/>
        <charset val="1"/>
      </rPr>
      <t xml:space="preserve">Unite.AI</t>
    </r>
    <r>
      <rPr>
        <sz val="10"/>
        <color rgb="FF000000"/>
        <rFont val="Noto Sans CJK SC"/>
        <family val="2"/>
      </rPr>
      <t xml:space="preserve">〈</t>
    </r>
    <r>
      <rPr>
        <sz val="10"/>
        <color rgb="FF000000"/>
        <rFont val="Arial"/>
        <family val="0"/>
        <charset val="1"/>
      </rPr>
      <t xml:space="preserve">Huawei Ascend 910C</t>
    </r>
    <r>
      <rPr>
        <sz val="10"/>
        <color rgb="FF000000"/>
        <rFont val="Noto Sans CJK SC"/>
        <family val="2"/>
      </rPr>
      <t xml:space="preserve">〉</t>
    </r>
  </si>
  <si>
    <t xml:space="preserve">https://www.unite.ai/huaweis-ascend-910c-a-bold-challenge-to-nvidia-in-the-ai-chip-market</t>
  </si>
  <si>
    <t xml:space="preserve">2025-02-23</t>
  </si>
  <si>
    <r>
      <rPr>
        <sz val="10"/>
        <color rgb="FF000000"/>
        <rFont val="Arial"/>
        <family val="0"/>
        <charset val="1"/>
      </rPr>
      <t xml:space="preserve">SemiAnalysis</t>
    </r>
    <r>
      <rPr>
        <sz val="10"/>
        <color rgb="FF000000"/>
        <rFont val="Noto Sans CJK SC"/>
        <family val="2"/>
      </rPr>
      <t xml:space="preserve">：偏樂觀，須第二獨立來源（不得單獨引用）</t>
    </r>
  </si>
  <si>
    <r>
      <rPr>
        <sz val="10"/>
        <color rgb="FF000000"/>
        <rFont val="Noto Sans CJK SC"/>
        <family val="2"/>
      </rPr>
      <t xml:space="preserve">原文「</t>
    </r>
    <r>
      <rPr>
        <sz val="10"/>
        <color rgb="FF000000"/>
        <rFont val="Arial"/>
        <family val="0"/>
        <charset val="1"/>
      </rPr>
      <t xml:space="preserve">consuming around 310 watts</t>
    </r>
    <r>
      <rPr>
        <sz val="10"/>
        <color rgb="FF000000"/>
        <rFont val="Noto Sans CJK SC"/>
        <family val="2"/>
      </rPr>
      <t xml:space="preserve">」；</t>
    </r>
    <r>
      <rPr>
        <sz val="10"/>
        <color rgb="FF000000"/>
        <rFont val="Arial"/>
        <family val="0"/>
        <charset val="1"/>
      </rPr>
      <t xml:space="preserve">aiwiki </t>
    </r>
    <r>
      <rPr>
        <sz val="10"/>
        <color rgb="FF000000"/>
        <rFont val="Noto Sans CJK SC"/>
        <family val="2"/>
      </rPr>
      <t xml:space="preserve">列 </t>
    </r>
    <r>
      <rPr>
        <sz val="10"/>
        <color rgb="FF000000"/>
        <rFont val="Arial"/>
        <family val="0"/>
        <charset val="1"/>
      </rPr>
      <t xml:space="preserve">310–350W</t>
    </r>
    <r>
      <rPr>
        <sz val="10"/>
        <color rgb="FF000000"/>
        <rFont val="Noto Sans CJK SC"/>
        <family val="2"/>
      </rPr>
      <t xml:space="preserve">（引 </t>
    </r>
    <r>
      <rPr>
        <sz val="10"/>
        <color rgb="FF000000"/>
        <rFont val="Arial"/>
        <family val="0"/>
        <charset val="1"/>
      </rPr>
      <t xml:space="preserve">SemiAnalysis</t>
    </r>
    <r>
      <rPr>
        <sz val="10"/>
        <color rgb="FF000000"/>
        <rFont val="Noto Sans CJK SC"/>
        <family val="2"/>
      </rPr>
      <t xml:space="preserve">）；晶片 </t>
    </r>
    <r>
      <rPr>
        <sz val="10"/>
        <color rgb="FF000000"/>
        <rFont val="Arial"/>
        <family val="0"/>
        <charset val="1"/>
      </rPr>
      <t xml:space="preserve">TDP</t>
    </r>
    <r>
      <rPr>
        <sz val="10"/>
        <color rgb="FF000000"/>
        <rFont val="Noto Sans CJK SC"/>
        <family val="2"/>
      </rPr>
      <t xml:space="preserve">，非全設施</t>
    </r>
  </si>
  <si>
    <t xml:space="preserve">SRC_ZP_482</t>
  </si>
  <si>
    <t xml:space="preserve">perf_910c_bf16</t>
  </si>
  <si>
    <r>
      <rPr>
        <sz val="10"/>
        <color rgb="FF000000"/>
        <rFont val="Noto Sans CJK SC"/>
        <family val="2"/>
      </rPr>
      <t xml:space="preserve">昇騰 </t>
    </r>
    <r>
      <rPr>
        <sz val="10"/>
        <color rgb="FF000000"/>
        <rFont val="Arial"/>
        <family val="0"/>
        <charset val="1"/>
      </rPr>
      <t xml:space="preserve">910C BF16 </t>
    </r>
    <r>
      <rPr>
        <sz val="10"/>
        <color rgb="FF000000"/>
        <rFont val="Noto Sans CJK SC"/>
        <family val="2"/>
      </rPr>
      <t xml:space="preserve">稠密算力</t>
    </r>
  </si>
  <si>
    <t xml:space="preserve">TFLOPS</t>
  </si>
  <si>
    <r>
      <rPr>
        <sz val="10"/>
        <color rgb="FF000000"/>
        <rFont val="Arial"/>
        <family val="0"/>
        <charset val="1"/>
      </rPr>
      <t xml:space="preserve">The Register</t>
    </r>
    <r>
      <rPr>
        <sz val="10"/>
        <color rgb="FF000000"/>
        <rFont val="Noto Sans CJK SC"/>
        <family val="2"/>
      </rPr>
      <t xml:space="preserve">（</t>
    </r>
    <r>
      <rPr>
        <sz val="10"/>
        <color rgb="FF000000"/>
        <rFont val="Arial"/>
        <family val="0"/>
        <charset val="1"/>
      </rPr>
      <t xml:space="preserve">2025-07-29</t>
    </r>
    <r>
      <rPr>
        <sz val="10"/>
        <color rgb="FF000000"/>
        <rFont val="Noto Sans CJK SC"/>
        <family val="2"/>
      </rPr>
      <t xml:space="preserve">）</t>
    </r>
  </si>
  <si>
    <t xml:space="preserve">https://www.theregister.com/2025/07/29/huawei_rackscale_boogeyman/</t>
  </si>
  <si>
    <r>
      <rPr>
        <sz val="10"/>
        <color rgb="FF000000"/>
        <rFont val="Noto Sans CJK SC"/>
        <family val="2"/>
      </rPr>
      <t xml:space="preserve">原文「</t>
    </r>
    <r>
      <rPr>
        <sz val="10"/>
        <color rgb="FF000000"/>
        <rFont val="Arial"/>
        <family val="0"/>
        <charset val="1"/>
      </rPr>
      <t xml:space="preserve">752 teraFLOPS of dense FP16/BF16</t>
    </r>
    <r>
      <rPr>
        <sz val="10"/>
        <color rgb="FF000000"/>
        <rFont val="Noto Sans CJK SC"/>
        <family val="2"/>
      </rPr>
      <t xml:space="preserve">」，</t>
    </r>
    <r>
      <rPr>
        <sz val="10"/>
        <color rgb="FF000000"/>
        <rFont val="Arial"/>
        <family val="0"/>
        <charset val="1"/>
      </rPr>
      <t xml:space="preserve">128GB HBM</t>
    </r>
    <r>
      <rPr>
        <sz val="10"/>
        <color rgb="FF000000"/>
        <rFont val="Noto Sans CJK SC"/>
        <family val="2"/>
      </rPr>
      <t xml:space="preserve">、</t>
    </r>
    <r>
      <rPr>
        <sz val="10"/>
        <color rgb="FF000000"/>
        <rFont val="Arial"/>
        <family val="0"/>
        <charset val="1"/>
      </rPr>
      <t xml:space="preserve">3.2TB/s</t>
    </r>
    <r>
      <rPr>
        <sz val="10"/>
        <color rgb="FF000000"/>
        <rFont val="Noto Sans CJK SC"/>
        <family val="2"/>
      </rPr>
      <t xml:space="preserve">；</t>
    </r>
    <r>
      <rPr>
        <sz val="10"/>
        <color rgb="FF000000"/>
        <rFont val="Arial"/>
        <family val="0"/>
        <charset val="1"/>
      </rPr>
      <t xml:space="preserve">Tom's Hardware</t>
    </r>
    <r>
      <rPr>
        <sz val="10"/>
        <color rgb="FF000000"/>
        <rFont val="Noto Sans CJK SC"/>
        <family val="2"/>
      </rPr>
      <t xml:space="preserve">（</t>
    </r>
    <r>
      <rPr>
        <sz val="10"/>
        <color rgb="FF000000"/>
        <rFont val="Arial"/>
        <family val="0"/>
        <charset val="1"/>
      </rPr>
      <t xml:space="preserve">SemiAnalysis</t>
    </r>
    <r>
      <rPr>
        <sz val="10"/>
        <color rgb="FF000000"/>
        <rFont val="Noto Sans CJK SC"/>
        <family val="2"/>
      </rPr>
      <t xml:space="preserve">）列 </t>
    </r>
    <r>
      <rPr>
        <sz val="10"/>
        <color rgb="FF000000"/>
        <rFont val="Arial"/>
        <family val="0"/>
        <charset val="1"/>
      </rPr>
      <t xml:space="preserve">780</t>
    </r>
  </si>
  <si>
    <t xml:space="preserve">SRC_ZP_483</t>
  </si>
  <si>
    <t xml:space="preserve">perf_cm384_power</t>
  </si>
  <si>
    <r>
      <rPr>
        <sz val="10"/>
        <color rgb="FF000000"/>
        <rFont val="Arial"/>
        <family val="0"/>
        <charset val="1"/>
      </rPr>
      <t xml:space="preserve">CloudMatrix 384 </t>
    </r>
    <r>
      <rPr>
        <sz val="10"/>
        <color rgb="FF000000"/>
        <rFont val="Noto Sans CJK SC"/>
        <family val="2"/>
      </rPr>
      <t xml:space="preserve">系統功耗</t>
    </r>
  </si>
  <si>
    <t xml:space="preserve">kW</t>
  </si>
  <si>
    <t xml:space="preserve">2025-04</t>
  </si>
  <si>
    <r>
      <rPr>
        <sz val="10"/>
        <color rgb="FF000000"/>
        <rFont val="Arial"/>
        <family val="0"/>
        <charset val="1"/>
      </rPr>
      <t xml:space="preserve">Tom's Hardware</t>
    </r>
    <r>
      <rPr>
        <sz val="10"/>
        <color rgb="FF000000"/>
        <rFont val="Noto Sans CJK SC"/>
        <family val="2"/>
      </rPr>
      <t xml:space="preserve">（</t>
    </r>
    <r>
      <rPr>
        <sz val="10"/>
        <color rgb="FF000000"/>
        <rFont val="Arial"/>
        <family val="0"/>
        <charset val="1"/>
      </rPr>
      <t xml:space="preserve">2025-04-18</t>
    </r>
    <r>
      <rPr>
        <sz val="10"/>
        <color rgb="FF000000"/>
        <rFont val="Noto Sans CJK SC"/>
        <family val="2"/>
      </rPr>
      <t xml:space="preserve">，引 </t>
    </r>
    <r>
      <rPr>
        <sz val="10"/>
        <color rgb="FF000000"/>
        <rFont val="Arial"/>
        <family val="0"/>
        <charset val="1"/>
      </rPr>
      <t xml:space="preserve">SemiAnalysis</t>
    </r>
    <r>
      <rPr>
        <sz val="10"/>
        <color rgb="FF000000"/>
        <rFont val="Noto Sans CJK SC"/>
        <family val="2"/>
      </rPr>
      <t xml:space="preserve">）</t>
    </r>
  </si>
  <si>
    <t xml:space="preserve">https://www.tomshardware.com/tech-industry/artificial-intelligence/huaweis-new-ai-cloudmatrix-cluster-beats-nvidias-gb200-by-brute-force-uses-4x-the-power</t>
  </si>
  <si>
    <t xml:space="preserve">2025-04-18</t>
  </si>
  <si>
    <r>
      <rPr>
        <sz val="10"/>
        <color rgb="FF000000"/>
        <rFont val="Noto Sans CJK SC"/>
        <family val="2"/>
      </rPr>
      <t xml:space="preserve">「</t>
    </r>
    <r>
      <rPr>
        <sz val="10"/>
        <color rgb="FF000000"/>
        <rFont val="Arial"/>
        <family val="0"/>
        <charset val="1"/>
      </rPr>
      <t xml:space="preserve">all system power (including networking and storage)</t>
    </r>
    <r>
      <rPr>
        <sz val="10"/>
        <color rgb="FF000000"/>
        <rFont val="Noto Sans CJK SC"/>
        <family val="2"/>
      </rPr>
      <t xml:space="preserve">」約 </t>
    </r>
    <r>
      <rPr>
        <sz val="10"/>
        <color rgb="FF000000"/>
        <rFont val="Arial"/>
        <family val="0"/>
        <charset val="1"/>
      </rPr>
      <t xml:space="preserve">559kW</t>
    </r>
    <r>
      <rPr>
        <sz val="10"/>
        <color rgb="FF000000"/>
        <rFont val="Noto Sans CJK SC"/>
        <family val="2"/>
      </rPr>
      <t xml:space="preserve">；</t>
    </r>
    <r>
      <rPr>
        <sz val="10"/>
        <color rgb="FF000000"/>
        <rFont val="Arial"/>
        <family val="0"/>
        <charset val="1"/>
      </rPr>
      <t xml:space="preserve">The Register </t>
    </r>
    <r>
      <rPr>
        <sz val="10"/>
        <color rgb="FF000000"/>
        <rFont val="Noto Sans CJK SC"/>
        <family val="2"/>
      </rPr>
      <t xml:space="preserve">引 </t>
    </r>
    <r>
      <rPr>
        <sz val="10"/>
        <color rgb="FF000000"/>
        <rFont val="Arial"/>
        <family val="0"/>
        <charset val="1"/>
      </rPr>
      <t xml:space="preserve">SemiAnalysis</t>
    </r>
    <r>
      <rPr>
        <sz val="10"/>
        <color rgb="FF000000"/>
        <rFont val="Noto Sans CJK SC"/>
        <family val="2"/>
      </rPr>
      <t xml:space="preserve">「</t>
    </r>
    <r>
      <rPr>
        <sz val="10"/>
        <color rgb="FF000000"/>
        <rFont val="Arial"/>
        <family val="0"/>
        <charset val="1"/>
      </rPr>
      <t xml:space="preserve">~600 kW all in</t>
    </r>
    <r>
      <rPr>
        <sz val="10"/>
        <color rgb="FF000000"/>
        <rFont val="Noto Sans CJK SC"/>
        <family val="2"/>
      </rPr>
      <t xml:space="preserve">」；少數派亦 </t>
    </r>
    <r>
      <rPr>
        <sz val="10"/>
        <color rgb="FF000000"/>
        <rFont val="Arial"/>
        <family val="0"/>
        <charset val="1"/>
      </rPr>
      <t xml:space="preserve">559kW </t>
    </r>
    <r>
      <rPr>
        <sz val="10"/>
        <color rgb="FF000000"/>
        <rFont val="Noto Sans CJK SC"/>
        <family val="2"/>
      </rPr>
      <t xml:space="preserve">未註源。【所有來源皆追溯至 </t>
    </r>
    <r>
      <rPr>
        <sz val="10"/>
        <color rgb="FF000000"/>
        <rFont val="Arial"/>
        <family val="0"/>
        <charset val="1"/>
      </rPr>
      <t xml:space="preserve">SemiAnalysis</t>
    </r>
    <r>
      <rPr>
        <sz val="10"/>
        <color rgb="FF000000"/>
        <rFont val="Noto Sans CJK SC"/>
        <family val="2"/>
      </rPr>
      <t xml:space="preserve">，依規則不可單獨引用，暫不入模型】</t>
    </r>
  </si>
  <si>
    <t xml:space="preserve">SRC_ZP_484</t>
  </si>
  <si>
    <t xml:space="preserve">perf_cm384_vs_nvl72_power</t>
  </si>
  <si>
    <r>
      <rPr>
        <sz val="10"/>
        <color rgb="FF000000"/>
        <rFont val="Arial"/>
        <family val="0"/>
        <charset val="1"/>
      </rPr>
      <t xml:space="preserve">CloudMatrix 384 </t>
    </r>
    <r>
      <rPr>
        <sz val="10"/>
        <color rgb="FF000000"/>
        <rFont val="Noto Sans CJK SC"/>
        <family val="2"/>
      </rPr>
      <t xml:space="preserve">功耗／</t>
    </r>
    <r>
      <rPr>
        <sz val="10"/>
        <color rgb="FF000000"/>
        <rFont val="Arial"/>
        <family val="0"/>
        <charset val="1"/>
      </rPr>
      <t xml:space="preserve">GB200 NVL72</t>
    </r>
  </si>
  <si>
    <r>
      <rPr>
        <sz val="10"/>
        <color rgb="FF000000"/>
        <rFont val="Arial"/>
        <family val="0"/>
        <charset val="1"/>
      </rPr>
      <t xml:space="preserve">559kW vs </t>
    </r>
    <r>
      <rPr>
        <sz val="10"/>
        <color rgb="FF000000"/>
        <rFont val="Noto Sans CJK SC"/>
        <family val="2"/>
      </rPr>
      <t xml:space="preserve">約 </t>
    </r>
    <r>
      <rPr>
        <sz val="10"/>
        <color rgb="FF000000"/>
        <rFont val="Arial"/>
        <family val="0"/>
        <charset val="1"/>
      </rPr>
      <t xml:space="preserve">145kW</t>
    </r>
    <r>
      <rPr>
        <sz val="10"/>
        <color rgb="FF000000"/>
        <rFont val="Noto Sans CJK SC"/>
        <family val="2"/>
      </rPr>
      <t xml:space="preserve">；每 </t>
    </r>
    <r>
      <rPr>
        <sz val="10"/>
        <color rgb="FF000000"/>
        <rFont val="Arial"/>
        <family val="0"/>
        <charset val="1"/>
      </rPr>
      <t xml:space="preserve">TFLOP </t>
    </r>
    <r>
      <rPr>
        <sz val="10"/>
        <color rgb="FF000000"/>
        <rFont val="Noto Sans CJK SC"/>
        <family val="2"/>
      </rPr>
      <t xml:space="preserve">功耗差 </t>
    </r>
    <r>
      <rPr>
        <sz val="10"/>
        <color rgb="FF000000"/>
        <rFont val="Arial"/>
        <family val="0"/>
        <charset val="1"/>
      </rPr>
      <t xml:space="preserve">2.3×</t>
    </r>
    <r>
      <rPr>
        <sz val="10"/>
        <color rgb="FF000000"/>
        <rFont val="Noto Sans CJK SC"/>
        <family val="2"/>
      </rPr>
      <t xml:space="preserve">（</t>
    </r>
    <r>
      <rPr>
        <sz val="10"/>
        <color rgb="FF000000"/>
        <rFont val="Arial"/>
        <family val="0"/>
        <charset val="1"/>
      </rPr>
      <t xml:space="preserve">1.87 vs 0.81 W/TFLOP</t>
    </r>
    <r>
      <rPr>
        <sz val="10"/>
        <color rgb="FF000000"/>
        <rFont val="Noto Sans CJK SC"/>
        <family val="2"/>
      </rPr>
      <t xml:space="preserve">）。【僅 </t>
    </r>
    <r>
      <rPr>
        <sz val="10"/>
        <color rgb="FF000000"/>
        <rFont val="Arial"/>
        <family val="0"/>
        <charset val="1"/>
      </rPr>
      <t xml:space="preserve">SemiAnalysis </t>
    </r>
    <r>
      <rPr>
        <sz val="10"/>
        <color rgb="FF000000"/>
        <rFont val="Noto Sans CJK SC"/>
        <family val="2"/>
      </rPr>
      <t xml:space="preserve">源頭，不可單獨引用】</t>
    </r>
  </si>
  <si>
    <t xml:space="preserve">SRC_ZP_485</t>
  </si>
  <si>
    <t xml:space="preserve">perf_cm384_decode_per_npu</t>
  </si>
  <si>
    <r>
      <rPr>
        <sz val="10"/>
        <color rgb="FF000000"/>
        <rFont val="Arial"/>
        <family val="0"/>
        <charset val="1"/>
      </rPr>
      <t xml:space="preserve">CloudMatrix384 DeepSeek-R1 </t>
    </r>
    <r>
      <rPr>
        <sz val="10"/>
        <color rgb="FF000000"/>
        <rFont val="Noto Sans CJK SC"/>
        <family val="2"/>
      </rPr>
      <t xml:space="preserve">解碼吞吐（每 </t>
    </r>
    <r>
      <rPr>
        <sz val="10"/>
        <color rgb="FF000000"/>
        <rFont val="Arial"/>
        <family val="0"/>
        <charset val="1"/>
      </rPr>
      <t xml:space="preserve">NPU</t>
    </r>
    <r>
      <rPr>
        <sz val="10"/>
        <color rgb="FF000000"/>
        <rFont val="Noto Sans CJK SC"/>
        <family val="2"/>
      </rPr>
      <t xml:space="preserve">）</t>
    </r>
  </si>
  <si>
    <r>
      <rPr>
        <sz val="10"/>
        <color rgb="FF000000"/>
        <rFont val="Arial"/>
        <family val="0"/>
        <charset val="1"/>
      </rPr>
      <t xml:space="preserve">token</t>
    </r>
    <r>
      <rPr>
        <sz val="10"/>
        <color rgb="FF000000"/>
        <rFont val="Noto Sans CJK SC"/>
        <family val="2"/>
      </rPr>
      <t xml:space="preserve">／秒／</t>
    </r>
    <r>
      <rPr>
        <sz val="10"/>
        <color rgb="FF000000"/>
        <rFont val="Arial"/>
        <family val="0"/>
        <charset val="1"/>
      </rPr>
      <t xml:space="preserve">NPU</t>
    </r>
  </si>
  <si>
    <t xml:space="preserve">2025-06</t>
  </si>
  <si>
    <r>
      <rPr>
        <sz val="10"/>
        <color rgb="FF000000"/>
        <rFont val="Noto Sans CJK SC"/>
        <family val="2"/>
      </rPr>
      <t xml:space="preserve">華為 </t>
    </r>
    <r>
      <rPr>
        <sz val="10"/>
        <color rgb="FF000000"/>
        <rFont val="Arial"/>
        <family val="0"/>
        <charset val="1"/>
      </rPr>
      <t xml:space="preserve">CloudMatrix-Infer </t>
    </r>
    <r>
      <rPr>
        <sz val="10"/>
        <color rgb="FF000000"/>
        <rFont val="Noto Sans CJK SC"/>
        <family val="2"/>
      </rPr>
      <t xml:space="preserve">論文（</t>
    </r>
    <r>
      <rPr>
        <sz val="10"/>
        <color rgb="FF000000"/>
        <rFont val="Arial"/>
        <family val="0"/>
        <charset val="1"/>
      </rPr>
      <t xml:space="preserve">arXiv 2506.12708</t>
    </r>
    <r>
      <rPr>
        <sz val="10"/>
        <color rgb="FF000000"/>
        <rFont val="Noto Sans CJK SC"/>
        <family val="2"/>
      </rPr>
      <t xml:space="preserve">）</t>
    </r>
  </si>
  <si>
    <t xml:space="preserve">https://arxiv.org/abs/2506.12708v1</t>
  </si>
  <si>
    <t xml:space="preserve">2025-06-15</t>
  </si>
  <si>
    <t xml:space="preserve">華為：自家硬體宣傳誘因</t>
  </si>
  <si>
    <r>
      <rPr>
        <sz val="10"/>
        <color rgb="FF000000"/>
        <rFont val="Noto Sans CJK SC"/>
        <family val="2"/>
      </rPr>
      <t xml:space="preserve">摘要「</t>
    </r>
    <r>
      <rPr>
        <sz val="10"/>
        <color rgb="FF000000"/>
        <rFont val="Arial"/>
        <family val="0"/>
        <charset val="1"/>
      </rPr>
      <t xml:space="preserve">prefill throughput of 6,688 tokens/s per NPU and decode throughput of 1,943 tokens/s per NPU (&lt;50 ms TPOT)</t>
    </r>
    <r>
      <rPr>
        <sz val="10"/>
        <color rgb="FF000000"/>
        <rFont val="Noto Sans CJK SC"/>
        <family val="2"/>
      </rPr>
      <t xml:space="preserve">」；</t>
    </r>
    <r>
      <rPr>
        <sz val="10"/>
        <color rgb="FF000000"/>
        <rFont val="Arial"/>
        <family val="0"/>
        <charset val="1"/>
      </rPr>
      <t xml:space="preserve">15ms </t>
    </r>
    <r>
      <rPr>
        <sz val="10"/>
        <color rgb="FF000000"/>
        <rFont val="Noto Sans CJK SC"/>
        <family val="2"/>
      </rPr>
      <t xml:space="preserve">約束下 </t>
    </r>
    <r>
      <rPr>
        <sz val="10"/>
        <color rgb="FF000000"/>
        <rFont val="Arial"/>
        <family val="0"/>
        <charset val="1"/>
      </rPr>
      <t xml:space="preserve">538</t>
    </r>
    <r>
      <rPr>
        <sz val="10"/>
        <color rgb="FF000000"/>
        <rFont val="Noto Sans CJK SC"/>
        <family val="2"/>
      </rPr>
      <t xml:space="preserve">；</t>
    </r>
    <r>
      <rPr>
        <sz val="10"/>
        <color rgb="FF000000"/>
        <rFont val="Arial"/>
        <family val="0"/>
        <charset val="1"/>
      </rPr>
      <t xml:space="preserve">INT8</t>
    </r>
  </si>
  <si>
    <t xml:space="preserve">SRC_ZP_486</t>
  </si>
  <si>
    <t xml:space="preserve">perf_cm384_vs_h800_eff</t>
  </si>
  <si>
    <r>
      <rPr>
        <sz val="10"/>
        <color rgb="FF000000"/>
        <rFont val="Arial"/>
        <family val="0"/>
        <charset val="1"/>
      </rPr>
      <t xml:space="preserve">CloudMatrix384 </t>
    </r>
    <r>
      <rPr>
        <sz val="10"/>
        <color rgb="FF000000"/>
        <rFont val="Noto Sans CJK SC"/>
        <family val="2"/>
      </rPr>
      <t xml:space="preserve">計算效率對 </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prefill</t>
    </r>
    <r>
      <rPr>
        <sz val="10"/>
        <color rgb="FF000000"/>
        <rFont val="Noto Sans CJK SC"/>
        <family val="2"/>
      </rPr>
      <t xml:space="preserve">）</t>
    </r>
  </si>
  <si>
    <r>
      <rPr>
        <sz val="10"/>
        <color rgb="FF000000"/>
        <rFont val="Arial"/>
        <family val="0"/>
        <charset val="1"/>
      </rPr>
      <t xml:space="preserve">token</t>
    </r>
    <r>
      <rPr>
        <sz val="10"/>
        <color rgb="FF000000"/>
        <rFont val="Noto Sans CJK SC"/>
        <family val="2"/>
      </rPr>
      <t xml:space="preserve">／秒／</t>
    </r>
    <r>
      <rPr>
        <sz val="10"/>
        <color rgb="FF000000"/>
        <rFont val="Arial"/>
        <family val="0"/>
        <charset val="1"/>
      </rPr>
      <t xml:space="preserve">TFLOPS</t>
    </r>
  </si>
  <si>
    <r>
      <rPr>
        <sz val="10"/>
        <color rgb="FF000000"/>
        <rFont val="Arial"/>
        <family val="0"/>
        <charset val="1"/>
      </rPr>
      <t xml:space="preserve">The Register</t>
    </r>
    <r>
      <rPr>
        <sz val="10"/>
        <color rgb="FF000000"/>
        <rFont val="Noto Sans CJK SC"/>
        <family val="2"/>
      </rPr>
      <t xml:space="preserve">（</t>
    </r>
    <r>
      <rPr>
        <sz val="10"/>
        <color rgb="FF000000"/>
        <rFont val="Arial"/>
        <family val="0"/>
        <charset val="1"/>
      </rPr>
      <t xml:space="preserve">2025-07-29</t>
    </r>
    <r>
      <rPr>
        <sz val="10"/>
        <color rgb="FF000000"/>
        <rFont val="Noto Sans CJK SC"/>
        <family val="2"/>
      </rPr>
      <t xml:space="preserve">，轉述華為論文）</t>
    </r>
  </si>
  <si>
    <t xml:space="preserve">華為論文自述</t>
  </si>
  <si>
    <r>
      <rPr>
        <sz val="10"/>
        <color rgb="FF000000"/>
        <rFont val="Noto Sans CJK SC"/>
        <family val="2"/>
      </rPr>
      <t xml:space="preserve">原文「</t>
    </r>
    <r>
      <rPr>
        <sz val="10"/>
        <color rgb="FF000000"/>
        <rFont val="Arial"/>
        <family val="0"/>
        <charset val="1"/>
      </rPr>
      <t xml:space="preserve">4.5 tokens/sec per teraFLOPS, just ahead of Nvidia’s H800 at 3.96</t>
    </r>
    <r>
      <rPr>
        <sz val="10"/>
        <color rgb="FF000000"/>
        <rFont val="Noto Sans CJK SC"/>
        <family val="2"/>
      </rPr>
      <t xml:space="preserve">」；</t>
    </r>
    <r>
      <rPr>
        <sz val="10"/>
        <color rgb="FF000000"/>
        <rFont val="Arial"/>
        <family val="0"/>
        <charset val="1"/>
      </rPr>
      <t xml:space="preserve">decode</t>
    </r>
    <r>
      <rPr>
        <sz val="10"/>
        <color rgb="FF000000"/>
        <rFont val="Noto Sans CJK SC"/>
        <family val="2"/>
      </rPr>
      <t xml:space="preserve">「</t>
    </r>
    <r>
      <rPr>
        <sz val="10"/>
        <color rgb="FF000000"/>
        <rFont val="Arial"/>
        <family val="0"/>
        <charset val="1"/>
      </rPr>
      <t xml:space="preserve">roughly 10 percent lead over Nvidia’s H800</t>
    </r>
    <r>
      <rPr>
        <sz val="10"/>
        <color rgb="FF000000"/>
        <rFont val="Noto Sans CJK SC"/>
        <family val="2"/>
      </rPr>
      <t xml:space="preserve">」；為每 </t>
    </r>
    <r>
      <rPr>
        <sz val="10"/>
        <color rgb="FF000000"/>
        <rFont val="Arial"/>
        <family val="0"/>
        <charset val="1"/>
      </rPr>
      <t xml:space="preserve">TFLOPS </t>
    </r>
    <r>
      <rPr>
        <sz val="10"/>
        <color rgb="FF000000"/>
        <rFont val="Noto Sans CJK SC"/>
        <family val="2"/>
      </rPr>
      <t xml:space="preserve">效率，非每卡</t>
    </r>
  </si>
  <si>
    <t xml:space="preserve">SRC_ZP_487</t>
  </si>
  <si>
    <t xml:space="preserve">perf_h20_bf16</t>
  </si>
  <si>
    <r>
      <rPr>
        <sz val="10"/>
        <color rgb="FF000000"/>
        <rFont val="Arial"/>
        <family val="0"/>
        <charset val="1"/>
      </rPr>
      <t xml:space="preserve">H20 BF16 </t>
    </r>
    <r>
      <rPr>
        <sz val="10"/>
        <color rgb="FF000000"/>
        <rFont val="Noto Sans CJK SC"/>
        <family val="2"/>
      </rPr>
      <t xml:space="preserve">稠密算力</t>
    </r>
  </si>
  <si>
    <t xml:space="preserve">2024-02</t>
  </si>
  <si>
    <r>
      <rPr>
        <sz val="10"/>
        <color rgb="FF000000"/>
        <rFont val="Arial"/>
        <family val="0"/>
        <charset val="1"/>
      </rPr>
      <t xml:space="preserve">Tom's Hardware</t>
    </r>
    <r>
      <rPr>
        <sz val="10"/>
        <color rgb="FF000000"/>
        <rFont val="Noto Sans CJK SC"/>
        <family val="2"/>
      </rPr>
      <t xml:space="preserve">（</t>
    </r>
    <r>
      <rPr>
        <sz val="10"/>
        <color rgb="FF000000"/>
        <rFont val="Arial"/>
        <family val="0"/>
        <charset val="1"/>
      </rPr>
      <t xml:space="preserve">2024-02-01</t>
    </r>
    <r>
      <rPr>
        <sz val="10"/>
        <color rgb="FF000000"/>
        <rFont val="Noto Sans CJK SC"/>
        <family val="2"/>
      </rPr>
      <t xml:space="preserve">）</t>
    </r>
  </si>
  <si>
    <t xml:space="preserve">https://tomshardware.com/pc-components/gpus/new-nvidia-ai-gpus-designed-to-get-around-us-export-bans-come-to-china-h20-l20-and-l2-to-fill-void-left-by-restricted-models</t>
  </si>
  <si>
    <t xml:space="preserve">2024-02-01</t>
  </si>
  <si>
    <r>
      <rPr>
        <sz val="10"/>
        <color rgb="FF000000"/>
        <rFont val="Arial"/>
        <family val="0"/>
        <charset val="1"/>
      </rPr>
      <t xml:space="preserve">BF16 148</t>
    </r>
    <r>
      <rPr>
        <sz val="10"/>
        <color rgb="FF000000"/>
        <rFont val="Noto Sans CJK SC"/>
        <family val="2"/>
      </rPr>
      <t xml:space="preserve">、</t>
    </r>
    <r>
      <rPr>
        <sz val="10"/>
        <color rgb="FF000000"/>
        <rFont val="Arial"/>
        <family val="0"/>
        <charset val="1"/>
      </rPr>
      <t xml:space="preserve">FP8 296 TFLOPS</t>
    </r>
    <r>
      <rPr>
        <sz val="10"/>
        <color rgb="FF000000"/>
        <rFont val="Noto Sans CJK SC"/>
        <family val="2"/>
      </rPr>
      <t xml:space="preserve">，</t>
    </r>
    <r>
      <rPr>
        <sz val="10"/>
        <color rgb="FF000000"/>
        <rFont val="Arial"/>
        <family val="0"/>
        <charset val="1"/>
      </rPr>
      <t xml:space="preserve">96GB HBM3</t>
    </r>
    <r>
      <rPr>
        <sz val="10"/>
        <color rgb="FF000000"/>
        <rFont val="Noto Sans CJK SC"/>
        <family val="2"/>
      </rPr>
      <t xml:space="preserve">、</t>
    </r>
    <r>
      <rPr>
        <sz val="10"/>
        <color rgb="FF000000"/>
        <rFont val="Arial"/>
        <family val="0"/>
        <charset val="1"/>
      </rPr>
      <t xml:space="preserve">4.0TB/s</t>
    </r>
    <r>
      <rPr>
        <sz val="10"/>
        <color rgb="FF000000"/>
        <rFont val="Noto Sans CJK SC"/>
        <family val="2"/>
      </rPr>
      <t xml:space="preserve">、</t>
    </r>
    <r>
      <rPr>
        <sz val="10"/>
        <color rgb="FF000000"/>
        <rFont val="Arial"/>
        <family val="0"/>
        <charset val="1"/>
      </rPr>
      <t xml:space="preserve">TDP 400W</t>
    </r>
  </si>
  <si>
    <t xml:space="preserve">SRC_ZP_488</t>
  </si>
  <si>
    <t xml:space="preserve">perf_h100_bf16_sparse</t>
  </si>
  <si>
    <r>
      <rPr>
        <sz val="10"/>
        <color rgb="FF000000"/>
        <rFont val="Arial"/>
        <family val="0"/>
        <charset val="1"/>
      </rPr>
      <t xml:space="preserve">H100 SXM BF16 </t>
    </r>
    <r>
      <rPr>
        <sz val="10"/>
        <color rgb="FF000000"/>
        <rFont val="Noto Sans CJK SC"/>
        <family val="2"/>
      </rPr>
      <t xml:space="preserve">峰值（含稀疏）</t>
    </r>
  </si>
  <si>
    <t xml:space="preserve">—</t>
  </si>
  <si>
    <r>
      <rPr>
        <sz val="10"/>
        <color rgb="FF000000"/>
        <rFont val="Arial"/>
        <family val="0"/>
        <charset val="1"/>
      </rPr>
      <t xml:space="preserve">Lenovo Press LP1732</t>
    </r>
    <r>
      <rPr>
        <sz val="10"/>
        <color rgb="FF000000"/>
        <rFont val="Noto Sans CJK SC"/>
        <family val="2"/>
      </rPr>
      <t xml:space="preserve">（</t>
    </r>
    <r>
      <rPr>
        <sz val="10"/>
        <color rgb="FF000000"/>
        <rFont val="Arial"/>
        <family val="0"/>
        <charset val="1"/>
      </rPr>
      <t xml:space="preserve">H100 </t>
    </r>
    <r>
      <rPr>
        <sz val="10"/>
        <color rgb="FF000000"/>
        <rFont val="Noto Sans CJK SC"/>
        <family val="2"/>
      </rPr>
      <t xml:space="preserve">規格）</t>
    </r>
  </si>
  <si>
    <t xml:space="preserve">https://lenovopress.lenovo.com/lp1732.pdf</t>
  </si>
  <si>
    <r>
      <rPr>
        <sz val="10"/>
        <color rgb="FF000000"/>
        <rFont val="Noto Sans CJK SC"/>
        <family val="2"/>
      </rPr>
      <t xml:space="preserve">原文「</t>
    </r>
    <r>
      <rPr>
        <sz val="10"/>
        <color rgb="FF000000"/>
        <rFont val="Arial"/>
        <family val="0"/>
        <charset val="1"/>
      </rPr>
      <t xml:space="preserve">Peak Bfloat16 (BF16) performance: 1,979 TFLOPS*</t>
    </r>
    <r>
      <rPr>
        <sz val="10"/>
        <color rgb="FF000000"/>
        <rFont val="Noto Sans CJK SC"/>
        <family val="2"/>
      </rPr>
      <t xml:space="preserve">」</t>
    </r>
    <r>
      <rPr>
        <sz val="10"/>
        <color rgb="FF000000"/>
        <rFont val="Arial"/>
        <family val="0"/>
        <charset val="1"/>
      </rPr>
      <t xml:space="preserve">*</t>
    </r>
    <r>
      <rPr>
        <sz val="10"/>
        <color rgb="FF000000"/>
        <rFont val="Noto Sans CJK SC"/>
        <family val="2"/>
      </rPr>
      <t xml:space="preserve">＝</t>
    </r>
    <r>
      <rPr>
        <sz val="10"/>
        <color rgb="FF000000"/>
        <rFont val="Arial"/>
        <family val="0"/>
        <charset val="1"/>
      </rPr>
      <t xml:space="preserve">structural sparsity</t>
    </r>
    <r>
      <rPr>
        <sz val="10"/>
        <color rgb="FF000000"/>
        <rFont val="Noto Sans CJK SC"/>
        <family val="2"/>
      </rPr>
      <t xml:space="preserve">；稠密＝</t>
    </r>
    <r>
      <rPr>
        <sz val="10"/>
        <color rgb="FF000000"/>
        <rFont val="Arial"/>
        <family val="0"/>
        <charset val="1"/>
      </rPr>
      <t xml:space="preserve">÷2</t>
    </r>
    <r>
      <rPr>
        <sz val="10"/>
        <color rgb="FF000000"/>
        <rFont val="Noto Sans CJK SC"/>
        <family val="2"/>
      </rPr>
      <t xml:space="preserve">＝</t>
    </r>
    <r>
      <rPr>
        <sz val="10"/>
        <color rgb="FF000000"/>
        <rFont val="Arial"/>
        <family val="0"/>
        <charset val="1"/>
      </rPr>
      <t xml:space="preserve">989.5</t>
    </r>
    <r>
      <rPr>
        <sz val="10"/>
        <color rgb="FF000000"/>
        <rFont val="Noto Sans CJK SC"/>
        <family val="2"/>
      </rPr>
      <t xml:space="preserve">；</t>
    </r>
    <r>
      <rPr>
        <sz val="10"/>
        <color rgb="FF000000"/>
        <rFont val="Arial"/>
        <family val="0"/>
        <charset val="1"/>
      </rPr>
      <t xml:space="preserve">TDP 700W</t>
    </r>
  </si>
  <si>
    <t xml:space="preserve">SRC_ZP_489</t>
  </si>
  <si>
    <t xml:space="preserve">perf_h20_vs_h100_compute</t>
  </si>
  <si>
    <r>
      <rPr>
        <sz val="10"/>
        <color rgb="FF000000"/>
        <rFont val="Arial"/>
        <family val="0"/>
        <charset val="1"/>
      </rPr>
      <t xml:space="preserve">H20 </t>
    </r>
    <r>
      <rPr>
        <sz val="10"/>
        <color rgb="FF000000"/>
        <rFont val="Noto Sans CJK SC"/>
        <family val="2"/>
      </rPr>
      <t xml:space="preserve">算力／</t>
    </r>
    <r>
      <rPr>
        <sz val="10"/>
        <color rgb="FF000000"/>
        <rFont val="Arial"/>
        <family val="0"/>
        <charset val="1"/>
      </rPr>
      <t xml:space="preserve">H100</t>
    </r>
    <r>
      <rPr>
        <sz val="10"/>
        <color rgb="FF000000"/>
        <rFont val="Noto Sans CJK SC"/>
        <family val="2"/>
      </rPr>
      <t xml:space="preserve">（</t>
    </r>
    <r>
      <rPr>
        <sz val="10"/>
        <color rgb="FF000000"/>
        <rFont val="Arial"/>
        <family val="0"/>
        <charset val="1"/>
      </rPr>
      <t xml:space="preserve">BF16 </t>
    </r>
    <r>
      <rPr>
        <sz val="10"/>
        <color rgb="FF000000"/>
        <rFont val="Noto Sans CJK SC"/>
        <family val="2"/>
      </rPr>
      <t xml:space="preserve">稠密）</t>
    </r>
  </si>
  <si>
    <r>
      <rPr>
        <sz val="10"/>
        <color rgb="FF000000"/>
        <rFont val="Noto Sans CJK SC"/>
        <family val="2"/>
      </rPr>
      <t xml:space="preserve">由 </t>
    </r>
    <r>
      <rPr>
        <sz val="10"/>
        <color rgb="FF000000"/>
        <rFont val="Arial"/>
        <family val="0"/>
        <charset val="1"/>
      </rPr>
      <t xml:space="preserve">perf_h20_bf16 ÷</t>
    </r>
    <r>
      <rPr>
        <sz val="10"/>
        <color rgb="FF000000"/>
        <rFont val="Noto Sans CJK SC"/>
        <family val="2"/>
      </rPr>
      <t xml:space="preserve">（</t>
    </r>
    <r>
      <rPr>
        <sz val="10"/>
        <color rgb="FF000000"/>
        <rFont val="Arial"/>
        <family val="0"/>
        <charset val="1"/>
      </rPr>
      <t xml:space="preserve">perf_h100_bf16_sparse÷2</t>
    </r>
    <r>
      <rPr>
        <sz val="10"/>
        <color rgb="FF000000"/>
        <rFont val="Noto Sans CJK SC"/>
        <family val="2"/>
      </rPr>
      <t xml:space="preserve">）</t>
    </r>
  </si>
  <si>
    <r>
      <rPr>
        <sz val="10"/>
        <color rgb="FF000000"/>
        <rFont val="Arial"/>
        <family val="0"/>
        <charset val="1"/>
      </rPr>
      <t xml:space="preserve">148÷989.5</t>
    </r>
    <r>
      <rPr>
        <sz val="10"/>
        <color rgb="FF000000"/>
        <rFont val="Noto Sans CJK SC"/>
        <family val="2"/>
      </rPr>
      <t xml:space="preserve">＝</t>
    </r>
    <r>
      <rPr>
        <sz val="10"/>
        <color rgb="FF000000"/>
        <rFont val="Arial"/>
        <family val="0"/>
        <charset val="1"/>
      </rPr>
      <t xml:space="preserve">0.150</t>
    </r>
    <r>
      <rPr>
        <sz val="10"/>
        <color rgb="FF000000"/>
        <rFont val="Noto Sans CJK SC"/>
        <family val="2"/>
      </rPr>
      <t xml:space="preserve">；頻寬 </t>
    </r>
    <r>
      <rPr>
        <sz val="10"/>
        <color rgb="FF000000"/>
        <rFont val="Arial"/>
        <family val="0"/>
        <charset val="1"/>
      </rPr>
      <t xml:space="preserve">4.0÷3.35</t>
    </r>
    <r>
      <rPr>
        <sz val="10"/>
        <color rgb="FF000000"/>
        <rFont val="Noto Sans CJK SC"/>
        <family val="2"/>
      </rPr>
      <t xml:space="preserve">＝</t>
    </r>
    <r>
      <rPr>
        <sz val="10"/>
        <color rgb="FF000000"/>
        <rFont val="Arial"/>
        <family val="0"/>
        <charset val="1"/>
      </rPr>
      <t xml:space="preserve">1.19</t>
    </r>
    <r>
      <rPr>
        <sz val="10"/>
        <color rgb="FF000000"/>
        <rFont val="Noto Sans CJK SC"/>
        <family val="2"/>
      </rPr>
      <t xml:space="preserve">（</t>
    </r>
    <r>
      <rPr>
        <sz val="10"/>
        <color rgb="FF000000"/>
        <rFont val="Arial"/>
        <family val="0"/>
        <charset val="1"/>
      </rPr>
      <t xml:space="preserve">H20 </t>
    </r>
    <r>
      <rPr>
        <sz val="10"/>
        <color rgb="FF000000"/>
        <rFont val="Noto Sans CJK SC"/>
        <family val="2"/>
      </rPr>
      <t xml:space="preserve">較高）；</t>
    </r>
    <r>
      <rPr>
        <sz val="10"/>
        <color rgb="FF000000"/>
        <rFont val="Arial"/>
        <family val="0"/>
        <charset val="1"/>
      </rPr>
      <t xml:space="preserve">decode </t>
    </r>
    <r>
      <rPr>
        <sz val="10"/>
        <color rgb="FF000000"/>
        <rFont val="Noto Sans CJK SC"/>
        <family val="2"/>
      </rPr>
      <t xml:space="preserve">受頻寬限制，故推論比遠高於 </t>
    </r>
    <r>
      <rPr>
        <sz val="10"/>
        <color rgb="FF000000"/>
        <rFont val="Arial"/>
        <family val="0"/>
        <charset val="1"/>
      </rPr>
      <t xml:space="preserve">0.15</t>
    </r>
  </si>
  <si>
    <t xml:space="preserve">SRC_ZP_490</t>
  </si>
  <si>
    <t xml:space="preserve">perf_h20_vs_h100_inf</t>
  </si>
  <si>
    <r>
      <rPr>
        <sz val="10"/>
        <color rgb="FF000000"/>
        <rFont val="Arial"/>
        <family val="0"/>
        <charset val="1"/>
      </rPr>
      <t xml:space="preserve">H20 </t>
    </r>
    <r>
      <rPr>
        <sz val="10"/>
        <color rgb="FF000000"/>
        <rFont val="Noto Sans CJK SC"/>
        <family val="2"/>
      </rPr>
      <t xml:space="preserve">推論吞吐／</t>
    </r>
    <r>
      <rPr>
        <sz val="10"/>
        <color rgb="FF000000"/>
        <rFont val="Arial"/>
        <family val="0"/>
        <charset val="1"/>
      </rPr>
      <t xml:space="preserve">H100</t>
    </r>
    <r>
      <rPr>
        <sz val="10"/>
        <color rgb="FF000000"/>
        <rFont val="Noto Sans CJK SC"/>
        <family val="2"/>
      </rPr>
      <t xml:space="preserve">（</t>
    </r>
    <r>
      <rPr>
        <sz val="10"/>
        <color rgb="FF000000"/>
        <rFont val="Arial"/>
        <family val="0"/>
        <charset val="1"/>
      </rPr>
      <t xml:space="preserve">Llama2-70B </t>
    </r>
    <r>
      <rPr>
        <sz val="10"/>
        <color rgb="FF000000"/>
        <rFont val="Noto Sans CJK SC"/>
        <family val="2"/>
      </rPr>
      <t xml:space="preserve">估計）</t>
    </r>
  </si>
  <si>
    <r>
      <rPr>
        <sz val="10"/>
        <color rgb="FF000000"/>
        <rFont val="Arial"/>
        <family val="0"/>
        <charset val="1"/>
      </rPr>
      <t xml:space="preserve">DatabaseMart</t>
    </r>
    <r>
      <rPr>
        <sz val="10"/>
        <color rgb="FF000000"/>
        <rFont val="Noto Sans CJK SC"/>
        <family val="2"/>
      </rPr>
      <t xml:space="preserve">〈</t>
    </r>
    <r>
      <rPr>
        <sz val="10"/>
        <color rgb="FF000000"/>
        <rFont val="Arial"/>
        <family val="0"/>
        <charset val="1"/>
      </rPr>
      <t xml:space="preserve">H20 vs H100</t>
    </r>
    <r>
      <rPr>
        <sz val="10"/>
        <color rgb="FF000000"/>
        <rFont val="Noto Sans CJK SC"/>
        <family val="2"/>
      </rPr>
      <t xml:space="preserve">〉</t>
    </r>
  </si>
  <si>
    <t xml:space="preserve">https://www.databasemart.com/blog/nvidia-h20-vs-nvidia-h100</t>
  </si>
  <si>
    <t xml:space="preserve">2026-08-25</t>
  </si>
  <si>
    <r>
      <rPr>
        <sz val="10"/>
        <color rgb="FF000000"/>
        <rFont val="Arial"/>
        <family val="0"/>
        <charset val="1"/>
      </rPr>
      <t xml:space="preserve">H100 </t>
    </r>
    <r>
      <rPr>
        <sz val="10"/>
        <color rgb="FF000000"/>
        <rFont val="Noto Sans CJK SC"/>
        <family val="2"/>
      </rPr>
      <t xml:space="preserve">約 </t>
    </r>
    <r>
      <rPr>
        <sz val="10"/>
        <color rgb="FF000000"/>
        <rFont val="Arial"/>
        <family val="0"/>
        <charset val="1"/>
      </rPr>
      <t xml:space="preserve">21,500–23,000 token/s</t>
    </r>
    <r>
      <rPr>
        <sz val="10"/>
        <color rgb="FF000000"/>
        <rFont val="Noto Sans CJK SC"/>
        <family val="2"/>
      </rPr>
      <t xml:space="preserve">（</t>
    </r>
    <r>
      <rPr>
        <sz val="10"/>
        <color rgb="FF000000"/>
        <rFont val="Arial"/>
        <family val="0"/>
        <charset val="1"/>
      </rPr>
      <t xml:space="preserve">MLPerf</t>
    </r>
    <r>
      <rPr>
        <sz val="10"/>
        <color rgb="FF000000"/>
        <rFont val="Noto Sans CJK SC"/>
        <family val="2"/>
      </rPr>
      <t xml:space="preserve">），</t>
    </r>
    <r>
      <rPr>
        <sz val="10"/>
        <color rgb="FF000000"/>
        <rFont val="Arial"/>
        <family val="0"/>
        <charset val="1"/>
      </rPr>
      <t xml:space="preserve">H20 </t>
    </r>
    <r>
      <rPr>
        <sz val="10"/>
        <color rgb="FF000000"/>
        <rFont val="Noto Sans CJK SC"/>
        <family val="2"/>
      </rPr>
      <t xml:space="preserve">約 </t>
    </r>
    <r>
      <rPr>
        <sz val="10"/>
        <color rgb="FF000000"/>
        <rFont val="Arial"/>
        <family val="0"/>
        <charset val="1"/>
      </rPr>
      <t xml:space="preserve">6,000–9,000</t>
    </r>
    <r>
      <rPr>
        <sz val="10"/>
        <color rgb="FF000000"/>
        <rFont val="Noto Sans CJK SC"/>
        <family val="2"/>
      </rPr>
      <t xml:space="preserve">（「</t>
    </r>
    <r>
      <rPr>
        <sz val="10"/>
        <color rgb="FF000000"/>
        <rFont val="Arial"/>
        <family val="0"/>
        <charset val="1"/>
      </rPr>
      <t xml:space="preserve">engineering-level estimate</t>
    </r>
    <r>
      <rPr>
        <sz val="10"/>
        <color rgb="FF000000"/>
        <rFont val="Noto Sans CJK SC"/>
        <family val="2"/>
      </rPr>
      <t xml:space="preserve">」）；比值 </t>
    </r>
    <r>
      <rPr>
        <sz val="10"/>
        <color rgb="FF000000"/>
        <rFont val="Arial"/>
        <family val="0"/>
        <charset val="1"/>
      </rPr>
      <t xml:space="preserve">0.26–0.42</t>
    </r>
    <r>
      <rPr>
        <sz val="10"/>
        <color rgb="FF000000"/>
        <rFont val="Noto Sans CJK SC"/>
        <family val="2"/>
      </rPr>
      <t xml:space="preserve">（</t>
    </r>
    <r>
      <rPr>
        <sz val="10"/>
        <color rgb="FF000000"/>
        <rFont val="Arial"/>
        <family val="0"/>
        <charset val="1"/>
      </rPr>
      <t xml:space="preserve">Derived </t>
    </r>
    <r>
      <rPr>
        <sz val="10"/>
        <color rgb="FF000000"/>
        <rFont val="Noto Sans CJK SC"/>
        <family val="2"/>
      </rPr>
      <t xml:space="preserve">中點 </t>
    </r>
    <r>
      <rPr>
        <sz val="10"/>
        <color rgb="FF000000"/>
        <rFont val="Arial"/>
        <family val="0"/>
        <charset val="1"/>
      </rPr>
      <t xml:space="preserve">0.34</t>
    </r>
    <r>
      <rPr>
        <sz val="10"/>
        <color rgb="FF000000"/>
        <rFont val="Noto Sans CJK SC"/>
        <family val="2"/>
      </rPr>
      <t xml:space="preserve">）</t>
    </r>
  </si>
  <si>
    <t xml:space="preserve">SRC_ZP_491</t>
  </si>
  <si>
    <t xml:space="preserve">perf_h20_vs_h100_inf_b</t>
  </si>
  <si>
    <r>
      <rPr>
        <sz val="10"/>
        <color rgb="FF000000"/>
        <rFont val="Arial"/>
        <family val="0"/>
        <charset val="1"/>
      </rPr>
      <t xml:space="preserve">H20 </t>
    </r>
    <r>
      <rPr>
        <sz val="10"/>
        <color rgb="FF000000"/>
        <rFont val="Noto Sans CJK SC"/>
        <family val="2"/>
      </rPr>
      <t xml:space="preserve">對 </t>
    </r>
    <r>
      <rPr>
        <sz val="10"/>
        <color rgb="FF000000"/>
        <rFont val="Arial"/>
        <family val="0"/>
        <charset val="1"/>
      </rPr>
      <t xml:space="preserve">H100 LLM </t>
    </r>
    <r>
      <rPr>
        <sz val="10"/>
        <color rgb="FF000000"/>
        <rFont val="Noto Sans CJK SC"/>
        <family val="2"/>
      </rPr>
      <t xml:space="preserve">推論（</t>
    </r>
    <r>
      <rPr>
        <sz val="10"/>
        <color rgb="FF000000"/>
        <rFont val="Arial"/>
        <family val="0"/>
        <charset val="1"/>
      </rPr>
      <t xml:space="preserve">SemiAnalysis </t>
    </r>
    <r>
      <rPr>
        <sz val="10"/>
        <color rgb="FF000000"/>
        <rFont val="Noto Sans CJK SC"/>
        <family val="2"/>
      </rPr>
      <t xml:space="preserve">說法）</t>
    </r>
  </si>
  <si>
    <t xml:space="preserve">2023-11</t>
  </si>
  <si>
    <r>
      <rPr>
        <sz val="10"/>
        <color rgb="FF000000"/>
        <rFont val="Arial"/>
        <family val="0"/>
        <charset val="1"/>
      </rPr>
      <t xml:space="preserve">Asia Times</t>
    </r>
    <r>
      <rPr>
        <sz val="10"/>
        <color rgb="FF000000"/>
        <rFont val="Noto Sans CJK SC"/>
        <family val="2"/>
      </rPr>
      <t xml:space="preserve">（</t>
    </r>
    <r>
      <rPr>
        <sz val="10"/>
        <color rgb="FF000000"/>
        <rFont val="Arial"/>
        <family val="0"/>
        <charset val="1"/>
      </rPr>
      <t xml:space="preserve">2024-01-04</t>
    </r>
    <r>
      <rPr>
        <sz val="10"/>
        <color rgb="FF000000"/>
        <rFont val="Noto Sans CJK SC"/>
        <family val="2"/>
      </rPr>
      <t xml:space="preserve">，引 </t>
    </r>
    <r>
      <rPr>
        <sz val="10"/>
        <color rgb="FF000000"/>
        <rFont val="Arial"/>
        <family val="0"/>
        <charset val="1"/>
      </rPr>
      <t xml:space="preserve">SemiAnalysis Dylan Patel</t>
    </r>
    <r>
      <rPr>
        <sz val="10"/>
        <color rgb="FF000000"/>
        <rFont val="Noto Sans CJK SC"/>
        <family val="2"/>
      </rPr>
      <t xml:space="preserve">）</t>
    </r>
  </si>
  <si>
    <t xml:space="preserve">https://asiatimes.com/2024/01/nvidia-chips-for-china-dumbed-down-but-lean-and-mean/</t>
  </si>
  <si>
    <t xml:space="preserve">2024-01-04</t>
  </si>
  <si>
    <r>
      <rPr>
        <sz val="10"/>
        <color rgb="FF000000"/>
        <rFont val="Noto Sans CJK SC"/>
        <family val="2"/>
      </rPr>
      <t xml:space="preserve">原文「</t>
    </r>
    <r>
      <rPr>
        <sz val="10"/>
        <color rgb="FF000000"/>
        <rFont val="Arial"/>
        <family val="0"/>
        <charset val="1"/>
      </rPr>
      <t xml:space="preserve">H20 actually is over 20% faster than the H100 in large language model (LLM) reasoning</t>
    </r>
    <r>
      <rPr>
        <sz val="10"/>
        <color rgb="FF000000"/>
        <rFont val="Noto Sans CJK SC"/>
        <family val="2"/>
      </rPr>
      <t xml:space="preserve">」；同文稱多卡環境約 </t>
    </r>
    <r>
      <rPr>
        <sz val="10"/>
        <color rgb="FF000000"/>
        <rFont val="Arial"/>
        <family val="0"/>
        <charset val="1"/>
      </rPr>
      <t xml:space="preserve">H100 </t>
    </r>
    <r>
      <rPr>
        <sz val="10"/>
        <color rgb="FF000000"/>
        <rFont val="Noto Sans CJK SC"/>
        <family val="2"/>
      </rPr>
      <t xml:space="preserve">的 </t>
    </r>
    <r>
      <rPr>
        <sz val="10"/>
        <color rgb="FF000000"/>
        <rFont val="Arial"/>
        <family val="0"/>
        <charset val="1"/>
      </rPr>
      <t xml:space="preserve">50%</t>
    </r>
    <r>
      <rPr>
        <sz val="10"/>
        <color rgb="FF000000"/>
        <rFont val="Noto Sans CJK SC"/>
        <family val="2"/>
      </rPr>
      <t xml:space="preserve">。【</t>
    </r>
    <r>
      <rPr>
        <sz val="10"/>
        <color rgb="FF000000"/>
        <rFont val="Arial"/>
        <family val="0"/>
        <charset val="1"/>
      </rPr>
      <t xml:space="preserve">SemiAnalysis </t>
    </r>
    <r>
      <rPr>
        <sz val="10"/>
        <color rgb="FF000000"/>
        <rFont val="Noto Sans CJK SC"/>
        <family val="2"/>
      </rPr>
      <t xml:space="preserve">單一源，不可單獨引用；與 </t>
    </r>
    <r>
      <rPr>
        <sz val="10"/>
        <color rgb="FF000000"/>
        <rFont val="Arial"/>
        <family val="0"/>
        <charset val="1"/>
      </rPr>
      <t xml:space="preserve">0.26–0.42 </t>
    </r>
    <r>
      <rPr>
        <sz val="10"/>
        <color rgb="FF000000"/>
        <rFont val="Noto Sans CJK SC"/>
        <family val="2"/>
      </rPr>
      <t xml:space="preserve">矛盾】</t>
    </r>
  </si>
  <si>
    <t xml:space="preserve">SRC_ZP_492</t>
  </si>
  <si>
    <t xml:space="preserve">preipo_valuation_post_b6</t>
  </si>
  <si>
    <r>
      <rPr>
        <sz val="10"/>
        <color rgb="FF000000"/>
        <rFont val="Noto Sans CJK SC"/>
        <family val="2"/>
      </rPr>
      <t xml:space="preserve">上市前最後一輪（</t>
    </r>
    <r>
      <rPr>
        <sz val="10"/>
        <color rgb="FF000000"/>
        <rFont val="Arial"/>
        <family val="0"/>
        <charset val="1"/>
      </rPr>
      <t xml:space="preserve">B6</t>
    </r>
    <r>
      <rPr>
        <sz val="10"/>
        <color rgb="FF000000"/>
        <rFont val="Noto Sans CJK SC"/>
        <family val="2"/>
      </rPr>
      <t xml:space="preserve">，</t>
    </r>
    <r>
      <rPr>
        <sz val="10"/>
        <color rgb="FF000000"/>
        <rFont val="Arial"/>
        <family val="0"/>
        <charset val="1"/>
      </rPr>
      <t xml:space="preserve">2025-05</t>
    </r>
    <r>
      <rPr>
        <sz val="10"/>
        <color rgb="FF000000"/>
        <rFont val="Noto Sans CJK SC"/>
        <family val="2"/>
      </rPr>
      <t xml:space="preserve">）投後估值</t>
    </r>
  </si>
  <si>
    <t xml:space="preserve">2025-05</t>
  </si>
  <si>
    <t xml:space="preserve">智東西（轉述招股章程）</t>
  </si>
  <si>
    <t xml:space="preserve">https://zhidx.com/p/522919.html</t>
  </si>
  <si>
    <t xml:space="preserve">2025-12</t>
  </si>
  <si>
    <t xml:space="preserve">招股章程口徑（媒體轉述，未直接開啟招股章程原文）</t>
  </si>
  <si>
    <r>
      <rPr>
        <sz val="10"/>
        <color rgb="FF000000"/>
        <rFont val="Noto Sans CJK SC"/>
        <family val="2"/>
      </rPr>
      <t xml:space="preserve">原文「在今年</t>
    </r>
    <r>
      <rPr>
        <sz val="10"/>
        <color rgb="FF000000"/>
        <rFont val="Arial"/>
        <family val="0"/>
        <charset val="1"/>
      </rPr>
      <t xml:space="preserve">5</t>
    </r>
    <r>
      <rPr>
        <sz val="10"/>
        <color rgb="FF000000"/>
        <rFont val="Noto Sans CJK SC"/>
        <family val="2"/>
      </rPr>
      <t xml:space="preserve">月</t>
    </r>
    <r>
      <rPr>
        <sz val="10"/>
        <color rgb="FF000000"/>
        <rFont val="Arial"/>
        <family val="0"/>
        <charset val="1"/>
      </rPr>
      <t xml:space="preserve">B6</t>
    </r>
    <r>
      <rPr>
        <sz val="10"/>
        <color rgb="FF000000"/>
        <rFont val="Noto Sans CJK SC"/>
        <family val="2"/>
      </rPr>
      <t xml:space="preserve">輪融資後，智譜投後估值達到</t>
    </r>
    <r>
      <rPr>
        <sz val="10"/>
        <color rgb="FF000000"/>
        <rFont val="Arial"/>
        <family val="0"/>
        <charset val="1"/>
      </rPr>
      <t xml:space="preserve">243.77</t>
    </r>
    <r>
      <rPr>
        <sz val="10"/>
        <color rgb="FF000000"/>
        <rFont val="Noto Sans CJK SC"/>
        <family val="2"/>
      </rPr>
      <t xml:space="preserve">億元」；財聯社作</t>
    </r>
    <r>
      <rPr>
        <sz val="10"/>
        <color rgb="FF000000"/>
        <rFont val="Arial"/>
        <family val="0"/>
        <charset val="1"/>
      </rPr>
      <t xml:space="preserve">243.8</t>
    </r>
    <r>
      <rPr>
        <sz val="10"/>
        <color rgb="FF000000"/>
        <rFont val="Noto Sans CJK SC"/>
        <family val="2"/>
      </rPr>
      <t xml:space="preserve">億元</t>
    </r>
  </si>
  <si>
    <t xml:space="preserve">SRC_ZP_493</t>
  </si>
  <si>
    <t xml:space="preserve">preipo_total_raised</t>
  </si>
  <si>
    <t xml:space="preserve">上市前累計融資額</t>
  </si>
  <si>
    <t xml:space="preserve">2019–2025</t>
  </si>
  <si>
    <t xml:space="preserve">財聯社</t>
  </si>
  <si>
    <t xml:space="preserve">https://m.cls.cn/detail/2235451</t>
  </si>
  <si>
    <t xml:space="preserve">媒體轉述招股章程</t>
  </si>
  <si>
    <r>
      <rPr>
        <sz val="10"/>
        <color rgb="FF000000"/>
        <rFont val="Noto Sans CJK SC"/>
        <family val="2"/>
      </rPr>
      <t xml:space="preserve">原文「智譜融資</t>
    </r>
    <r>
      <rPr>
        <sz val="10"/>
        <color rgb="FF000000"/>
        <rFont val="Arial"/>
        <family val="0"/>
        <charset val="1"/>
      </rPr>
      <t xml:space="preserve">8</t>
    </r>
    <r>
      <rPr>
        <sz val="10"/>
        <color rgb="FF000000"/>
        <rFont val="Noto Sans CJK SC"/>
        <family val="2"/>
      </rPr>
      <t xml:space="preserve">輪，累計籌資超</t>
    </r>
    <r>
      <rPr>
        <sz val="10"/>
        <color rgb="FF000000"/>
        <rFont val="Arial"/>
        <family val="0"/>
        <charset val="1"/>
      </rPr>
      <t xml:space="preserve">83</t>
    </r>
    <r>
      <rPr>
        <sz val="10"/>
        <color rgb="FF000000"/>
        <rFont val="Noto Sans CJK SC"/>
        <family val="2"/>
      </rPr>
      <t xml:space="preserve">億元，</t>
    </r>
    <r>
      <rPr>
        <sz val="10"/>
        <color rgb="FF000000"/>
        <rFont val="Arial"/>
        <family val="0"/>
        <charset val="1"/>
      </rPr>
      <t xml:space="preserve">IPO</t>
    </r>
    <r>
      <rPr>
        <sz val="10"/>
        <color rgb="FF000000"/>
        <rFont val="Noto Sans CJK SC"/>
        <family val="2"/>
      </rPr>
      <t xml:space="preserve">前估值已達</t>
    </r>
    <r>
      <rPr>
        <sz val="10"/>
        <color rgb="FF000000"/>
        <rFont val="Arial"/>
        <family val="0"/>
        <charset val="1"/>
      </rPr>
      <t xml:space="preserve">243.8</t>
    </r>
    <r>
      <rPr>
        <sz val="10"/>
        <color rgb="FF000000"/>
        <rFont val="Noto Sans CJK SC"/>
        <family val="2"/>
      </rPr>
      <t xml:space="preserve">億元」</t>
    </r>
  </si>
  <si>
    <t xml:space="preserve">SRC_ZP_494</t>
  </si>
  <si>
    <t xml:space="preserve">preipo_total_raised_b</t>
  </si>
  <si>
    <t xml:space="preserve">上市前累計融資額（另一說）</t>
  </si>
  <si>
    <t xml:space="preserve">新浪財經（證券時報）</t>
  </si>
  <si>
    <t xml:space="preserve">https://finance.sina.com.cn/stock/marketresearch/2026-01-08/doc-inhfqcat5441095.shtml</t>
  </si>
  <si>
    <t xml:space="preserve">2026-01-08</t>
  </si>
  <si>
    <r>
      <rPr>
        <sz val="10"/>
        <color rgb="FF000000"/>
        <rFont val="Noto Sans CJK SC"/>
        <family val="2"/>
      </rPr>
      <t xml:space="preserve">同文同時寫「超</t>
    </r>
    <r>
      <rPr>
        <sz val="10"/>
        <color rgb="FF000000"/>
        <rFont val="Arial"/>
        <family val="0"/>
        <charset val="1"/>
      </rPr>
      <t xml:space="preserve">83</t>
    </r>
    <r>
      <rPr>
        <sz val="10"/>
        <color rgb="FF000000"/>
        <rFont val="Noto Sans CJK SC"/>
        <family val="2"/>
      </rPr>
      <t xml:space="preserve">億元」與約</t>
    </r>
    <r>
      <rPr>
        <sz val="10"/>
        <color rgb="FF000000"/>
        <rFont val="Arial"/>
        <family val="0"/>
        <charset val="1"/>
      </rPr>
      <t xml:space="preserve">83.6</t>
    </r>
    <r>
      <rPr>
        <sz val="10"/>
        <color rgb="FF000000"/>
        <rFont val="Noto Sans CJK SC"/>
        <family val="2"/>
      </rPr>
      <t xml:space="preserve">億元；與財聯社「超</t>
    </r>
    <r>
      <rPr>
        <sz val="10"/>
        <color rgb="FF000000"/>
        <rFont val="Arial"/>
        <family val="0"/>
        <charset val="1"/>
      </rPr>
      <t xml:space="preserve">83</t>
    </r>
    <r>
      <rPr>
        <sz val="10"/>
        <color rgb="FF000000"/>
        <rFont val="Noto Sans CJK SC"/>
        <family val="2"/>
      </rPr>
      <t xml:space="preserve">億」不衝突（下限 </t>
    </r>
    <r>
      <rPr>
        <sz val="10"/>
        <color rgb="FF000000"/>
        <rFont val="Arial"/>
        <family val="0"/>
        <charset val="1"/>
      </rPr>
      <t xml:space="preserve">vs </t>
    </r>
    <r>
      <rPr>
        <sz val="10"/>
        <color rgb="FF000000"/>
        <rFont val="Noto Sans CJK SC"/>
        <family val="2"/>
      </rPr>
      <t xml:space="preserve">點值）</t>
    </r>
  </si>
  <si>
    <t xml:space="preserve">SRC_ZP_495</t>
  </si>
  <si>
    <t xml:space="preserve">round_seed_2019</t>
  </si>
  <si>
    <t xml:space="preserve">成立／天使輪金額（中科創星等）</t>
  </si>
  <si>
    <r>
      <rPr>
        <sz val="10"/>
        <color rgb="FF000000"/>
        <rFont val="Noto Sans CJK SC"/>
        <family val="2"/>
      </rPr>
      <t xml:space="preserve">中科創星投</t>
    </r>
    <r>
      <rPr>
        <sz val="10"/>
        <color rgb="FF000000"/>
        <rFont val="Arial"/>
        <family val="0"/>
        <charset val="1"/>
      </rPr>
      <t xml:space="preserve">4,000</t>
    </r>
    <r>
      <rPr>
        <sz val="10"/>
        <color rgb="FF000000"/>
        <rFont val="Noto Sans CJK SC"/>
        <family val="2"/>
      </rPr>
      <t xml:space="preserve">萬元，投後</t>
    </r>
    <r>
      <rPr>
        <sz val="10"/>
        <color rgb="FF000000"/>
        <rFont val="Arial"/>
        <family val="0"/>
        <charset val="1"/>
      </rPr>
      <t xml:space="preserve">3.75</t>
    </r>
    <r>
      <rPr>
        <sz val="10"/>
        <color rgb="FF000000"/>
        <rFont val="Noto Sans CJK SC"/>
        <family val="2"/>
      </rPr>
      <t xml:space="preserve">億元；投資人含華控技術轉移</t>
    </r>
  </si>
  <si>
    <t xml:space="preserve">SRC_ZP_496</t>
  </si>
  <si>
    <t xml:space="preserve">round_seed_2019_postval</t>
  </si>
  <si>
    <r>
      <rPr>
        <sz val="10"/>
        <color rgb="FF000000"/>
        <rFont val="Arial"/>
        <family val="0"/>
        <charset val="1"/>
      </rPr>
      <t xml:space="preserve">2019 </t>
    </r>
    <r>
      <rPr>
        <sz val="10"/>
        <color rgb="FF000000"/>
        <rFont val="Noto Sans CJK SC"/>
        <family val="2"/>
      </rPr>
      <t xml:space="preserve">輪投後估值</t>
    </r>
  </si>
  <si>
    <r>
      <rPr>
        <sz val="10"/>
        <color rgb="FF000000"/>
        <rFont val="Noto Sans CJK SC"/>
        <family val="2"/>
      </rPr>
      <t xml:space="preserve">同上文；投後估值 </t>
    </r>
    <r>
      <rPr>
        <sz val="10"/>
        <color rgb="FF000000"/>
        <rFont val="Arial"/>
        <family val="0"/>
        <charset val="1"/>
      </rPr>
      <t xml:space="preserve">3.75 </t>
    </r>
    <r>
      <rPr>
        <sz val="10"/>
        <color rgb="FF000000"/>
        <rFont val="Noto Sans CJK SC"/>
        <family val="2"/>
      </rPr>
      <t xml:space="preserve">億元</t>
    </r>
  </si>
  <si>
    <t xml:space="preserve">SRC_ZP_497</t>
  </si>
  <si>
    <t xml:space="preserve">round_a_2021</t>
  </si>
  <si>
    <r>
      <rPr>
        <sz val="10"/>
        <color rgb="FF000000"/>
        <rFont val="Arial"/>
        <family val="0"/>
        <charset val="1"/>
      </rPr>
      <t xml:space="preserve">A </t>
    </r>
    <r>
      <rPr>
        <sz val="10"/>
        <color rgb="FF000000"/>
        <rFont val="Noto Sans CJK SC"/>
        <family val="2"/>
      </rPr>
      <t xml:space="preserve">輪金額</t>
    </r>
  </si>
  <si>
    <t xml:space="preserve">2021-04</t>
  </si>
  <si>
    <r>
      <rPr>
        <sz val="10"/>
        <color rgb="FF000000"/>
        <rFont val="Noto Sans CJK SC"/>
        <family val="2"/>
      </rPr>
      <t xml:space="preserve">達晨財智、華控基金、將門創投（凌雲光亦列）；投後 </t>
    </r>
    <r>
      <rPr>
        <sz val="10"/>
        <color rgb="FF000000"/>
        <rFont val="Arial"/>
        <family val="0"/>
        <charset val="1"/>
      </rPr>
      <t xml:space="preserve">8.5 </t>
    </r>
    <r>
      <rPr>
        <sz val="10"/>
        <color rgb="FF000000"/>
        <rFont val="Noto Sans CJK SC"/>
        <family val="2"/>
      </rPr>
      <t xml:space="preserve">億元。量子位稱「</t>
    </r>
    <r>
      <rPr>
        <sz val="10"/>
        <color rgb="FF000000"/>
        <rFont val="Arial"/>
        <family val="0"/>
        <charset val="1"/>
      </rPr>
      <t xml:space="preserve">A</t>
    </r>
    <r>
      <rPr>
        <sz val="10"/>
        <color rgb="FF000000"/>
        <rFont val="Noto Sans CJK SC"/>
        <family val="2"/>
      </rPr>
      <t xml:space="preserve">輪過億元」</t>
    </r>
  </si>
  <si>
    <t xml:space="preserve">SRC_ZP_498</t>
  </si>
  <si>
    <t xml:space="preserve">round_a_2021_postval</t>
  </si>
  <si>
    <r>
      <rPr>
        <sz val="10"/>
        <color rgb="FF000000"/>
        <rFont val="Arial"/>
        <family val="0"/>
        <charset val="1"/>
      </rPr>
      <t xml:space="preserve">A </t>
    </r>
    <r>
      <rPr>
        <sz val="10"/>
        <color rgb="FF000000"/>
        <rFont val="Noto Sans CJK SC"/>
        <family val="2"/>
      </rPr>
      <t xml:space="preserve">輪投後估值</t>
    </r>
  </si>
  <si>
    <r>
      <rPr>
        <sz val="10"/>
        <color rgb="FF000000"/>
        <rFont val="Arial"/>
        <family val="0"/>
        <charset val="1"/>
      </rPr>
      <t xml:space="preserve">A </t>
    </r>
    <r>
      <rPr>
        <sz val="10"/>
        <color rgb="FF000000"/>
        <rFont val="Noto Sans CJK SC"/>
        <family val="2"/>
      </rPr>
      <t xml:space="preserve">輪投後估值 </t>
    </r>
    <r>
      <rPr>
        <sz val="10"/>
        <color rgb="FF000000"/>
        <rFont val="Arial"/>
        <family val="0"/>
        <charset val="1"/>
      </rPr>
      <t xml:space="preserve">8.5 </t>
    </r>
    <r>
      <rPr>
        <sz val="10"/>
        <color rgb="FF000000"/>
        <rFont val="Noto Sans CJK SC"/>
        <family val="2"/>
      </rPr>
      <t xml:space="preserve">億元</t>
    </r>
  </si>
  <si>
    <t xml:space="preserve">SRC_ZP_499</t>
  </si>
  <si>
    <t xml:space="preserve">round_b1_2021</t>
  </si>
  <si>
    <r>
      <rPr>
        <sz val="10"/>
        <color rgb="FF000000"/>
        <rFont val="Arial"/>
        <family val="0"/>
        <charset val="1"/>
      </rPr>
      <t xml:space="preserve">B1 </t>
    </r>
    <r>
      <rPr>
        <sz val="10"/>
        <color rgb="FF000000"/>
        <rFont val="Noto Sans CJK SC"/>
        <family val="2"/>
      </rPr>
      <t xml:space="preserve">輪金額（君聯、啟明）</t>
    </r>
  </si>
  <si>
    <r>
      <rPr>
        <sz val="10"/>
        <color rgb="FF000000"/>
        <rFont val="Arial"/>
        <family val="0"/>
        <charset val="1"/>
      </rPr>
      <t xml:space="preserve">2021-12</t>
    </r>
    <r>
      <rPr>
        <sz val="10"/>
        <color rgb="FF000000"/>
        <rFont val="Noto Sans CJK SC"/>
        <family val="2"/>
      </rPr>
      <t xml:space="preserve">前後</t>
    </r>
  </si>
  <si>
    <r>
      <rPr>
        <sz val="10"/>
        <color rgb="FF000000"/>
        <rFont val="Noto Sans CJK SC"/>
        <family val="2"/>
      </rPr>
      <t xml:space="preserve">「近</t>
    </r>
    <r>
      <rPr>
        <sz val="10"/>
        <color rgb="FF000000"/>
        <rFont val="Arial"/>
        <family val="0"/>
        <charset val="1"/>
      </rPr>
      <t xml:space="preserve">2.1</t>
    </r>
    <r>
      <rPr>
        <sz val="10"/>
        <color rgb="FF000000"/>
        <rFont val="Noto Sans CJK SC"/>
        <family val="2"/>
      </rPr>
      <t xml:space="preserve">億元」，投後 </t>
    </r>
    <r>
      <rPr>
        <sz val="10"/>
        <color rgb="FF000000"/>
        <rFont val="Arial"/>
        <family val="0"/>
        <charset val="1"/>
      </rPr>
      <t xml:space="preserve">21.1 </t>
    </r>
    <r>
      <rPr>
        <sz val="10"/>
        <color rgb="FF000000"/>
        <rFont val="Noto Sans CJK SC"/>
        <family val="2"/>
      </rPr>
      <t xml:space="preserve">億元；日期僅寫 </t>
    </r>
    <r>
      <rPr>
        <sz val="10"/>
        <color rgb="FF000000"/>
        <rFont val="Arial"/>
        <family val="0"/>
        <charset val="1"/>
      </rPr>
      <t xml:space="preserve">2021-09 </t>
    </r>
    <r>
      <rPr>
        <sz val="10"/>
        <color rgb="FF000000"/>
        <rFont val="Noto Sans CJK SC"/>
        <family val="2"/>
      </rPr>
      <t xml:space="preserve">後約 </t>
    </r>
    <r>
      <rPr>
        <sz val="10"/>
        <color rgb="FF000000"/>
        <rFont val="Arial"/>
        <family val="0"/>
        <charset val="1"/>
      </rPr>
      <t xml:space="preserve">3 </t>
    </r>
    <r>
      <rPr>
        <sz val="10"/>
        <color rgb="FF000000"/>
        <rFont val="Noto Sans CJK SC"/>
        <family val="2"/>
      </rPr>
      <t xml:space="preserve">個月</t>
    </r>
  </si>
  <si>
    <t xml:space="preserve">SRC_ZP_500</t>
  </si>
  <si>
    <t xml:space="preserve">round_b1_2021_postval</t>
  </si>
  <si>
    <r>
      <rPr>
        <sz val="10"/>
        <color rgb="FF000000"/>
        <rFont val="Arial"/>
        <family val="0"/>
        <charset val="1"/>
      </rPr>
      <t xml:space="preserve">B1 </t>
    </r>
    <r>
      <rPr>
        <sz val="10"/>
        <color rgb="FF000000"/>
        <rFont val="Noto Sans CJK SC"/>
        <family val="2"/>
      </rPr>
      <t xml:space="preserve">輪投後估值</t>
    </r>
  </si>
  <si>
    <r>
      <rPr>
        <sz val="10"/>
        <color rgb="FF000000"/>
        <rFont val="Arial"/>
        <family val="0"/>
        <charset val="1"/>
      </rPr>
      <t xml:space="preserve">B1 </t>
    </r>
    <r>
      <rPr>
        <sz val="10"/>
        <color rgb="FF000000"/>
        <rFont val="Noto Sans CJK SC"/>
        <family val="2"/>
      </rPr>
      <t xml:space="preserve">投後 </t>
    </r>
    <r>
      <rPr>
        <sz val="10"/>
        <color rgb="FF000000"/>
        <rFont val="Arial"/>
        <family val="0"/>
        <charset val="1"/>
      </rPr>
      <t xml:space="preserve">21.1 </t>
    </r>
    <r>
      <rPr>
        <sz val="10"/>
        <color rgb="FF000000"/>
        <rFont val="Noto Sans CJK SC"/>
        <family val="2"/>
      </rPr>
      <t xml:space="preserve">億元</t>
    </r>
  </si>
  <si>
    <t xml:space="preserve">SRC_ZP_501</t>
  </si>
  <si>
    <t xml:space="preserve">round_b2_meituan</t>
  </si>
  <si>
    <r>
      <rPr>
        <sz val="10"/>
        <color rgb="FF000000"/>
        <rFont val="Arial"/>
        <family val="0"/>
        <charset val="1"/>
      </rPr>
      <t xml:space="preserve">B2 </t>
    </r>
    <r>
      <rPr>
        <sz val="10"/>
        <color rgb="FF000000"/>
        <rFont val="Noto Sans CJK SC"/>
        <family val="2"/>
      </rPr>
      <t xml:space="preserve">輪美團領投金額</t>
    </r>
  </si>
  <si>
    <r>
      <rPr>
        <sz val="10"/>
        <color rgb="FF000000"/>
        <rFont val="Arial"/>
        <family val="0"/>
        <charset val="1"/>
      </rPr>
      <t xml:space="preserve">2022–2023</t>
    </r>
    <r>
      <rPr>
        <sz val="10"/>
        <color rgb="FF000000"/>
        <rFont val="Noto Sans CJK SC"/>
        <family val="2"/>
      </rPr>
      <t xml:space="preserve">（未載明）</t>
    </r>
  </si>
  <si>
    <r>
      <rPr>
        <sz val="10"/>
        <color rgb="FF000000"/>
        <rFont val="Noto Sans CJK SC"/>
        <family val="2"/>
      </rPr>
      <t xml:space="preserve">「美團領投</t>
    </r>
    <r>
      <rPr>
        <sz val="10"/>
        <color rgb="FF000000"/>
        <rFont val="Arial"/>
        <family val="0"/>
        <charset val="1"/>
      </rPr>
      <t xml:space="preserve">3</t>
    </r>
    <r>
      <rPr>
        <sz val="10"/>
        <color rgb="FF000000"/>
        <rFont val="Noto Sans CJK SC"/>
        <family val="2"/>
      </rPr>
      <t xml:space="preserve">億元」，達晨跟投；投後估值未載</t>
    </r>
  </si>
  <si>
    <t xml:space="preserve">SRC_ZP_502</t>
  </si>
  <si>
    <t xml:space="preserve">round_ant_cum</t>
  </si>
  <si>
    <t xml:space="preserve">螞蟻（上海飛玡／雲玡）跨輪累計投資</t>
  </si>
  <si>
    <r>
      <rPr>
        <sz val="10"/>
        <color rgb="FF000000"/>
        <rFont val="Arial"/>
        <family val="0"/>
        <charset val="1"/>
      </rPr>
      <t xml:space="preserve">2022–2025</t>
    </r>
    <r>
      <rPr>
        <sz val="10"/>
        <color rgb="FF000000"/>
        <rFont val="Noto Sans CJK SC"/>
        <family val="2"/>
      </rPr>
      <t xml:space="preserve">（跨輪）</t>
    </r>
  </si>
  <si>
    <r>
      <rPr>
        <sz val="10"/>
        <color rgb="FF000000"/>
        <rFont val="Noto Sans CJK SC"/>
        <family val="2"/>
      </rPr>
      <t xml:space="preserve">螞蟻經上海飛玡、雲玡累計約 </t>
    </r>
    <r>
      <rPr>
        <sz val="10"/>
        <color rgb="FF000000"/>
        <rFont val="Arial"/>
        <family val="0"/>
        <charset val="1"/>
      </rPr>
      <t xml:space="preserve">6 </t>
    </r>
    <r>
      <rPr>
        <sz val="10"/>
        <color rgb="FF000000"/>
        <rFont val="Noto Sans CJK SC"/>
        <family val="2"/>
      </rPr>
      <t xml:space="preserve">億元</t>
    </r>
  </si>
  <si>
    <t xml:space="preserve">SRC_ZP_503</t>
  </si>
  <si>
    <t xml:space="preserve">round_b4_tencent</t>
  </si>
  <si>
    <r>
      <rPr>
        <sz val="10"/>
        <color rgb="FF000000"/>
        <rFont val="Arial"/>
        <family val="0"/>
        <charset val="1"/>
      </rPr>
      <t xml:space="preserve">B4 </t>
    </r>
    <r>
      <rPr>
        <sz val="10"/>
        <color rgb="FF000000"/>
        <rFont val="Noto Sans CJK SC"/>
        <family val="2"/>
      </rPr>
      <t xml:space="preserve">輪騰訊領投金額</t>
    </r>
  </si>
  <si>
    <r>
      <rPr>
        <sz val="10"/>
        <color rgb="FF000000"/>
        <rFont val="Arial"/>
        <family val="0"/>
        <charset val="1"/>
      </rPr>
      <t xml:space="preserve">2023</t>
    </r>
    <r>
      <rPr>
        <sz val="10"/>
        <color rgb="FF000000"/>
        <rFont val="Noto Sans CJK SC"/>
        <family val="2"/>
      </rPr>
      <t xml:space="preserve">（未載明）</t>
    </r>
  </si>
  <si>
    <r>
      <rPr>
        <sz val="10"/>
        <color rgb="FF000000"/>
        <rFont val="Noto Sans CJK SC"/>
        <family val="2"/>
      </rPr>
      <t xml:space="preserve">騰訊領投 </t>
    </r>
    <r>
      <rPr>
        <sz val="10"/>
        <color rgb="FF000000"/>
        <rFont val="Arial"/>
        <family val="0"/>
        <charset val="1"/>
      </rPr>
      <t xml:space="preserve">2 </t>
    </r>
    <r>
      <rPr>
        <sz val="10"/>
        <color rgb="FF000000"/>
        <rFont val="Noto Sans CJK SC"/>
        <family val="2"/>
      </rPr>
      <t xml:space="preserve">億元；順為（小米系）同輪 </t>
    </r>
    <r>
      <rPr>
        <sz val="10"/>
        <color rgb="FF000000"/>
        <rFont val="Arial"/>
        <family val="0"/>
        <charset val="1"/>
      </rPr>
      <t xml:space="preserve">1.5 </t>
    </r>
    <r>
      <rPr>
        <sz val="10"/>
        <color rgb="FF000000"/>
        <rFont val="Noto Sans CJK SC"/>
        <family val="2"/>
      </rPr>
      <t xml:space="preserve">億元</t>
    </r>
  </si>
  <si>
    <t xml:space="preserve">SRC_ZP_504</t>
  </si>
  <si>
    <t xml:space="preserve">round_b4_shunwei</t>
  </si>
  <si>
    <r>
      <rPr>
        <sz val="10"/>
        <color rgb="FF000000"/>
        <rFont val="Arial"/>
        <family val="0"/>
        <charset val="1"/>
      </rPr>
      <t xml:space="preserve">B4 </t>
    </r>
    <r>
      <rPr>
        <sz val="10"/>
        <color rgb="FF000000"/>
        <rFont val="Noto Sans CJK SC"/>
        <family val="2"/>
      </rPr>
      <t xml:space="preserve">輪順為資本（小米系）金額</t>
    </r>
  </si>
  <si>
    <r>
      <rPr>
        <sz val="10"/>
        <color rgb="FF000000"/>
        <rFont val="Noto Sans CJK SC"/>
        <family val="2"/>
      </rPr>
      <t xml:space="preserve">順為資本同輪 </t>
    </r>
    <r>
      <rPr>
        <sz val="10"/>
        <color rgb="FF000000"/>
        <rFont val="Arial"/>
        <family val="0"/>
        <charset val="1"/>
      </rPr>
      <t xml:space="preserve">1.5 </t>
    </r>
    <r>
      <rPr>
        <sz val="10"/>
        <color rgb="FF000000"/>
        <rFont val="Noto Sans CJK SC"/>
        <family val="2"/>
      </rPr>
      <t xml:space="preserve">億元</t>
    </r>
  </si>
  <si>
    <t xml:space="preserve">SRC_ZP_505</t>
  </si>
  <si>
    <t xml:space="preserve">round_2023_cum</t>
  </si>
  <si>
    <r>
      <rPr>
        <sz val="10"/>
        <color rgb="FF000000"/>
        <rFont val="Arial"/>
        <family val="0"/>
        <charset val="1"/>
      </rPr>
      <t xml:space="preserve">2023 </t>
    </r>
    <r>
      <rPr>
        <sz val="10"/>
        <color rgb="FF000000"/>
        <rFont val="Noto Sans CJK SC"/>
        <family val="2"/>
      </rPr>
      <t xml:space="preserve">年累計融資</t>
    </r>
  </si>
  <si>
    <t xml:space="preserve">投資界</t>
  </si>
  <si>
    <t xml:space="preserve">https://news.pedaily.cn/202310/523903.shtml</t>
  </si>
  <si>
    <t xml:space="preserve">2023-10-20</t>
  </si>
  <si>
    <t xml:space="preserve">智譜（公司對外披露融資額）；誘因：募資與招募聲量</t>
  </si>
  <si>
    <t xml:space="preserve">公司自述（媒體報導）</t>
  </si>
  <si>
    <r>
      <rPr>
        <sz val="10"/>
        <color rgb="FF000000"/>
        <rFont val="Noto Sans CJK SC"/>
        <family val="2"/>
      </rPr>
      <t xml:space="preserve">「今年已累計獲得超</t>
    </r>
    <r>
      <rPr>
        <sz val="10"/>
        <color rgb="FF000000"/>
        <rFont val="Arial"/>
        <family val="0"/>
        <charset val="1"/>
      </rPr>
      <t xml:space="preserve">25</t>
    </r>
    <r>
      <rPr>
        <sz val="10"/>
        <color rgb="FF000000"/>
        <rFont val="Noto Sans CJK SC"/>
        <family val="2"/>
      </rPr>
      <t xml:space="preserve">億人民幣融資」；投資人含美團、螞蟻、阿里、騰訊、小米、金山、順為、紅杉、高瓴</t>
    </r>
  </si>
  <si>
    <t xml:space="preserve">SRC_ZP_506</t>
  </si>
  <si>
    <t xml:space="preserve">round_2024_prosperity7</t>
  </si>
  <si>
    <r>
      <rPr>
        <sz val="10"/>
        <color rgb="FF000000"/>
        <rFont val="Arial"/>
        <family val="0"/>
        <charset val="1"/>
      </rPr>
      <t xml:space="preserve">2024 </t>
    </r>
    <r>
      <rPr>
        <sz val="10"/>
        <color rgb="FF000000"/>
        <rFont val="Noto Sans CJK SC"/>
        <family val="2"/>
      </rPr>
      <t xml:space="preserve">年中一輪（</t>
    </r>
    <r>
      <rPr>
        <sz val="10"/>
        <color rgb="FF000000"/>
        <rFont val="Arial"/>
        <family val="0"/>
        <charset val="1"/>
      </rPr>
      <t xml:space="preserve">Prosperity7 </t>
    </r>
    <r>
      <rPr>
        <sz val="10"/>
        <color rgb="FF000000"/>
        <rFont val="Noto Sans CJK SC"/>
        <family val="2"/>
      </rPr>
      <t xml:space="preserve">參與）規模</t>
    </r>
  </si>
  <si>
    <r>
      <rPr>
        <sz val="10"/>
        <color rgb="FF000000"/>
        <rFont val="Arial"/>
        <family val="0"/>
        <charset val="1"/>
      </rPr>
      <t xml:space="preserve">USD </t>
    </r>
    <r>
      <rPr>
        <sz val="10"/>
        <color rgb="FF000000"/>
        <rFont val="Noto Sans CJK SC"/>
        <family val="2"/>
      </rPr>
      <t xml:space="preserve">百萬</t>
    </r>
  </si>
  <si>
    <t xml:space="preserve">2024-05</t>
  </si>
  <si>
    <r>
      <rPr>
        <sz val="10"/>
        <color rgb="FF000000"/>
        <rFont val="Arial"/>
        <family val="0"/>
        <charset val="1"/>
      </rPr>
      <t xml:space="preserve">Gulf News</t>
    </r>
    <r>
      <rPr>
        <sz val="10"/>
        <color rgb="FF000000"/>
        <rFont val="Noto Sans CJK SC"/>
        <family val="2"/>
      </rPr>
      <t xml:space="preserve">（轉 </t>
    </r>
    <r>
      <rPr>
        <sz val="10"/>
        <color rgb="FF000000"/>
        <rFont val="Arial"/>
        <family val="0"/>
        <charset val="1"/>
      </rPr>
      <t xml:space="preserve">Bloomberg</t>
    </r>
    <r>
      <rPr>
        <sz val="10"/>
        <color rgb="FF000000"/>
        <rFont val="Noto Sans CJK SC"/>
        <family val="2"/>
      </rPr>
      <t xml:space="preserve">）</t>
    </r>
  </si>
  <si>
    <t xml:space="preserve">https://gulfnews.com/business/markets/aramco-owned-saudi-fund-joins-400-million-financing-for-china-ai-firm-zhipu-1.1717156143388</t>
  </si>
  <si>
    <t xml:space="preserve">2024-05-31</t>
  </si>
  <si>
    <r>
      <rPr>
        <sz val="10"/>
        <color rgb="FF000000"/>
        <rFont val="Arial"/>
        <family val="0"/>
        <charset val="1"/>
      </rPr>
      <t xml:space="preserve">Bloomberg </t>
    </r>
    <r>
      <rPr>
        <sz val="10"/>
        <color rgb="FF000000"/>
        <rFont val="Noto Sans CJK SC"/>
        <family val="2"/>
      </rPr>
      <t xml:space="preserve">引述知情人士（媒體名：</t>
    </r>
    <r>
      <rPr>
        <sz val="10"/>
        <color rgb="FF000000"/>
        <rFont val="Arial"/>
        <family val="0"/>
        <charset val="1"/>
      </rPr>
      <t xml:space="preserve">Bloomberg</t>
    </r>
    <r>
      <rPr>
        <sz val="10"/>
        <color rgb="FF000000"/>
        <rFont val="Noto Sans CJK SC"/>
        <family val="2"/>
      </rPr>
      <t xml:space="preserve">／</t>
    </r>
    <r>
      <rPr>
        <sz val="10"/>
        <color rgb="FF000000"/>
        <rFont val="Arial"/>
        <family val="0"/>
        <charset val="1"/>
      </rPr>
      <t xml:space="preserve">Gulf News</t>
    </r>
    <r>
      <rPr>
        <sz val="10"/>
        <color rgb="FF000000"/>
        <rFont val="Noto Sans CJK SC"/>
        <family val="2"/>
      </rPr>
      <t xml:space="preserve">）</t>
    </r>
  </si>
  <si>
    <t xml:space="preserve">知情人士</t>
  </si>
  <si>
    <r>
      <rPr>
        <sz val="10"/>
        <color rgb="FF000000"/>
        <rFont val="Noto Sans CJK SC"/>
        <family val="2"/>
      </rPr>
      <t xml:space="preserve">標題「</t>
    </r>
    <r>
      <rPr>
        <sz val="10"/>
        <color rgb="FF000000"/>
        <rFont val="Arial"/>
        <family val="0"/>
        <charset val="1"/>
      </rPr>
      <t xml:space="preserve">joins $400 million financing</t>
    </r>
    <r>
      <rPr>
        <sz val="10"/>
        <color rgb="FF000000"/>
        <rFont val="Noto Sans CJK SC"/>
        <family val="2"/>
      </rPr>
      <t xml:space="preserve">」；估值約 </t>
    </r>
    <r>
      <rPr>
        <sz val="10"/>
        <color rgb="FF000000"/>
        <rFont val="Arial"/>
        <family val="0"/>
        <charset val="1"/>
      </rPr>
      <t xml:space="preserve">US$3bn</t>
    </r>
    <r>
      <rPr>
        <sz val="10"/>
        <color rgb="FF000000"/>
        <rFont val="Noto Sans CJK SC"/>
        <family val="2"/>
      </rPr>
      <t xml:space="preserve">（知情人士）；</t>
    </r>
    <r>
      <rPr>
        <sz val="10"/>
        <color rgb="FF000000"/>
        <rFont val="Arial"/>
        <family val="0"/>
        <charset val="1"/>
      </rPr>
      <t xml:space="preserve">P7 </t>
    </r>
    <r>
      <rPr>
        <sz val="10"/>
        <color rgb="FF000000"/>
        <rFont val="Noto Sans CJK SC"/>
        <family val="2"/>
      </rPr>
      <t xml:space="preserve">個別金額未披露</t>
    </r>
  </si>
  <si>
    <t xml:space="preserve">SRC_ZP_507</t>
  </si>
  <si>
    <t xml:space="preserve">round_2024_prosperity7_val</t>
  </si>
  <si>
    <r>
      <rPr>
        <sz val="10"/>
        <color rgb="FF000000"/>
        <rFont val="Arial"/>
        <family val="0"/>
        <charset val="1"/>
      </rPr>
      <t xml:space="preserve">2024 </t>
    </r>
    <r>
      <rPr>
        <sz val="10"/>
        <color rgb="FF000000"/>
        <rFont val="Noto Sans CJK SC"/>
        <family val="2"/>
      </rPr>
      <t xml:space="preserve">年中一輪估值</t>
    </r>
  </si>
  <si>
    <r>
      <rPr>
        <sz val="10"/>
        <color rgb="FF000000"/>
        <rFont val="Arial"/>
        <family val="0"/>
        <charset val="1"/>
      </rPr>
      <t xml:space="preserve">USD </t>
    </r>
    <r>
      <rPr>
        <sz val="10"/>
        <color rgb="FF000000"/>
        <rFont val="Noto Sans CJK SC"/>
        <family val="2"/>
      </rPr>
      <t xml:space="preserve">十億</t>
    </r>
  </si>
  <si>
    <r>
      <rPr>
        <sz val="10"/>
        <color rgb="FF000000"/>
        <rFont val="Arial"/>
        <family val="0"/>
        <charset val="1"/>
      </rPr>
      <t xml:space="preserve">Bloomberg </t>
    </r>
    <r>
      <rPr>
        <sz val="10"/>
        <color rgb="FF000000"/>
        <rFont val="Noto Sans CJK SC"/>
        <family val="2"/>
      </rPr>
      <t xml:space="preserve">引述知情人士</t>
    </r>
  </si>
  <si>
    <r>
      <rPr>
        <sz val="10"/>
        <color rgb="FF000000"/>
        <rFont val="Noto Sans CJK SC"/>
        <family val="2"/>
      </rPr>
      <t xml:space="preserve">「</t>
    </r>
    <r>
      <rPr>
        <sz val="10"/>
        <color rgb="FF000000"/>
        <rFont val="Arial"/>
        <family val="0"/>
        <charset val="1"/>
      </rPr>
      <t xml:space="preserve">valued the Beijing-based startup at about $3 billion</t>
    </r>
    <r>
      <rPr>
        <sz val="10"/>
        <color rgb="FF000000"/>
        <rFont val="Noto Sans CJK SC"/>
        <family val="2"/>
      </rPr>
      <t xml:space="preserve">」</t>
    </r>
  </si>
  <si>
    <t xml:space="preserve">SRC_ZP_508</t>
  </si>
  <si>
    <t xml:space="preserve">round_2024_09_zgc_preval</t>
  </si>
  <si>
    <r>
      <rPr>
        <sz val="10"/>
        <color rgb="FF000000"/>
        <rFont val="Arial"/>
        <family val="0"/>
        <charset val="1"/>
      </rPr>
      <t xml:space="preserve">2024-09 </t>
    </r>
    <r>
      <rPr>
        <sz val="10"/>
        <color rgb="FF000000"/>
        <rFont val="Noto Sans CJK SC"/>
        <family val="2"/>
      </rPr>
      <t xml:space="preserve">中關村科學城領投輪投前估值</t>
    </r>
  </si>
  <si>
    <t xml:space="preserve">2024-09</t>
  </si>
  <si>
    <t xml:space="preserve">量子位</t>
  </si>
  <si>
    <t xml:space="preserve">https://www.qbitai.com/2024/12/233513.html</t>
  </si>
  <si>
    <t xml:space="preserve">2024-12-17</t>
  </si>
  <si>
    <t xml:space="preserve">媒體報導（量子位）；資訊源可能為公司或投資方</t>
  </si>
  <si>
    <t xml:space="preserve">媒體報導</t>
  </si>
  <si>
    <r>
      <rPr>
        <sz val="10"/>
        <color rgb="FF000000"/>
        <rFont val="Noto Sans CJK SC"/>
        <family val="2"/>
      </rPr>
      <t xml:space="preserve">「中關村科學城領投…投前</t>
    </r>
    <r>
      <rPr>
        <sz val="10"/>
        <color rgb="FF000000"/>
        <rFont val="Arial"/>
        <family val="0"/>
        <charset val="1"/>
      </rPr>
      <t xml:space="preserve">200</t>
    </r>
    <r>
      <rPr>
        <sz val="10"/>
        <color rgb="FF000000"/>
        <rFont val="Noto Sans CJK SC"/>
        <family val="2"/>
      </rPr>
      <t xml:space="preserve">億估值」；金額界面稱「數十億元」</t>
    </r>
  </si>
  <si>
    <t xml:space="preserve">SRC_ZP_509</t>
  </si>
  <si>
    <t xml:space="preserve">round_2024_12</t>
  </si>
  <si>
    <r>
      <rPr>
        <sz val="10"/>
        <color rgb="FF000000"/>
        <rFont val="Arial"/>
        <family val="0"/>
        <charset val="1"/>
      </rPr>
      <t xml:space="preserve">2024-12 </t>
    </r>
    <r>
      <rPr>
        <sz val="10"/>
        <color rgb="FF000000"/>
        <rFont val="Noto Sans CJK SC"/>
        <family val="2"/>
      </rPr>
      <t xml:space="preserve">輪金額（多家戰投與國資，君聯跟投）</t>
    </r>
  </si>
  <si>
    <t xml:space="preserve">2024-12</t>
  </si>
  <si>
    <t xml:space="preserve">媒體報導；資訊源可能為公司</t>
  </si>
  <si>
    <r>
      <rPr>
        <sz val="10"/>
        <color rgb="FF000000"/>
        <rFont val="Noto Sans CJK SC"/>
        <family val="2"/>
      </rPr>
      <t xml:space="preserve">「已最新完成一輪</t>
    </r>
    <r>
      <rPr>
        <sz val="10"/>
        <color rgb="FF000000"/>
        <rFont val="Arial"/>
        <family val="0"/>
        <charset val="1"/>
      </rPr>
      <t xml:space="preserve">30</t>
    </r>
    <r>
      <rPr>
        <sz val="10"/>
        <color rgb="FF000000"/>
        <rFont val="Noto Sans CJK SC"/>
        <family val="2"/>
      </rPr>
      <t xml:space="preserve">億人民幣融資」；投資人未具名</t>
    </r>
  </si>
  <si>
    <t xml:space="preserve">SRC_ZP_510</t>
  </si>
  <si>
    <t xml:space="preserve">round_2025_03_hangzhou</t>
  </si>
  <si>
    <r>
      <rPr>
        <sz val="10"/>
        <color rgb="FF000000"/>
        <rFont val="Arial"/>
        <family val="0"/>
        <charset val="1"/>
      </rPr>
      <t xml:space="preserve">2025-03 </t>
    </r>
    <r>
      <rPr>
        <sz val="10"/>
        <color rgb="FF000000"/>
        <rFont val="Noto Sans CJK SC"/>
        <family val="2"/>
      </rPr>
      <t xml:space="preserve">杭州城投產業基金、上城資本等</t>
    </r>
  </si>
  <si>
    <t xml:space="preserve">2025-03-03</t>
  </si>
  <si>
    <t xml:space="preserve">界面新聞</t>
  </si>
  <si>
    <t xml:space="preserve">https://m.jiemian.com/article/12418121.html</t>
  </si>
  <si>
    <t xml:space="preserve">媒體報導；知情人士稱部分非新錢</t>
  </si>
  <si>
    <r>
      <rPr>
        <sz val="10"/>
        <color rgb="FF000000"/>
        <rFont val="Noto Sans CJK SC"/>
        <family val="2"/>
      </rPr>
      <t xml:space="preserve">「超</t>
    </r>
    <r>
      <rPr>
        <sz val="10"/>
        <color rgb="FF000000"/>
        <rFont val="Arial"/>
        <family val="0"/>
        <charset val="1"/>
      </rPr>
      <t xml:space="preserve">10</t>
    </r>
    <r>
      <rPr>
        <sz val="10"/>
        <color rgb="FF000000"/>
        <rFont val="Noto Sans CJK SC"/>
        <family val="2"/>
      </rPr>
      <t xml:space="preserve">億元人民幣」；界面另稱兩筆</t>
    </r>
    <r>
      <rPr>
        <sz val="10"/>
        <color rgb="FF000000"/>
        <rFont val="Arial"/>
        <family val="0"/>
        <charset val="1"/>
      </rPr>
      <t xml:space="preserve">3</t>
    </r>
    <r>
      <rPr>
        <sz val="10"/>
        <color rgb="FF000000"/>
        <rFont val="Noto Sans CJK SC"/>
        <family val="2"/>
      </rPr>
      <t xml:space="preserve">月交易部分屬</t>
    </r>
    <r>
      <rPr>
        <sz val="10"/>
        <color rgb="FF000000"/>
        <rFont val="Arial"/>
        <family val="0"/>
        <charset val="1"/>
      </rPr>
      <t xml:space="preserve">2024-12</t>
    </r>
    <r>
      <rPr>
        <sz val="10"/>
        <color rgb="FF000000"/>
        <rFont val="Noto Sans CJK SC"/>
        <family val="2"/>
      </rPr>
      <t xml:space="preserve">輪</t>
    </r>
  </si>
  <si>
    <t xml:space="preserve">SRC_ZP_511</t>
  </si>
  <si>
    <t xml:space="preserve">round_2025_03_huafa</t>
  </si>
  <si>
    <r>
      <rPr>
        <sz val="10"/>
        <color rgb="FF000000"/>
        <rFont val="Arial"/>
        <family val="0"/>
        <charset val="1"/>
      </rPr>
      <t xml:space="preserve">2025-03 </t>
    </r>
    <r>
      <rPr>
        <sz val="10"/>
        <color rgb="FF000000"/>
        <rFont val="Noto Sans CJK SC"/>
        <family val="2"/>
      </rPr>
      <t xml:space="preserve">珠海華發集團戰略投資</t>
    </r>
  </si>
  <si>
    <t xml:space="preserve">2025-03-13</t>
  </si>
  <si>
    <t xml:space="preserve">https://m.jiemian.com/article/12464980.html</t>
  </si>
  <si>
    <t xml:space="preserve">2025-03</t>
  </si>
  <si>
    <t xml:space="preserve">華發集團（國資投資方宣傳誘因）</t>
  </si>
  <si>
    <r>
      <rPr>
        <sz val="10"/>
        <color rgb="FF000000"/>
        <rFont val="Noto Sans CJK SC"/>
        <family val="2"/>
      </rPr>
      <t xml:space="preserve">「金額為</t>
    </r>
    <r>
      <rPr>
        <sz val="10"/>
        <color rgb="FF000000"/>
        <rFont val="Arial"/>
        <family val="0"/>
        <charset val="1"/>
      </rPr>
      <t xml:space="preserve">5</t>
    </r>
    <r>
      <rPr>
        <sz val="10"/>
        <color rgb="FF000000"/>
        <rFont val="Noto Sans CJK SC"/>
        <family val="2"/>
      </rPr>
      <t xml:space="preserve">億元人民幣」；新浪轉述招股章程亦列華發 </t>
    </r>
    <r>
      <rPr>
        <sz val="10"/>
        <color rgb="FF000000"/>
        <rFont val="Arial"/>
        <family val="0"/>
        <charset val="1"/>
      </rPr>
      <t xml:space="preserve">5 </t>
    </r>
    <r>
      <rPr>
        <sz val="10"/>
        <color rgb="FF000000"/>
        <rFont val="Noto Sans CJK SC"/>
        <family val="2"/>
      </rPr>
      <t xml:space="preserve">億元</t>
    </r>
  </si>
  <si>
    <t xml:space="preserve">SRC_ZP_512</t>
  </si>
  <si>
    <t xml:space="preserve">round_2025_03_chengdu</t>
  </si>
  <si>
    <r>
      <rPr>
        <sz val="10"/>
        <color rgb="FF000000"/>
        <rFont val="Arial"/>
        <family val="0"/>
        <charset val="1"/>
      </rPr>
      <t xml:space="preserve">2025-03 </t>
    </r>
    <r>
      <rPr>
        <sz val="10"/>
        <color rgb="FF000000"/>
        <rFont val="Noto Sans CJK SC"/>
        <family val="2"/>
      </rPr>
      <t xml:space="preserve">成都高新區（新經濟創投）</t>
    </r>
  </si>
  <si>
    <t xml:space="preserve">2025-03-19</t>
  </si>
  <si>
    <r>
      <rPr>
        <sz val="10"/>
        <color rgb="FF000000"/>
        <rFont val="Arial"/>
        <family val="0"/>
        <charset val="1"/>
      </rPr>
      <t xml:space="preserve">Reuters</t>
    </r>
    <r>
      <rPr>
        <sz val="10"/>
        <color rgb="FF000000"/>
        <rFont val="Noto Sans CJK SC"/>
        <family val="2"/>
      </rPr>
      <t xml:space="preserve">（老虎轉載）</t>
    </r>
  </si>
  <si>
    <t xml:space="preserve">https://www.itiger.com/hans/news/2520094057</t>
  </si>
  <si>
    <t xml:space="preserve">地方政府基金（宣傳誘因）</t>
  </si>
  <si>
    <r>
      <rPr>
        <sz val="10"/>
        <color rgb="FF000000"/>
        <rFont val="Noto Sans CJK SC"/>
        <family val="2"/>
      </rPr>
      <t xml:space="preserve">「</t>
    </r>
    <r>
      <rPr>
        <sz val="10"/>
        <color rgb="FF000000"/>
        <rFont val="Arial"/>
        <family val="0"/>
        <charset val="1"/>
      </rPr>
      <t xml:space="preserve">300 million yuan ($41.5 million)</t>
    </r>
    <r>
      <rPr>
        <sz val="10"/>
        <color rgb="FF000000"/>
        <rFont val="Noto Sans CJK SC"/>
        <family val="2"/>
      </rPr>
      <t xml:space="preserve">」；招股章程轉述亦列成都高新 </t>
    </r>
    <r>
      <rPr>
        <sz val="10"/>
        <color rgb="FF000000"/>
        <rFont val="Arial"/>
        <family val="0"/>
        <charset val="1"/>
      </rPr>
      <t xml:space="preserve">3 </t>
    </r>
    <r>
      <rPr>
        <sz val="10"/>
        <color rgb="FF000000"/>
        <rFont val="Noto Sans CJK SC"/>
        <family val="2"/>
      </rPr>
      <t xml:space="preserve">億元</t>
    </r>
  </si>
  <si>
    <t xml:space="preserve">SRC_ZP_513</t>
  </si>
  <si>
    <t xml:space="preserve">round_2025_07_shanghai</t>
  </si>
  <si>
    <r>
      <rPr>
        <sz val="10"/>
        <color rgb="FF000000"/>
        <rFont val="Arial"/>
        <family val="0"/>
        <charset val="1"/>
      </rPr>
      <t xml:space="preserve">2025-07 </t>
    </r>
    <r>
      <rPr>
        <sz val="10"/>
        <color rgb="FF000000"/>
        <rFont val="Noto Sans CJK SC"/>
        <family val="2"/>
      </rPr>
      <t xml:space="preserve">浦東創投、張江集團戰略投資</t>
    </r>
  </si>
  <si>
    <t xml:space="preserve">2025-07-02</t>
  </si>
  <si>
    <t xml:space="preserve">DealStreetAsia</t>
  </si>
  <si>
    <t xml:space="preserve">https://www.dealstreetasia.com/?p=447792</t>
  </si>
  <si>
    <t xml:space="preserve">2025-07-03</t>
  </si>
  <si>
    <t xml:space="preserve">上海國資（宣傳誘因）</t>
  </si>
  <si>
    <r>
      <rPr>
        <sz val="10"/>
        <color rgb="FF000000"/>
        <rFont val="Noto Sans CJK SC"/>
        <family val="2"/>
      </rPr>
      <t xml:space="preserve">「</t>
    </r>
    <r>
      <rPr>
        <sz val="10"/>
        <color rgb="FF000000"/>
        <rFont val="Arial"/>
        <family val="0"/>
        <charset val="1"/>
      </rPr>
      <t xml:space="preserve">1 billion yuan</t>
    </r>
    <r>
      <rPr>
        <sz val="10"/>
        <color rgb="FF000000"/>
        <rFont val="Noto Sans CJK SC"/>
        <family val="2"/>
      </rPr>
      <t xml:space="preserve">」；媒體估值約 </t>
    </r>
    <r>
      <rPr>
        <sz val="10"/>
        <color rgb="FF000000"/>
        <rFont val="Arial"/>
        <family val="0"/>
        <charset val="1"/>
      </rPr>
      <t xml:space="preserve">US$5.6b</t>
    </r>
    <r>
      <rPr>
        <sz val="10"/>
        <color rgb="FF000000"/>
        <rFont val="Noto Sans CJK SC"/>
        <family val="2"/>
      </rPr>
      <t xml:space="preserve">（推估，不登錄為值）</t>
    </r>
  </si>
  <si>
    <t xml:space="preserve">SRC_ZP_514</t>
  </si>
  <si>
    <t xml:space="preserve">round_last_b6_total</t>
  </si>
  <si>
    <t xml:space="preserve">上市前最後一輪合計（中關村科學城、大興、杭州城創、華發、成都高新、上城領航）</t>
  </si>
  <si>
    <r>
      <rPr>
        <sz val="10"/>
        <color rgb="FF000000"/>
        <rFont val="Arial"/>
        <family val="0"/>
        <charset val="1"/>
      </rPr>
      <t xml:space="preserve">2024-12</t>
    </r>
    <r>
      <rPr>
        <sz val="10"/>
        <color rgb="FF000000"/>
        <rFont val="Noto Sans CJK SC"/>
        <family val="2"/>
      </rPr>
      <t xml:space="preserve">～</t>
    </r>
    <r>
      <rPr>
        <sz val="10"/>
        <color rgb="FF000000"/>
        <rFont val="Arial"/>
        <family val="0"/>
        <charset val="1"/>
      </rPr>
      <t xml:space="preserve">2025</t>
    </r>
  </si>
  <si>
    <r>
      <rPr>
        <sz val="10"/>
        <color rgb="FF000000"/>
        <rFont val="Noto Sans CJK SC"/>
        <family val="2"/>
      </rPr>
      <t xml:space="preserve">「超</t>
    </r>
    <r>
      <rPr>
        <sz val="10"/>
        <color rgb="FF000000"/>
        <rFont val="Arial"/>
        <family val="0"/>
        <charset val="1"/>
      </rPr>
      <t xml:space="preserve">20</t>
    </r>
    <r>
      <rPr>
        <sz val="10"/>
        <color rgb="FF000000"/>
        <rFont val="Noto Sans CJK SC"/>
        <family val="2"/>
      </rPr>
      <t xml:space="preserve">億元」；國資來自北京、珠海、成都、杭州；與量子位「</t>
    </r>
    <r>
      <rPr>
        <sz val="10"/>
        <color rgb="FF000000"/>
        <rFont val="Arial"/>
        <family val="0"/>
        <charset val="1"/>
      </rPr>
      <t xml:space="preserve">30</t>
    </r>
    <r>
      <rPr>
        <sz val="10"/>
        <color rgb="FF000000"/>
        <rFont val="Noto Sans CJK SC"/>
        <family val="2"/>
      </rPr>
      <t xml:space="preserve">億」口徑不同</t>
    </r>
  </si>
  <si>
    <t xml:space="preserve">SRC_ZP_515</t>
  </si>
  <si>
    <t xml:space="preserve">ipo_price</t>
  </si>
  <si>
    <r>
      <rPr>
        <sz val="10"/>
        <color rgb="FF000000"/>
        <rFont val="Arial"/>
        <family val="0"/>
        <charset val="1"/>
      </rPr>
      <t xml:space="preserve">IPO </t>
    </r>
    <r>
      <rPr>
        <sz val="10"/>
        <color rgb="FF000000"/>
        <rFont val="Noto Sans CJK SC"/>
        <family val="2"/>
      </rPr>
      <t xml:space="preserve">發售價</t>
    </r>
  </si>
  <si>
    <r>
      <rPr>
        <sz val="10"/>
        <color rgb="FF000000"/>
        <rFont val="Arial"/>
        <family val="0"/>
        <charset val="1"/>
      </rPr>
      <t xml:space="preserve">HKD</t>
    </r>
    <r>
      <rPr>
        <sz val="10"/>
        <color rgb="FF000000"/>
        <rFont val="Noto Sans CJK SC"/>
        <family val="2"/>
      </rPr>
      <t xml:space="preserve">／股</t>
    </r>
  </si>
  <si>
    <r>
      <rPr>
        <sz val="10"/>
        <color rgb="FF000000"/>
        <rFont val="Noto Sans CJK SC"/>
        <family val="2"/>
      </rPr>
      <t xml:space="preserve">智譜 </t>
    </r>
    <r>
      <rPr>
        <sz val="10"/>
        <color rgb="FF000000"/>
        <rFont val="Arial"/>
        <family val="0"/>
        <charset val="1"/>
      </rPr>
      <t xml:space="preserve">2026-09-13 </t>
    </r>
    <r>
      <rPr>
        <sz val="10"/>
        <color rgb="FF000000"/>
        <rFont val="Noto Sans CJK SC"/>
        <family val="2"/>
      </rPr>
      <t xml:space="preserve">配售及可換股債券公告（過往 </t>
    </r>
    <r>
      <rPr>
        <sz val="10"/>
        <color rgb="FF000000"/>
        <rFont val="Arial"/>
        <family val="0"/>
        <charset val="1"/>
      </rPr>
      <t xml:space="preserve">12 </t>
    </r>
    <r>
      <rPr>
        <sz val="10"/>
        <color rgb="FF000000"/>
        <rFont val="Noto Sans CJK SC"/>
        <family val="2"/>
      </rPr>
      <t xml:space="preserve">個月集資）</t>
    </r>
  </si>
  <si>
    <t xml:space="preserve">https://www1.hkexnews.hk/listedco/listconews/sehk/2026/0913/2026091300026_c.pdf</t>
  </si>
  <si>
    <t xml:space="preserve">2026-09-13</t>
  </si>
  <si>
    <t xml:space="preserve">公司公告</t>
  </si>
  <si>
    <r>
      <rPr>
        <sz val="10"/>
        <color rgb="FF000000"/>
        <rFont val="Noto Sans CJK SC"/>
        <family val="2"/>
      </rPr>
      <t xml:space="preserve">「按每股</t>
    </r>
    <r>
      <rPr>
        <sz val="10"/>
        <color rgb="FF000000"/>
        <rFont val="Arial"/>
        <family val="0"/>
        <charset val="1"/>
      </rPr>
      <t xml:space="preserve">H</t>
    </r>
    <r>
      <rPr>
        <sz val="10"/>
        <color rgb="FF000000"/>
        <rFont val="Noto Sans CJK SC"/>
        <family val="2"/>
      </rPr>
      <t xml:space="preserve">股</t>
    </r>
    <r>
      <rPr>
        <sz val="10"/>
        <color rgb="FF000000"/>
        <rFont val="Arial"/>
        <family val="0"/>
        <charset val="1"/>
      </rPr>
      <t xml:space="preserve">116.20</t>
    </r>
    <r>
      <rPr>
        <sz val="10"/>
        <color rgb="FF000000"/>
        <rFont val="Noto Sans CJK SC"/>
        <family val="2"/>
      </rPr>
      <t xml:space="preserve">港元發行</t>
    </r>
    <r>
      <rPr>
        <sz val="10"/>
        <color rgb="FF000000"/>
        <rFont val="Arial"/>
        <family val="0"/>
        <charset val="1"/>
      </rPr>
      <t xml:space="preserve">37,419,500</t>
    </r>
    <r>
      <rPr>
        <sz val="10"/>
        <color rgb="FF000000"/>
        <rFont val="Noto Sans CJK SC"/>
        <family val="2"/>
      </rPr>
      <t xml:space="preserve">股新</t>
    </r>
    <r>
      <rPr>
        <sz val="10"/>
        <color rgb="FF000000"/>
        <rFont val="Arial"/>
        <family val="0"/>
        <charset val="1"/>
      </rPr>
      <t xml:space="preserve">H</t>
    </r>
    <r>
      <rPr>
        <sz val="10"/>
        <color rgb="FF000000"/>
        <rFont val="Noto Sans CJK SC"/>
        <family val="2"/>
      </rPr>
      <t xml:space="preserve">股」</t>
    </r>
  </si>
  <si>
    <t xml:space="preserve">SRC_ZP_516</t>
  </si>
  <si>
    <t xml:space="preserve">ipo_shares</t>
  </si>
  <si>
    <r>
      <rPr>
        <sz val="10"/>
        <color rgb="FF000000"/>
        <rFont val="Arial"/>
        <family val="0"/>
        <charset val="1"/>
      </rPr>
      <t xml:space="preserve">IPO </t>
    </r>
    <r>
      <rPr>
        <sz val="10"/>
        <color rgb="FF000000"/>
        <rFont val="Noto Sans CJK SC"/>
        <family val="2"/>
      </rPr>
      <t xml:space="preserve">發行股數（不含超額配股）</t>
    </r>
  </si>
  <si>
    <t xml:space="preserve">股</t>
  </si>
  <si>
    <r>
      <rPr>
        <sz val="10"/>
        <color rgb="FF000000"/>
        <rFont val="Noto Sans CJK SC"/>
        <family val="2"/>
      </rPr>
      <t xml:space="preserve">智譜 </t>
    </r>
    <r>
      <rPr>
        <sz val="10"/>
        <color rgb="FF000000"/>
        <rFont val="Arial"/>
        <family val="0"/>
        <charset val="1"/>
      </rPr>
      <t xml:space="preserve">2026-09-13 </t>
    </r>
    <r>
      <rPr>
        <sz val="10"/>
        <color rgb="FF000000"/>
        <rFont val="Noto Sans CJK SC"/>
        <family val="2"/>
      </rPr>
      <t xml:space="preserve">公告</t>
    </r>
  </si>
  <si>
    <r>
      <rPr>
        <sz val="10"/>
        <color rgb="FF000000"/>
        <rFont val="Noto Sans CJK SC"/>
        <family val="2"/>
      </rPr>
      <t xml:space="preserve">香港公開發售回撥後 </t>
    </r>
    <r>
      <rPr>
        <sz val="10"/>
        <color rgb="FF000000"/>
        <rFont val="Arial"/>
        <family val="0"/>
        <charset val="1"/>
      </rPr>
      <t xml:space="preserve">7,483,900 </t>
    </r>
    <r>
      <rPr>
        <sz val="10"/>
        <color rgb="FF000000"/>
        <rFont val="Noto Sans CJK SC"/>
        <family val="2"/>
      </rPr>
      <t xml:space="preserve">股、國際 </t>
    </r>
    <r>
      <rPr>
        <sz val="10"/>
        <color rgb="FF000000"/>
        <rFont val="Arial"/>
        <family val="0"/>
        <charset val="1"/>
      </rPr>
      <t xml:space="preserve">29,935,600 </t>
    </r>
    <r>
      <rPr>
        <sz val="10"/>
        <color rgb="FF000000"/>
        <rFont val="Noto Sans CJK SC"/>
        <family val="2"/>
      </rPr>
      <t xml:space="preserve">股（新浪）</t>
    </r>
  </si>
  <si>
    <t xml:space="preserve">SRC_ZP_517</t>
  </si>
  <si>
    <t xml:space="preserve">ipo_gross</t>
  </si>
  <si>
    <r>
      <rPr>
        <sz val="10"/>
        <color rgb="FF000000"/>
        <rFont val="Arial"/>
        <family val="0"/>
        <charset val="1"/>
      </rPr>
      <t xml:space="preserve">IPO </t>
    </r>
    <r>
      <rPr>
        <sz val="10"/>
        <color rgb="FF000000"/>
        <rFont val="Noto Sans CJK SC"/>
        <family val="2"/>
      </rPr>
      <t xml:space="preserve">募資總額（不含超額配股）</t>
    </r>
  </si>
  <si>
    <r>
      <rPr>
        <sz val="10"/>
        <color rgb="FF000000"/>
        <rFont val="Arial"/>
        <family val="0"/>
        <charset val="1"/>
      </rPr>
      <t xml:space="preserve">HKD </t>
    </r>
    <r>
      <rPr>
        <sz val="10"/>
        <color rgb="FF000000"/>
        <rFont val="Noto Sans CJK SC"/>
        <family val="2"/>
      </rPr>
      <t xml:space="preserve">百萬</t>
    </r>
  </si>
  <si>
    <t xml:space="preserve">新浪財經（轉述配發結果公告）</t>
  </si>
  <si>
    <t xml:space="preserve">https://finance.sina.cn/2026-01-08/detail-inhfqtyr6689758.d.html</t>
  </si>
  <si>
    <t xml:space="preserve">媒體轉述配發結果</t>
  </si>
  <si>
    <r>
      <rPr>
        <sz val="10"/>
        <color rgb="FF000000"/>
        <rFont val="Noto Sans CJK SC"/>
        <family val="2"/>
      </rPr>
      <t xml:space="preserve">所得款項總額 </t>
    </r>
    <r>
      <rPr>
        <sz val="10"/>
        <color rgb="FF000000"/>
        <rFont val="Arial"/>
        <family val="0"/>
        <charset val="1"/>
      </rPr>
      <t xml:space="preserve">4,348.1 </t>
    </r>
    <r>
      <rPr>
        <sz val="10"/>
        <color rgb="FF000000"/>
        <rFont val="Noto Sans CJK SC"/>
        <family val="2"/>
      </rPr>
      <t xml:space="preserve">百萬港元；</t>
    </r>
    <r>
      <rPr>
        <sz val="10"/>
        <color rgb="FF000000"/>
        <rFont val="Arial"/>
        <family val="0"/>
        <charset val="1"/>
      </rPr>
      <t xml:space="preserve">116.20×37,419,500</t>
    </r>
    <r>
      <rPr>
        <sz val="10"/>
        <color rgb="FF000000"/>
        <rFont val="Noto Sans CJK SC"/>
        <family val="2"/>
      </rPr>
      <t xml:space="preserve">＝</t>
    </r>
    <r>
      <rPr>
        <sz val="10"/>
        <color rgb="FF000000"/>
        <rFont val="Arial"/>
        <family val="0"/>
        <charset val="1"/>
      </rPr>
      <t xml:space="preserve">4,348.1 </t>
    </r>
    <r>
      <rPr>
        <sz val="10"/>
        <color rgb="FF000000"/>
        <rFont val="Noto Sans CJK SC"/>
        <family val="2"/>
      </rPr>
      <t xml:space="preserve">吻合</t>
    </r>
  </si>
  <si>
    <t xml:space="preserve">SRC_ZP_518</t>
  </si>
  <si>
    <t xml:space="preserve">ipo_listing_exp</t>
  </si>
  <si>
    <r>
      <rPr>
        <sz val="10"/>
        <color rgb="FF000000"/>
        <rFont val="Arial"/>
        <family val="0"/>
        <charset val="1"/>
      </rPr>
      <t xml:space="preserve">IPO </t>
    </r>
    <r>
      <rPr>
        <sz val="10"/>
        <color rgb="FF000000"/>
        <rFont val="Noto Sans CJK SC"/>
        <family val="2"/>
      </rPr>
      <t xml:space="preserve">估計上市開支</t>
    </r>
  </si>
  <si>
    <r>
      <rPr>
        <sz val="10"/>
        <color rgb="FF000000"/>
        <rFont val="Noto Sans CJK SC"/>
        <family val="2"/>
      </rPr>
      <t xml:space="preserve">扣除估計上市開支 </t>
    </r>
    <r>
      <rPr>
        <sz val="10"/>
        <color rgb="FF000000"/>
        <rFont val="Arial"/>
        <family val="0"/>
        <charset val="1"/>
      </rPr>
      <t xml:space="preserve">174.7 </t>
    </r>
    <r>
      <rPr>
        <sz val="10"/>
        <color rgb="FF000000"/>
        <rFont val="Noto Sans CJK SC"/>
        <family val="2"/>
      </rPr>
      <t xml:space="preserve">百萬港元</t>
    </r>
  </si>
  <si>
    <t xml:space="preserve">SRC_ZP_519</t>
  </si>
  <si>
    <t xml:space="preserve">ipo_net</t>
  </si>
  <si>
    <r>
      <rPr>
        <sz val="10"/>
        <color rgb="FF000000"/>
        <rFont val="Arial"/>
        <family val="0"/>
        <charset val="1"/>
      </rPr>
      <t xml:space="preserve">IPO </t>
    </r>
    <r>
      <rPr>
        <sz val="10"/>
        <color rgb="FF000000"/>
        <rFont val="Noto Sans CJK SC"/>
        <family val="2"/>
      </rPr>
      <t xml:space="preserve">所得款項淨額（不含超額配股）</t>
    </r>
  </si>
  <si>
    <t xml:space="preserve">新浪財經（轉述配發結果公告）；證券時報同值</t>
  </si>
  <si>
    <r>
      <rPr>
        <sz val="10"/>
        <color rgb="FF000000"/>
        <rFont val="Noto Sans CJK SC"/>
        <family val="2"/>
      </rPr>
      <t xml:space="preserve">淨額 </t>
    </r>
    <r>
      <rPr>
        <sz val="10"/>
        <color rgb="FF000000"/>
        <rFont val="Arial"/>
        <family val="0"/>
        <charset val="1"/>
      </rPr>
      <t xml:space="preserve">4,173.4 </t>
    </r>
    <r>
      <rPr>
        <sz val="10"/>
        <color rgb="FF000000"/>
        <rFont val="Noto Sans CJK SC"/>
        <family val="2"/>
      </rPr>
      <t xml:space="preserve">百萬港元；證券時報「全球發售淨籌資約</t>
    </r>
    <r>
      <rPr>
        <sz val="10"/>
        <color rgb="FF000000"/>
        <rFont val="Arial"/>
        <family val="0"/>
        <charset val="1"/>
      </rPr>
      <t xml:space="preserve">41.73</t>
    </r>
    <r>
      <rPr>
        <sz val="10"/>
        <color rgb="FF000000"/>
        <rFont val="Noto Sans CJK SC"/>
        <family val="2"/>
      </rPr>
      <t xml:space="preserve">億港元」</t>
    </r>
  </si>
  <si>
    <t xml:space="preserve">SRC_ZP_520</t>
  </si>
  <si>
    <t xml:space="preserve">ipo_overallot_shares</t>
  </si>
  <si>
    <t xml:space="preserve">超額配股權行使股數</t>
  </si>
  <si>
    <t xml:space="preserve">2026-02-04</t>
  </si>
  <si>
    <r>
      <rPr>
        <sz val="10"/>
        <color rgb="FF000000"/>
        <rFont val="Noto Sans CJK SC"/>
        <family val="2"/>
      </rPr>
      <t xml:space="preserve">新浪財經（轉述配發結果）＋ </t>
    </r>
    <r>
      <rPr>
        <sz val="10"/>
        <color rgb="FF000000"/>
        <rFont val="Arial"/>
        <family val="0"/>
        <charset val="1"/>
      </rPr>
      <t xml:space="preserve">2026-06 </t>
    </r>
    <r>
      <rPr>
        <sz val="10"/>
        <color rgb="FF000000"/>
        <rFont val="Noto Sans CJK SC"/>
        <family val="2"/>
      </rPr>
      <t xml:space="preserve">月報表股數勾稽</t>
    </r>
  </si>
  <si>
    <r>
      <rPr>
        <sz val="10"/>
        <color rgb="FF000000"/>
        <rFont val="Noto Sans CJK SC"/>
        <family val="2"/>
      </rPr>
      <t xml:space="preserve">媒體轉述；與 </t>
    </r>
    <r>
      <rPr>
        <sz val="10"/>
        <color rgb="FF000000"/>
        <rFont val="Arial"/>
        <family val="0"/>
        <charset val="1"/>
      </rPr>
      <t xml:space="preserve">FF301 </t>
    </r>
    <r>
      <rPr>
        <sz val="10"/>
        <color rgb="FF000000"/>
        <rFont val="Noto Sans CJK SC"/>
        <family val="2"/>
      </rPr>
      <t xml:space="preserve">勾稽</t>
    </r>
  </si>
  <si>
    <r>
      <rPr>
        <sz val="10"/>
        <color rgb="FF000000"/>
        <rFont val="Arial"/>
        <family val="0"/>
        <charset val="1"/>
      </rPr>
      <t xml:space="preserve">440,230,190</t>
    </r>
    <r>
      <rPr>
        <sz val="10"/>
        <color rgb="FF000000"/>
        <rFont val="Noto Sans CJK SC"/>
        <family val="2"/>
      </rPr>
      <t xml:space="preserve">＋</t>
    </r>
    <r>
      <rPr>
        <sz val="10"/>
        <color rgb="FF000000"/>
        <rFont val="Arial"/>
        <family val="0"/>
        <charset val="1"/>
      </rPr>
      <t xml:space="preserve">5,612,900</t>
    </r>
    <r>
      <rPr>
        <sz val="10"/>
        <color rgb="FF000000"/>
        <rFont val="Noto Sans CJK SC"/>
        <family val="2"/>
      </rPr>
      <t xml:space="preserve">＝</t>
    </r>
    <r>
      <rPr>
        <sz val="10"/>
        <color rgb="FF000000"/>
        <rFont val="Arial"/>
        <family val="0"/>
        <charset val="1"/>
      </rPr>
      <t xml:space="preserve">445,843,090</t>
    </r>
    <r>
      <rPr>
        <sz val="10"/>
        <color rgb="FF000000"/>
        <rFont val="Noto Sans CJK SC"/>
        <family val="2"/>
      </rPr>
      <t xml:space="preserve">，與 </t>
    </r>
    <r>
      <rPr>
        <sz val="10"/>
        <color rgb="FF000000"/>
        <rFont val="Arial"/>
        <family val="0"/>
        <charset val="1"/>
      </rPr>
      <t xml:space="preserve">FF301 </t>
    </r>
    <r>
      <rPr>
        <sz val="10"/>
        <color rgb="FF000000"/>
        <rFont val="Noto Sans CJK SC"/>
        <family val="2"/>
      </rPr>
      <t xml:space="preserve">總股數吻合</t>
    </r>
  </si>
  <si>
    <t xml:space="preserve">SRC_ZP_521</t>
  </si>
  <si>
    <t xml:space="preserve">ipo_overallot_shares_b</t>
  </si>
  <si>
    <t xml:space="preserve">超額配股權行使股數（公告另一數字）</t>
  </si>
  <si>
    <r>
      <rPr>
        <sz val="10"/>
        <color rgb="FF000000"/>
        <rFont val="Noto Sans CJK SC"/>
        <family val="2"/>
      </rPr>
      <t xml:space="preserve">公司公告（經 </t>
    </r>
    <r>
      <rPr>
        <sz val="10"/>
        <color rgb="FF000000"/>
        <rFont val="Arial"/>
        <family val="0"/>
        <charset val="1"/>
      </rPr>
      <t xml:space="preserve">WebFetch </t>
    </r>
    <r>
      <rPr>
        <sz val="10"/>
        <color rgb="FF000000"/>
        <rFont val="Noto Sans CJK SC"/>
        <family val="2"/>
      </rPr>
      <t xml:space="preserve">讀取）</t>
    </r>
  </si>
  <si>
    <r>
      <rPr>
        <sz val="10"/>
        <color rgb="FF000000"/>
        <rFont val="Noto Sans CJK SC"/>
        <family val="2"/>
      </rPr>
      <t xml:space="preserve">「超額配股權獲悉數行使…發行額外</t>
    </r>
    <r>
      <rPr>
        <sz val="10"/>
        <color rgb="FF000000"/>
        <rFont val="Arial"/>
        <family val="0"/>
        <charset val="1"/>
      </rPr>
      <t xml:space="preserve">5,623,900</t>
    </r>
    <r>
      <rPr>
        <sz val="10"/>
        <color rgb="FF000000"/>
        <rFont val="Noto Sans CJK SC"/>
        <family val="2"/>
      </rPr>
      <t xml:space="preserve">股</t>
    </r>
    <r>
      <rPr>
        <sz val="10"/>
        <color rgb="FF000000"/>
        <rFont val="Arial"/>
        <family val="0"/>
        <charset val="1"/>
      </rPr>
      <t xml:space="preserve">H</t>
    </r>
    <r>
      <rPr>
        <sz val="10"/>
        <color rgb="FF000000"/>
        <rFont val="Noto Sans CJK SC"/>
        <family val="2"/>
      </rPr>
      <t xml:space="preserve">股」；與股數勾稽差 </t>
    </r>
    <r>
      <rPr>
        <sz val="10"/>
        <color rgb="FF000000"/>
        <rFont val="Arial"/>
        <family val="0"/>
        <charset val="1"/>
      </rPr>
      <t xml:space="preserve">11,000 </t>
    </r>
    <r>
      <rPr>
        <sz val="10"/>
        <color rgb="FF000000"/>
        <rFont val="Noto Sans CJK SC"/>
        <family val="2"/>
      </rPr>
      <t xml:space="preserve">股，疑誤植或讀取誤差</t>
    </r>
  </si>
  <si>
    <t xml:space="preserve">SRC_ZP_522</t>
  </si>
  <si>
    <t xml:space="preserve">ipo_net_incl_overallot</t>
  </si>
  <si>
    <r>
      <rPr>
        <sz val="10"/>
        <color rgb="FF000000"/>
        <rFont val="Arial"/>
        <family val="0"/>
        <charset val="1"/>
      </rPr>
      <t xml:space="preserve">IPO </t>
    </r>
    <r>
      <rPr>
        <sz val="10"/>
        <color rgb="FF000000"/>
        <rFont val="Noto Sans CJK SC"/>
        <family val="2"/>
      </rPr>
      <t xml:space="preserve">淨額（含超額配股權）</t>
    </r>
  </si>
  <si>
    <r>
      <rPr>
        <sz val="10"/>
        <color rgb="FF000000"/>
        <rFont val="Arial"/>
        <family val="0"/>
        <charset val="1"/>
      </rPr>
      <t xml:space="preserve">2026-01</t>
    </r>
    <r>
      <rPr>
        <sz val="10"/>
        <color rgb="FF000000"/>
        <rFont val="Noto Sans CJK SC"/>
        <family val="2"/>
      </rPr>
      <t xml:space="preserve">～</t>
    </r>
    <r>
      <rPr>
        <sz val="10"/>
        <color rgb="FF000000"/>
        <rFont val="Arial"/>
        <family val="0"/>
        <charset val="1"/>
      </rPr>
      <t xml:space="preserve">02</t>
    </r>
  </si>
  <si>
    <r>
      <rPr>
        <sz val="10"/>
        <color rgb="FF000000"/>
        <rFont val="Noto Sans CJK SC"/>
        <family val="2"/>
      </rPr>
      <t xml:space="preserve">「全球發售（包括超額配股權獲行使）的所得款項淨額總額約為</t>
    </r>
    <r>
      <rPr>
        <sz val="10"/>
        <color rgb="FF000000"/>
        <rFont val="Arial"/>
        <family val="0"/>
        <charset val="1"/>
      </rPr>
      <t xml:space="preserve">4,896.2</t>
    </r>
    <r>
      <rPr>
        <sz val="10"/>
        <color rgb="FF000000"/>
        <rFont val="Noto Sans CJK SC"/>
        <family val="2"/>
      </rPr>
      <t xml:space="preserve">百萬港元」；截至 </t>
    </r>
    <r>
      <rPr>
        <sz val="10"/>
        <color rgb="FF000000"/>
        <rFont val="Arial"/>
        <family val="0"/>
        <charset val="1"/>
      </rPr>
      <t xml:space="preserve">2026-08-31 </t>
    </r>
    <r>
      <rPr>
        <sz val="10"/>
        <color rgb="FF000000"/>
        <rFont val="Noto Sans CJK SC"/>
        <family val="2"/>
      </rPr>
      <t xml:space="preserve">已悉數動用</t>
    </r>
  </si>
  <si>
    <t xml:space="preserve">SRC_ZP_523</t>
  </si>
  <si>
    <t xml:space="preserve">ipo_cornerstone_total</t>
  </si>
  <si>
    <r>
      <rPr>
        <sz val="10"/>
        <color rgb="FF000000"/>
        <rFont val="Noto Sans CJK SC"/>
        <family val="2"/>
      </rPr>
      <t xml:space="preserve">基石投資者認購總額（</t>
    </r>
    <r>
      <rPr>
        <sz val="10"/>
        <color rgb="FF000000"/>
        <rFont val="Arial"/>
        <family val="0"/>
        <charset val="1"/>
      </rPr>
      <t xml:space="preserve">11 </t>
    </r>
    <r>
      <rPr>
        <sz val="10"/>
        <color rgb="FF000000"/>
        <rFont val="Noto Sans CJK SC"/>
        <family val="2"/>
      </rPr>
      <t xml:space="preserve">家）</t>
    </r>
  </si>
  <si>
    <r>
      <rPr>
        <sz val="10"/>
        <color rgb="FF000000"/>
        <rFont val="Arial"/>
        <family val="0"/>
        <charset val="1"/>
      </rPr>
      <t xml:space="preserve">HKD </t>
    </r>
    <r>
      <rPr>
        <sz val="10"/>
        <color rgb="FF000000"/>
        <rFont val="Noto Sans CJK SC"/>
        <family val="2"/>
      </rPr>
      <t xml:space="preserve">億</t>
    </r>
  </si>
  <si>
    <t xml:space="preserve">2026-01</t>
  </si>
  <si>
    <t xml:space="preserve">鉅亨網</t>
  </si>
  <si>
    <t xml:space="preserve">https://news.cnyes.com/news/id/6292807</t>
  </si>
  <si>
    <r>
      <rPr>
        <sz val="10"/>
        <color rgb="FF000000"/>
        <rFont val="Noto Sans CJK SC"/>
        <family val="2"/>
      </rPr>
      <t xml:space="preserve">「合共認購</t>
    </r>
    <r>
      <rPr>
        <sz val="10"/>
        <color rgb="FF000000"/>
        <rFont val="Arial"/>
        <family val="0"/>
        <charset val="1"/>
      </rPr>
      <t xml:space="preserve">29.8</t>
    </r>
    <r>
      <rPr>
        <sz val="10"/>
        <color rgb="FF000000"/>
        <rFont val="Noto Sans CJK SC"/>
        <family val="2"/>
      </rPr>
      <t xml:space="preserve">億港元」約占發售 </t>
    </r>
    <r>
      <rPr>
        <sz val="10"/>
        <color rgb="FF000000"/>
        <rFont val="Arial"/>
        <family val="0"/>
        <charset val="1"/>
      </rPr>
      <t xml:space="preserve">70%</t>
    </r>
    <r>
      <rPr>
        <sz val="10"/>
        <color rgb="FF000000"/>
        <rFont val="Noto Sans CJK SC"/>
        <family val="2"/>
      </rPr>
      <t xml:space="preserve">；</t>
    </r>
    <r>
      <rPr>
        <sz val="10"/>
        <color rgb="FF000000"/>
        <rFont val="Arial"/>
        <family val="0"/>
        <charset val="1"/>
      </rPr>
      <t xml:space="preserve">JSC</t>
    </r>
    <r>
      <rPr>
        <sz val="10"/>
        <color rgb="FF000000"/>
        <rFont val="Noto Sans CJK SC"/>
        <family val="2"/>
      </rPr>
      <t xml:space="preserve">、</t>
    </r>
    <r>
      <rPr>
        <sz val="10"/>
        <color rgb="FF000000"/>
        <rFont val="Arial"/>
        <family val="0"/>
        <charset val="1"/>
      </rPr>
      <t xml:space="preserve">JinYi</t>
    </r>
    <r>
      <rPr>
        <sz val="10"/>
        <color rgb="FF000000"/>
        <rFont val="Noto Sans CJK SC"/>
        <family val="2"/>
      </rPr>
      <t xml:space="preserve">、高毅、泰康人壽、廣發基金等；個別金額未載</t>
    </r>
  </si>
  <si>
    <t xml:space="preserve">SRC_ZP_524</t>
  </si>
  <si>
    <t xml:space="preserve">ipo_hk_oversub</t>
  </si>
  <si>
    <t xml:space="preserve">香港公開發售超額認購倍數</t>
  </si>
  <si>
    <t xml:space="preserve">中國日報網</t>
  </si>
  <si>
    <t xml:space="preserve">https://cn.chinadaily.com.cn/a/202601/08/WS695f5b9da310942cc499a93e.html</t>
  </si>
  <si>
    <r>
      <rPr>
        <sz val="10"/>
        <color rgb="FF000000"/>
        <rFont val="Noto Sans CJK SC"/>
        <family val="2"/>
      </rPr>
      <t xml:space="preserve">公開發售 </t>
    </r>
    <r>
      <rPr>
        <sz val="10"/>
        <color rgb="FF000000"/>
        <rFont val="Arial"/>
        <family val="0"/>
        <charset val="1"/>
      </rPr>
      <t xml:space="preserve">1,159.46 </t>
    </r>
    <r>
      <rPr>
        <sz val="10"/>
        <color rgb="FF000000"/>
        <rFont val="Noto Sans CJK SC"/>
        <family val="2"/>
      </rPr>
      <t xml:space="preserve">倍；國際發售 </t>
    </r>
    <r>
      <rPr>
        <sz val="10"/>
        <color rgb="FF000000"/>
        <rFont val="Arial"/>
        <family val="0"/>
        <charset val="1"/>
      </rPr>
      <t xml:space="preserve">15.28 </t>
    </r>
    <r>
      <rPr>
        <sz val="10"/>
        <color rgb="FF000000"/>
        <rFont val="Noto Sans CJK SC"/>
        <family val="2"/>
      </rPr>
      <t xml:space="preserve">倍</t>
    </r>
  </si>
  <si>
    <t xml:space="preserve">SRC_ZP_525</t>
  </si>
  <si>
    <t xml:space="preserve">ipo_proceeds_use_rd</t>
  </si>
  <si>
    <r>
      <rPr>
        <sz val="10"/>
        <color rgb="FF000000"/>
        <rFont val="Arial"/>
        <family val="0"/>
        <charset val="1"/>
      </rPr>
      <t xml:space="preserve">IPO </t>
    </r>
    <r>
      <rPr>
        <sz val="10"/>
        <color rgb="FF000000"/>
        <rFont val="Noto Sans CJK SC"/>
        <family val="2"/>
      </rPr>
      <t xml:space="preserve">用途：通用大模型研發占比</t>
    </r>
  </si>
  <si>
    <t xml:space="preserve">澎湃新聞</t>
  </si>
  <si>
    <t xml:space="preserve">https://www.thepaper.cn/newsDetail_forward_32280640</t>
  </si>
  <si>
    <r>
      <rPr>
        <sz val="10"/>
        <color rgb="FF000000"/>
        <rFont val="Noto Sans CJK SC"/>
        <family val="2"/>
      </rPr>
      <t xml:space="preserve">研發 </t>
    </r>
    <r>
      <rPr>
        <sz val="10"/>
        <color rgb="FF000000"/>
        <rFont val="Arial"/>
        <family val="0"/>
        <charset val="1"/>
      </rPr>
      <t xml:space="preserve">70%</t>
    </r>
    <r>
      <rPr>
        <sz val="10"/>
        <color rgb="FF000000"/>
        <rFont val="Noto Sans CJK SC"/>
        <family val="2"/>
      </rPr>
      <t xml:space="preserve">、</t>
    </r>
    <r>
      <rPr>
        <sz val="10"/>
        <color rgb="FF000000"/>
        <rFont val="Arial"/>
        <family val="0"/>
        <charset val="1"/>
      </rPr>
      <t xml:space="preserve">MaaS </t>
    </r>
    <r>
      <rPr>
        <sz val="10"/>
        <color rgb="FF000000"/>
        <rFont val="Noto Sans CJK SC"/>
        <family val="2"/>
      </rPr>
      <t xml:space="preserve">平台 </t>
    </r>
    <r>
      <rPr>
        <sz val="10"/>
        <color rgb="FF000000"/>
        <rFont val="Arial"/>
        <family val="0"/>
        <charset val="1"/>
      </rPr>
      <t xml:space="preserve">10%</t>
    </r>
    <r>
      <rPr>
        <sz val="10"/>
        <color rgb="FF000000"/>
        <rFont val="Noto Sans CJK SC"/>
        <family val="2"/>
      </rPr>
      <t xml:space="preserve">、合作夥伴與戰投 </t>
    </r>
    <r>
      <rPr>
        <sz val="10"/>
        <color rgb="FF000000"/>
        <rFont val="Arial"/>
        <family val="0"/>
        <charset val="1"/>
      </rPr>
      <t xml:space="preserve">10%</t>
    </r>
    <r>
      <rPr>
        <sz val="10"/>
        <color rgb="FF000000"/>
        <rFont val="Noto Sans CJK SC"/>
        <family val="2"/>
      </rPr>
      <t xml:space="preserve">、營運資金 </t>
    </r>
    <r>
      <rPr>
        <sz val="10"/>
        <color rgb="FF000000"/>
        <rFont val="Arial"/>
        <family val="0"/>
        <charset val="1"/>
      </rPr>
      <t xml:space="preserve">10%</t>
    </r>
  </si>
  <si>
    <t xml:space="preserve">SRC_ZP_526</t>
  </si>
  <si>
    <t xml:space="preserve">ipo_shares_post</t>
  </si>
  <si>
    <t xml:space="preserve">上市後已發行股份總數（超額配股前）</t>
  </si>
  <si>
    <r>
      <rPr>
        <sz val="10"/>
        <color rgb="FF000000"/>
        <rFont val="Noto Sans CJK SC"/>
        <family val="2"/>
      </rPr>
      <t xml:space="preserve">上市後已發行 </t>
    </r>
    <r>
      <rPr>
        <sz val="10"/>
        <color rgb="FF000000"/>
        <rFont val="Arial"/>
        <family val="0"/>
        <charset val="1"/>
      </rPr>
      <t xml:space="preserve">440,230,190 </t>
    </r>
    <r>
      <rPr>
        <sz val="10"/>
        <color rgb="FF000000"/>
        <rFont val="Noto Sans CJK SC"/>
        <family val="2"/>
      </rPr>
      <t xml:space="preserve">股</t>
    </r>
  </si>
  <si>
    <t xml:space="preserve">SRC_ZP_527</t>
  </si>
  <si>
    <t xml:space="preserve">ipo_offer_mktcap</t>
  </si>
  <si>
    <t xml:space="preserve">按發售價計算市值</t>
  </si>
  <si>
    <r>
      <rPr>
        <sz val="10"/>
        <color rgb="FF000000"/>
        <rFont val="Noto Sans CJK SC"/>
        <family val="2"/>
      </rPr>
      <t xml:space="preserve">鉅亨網（</t>
    </r>
    <r>
      <rPr>
        <sz val="10"/>
        <color rgb="FF000000"/>
        <rFont val="Arial"/>
        <family val="0"/>
        <charset val="1"/>
      </rPr>
      <t xml:space="preserve">511 </t>
    </r>
    <r>
      <rPr>
        <sz val="10"/>
        <color rgb="FF000000"/>
        <rFont val="Noto Sans CJK SC"/>
        <family val="2"/>
      </rPr>
      <t xml:space="preserve">億）；</t>
    </r>
    <r>
      <rPr>
        <sz val="10"/>
        <color rgb="FF000000"/>
        <rFont val="Arial"/>
        <family val="0"/>
        <charset val="1"/>
      </rPr>
      <t xml:space="preserve">Derived</t>
    </r>
    <r>
      <rPr>
        <sz val="10"/>
        <color rgb="FF000000"/>
        <rFont val="Noto Sans CJK SC"/>
        <family val="2"/>
      </rPr>
      <t xml:space="preserve">＝</t>
    </r>
    <r>
      <rPr>
        <sz val="10"/>
        <color rgb="FF000000"/>
        <rFont val="Arial"/>
        <family val="0"/>
        <charset val="1"/>
      </rPr>
      <t xml:space="preserve">116.20×440,230,190</t>
    </r>
  </si>
  <si>
    <t xml:space="preserve">計算</t>
  </si>
  <si>
    <r>
      <rPr>
        <sz val="10"/>
        <color rgb="FF000000"/>
        <rFont val="Noto Sans CJK SC"/>
        <family val="2"/>
      </rPr>
      <t xml:space="preserve">媒體「發行市值達</t>
    </r>
    <r>
      <rPr>
        <sz val="10"/>
        <color rgb="FF000000"/>
        <rFont val="Arial"/>
        <family val="0"/>
        <charset val="1"/>
      </rPr>
      <t xml:space="preserve">511</t>
    </r>
    <r>
      <rPr>
        <sz val="10"/>
        <color rgb="FF000000"/>
        <rFont val="Noto Sans CJK SC"/>
        <family val="2"/>
      </rPr>
      <t xml:space="preserve">億」；計算值 </t>
    </r>
    <r>
      <rPr>
        <sz val="10"/>
        <color rgb="FF000000"/>
        <rFont val="Arial"/>
        <family val="0"/>
        <charset val="1"/>
      </rPr>
      <t xml:space="preserve">511.55 </t>
    </r>
    <r>
      <rPr>
        <sz val="10"/>
        <color rgb="FF000000"/>
        <rFont val="Noto Sans CJK SC"/>
        <family val="2"/>
      </rPr>
      <t xml:space="preserve">億港元</t>
    </r>
  </si>
  <si>
    <t xml:space="preserve">SRC_ZP_528</t>
  </si>
  <si>
    <t xml:space="preserve">ipo_day1_open_mktcap</t>
  </si>
  <si>
    <r>
      <rPr>
        <sz val="10"/>
        <color rgb="FF000000"/>
        <rFont val="Noto Sans CJK SC"/>
        <family val="2"/>
      </rPr>
      <t xml:space="preserve">上市首日開盤市值（線索 </t>
    </r>
    <r>
      <rPr>
        <sz val="10"/>
        <color rgb="FF000000"/>
        <rFont val="Arial"/>
        <family val="0"/>
        <charset val="1"/>
      </rPr>
      <t xml:space="preserve">528 </t>
    </r>
    <r>
      <rPr>
        <sz val="10"/>
        <color rgb="FF000000"/>
        <rFont val="Noto Sans CJK SC"/>
        <family val="2"/>
      </rPr>
      <t xml:space="preserve">億）</t>
    </r>
  </si>
  <si>
    <r>
      <rPr>
        <sz val="10"/>
        <color rgb="FF000000"/>
        <rFont val="Arial"/>
        <family val="0"/>
        <charset val="1"/>
      </rPr>
      <t xml:space="preserve">Derived</t>
    </r>
    <r>
      <rPr>
        <sz val="10"/>
        <color rgb="FF000000"/>
        <rFont val="Noto Sans CJK SC"/>
        <family val="2"/>
      </rPr>
      <t xml:space="preserve">＝開盤價 </t>
    </r>
    <r>
      <rPr>
        <sz val="10"/>
        <color rgb="FF000000"/>
        <rFont val="Arial"/>
        <family val="0"/>
        <charset val="1"/>
      </rPr>
      <t xml:space="preserve">120.00×440,230,190</t>
    </r>
    <r>
      <rPr>
        <sz val="10"/>
        <color rgb="FF000000"/>
        <rFont val="Noto Sans CJK SC"/>
        <family val="2"/>
      </rPr>
      <t xml:space="preserve">；開盤價見證券時報</t>
    </r>
  </si>
  <si>
    <t xml:space="preserve">https://www.stcn.com/article/detail/3580246.html</t>
  </si>
  <si>
    <r>
      <rPr>
        <sz val="10"/>
        <color rgb="FF000000"/>
        <rFont val="Noto Sans CJK SC"/>
        <family val="2"/>
      </rPr>
      <t xml:space="preserve">開盤「報</t>
    </r>
    <r>
      <rPr>
        <sz val="10"/>
        <color rgb="FF000000"/>
        <rFont val="Arial"/>
        <family val="0"/>
        <charset val="1"/>
      </rPr>
      <t xml:space="preserve">120</t>
    </r>
    <r>
      <rPr>
        <sz val="10"/>
        <color rgb="FF000000"/>
        <rFont val="Noto Sans CJK SC"/>
        <family val="2"/>
      </rPr>
      <t xml:space="preserve">港元</t>
    </r>
    <r>
      <rPr>
        <sz val="10"/>
        <color rgb="FF000000"/>
        <rFont val="Arial"/>
        <family val="0"/>
        <charset val="1"/>
      </rPr>
      <t xml:space="preserve">/</t>
    </r>
    <r>
      <rPr>
        <sz val="10"/>
        <color rgb="FF000000"/>
        <rFont val="Noto Sans CJK SC"/>
        <family val="2"/>
      </rPr>
      <t xml:space="preserve">股」；線索 </t>
    </r>
    <r>
      <rPr>
        <sz val="10"/>
        <color rgb="FF000000"/>
        <rFont val="Arial"/>
        <family val="0"/>
        <charset val="1"/>
      </rPr>
      <t xml:space="preserve">528 </t>
    </r>
    <r>
      <rPr>
        <sz val="10"/>
        <color rgb="FF000000"/>
        <rFont val="Noto Sans CJK SC"/>
        <family val="2"/>
      </rPr>
      <t xml:space="preserve">億即開盤市值，非收盤</t>
    </r>
  </si>
  <si>
    <t xml:space="preserve">SRC_ZP_529</t>
  </si>
  <si>
    <t xml:space="preserve">ipo_day1_close</t>
  </si>
  <si>
    <t xml:space="preserve">上市首日收盤價</t>
  </si>
  <si>
    <t xml:space="preserve">證券時報</t>
  </si>
  <si>
    <t xml:space="preserve">市場數據</t>
  </si>
  <si>
    <r>
      <rPr>
        <sz val="10"/>
        <color rgb="FF000000"/>
        <rFont val="Noto Sans CJK SC"/>
        <family val="2"/>
      </rPr>
      <t xml:space="preserve">「收報</t>
    </r>
    <r>
      <rPr>
        <sz val="10"/>
        <color rgb="FF000000"/>
        <rFont val="Arial"/>
        <family val="0"/>
        <charset val="1"/>
      </rPr>
      <t xml:space="preserve">131.5</t>
    </r>
    <r>
      <rPr>
        <sz val="10"/>
        <color rgb="FF000000"/>
        <rFont val="Noto Sans CJK SC"/>
        <family val="2"/>
      </rPr>
      <t xml:space="preserve">港元</t>
    </r>
    <r>
      <rPr>
        <sz val="10"/>
        <color rgb="FF000000"/>
        <rFont val="Arial"/>
        <family val="0"/>
        <charset val="1"/>
      </rPr>
      <t xml:space="preserve">/</t>
    </r>
    <r>
      <rPr>
        <sz val="10"/>
        <color rgb="FF000000"/>
        <rFont val="Noto Sans CJK SC"/>
        <family val="2"/>
      </rPr>
      <t xml:space="preserve">股」，漲 </t>
    </r>
    <r>
      <rPr>
        <sz val="10"/>
        <color rgb="FF000000"/>
        <rFont val="Arial"/>
        <family val="0"/>
        <charset val="1"/>
      </rPr>
      <t xml:space="preserve">13.17%</t>
    </r>
    <r>
      <rPr>
        <sz val="10"/>
        <color rgb="FF000000"/>
        <rFont val="Noto Sans CJK SC"/>
        <family val="2"/>
      </rPr>
      <t xml:space="preserve">；盤中低 </t>
    </r>
    <r>
      <rPr>
        <sz val="10"/>
        <color rgb="FF000000"/>
        <rFont val="Arial"/>
        <family val="0"/>
        <charset val="1"/>
      </rPr>
      <t xml:space="preserve">116.10</t>
    </r>
  </si>
  <si>
    <t xml:space="preserve">SRC_ZP_530</t>
  </si>
  <si>
    <t xml:space="preserve">ipo_day1_close_mktcap</t>
  </si>
  <si>
    <t xml:space="preserve">上市首日收盤市值</t>
  </si>
  <si>
    <r>
      <rPr>
        <sz val="10"/>
        <color rgb="FF000000"/>
        <rFont val="Noto Sans CJK SC"/>
        <family val="2"/>
      </rPr>
      <t xml:space="preserve">「總市值達</t>
    </r>
    <r>
      <rPr>
        <sz val="10"/>
        <color rgb="FF000000"/>
        <rFont val="Arial"/>
        <family val="0"/>
        <charset val="1"/>
      </rPr>
      <t xml:space="preserve">578.9</t>
    </r>
    <r>
      <rPr>
        <sz val="10"/>
        <color rgb="FF000000"/>
        <rFont val="Noto Sans CJK SC"/>
        <family val="2"/>
      </rPr>
      <t xml:space="preserve">億港元」；</t>
    </r>
    <r>
      <rPr>
        <sz val="10"/>
        <color rgb="FF000000"/>
        <rFont val="Arial"/>
        <family val="0"/>
        <charset val="1"/>
      </rPr>
      <t xml:space="preserve">131.5×440,230,190</t>
    </r>
    <r>
      <rPr>
        <sz val="10"/>
        <color rgb="FF000000"/>
        <rFont val="Noto Sans CJK SC"/>
        <family val="2"/>
      </rPr>
      <t xml:space="preserve">＝</t>
    </r>
    <r>
      <rPr>
        <sz val="10"/>
        <color rgb="FF000000"/>
        <rFont val="Arial"/>
        <family val="0"/>
        <charset val="1"/>
      </rPr>
      <t xml:space="preserve">578.9 </t>
    </r>
    <r>
      <rPr>
        <sz val="10"/>
        <color rgb="FF000000"/>
        <rFont val="Noto Sans CJK SC"/>
        <family val="2"/>
      </rPr>
      <t xml:space="preserve">吻合</t>
    </r>
  </si>
  <si>
    <t xml:space="preserve">SRC_ZP_531</t>
  </si>
  <si>
    <t xml:space="preserve">ipo_day1_close_mktcap_b</t>
  </si>
  <si>
    <t xml:space="preserve">上市首日收盤市值（另一說）</t>
  </si>
  <si>
    <t xml:space="preserve">https://www.mrjjxw.com/articles/2026-06-22/4432957.html</t>
  </si>
  <si>
    <t xml:space="preserve">2026-06-22</t>
  </si>
  <si>
    <t xml:space="preserve">市場數據（媒體）</t>
  </si>
  <si>
    <r>
      <rPr>
        <sz val="10"/>
        <color rgb="FF000000"/>
        <rFont val="Noto Sans CJK SC"/>
        <family val="2"/>
      </rPr>
      <t xml:space="preserve">「市值約</t>
    </r>
    <r>
      <rPr>
        <sz val="10"/>
        <color rgb="FF000000"/>
        <rFont val="Arial"/>
        <family val="0"/>
        <charset val="1"/>
      </rPr>
      <t xml:space="preserve">586</t>
    </r>
    <r>
      <rPr>
        <sz val="10"/>
        <color rgb="FF000000"/>
        <rFont val="Noto Sans CJK SC"/>
        <family val="2"/>
      </rPr>
      <t xml:space="preserve">億港元」；與 </t>
    </r>
    <r>
      <rPr>
        <sz val="10"/>
        <color rgb="FF000000"/>
        <rFont val="Arial"/>
        <family val="0"/>
        <charset val="1"/>
      </rPr>
      <t xml:space="preserve">578.9 </t>
    </r>
    <r>
      <rPr>
        <sz val="10"/>
        <color rgb="FF000000"/>
        <rFont val="Noto Sans CJK SC"/>
        <family val="2"/>
      </rPr>
      <t xml:space="preserve">差異未說明，以證券時報為主</t>
    </r>
  </si>
  <si>
    <t xml:space="preserve">SRC_ZP_532</t>
  </si>
  <si>
    <t xml:space="preserve">placing1_price</t>
  </si>
  <si>
    <r>
      <rPr>
        <sz val="10"/>
        <color rgb="FF000000"/>
        <rFont val="Arial"/>
        <family val="0"/>
        <charset val="1"/>
      </rPr>
      <t xml:space="preserve">2026-07 </t>
    </r>
    <r>
      <rPr>
        <sz val="10"/>
        <color rgb="FF000000"/>
        <rFont val="Noto Sans CJK SC"/>
        <family val="2"/>
      </rPr>
      <t xml:space="preserve">配售價</t>
    </r>
  </si>
  <si>
    <t xml:space="preserve">2026-07-09</t>
  </si>
  <si>
    <r>
      <rPr>
        <sz val="10"/>
        <color rgb="FF000000"/>
        <rFont val="Noto Sans CJK SC"/>
        <family val="2"/>
      </rPr>
      <t xml:space="preserve">智譜 </t>
    </r>
    <r>
      <rPr>
        <sz val="10"/>
        <color rgb="FF000000"/>
        <rFont val="Arial"/>
        <family val="0"/>
        <charset val="1"/>
      </rPr>
      <t xml:space="preserve">2026-09-13 </t>
    </r>
    <r>
      <rPr>
        <sz val="10"/>
        <color rgb="FF000000"/>
        <rFont val="Noto Sans CJK SC"/>
        <family val="2"/>
      </rPr>
      <t xml:space="preserve">公告（過往 </t>
    </r>
    <r>
      <rPr>
        <sz val="10"/>
        <color rgb="FF000000"/>
        <rFont val="Arial"/>
        <family val="0"/>
        <charset val="1"/>
      </rPr>
      <t xml:space="preserve">12 </t>
    </r>
    <r>
      <rPr>
        <sz val="10"/>
        <color rgb="FF000000"/>
        <rFont val="Noto Sans CJK SC"/>
        <family val="2"/>
      </rPr>
      <t xml:space="preserve">個月集資）</t>
    </r>
  </si>
  <si>
    <r>
      <rPr>
        <sz val="10"/>
        <color rgb="FF000000"/>
        <rFont val="Noto Sans CJK SC"/>
        <family val="2"/>
      </rPr>
      <t xml:space="preserve">「按配售價每股</t>
    </r>
    <r>
      <rPr>
        <sz val="10"/>
        <color rgb="FF000000"/>
        <rFont val="Arial"/>
        <family val="0"/>
        <charset val="1"/>
      </rPr>
      <t xml:space="preserve">H</t>
    </r>
    <r>
      <rPr>
        <sz val="10"/>
        <color rgb="FF000000"/>
        <rFont val="Noto Sans CJK SC"/>
        <family val="2"/>
      </rPr>
      <t xml:space="preserve">股</t>
    </r>
    <r>
      <rPr>
        <sz val="10"/>
        <color rgb="FF000000"/>
        <rFont val="Arial"/>
        <family val="0"/>
        <charset val="1"/>
      </rPr>
      <t xml:space="preserve">1,588.00</t>
    </r>
    <r>
      <rPr>
        <sz val="10"/>
        <color rgb="FF000000"/>
        <rFont val="Noto Sans CJK SC"/>
        <family val="2"/>
      </rPr>
      <t xml:space="preserve">港元配發及發行合共</t>
    </r>
    <r>
      <rPr>
        <sz val="10"/>
        <color rgb="FF000000"/>
        <rFont val="Arial"/>
        <family val="0"/>
        <charset val="1"/>
      </rPr>
      <t xml:space="preserve">19,780,000</t>
    </r>
    <r>
      <rPr>
        <sz val="10"/>
        <color rgb="FF000000"/>
        <rFont val="Noto Sans CJK SC"/>
        <family val="2"/>
      </rPr>
      <t xml:space="preserve">股新</t>
    </r>
    <r>
      <rPr>
        <sz val="10"/>
        <color rgb="FF000000"/>
        <rFont val="Arial"/>
        <family val="0"/>
        <charset val="1"/>
      </rPr>
      <t xml:space="preserve">H</t>
    </r>
    <r>
      <rPr>
        <sz val="10"/>
        <color rgb="FF000000"/>
        <rFont val="Noto Sans CJK SC"/>
        <family val="2"/>
      </rPr>
      <t xml:space="preserve">股」</t>
    </r>
  </si>
  <si>
    <t xml:space="preserve">SRC_ZP_533</t>
  </si>
  <si>
    <t xml:space="preserve">placing1_shares</t>
  </si>
  <si>
    <r>
      <rPr>
        <sz val="10"/>
        <color rgb="FF000000"/>
        <rFont val="Arial"/>
        <family val="0"/>
        <charset val="1"/>
      </rPr>
      <t xml:space="preserve">2026-07 </t>
    </r>
    <r>
      <rPr>
        <sz val="10"/>
        <color rgb="FF000000"/>
        <rFont val="Noto Sans CJK SC"/>
        <family val="2"/>
      </rPr>
      <t xml:space="preserve">配售股數</t>
    </r>
  </si>
  <si>
    <t xml:space="preserve">2026-07-13</t>
  </si>
  <si>
    <r>
      <rPr>
        <sz val="10"/>
        <color rgb="FF000000"/>
        <rFont val="Noto Sans CJK SC"/>
        <family val="2"/>
      </rPr>
      <t xml:space="preserve">智譜翌日披露報表 </t>
    </r>
    <r>
      <rPr>
        <sz val="10"/>
        <color rgb="FF000000"/>
        <rFont val="Arial"/>
        <family val="0"/>
        <charset val="1"/>
      </rPr>
      <t xml:space="preserve">FF305</t>
    </r>
    <r>
      <rPr>
        <sz val="10"/>
        <color rgb="FF000000"/>
        <rFont val="Noto Sans CJK SC"/>
        <family val="2"/>
      </rPr>
      <t xml:space="preserve">（</t>
    </r>
    <r>
      <rPr>
        <sz val="10"/>
        <color rgb="FF000000"/>
        <rFont val="Arial"/>
        <family val="0"/>
        <charset val="1"/>
      </rPr>
      <t xml:space="preserve">2026-07-14</t>
    </r>
    <r>
      <rPr>
        <sz val="10"/>
        <color rgb="FF000000"/>
        <rFont val="Noto Sans CJK SC"/>
        <family val="2"/>
      </rPr>
      <t xml:space="preserve">）</t>
    </r>
  </si>
  <si>
    <t xml:space="preserve">https://pdf.dfcfw.com/pdf/H2_AN202607141826942427_1.pdf</t>
  </si>
  <si>
    <t xml:space="preserve">2026-07-14</t>
  </si>
  <si>
    <t xml:space="preserve">公司公告（東方財富鏡像）</t>
  </si>
  <si>
    <r>
      <rPr>
        <sz val="10"/>
        <color rgb="FF000000"/>
        <rFont val="Noto Sans CJK SC"/>
        <family val="2"/>
      </rPr>
      <t xml:space="preserve">總股數 </t>
    </r>
    <r>
      <rPr>
        <sz val="10"/>
        <color rgb="FF000000"/>
        <rFont val="Arial"/>
        <family val="0"/>
        <charset val="1"/>
      </rPr>
      <t xml:space="preserve">445,843,090→465,623,090</t>
    </r>
    <r>
      <rPr>
        <sz val="10"/>
        <color rgb="FF000000"/>
        <rFont val="Noto Sans CJK SC"/>
        <family val="2"/>
      </rPr>
      <t xml:space="preserve">；</t>
    </r>
    <r>
      <rPr>
        <sz val="10"/>
        <color rgb="FF000000"/>
        <rFont val="Arial"/>
        <family val="0"/>
        <charset val="1"/>
      </rPr>
      <t xml:space="preserve">H </t>
    </r>
    <r>
      <rPr>
        <sz val="10"/>
        <color rgb="FF000000"/>
        <rFont val="Noto Sans CJK SC"/>
        <family val="2"/>
      </rPr>
      <t xml:space="preserve">股 </t>
    </r>
    <r>
      <rPr>
        <sz val="10"/>
        <color rgb="FF000000"/>
        <rFont val="Arial"/>
        <family val="0"/>
        <charset val="1"/>
      </rPr>
      <t xml:space="preserve">221,314,605→241,094,605</t>
    </r>
  </si>
  <si>
    <t xml:space="preserve">SRC_ZP_534</t>
  </si>
  <si>
    <t xml:space="preserve">placing1_discount</t>
  </si>
  <si>
    <r>
      <rPr>
        <sz val="10"/>
        <color rgb="FF000000"/>
        <rFont val="Arial"/>
        <family val="0"/>
        <charset val="1"/>
      </rPr>
      <t xml:space="preserve">2026-07 </t>
    </r>
    <r>
      <rPr>
        <sz val="10"/>
        <color rgb="FF000000"/>
        <rFont val="Noto Sans CJK SC"/>
        <family val="2"/>
      </rPr>
      <t xml:space="preserve">配售價較前收盤折讓</t>
    </r>
  </si>
  <si>
    <t xml:space="preserve">2026-07-08</t>
  </si>
  <si>
    <t xml:space="preserve">中國金融信息網</t>
  </si>
  <si>
    <t xml:space="preserve">https://www.cnfin.com/gs-lb/detail/20260709/4437824_1.html</t>
  </si>
  <si>
    <t xml:space="preserve">媒體轉述公告</t>
  </si>
  <si>
    <r>
      <rPr>
        <sz val="10"/>
        <color rgb="FF000000"/>
        <rFont val="Noto Sans CJK SC"/>
        <family val="2"/>
      </rPr>
      <t xml:space="preserve">較 </t>
    </r>
    <r>
      <rPr>
        <sz val="10"/>
        <color rgb="FF000000"/>
        <rFont val="Arial"/>
        <family val="0"/>
        <charset val="1"/>
      </rPr>
      <t xml:space="preserve">7-08 </t>
    </r>
    <r>
      <rPr>
        <sz val="10"/>
        <color rgb="FF000000"/>
        <rFont val="Noto Sans CJK SC"/>
        <family val="2"/>
      </rPr>
      <t xml:space="preserve">收盤 </t>
    </r>
    <r>
      <rPr>
        <sz val="10"/>
        <color rgb="FF000000"/>
        <rFont val="Arial"/>
        <family val="0"/>
        <charset val="1"/>
      </rPr>
      <t xml:space="preserve">1,825 </t>
    </r>
    <r>
      <rPr>
        <sz val="10"/>
        <color rgb="FF000000"/>
        <rFont val="Noto Sans CJK SC"/>
        <family val="2"/>
      </rPr>
      <t xml:space="preserve">港元折讓約 </t>
    </r>
    <r>
      <rPr>
        <sz val="10"/>
        <color rgb="FF000000"/>
        <rFont val="Arial"/>
        <family val="0"/>
        <charset val="1"/>
      </rPr>
      <t xml:space="preserve">12.99%</t>
    </r>
  </si>
  <si>
    <t xml:space="preserve">SRC_ZP_535</t>
  </si>
  <si>
    <t xml:space="preserve">placing1_gross</t>
  </si>
  <si>
    <r>
      <rPr>
        <sz val="10"/>
        <color rgb="FF000000"/>
        <rFont val="Arial"/>
        <family val="0"/>
        <charset val="1"/>
      </rPr>
      <t xml:space="preserve">2026-07 </t>
    </r>
    <r>
      <rPr>
        <sz val="10"/>
        <color rgb="FF000000"/>
        <rFont val="Noto Sans CJK SC"/>
        <family val="2"/>
      </rPr>
      <t xml:space="preserve">配售所得款項總額</t>
    </r>
  </si>
  <si>
    <t xml:space="preserve">觀點網（轉述完成公告）</t>
  </si>
  <si>
    <t xml:space="preserve">https://www.guandian.hk/article/20260713/573061.html</t>
  </si>
  <si>
    <r>
      <rPr>
        <sz val="10"/>
        <color rgb="FF000000"/>
        <rFont val="Noto Sans CJK SC"/>
        <family val="2"/>
      </rPr>
      <t xml:space="preserve">「約</t>
    </r>
    <r>
      <rPr>
        <sz val="10"/>
        <color rgb="FF000000"/>
        <rFont val="Arial"/>
        <family val="0"/>
        <charset val="1"/>
      </rPr>
      <t xml:space="preserve">314.11</t>
    </r>
    <r>
      <rPr>
        <sz val="10"/>
        <color rgb="FF000000"/>
        <rFont val="Noto Sans CJK SC"/>
        <family val="2"/>
      </rPr>
      <t xml:space="preserve">億港元」；</t>
    </r>
    <r>
      <rPr>
        <sz val="10"/>
        <color rgb="FF000000"/>
        <rFont val="Arial"/>
        <family val="0"/>
        <charset val="1"/>
      </rPr>
      <t xml:space="preserve">1,588×19,780,000</t>
    </r>
    <r>
      <rPr>
        <sz val="10"/>
        <color rgb="FF000000"/>
        <rFont val="Noto Sans CJK SC"/>
        <family val="2"/>
      </rPr>
      <t xml:space="preserve">＝</t>
    </r>
    <r>
      <rPr>
        <sz val="10"/>
        <color rgb="FF000000"/>
        <rFont val="Arial"/>
        <family val="0"/>
        <charset val="1"/>
      </rPr>
      <t xml:space="preserve">31,410.6 </t>
    </r>
    <r>
      <rPr>
        <sz val="10"/>
        <color rgb="FF000000"/>
        <rFont val="Noto Sans CJK SC"/>
        <family val="2"/>
      </rPr>
      <t xml:space="preserve">吻合</t>
    </r>
  </si>
  <si>
    <t xml:space="preserve">SRC_ZP_536</t>
  </si>
  <si>
    <t xml:space="preserve">placing1_net</t>
  </si>
  <si>
    <r>
      <rPr>
        <sz val="10"/>
        <color rgb="FF000000"/>
        <rFont val="Arial"/>
        <family val="0"/>
        <charset val="1"/>
      </rPr>
      <t xml:space="preserve">2026-07 </t>
    </r>
    <r>
      <rPr>
        <sz val="10"/>
        <color rgb="FF000000"/>
        <rFont val="Noto Sans CJK SC"/>
        <family val="2"/>
      </rPr>
      <t xml:space="preserve">配售所得款項淨額</t>
    </r>
  </si>
  <si>
    <r>
      <rPr>
        <sz val="10"/>
        <color rgb="FF000000"/>
        <rFont val="Noto Sans CJK SC"/>
        <family val="2"/>
      </rPr>
      <t xml:space="preserve">淨額約 </t>
    </r>
    <r>
      <rPr>
        <sz val="10"/>
        <color rgb="FF000000"/>
        <rFont val="Arial"/>
        <family val="0"/>
        <charset val="1"/>
      </rPr>
      <t xml:space="preserve">31,374.95 </t>
    </r>
    <r>
      <rPr>
        <sz val="10"/>
        <color rgb="FF000000"/>
        <rFont val="Noto Sans CJK SC"/>
        <family val="2"/>
      </rPr>
      <t xml:space="preserve">百萬港元；觀點網「約</t>
    </r>
    <r>
      <rPr>
        <sz val="10"/>
        <color rgb="FF000000"/>
        <rFont val="Arial"/>
        <family val="0"/>
        <charset val="1"/>
      </rPr>
      <t xml:space="preserve">313.75</t>
    </r>
    <r>
      <rPr>
        <sz val="10"/>
        <color rgb="FF000000"/>
        <rFont val="Noto Sans CJK SC"/>
        <family val="2"/>
      </rPr>
      <t xml:space="preserve">億港元」一致；幣別為港幣</t>
    </r>
  </si>
  <si>
    <t xml:space="preserve">SRC_ZP_537</t>
  </si>
  <si>
    <t xml:space="preserve">placing1_net_b</t>
  </si>
  <si>
    <r>
      <rPr>
        <sz val="10"/>
        <color rgb="FF000000"/>
        <rFont val="Arial"/>
        <family val="0"/>
        <charset val="1"/>
      </rPr>
      <t xml:space="preserve">2026-07 </t>
    </r>
    <r>
      <rPr>
        <sz val="10"/>
        <color rgb="FF000000"/>
        <rFont val="Noto Sans CJK SC"/>
        <family val="2"/>
      </rPr>
      <t xml:space="preserve">配售總額（線索：媒體稱人民幣 </t>
    </r>
    <r>
      <rPr>
        <sz val="10"/>
        <color rgb="FF000000"/>
        <rFont val="Arial"/>
        <family val="0"/>
        <charset val="1"/>
      </rPr>
      <t xml:space="preserve">272.31 </t>
    </r>
    <r>
      <rPr>
        <sz val="10"/>
        <color rgb="FF000000"/>
        <rFont val="Noto Sans CJK SC"/>
        <family val="2"/>
      </rPr>
      <t xml:space="preserve">億）</t>
    </r>
  </si>
  <si>
    <t xml:space="preserve">2026-07</t>
  </si>
  <si>
    <r>
      <rPr>
        <sz val="10"/>
        <color rgb="FF000000"/>
        <rFont val="Noto Sans CJK SC"/>
        <family val="2"/>
      </rPr>
      <t xml:space="preserve">未核得（見 </t>
    </r>
    <r>
      <rPr>
        <sz val="10"/>
        <color rgb="FF000000"/>
        <rFont val="Arial"/>
        <family val="0"/>
        <charset val="1"/>
      </rPr>
      <t xml:space="preserve">not_found</t>
    </r>
    <r>
      <rPr>
        <sz val="10"/>
        <color rgb="FF000000"/>
        <rFont val="Noto Sans CJK SC"/>
        <family val="2"/>
      </rPr>
      <t xml:space="preserve">）</t>
    </r>
  </si>
  <si>
    <t xml:space="preserve">公告只有港幣</t>
  </si>
  <si>
    <r>
      <rPr>
        <sz val="10"/>
        <color rgb="FF000000"/>
        <rFont val="Noto Sans CJK SC"/>
        <family val="2"/>
      </rPr>
      <t xml:space="preserve">公告總額 </t>
    </r>
    <r>
      <rPr>
        <sz val="10"/>
        <color rgb="FF000000"/>
        <rFont val="Arial"/>
        <family val="0"/>
        <charset val="1"/>
      </rPr>
      <t xml:space="preserve">314.11 </t>
    </r>
    <r>
      <rPr>
        <sz val="10"/>
        <color rgb="FF000000"/>
        <rFont val="Noto Sans CJK SC"/>
        <family val="2"/>
      </rPr>
      <t xml:space="preserve">億、淨額 </t>
    </r>
    <r>
      <rPr>
        <sz val="10"/>
        <color rgb="FF000000"/>
        <rFont val="Arial"/>
        <family val="0"/>
        <charset val="1"/>
      </rPr>
      <t xml:space="preserve">313.75 </t>
    </r>
    <r>
      <rPr>
        <sz val="10"/>
        <color rgb="FF000000"/>
        <rFont val="Noto Sans CJK SC"/>
        <family val="2"/>
      </rPr>
      <t xml:space="preserve">億，均為港幣；</t>
    </r>
    <r>
      <rPr>
        <sz val="10"/>
        <color rgb="FF000000"/>
        <rFont val="Arial"/>
        <family val="0"/>
        <charset val="1"/>
      </rPr>
      <t xml:space="preserve">272.31 </t>
    </r>
    <r>
      <rPr>
        <sz val="10"/>
        <color rgb="FF000000"/>
        <rFont val="Noto Sans CJK SC"/>
        <family val="2"/>
      </rPr>
      <t xml:space="preserve">億無原文可核，不登錄數值</t>
    </r>
  </si>
  <si>
    <t xml:space="preserve">SRC_ZP_538</t>
  </si>
  <si>
    <t xml:space="preserve">placing1_usd_media</t>
  </si>
  <si>
    <r>
      <rPr>
        <sz val="10"/>
        <color rgb="FF000000"/>
        <rFont val="Arial"/>
        <family val="0"/>
        <charset val="1"/>
      </rPr>
      <t xml:space="preserve">2026-07 </t>
    </r>
    <r>
      <rPr>
        <sz val="10"/>
        <color rgb="FF000000"/>
        <rFont val="Noto Sans CJK SC"/>
        <family val="2"/>
      </rPr>
      <t xml:space="preserve">配售規模（媒體美元口徑）</t>
    </r>
  </si>
  <si>
    <r>
      <rPr>
        <sz val="10"/>
        <color rgb="FF000000"/>
        <rFont val="Arial"/>
        <family val="0"/>
        <charset val="1"/>
      </rPr>
      <t xml:space="preserve">The Standard</t>
    </r>
    <r>
      <rPr>
        <sz val="10"/>
        <color rgb="FF000000"/>
        <rFont val="Noto Sans CJK SC"/>
        <family val="2"/>
      </rPr>
      <t xml:space="preserve">（</t>
    </r>
    <r>
      <rPr>
        <sz val="10"/>
        <color rgb="FF000000"/>
        <rFont val="Arial"/>
        <family val="0"/>
        <charset val="1"/>
      </rPr>
      <t xml:space="preserve">term sheet</t>
    </r>
    <r>
      <rPr>
        <sz val="10"/>
        <color rgb="FF000000"/>
        <rFont val="Noto Sans CJK SC"/>
        <family val="2"/>
      </rPr>
      <t xml:space="preserve">）</t>
    </r>
  </si>
  <si>
    <t xml:space="preserve">https://www.thestandard.com.hk/finance/article/336723/Chinas-Zhipu-AI-launches-US4-billion-Hong-Kong-shares-offering-term-sheet-shows</t>
  </si>
  <si>
    <r>
      <rPr>
        <sz val="10"/>
        <color rgb="FF000000"/>
        <rFont val="Noto Sans CJK SC"/>
        <family val="2"/>
      </rPr>
      <t xml:space="preserve">媒體引述 </t>
    </r>
    <r>
      <rPr>
        <sz val="10"/>
        <color rgb="FF000000"/>
        <rFont val="Arial"/>
        <family val="0"/>
        <charset val="1"/>
      </rPr>
      <t xml:space="preserve">term sheet</t>
    </r>
    <r>
      <rPr>
        <sz val="10"/>
        <color rgb="FF000000"/>
        <rFont val="Noto Sans CJK SC"/>
        <family val="2"/>
      </rPr>
      <t xml:space="preserve">（承銷方資料）</t>
    </r>
  </si>
  <si>
    <t xml:space="preserve">媒體</t>
  </si>
  <si>
    <r>
      <rPr>
        <sz val="10"/>
        <color rgb="FF000000"/>
        <rFont val="Noto Sans CJK SC"/>
        <family val="2"/>
      </rPr>
      <t xml:space="preserve">「</t>
    </r>
    <r>
      <rPr>
        <sz val="10"/>
        <color rgb="FF000000"/>
        <rFont val="Arial"/>
        <family val="0"/>
        <charset val="1"/>
      </rPr>
      <t xml:space="preserve">around US$4 billion(HK$31.2 billion)</t>
    </r>
    <r>
      <rPr>
        <sz val="10"/>
        <color rgb="FF000000"/>
        <rFont val="Noto Sans CJK SC"/>
        <family val="2"/>
      </rPr>
      <t xml:space="preserve">」；價格區間 </t>
    </r>
    <r>
      <rPr>
        <sz val="10"/>
        <color rgb="FF000000"/>
        <rFont val="Arial"/>
        <family val="0"/>
        <charset val="1"/>
      </rPr>
      <t xml:space="preserve">1,588–1,698</t>
    </r>
  </si>
  <si>
    <t xml:space="preserve">SRC_ZP_539</t>
  </si>
  <si>
    <t xml:space="preserve">placing1_use_rd</t>
  </si>
  <si>
    <r>
      <rPr>
        <sz val="10"/>
        <color rgb="FF000000"/>
        <rFont val="Arial"/>
        <family val="0"/>
        <charset val="1"/>
      </rPr>
      <t xml:space="preserve">2026-07 </t>
    </r>
    <r>
      <rPr>
        <sz val="10"/>
        <color rgb="FF000000"/>
        <rFont val="Noto Sans CJK SC"/>
        <family val="2"/>
      </rPr>
      <t xml:space="preserve">配售用途：</t>
    </r>
    <r>
      <rPr>
        <sz val="10"/>
        <color rgb="FF000000"/>
        <rFont val="Arial"/>
        <family val="0"/>
        <charset val="1"/>
      </rPr>
      <t xml:space="preserve">AI </t>
    </r>
    <r>
      <rPr>
        <sz val="10"/>
        <color rgb="FF000000"/>
        <rFont val="Noto Sans CJK SC"/>
        <family val="2"/>
      </rPr>
      <t xml:space="preserve">研發（含模型、人才、算力）</t>
    </r>
  </si>
  <si>
    <r>
      <rPr>
        <sz val="10"/>
        <color rgb="FF000000"/>
        <rFont val="Noto Sans CJK SC"/>
        <family val="2"/>
      </rPr>
      <t xml:space="preserve">研發 </t>
    </r>
    <r>
      <rPr>
        <sz val="10"/>
        <color rgb="FF000000"/>
        <rFont val="Arial"/>
        <family val="0"/>
        <charset val="1"/>
      </rPr>
      <t xml:space="preserve">55%</t>
    </r>
    <r>
      <rPr>
        <sz val="10"/>
        <color rgb="FF000000"/>
        <rFont val="Noto Sans CJK SC"/>
        <family val="2"/>
      </rPr>
      <t xml:space="preserve">、業務擴張／戰投／併購 </t>
    </r>
    <r>
      <rPr>
        <sz val="10"/>
        <color rgb="FF000000"/>
        <rFont val="Arial"/>
        <family val="0"/>
        <charset val="1"/>
      </rPr>
      <t xml:space="preserve">15%</t>
    </r>
    <r>
      <rPr>
        <sz val="10"/>
        <color rgb="FF000000"/>
        <rFont val="Noto Sans CJK SC"/>
        <family val="2"/>
      </rPr>
      <t xml:space="preserve">、資本結構與營運資金 </t>
    </r>
    <r>
      <rPr>
        <sz val="10"/>
        <color rgb="FF000000"/>
        <rFont val="Arial"/>
        <family val="0"/>
        <charset val="1"/>
      </rPr>
      <t xml:space="preserve">30%</t>
    </r>
    <r>
      <rPr>
        <sz val="10"/>
        <color rgb="FF000000"/>
        <rFont val="Noto Sans CJK SC"/>
        <family val="2"/>
      </rPr>
      <t xml:space="preserve">；預計 </t>
    </r>
    <r>
      <rPr>
        <sz val="10"/>
        <color rgb="FF000000"/>
        <rFont val="Arial"/>
        <family val="0"/>
        <charset val="1"/>
      </rPr>
      <t xml:space="preserve">2027 </t>
    </r>
    <r>
      <rPr>
        <sz val="10"/>
        <color rgb="FF000000"/>
        <rFont val="Noto Sans CJK SC"/>
        <family val="2"/>
      </rPr>
      <t xml:space="preserve">年底前用畢</t>
    </r>
  </si>
  <si>
    <t xml:space="preserve">SRC_ZP_540</t>
  </si>
  <si>
    <t xml:space="preserve">placing1_utilised_0831</t>
  </si>
  <si>
    <r>
      <rPr>
        <sz val="10"/>
        <color rgb="FF000000"/>
        <rFont val="Arial"/>
        <family val="0"/>
        <charset val="1"/>
      </rPr>
      <t xml:space="preserve">2026-07 </t>
    </r>
    <r>
      <rPr>
        <sz val="10"/>
        <color rgb="FF000000"/>
        <rFont val="Noto Sans CJK SC"/>
        <family val="2"/>
      </rPr>
      <t xml:space="preserve">配售款截至 </t>
    </r>
    <r>
      <rPr>
        <sz val="10"/>
        <color rgb="FF000000"/>
        <rFont val="Arial"/>
        <family val="0"/>
        <charset val="1"/>
      </rPr>
      <t xml:space="preserve">2026-08-31 </t>
    </r>
    <r>
      <rPr>
        <sz val="10"/>
        <color rgb="FF000000"/>
        <rFont val="Noto Sans CJK SC"/>
        <family val="2"/>
      </rPr>
      <t xml:space="preserve">已動用</t>
    </r>
  </si>
  <si>
    <r>
      <rPr>
        <sz val="10"/>
        <color rgb="FF000000"/>
        <rFont val="Noto Sans CJK SC"/>
        <family val="2"/>
      </rPr>
      <t xml:space="preserve">已動用約 </t>
    </r>
    <r>
      <rPr>
        <sz val="10"/>
        <color rgb="FF000000"/>
        <rFont val="Arial"/>
        <family val="0"/>
        <charset val="1"/>
      </rPr>
      <t xml:space="preserve">10,954.80 </t>
    </r>
    <r>
      <rPr>
        <sz val="10"/>
        <color rgb="FF000000"/>
        <rFont val="Noto Sans CJK SC"/>
        <family val="2"/>
      </rPr>
      <t xml:space="preserve">百萬港元（</t>
    </r>
    <r>
      <rPr>
        <sz val="10"/>
        <color rgb="FF000000"/>
        <rFont val="Arial"/>
        <family val="0"/>
        <charset val="1"/>
      </rPr>
      <t xml:space="preserve">34.92%</t>
    </r>
    <r>
      <rPr>
        <sz val="10"/>
        <color rgb="FF000000"/>
        <rFont val="Noto Sans CJK SC"/>
        <family val="2"/>
      </rPr>
      <t xml:space="preserve">），未動用約 </t>
    </r>
    <r>
      <rPr>
        <sz val="10"/>
        <color rgb="FF000000"/>
        <rFont val="Arial"/>
        <family val="0"/>
        <charset val="1"/>
      </rPr>
      <t xml:space="preserve">20,420.15 </t>
    </r>
    <r>
      <rPr>
        <sz val="10"/>
        <color rgb="FF000000"/>
        <rFont val="Noto Sans CJK SC"/>
        <family val="2"/>
      </rPr>
      <t xml:space="preserve">百萬港元</t>
    </r>
  </si>
  <si>
    <t xml:space="preserve">SRC_ZP_541</t>
  </si>
  <si>
    <t xml:space="preserve">placing2_price</t>
  </si>
  <si>
    <r>
      <rPr>
        <sz val="10"/>
        <color rgb="FF000000"/>
        <rFont val="Arial"/>
        <family val="0"/>
        <charset val="1"/>
      </rPr>
      <t xml:space="preserve">2026-09 </t>
    </r>
    <r>
      <rPr>
        <sz val="10"/>
        <color rgb="FF000000"/>
        <rFont val="Noto Sans CJK SC"/>
        <family val="2"/>
      </rPr>
      <t xml:space="preserve">配售價</t>
    </r>
  </si>
  <si>
    <t xml:space="preserve">2026-09-12</t>
  </si>
  <si>
    <r>
      <rPr>
        <sz val="10"/>
        <color rgb="FF000000"/>
        <rFont val="Noto Sans CJK SC"/>
        <family val="2"/>
      </rPr>
      <t xml:space="preserve">較 </t>
    </r>
    <r>
      <rPr>
        <sz val="10"/>
        <color rgb="FF000000"/>
        <rFont val="Arial"/>
        <family val="0"/>
        <charset val="1"/>
      </rPr>
      <t xml:space="preserve">9-11 </t>
    </r>
    <r>
      <rPr>
        <sz val="10"/>
        <color rgb="FF000000"/>
        <rFont val="Noto Sans CJK SC"/>
        <family val="2"/>
      </rPr>
      <t xml:space="preserve">收盤 </t>
    </r>
    <r>
      <rPr>
        <sz val="10"/>
        <color rgb="FF000000"/>
        <rFont val="Arial"/>
        <family val="0"/>
        <charset val="1"/>
      </rPr>
      <t xml:space="preserve">793.00 </t>
    </r>
    <r>
      <rPr>
        <sz val="10"/>
        <color rgb="FF000000"/>
        <rFont val="Noto Sans CJK SC"/>
        <family val="2"/>
      </rPr>
      <t xml:space="preserve">港元折讓約 </t>
    </r>
    <r>
      <rPr>
        <sz val="10"/>
        <color rgb="FF000000"/>
        <rFont val="Arial"/>
        <family val="0"/>
        <charset val="1"/>
      </rPr>
      <t xml:space="preserve">9.96%</t>
    </r>
    <r>
      <rPr>
        <sz val="10"/>
        <color rgb="FF000000"/>
        <rFont val="Noto Sans CJK SC"/>
        <family val="2"/>
      </rPr>
      <t xml:space="preserve">；較 </t>
    </r>
    <r>
      <rPr>
        <sz val="10"/>
        <color rgb="FF000000"/>
        <rFont val="Arial"/>
        <family val="0"/>
        <charset val="1"/>
      </rPr>
      <t xml:space="preserve">5 </t>
    </r>
    <r>
      <rPr>
        <sz val="10"/>
        <color rgb="FF000000"/>
        <rFont val="Noto Sans CJK SC"/>
        <family val="2"/>
      </rPr>
      <t xml:space="preserve">日均價 </t>
    </r>
    <r>
      <rPr>
        <sz val="10"/>
        <color rgb="FF000000"/>
        <rFont val="Arial"/>
        <family val="0"/>
        <charset val="1"/>
      </rPr>
      <t xml:space="preserve">891.90 </t>
    </r>
    <r>
      <rPr>
        <sz val="10"/>
        <color rgb="FF000000"/>
        <rFont val="Noto Sans CJK SC"/>
        <family val="2"/>
      </rPr>
      <t xml:space="preserve">折讓 </t>
    </r>
    <r>
      <rPr>
        <sz val="10"/>
        <color rgb="FF000000"/>
        <rFont val="Arial"/>
        <family val="0"/>
        <charset val="1"/>
      </rPr>
      <t xml:space="preserve">19.95%</t>
    </r>
  </si>
  <si>
    <t xml:space="preserve">SRC_ZP_542</t>
  </si>
  <si>
    <t xml:space="preserve">placing2_shares</t>
  </si>
  <si>
    <r>
      <rPr>
        <sz val="10"/>
        <color rgb="FF000000"/>
        <rFont val="Arial"/>
        <family val="0"/>
        <charset val="1"/>
      </rPr>
      <t xml:space="preserve">2026-09 </t>
    </r>
    <r>
      <rPr>
        <sz val="10"/>
        <color rgb="FF000000"/>
        <rFont val="Noto Sans CJK SC"/>
        <family val="2"/>
      </rPr>
      <t xml:space="preserve">配售股數</t>
    </r>
  </si>
  <si>
    <r>
      <rPr>
        <sz val="10"/>
        <color rgb="FF000000"/>
        <rFont val="Noto Sans CJK SC"/>
        <family val="2"/>
      </rPr>
      <t xml:space="preserve">智譜 </t>
    </r>
    <r>
      <rPr>
        <sz val="10"/>
        <color rgb="FF000000"/>
        <rFont val="Arial"/>
        <family val="0"/>
        <charset val="1"/>
      </rPr>
      <t xml:space="preserve">2026-09-13 </t>
    </r>
    <r>
      <rPr>
        <sz val="10"/>
        <color rgb="FF000000"/>
        <rFont val="Noto Sans CJK SC"/>
        <family val="2"/>
      </rPr>
      <t xml:space="preserve">公告；騰訊新聞（完成公告轉述）</t>
    </r>
  </si>
  <si>
    <t xml:space="preserve">https://news.qq.com/rain/a/20260918A09O8G00?id=20260918A09O8G00&amp;path=a&amp;app=news&amp;suid=&amp;redirect_pc=1</t>
  </si>
  <si>
    <t xml:space="preserve">2026-09-18</t>
  </si>
  <si>
    <t xml:space="preserve">公司公告（媒體轉述完成）</t>
  </si>
  <si>
    <r>
      <rPr>
        <sz val="10"/>
        <color rgb="FF000000"/>
        <rFont val="Noto Sans CJK SC"/>
        <family val="2"/>
      </rPr>
      <t xml:space="preserve">「</t>
    </r>
    <r>
      <rPr>
        <sz val="10"/>
        <color rgb="FF000000"/>
        <rFont val="Arial"/>
        <family val="0"/>
        <charset val="1"/>
      </rPr>
      <t xml:space="preserve">2196.5</t>
    </r>
    <r>
      <rPr>
        <sz val="10"/>
        <color rgb="FF000000"/>
        <rFont val="Noto Sans CJK SC"/>
        <family val="2"/>
      </rPr>
      <t xml:space="preserve">萬股新</t>
    </r>
    <r>
      <rPr>
        <sz val="10"/>
        <color rgb="FF000000"/>
        <rFont val="Arial"/>
        <family val="0"/>
        <charset val="1"/>
      </rPr>
      <t xml:space="preserve">H</t>
    </r>
    <r>
      <rPr>
        <sz val="10"/>
        <color rgb="FF000000"/>
        <rFont val="Noto Sans CJK SC"/>
        <family val="2"/>
      </rPr>
      <t xml:space="preserve">股」，</t>
    </r>
    <r>
      <rPr>
        <sz val="10"/>
        <color rgb="FF000000"/>
        <rFont val="Arial"/>
        <family val="0"/>
        <charset val="1"/>
      </rPr>
      <t xml:space="preserve">2026-09-16 </t>
    </r>
    <r>
      <rPr>
        <sz val="10"/>
        <color rgb="FF000000"/>
        <rFont val="Noto Sans CJK SC"/>
        <family val="2"/>
      </rPr>
      <t xml:space="preserve">完成，占擴大後約 </t>
    </r>
    <r>
      <rPr>
        <sz val="10"/>
        <color rgb="FF000000"/>
        <rFont val="Arial"/>
        <family val="0"/>
        <charset val="1"/>
      </rPr>
      <t xml:space="preserve">4.50%</t>
    </r>
  </si>
  <si>
    <t xml:space="preserve">SRC_ZP_543</t>
  </si>
  <si>
    <t xml:space="preserve">placing2_gross</t>
  </si>
  <si>
    <r>
      <rPr>
        <sz val="10"/>
        <color rgb="FF000000"/>
        <rFont val="Arial"/>
        <family val="0"/>
        <charset val="1"/>
      </rPr>
      <t xml:space="preserve">2026-09 </t>
    </r>
    <r>
      <rPr>
        <sz val="10"/>
        <color rgb="FF000000"/>
        <rFont val="Noto Sans CJK SC"/>
        <family val="2"/>
      </rPr>
      <t xml:space="preserve">配售所得款項總額</t>
    </r>
  </si>
  <si>
    <r>
      <rPr>
        <sz val="10"/>
        <color rgb="FF000000"/>
        <rFont val="Noto Sans CJK SC"/>
        <family val="2"/>
      </rPr>
      <t xml:space="preserve">總額約 </t>
    </r>
    <r>
      <rPr>
        <sz val="10"/>
        <color rgb="FF000000"/>
        <rFont val="Arial"/>
        <family val="0"/>
        <charset val="1"/>
      </rPr>
      <t xml:space="preserve">15,683.01 </t>
    </r>
    <r>
      <rPr>
        <sz val="10"/>
        <color rgb="FF000000"/>
        <rFont val="Noto Sans CJK SC"/>
        <family val="2"/>
      </rPr>
      <t xml:space="preserve">百萬港元；</t>
    </r>
    <r>
      <rPr>
        <sz val="10"/>
        <color rgb="FF000000"/>
        <rFont val="Arial"/>
        <family val="0"/>
        <charset val="1"/>
      </rPr>
      <t xml:space="preserve">714×21,965,000 </t>
    </r>
    <r>
      <rPr>
        <sz val="10"/>
        <color rgb="FF000000"/>
        <rFont val="Noto Sans CJK SC"/>
        <family val="2"/>
      </rPr>
      <t xml:space="preserve">吻合</t>
    </r>
  </si>
  <si>
    <t xml:space="preserve">SRC_ZP_544</t>
  </si>
  <si>
    <t xml:space="preserve">placing2_net</t>
  </si>
  <si>
    <r>
      <rPr>
        <sz val="10"/>
        <color rgb="FF000000"/>
        <rFont val="Arial"/>
        <family val="0"/>
        <charset val="1"/>
      </rPr>
      <t xml:space="preserve">2026-09 </t>
    </r>
    <r>
      <rPr>
        <sz val="10"/>
        <color rgb="FF000000"/>
        <rFont val="Noto Sans CJK SC"/>
        <family val="2"/>
      </rPr>
      <t xml:space="preserve">配售所得款項淨額</t>
    </r>
  </si>
  <si>
    <r>
      <rPr>
        <sz val="10"/>
        <color rgb="FF000000"/>
        <rFont val="Noto Sans CJK SC"/>
        <family val="2"/>
      </rPr>
      <t xml:space="preserve">淨額約 </t>
    </r>
    <r>
      <rPr>
        <sz val="10"/>
        <color rgb="FF000000"/>
        <rFont val="Arial"/>
        <family val="0"/>
        <charset val="1"/>
      </rPr>
      <t xml:space="preserve">15,664.13 </t>
    </r>
    <r>
      <rPr>
        <sz val="10"/>
        <color rgb="FF000000"/>
        <rFont val="Noto Sans CJK SC"/>
        <family val="2"/>
      </rPr>
      <t xml:space="preserve">百萬港元；完成公告「約</t>
    </r>
    <r>
      <rPr>
        <sz val="10"/>
        <color rgb="FF000000"/>
        <rFont val="Arial"/>
        <family val="0"/>
        <charset val="1"/>
      </rPr>
      <t xml:space="preserve">156.64</t>
    </r>
    <r>
      <rPr>
        <sz val="10"/>
        <color rgb="FF000000"/>
        <rFont val="Noto Sans CJK SC"/>
        <family val="2"/>
      </rPr>
      <t xml:space="preserve">億港元」一致</t>
    </r>
  </si>
  <si>
    <t xml:space="preserve">SRC_ZP_545</t>
  </si>
  <si>
    <t xml:space="preserve">cb_principal</t>
  </si>
  <si>
    <r>
      <rPr>
        <sz val="10"/>
        <color rgb="FF000000"/>
        <rFont val="Arial"/>
        <family val="0"/>
        <charset val="1"/>
      </rPr>
      <t xml:space="preserve">2027 </t>
    </r>
    <r>
      <rPr>
        <sz val="10"/>
        <color rgb="FF000000"/>
        <rFont val="Noto Sans CJK SC"/>
        <family val="2"/>
      </rPr>
      <t xml:space="preserve">年到期美元結算零息可換股債券本金</t>
    </r>
  </si>
  <si>
    <r>
      <rPr>
        <sz val="10"/>
        <color rgb="FF000000"/>
        <rFont val="Arial"/>
        <family val="0"/>
        <charset val="1"/>
      </rPr>
      <t xml:space="preserve">2026-09-18 </t>
    </r>
    <r>
      <rPr>
        <sz val="10"/>
        <color rgb="FF000000"/>
        <rFont val="Noto Sans CJK SC"/>
        <family val="2"/>
      </rPr>
      <t xml:space="preserve">發行</t>
    </r>
  </si>
  <si>
    <r>
      <rPr>
        <sz val="10"/>
        <color rgb="FF000000"/>
        <rFont val="Noto Sans CJK SC"/>
        <family val="2"/>
      </rPr>
      <t xml:space="preserve">「本金總額為人民幣</t>
    </r>
    <r>
      <rPr>
        <sz val="10"/>
        <color rgb="FF000000"/>
        <rFont val="Arial"/>
        <family val="0"/>
        <charset val="1"/>
      </rPr>
      <t xml:space="preserve">201.4</t>
    </r>
    <r>
      <rPr>
        <sz val="10"/>
        <color rgb="FF000000"/>
        <rFont val="Noto Sans CJK SC"/>
        <family val="2"/>
      </rPr>
      <t xml:space="preserve">億元的債券」；人民幣計價、美元結算；發行價 </t>
    </r>
    <r>
      <rPr>
        <sz val="10"/>
        <color rgb="FF000000"/>
        <rFont val="Arial"/>
        <family val="0"/>
        <charset val="1"/>
      </rPr>
      <t xml:space="preserve">100.5%</t>
    </r>
  </si>
  <si>
    <t xml:space="preserve">SRC_ZP_546</t>
  </si>
  <si>
    <t xml:space="preserve">cb_gross_usd</t>
  </si>
  <si>
    <t xml:space="preserve">可換股債券所得款項總額</t>
  </si>
  <si>
    <r>
      <rPr>
        <sz val="10"/>
        <color rgb="FF000000"/>
        <rFont val="Noto Sans CJK SC"/>
        <family val="2"/>
      </rPr>
      <t xml:space="preserve">約 </t>
    </r>
    <r>
      <rPr>
        <sz val="10"/>
        <color rgb="FF000000"/>
        <rFont val="Arial"/>
        <family val="0"/>
        <charset val="1"/>
      </rPr>
      <t xml:space="preserve">3,015.64 </t>
    </r>
    <r>
      <rPr>
        <sz val="10"/>
        <color rgb="FF000000"/>
        <rFont val="Noto Sans CJK SC"/>
        <family val="2"/>
      </rPr>
      <t xml:space="preserve">百萬美元（約 </t>
    </r>
    <r>
      <rPr>
        <sz val="10"/>
        <color rgb="FF000000"/>
        <rFont val="Arial"/>
        <family val="0"/>
        <charset val="1"/>
      </rPr>
      <t xml:space="preserve">23,648.44 </t>
    </r>
    <r>
      <rPr>
        <sz val="10"/>
        <color rgb="FF000000"/>
        <rFont val="Noto Sans CJK SC"/>
        <family val="2"/>
      </rPr>
      <t xml:space="preserve">百萬港元）</t>
    </r>
  </si>
  <si>
    <t xml:space="preserve">SRC_ZP_547</t>
  </si>
  <si>
    <t xml:space="preserve">cb_net_usd</t>
  </si>
  <si>
    <t xml:space="preserve">可換股債券所得款項淨額</t>
  </si>
  <si>
    <r>
      <rPr>
        <sz val="10"/>
        <color rgb="FF000000"/>
        <rFont val="Noto Sans CJK SC"/>
        <family val="2"/>
      </rPr>
      <t xml:space="preserve">約 </t>
    </r>
    <r>
      <rPr>
        <sz val="10"/>
        <color rgb="FF000000"/>
        <rFont val="Arial"/>
        <family val="0"/>
        <charset val="1"/>
      </rPr>
      <t xml:space="preserve">3,010.77 </t>
    </r>
    <r>
      <rPr>
        <sz val="10"/>
        <color rgb="FF000000"/>
        <rFont val="Noto Sans CJK SC"/>
        <family val="2"/>
      </rPr>
      <t xml:space="preserve">百萬美元（約 </t>
    </r>
    <r>
      <rPr>
        <sz val="10"/>
        <color rgb="FF000000"/>
        <rFont val="Arial"/>
        <family val="0"/>
        <charset val="1"/>
      </rPr>
      <t xml:space="preserve">23,610.24 </t>
    </r>
    <r>
      <rPr>
        <sz val="10"/>
        <color rgb="FF000000"/>
        <rFont val="Noto Sans CJK SC"/>
        <family val="2"/>
      </rPr>
      <t xml:space="preserve">百萬港元）</t>
    </r>
  </si>
  <si>
    <t xml:space="preserve">SRC_ZP_548</t>
  </si>
  <si>
    <t xml:space="preserve">cb_conv_price</t>
  </si>
  <si>
    <t xml:space="preserve">可換股債券初始換股價</t>
  </si>
  <si>
    <r>
      <rPr>
        <sz val="10"/>
        <color rgb="FF000000"/>
        <rFont val="Noto Sans CJK SC"/>
        <family val="2"/>
      </rPr>
      <t xml:space="preserve">較 </t>
    </r>
    <r>
      <rPr>
        <sz val="10"/>
        <color rgb="FF000000"/>
        <rFont val="Arial"/>
        <family val="0"/>
        <charset val="1"/>
      </rPr>
      <t xml:space="preserve">793 </t>
    </r>
    <r>
      <rPr>
        <sz val="10"/>
        <color rgb="FF000000"/>
        <rFont val="Noto Sans CJK SC"/>
        <family val="2"/>
      </rPr>
      <t xml:space="preserve">溢價 </t>
    </r>
    <r>
      <rPr>
        <sz val="10"/>
        <color rgb="FF000000"/>
        <rFont val="Arial"/>
        <family val="0"/>
        <charset val="1"/>
      </rPr>
      <t xml:space="preserve">12.55%</t>
    </r>
    <r>
      <rPr>
        <sz val="10"/>
        <color rgb="FF000000"/>
        <rFont val="Noto Sans CJK SC"/>
        <family val="2"/>
      </rPr>
      <t xml:space="preserve">；換股期自 </t>
    </r>
    <r>
      <rPr>
        <sz val="10"/>
        <color rgb="FF000000"/>
        <rFont val="Arial"/>
        <family val="0"/>
        <charset val="1"/>
      </rPr>
      <t xml:space="preserve">2027-07-01</t>
    </r>
    <r>
      <rPr>
        <sz val="10"/>
        <color rgb="FF000000"/>
        <rFont val="Noto Sans CJK SC"/>
        <family val="2"/>
      </rPr>
      <t xml:space="preserve">；到期 </t>
    </r>
    <r>
      <rPr>
        <sz val="10"/>
        <color rgb="FF000000"/>
        <rFont val="Arial"/>
        <family val="0"/>
        <charset val="1"/>
      </rPr>
      <t xml:space="preserve">2027-09-16</t>
    </r>
    <r>
      <rPr>
        <sz val="10"/>
        <color rgb="FF000000"/>
        <rFont val="Noto Sans CJK SC"/>
        <family val="2"/>
      </rPr>
      <t xml:space="preserve">；票息 </t>
    </r>
    <r>
      <rPr>
        <sz val="10"/>
        <color rgb="FF000000"/>
        <rFont val="Arial"/>
        <family val="0"/>
        <charset val="1"/>
      </rPr>
      <t xml:space="preserve">0</t>
    </r>
  </si>
  <si>
    <t xml:space="preserve">SRC_ZP_549</t>
  </si>
  <si>
    <t xml:space="preserve">cb_conv_shares</t>
  </si>
  <si>
    <t xml:space="preserve">可換股債券初始換股股數</t>
  </si>
  <si>
    <r>
      <rPr>
        <sz val="10"/>
        <color rgb="FF000000"/>
        <rFont val="Noto Sans CJK SC"/>
        <family val="2"/>
      </rPr>
      <t xml:space="preserve">約占配售及轉換後 </t>
    </r>
    <r>
      <rPr>
        <sz val="10"/>
        <color rgb="FF000000"/>
        <rFont val="Arial"/>
        <family val="0"/>
        <charset val="1"/>
      </rPr>
      <t xml:space="preserve">5.36%</t>
    </r>
    <r>
      <rPr>
        <sz val="10"/>
        <color rgb="FF000000"/>
        <rFont val="Noto Sans CJK SC"/>
        <family val="2"/>
      </rPr>
      <t xml:space="preserve">；全面攤薄總股數 </t>
    </r>
    <r>
      <rPr>
        <sz val="10"/>
        <color rgb="FF000000"/>
        <rFont val="Arial"/>
        <family val="0"/>
        <charset val="1"/>
      </rPr>
      <t xml:space="preserve">513,953,116</t>
    </r>
  </si>
  <si>
    <t xml:space="preserve">SRC_ZP_550</t>
  </si>
  <si>
    <t xml:space="preserve">placing2_cb_use_rd</t>
  </si>
  <si>
    <r>
      <rPr>
        <sz val="10"/>
        <color rgb="FF000000"/>
        <rFont val="Arial"/>
        <family val="0"/>
        <charset val="1"/>
      </rPr>
      <t xml:space="preserve">2026-09 </t>
    </r>
    <r>
      <rPr>
        <sz val="10"/>
        <color rgb="FF000000"/>
        <rFont val="Noto Sans CJK SC"/>
        <family val="2"/>
      </rPr>
      <t xml:space="preserve">配售＋可轉債用途：</t>
    </r>
    <r>
      <rPr>
        <sz val="10"/>
        <color rgb="FF000000"/>
        <rFont val="Arial"/>
        <family val="0"/>
        <charset val="1"/>
      </rPr>
      <t xml:space="preserve">GLM </t>
    </r>
    <r>
      <rPr>
        <sz val="10"/>
        <color rgb="FF000000"/>
        <rFont val="Noto Sans CJK SC"/>
        <family val="2"/>
      </rPr>
      <t xml:space="preserve">研發、訓練推論、算力基建、人才</t>
    </r>
  </si>
  <si>
    <r>
      <rPr>
        <sz val="10"/>
        <color rgb="FF000000"/>
        <rFont val="Arial"/>
        <family val="0"/>
        <charset val="1"/>
      </rPr>
      <t xml:space="preserve">60% </t>
    </r>
    <r>
      <rPr>
        <sz val="10"/>
        <color rgb="FF000000"/>
        <rFont val="Noto Sans CJK SC"/>
        <family val="2"/>
      </rPr>
      <t xml:space="preserve">研發與算力、</t>
    </r>
    <r>
      <rPr>
        <sz val="10"/>
        <color rgb="FF000000"/>
        <rFont val="Arial"/>
        <family val="0"/>
        <charset val="1"/>
      </rPr>
      <t xml:space="preserve">15% </t>
    </r>
    <r>
      <rPr>
        <sz val="10"/>
        <color rgb="FF000000"/>
        <rFont val="Noto Sans CJK SC"/>
        <family val="2"/>
      </rPr>
      <t xml:space="preserve">擴張／戰投／併購、</t>
    </r>
    <r>
      <rPr>
        <sz val="10"/>
        <color rgb="FF000000"/>
        <rFont val="Arial"/>
        <family val="0"/>
        <charset val="1"/>
      </rPr>
      <t xml:space="preserve">25% </t>
    </r>
    <r>
      <rPr>
        <sz val="10"/>
        <color rgb="FF000000"/>
        <rFont val="Noto Sans CJK SC"/>
        <family val="2"/>
      </rPr>
      <t xml:space="preserve">資本結構與營運資金；</t>
    </r>
    <r>
      <rPr>
        <sz val="10"/>
        <color rgb="FF000000"/>
        <rFont val="Arial"/>
        <family val="0"/>
        <charset val="1"/>
      </rPr>
      <t xml:space="preserve">2028-06-30 </t>
    </r>
    <r>
      <rPr>
        <sz val="10"/>
        <color rgb="FF000000"/>
        <rFont val="Noto Sans CJK SC"/>
        <family val="2"/>
      </rPr>
      <t xml:space="preserve">前用畢</t>
    </r>
  </si>
  <si>
    <t xml:space="preserve">SRC_ZP_551</t>
  </si>
  <si>
    <t xml:space="preserve">placing2_cb_total_hkd</t>
  </si>
  <si>
    <r>
      <rPr>
        <sz val="10"/>
        <color rgb="FF000000"/>
        <rFont val="Arial"/>
        <family val="0"/>
        <charset val="1"/>
      </rPr>
      <t xml:space="preserve">2026-09 </t>
    </r>
    <r>
      <rPr>
        <sz val="10"/>
        <color rgb="FF000000"/>
        <rFont val="Noto Sans CJK SC"/>
        <family val="2"/>
      </rPr>
      <t xml:space="preserve">配售＋可轉債合計集資</t>
    </r>
  </si>
  <si>
    <r>
      <rPr>
        <sz val="10"/>
        <color rgb="FF000000"/>
        <rFont val="Noto Sans CJK SC"/>
        <family val="2"/>
      </rPr>
      <t xml:space="preserve">香港</t>
    </r>
    <r>
      <rPr>
        <sz val="10"/>
        <color rgb="FF000000"/>
        <rFont val="Arial"/>
        <family val="0"/>
        <charset val="1"/>
      </rPr>
      <t xml:space="preserve">01</t>
    </r>
  </si>
  <si>
    <r>
      <rPr>
        <sz val="10"/>
        <color rgb="FF000000"/>
        <rFont val="Arial"/>
        <family val="0"/>
        <charset val="1"/>
      </rPr>
      <t xml:space="preserve">https://global.hk01.com/</t>
    </r>
    <r>
      <rPr>
        <sz val="10"/>
        <color rgb="FF000000"/>
        <rFont val="Noto Sans CJK SC"/>
        <family val="2"/>
      </rPr>
      <t xml:space="preserve">财经快讯</t>
    </r>
    <r>
      <rPr>
        <sz val="10"/>
        <color rgb="FF000000"/>
        <rFont val="Arial"/>
        <family val="0"/>
        <charset val="1"/>
      </rPr>
      <t xml:space="preserve">/60389638/7</t>
    </r>
    <r>
      <rPr>
        <sz val="10"/>
        <color rgb="FF000000"/>
        <rFont val="Noto Sans CJK SC"/>
        <family val="2"/>
      </rPr>
      <t xml:space="preserve">月解禁抽水逾</t>
    </r>
    <r>
      <rPr>
        <sz val="10"/>
        <color rgb="FF000000"/>
        <rFont val="Arial"/>
        <family val="0"/>
        <charset val="1"/>
      </rPr>
      <t xml:space="preserve">310</t>
    </r>
    <r>
      <rPr>
        <sz val="10"/>
        <color rgb="FF000000"/>
        <rFont val="Noto Sans CJK SC"/>
        <family val="2"/>
      </rPr>
      <t xml:space="preserve">亿后</t>
    </r>
    <r>
      <rPr>
        <sz val="10"/>
        <color rgb="FF000000"/>
        <rFont val="Arial"/>
        <family val="0"/>
        <charset val="1"/>
      </rPr>
      <t xml:space="preserve">-</t>
    </r>
    <r>
      <rPr>
        <sz val="10"/>
        <color rgb="FF000000"/>
        <rFont val="Noto Sans CJK SC"/>
        <family val="2"/>
      </rPr>
      <t xml:space="preserve">智谱火速再配股兼发债</t>
    </r>
    <r>
      <rPr>
        <sz val="10"/>
        <color rgb="FF000000"/>
        <rFont val="Arial"/>
        <family val="0"/>
        <charset val="1"/>
      </rPr>
      <t xml:space="preserve">-</t>
    </r>
    <r>
      <rPr>
        <sz val="10"/>
        <color rgb="FF000000"/>
        <rFont val="Noto Sans CJK SC"/>
        <family val="2"/>
      </rPr>
      <t xml:space="preserve">合共筹</t>
    </r>
    <r>
      <rPr>
        <sz val="10"/>
        <color rgb="FF000000"/>
        <rFont val="Arial"/>
        <family val="0"/>
        <charset val="1"/>
      </rPr>
      <t xml:space="preserve">393</t>
    </r>
    <r>
      <rPr>
        <sz val="10"/>
        <color rgb="FF000000"/>
        <rFont val="Noto Sans CJK SC"/>
        <family val="2"/>
      </rPr>
      <t xml:space="preserve">亿</t>
    </r>
  </si>
  <si>
    <t xml:space="preserve">媒體加總（總額口徑）</t>
  </si>
  <si>
    <r>
      <rPr>
        <sz val="10"/>
        <color rgb="FF000000"/>
        <rFont val="Noto Sans CJK SC"/>
        <family val="2"/>
      </rPr>
      <t xml:space="preserve">「約</t>
    </r>
    <r>
      <rPr>
        <sz val="10"/>
        <color rgb="FF000000"/>
        <rFont val="Arial"/>
        <family val="0"/>
        <charset val="1"/>
      </rPr>
      <t xml:space="preserve">393.31</t>
    </r>
    <r>
      <rPr>
        <sz val="10"/>
        <color rgb="FF000000"/>
        <rFont val="Noto Sans CJK SC"/>
        <family val="2"/>
      </rPr>
      <t xml:space="preserve">億港元」＝</t>
    </r>
    <r>
      <rPr>
        <sz val="10"/>
        <color rgb="FF000000"/>
        <rFont val="Arial"/>
        <family val="0"/>
        <charset val="1"/>
      </rPr>
      <t xml:space="preserve">156.83</t>
    </r>
    <r>
      <rPr>
        <sz val="10"/>
        <color rgb="FF000000"/>
        <rFont val="Noto Sans CJK SC"/>
        <family val="2"/>
      </rPr>
      <t xml:space="preserve">＋</t>
    </r>
    <r>
      <rPr>
        <sz val="10"/>
        <color rgb="FF000000"/>
        <rFont val="Arial"/>
        <family val="0"/>
        <charset val="1"/>
      </rPr>
      <t xml:space="preserve">236.48</t>
    </r>
    <r>
      <rPr>
        <sz val="10"/>
        <color rgb="FF000000"/>
        <rFont val="Noto Sans CJK SC"/>
        <family val="2"/>
      </rPr>
      <t xml:space="preserve">；公司電話會稱「約</t>
    </r>
    <r>
      <rPr>
        <sz val="10"/>
        <color rgb="FF000000"/>
        <rFont val="Arial"/>
        <family val="0"/>
        <charset val="1"/>
      </rPr>
      <t xml:space="preserve">50</t>
    </r>
    <r>
      <rPr>
        <sz val="10"/>
        <color rgb="FF000000"/>
        <rFont val="Noto Sans CJK SC"/>
        <family val="2"/>
      </rPr>
      <t xml:space="preserve">億美元」</t>
    </r>
  </si>
  <si>
    <t xml:space="preserve">SRC_ZP_552</t>
  </si>
  <si>
    <t xml:space="preserve">bank_loans_1h26_cm</t>
  </si>
  <si>
    <t xml:space="preserve">銀行貸款總額</t>
  </si>
  <si>
    <r>
      <rPr>
        <sz val="10"/>
        <color rgb="FF000000"/>
        <rFont val="Arial"/>
        <family val="0"/>
        <charset val="1"/>
      </rPr>
      <t xml:space="preserve">RMB </t>
    </r>
    <r>
      <rPr>
        <sz val="10"/>
        <color rgb="FF000000"/>
        <rFont val="Noto Sans CJK SC"/>
        <family val="2"/>
      </rPr>
      <t xml:space="preserve">百萬</t>
    </r>
  </si>
  <si>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中期業績公告</t>
    </r>
  </si>
  <si>
    <t xml:space="preserve">https://www.hkexnews.hk/listedco/listconews/sehk/2026/0831/2026083101540_c.pdf</t>
  </si>
  <si>
    <t xml:space="preserve">未經審計（已審閱）</t>
  </si>
  <si>
    <r>
      <rPr>
        <sz val="10"/>
        <color rgb="FF000000"/>
        <rFont val="Noto Sans CJK SC"/>
        <family val="2"/>
      </rPr>
      <t xml:space="preserve">「銀行貸款總額為人民幣</t>
    </r>
    <r>
      <rPr>
        <sz val="10"/>
        <color rgb="FF000000"/>
        <rFont val="Arial"/>
        <family val="0"/>
        <charset val="1"/>
      </rPr>
      <t xml:space="preserve">2,224.8</t>
    </r>
    <r>
      <rPr>
        <sz val="10"/>
        <color rgb="FF000000"/>
        <rFont val="Noto Sans CJK SC"/>
        <family val="2"/>
      </rPr>
      <t xml:space="preserve">百萬元」；帶息、主要人民幣、無擔保</t>
    </r>
  </si>
  <si>
    <t xml:space="preserve">SRC_ZP_553</t>
  </si>
  <si>
    <t xml:space="preserve">bank_loans_fy25_cm</t>
  </si>
  <si>
    <t xml:space="preserve">經審計（比較數）</t>
  </si>
  <si>
    <r>
      <rPr>
        <sz val="10"/>
        <color rgb="FF000000"/>
        <rFont val="Arial"/>
        <family val="0"/>
        <charset val="1"/>
      </rPr>
      <t xml:space="preserve">2025-12-31 </t>
    </r>
    <r>
      <rPr>
        <sz val="10"/>
        <color rgb="FF000000"/>
        <rFont val="Noto Sans CJK SC"/>
        <family val="2"/>
      </rPr>
      <t xml:space="preserve">為人民幣 </t>
    </r>
    <r>
      <rPr>
        <sz val="10"/>
        <color rgb="FF000000"/>
        <rFont val="Arial"/>
        <family val="0"/>
        <charset val="1"/>
      </rPr>
      <t xml:space="preserve">689.5 </t>
    </r>
    <r>
      <rPr>
        <sz val="10"/>
        <color rgb="FF000000"/>
        <rFont val="Noto Sans CJK SC"/>
        <family val="2"/>
      </rPr>
      <t xml:space="preserve">百萬元</t>
    </r>
  </si>
  <si>
    <t xml:space="preserve">SRC_ZP_554</t>
  </si>
  <si>
    <t xml:space="preserve">gearing_1h26</t>
  </si>
  <si>
    <r>
      <rPr>
        <sz val="10"/>
        <color rgb="FF000000"/>
        <rFont val="Noto Sans CJK SC"/>
        <family val="2"/>
      </rPr>
      <t xml:space="preserve">資本負債比率（銀行貸款＋租賃負債）</t>
    </r>
    <r>
      <rPr>
        <sz val="10"/>
        <color rgb="FF000000"/>
        <rFont val="Arial"/>
        <family val="0"/>
        <charset val="1"/>
      </rPr>
      <t xml:space="preserve">÷</t>
    </r>
    <r>
      <rPr>
        <sz val="10"/>
        <color rgb="FF000000"/>
        <rFont val="Noto Sans CJK SC"/>
        <family val="2"/>
      </rPr>
      <t xml:space="preserve">權益</t>
    </r>
  </si>
  <si>
    <r>
      <rPr>
        <sz val="10"/>
        <color rgb="FF000000"/>
        <rFont val="Noto Sans CJK SC"/>
        <family val="2"/>
      </rPr>
      <t xml:space="preserve">權益 </t>
    </r>
    <r>
      <rPr>
        <sz val="10"/>
        <color rgb="FF000000"/>
        <rFont val="Arial"/>
        <family val="0"/>
        <charset val="1"/>
      </rPr>
      <t xml:space="preserve">2026-06-30 </t>
    </r>
    <r>
      <rPr>
        <sz val="10"/>
        <color rgb="FF000000"/>
        <rFont val="Noto Sans CJK SC"/>
        <family val="2"/>
      </rPr>
      <t xml:space="preserve">人民幣 </t>
    </r>
    <r>
      <rPr>
        <sz val="10"/>
        <color rgb="FF000000"/>
        <rFont val="Arial"/>
        <family val="0"/>
        <charset val="1"/>
      </rPr>
      <t xml:space="preserve">4,429.6 </t>
    </r>
    <r>
      <rPr>
        <sz val="10"/>
        <color rgb="FF000000"/>
        <rFont val="Noto Sans CJK SC"/>
        <family val="2"/>
      </rPr>
      <t xml:space="preserve">百萬元（</t>
    </r>
    <r>
      <rPr>
        <sz val="10"/>
        <color rgb="FF000000"/>
        <rFont val="Arial"/>
        <family val="0"/>
        <charset val="1"/>
      </rPr>
      <t xml:space="preserve">2025 </t>
    </r>
    <r>
      <rPr>
        <sz val="10"/>
        <color rgb="FF000000"/>
        <rFont val="Noto Sans CJK SC"/>
        <family val="2"/>
      </rPr>
      <t xml:space="preserve">年末 </t>
    </r>
    <r>
      <rPr>
        <sz val="10"/>
        <color rgb="FF000000"/>
        <rFont val="Arial"/>
        <family val="0"/>
        <charset val="1"/>
      </rPr>
      <t xml:space="preserve">-8,111.0</t>
    </r>
    <r>
      <rPr>
        <sz val="10"/>
        <color rgb="FF000000"/>
        <rFont val="Noto Sans CJK SC"/>
        <family val="2"/>
      </rPr>
      <t xml:space="preserve">）</t>
    </r>
  </si>
  <si>
    <t xml:space="preserve">SRC_ZP_555</t>
  </si>
  <si>
    <t xml:space="preserve">ma_hongzuan_consideration</t>
  </si>
  <si>
    <r>
      <rPr>
        <sz val="10"/>
        <color rgb="FF000000"/>
        <rFont val="Noto Sans CJK SC"/>
        <family val="2"/>
      </rPr>
      <t xml:space="preserve">收購北京紅鑽 </t>
    </r>
    <r>
      <rPr>
        <sz val="10"/>
        <color rgb="FF000000"/>
        <rFont val="Arial"/>
        <family val="0"/>
        <charset val="1"/>
      </rPr>
      <t xml:space="preserve">100% </t>
    </r>
    <r>
      <rPr>
        <sz val="10"/>
        <color rgb="FF000000"/>
        <rFont val="Noto Sans CJK SC"/>
        <family val="2"/>
      </rPr>
      <t xml:space="preserve">總代價（上限）</t>
    </r>
  </si>
  <si>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中期業績公告；投資界</t>
    </r>
  </si>
  <si>
    <r>
      <rPr>
        <sz val="10"/>
        <color rgb="FF000000"/>
        <rFont val="Noto Sans CJK SC"/>
        <family val="2"/>
      </rPr>
      <t xml:space="preserve">「以不超過人民幣</t>
    </r>
    <r>
      <rPr>
        <sz val="10"/>
        <color rgb="FF000000"/>
        <rFont val="Arial"/>
        <family val="0"/>
        <charset val="1"/>
      </rPr>
      <t xml:space="preserve">360.52</t>
    </r>
    <r>
      <rPr>
        <sz val="10"/>
        <color rgb="FF000000"/>
        <rFont val="Noto Sans CJK SC"/>
        <family val="2"/>
      </rPr>
      <t xml:space="preserve">百萬元的總代價收購北京紅鑽的</t>
    </r>
    <r>
      <rPr>
        <sz val="10"/>
        <color rgb="FF000000"/>
        <rFont val="Arial"/>
        <family val="0"/>
        <charset val="1"/>
      </rPr>
      <t xml:space="preserve">100%</t>
    </r>
    <r>
      <rPr>
        <sz val="10"/>
        <color rgb="FF000000"/>
        <rFont val="Noto Sans CJK SC"/>
        <family val="2"/>
      </rPr>
      <t xml:space="preserve">股權」；現金</t>
    </r>
  </si>
  <si>
    <t xml:space="preserve">SRC_ZP_556</t>
  </si>
  <si>
    <t xml:space="preserve">ma_hongzuan_equity_cash</t>
  </si>
  <si>
    <r>
      <rPr>
        <sz val="10"/>
        <color rgb="FF000000"/>
        <rFont val="Noto Sans CJK SC"/>
        <family val="2"/>
      </rPr>
      <t xml:space="preserve">北京紅鑽：股權現金對價（另承接債務約 </t>
    </r>
    <r>
      <rPr>
        <sz val="10"/>
        <color rgb="FF000000"/>
        <rFont val="Arial"/>
        <family val="0"/>
        <charset val="1"/>
      </rPr>
      <t xml:space="preserve">2.789 </t>
    </r>
    <r>
      <rPr>
        <sz val="10"/>
        <color rgb="FF000000"/>
        <rFont val="Noto Sans CJK SC"/>
        <family val="2"/>
      </rPr>
      <t xml:space="preserve">億元）</t>
    </r>
  </si>
  <si>
    <t xml:space="preserve">https://news.pedaily.cn/202604/562789.shtml</t>
  </si>
  <si>
    <r>
      <rPr>
        <sz val="10"/>
        <color rgb="FF000000"/>
        <rFont val="Noto Sans CJK SC"/>
        <family val="2"/>
      </rPr>
      <t xml:space="preserve">股權 </t>
    </r>
    <r>
      <rPr>
        <sz val="10"/>
        <color rgb="FF000000"/>
        <rFont val="Arial"/>
        <family val="0"/>
        <charset val="1"/>
      </rPr>
      <t xml:space="preserve">8,162 </t>
    </r>
    <r>
      <rPr>
        <sz val="10"/>
        <color rgb="FF000000"/>
        <rFont val="Noto Sans CJK SC"/>
        <family val="2"/>
      </rPr>
      <t xml:space="preserve">萬元＋債務安排約 </t>
    </r>
    <r>
      <rPr>
        <sz val="10"/>
        <color rgb="FF000000"/>
        <rFont val="Arial"/>
        <family val="0"/>
        <charset val="1"/>
      </rPr>
      <t xml:space="preserve">2.789 </t>
    </r>
    <r>
      <rPr>
        <sz val="10"/>
        <color rgb="FF000000"/>
        <rFont val="Noto Sans CJK SC"/>
        <family val="2"/>
      </rPr>
      <t xml:space="preserve">億元；標的為海淀鑽石大廈（約 </t>
    </r>
    <r>
      <rPr>
        <sz val="10"/>
        <color rgb="FF000000"/>
        <rFont val="Arial"/>
        <family val="0"/>
        <charset val="1"/>
      </rPr>
      <t xml:space="preserve">2.27 </t>
    </r>
    <r>
      <rPr>
        <sz val="10"/>
        <color rgb="FF000000"/>
        <rFont val="Noto Sans CJK SC"/>
        <family val="2"/>
      </rPr>
      <t xml:space="preserve">萬平方米），自用辦公</t>
    </r>
  </si>
  <si>
    <t xml:space="preserve">SRC_ZP_557</t>
  </si>
  <si>
    <t xml:space="preserve">capex_1h26_hongzuan</t>
  </si>
  <si>
    <t xml:space="preserve">資本支出（含紅鑽物業）</t>
  </si>
  <si>
    <r>
      <rPr>
        <sz val="10"/>
        <color rgb="FF000000"/>
        <rFont val="Arial"/>
        <family val="0"/>
        <charset val="1"/>
      </rPr>
      <t xml:space="preserve">1H25 53.7→1H26 390.6 </t>
    </r>
    <r>
      <rPr>
        <sz val="10"/>
        <color rgb="FF000000"/>
        <rFont val="Noto Sans CJK SC"/>
        <family val="2"/>
      </rPr>
      <t xml:space="preserve">百萬元，「主要由於…收購北京紅鑽」；即 </t>
    </r>
    <r>
      <rPr>
        <sz val="10"/>
        <color rgb="FF000000"/>
        <rFont val="Arial"/>
        <family val="0"/>
        <charset val="1"/>
      </rPr>
      <t xml:space="preserve">D11 </t>
    </r>
    <r>
      <rPr>
        <sz val="10"/>
        <color rgb="FF000000"/>
        <rFont val="Noto Sans CJK SC"/>
        <family val="2"/>
      </rPr>
      <t xml:space="preserve">的 </t>
    </r>
    <r>
      <rPr>
        <sz val="10"/>
        <color rgb="FF000000"/>
        <rFont val="Arial"/>
        <family val="0"/>
        <charset val="1"/>
      </rPr>
      <t xml:space="preserve">3.91 </t>
    </r>
    <r>
      <rPr>
        <sz val="10"/>
        <color rgb="FF000000"/>
        <rFont val="Noto Sans CJK SC"/>
        <family val="2"/>
      </rPr>
      <t xml:space="preserve">億主要非算力</t>
    </r>
  </si>
  <si>
    <t xml:space="preserve">SRC_ZP_558</t>
  </si>
  <si>
    <t xml:space="preserve">ma_zkjh_stake</t>
  </si>
  <si>
    <t xml:space="preserve">收購中科加禾持股比例</t>
  </si>
  <si>
    <t xml:space="preserve">投資界（引企查查）</t>
  </si>
  <si>
    <t xml:space="preserve">https://news.pedaily.cn/202607/566757.shtml</t>
  </si>
  <si>
    <t xml:space="preserve">媒體引工商登記（非公司公告）</t>
  </si>
  <si>
    <t xml:space="preserve">工商登記</t>
  </si>
  <si>
    <r>
      <rPr>
        <sz val="10"/>
        <color rgb="FF000000"/>
        <rFont val="Noto Sans CJK SC"/>
        <family val="2"/>
      </rPr>
      <t xml:space="preserve">「持股約</t>
    </r>
    <r>
      <rPr>
        <sz val="10"/>
        <color rgb="FF000000"/>
        <rFont val="Arial"/>
        <family val="0"/>
        <charset val="1"/>
      </rPr>
      <t xml:space="preserve">60%</t>
    </r>
    <r>
      <rPr>
        <sz val="10"/>
        <color rgb="FF000000"/>
        <rFont val="Noto Sans CJK SC"/>
        <family val="2"/>
      </rPr>
      <t xml:space="preserve">」；創始人崔慧敏降至 </t>
    </r>
    <r>
      <rPr>
        <sz val="10"/>
        <color rgb="FF000000"/>
        <rFont val="Arial"/>
        <family val="0"/>
        <charset val="1"/>
      </rPr>
      <t xml:space="preserve">11%</t>
    </r>
    <r>
      <rPr>
        <sz val="10"/>
        <color rgb="FF000000"/>
        <rFont val="Noto Sans CJK SC"/>
        <family val="2"/>
      </rPr>
      <t xml:space="preserve">；交易金額「未獲得披露」</t>
    </r>
  </si>
  <si>
    <t xml:space="preserve">SRC_ZP_559</t>
  </si>
  <si>
    <t xml:space="preserve">ma_zkjh_consideration</t>
  </si>
  <si>
    <t xml:space="preserve">收購中科加禾對價</t>
  </si>
  <si>
    <t xml:space="preserve">RMB</t>
  </si>
  <si>
    <r>
      <rPr>
        <sz val="10"/>
        <color rgb="FF000000"/>
        <rFont val="Arial"/>
        <family val="0"/>
        <charset val="1"/>
      </rPr>
      <t xml:space="preserve">21</t>
    </r>
    <r>
      <rPr>
        <sz val="10"/>
        <color rgb="FF000000"/>
        <rFont val="Noto Sans CJK SC"/>
        <family val="2"/>
      </rPr>
      <t xml:space="preserve">世紀經濟報道</t>
    </r>
  </si>
  <si>
    <t xml:space="preserve">https://www.sfccn.com/2026/7-21/2OMDE1MjBfMjE4NjM2OQ.html</t>
  </si>
  <si>
    <t xml:space="preserve">3</t>
  </si>
  <si>
    <r>
      <rPr>
        <sz val="10"/>
        <color rgb="FF000000"/>
        <rFont val="Noto Sans CJK SC"/>
        <family val="2"/>
      </rPr>
      <t xml:space="preserve">只稱「數億元人民幣」；</t>
    </r>
    <r>
      <rPr>
        <sz val="10"/>
        <color rgb="FF000000"/>
        <rFont val="Arial"/>
        <family val="0"/>
        <charset val="1"/>
      </rPr>
      <t xml:space="preserve">2.92 </t>
    </r>
    <r>
      <rPr>
        <sz val="10"/>
        <color rgb="FF000000"/>
        <rFont val="Noto Sans CJK SC"/>
        <family val="2"/>
      </rPr>
      <t xml:space="preserve">億未核得（見 </t>
    </r>
    <r>
      <rPr>
        <sz val="10"/>
        <color rgb="FF000000"/>
        <rFont val="Arial"/>
        <family val="0"/>
        <charset val="1"/>
      </rPr>
      <t xml:space="preserve">not_found</t>
    </r>
    <r>
      <rPr>
        <sz val="10"/>
        <color rgb="FF000000"/>
        <rFont val="Noto Sans CJK SC"/>
        <family val="2"/>
      </rPr>
      <t xml:space="preserve">）；標的為異構算力軟體棧／編譯</t>
    </r>
  </si>
  <si>
    <t xml:space="preserve">SRC_ZP_560</t>
  </si>
  <si>
    <t xml:space="preserve">shares_total_0630</t>
  </si>
  <si>
    <t xml:space="preserve">已發行股份總數</t>
  </si>
  <si>
    <r>
      <rPr>
        <sz val="10"/>
        <color rgb="FF000000"/>
        <rFont val="Noto Sans CJK SC"/>
        <family val="2"/>
      </rPr>
      <t xml:space="preserve">智譜 </t>
    </r>
    <r>
      <rPr>
        <sz val="10"/>
        <color rgb="FF000000"/>
        <rFont val="Arial"/>
        <family val="0"/>
        <charset val="1"/>
      </rPr>
      <t xml:space="preserve">FF301 </t>
    </r>
    <r>
      <rPr>
        <sz val="10"/>
        <color rgb="FF000000"/>
        <rFont val="Noto Sans CJK SC"/>
        <family val="2"/>
      </rPr>
      <t xml:space="preserve">月報表（</t>
    </r>
    <r>
      <rPr>
        <sz val="10"/>
        <color rgb="FF000000"/>
        <rFont val="Arial"/>
        <family val="0"/>
        <charset val="1"/>
      </rPr>
      <t xml:space="preserve">2026-06</t>
    </r>
    <r>
      <rPr>
        <sz val="10"/>
        <color rgb="FF000000"/>
        <rFont val="Noto Sans CJK SC"/>
        <family val="2"/>
      </rPr>
      <t xml:space="preserve">）</t>
    </r>
  </si>
  <si>
    <t xml:space="preserve">https://pdf.dfcfw.com/pdf/H2_AN202607071826772191_1.pdf</t>
  </si>
  <si>
    <t xml:space="preserve">2026-07-07</t>
  </si>
  <si>
    <r>
      <rPr>
        <sz val="10"/>
        <color rgb="FF000000"/>
        <rFont val="Arial"/>
        <family val="0"/>
        <charset val="1"/>
      </rPr>
      <t xml:space="preserve">H </t>
    </r>
    <r>
      <rPr>
        <sz val="10"/>
        <color rgb="FF000000"/>
        <rFont val="Noto Sans CJK SC"/>
        <family val="2"/>
      </rPr>
      <t xml:space="preserve">股 </t>
    </r>
    <r>
      <rPr>
        <sz val="10"/>
        <color rgb="FF000000"/>
        <rFont val="Arial"/>
        <family val="0"/>
        <charset val="1"/>
      </rPr>
      <t xml:space="preserve">221,314,605</t>
    </r>
    <r>
      <rPr>
        <sz val="10"/>
        <color rgb="FF000000"/>
        <rFont val="Noto Sans CJK SC"/>
        <family val="2"/>
      </rPr>
      <t xml:space="preserve">＋非上市股份 </t>
    </r>
    <r>
      <rPr>
        <sz val="10"/>
        <color rgb="FF000000"/>
        <rFont val="Arial"/>
        <family val="0"/>
        <charset val="1"/>
      </rPr>
      <t xml:space="preserve">224,528,485</t>
    </r>
    <r>
      <rPr>
        <sz val="10"/>
        <color rgb="FF000000"/>
        <rFont val="Noto Sans CJK SC"/>
        <family val="2"/>
      </rPr>
      <t xml:space="preserve">；面值 </t>
    </r>
    <r>
      <rPr>
        <sz val="10"/>
        <color rgb="FF000000"/>
        <rFont val="Arial"/>
        <family val="0"/>
        <charset val="1"/>
      </rPr>
      <t xml:space="preserve">RMB 0.1</t>
    </r>
  </si>
  <si>
    <t xml:space="preserve">SRC_ZP_561</t>
  </si>
  <si>
    <t xml:space="preserve">shares_h_0630</t>
  </si>
  <si>
    <r>
      <rPr>
        <sz val="10"/>
        <color rgb="FF000000"/>
        <rFont val="Arial"/>
        <family val="0"/>
        <charset val="1"/>
      </rPr>
      <t xml:space="preserve">H </t>
    </r>
    <r>
      <rPr>
        <sz val="10"/>
        <color rgb="FF000000"/>
        <rFont val="Noto Sans CJK SC"/>
        <family val="2"/>
      </rPr>
      <t xml:space="preserve">股數</t>
    </r>
  </si>
  <si>
    <r>
      <rPr>
        <sz val="10"/>
        <color rgb="FF000000"/>
        <rFont val="Noto Sans CJK SC"/>
        <family val="2"/>
      </rPr>
      <t xml:space="preserve">含 </t>
    </r>
    <r>
      <rPr>
        <sz val="10"/>
        <color rgb="FF000000"/>
        <rFont val="Arial"/>
        <family val="0"/>
        <charset val="1"/>
      </rPr>
      <t xml:space="preserve">IPO </t>
    </r>
    <r>
      <rPr>
        <sz val="10"/>
        <color rgb="FF000000"/>
        <rFont val="Noto Sans CJK SC"/>
        <family val="2"/>
      </rPr>
      <t xml:space="preserve">新股 </t>
    </r>
    <r>
      <rPr>
        <sz val="10"/>
        <color rgb="FF000000"/>
        <rFont val="Arial"/>
        <family val="0"/>
        <charset val="1"/>
      </rPr>
      <t xml:space="preserve">43,032,400 </t>
    </r>
    <r>
      <rPr>
        <sz val="10"/>
        <color rgb="FF000000"/>
        <rFont val="Noto Sans CJK SC"/>
        <family val="2"/>
      </rPr>
      <t xml:space="preserve">與全流通轉換股（推算 </t>
    </r>
    <r>
      <rPr>
        <sz val="10"/>
        <color rgb="FF000000"/>
        <rFont val="Arial"/>
        <family val="0"/>
        <charset val="1"/>
      </rPr>
      <t xml:space="preserve">178,282,205</t>
    </r>
    <r>
      <rPr>
        <sz val="10"/>
        <color rgb="FF000000"/>
        <rFont val="Noto Sans CJK SC"/>
        <family val="2"/>
      </rPr>
      <t xml:space="preserve">，</t>
    </r>
    <r>
      <rPr>
        <sz val="10"/>
        <color rgb="FF000000"/>
        <rFont val="Arial"/>
        <family val="0"/>
        <charset val="1"/>
      </rPr>
      <t xml:space="preserve">Derived</t>
    </r>
    <r>
      <rPr>
        <sz val="10"/>
        <color rgb="FF000000"/>
        <rFont val="Noto Sans CJK SC"/>
        <family val="2"/>
      </rPr>
      <t xml:space="preserve">）</t>
    </r>
  </si>
  <si>
    <t xml:space="preserve">SRC_ZP_562</t>
  </si>
  <si>
    <t xml:space="preserve">shares_unlisted</t>
  </si>
  <si>
    <t xml:space="preserve">非上市股份數</t>
  </si>
  <si>
    <r>
      <rPr>
        <sz val="10"/>
        <color rgb="FF000000"/>
        <rFont val="Noto Sans CJK SC"/>
        <family val="2"/>
      </rPr>
      <t xml:space="preserve">占 </t>
    </r>
    <r>
      <rPr>
        <sz val="10"/>
        <color rgb="FF000000"/>
        <rFont val="Arial"/>
        <family val="0"/>
        <charset val="1"/>
      </rPr>
      <t xml:space="preserve">465,623,090 </t>
    </r>
    <r>
      <rPr>
        <sz val="10"/>
        <color rgb="FF000000"/>
        <rFont val="Noto Sans CJK SC"/>
        <family val="2"/>
      </rPr>
      <t xml:space="preserve">股的 </t>
    </r>
    <r>
      <rPr>
        <sz val="10"/>
        <color rgb="FF000000"/>
        <rFont val="Arial"/>
        <family val="0"/>
        <charset val="1"/>
      </rPr>
      <t xml:space="preserve">48.22%</t>
    </r>
  </si>
  <si>
    <t xml:space="preserve">SRC_ZP_563</t>
  </si>
  <si>
    <t xml:space="preserve">shares_total_post_placing2</t>
  </si>
  <si>
    <r>
      <rPr>
        <sz val="10"/>
        <color rgb="FF000000"/>
        <rFont val="Arial"/>
        <family val="0"/>
        <charset val="1"/>
      </rPr>
      <t xml:space="preserve">2026-09 </t>
    </r>
    <r>
      <rPr>
        <sz val="10"/>
        <color rgb="FF000000"/>
        <rFont val="Noto Sans CJK SC"/>
        <family val="2"/>
      </rPr>
      <t xml:space="preserve">配售完成後已發行股份總數</t>
    </r>
  </si>
  <si>
    <r>
      <rPr>
        <sz val="10"/>
        <color rgb="FF000000"/>
        <rFont val="Noto Sans CJK SC"/>
        <family val="2"/>
      </rPr>
      <t xml:space="preserve">智譜 </t>
    </r>
    <r>
      <rPr>
        <sz val="10"/>
        <color rgb="FF000000"/>
        <rFont val="Arial"/>
        <family val="0"/>
        <charset val="1"/>
      </rPr>
      <t xml:space="preserve">2026-09-13 </t>
    </r>
    <r>
      <rPr>
        <sz val="10"/>
        <color rgb="FF000000"/>
        <rFont val="Noto Sans CJK SC"/>
        <family val="2"/>
      </rPr>
      <t xml:space="preserve">公告（股權架構表「緊隨配售完成後」）</t>
    </r>
  </si>
  <si>
    <r>
      <rPr>
        <sz val="10"/>
        <color rgb="FF000000"/>
        <rFont val="Arial"/>
        <family val="0"/>
        <charset val="1"/>
      </rPr>
      <t xml:space="preserve">H </t>
    </r>
    <r>
      <rPr>
        <sz val="10"/>
        <color rgb="FF000000"/>
        <rFont val="Noto Sans CJK SC"/>
        <family val="2"/>
      </rPr>
      <t xml:space="preserve">股 </t>
    </r>
    <r>
      <rPr>
        <sz val="10"/>
        <color rgb="FF000000"/>
        <rFont val="Arial"/>
        <family val="0"/>
        <charset val="1"/>
      </rPr>
      <t xml:space="preserve">263,059,605</t>
    </r>
    <r>
      <rPr>
        <sz val="10"/>
        <color rgb="FF000000"/>
        <rFont val="Noto Sans CJK SC"/>
        <family val="2"/>
      </rPr>
      <t xml:space="preserve">（</t>
    </r>
    <r>
      <rPr>
        <sz val="10"/>
        <color rgb="FF000000"/>
        <rFont val="Arial"/>
        <family val="0"/>
        <charset val="1"/>
      </rPr>
      <t xml:space="preserve">Derived</t>
    </r>
    <r>
      <rPr>
        <sz val="10"/>
        <color rgb="FF000000"/>
        <rFont val="Noto Sans CJK SC"/>
        <family val="2"/>
      </rPr>
      <t xml:space="preserve">）＋非上市 </t>
    </r>
    <r>
      <rPr>
        <sz val="10"/>
        <color rgb="FF000000"/>
        <rFont val="Arial"/>
        <family val="0"/>
        <charset val="1"/>
      </rPr>
      <t xml:space="preserve">224,528,485</t>
    </r>
    <r>
      <rPr>
        <sz val="10"/>
        <color rgb="FF000000"/>
        <rFont val="Noto Sans CJK SC"/>
        <family val="2"/>
      </rPr>
      <t xml:space="preserve">；全面攤薄（含可轉債）</t>
    </r>
    <r>
      <rPr>
        <sz val="10"/>
        <color rgb="FF000000"/>
        <rFont val="Arial"/>
        <family val="0"/>
        <charset val="1"/>
      </rPr>
      <t xml:space="preserve">513,953,116</t>
    </r>
  </si>
  <si>
    <t xml:space="preserve">SRC_ZP_564</t>
  </si>
  <si>
    <t xml:space="preserve">holder_founder_group_pct</t>
  </si>
  <si>
    <t xml:space="preserve">最大股東集團（北京鏈湃、劉德兵、唐杰等）持股</t>
  </si>
  <si>
    <r>
      <rPr>
        <sz val="10"/>
        <color rgb="FF000000"/>
        <rFont val="Noto Sans CJK SC"/>
        <family val="2"/>
      </rPr>
      <t xml:space="preserve">非上市 </t>
    </r>
    <r>
      <rPr>
        <sz val="10"/>
        <color rgb="FF000000"/>
        <rFont val="Arial"/>
        <family val="0"/>
        <charset val="1"/>
      </rPr>
      <t xml:space="preserve">123,042,373</t>
    </r>
    <r>
      <rPr>
        <sz val="10"/>
        <color rgb="FF000000"/>
        <rFont val="Noto Sans CJK SC"/>
        <family val="2"/>
      </rPr>
      <t xml:space="preserve">（</t>
    </r>
    <r>
      <rPr>
        <sz val="10"/>
        <color rgb="FF000000"/>
        <rFont val="Arial"/>
        <family val="0"/>
        <charset val="1"/>
      </rPr>
      <t xml:space="preserve">26.43%</t>
    </r>
    <r>
      <rPr>
        <sz val="10"/>
        <color rgb="FF000000"/>
        <rFont val="Noto Sans CJK SC"/>
        <family val="2"/>
      </rPr>
      <t xml:space="preserve">）＋</t>
    </r>
    <r>
      <rPr>
        <sz val="10"/>
        <color rgb="FF000000"/>
        <rFont val="Arial"/>
        <family val="0"/>
        <charset val="1"/>
      </rPr>
      <t xml:space="preserve">H </t>
    </r>
    <r>
      <rPr>
        <sz val="10"/>
        <color rgb="FF000000"/>
        <rFont val="Noto Sans CJK SC"/>
        <family val="2"/>
      </rPr>
      <t xml:space="preserve">股 </t>
    </r>
    <r>
      <rPr>
        <sz val="10"/>
        <color rgb="FF000000"/>
        <rFont val="Arial"/>
        <family val="0"/>
        <charset val="1"/>
      </rPr>
      <t xml:space="preserve">10,001,857</t>
    </r>
    <r>
      <rPr>
        <sz val="10"/>
        <color rgb="FF000000"/>
        <rFont val="Noto Sans CJK SC"/>
        <family val="2"/>
      </rPr>
      <t xml:space="preserve">（</t>
    </r>
    <r>
      <rPr>
        <sz val="10"/>
        <color rgb="FF000000"/>
        <rFont val="Arial"/>
        <family val="0"/>
        <charset val="1"/>
      </rPr>
      <t xml:space="preserve">2.15%</t>
    </r>
    <r>
      <rPr>
        <sz val="10"/>
        <color rgb="FF000000"/>
        <rFont val="Noto Sans CJK SC"/>
        <family val="2"/>
      </rPr>
      <t xml:space="preserve">）；配售後 </t>
    </r>
    <r>
      <rPr>
        <sz val="10"/>
        <color rgb="FF000000"/>
        <rFont val="Arial"/>
        <family val="0"/>
        <charset val="1"/>
      </rPr>
      <t xml:space="preserve">27.28%</t>
    </r>
  </si>
  <si>
    <t xml:space="preserve">SRC_ZP_565</t>
  </si>
  <si>
    <t xml:space="preserve">holder_founder_group_preipo</t>
  </si>
  <si>
    <t xml:space="preserve">控股股東一致行動集團持股（上市前）</t>
  </si>
  <si>
    <r>
      <rPr>
        <sz val="10"/>
        <color rgb="FF000000"/>
        <rFont val="Noto Sans CJK SC"/>
        <family val="2"/>
      </rPr>
      <t xml:space="preserve">北京鏈湃、劉德兵、唐杰、李涓子、許斌、張海峰、慧惠、智登合計約 </t>
    </r>
    <r>
      <rPr>
        <sz val="10"/>
        <color rgb="FF000000"/>
        <rFont val="Arial"/>
        <family val="0"/>
        <charset val="1"/>
      </rPr>
      <t xml:space="preserve">33.03%</t>
    </r>
  </si>
  <si>
    <t xml:space="preserve">SRC_ZP_566</t>
  </si>
  <si>
    <t xml:space="preserve">holder_junlian_preipo</t>
  </si>
  <si>
    <t xml:space="preserve">君聯資本持股（上市前）</t>
  </si>
  <si>
    <r>
      <rPr>
        <sz val="10"/>
        <color rgb="FF000000"/>
        <rFont val="Noto Sans CJK SC"/>
        <family val="2"/>
      </rPr>
      <t xml:space="preserve">慧惠 </t>
    </r>
    <r>
      <rPr>
        <sz val="10"/>
        <color rgb="FF000000"/>
        <rFont val="Arial"/>
        <family val="0"/>
        <charset val="1"/>
      </rPr>
      <t xml:space="preserve">9.8%</t>
    </r>
    <r>
      <rPr>
        <sz val="10"/>
        <color rgb="FF000000"/>
        <rFont val="Noto Sans CJK SC"/>
        <family val="2"/>
      </rPr>
      <t xml:space="preserve">、北京鏈湃 </t>
    </r>
    <r>
      <rPr>
        <sz val="10"/>
        <color rgb="FF000000"/>
        <rFont val="Arial"/>
        <family val="0"/>
        <charset val="1"/>
      </rPr>
      <t xml:space="preserve">8.45%</t>
    </r>
    <r>
      <rPr>
        <sz val="10"/>
        <color rgb="FF000000"/>
        <rFont val="Noto Sans CJK SC"/>
        <family val="2"/>
      </rPr>
      <t xml:space="preserve">、智登 </t>
    </r>
    <r>
      <rPr>
        <sz val="10"/>
        <color rgb="FF000000"/>
        <rFont val="Arial"/>
        <family val="0"/>
        <charset val="1"/>
      </rPr>
      <t xml:space="preserve">6.75%</t>
    </r>
    <r>
      <rPr>
        <sz val="10"/>
        <color rgb="FF000000"/>
        <rFont val="Noto Sans CJK SC"/>
        <family val="2"/>
      </rPr>
      <t xml:space="preserve">、君聯 </t>
    </r>
    <r>
      <rPr>
        <sz val="10"/>
        <color rgb="FF000000"/>
        <rFont val="Arial"/>
        <family val="0"/>
        <charset val="1"/>
      </rPr>
      <t xml:space="preserve">6.73%</t>
    </r>
    <r>
      <rPr>
        <sz val="10"/>
        <color rgb="FF000000"/>
        <rFont val="Noto Sans CJK SC"/>
        <family val="2"/>
      </rPr>
      <t xml:space="preserve">、美團 </t>
    </r>
    <r>
      <rPr>
        <sz val="10"/>
        <color rgb="FF000000"/>
        <rFont val="Arial"/>
        <family val="0"/>
        <charset val="1"/>
      </rPr>
      <t xml:space="preserve">4.27%</t>
    </r>
    <r>
      <rPr>
        <sz val="10"/>
        <color rgb="FF000000"/>
        <rFont val="Noto Sans CJK SC"/>
        <family val="2"/>
      </rPr>
      <t xml:space="preserve">、啟明 </t>
    </r>
    <r>
      <rPr>
        <sz val="10"/>
        <color rgb="FF000000"/>
        <rFont val="Arial"/>
        <family val="0"/>
        <charset val="1"/>
      </rPr>
      <t xml:space="preserve">2.49%</t>
    </r>
  </si>
  <si>
    <t xml:space="preserve">SRC_ZP_567</t>
  </si>
  <si>
    <t xml:space="preserve">holder_meituan_preipo</t>
  </si>
  <si>
    <t xml:space="preserve">美團持股（上市前）</t>
  </si>
  <si>
    <r>
      <rPr>
        <sz val="10"/>
        <color rgb="FF000000"/>
        <rFont val="Noto Sans CJK SC"/>
        <family val="2"/>
      </rPr>
      <t xml:space="preserve">美團 </t>
    </r>
    <r>
      <rPr>
        <sz val="10"/>
        <color rgb="FF000000"/>
        <rFont val="Arial"/>
        <family val="0"/>
        <charset val="1"/>
      </rPr>
      <t xml:space="preserve">4.27%</t>
    </r>
    <r>
      <rPr>
        <sz val="10"/>
        <color rgb="FF000000"/>
        <rFont val="Noto Sans CJK SC"/>
        <family val="2"/>
      </rPr>
      <t xml:space="preserve">；阿里、騰訊、小米持股比例未取得</t>
    </r>
  </si>
  <si>
    <t xml:space="preserve">SRC_ZP_568</t>
  </si>
  <si>
    <t xml:space="preserve">lockup_2027_01</t>
  </si>
  <si>
    <r>
      <rPr>
        <sz val="10"/>
        <color rgb="FF000000"/>
        <rFont val="Arial"/>
        <family val="0"/>
        <charset val="1"/>
      </rPr>
      <t xml:space="preserve">2027-01-08 </t>
    </r>
    <r>
      <rPr>
        <sz val="10"/>
        <color rgb="FF000000"/>
        <rFont val="Noto Sans CJK SC"/>
        <family val="2"/>
      </rPr>
      <t xml:space="preserve">解禁（創辦人、早期投資人）占總股本</t>
    </r>
  </si>
  <si>
    <t xml:space="preserve">2027-01-08</t>
  </si>
  <si>
    <t xml:space="preserve">媒體估算</t>
  </si>
  <si>
    <r>
      <rPr>
        <sz val="10"/>
        <color rgb="FF000000"/>
        <rFont val="Noto Sans CJK SC"/>
        <family val="2"/>
      </rPr>
      <t xml:space="preserve">「接近總股本</t>
    </r>
    <r>
      <rPr>
        <sz val="10"/>
        <color rgb="FF000000"/>
        <rFont val="Arial"/>
        <family val="0"/>
        <charset val="1"/>
      </rPr>
      <t xml:space="preserve">40%</t>
    </r>
    <r>
      <rPr>
        <sz val="10"/>
        <color rgb="FF000000"/>
        <rFont val="Noto Sans CJK SC"/>
        <family val="2"/>
      </rPr>
      <t xml:space="preserve">」；</t>
    </r>
    <r>
      <rPr>
        <sz val="10"/>
        <color rgb="FF000000"/>
        <rFont val="Arial"/>
        <family val="0"/>
        <charset val="1"/>
      </rPr>
      <t xml:space="preserve">2026-07-08 </t>
    </r>
    <r>
      <rPr>
        <sz val="10"/>
        <color rgb="FF000000"/>
        <rFont val="Noto Sans CJK SC"/>
        <family val="2"/>
      </rPr>
      <t xml:space="preserve">解禁約 </t>
    </r>
    <r>
      <rPr>
        <sz val="10"/>
        <color rgb="FF000000"/>
        <rFont val="Arial"/>
        <family val="0"/>
        <charset val="1"/>
      </rPr>
      <t xml:space="preserve">2,568 </t>
    </r>
    <r>
      <rPr>
        <sz val="10"/>
        <color rgb="FF000000"/>
        <rFont val="Noto Sans CJK SC"/>
        <family val="2"/>
      </rPr>
      <t xml:space="preserve">萬股（基石 </t>
    </r>
    <r>
      <rPr>
        <sz val="10"/>
        <color rgb="FF000000"/>
        <rFont val="Arial"/>
        <family val="0"/>
        <charset val="1"/>
      </rPr>
      <t xml:space="preserve">1,199 </t>
    </r>
    <r>
      <rPr>
        <sz val="10"/>
        <color rgb="FF000000"/>
        <rFont val="Noto Sans CJK SC"/>
        <family val="2"/>
      </rPr>
      <t xml:space="preserve">萬＋部分上市前股）</t>
    </r>
  </si>
  <si>
    <t xml:space="preserve">SRC_ZP_569</t>
  </si>
  <si>
    <t xml:space="preserve">price_20261007</t>
  </si>
  <si>
    <t xml:space="preserve">收盤價</t>
  </si>
  <si>
    <t xml:space="preserve">2026-10-07</t>
  </si>
  <si>
    <t xml:space="preserve">老虎證券行情頁</t>
  </si>
  <si>
    <t xml:space="preserve">https://www.itiger.com/hans/stock/02513/news</t>
  </si>
  <si>
    <r>
      <rPr>
        <sz val="10"/>
        <color rgb="FF000000"/>
        <rFont val="Arial"/>
        <family val="0"/>
        <charset val="1"/>
      </rPr>
      <t xml:space="preserve">696.00</t>
    </r>
    <r>
      <rPr>
        <sz val="10"/>
        <color rgb="FF000000"/>
        <rFont val="Noto Sans CJK SC"/>
        <family val="2"/>
      </rPr>
      <t xml:space="preserve">，跌 </t>
    </r>
    <r>
      <rPr>
        <sz val="10"/>
        <color rgb="FF000000"/>
        <rFont val="Arial"/>
        <family val="0"/>
        <charset val="1"/>
      </rPr>
      <t xml:space="preserve">2.73%</t>
    </r>
    <r>
      <rPr>
        <sz val="10"/>
        <color rgb="FF000000"/>
        <rFont val="Noto Sans CJK SC"/>
        <family val="2"/>
      </rPr>
      <t xml:space="preserve">；前收 </t>
    </r>
    <r>
      <rPr>
        <sz val="10"/>
        <color rgb="FF000000"/>
        <rFont val="Arial"/>
        <family val="0"/>
        <charset val="1"/>
      </rPr>
      <t xml:space="preserve">715.50</t>
    </r>
    <r>
      <rPr>
        <sz val="10"/>
        <color rgb="FF000000"/>
        <rFont val="Noto Sans CJK SC"/>
        <family val="2"/>
      </rPr>
      <t xml:space="preserve">（</t>
    </r>
    <r>
      <rPr>
        <sz val="10"/>
        <color rgb="FF000000"/>
        <rFont val="Arial"/>
        <family val="0"/>
        <charset val="1"/>
      </rPr>
      <t xml:space="preserve">10-06</t>
    </r>
    <r>
      <rPr>
        <sz val="10"/>
        <color rgb="FF000000"/>
        <rFont val="Noto Sans CJK SC"/>
        <family val="2"/>
      </rPr>
      <t xml:space="preserve">）</t>
    </r>
  </si>
  <si>
    <t xml:space="preserve">SRC_ZP_570</t>
  </si>
  <si>
    <t xml:space="preserve">price_20261002</t>
  </si>
  <si>
    <r>
      <rPr>
        <sz val="10"/>
        <color rgb="FF000000"/>
        <rFont val="Noto Sans CJK SC"/>
        <family val="2"/>
      </rPr>
      <t xml:space="preserve">收盤價（</t>
    </r>
    <r>
      <rPr>
        <sz val="10"/>
        <color rgb="FF000000"/>
        <rFont val="Arial"/>
        <family val="0"/>
        <charset val="1"/>
      </rPr>
      <t xml:space="preserve">Investing </t>
    </r>
    <r>
      <rPr>
        <sz val="10"/>
        <color rgb="FF000000"/>
        <rFont val="Noto Sans CJK SC"/>
        <family val="2"/>
      </rPr>
      <t xml:space="preserve">頁）</t>
    </r>
  </si>
  <si>
    <t xml:space="preserve">2026-10-02/03</t>
  </si>
  <si>
    <t xml:space="preserve">Investing.com</t>
  </si>
  <si>
    <t xml:space="preserve">https://www.investing.com/equities/knowledge-atlas-tech-joint-stock</t>
  </si>
  <si>
    <t xml:space="preserve">2026-10-03</t>
  </si>
  <si>
    <r>
      <rPr>
        <sz val="10"/>
        <color rgb="FF000000"/>
        <rFont val="Noto Sans CJK SC"/>
        <family val="2"/>
      </rPr>
      <t xml:space="preserve">頁面寫 </t>
    </r>
    <r>
      <rPr>
        <sz val="10"/>
        <color rgb="FF000000"/>
        <rFont val="Arial"/>
        <family val="0"/>
        <charset val="1"/>
      </rPr>
      <t xml:space="preserve">626.50</t>
    </r>
    <r>
      <rPr>
        <sz val="10"/>
        <color rgb="FF000000"/>
        <rFont val="Noto Sans CJK SC"/>
        <family val="2"/>
      </rPr>
      <t xml:space="preserve">；市值 </t>
    </r>
    <r>
      <rPr>
        <sz val="10"/>
        <color rgb="FF000000"/>
        <rFont val="Arial"/>
        <family val="0"/>
        <charset val="1"/>
      </rPr>
      <t xml:space="preserve">291.71B </t>
    </r>
    <r>
      <rPr>
        <sz val="10"/>
        <color rgb="FF000000"/>
        <rFont val="Noto Sans CJK SC"/>
        <family val="2"/>
      </rPr>
      <t xml:space="preserve">以過時股數 </t>
    </r>
    <r>
      <rPr>
        <sz val="10"/>
        <color rgb="FF000000"/>
        <rFont val="Arial"/>
        <family val="0"/>
        <charset val="1"/>
      </rPr>
      <t xml:space="preserve">465.62M </t>
    </r>
    <r>
      <rPr>
        <sz val="10"/>
        <color rgb="FF000000"/>
        <rFont val="Noto Sans CJK SC"/>
        <family val="2"/>
      </rPr>
      <t xml:space="preserve">計算</t>
    </r>
  </si>
  <si>
    <t xml:space="preserve">SRC_ZP_571</t>
  </si>
  <si>
    <t xml:space="preserve">mktcap_20261007</t>
  </si>
  <si>
    <t xml:space="preserve">總市值</t>
  </si>
  <si>
    <r>
      <rPr>
        <sz val="10"/>
        <color rgb="FF000000"/>
        <rFont val="Noto Sans CJK SC"/>
        <family val="2"/>
      </rPr>
      <t xml:space="preserve">頁面「</t>
    </r>
    <r>
      <rPr>
        <sz val="10"/>
        <color rgb="FF000000"/>
        <rFont val="Arial"/>
        <family val="0"/>
        <charset val="1"/>
      </rPr>
      <t xml:space="preserve">3,396.48</t>
    </r>
    <r>
      <rPr>
        <sz val="10"/>
        <color rgb="FF000000"/>
        <rFont val="Noto Sans CJK SC"/>
        <family val="2"/>
      </rPr>
      <t xml:space="preserve">億」，未註幣別（港股報價，推定港幣）</t>
    </r>
  </si>
  <si>
    <t xml:space="preserve">SRC_ZP_572</t>
  </si>
  <si>
    <t xml:space="preserve">mktcap_20261007_b</t>
  </si>
  <si>
    <t xml:space="preserve">總市值（按公告股數計算）</t>
  </si>
  <si>
    <r>
      <rPr>
        <sz val="10"/>
        <color rgb="FF000000"/>
        <rFont val="Arial"/>
        <family val="0"/>
        <charset val="1"/>
      </rPr>
      <t xml:space="preserve">Derived</t>
    </r>
    <r>
      <rPr>
        <sz val="10"/>
        <color rgb="FF000000"/>
        <rFont val="Noto Sans CJK SC"/>
        <family val="2"/>
      </rPr>
      <t xml:space="preserve">＝</t>
    </r>
    <r>
      <rPr>
        <sz val="10"/>
        <color rgb="FF000000"/>
        <rFont val="Arial"/>
        <family val="0"/>
        <charset val="1"/>
      </rPr>
      <t xml:space="preserve">696.00×487,588,090</t>
    </r>
  </si>
  <si>
    <r>
      <rPr>
        <sz val="10"/>
        <color rgb="FF000000"/>
        <rFont val="Noto Sans CJK SC"/>
        <family val="2"/>
      </rPr>
      <t xml:space="preserve">計算（含非上市股份，</t>
    </r>
    <r>
      <rPr>
        <sz val="10"/>
        <color rgb="FF000000"/>
        <rFont val="Arial"/>
        <family val="0"/>
        <charset val="1"/>
      </rPr>
      <t xml:space="preserve">H </t>
    </r>
    <r>
      <rPr>
        <sz val="10"/>
        <color rgb="FF000000"/>
        <rFont val="Noto Sans CJK SC"/>
        <family val="2"/>
      </rPr>
      <t xml:space="preserve">股＋非上市同價）</t>
    </r>
  </si>
  <si>
    <r>
      <rPr>
        <sz val="10"/>
        <color rgb="FF000000"/>
        <rFont val="Noto Sans CJK SC"/>
        <family val="2"/>
      </rPr>
      <t xml:space="preserve">與老虎差 </t>
    </r>
    <r>
      <rPr>
        <sz val="10"/>
        <color rgb="FF000000"/>
        <rFont val="Arial"/>
        <family val="0"/>
        <charset val="1"/>
      </rPr>
      <t xml:space="preserve">2.9 </t>
    </r>
    <r>
      <rPr>
        <sz val="10"/>
        <color rgb="FF000000"/>
        <rFont val="Noto Sans CJK SC"/>
        <family val="2"/>
      </rPr>
      <t xml:space="preserve">億，可能老虎股數口徑不同；</t>
    </r>
    <r>
      <rPr>
        <sz val="10"/>
        <color rgb="FF000000"/>
        <rFont val="Arial"/>
        <family val="0"/>
        <charset val="1"/>
      </rPr>
      <t xml:space="preserve">H </t>
    </r>
    <r>
      <rPr>
        <sz val="10"/>
        <color rgb="FF000000"/>
        <rFont val="Noto Sans CJK SC"/>
        <family val="2"/>
      </rPr>
      <t xml:space="preserve">股市值＝</t>
    </r>
    <r>
      <rPr>
        <sz val="10"/>
        <color rgb="FF000000"/>
        <rFont val="Arial"/>
        <family val="0"/>
        <charset val="1"/>
      </rPr>
      <t xml:space="preserve">696×263,059,605</t>
    </r>
  </si>
  <si>
    <t xml:space="preserve">SRC_ZP_573</t>
  </si>
  <si>
    <t xml:space="preserve">hi_52w</t>
  </si>
  <si>
    <r>
      <rPr>
        <sz val="10"/>
        <color rgb="FF000000"/>
        <rFont val="Arial"/>
        <family val="0"/>
        <charset val="1"/>
      </rPr>
      <t xml:space="preserve">52 </t>
    </r>
    <r>
      <rPr>
        <sz val="10"/>
        <color rgb="FF000000"/>
        <rFont val="Noto Sans CJK SC"/>
        <family val="2"/>
      </rPr>
      <t xml:space="preserve">週最高（盤中）</t>
    </r>
  </si>
  <si>
    <t xml:space="preserve">老虎證券行情頁；每日經濟新聞</t>
  </si>
  <si>
    <r>
      <rPr>
        <sz val="10"/>
        <color rgb="FF000000"/>
        <rFont val="Arial"/>
        <family val="0"/>
        <charset val="1"/>
      </rPr>
      <t xml:space="preserve">6-22 </t>
    </r>
    <r>
      <rPr>
        <sz val="10"/>
        <color rgb="FF000000"/>
        <rFont val="Noto Sans CJK SC"/>
        <family val="2"/>
      </rPr>
      <t xml:space="preserve">盤中 </t>
    </r>
    <r>
      <rPr>
        <sz val="10"/>
        <color rgb="FF000000"/>
        <rFont val="Arial"/>
        <family val="0"/>
        <charset val="1"/>
      </rPr>
      <t xml:space="preserve">2,980</t>
    </r>
    <r>
      <rPr>
        <sz val="10"/>
        <color rgb="FF000000"/>
        <rFont val="Noto Sans CJK SC"/>
        <family val="2"/>
      </rPr>
      <t xml:space="preserve">，市值約 </t>
    </r>
    <r>
      <rPr>
        <sz val="10"/>
        <color rgb="FF000000"/>
        <rFont val="Arial"/>
        <family val="0"/>
        <charset val="1"/>
      </rPr>
      <t xml:space="preserve">1.3 </t>
    </r>
    <r>
      <rPr>
        <sz val="10"/>
        <color rgb="FF000000"/>
        <rFont val="Noto Sans CJK SC"/>
        <family val="2"/>
      </rPr>
      <t xml:space="preserve">萬億港元；</t>
    </r>
    <r>
      <rPr>
        <sz val="10"/>
        <color rgb="FF000000"/>
        <rFont val="Arial"/>
        <family val="0"/>
        <charset val="1"/>
      </rPr>
      <t xml:space="preserve">6-11 </t>
    </r>
    <r>
      <rPr>
        <sz val="10"/>
        <color rgb="FF000000"/>
        <rFont val="Noto Sans CJK SC"/>
        <family val="2"/>
      </rPr>
      <t xml:space="preserve">低點 </t>
    </r>
    <r>
      <rPr>
        <sz val="10"/>
        <color rgb="FF000000"/>
        <rFont val="Arial"/>
        <family val="0"/>
        <charset val="1"/>
      </rPr>
      <t xml:space="preserve">1,061</t>
    </r>
  </si>
  <si>
    <t xml:space="preserve">SRC_ZP_574</t>
  </si>
  <si>
    <t xml:space="preserve">lo_52w</t>
  </si>
  <si>
    <r>
      <rPr>
        <sz val="10"/>
        <color rgb="FF000000"/>
        <rFont val="Arial"/>
        <family val="0"/>
        <charset val="1"/>
      </rPr>
      <t xml:space="preserve">52 </t>
    </r>
    <r>
      <rPr>
        <sz val="10"/>
        <color rgb="FF000000"/>
        <rFont val="Noto Sans CJK SC"/>
        <family val="2"/>
      </rPr>
      <t xml:space="preserve">週最低（上市首日盤中）</t>
    </r>
  </si>
  <si>
    <r>
      <rPr>
        <sz val="10"/>
        <color rgb="FF000000"/>
        <rFont val="Noto Sans CJK SC"/>
        <family val="2"/>
      </rPr>
      <t xml:space="preserve">老虎證券行情頁；</t>
    </r>
    <r>
      <rPr>
        <sz val="10"/>
        <color rgb="FF000000"/>
        <rFont val="Arial"/>
        <family val="0"/>
        <charset val="1"/>
      </rPr>
      <t xml:space="preserve">Investing.com</t>
    </r>
  </si>
  <si>
    <r>
      <rPr>
        <sz val="10"/>
        <color rgb="FF000000"/>
        <rFont val="Arial"/>
        <family val="0"/>
        <charset val="1"/>
      </rPr>
      <t xml:space="preserve">52 </t>
    </r>
    <r>
      <rPr>
        <sz val="10"/>
        <color rgb="FF000000"/>
        <rFont val="Noto Sans CJK SC"/>
        <family val="2"/>
      </rPr>
      <t xml:space="preserve">週區間 </t>
    </r>
    <r>
      <rPr>
        <sz val="10"/>
        <color rgb="FF000000"/>
        <rFont val="Arial"/>
        <family val="0"/>
        <charset val="1"/>
      </rPr>
      <t xml:space="preserve">116.10–2,980.00</t>
    </r>
  </si>
  <si>
    <t xml:space="preserve">SRC_ZP_575</t>
  </si>
  <si>
    <t xml:space="preserve">price_20260721</t>
  </si>
  <si>
    <t xml:space="preserve">收購中科加禾當日股價</t>
  </si>
  <si>
    <t xml:space="preserve">https://wallstreetcn.com/articles/3777553</t>
  </si>
  <si>
    <t xml:space="preserve">市場數據（午後報價）</t>
  </si>
  <si>
    <r>
      <rPr>
        <sz val="10"/>
        <color rgb="FF000000"/>
        <rFont val="Noto Sans CJK SC"/>
        <family val="2"/>
      </rPr>
      <t xml:space="preserve">「報</t>
    </r>
    <r>
      <rPr>
        <sz val="10"/>
        <color rgb="FF000000"/>
        <rFont val="Arial"/>
        <family val="0"/>
        <charset val="1"/>
      </rPr>
      <t xml:space="preserve">1232</t>
    </r>
    <r>
      <rPr>
        <sz val="10"/>
        <color rgb="FF000000"/>
        <rFont val="Noto Sans CJK SC"/>
        <family val="2"/>
      </rPr>
      <t xml:space="preserve">港元</t>
    </r>
    <r>
      <rPr>
        <sz val="10"/>
        <color rgb="FF000000"/>
        <rFont val="Arial"/>
        <family val="0"/>
        <charset val="1"/>
      </rPr>
      <t xml:space="preserve">/</t>
    </r>
    <r>
      <rPr>
        <sz val="10"/>
        <color rgb="FF000000"/>
        <rFont val="Noto Sans CJK SC"/>
        <family val="2"/>
      </rPr>
      <t xml:space="preserve">股」，單日漲 </t>
    </r>
    <r>
      <rPr>
        <sz val="10"/>
        <color rgb="FF000000"/>
        <rFont val="Arial"/>
        <family val="0"/>
        <charset val="1"/>
      </rPr>
      <t xml:space="preserve">38.35%</t>
    </r>
    <r>
      <rPr>
        <sz val="10"/>
        <color rgb="FF000000"/>
        <rFont val="Noto Sans CJK SC"/>
        <family val="2"/>
      </rPr>
      <t xml:space="preserve">；</t>
    </r>
    <r>
      <rPr>
        <sz val="10"/>
        <color rgb="FF000000"/>
        <rFont val="Arial"/>
        <family val="0"/>
        <charset val="1"/>
      </rPr>
      <t xml:space="preserve">7-17 </t>
    </r>
    <r>
      <rPr>
        <sz val="10"/>
        <color rgb="FF000000"/>
        <rFont val="Noto Sans CJK SC"/>
        <family val="2"/>
      </rPr>
      <t xml:space="preserve">跌 </t>
    </r>
    <r>
      <rPr>
        <sz val="10"/>
        <color rgb="FF000000"/>
        <rFont val="Arial"/>
        <family val="0"/>
        <charset val="1"/>
      </rPr>
      <t xml:space="preserve">28.49%</t>
    </r>
    <r>
      <rPr>
        <sz val="10"/>
        <color rgb="FF000000"/>
        <rFont val="Noto Sans CJK SC"/>
        <family val="2"/>
      </rPr>
      <t xml:space="preserve">、</t>
    </r>
    <r>
      <rPr>
        <sz val="10"/>
        <color rgb="FF000000"/>
        <rFont val="Arial"/>
        <family val="0"/>
        <charset val="1"/>
      </rPr>
      <t xml:space="preserve">7-20 </t>
    </r>
    <r>
      <rPr>
        <sz val="10"/>
        <color rgb="FF000000"/>
        <rFont val="Noto Sans CJK SC"/>
        <family val="2"/>
      </rPr>
      <t xml:space="preserve">跌 </t>
    </r>
    <r>
      <rPr>
        <sz val="10"/>
        <color rgb="FF000000"/>
        <rFont val="Arial"/>
        <family val="0"/>
        <charset val="1"/>
      </rPr>
      <t xml:space="preserve">19.56%</t>
    </r>
  </si>
  <si>
    <t xml:space="preserve">SRC_ZP_576</t>
  </si>
  <si>
    <t xml:space="preserve">mgmt_arr_guidance_ye26</t>
  </si>
  <si>
    <r>
      <rPr>
        <sz val="10"/>
        <color rgb="FF000000"/>
        <rFont val="Noto Sans CJK SC"/>
        <family val="2"/>
      </rPr>
      <t xml:space="preserve">管理層年末 </t>
    </r>
    <r>
      <rPr>
        <sz val="10"/>
        <color rgb="FF000000"/>
        <rFont val="Arial"/>
        <family val="0"/>
        <charset val="1"/>
      </rPr>
      <t xml:space="preserve">ARR </t>
    </r>
    <r>
      <rPr>
        <sz val="10"/>
        <color rgb="FF000000"/>
        <rFont val="Noto Sans CJK SC"/>
        <family val="2"/>
      </rPr>
      <t xml:space="preserve">指引</t>
    </r>
  </si>
  <si>
    <t xml:space="preserve">2026-12</t>
  </si>
  <si>
    <t xml:space="preserve">證券日報（同花順轉載）—投資人電話會</t>
  </si>
  <si>
    <r>
      <rPr>
        <sz val="10"/>
        <color rgb="FF000000"/>
        <rFont val="Noto Sans CJK SC"/>
        <family val="2"/>
      </rPr>
      <t xml:space="preserve">智譜（剛完成配售與可轉債；上市後股價、</t>
    </r>
    <r>
      <rPr>
        <sz val="10"/>
        <color rgb="FF000000"/>
        <rFont val="Arial"/>
        <family val="0"/>
        <charset val="1"/>
      </rPr>
      <t xml:space="preserve">2027-07 </t>
    </r>
    <r>
      <rPr>
        <sz val="10"/>
        <color rgb="FF000000"/>
        <rFont val="Noto Sans CJK SC"/>
        <family val="2"/>
      </rPr>
      <t xml:space="preserve">起換股）</t>
    </r>
  </si>
  <si>
    <r>
      <rPr>
        <sz val="10"/>
        <color rgb="FF000000"/>
        <rFont val="Noto Sans CJK SC"/>
        <family val="2"/>
      </rPr>
      <t xml:space="preserve">「年末</t>
    </r>
    <r>
      <rPr>
        <sz val="10"/>
        <color rgb="FF000000"/>
        <rFont val="Arial"/>
        <family val="0"/>
        <charset val="1"/>
      </rPr>
      <t xml:space="preserve">ARR</t>
    </r>
    <r>
      <rPr>
        <sz val="10"/>
        <color rgb="FF000000"/>
        <rFont val="Noto Sans CJK SC"/>
        <family val="2"/>
      </rPr>
      <t xml:space="preserve">指引由</t>
    </r>
    <r>
      <rPr>
        <sz val="10"/>
        <color rgb="FF000000"/>
        <rFont val="Arial"/>
        <family val="0"/>
        <charset val="1"/>
      </rPr>
      <t xml:space="preserve">24</t>
    </r>
    <r>
      <rPr>
        <sz val="10"/>
        <color rgb="FF000000"/>
        <rFont val="Noto Sans CJK SC"/>
        <family val="2"/>
      </rPr>
      <t xml:space="preserve">億美元上調至</t>
    </r>
    <r>
      <rPr>
        <sz val="10"/>
        <color rgb="FF000000"/>
        <rFont val="Arial"/>
        <family val="0"/>
        <charset val="1"/>
      </rPr>
      <t xml:space="preserve">30</t>
    </r>
    <r>
      <rPr>
        <sz val="10"/>
        <color rgb="FF000000"/>
        <rFont val="Noto Sans CJK SC"/>
        <family val="2"/>
      </rPr>
      <t xml:space="preserve">億美元」；當時 </t>
    </r>
    <r>
      <rPr>
        <sz val="10"/>
        <color rgb="FF000000"/>
        <rFont val="Arial"/>
        <family val="0"/>
        <charset val="1"/>
      </rPr>
      <t xml:space="preserve">ARR 18 </t>
    </r>
    <r>
      <rPr>
        <sz val="10"/>
        <color rgb="FF000000"/>
        <rFont val="Noto Sans CJK SC"/>
        <family val="2"/>
      </rPr>
      <t xml:space="preserve">億美元</t>
    </r>
  </si>
  <si>
    <t xml:space="preserve">SRC_ZP_577</t>
  </si>
  <si>
    <t xml:space="preserve">mgmt_arr_guidance_prior</t>
  </si>
  <si>
    <r>
      <rPr>
        <sz val="10"/>
        <color rgb="FF000000"/>
        <rFont val="Noto Sans CJK SC"/>
        <family val="2"/>
      </rPr>
      <t xml:space="preserve">管理層年末 </t>
    </r>
    <r>
      <rPr>
        <sz val="10"/>
        <color rgb="FF000000"/>
        <rFont val="Arial"/>
        <family val="0"/>
        <charset val="1"/>
      </rPr>
      <t xml:space="preserve">ARR </t>
    </r>
    <r>
      <rPr>
        <sz val="10"/>
        <color rgb="FF000000"/>
        <rFont val="Noto Sans CJK SC"/>
        <family val="2"/>
      </rPr>
      <t xml:space="preserve">指引（上調前）</t>
    </r>
  </si>
  <si>
    <t xml:space="preserve">證券日報（同花順轉載）</t>
  </si>
  <si>
    <t xml:space="preserve">智譜</t>
  </si>
  <si>
    <r>
      <rPr>
        <sz val="10"/>
        <color rgb="FF000000"/>
        <rFont val="Noto Sans CJK SC"/>
        <family val="2"/>
      </rPr>
      <t xml:space="preserve">先前指引 </t>
    </r>
    <r>
      <rPr>
        <sz val="10"/>
        <color rgb="FF000000"/>
        <rFont val="Arial"/>
        <family val="0"/>
        <charset val="1"/>
      </rPr>
      <t xml:space="preserve">24 </t>
    </r>
    <r>
      <rPr>
        <sz val="10"/>
        <color rgb="FF000000"/>
        <rFont val="Noto Sans CJK SC"/>
        <family val="2"/>
      </rPr>
      <t xml:space="preserve">億美元（招商證券國際亦稱「預期年底年化收入</t>
    </r>
    <r>
      <rPr>
        <sz val="10"/>
        <color rgb="FF000000"/>
        <rFont val="Arial"/>
        <family val="0"/>
        <charset val="1"/>
      </rPr>
      <t xml:space="preserve">24</t>
    </r>
    <r>
      <rPr>
        <sz val="10"/>
        <color rgb="FF000000"/>
        <rFont val="Noto Sans CJK SC"/>
        <family val="2"/>
      </rPr>
      <t xml:space="preserve">億美元」）</t>
    </r>
  </si>
  <si>
    <t xml:space="preserve">SRC_ZP_578</t>
  </si>
  <si>
    <t xml:space="preserve">mgmt_arr_current_0916</t>
  </si>
  <si>
    <r>
      <rPr>
        <sz val="10"/>
        <color rgb="FF000000"/>
        <rFont val="Noto Sans CJK SC"/>
        <family val="2"/>
      </rPr>
      <t xml:space="preserve">全公司 </t>
    </r>
    <r>
      <rPr>
        <sz val="10"/>
        <color rgb="FF000000"/>
        <rFont val="Arial"/>
        <family val="0"/>
        <charset val="1"/>
      </rPr>
      <t xml:space="preserve">ARR</t>
    </r>
    <r>
      <rPr>
        <sz val="10"/>
        <color rgb="FF000000"/>
        <rFont val="Noto Sans CJK SC"/>
        <family val="2"/>
      </rPr>
      <t xml:space="preserve">（管理層）</t>
    </r>
  </si>
  <si>
    <r>
      <rPr>
        <sz val="10"/>
        <color rgb="FF000000"/>
        <rFont val="Noto Sans CJK SC"/>
        <family val="2"/>
      </rPr>
      <t xml:space="preserve">管理層口徑（</t>
    </r>
    <r>
      <rPr>
        <sz val="10"/>
        <color rgb="FF000000"/>
        <rFont val="Arial"/>
        <family val="0"/>
        <charset val="1"/>
      </rPr>
      <t xml:space="preserve">ARR </t>
    </r>
    <r>
      <rPr>
        <sz val="10"/>
        <color rgb="FF000000"/>
        <rFont val="Noto Sans CJK SC"/>
        <family val="2"/>
      </rPr>
      <t xml:space="preserve">定義未揭露）</t>
    </r>
  </si>
  <si>
    <r>
      <rPr>
        <sz val="10"/>
        <color rgb="FF000000"/>
        <rFont val="Noto Sans CJK SC"/>
        <family val="2"/>
      </rPr>
      <t xml:space="preserve">全公司 </t>
    </r>
    <r>
      <rPr>
        <sz val="10"/>
        <color rgb="FF000000"/>
        <rFont val="Arial"/>
        <family val="0"/>
        <charset val="1"/>
      </rPr>
      <t xml:space="preserve">ARR 18 </t>
    </r>
    <r>
      <rPr>
        <sz val="10"/>
        <color rgb="FF000000"/>
        <rFont val="Noto Sans CJK SC"/>
        <family val="2"/>
      </rPr>
      <t xml:space="preserve">億美元；</t>
    </r>
    <r>
      <rPr>
        <sz val="10"/>
        <color rgb="FF000000"/>
        <rFont val="Arial"/>
        <family val="0"/>
        <charset val="1"/>
      </rPr>
      <t xml:space="preserve">8 </t>
    </r>
    <r>
      <rPr>
        <sz val="10"/>
        <color rgb="FF000000"/>
        <rFont val="Noto Sans CJK SC"/>
        <family val="2"/>
      </rPr>
      <t xml:space="preserve">月 </t>
    </r>
    <r>
      <rPr>
        <sz val="10"/>
        <color rgb="FF000000"/>
        <rFont val="Arial"/>
        <family val="0"/>
        <charset val="1"/>
      </rPr>
      <t xml:space="preserve">API </t>
    </r>
    <r>
      <rPr>
        <sz val="10"/>
        <color rgb="FF000000"/>
        <rFont val="Noto Sans CJK SC"/>
        <family val="2"/>
      </rPr>
      <t xml:space="preserve">月收入年化約 </t>
    </r>
    <r>
      <rPr>
        <sz val="10"/>
        <color rgb="FF000000"/>
        <rFont val="Arial"/>
        <family val="0"/>
        <charset val="1"/>
      </rPr>
      <t xml:space="preserve">16 </t>
    </r>
    <r>
      <rPr>
        <sz val="10"/>
        <color rgb="FF000000"/>
        <rFont val="Noto Sans CJK SC"/>
        <family val="2"/>
      </rPr>
      <t xml:space="preserve">億美元（財聯社）</t>
    </r>
  </si>
  <si>
    <t xml:space="preserve">SRC_ZP_579</t>
  </si>
  <si>
    <t xml:space="preserve">mgmt_arr_aug_api</t>
  </si>
  <si>
    <r>
      <rPr>
        <sz val="10"/>
        <color rgb="FF000000"/>
        <rFont val="Arial"/>
        <family val="0"/>
        <charset val="1"/>
      </rPr>
      <t xml:space="preserve">8 </t>
    </r>
    <r>
      <rPr>
        <sz val="10"/>
        <color rgb="FF000000"/>
        <rFont val="Noto Sans CJK SC"/>
        <family val="2"/>
      </rPr>
      <t xml:space="preserve">月收入年化 </t>
    </r>
    <r>
      <rPr>
        <sz val="10"/>
        <color rgb="FF000000"/>
        <rFont val="Arial"/>
        <family val="0"/>
        <charset val="1"/>
      </rPr>
      <t xml:space="preserve">ARR</t>
    </r>
    <r>
      <rPr>
        <sz val="10"/>
        <color rgb="FF000000"/>
        <rFont val="Noto Sans CJK SC"/>
        <family val="2"/>
      </rPr>
      <t xml:space="preserve">（管理層）</t>
    </r>
  </si>
  <si>
    <t xml:space="preserve">財聯社（中期業績會）</t>
  </si>
  <si>
    <r>
      <rPr>
        <sz val="10"/>
        <color rgb="FF000000"/>
        <rFont val="Arial"/>
        <family val="0"/>
        <charset val="1"/>
      </rPr>
      <t xml:space="preserve">8 </t>
    </r>
    <r>
      <rPr>
        <sz val="10"/>
        <color rgb="FF000000"/>
        <rFont val="Noto Sans CJK SC"/>
        <family val="2"/>
      </rPr>
      <t xml:space="preserve">月月收入年化約 </t>
    </r>
    <r>
      <rPr>
        <sz val="10"/>
        <color rgb="FF000000"/>
        <rFont val="Arial"/>
        <family val="0"/>
        <charset val="1"/>
      </rPr>
      <t xml:space="preserve">16 </t>
    </r>
    <r>
      <rPr>
        <sz val="10"/>
        <color rgb="FF000000"/>
        <rFont val="Noto Sans CJK SC"/>
        <family val="2"/>
      </rPr>
      <t xml:space="preserve">億美元；週收入</t>
    </r>
    <r>
      <rPr>
        <sz val="10"/>
        <color rgb="FF000000"/>
        <rFont val="Arial"/>
        <family val="0"/>
        <charset val="1"/>
      </rPr>
      <t xml:space="preserve">×52 </t>
    </r>
    <r>
      <rPr>
        <sz val="10"/>
        <color rgb="FF000000"/>
        <rFont val="Noto Sans CJK SC"/>
        <family val="2"/>
      </rPr>
      <t xml:space="preserve">激進口徑超 </t>
    </r>
    <r>
      <rPr>
        <sz val="10"/>
        <color rgb="FF000000"/>
        <rFont val="Arial"/>
        <family val="0"/>
        <charset val="1"/>
      </rPr>
      <t xml:space="preserve">20 </t>
    </r>
    <r>
      <rPr>
        <sz val="10"/>
        <color rgb="FF000000"/>
        <rFont val="Noto Sans CJK SC"/>
        <family val="2"/>
      </rPr>
      <t xml:space="preserve">億美元</t>
    </r>
  </si>
  <si>
    <t xml:space="preserve">SRC_ZP_580</t>
  </si>
  <si>
    <t xml:space="preserve">mgmt_inference_cost_cut</t>
  </si>
  <si>
    <r>
      <rPr>
        <sz val="10"/>
        <color rgb="FF000000"/>
        <rFont val="Noto Sans CJK SC"/>
        <family val="2"/>
      </rPr>
      <t xml:space="preserve">年初至今每 </t>
    </r>
    <r>
      <rPr>
        <sz val="10"/>
        <color rgb="FF000000"/>
        <rFont val="Arial"/>
        <family val="0"/>
        <charset val="1"/>
      </rPr>
      <t xml:space="preserve">token </t>
    </r>
    <r>
      <rPr>
        <sz val="10"/>
        <color rgb="FF000000"/>
        <rFont val="Noto Sans CJK SC"/>
        <family val="2"/>
      </rPr>
      <t xml:space="preserve">推論成本降幅（管理層）</t>
    </r>
  </si>
  <si>
    <r>
      <rPr>
        <sz val="10"/>
        <color rgb="FF000000"/>
        <rFont val="Arial"/>
        <family val="0"/>
        <charset val="1"/>
      </rPr>
      <t xml:space="preserve">2026-01</t>
    </r>
    <r>
      <rPr>
        <sz val="10"/>
        <color rgb="FF000000"/>
        <rFont val="Noto Sans CJK SC"/>
        <family val="2"/>
      </rPr>
      <t xml:space="preserve">～</t>
    </r>
    <r>
      <rPr>
        <sz val="10"/>
        <color rgb="FF000000"/>
        <rFont val="Arial"/>
        <family val="0"/>
        <charset val="1"/>
      </rPr>
      <t xml:space="preserve">08</t>
    </r>
  </si>
  <si>
    <r>
      <rPr>
        <sz val="10"/>
        <color rgb="FF000000"/>
        <rFont val="Noto Sans CJK SC"/>
        <family val="2"/>
      </rPr>
      <t xml:space="preserve">「</t>
    </r>
    <r>
      <rPr>
        <sz val="10"/>
        <color rgb="FF000000"/>
        <rFont val="Arial"/>
        <family val="0"/>
        <charset val="1"/>
      </rPr>
      <t xml:space="preserve">10</t>
    </r>
    <r>
      <rPr>
        <sz val="10"/>
        <color rgb="FF000000"/>
        <rFont val="Noto Sans CJK SC"/>
        <family val="2"/>
      </rPr>
      <t xml:space="preserve">萬級國產晶片」部署使單 </t>
    </r>
    <r>
      <rPr>
        <sz val="10"/>
        <color rgb="FF000000"/>
        <rFont val="Arial"/>
        <family val="0"/>
        <charset val="1"/>
      </rPr>
      <t xml:space="preserve">token </t>
    </r>
    <r>
      <rPr>
        <sz val="10"/>
        <color rgb="FF000000"/>
        <rFont val="Noto Sans CJK SC"/>
        <family val="2"/>
      </rPr>
      <t xml:space="preserve">推論成本下降約 </t>
    </r>
    <r>
      <rPr>
        <sz val="10"/>
        <color rgb="FF000000"/>
        <rFont val="Arial"/>
        <family val="0"/>
        <charset val="1"/>
      </rPr>
      <t xml:space="preserve">80%</t>
    </r>
    <r>
      <rPr>
        <sz val="10"/>
        <color rgb="FF000000"/>
        <rFont val="Noto Sans CJK SC"/>
        <family val="2"/>
      </rPr>
      <t xml:space="preserve">（轉述）</t>
    </r>
  </si>
  <si>
    <t xml:space="preserve">SRC_ZP_581</t>
  </si>
  <si>
    <t xml:space="preserve">mgmt_profit_target</t>
  </si>
  <si>
    <t xml:space="preserve">管理層獲利時點量化目標</t>
  </si>
  <si>
    <t xml:space="preserve">年</t>
  </si>
  <si>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中期業績公告「未來展望」</t>
    </r>
  </si>
  <si>
    <t xml:space="preserve">質化</t>
  </si>
  <si>
    <t xml:space="preserve">展望無獲利或毛利目標；僅稱「毛利率有望企穩回升」（企業智能體分部）</t>
  </si>
  <si>
    <t xml:space="preserve">SRC_ZP_582</t>
  </si>
  <si>
    <t xml:space="preserve">cons_rev_fy26</t>
  </si>
  <si>
    <r>
      <rPr>
        <sz val="10"/>
        <color rgb="FF000000"/>
        <rFont val="Noto Sans CJK SC"/>
        <family val="2"/>
      </rPr>
      <t xml:space="preserve">共識營收 </t>
    </r>
    <r>
      <rPr>
        <sz val="10"/>
        <color rgb="FF000000"/>
        <rFont val="Arial"/>
        <family val="0"/>
        <charset val="1"/>
      </rPr>
      <t xml:space="preserve">FY2026</t>
    </r>
  </si>
  <si>
    <t xml:space="preserve">FY2026</t>
  </si>
  <si>
    <r>
      <rPr>
        <sz val="10"/>
        <color rgb="FF000000"/>
        <rFont val="Arial"/>
        <family val="0"/>
        <charset val="1"/>
      </rPr>
      <t xml:space="preserve">Simply Wall St</t>
    </r>
    <r>
      <rPr>
        <sz val="10"/>
        <color rgb="FF000000"/>
        <rFont val="Noto Sans CJK SC"/>
        <family val="2"/>
      </rPr>
      <t xml:space="preserve">（共識，</t>
    </r>
    <r>
      <rPr>
        <sz val="10"/>
        <color rgb="FF000000"/>
        <rFont val="Arial"/>
        <family val="0"/>
        <charset val="1"/>
      </rPr>
      <t xml:space="preserve">23 </t>
    </r>
    <r>
      <rPr>
        <sz val="10"/>
        <color rgb="FF000000"/>
        <rFont val="Noto Sans CJK SC"/>
        <family val="2"/>
      </rPr>
      <t xml:space="preserve">位分析師）</t>
    </r>
  </si>
  <si>
    <t xml:space="preserve">https://simplywall.st/stocks/hk/software/shsc-2513/zai-shares/future</t>
  </si>
  <si>
    <t xml:space="preserve">2026-10-06</t>
  </si>
  <si>
    <r>
      <rPr>
        <sz val="10"/>
        <color rgb="FF000000"/>
        <rFont val="Noto Sans CJK SC"/>
        <family val="2"/>
      </rPr>
      <t xml:space="preserve">券商（承銷、交易誘因；中金、國泰君安為 </t>
    </r>
    <r>
      <rPr>
        <sz val="10"/>
        <color rgb="FF000000"/>
        <rFont val="Arial"/>
        <family val="0"/>
        <charset val="1"/>
      </rPr>
      <t xml:space="preserve">2026-09 </t>
    </r>
    <r>
      <rPr>
        <sz val="10"/>
        <color rgb="FF000000"/>
        <rFont val="Noto Sans CJK SC"/>
        <family val="2"/>
      </rPr>
      <t xml:space="preserve">配售承銷）</t>
    </r>
  </si>
  <si>
    <t xml:space="preserve">共識</t>
  </si>
  <si>
    <r>
      <rPr>
        <sz val="10"/>
        <color rgb="FF000000"/>
        <rFont val="Arial"/>
        <family val="0"/>
        <charset val="1"/>
      </rPr>
      <t xml:space="preserve">FY2026 </t>
    </r>
    <r>
      <rPr>
        <sz val="10"/>
        <color rgb="FF000000"/>
        <rFont val="Noto Sans CJK SC"/>
        <family val="2"/>
      </rPr>
      <t xml:space="preserve">營收 </t>
    </r>
    <r>
      <rPr>
        <sz val="10"/>
        <color rgb="FF000000"/>
        <rFont val="Arial"/>
        <family val="0"/>
        <charset val="1"/>
      </rPr>
      <t xml:space="preserve">6,048 </t>
    </r>
    <r>
      <rPr>
        <sz val="10"/>
        <color rgb="FF000000"/>
        <rFont val="Noto Sans CJK SC"/>
        <family val="2"/>
      </rPr>
      <t xml:space="preserve">百萬元；淨利 </t>
    </r>
    <r>
      <rPr>
        <sz val="10"/>
        <color rgb="FF000000"/>
        <rFont val="Arial"/>
        <family val="0"/>
        <charset val="1"/>
      </rPr>
      <t xml:space="preserve">-4,594</t>
    </r>
  </si>
  <si>
    <t xml:space="preserve">SRC_ZP_583</t>
  </si>
  <si>
    <t xml:space="preserve">cons_rev_fy27</t>
  </si>
  <si>
    <r>
      <rPr>
        <sz val="10"/>
        <color rgb="FF000000"/>
        <rFont val="Noto Sans CJK SC"/>
        <family val="2"/>
      </rPr>
      <t xml:space="preserve">共識營收 </t>
    </r>
    <r>
      <rPr>
        <sz val="10"/>
        <color rgb="FF000000"/>
        <rFont val="Arial"/>
        <family val="0"/>
        <charset val="1"/>
      </rPr>
      <t xml:space="preserve">FY2027</t>
    </r>
  </si>
  <si>
    <t xml:space="preserve">FY2027</t>
  </si>
  <si>
    <r>
      <rPr>
        <sz val="10"/>
        <color rgb="FF000000"/>
        <rFont val="Arial"/>
        <family val="0"/>
        <charset val="1"/>
      </rPr>
      <t xml:space="preserve">Simply Wall St</t>
    </r>
    <r>
      <rPr>
        <sz val="10"/>
        <color rgb="FF000000"/>
        <rFont val="Noto Sans CJK SC"/>
        <family val="2"/>
      </rPr>
      <t xml:space="preserve">（共識，</t>
    </r>
    <r>
      <rPr>
        <sz val="10"/>
        <color rgb="FF000000"/>
        <rFont val="Arial"/>
        <family val="0"/>
        <charset val="1"/>
      </rPr>
      <t xml:space="preserve">23 </t>
    </r>
    <r>
      <rPr>
        <sz val="10"/>
        <color rgb="FF000000"/>
        <rFont val="Noto Sans CJK SC"/>
        <family val="2"/>
      </rPr>
      <t xml:space="preserve">位）</t>
    </r>
  </si>
  <si>
    <t xml:space="preserve">券商（承銷、交易誘因）</t>
  </si>
  <si>
    <r>
      <rPr>
        <sz val="10"/>
        <color rgb="FF000000"/>
        <rFont val="Arial"/>
        <family val="0"/>
        <charset val="1"/>
      </rPr>
      <t xml:space="preserve">FY2027 </t>
    </r>
    <r>
      <rPr>
        <sz val="10"/>
        <color rgb="FF000000"/>
        <rFont val="Noto Sans CJK SC"/>
        <family val="2"/>
      </rPr>
      <t xml:space="preserve">營收 </t>
    </r>
    <r>
      <rPr>
        <sz val="10"/>
        <color rgb="FF000000"/>
        <rFont val="Arial"/>
        <family val="0"/>
        <charset val="1"/>
      </rPr>
      <t xml:space="preserve">18,013</t>
    </r>
    <r>
      <rPr>
        <sz val="10"/>
        <color rgb="FF000000"/>
        <rFont val="Noto Sans CJK SC"/>
        <family val="2"/>
      </rPr>
      <t xml:space="preserve">；淨利 </t>
    </r>
    <r>
      <rPr>
        <sz val="10"/>
        <color rgb="FF000000"/>
        <rFont val="Arial"/>
        <family val="0"/>
        <charset val="1"/>
      </rPr>
      <t xml:space="preserve">-4,072</t>
    </r>
  </si>
  <si>
    <t xml:space="preserve">SRC_ZP_584</t>
  </si>
  <si>
    <t xml:space="preserve">cons_rev_fy28</t>
  </si>
  <si>
    <r>
      <rPr>
        <sz val="10"/>
        <color rgb="FF000000"/>
        <rFont val="Noto Sans CJK SC"/>
        <family val="2"/>
      </rPr>
      <t xml:space="preserve">共識營收 </t>
    </r>
    <r>
      <rPr>
        <sz val="10"/>
        <color rgb="FF000000"/>
        <rFont val="Arial"/>
        <family val="0"/>
        <charset val="1"/>
      </rPr>
      <t xml:space="preserve">FY2028</t>
    </r>
  </si>
  <si>
    <t xml:space="preserve">FY2028</t>
  </si>
  <si>
    <r>
      <rPr>
        <sz val="10"/>
        <color rgb="FF000000"/>
        <rFont val="Arial"/>
        <family val="0"/>
        <charset val="1"/>
      </rPr>
      <t xml:space="preserve">Simply Wall St</t>
    </r>
    <r>
      <rPr>
        <sz val="10"/>
        <color rgb="FF000000"/>
        <rFont val="Noto Sans CJK SC"/>
        <family val="2"/>
      </rPr>
      <t xml:space="preserve">（共識，</t>
    </r>
    <r>
      <rPr>
        <sz val="10"/>
        <color rgb="FF000000"/>
        <rFont val="Arial"/>
        <family val="0"/>
        <charset val="1"/>
      </rPr>
      <t xml:space="preserve">21 </t>
    </r>
    <r>
      <rPr>
        <sz val="10"/>
        <color rgb="FF000000"/>
        <rFont val="Noto Sans CJK SC"/>
        <family val="2"/>
      </rPr>
      <t xml:space="preserve">位）</t>
    </r>
  </si>
  <si>
    <r>
      <rPr>
        <sz val="10"/>
        <color rgb="FF000000"/>
        <rFont val="Arial"/>
        <family val="0"/>
        <charset val="1"/>
      </rPr>
      <t xml:space="preserve">FY2028 </t>
    </r>
    <r>
      <rPr>
        <sz val="10"/>
        <color rgb="FF000000"/>
        <rFont val="Noto Sans CJK SC"/>
        <family val="2"/>
      </rPr>
      <t xml:space="preserve">營收 </t>
    </r>
    <r>
      <rPr>
        <sz val="10"/>
        <color rgb="FF000000"/>
        <rFont val="Arial"/>
        <family val="0"/>
        <charset val="1"/>
      </rPr>
      <t xml:space="preserve">37,900</t>
    </r>
    <r>
      <rPr>
        <sz val="10"/>
        <color rgb="FF000000"/>
        <rFont val="Noto Sans CJK SC"/>
        <family val="2"/>
      </rPr>
      <t xml:space="preserve">；淨利 </t>
    </r>
    <r>
      <rPr>
        <sz val="10"/>
        <color rgb="FF000000"/>
        <rFont val="Arial"/>
        <family val="0"/>
        <charset val="1"/>
      </rPr>
      <t xml:space="preserve">-882</t>
    </r>
  </si>
  <si>
    <t xml:space="preserve">SRC_ZP_585</t>
  </si>
  <si>
    <t xml:space="preserve">cons_ni_fy26</t>
  </si>
  <si>
    <r>
      <rPr>
        <sz val="10"/>
        <color rgb="FF000000"/>
        <rFont val="Noto Sans CJK SC"/>
        <family val="2"/>
      </rPr>
      <t xml:space="preserve">共識淨利 </t>
    </r>
    <r>
      <rPr>
        <sz val="10"/>
        <color rgb="FF000000"/>
        <rFont val="Arial"/>
        <family val="0"/>
        <charset val="1"/>
      </rPr>
      <t xml:space="preserve">FY2026</t>
    </r>
  </si>
  <si>
    <t xml:space="preserve">Simply Wall St</t>
  </si>
  <si>
    <r>
      <rPr>
        <sz val="10"/>
        <color rgb="FF000000"/>
        <rFont val="Arial"/>
        <family val="0"/>
        <charset val="1"/>
      </rPr>
      <t xml:space="preserve">FY2027 -4,072</t>
    </r>
    <r>
      <rPr>
        <sz val="10"/>
        <color rgb="FF000000"/>
        <rFont val="Noto Sans CJK SC"/>
        <family val="2"/>
      </rPr>
      <t xml:space="preserve">、</t>
    </r>
    <r>
      <rPr>
        <sz val="10"/>
        <color rgb="FF000000"/>
        <rFont val="Arial"/>
        <family val="0"/>
        <charset val="1"/>
      </rPr>
      <t xml:space="preserve">FY2028 -882</t>
    </r>
  </si>
  <si>
    <t xml:space="preserve">SRC_ZP_586</t>
  </si>
  <si>
    <t xml:space="preserve">cons_rev_fy26_b</t>
  </si>
  <si>
    <r>
      <rPr>
        <sz val="10"/>
        <color rgb="FF000000"/>
        <rFont val="Noto Sans CJK SC"/>
        <family val="2"/>
      </rPr>
      <t xml:space="preserve">共識營收 </t>
    </r>
    <r>
      <rPr>
        <sz val="10"/>
        <color rgb="FF000000"/>
        <rFont val="Arial"/>
        <family val="0"/>
        <charset val="1"/>
      </rPr>
      <t xml:space="preserve">FY2026</t>
    </r>
    <r>
      <rPr>
        <sz val="10"/>
        <color rgb="FF000000"/>
        <rFont val="Noto Sans CJK SC"/>
        <family val="2"/>
      </rPr>
      <t xml:space="preserve">（</t>
    </r>
    <r>
      <rPr>
        <sz val="10"/>
        <color rgb="FF000000"/>
        <rFont val="Arial"/>
        <family val="0"/>
        <charset val="1"/>
      </rPr>
      <t xml:space="preserve">2026-09 </t>
    </r>
    <r>
      <rPr>
        <sz val="10"/>
        <color rgb="FF000000"/>
        <rFont val="Noto Sans CJK SC"/>
        <family val="2"/>
      </rPr>
      <t xml:space="preserve">初）</t>
    </r>
  </si>
  <si>
    <r>
      <rPr>
        <sz val="10"/>
        <color rgb="FF000000"/>
        <rFont val="Arial"/>
        <family val="0"/>
        <charset val="1"/>
      </rPr>
      <t xml:space="preserve">RMB </t>
    </r>
    <r>
      <rPr>
        <sz val="10"/>
        <color rgb="FF000000"/>
        <rFont val="Noto Sans CJK SC"/>
        <family val="2"/>
      </rPr>
      <t xml:space="preserve">十億</t>
    </r>
  </si>
  <si>
    <r>
      <rPr>
        <sz val="10"/>
        <color rgb="FF000000"/>
        <rFont val="Arial"/>
        <family val="0"/>
        <charset val="1"/>
      </rPr>
      <t xml:space="preserve">Simply Wall St</t>
    </r>
    <r>
      <rPr>
        <sz val="10"/>
        <color rgb="FF000000"/>
        <rFont val="Noto Sans CJK SC"/>
        <family val="2"/>
      </rPr>
      <t xml:space="preserve">（</t>
    </r>
    <r>
      <rPr>
        <sz val="10"/>
        <color rgb="FF000000"/>
        <rFont val="Arial"/>
        <family val="0"/>
        <charset val="1"/>
      </rPr>
      <t xml:space="preserve">Webull </t>
    </r>
    <r>
      <rPr>
        <sz val="10"/>
        <color rgb="FF000000"/>
        <rFont val="Noto Sans CJK SC"/>
        <family val="2"/>
      </rPr>
      <t xml:space="preserve">轉載，</t>
    </r>
    <r>
      <rPr>
        <sz val="10"/>
        <color rgb="FF000000"/>
        <rFont val="Arial"/>
        <family val="0"/>
        <charset val="1"/>
      </rPr>
      <t xml:space="preserve">20 </t>
    </r>
    <r>
      <rPr>
        <sz val="10"/>
        <color rgb="FF000000"/>
        <rFont val="Noto Sans CJK SC"/>
        <family val="2"/>
      </rPr>
      <t xml:space="preserve">位）</t>
    </r>
  </si>
  <si>
    <t xml:space="preserve">https://www.webull.com/news/15528566565184512</t>
  </si>
  <si>
    <t xml:space="preserve">2026-09-06</t>
  </si>
  <si>
    <r>
      <rPr>
        <sz val="10"/>
        <color rgb="FF000000"/>
        <rFont val="Noto Sans CJK SC"/>
        <family val="2"/>
      </rPr>
      <t xml:space="preserve">「</t>
    </r>
    <r>
      <rPr>
        <sz val="10"/>
        <color rgb="FF000000"/>
        <rFont val="Arial"/>
        <family val="0"/>
        <charset val="1"/>
      </rPr>
      <t xml:space="preserve">CN¥6.1b</t>
    </r>
    <r>
      <rPr>
        <sz val="10"/>
        <color rgb="FF000000"/>
        <rFont val="Noto Sans CJK SC"/>
        <family val="2"/>
      </rPr>
      <t xml:space="preserve">」，前值 </t>
    </r>
    <r>
      <rPr>
        <sz val="10"/>
        <color rgb="FF000000"/>
        <rFont val="Arial"/>
        <family val="0"/>
        <charset val="1"/>
      </rPr>
      <t xml:space="preserve">CN¥4.0b</t>
    </r>
  </si>
  <si>
    <t xml:space="preserve">SRC_ZP_587</t>
  </si>
  <si>
    <t xml:space="preserve">cons_tp_avg</t>
  </si>
  <si>
    <t xml:space="preserve">共識平均目標價</t>
  </si>
  <si>
    <r>
      <rPr>
        <sz val="10"/>
        <color rgb="FF000000"/>
        <rFont val="Arial"/>
        <family val="0"/>
        <charset val="1"/>
      </rPr>
      <t xml:space="preserve">Investing.com</t>
    </r>
    <r>
      <rPr>
        <sz val="10"/>
        <color rgb="FF000000"/>
        <rFont val="Noto Sans CJK SC"/>
        <family val="2"/>
      </rPr>
      <t xml:space="preserve">（</t>
    </r>
    <r>
      <rPr>
        <sz val="10"/>
        <color rgb="FF000000"/>
        <rFont val="Arial"/>
        <family val="0"/>
        <charset val="1"/>
      </rPr>
      <t xml:space="preserve">24 </t>
    </r>
    <r>
      <rPr>
        <sz val="10"/>
        <color rgb="FF000000"/>
        <rFont val="Noto Sans CJK SC"/>
        <family val="2"/>
      </rPr>
      <t xml:space="preserve">位：</t>
    </r>
    <r>
      <rPr>
        <sz val="10"/>
        <color rgb="FF000000"/>
        <rFont val="Arial"/>
        <family val="0"/>
        <charset val="1"/>
      </rPr>
      <t xml:space="preserve">19 </t>
    </r>
    <r>
      <rPr>
        <sz val="10"/>
        <color rgb="FF000000"/>
        <rFont val="Noto Sans CJK SC"/>
        <family val="2"/>
      </rPr>
      <t xml:space="preserve">買入、</t>
    </r>
    <r>
      <rPr>
        <sz val="10"/>
        <color rgb="FF000000"/>
        <rFont val="Arial"/>
        <family val="0"/>
        <charset val="1"/>
      </rPr>
      <t xml:space="preserve">4 </t>
    </r>
    <r>
      <rPr>
        <sz val="10"/>
        <color rgb="FF000000"/>
        <rFont val="Noto Sans CJK SC"/>
        <family val="2"/>
      </rPr>
      <t xml:space="preserve">持有、</t>
    </r>
    <r>
      <rPr>
        <sz val="10"/>
        <color rgb="FF000000"/>
        <rFont val="Arial"/>
        <family val="0"/>
        <charset val="1"/>
      </rPr>
      <t xml:space="preserve">1 </t>
    </r>
    <r>
      <rPr>
        <sz val="10"/>
        <color rgb="FF000000"/>
        <rFont val="Noto Sans CJK SC"/>
        <family val="2"/>
      </rPr>
      <t xml:space="preserve">賣出）</t>
    </r>
  </si>
  <si>
    <r>
      <rPr>
        <sz val="10"/>
        <color rgb="FF000000"/>
        <rFont val="Noto Sans CJK SC"/>
        <family val="2"/>
      </rPr>
      <t xml:space="preserve">平均 </t>
    </r>
    <r>
      <rPr>
        <sz val="10"/>
        <color rgb="FF000000"/>
        <rFont val="Arial"/>
        <family val="0"/>
        <charset val="1"/>
      </rPr>
      <t xml:space="preserve">12 </t>
    </r>
    <r>
      <rPr>
        <sz val="10"/>
        <color rgb="FF000000"/>
        <rFont val="Noto Sans CJK SC"/>
        <family val="2"/>
      </rPr>
      <t xml:space="preserve">個月目標價 </t>
    </r>
    <r>
      <rPr>
        <sz val="10"/>
        <color rgb="FF000000"/>
        <rFont val="Arial"/>
        <family val="0"/>
        <charset val="1"/>
      </rPr>
      <t xml:space="preserve">1,567.30 </t>
    </r>
    <r>
      <rPr>
        <sz val="10"/>
        <color rgb="FF000000"/>
        <rFont val="Noto Sans CJK SC"/>
        <family val="2"/>
      </rPr>
      <t xml:space="preserve">港元，評級共識「買入」</t>
    </r>
  </si>
  <si>
    <t xml:space="preserve">SRC_ZP_588</t>
  </si>
  <si>
    <t xml:space="preserve">cons_tp_avg_b</t>
  </si>
  <si>
    <r>
      <rPr>
        <sz val="10"/>
        <color rgb="FF000000"/>
        <rFont val="Noto Sans CJK SC"/>
        <family val="2"/>
      </rPr>
      <t xml:space="preserve">共識目標價（</t>
    </r>
    <r>
      <rPr>
        <sz val="10"/>
        <color rgb="FF000000"/>
        <rFont val="Arial"/>
        <family val="0"/>
        <charset val="1"/>
      </rPr>
      <t xml:space="preserve">Simply Wall St</t>
    </r>
    <r>
      <rPr>
        <sz val="10"/>
        <color rgb="FF000000"/>
        <rFont val="Noto Sans CJK SC"/>
        <family val="2"/>
      </rPr>
      <t xml:space="preserve">，以 </t>
    </r>
    <r>
      <rPr>
        <sz val="10"/>
        <color rgb="FF000000"/>
        <rFont val="Arial"/>
        <family val="0"/>
        <charset val="1"/>
      </rPr>
      <t xml:space="preserve">CN¥ </t>
    </r>
    <r>
      <rPr>
        <sz val="10"/>
        <color rgb="FF000000"/>
        <rFont val="Noto Sans CJK SC"/>
        <family val="2"/>
      </rPr>
      <t xml:space="preserve">標示）</t>
    </r>
  </si>
  <si>
    <r>
      <rPr>
        <sz val="10"/>
        <color rgb="FF000000"/>
        <rFont val="Arial"/>
        <family val="0"/>
        <charset val="1"/>
      </rPr>
      <t xml:space="preserve">CNY</t>
    </r>
    <r>
      <rPr>
        <sz val="10"/>
        <color rgb="FF000000"/>
        <rFont val="Noto Sans CJK SC"/>
        <family val="2"/>
      </rPr>
      <t xml:space="preserve">／股（頁面標示）</t>
    </r>
  </si>
  <si>
    <r>
      <rPr>
        <sz val="10"/>
        <color rgb="FF000000"/>
        <rFont val="Arial"/>
        <family val="0"/>
        <charset val="1"/>
      </rPr>
      <t xml:space="preserve">Simply Wall St</t>
    </r>
    <r>
      <rPr>
        <sz val="10"/>
        <color rgb="FF000000"/>
        <rFont val="Noto Sans CJK SC"/>
        <family val="2"/>
      </rPr>
      <t xml:space="preserve">（</t>
    </r>
    <r>
      <rPr>
        <sz val="10"/>
        <color rgb="FF000000"/>
        <rFont val="Arial"/>
        <family val="0"/>
        <charset val="1"/>
      </rPr>
      <t xml:space="preserve">Webull </t>
    </r>
    <r>
      <rPr>
        <sz val="10"/>
        <color rgb="FF000000"/>
        <rFont val="Noto Sans CJK SC"/>
        <family val="2"/>
      </rPr>
      <t xml:space="preserve">轉載）</t>
    </r>
  </si>
  <si>
    <t xml:space="preserve">券商</t>
  </si>
  <si>
    <r>
      <rPr>
        <sz val="10"/>
        <color rgb="FF000000"/>
        <rFont val="Noto Sans CJK SC"/>
        <family val="2"/>
      </rPr>
      <t xml:space="preserve">頁面以「</t>
    </r>
    <r>
      <rPr>
        <sz val="10"/>
        <color rgb="FF000000"/>
        <rFont val="Arial"/>
        <family val="0"/>
        <charset val="1"/>
      </rPr>
      <t xml:space="preserve">CN¥1,427</t>
    </r>
    <r>
      <rPr>
        <sz val="10"/>
        <color rgb="FF000000"/>
        <rFont val="Noto Sans CJK SC"/>
        <family val="2"/>
      </rPr>
      <t xml:space="preserve">」標示（區間 </t>
    </r>
    <r>
      <rPr>
        <sz val="10"/>
        <color rgb="FF000000"/>
        <rFont val="Arial"/>
        <family val="0"/>
        <charset val="1"/>
      </rPr>
      <t xml:space="preserve">549–1,928</t>
    </r>
    <r>
      <rPr>
        <sz val="10"/>
        <color rgb="FF000000"/>
        <rFont val="Noto Sans CJK SC"/>
        <family val="2"/>
      </rPr>
      <t xml:space="preserve">）；幣別疑為平台換算，與 </t>
    </r>
    <r>
      <rPr>
        <sz val="10"/>
        <color rgb="FF000000"/>
        <rFont val="Arial"/>
        <family val="0"/>
        <charset val="1"/>
      </rPr>
      <t xml:space="preserve">Investing </t>
    </r>
    <r>
      <rPr>
        <sz val="10"/>
        <color rgb="FF000000"/>
        <rFont val="Noto Sans CJK SC"/>
        <family val="2"/>
      </rPr>
      <t xml:space="preserve">港幣口徑不可直比</t>
    </r>
  </si>
  <si>
    <t xml:space="preserve">SRC_ZP_589</t>
  </si>
  <si>
    <t xml:space="preserve">broker_gs_tp</t>
  </si>
  <si>
    <t xml:space="preserve">高盛目標價（中性→買入）</t>
  </si>
  <si>
    <t xml:space="preserve">2026-10-05</t>
  </si>
  <si>
    <t xml:space="preserve">財聯社（東方財富轉載）</t>
  </si>
  <si>
    <t xml:space="preserve">https://finance.eastmoney.com/a/202610053888577065.html</t>
  </si>
  <si>
    <t xml:space="preserve">高盛（交易誘因）</t>
  </si>
  <si>
    <r>
      <rPr>
        <sz val="10"/>
        <color rgb="FF000000"/>
        <rFont val="Noto Sans CJK SC"/>
        <family val="2"/>
      </rPr>
      <t xml:space="preserve">「從中性上調至買入 目標價為</t>
    </r>
    <r>
      <rPr>
        <sz val="10"/>
        <color rgb="FF000000"/>
        <rFont val="Arial"/>
        <family val="0"/>
        <charset val="1"/>
      </rPr>
      <t xml:space="preserve">1560</t>
    </r>
    <r>
      <rPr>
        <sz val="10"/>
        <color rgb="FF000000"/>
        <rFont val="Noto Sans CJK SC"/>
        <family val="2"/>
      </rPr>
      <t xml:space="preserve">港元」；上漲空間 </t>
    </r>
    <r>
      <rPr>
        <sz val="10"/>
        <color rgb="FF000000"/>
        <rFont val="Arial"/>
        <family val="0"/>
        <charset val="1"/>
      </rPr>
      <t xml:space="preserve">149%</t>
    </r>
  </si>
  <si>
    <t xml:space="preserve">SRC_ZP_590</t>
  </si>
  <si>
    <t xml:space="preserve">broker_cmsi_tp</t>
  </si>
  <si>
    <t xml:space="preserve">招商證券國際目標價（增持）</t>
  </si>
  <si>
    <t xml:space="preserve">2026-09-02</t>
  </si>
  <si>
    <r>
      <rPr>
        <sz val="10"/>
        <color rgb="FF000000"/>
        <rFont val="Noto Sans CJK SC"/>
        <family val="2"/>
      </rPr>
      <t xml:space="preserve">同花順（轉財聞，</t>
    </r>
    <r>
      <rPr>
        <sz val="10"/>
        <color rgb="FF000000"/>
        <rFont val="Arial"/>
        <family val="0"/>
        <charset val="1"/>
      </rPr>
      <t xml:space="preserve">AI </t>
    </r>
    <r>
      <rPr>
        <sz val="10"/>
        <color rgb="FF000000"/>
        <rFont val="Noto Sans CJK SC"/>
        <family val="2"/>
      </rPr>
      <t xml:space="preserve">生成稿）</t>
    </r>
  </si>
  <si>
    <t xml:space="preserve">https://stock.10jqka.com.cn/20260902/c679525880.shtml</t>
  </si>
  <si>
    <t xml:space="preserve">招商證券國際（交易誘因）</t>
  </si>
  <si>
    <r>
      <rPr>
        <sz val="10"/>
        <color rgb="FF000000"/>
        <rFont val="Noto Sans CJK SC"/>
        <family val="2"/>
      </rPr>
      <t xml:space="preserve">由 </t>
    </r>
    <r>
      <rPr>
        <sz val="10"/>
        <color rgb="FF000000"/>
        <rFont val="Arial"/>
        <family val="0"/>
        <charset val="1"/>
      </rPr>
      <t xml:space="preserve">1,282 </t>
    </r>
    <r>
      <rPr>
        <sz val="10"/>
        <color rgb="FF000000"/>
        <rFont val="Noto Sans CJK SC"/>
        <family val="2"/>
      </rPr>
      <t xml:space="preserve">升至 </t>
    </r>
    <r>
      <rPr>
        <sz val="10"/>
        <color rgb="FF000000"/>
        <rFont val="Arial"/>
        <family val="0"/>
        <charset val="1"/>
      </rPr>
      <t xml:space="preserve">1,600</t>
    </r>
    <r>
      <rPr>
        <sz val="10"/>
        <color rgb="FF000000"/>
        <rFont val="Noto Sans CJK SC"/>
        <family val="2"/>
      </rPr>
      <t xml:space="preserve">；稱最快 </t>
    </r>
    <r>
      <rPr>
        <sz val="10"/>
        <color rgb="FF000000"/>
        <rFont val="Arial"/>
        <family val="0"/>
        <charset val="1"/>
      </rPr>
      <t xml:space="preserve">2028 </t>
    </r>
    <r>
      <rPr>
        <sz val="10"/>
        <color rgb="FF000000"/>
        <rFont val="Noto Sans CJK SC"/>
        <family val="2"/>
      </rPr>
      <t xml:space="preserve">年盈虧平衡</t>
    </r>
  </si>
  <si>
    <t xml:space="preserve">SRC_ZP_591</t>
  </si>
  <si>
    <t xml:space="preserve">broker_guosen_rev</t>
  </si>
  <si>
    <r>
      <rPr>
        <sz val="10"/>
        <color rgb="FF000000"/>
        <rFont val="Noto Sans CJK SC"/>
        <family val="2"/>
      </rPr>
      <t xml:space="preserve">國信證券營收預測 </t>
    </r>
    <r>
      <rPr>
        <sz val="10"/>
        <color rgb="FF000000"/>
        <rFont val="Arial"/>
        <family val="0"/>
        <charset val="1"/>
      </rPr>
      <t xml:space="preserve">FY2026</t>
    </r>
    <r>
      <rPr>
        <sz val="10"/>
        <color rgb="FF000000"/>
        <rFont val="Noto Sans CJK SC"/>
        <family val="2"/>
      </rPr>
      <t xml:space="preserve">／</t>
    </r>
    <r>
      <rPr>
        <sz val="10"/>
        <color rgb="FF000000"/>
        <rFont val="Arial"/>
        <family val="0"/>
        <charset val="1"/>
      </rPr>
      <t xml:space="preserve">27</t>
    </r>
    <r>
      <rPr>
        <sz val="10"/>
        <color rgb="FF000000"/>
        <rFont val="Noto Sans CJK SC"/>
        <family val="2"/>
      </rPr>
      <t xml:space="preserve">／</t>
    </r>
    <r>
      <rPr>
        <sz val="10"/>
        <color rgb="FF000000"/>
        <rFont val="Arial"/>
        <family val="0"/>
        <charset val="1"/>
      </rPr>
      <t xml:space="preserve">28</t>
    </r>
  </si>
  <si>
    <r>
      <rPr>
        <sz val="10"/>
        <color rgb="FF000000"/>
        <rFont val="Arial"/>
        <family val="0"/>
        <charset val="1"/>
      </rPr>
      <t xml:space="preserve">RMB </t>
    </r>
    <r>
      <rPr>
        <sz val="10"/>
        <color rgb="FF000000"/>
        <rFont val="Noto Sans CJK SC"/>
        <family val="2"/>
      </rPr>
      <t xml:space="preserve">億（</t>
    </r>
    <r>
      <rPr>
        <sz val="10"/>
        <color rgb="FF000000"/>
        <rFont val="Arial"/>
        <family val="0"/>
        <charset val="1"/>
      </rPr>
      <t xml:space="preserve">FY2026</t>
    </r>
    <r>
      <rPr>
        <sz val="10"/>
        <color rgb="FF000000"/>
        <rFont val="Noto Sans CJK SC"/>
        <family val="2"/>
      </rPr>
      <t xml:space="preserve">）</t>
    </r>
  </si>
  <si>
    <t xml:space="preserve">FY2026–FY2028</t>
  </si>
  <si>
    <r>
      <rPr>
        <sz val="10"/>
        <color rgb="FF000000"/>
        <rFont val="Noto Sans CJK SC"/>
        <family val="2"/>
      </rPr>
      <t xml:space="preserve">格隆匯（國信證券 </t>
    </r>
    <r>
      <rPr>
        <sz val="10"/>
        <color rgb="FF000000"/>
        <rFont val="Arial"/>
        <family val="0"/>
        <charset val="1"/>
      </rPr>
      <t xml:space="preserve">26H1 </t>
    </r>
    <r>
      <rPr>
        <sz val="10"/>
        <color rgb="FF000000"/>
        <rFont val="Noto Sans CJK SC"/>
        <family val="2"/>
      </rPr>
      <t xml:space="preserve">點評）</t>
    </r>
  </si>
  <si>
    <t xml:space="preserve">國信證券（交易誘因）</t>
  </si>
  <si>
    <r>
      <rPr>
        <sz val="10"/>
        <color rgb="FF000000"/>
        <rFont val="Noto Sans CJK SC"/>
        <family val="2"/>
      </rPr>
      <t xml:space="preserve">營收 </t>
    </r>
    <r>
      <rPr>
        <sz val="10"/>
        <color rgb="FF000000"/>
        <rFont val="Arial"/>
        <family val="0"/>
        <charset val="1"/>
      </rPr>
      <t xml:space="preserve">62</t>
    </r>
    <r>
      <rPr>
        <sz val="10"/>
        <color rgb="FF000000"/>
        <rFont val="Noto Sans CJK SC"/>
        <family val="2"/>
      </rPr>
      <t xml:space="preserve">／</t>
    </r>
    <r>
      <rPr>
        <sz val="10"/>
        <color rgb="FF000000"/>
        <rFont val="Arial"/>
        <family val="0"/>
        <charset val="1"/>
      </rPr>
      <t xml:space="preserve">155</t>
    </r>
    <r>
      <rPr>
        <sz val="10"/>
        <color rgb="FF000000"/>
        <rFont val="Noto Sans CJK SC"/>
        <family val="2"/>
      </rPr>
      <t xml:space="preserve">／</t>
    </r>
    <r>
      <rPr>
        <sz val="10"/>
        <color rgb="FF000000"/>
        <rFont val="Arial"/>
        <family val="0"/>
        <charset val="1"/>
      </rPr>
      <t xml:space="preserve">344 </t>
    </r>
    <r>
      <rPr>
        <sz val="10"/>
        <color rgb="FF000000"/>
        <rFont val="Noto Sans CJK SC"/>
        <family val="2"/>
      </rPr>
      <t xml:space="preserve">億元；歸母淨利 </t>
    </r>
    <r>
      <rPr>
        <sz val="10"/>
        <color rgb="FF000000"/>
        <rFont val="Arial"/>
        <family val="0"/>
        <charset val="1"/>
      </rPr>
      <t xml:space="preserve">-36</t>
    </r>
    <r>
      <rPr>
        <sz val="10"/>
        <color rgb="FF000000"/>
        <rFont val="Noto Sans CJK SC"/>
        <family val="2"/>
      </rPr>
      <t xml:space="preserve">／</t>
    </r>
    <r>
      <rPr>
        <sz val="10"/>
        <color rgb="FF000000"/>
        <rFont val="Arial"/>
        <family val="0"/>
        <charset val="1"/>
      </rPr>
      <t xml:space="preserve">-30</t>
    </r>
    <r>
      <rPr>
        <sz val="10"/>
        <color rgb="FF000000"/>
        <rFont val="Noto Sans CJK SC"/>
        <family val="2"/>
      </rPr>
      <t xml:space="preserve">／</t>
    </r>
    <r>
      <rPr>
        <sz val="10"/>
        <color rgb="FF000000"/>
        <rFont val="Arial"/>
        <family val="0"/>
        <charset val="1"/>
      </rPr>
      <t xml:space="preserve">5 </t>
    </r>
    <r>
      <rPr>
        <sz val="10"/>
        <color rgb="FF000000"/>
        <rFont val="Noto Sans CJK SC"/>
        <family val="2"/>
      </rPr>
      <t xml:space="preserve">億元；優於大市；</t>
    </r>
    <r>
      <rPr>
        <sz val="10"/>
        <color rgb="FF000000"/>
        <rFont val="Arial"/>
        <family val="0"/>
        <charset val="1"/>
      </rPr>
      <t xml:space="preserve">2026 PS </t>
    </r>
    <r>
      <rPr>
        <sz val="10"/>
        <color rgb="FF000000"/>
        <rFont val="Noto Sans CJK SC"/>
        <family val="2"/>
      </rPr>
      <t xml:space="preserve">約 </t>
    </r>
    <r>
      <rPr>
        <sz val="10"/>
        <color rgb="FF000000"/>
        <rFont val="Arial"/>
        <family val="0"/>
        <charset val="1"/>
      </rPr>
      <t xml:space="preserve">82 </t>
    </r>
    <r>
      <rPr>
        <sz val="10"/>
        <color rgb="FF000000"/>
        <rFont val="Noto Sans CJK SC"/>
        <family val="2"/>
      </rPr>
      <t xml:space="preserve">倍</t>
    </r>
  </si>
  <si>
    <t xml:space="preserve">SRC_ZP_592</t>
  </si>
  <si>
    <t xml:space="preserve">broker_guozheng_rev</t>
  </si>
  <si>
    <r>
      <rPr>
        <sz val="10"/>
        <color rgb="FF000000"/>
        <rFont val="Noto Sans CJK SC"/>
        <family val="2"/>
      </rPr>
      <t xml:space="preserve">國證國際營收預測 </t>
    </r>
    <r>
      <rPr>
        <sz val="10"/>
        <color rgb="FF000000"/>
        <rFont val="Arial"/>
        <family val="0"/>
        <charset val="1"/>
      </rPr>
      <t xml:space="preserve">FY2026</t>
    </r>
    <r>
      <rPr>
        <sz val="10"/>
        <color rgb="FF000000"/>
        <rFont val="Noto Sans CJK SC"/>
        <family val="2"/>
      </rPr>
      <t xml:space="preserve">／</t>
    </r>
    <r>
      <rPr>
        <sz val="10"/>
        <color rgb="FF000000"/>
        <rFont val="Arial"/>
        <family val="0"/>
        <charset val="1"/>
      </rPr>
      <t xml:space="preserve">27</t>
    </r>
    <r>
      <rPr>
        <sz val="10"/>
        <color rgb="FF000000"/>
        <rFont val="Noto Sans CJK SC"/>
        <family val="2"/>
      </rPr>
      <t xml:space="preserve">／</t>
    </r>
    <r>
      <rPr>
        <sz val="10"/>
        <color rgb="FF000000"/>
        <rFont val="Arial"/>
        <family val="0"/>
        <charset val="1"/>
      </rPr>
      <t xml:space="preserve">28</t>
    </r>
  </si>
  <si>
    <t xml:space="preserve">格隆匯（國證國際首次覆蓋）</t>
  </si>
  <si>
    <t xml:space="preserve">https://m.gelonghui.com/news/5270015</t>
  </si>
  <si>
    <t xml:space="preserve">2026-07-15</t>
  </si>
  <si>
    <t xml:space="preserve">國證國際（交易誘因）</t>
  </si>
  <si>
    <r>
      <rPr>
        <sz val="10"/>
        <color rgb="FF000000"/>
        <rFont val="Arial"/>
        <family val="0"/>
        <charset val="1"/>
      </rPr>
      <t xml:space="preserve">42</t>
    </r>
    <r>
      <rPr>
        <sz val="10"/>
        <color rgb="FF000000"/>
        <rFont val="Noto Sans CJK SC"/>
        <family val="2"/>
      </rPr>
      <t xml:space="preserve">／</t>
    </r>
    <r>
      <rPr>
        <sz val="10"/>
        <color rgb="FF000000"/>
        <rFont val="Arial"/>
        <family val="0"/>
        <charset val="1"/>
      </rPr>
      <t xml:space="preserve">114</t>
    </r>
    <r>
      <rPr>
        <sz val="10"/>
        <color rgb="FF000000"/>
        <rFont val="Noto Sans CJK SC"/>
        <family val="2"/>
      </rPr>
      <t xml:space="preserve">／</t>
    </r>
    <r>
      <rPr>
        <sz val="10"/>
        <color rgb="FF000000"/>
        <rFont val="Arial"/>
        <family val="0"/>
        <charset val="1"/>
      </rPr>
      <t xml:space="preserve">251 </t>
    </r>
    <r>
      <rPr>
        <sz val="10"/>
        <color rgb="FF000000"/>
        <rFont val="Noto Sans CJK SC"/>
        <family val="2"/>
      </rPr>
      <t xml:space="preserve">億元；經調整淨虧 </t>
    </r>
    <r>
      <rPr>
        <sz val="10"/>
        <color rgb="FF000000"/>
        <rFont val="Arial"/>
        <family val="0"/>
        <charset val="1"/>
      </rPr>
      <t xml:space="preserve">37</t>
    </r>
    <r>
      <rPr>
        <sz val="10"/>
        <color rgb="FF000000"/>
        <rFont val="Noto Sans CJK SC"/>
        <family val="2"/>
      </rPr>
      <t xml:space="preserve">／</t>
    </r>
    <r>
      <rPr>
        <sz val="10"/>
        <color rgb="FF000000"/>
        <rFont val="Arial"/>
        <family val="0"/>
        <charset val="1"/>
      </rPr>
      <t xml:space="preserve">29</t>
    </r>
    <r>
      <rPr>
        <sz val="10"/>
        <color rgb="FF000000"/>
        <rFont val="Noto Sans CJK SC"/>
        <family val="2"/>
      </rPr>
      <t xml:space="preserve">／</t>
    </r>
    <r>
      <rPr>
        <sz val="10"/>
        <color rgb="FF000000"/>
        <rFont val="Arial"/>
        <family val="0"/>
        <charset val="1"/>
      </rPr>
      <t xml:space="preserve">2 </t>
    </r>
    <r>
      <rPr>
        <sz val="10"/>
        <color rgb="FF000000"/>
        <rFont val="Noto Sans CJK SC"/>
        <family val="2"/>
      </rPr>
      <t xml:space="preserve">億；目標價 </t>
    </r>
    <r>
      <rPr>
        <sz val="10"/>
        <color rgb="FF000000"/>
        <rFont val="Arial"/>
        <family val="0"/>
        <charset val="1"/>
      </rPr>
      <t xml:space="preserve">2,043 </t>
    </r>
    <r>
      <rPr>
        <sz val="10"/>
        <color rgb="FF000000"/>
        <rFont val="Noto Sans CJK SC"/>
        <family val="2"/>
      </rPr>
      <t xml:space="preserve">港元；</t>
    </r>
    <r>
      <rPr>
        <sz val="10"/>
        <color rgb="FF000000"/>
        <rFont val="Arial"/>
        <family val="0"/>
        <charset val="1"/>
      </rPr>
      <t xml:space="preserve">SOTP</t>
    </r>
    <r>
      <rPr>
        <sz val="10"/>
        <color rgb="FF000000"/>
        <rFont val="Noto Sans CJK SC"/>
        <family val="2"/>
      </rPr>
      <t xml:space="preserve">（</t>
    </r>
    <r>
      <rPr>
        <sz val="10"/>
        <color rgb="FF000000"/>
        <rFont val="Arial"/>
        <family val="0"/>
        <charset val="1"/>
      </rPr>
      <t xml:space="preserve">API 2027 </t>
    </r>
    <r>
      <rPr>
        <sz val="10"/>
        <color rgb="FF000000"/>
        <rFont val="Noto Sans CJK SC"/>
        <family val="2"/>
      </rPr>
      <t xml:space="preserve">年 </t>
    </r>
    <r>
      <rPr>
        <sz val="10"/>
        <color rgb="FF000000"/>
        <rFont val="Arial"/>
        <family val="0"/>
        <charset val="1"/>
      </rPr>
      <t xml:space="preserve">80 </t>
    </r>
    <r>
      <rPr>
        <sz val="10"/>
        <color rgb="FF000000"/>
        <rFont val="Noto Sans CJK SC"/>
        <family val="2"/>
      </rPr>
      <t xml:space="preserve">倍 </t>
    </r>
    <r>
      <rPr>
        <sz val="10"/>
        <color rgb="FF000000"/>
        <rFont val="Arial"/>
        <family val="0"/>
        <charset val="1"/>
      </rPr>
      <t xml:space="preserve">PS</t>
    </r>
    <r>
      <rPr>
        <sz val="10"/>
        <color rgb="FF000000"/>
        <rFont val="Noto Sans CJK SC"/>
        <family val="2"/>
      </rPr>
      <t xml:space="preserve">）</t>
    </r>
  </si>
  <si>
    <t xml:space="preserve">SRC_ZP_593</t>
  </si>
  <si>
    <t xml:space="preserve">broker_daiwa_tp</t>
  </si>
  <si>
    <t xml:space="preserve">大和目標價（首次買入）</t>
  </si>
  <si>
    <t xml:space="preserve">2026-08-12</t>
  </si>
  <si>
    <t xml:space="preserve">同花順</t>
  </si>
  <si>
    <t xml:space="preserve">https://stock.10jqka.com.cn/20260812/c678896247.shtml</t>
  </si>
  <si>
    <t xml:space="preserve">大和（交易誘因）</t>
  </si>
  <si>
    <r>
      <rPr>
        <sz val="10"/>
        <color rgb="FF000000"/>
        <rFont val="Noto Sans CJK SC"/>
        <family val="2"/>
      </rPr>
      <t xml:space="preserve">營收由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7.24 </t>
    </r>
    <r>
      <rPr>
        <sz val="10"/>
        <color rgb="FF000000"/>
        <rFont val="Noto Sans CJK SC"/>
        <family val="2"/>
      </rPr>
      <t xml:space="preserve">億升至 </t>
    </r>
    <r>
      <rPr>
        <sz val="10"/>
        <color rgb="FF000000"/>
        <rFont val="Arial"/>
        <family val="0"/>
        <charset val="1"/>
      </rPr>
      <t xml:space="preserve">2029 </t>
    </r>
    <r>
      <rPr>
        <sz val="10"/>
        <color rgb="FF000000"/>
        <rFont val="Noto Sans CJK SC"/>
        <family val="2"/>
      </rPr>
      <t xml:space="preserve">年 </t>
    </r>
    <r>
      <rPr>
        <sz val="10"/>
        <color rgb="FF000000"/>
        <rFont val="Arial"/>
        <family val="0"/>
        <charset val="1"/>
      </rPr>
      <t xml:space="preserve">475 </t>
    </r>
    <r>
      <rPr>
        <sz val="10"/>
        <color rgb="FF000000"/>
        <rFont val="Noto Sans CJK SC"/>
        <family val="2"/>
      </rPr>
      <t xml:space="preserve">億元人民幣（</t>
    </r>
    <r>
      <rPr>
        <sz val="10"/>
        <color rgb="FF000000"/>
        <rFont val="Arial"/>
        <family val="0"/>
        <charset val="1"/>
      </rPr>
      <t xml:space="preserve">CAGR 185%</t>
    </r>
    <r>
      <rPr>
        <sz val="10"/>
        <color rgb="FF000000"/>
        <rFont val="Noto Sans CJK SC"/>
        <family val="2"/>
      </rPr>
      <t xml:space="preserve">）</t>
    </r>
  </si>
  <si>
    <t xml:space="preserve">SRC_ZP_594</t>
  </si>
  <si>
    <t xml:space="preserve">broker_jpm_tp</t>
  </si>
  <si>
    <t xml:space="preserve">摩根大通目標價（增持）</t>
  </si>
  <si>
    <t xml:space="preserve">格隆匯</t>
  </si>
  <si>
    <t xml:space="preserve">https://m.gelonghui.com/news/5264523</t>
  </si>
  <si>
    <t xml:space="preserve">摩根大通（交易誘因）</t>
  </si>
  <si>
    <r>
      <rPr>
        <sz val="10"/>
        <color rgb="FF000000"/>
        <rFont val="Noto Sans CJK SC"/>
        <family val="2"/>
      </rPr>
      <t xml:space="preserve">由 </t>
    </r>
    <r>
      <rPr>
        <sz val="10"/>
        <color rgb="FF000000"/>
        <rFont val="Arial"/>
        <family val="0"/>
        <charset val="1"/>
      </rPr>
      <t xml:space="preserve">1,800 </t>
    </r>
    <r>
      <rPr>
        <sz val="10"/>
        <color rgb="FF000000"/>
        <rFont val="Noto Sans CJK SC"/>
        <family val="2"/>
      </rPr>
      <t xml:space="preserve">升至 </t>
    </r>
    <r>
      <rPr>
        <sz val="10"/>
        <color rgb="FF000000"/>
        <rFont val="Arial"/>
        <family val="0"/>
        <charset val="1"/>
      </rPr>
      <t xml:space="preserve">2,000</t>
    </r>
    <r>
      <rPr>
        <sz val="10"/>
        <color rgb="FF000000"/>
        <rFont val="Noto Sans CJK SC"/>
        <family val="2"/>
      </rPr>
      <t xml:space="preserve">；文中年份由上下文推定 </t>
    </r>
    <r>
      <rPr>
        <sz val="10"/>
        <color rgb="FF000000"/>
        <rFont val="Arial"/>
        <family val="0"/>
        <charset val="1"/>
      </rPr>
      <t xml:space="preserve">2026</t>
    </r>
  </si>
  <si>
    <t xml:space="preserve">SRC_ZP_595</t>
  </si>
  <si>
    <t xml:space="preserve">peer_mmx_price_20261007</t>
  </si>
  <si>
    <r>
      <rPr>
        <sz val="10"/>
        <color rgb="FF000000"/>
        <rFont val="Arial"/>
        <family val="0"/>
        <charset val="1"/>
      </rPr>
      <t xml:space="preserve">MiniMax </t>
    </r>
    <r>
      <rPr>
        <sz val="10"/>
        <color rgb="FF000000"/>
        <rFont val="Noto Sans CJK SC"/>
        <family val="2"/>
      </rPr>
      <t xml:space="preserve">股價</t>
    </r>
  </si>
  <si>
    <t xml:space="preserve">2026-10-07 13:56</t>
  </si>
  <si>
    <t xml:space="preserve">https://www.itiger.com/hant/stock/00100/news</t>
  </si>
  <si>
    <t xml:space="preserve">市場數據（盤中，非收盤）</t>
  </si>
  <si>
    <r>
      <rPr>
        <sz val="10"/>
        <color rgb="FF000000"/>
        <rFont val="Arial"/>
        <family val="0"/>
        <charset val="1"/>
      </rPr>
      <t xml:space="preserve">52 </t>
    </r>
    <r>
      <rPr>
        <sz val="10"/>
        <color rgb="FF000000"/>
        <rFont val="Noto Sans CJK SC"/>
        <family val="2"/>
      </rPr>
      <t xml:space="preserve">週高 </t>
    </r>
    <r>
      <rPr>
        <sz val="10"/>
        <color rgb="FF000000"/>
        <rFont val="Arial"/>
        <family val="0"/>
        <charset val="1"/>
      </rPr>
      <t xml:space="preserve">1,330</t>
    </r>
    <r>
      <rPr>
        <sz val="10"/>
        <color rgb="FF000000"/>
        <rFont val="Noto Sans CJK SC"/>
        <family val="2"/>
      </rPr>
      <t xml:space="preserve">、低 </t>
    </r>
    <r>
      <rPr>
        <sz val="10"/>
        <color rgb="FF000000"/>
        <rFont val="Arial"/>
        <family val="0"/>
        <charset val="1"/>
      </rPr>
      <t xml:space="preserve">186.20</t>
    </r>
  </si>
  <si>
    <t xml:space="preserve">SRC_ZP_596</t>
  </si>
  <si>
    <t xml:space="preserve">peer_mmx_mktcap</t>
  </si>
  <si>
    <r>
      <rPr>
        <sz val="10"/>
        <color rgb="FF000000"/>
        <rFont val="Arial"/>
        <family val="0"/>
        <charset val="1"/>
      </rPr>
      <t xml:space="preserve">MiniMax </t>
    </r>
    <r>
      <rPr>
        <sz val="10"/>
        <color rgb="FF000000"/>
        <rFont val="Noto Sans CJK SC"/>
        <family val="2"/>
      </rPr>
      <t xml:space="preserve">總市值</t>
    </r>
  </si>
  <si>
    <r>
      <rPr>
        <sz val="10"/>
        <color rgb="FF000000"/>
        <rFont val="Arial"/>
        <family val="0"/>
        <charset val="1"/>
      </rPr>
      <t xml:space="preserve">236×352,480,183</t>
    </r>
    <r>
      <rPr>
        <sz val="10"/>
        <color rgb="FF000000"/>
        <rFont val="Noto Sans CJK SC"/>
        <family val="2"/>
      </rPr>
      <t xml:space="preserve">（</t>
    </r>
    <r>
      <rPr>
        <sz val="10"/>
        <color rgb="FF000000"/>
        <rFont val="Arial"/>
        <family val="0"/>
        <charset val="1"/>
      </rPr>
      <t xml:space="preserve">A</t>
    </r>
    <r>
      <rPr>
        <sz val="10"/>
        <color rgb="FF000000"/>
        <rFont val="Noto Sans CJK SC"/>
        <family val="2"/>
      </rPr>
      <t xml:space="preserve">＋</t>
    </r>
    <r>
      <rPr>
        <sz val="10"/>
        <color rgb="FF000000"/>
        <rFont val="Arial"/>
        <family val="0"/>
        <charset val="1"/>
      </rPr>
      <t xml:space="preserve">B </t>
    </r>
    <r>
      <rPr>
        <sz val="10"/>
        <color rgb="FF000000"/>
        <rFont val="Noto Sans CJK SC"/>
        <family val="2"/>
      </rPr>
      <t xml:space="preserve">類）＝</t>
    </r>
    <r>
      <rPr>
        <sz val="10"/>
        <color rgb="FF000000"/>
        <rFont val="Arial"/>
        <family val="0"/>
        <charset val="1"/>
      </rPr>
      <t xml:space="preserve">831.9 </t>
    </r>
    <r>
      <rPr>
        <sz val="10"/>
        <color rgb="FF000000"/>
        <rFont val="Noto Sans CJK SC"/>
        <family val="2"/>
      </rPr>
      <t xml:space="preserve">億，</t>
    </r>
    <r>
      <rPr>
        <sz val="10"/>
        <color rgb="FF000000"/>
        <rFont val="Arial"/>
        <family val="0"/>
        <charset val="1"/>
      </rPr>
      <t xml:space="preserve">Derived </t>
    </r>
    <r>
      <rPr>
        <sz val="10"/>
        <color rgb="FF000000"/>
        <rFont val="Noto Sans CJK SC"/>
        <family val="2"/>
      </rPr>
      <t xml:space="preserve">勾稽相符</t>
    </r>
  </si>
  <si>
    <t xml:space="preserve">SRC_ZP_597</t>
  </si>
  <si>
    <t xml:space="preserve">peer_mmx_shares</t>
  </si>
  <si>
    <r>
      <rPr>
        <sz val="10"/>
        <color rgb="FF000000"/>
        <rFont val="Arial"/>
        <family val="0"/>
        <charset val="1"/>
      </rPr>
      <t xml:space="preserve">MiniMax </t>
    </r>
    <r>
      <rPr>
        <sz val="10"/>
        <color rgb="FF000000"/>
        <rFont val="Noto Sans CJK SC"/>
        <family val="2"/>
      </rPr>
      <t xml:space="preserve">已發行股份（</t>
    </r>
    <r>
      <rPr>
        <sz val="10"/>
        <color rgb="FF000000"/>
        <rFont val="Arial"/>
        <family val="0"/>
        <charset val="1"/>
      </rPr>
      <t xml:space="preserve">A </t>
    </r>
    <r>
      <rPr>
        <sz val="10"/>
        <color rgb="FF000000"/>
        <rFont val="Noto Sans CJK SC"/>
        <family val="2"/>
      </rPr>
      <t xml:space="preserve">類 </t>
    </r>
    <r>
      <rPr>
        <sz val="10"/>
        <color rgb="FF000000"/>
        <rFont val="Arial"/>
        <family val="0"/>
        <charset val="1"/>
      </rPr>
      <t xml:space="preserve">271,377,649</t>
    </r>
    <r>
      <rPr>
        <sz val="10"/>
        <color rgb="FF000000"/>
        <rFont val="Noto Sans CJK SC"/>
        <family val="2"/>
      </rPr>
      <t xml:space="preserve">＋</t>
    </r>
    <r>
      <rPr>
        <sz val="10"/>
        <color rgb="FF000000"/>
        <rFont val="Arial"/>
        <family val="0"/>
        <charset val="1"/>
      </rPr>
      <t xml:space="preserve">B </t>
    </r>
    <r>
      <rPr>
        <sz val="10"/>
        <color rgb="FF000000"/>
        <rFont val="Noto Sans CJK SC"/>
        <family val="2"/>
      </rPr>
      <t xml:space="preserve">類 </t>
    </r>
    <r>
      <rPr>
        <sz val="10"/>
        <color rgb="FF000000"/>
        <rFont val="Arial"/>
        <family val="0"/>
        <charset val="1"/>
      </rPr>
      <t xml:space="preserve">81,102,534</t>
    </r>
    <r>
      <rPr>
        <sz val="10"/>
        <color rgb="FF000000"/>
        <rFont val="Noto Sans CJK SC"/>
        <family val="2"/>
      </rPr>
      <t xml:space="preserve">）</t>
    </r>
  </si>
  <si>
    <t xml:space="preserve">2026-09-30</t>
  </si>
  <si>
    <r>
      <rPr>
        <sz val="10"/>
        <color rgb="FF000000"/>
        <rFont val="Arial"/>
        <family val="0"/>
        <charset val="1"/>
      </rPr>
      <t xml:space="preserve">MiniMax FF301 </t>
    </r>
    <r>
      <rPr>
        <sz val="10"/>
        <color rgb="FF000000"/>
        <rFont val="Noto Sans CJK SC"/>
        <family val="2"/>
      </rPr>
      <t xml:space="preserve">月報表</t>
    </r>
  </si>
  <si>
    <t xml:space="preserve">https://pdf.dfcfw.com/pdf/H2_AN202610021830089929_1.pdf</t>
  </si>
  <si>
    <t xml:space="preserve">2026-10-02</t>
  </si>
  <si>
    <r>
      <rPr>
        <sz val="10"/>
        <color rgb="FF000000"/>
        <rFont val="Noto Sans CJK SC"/>
        <family val="2"/>
      </rPr>
      <t xml:space="preserve">合計為 </t>
    </r>
    <r>
      <rPr>
        <sz val="10"/>
        <color rgb="FF000000"/>
        <rFont val="Arial"/>
        <family val="0"/>
        <charset val="1"/>
      </rPr>
      <t xml:space="preserve">Derived</t>
    </r>
    <r>
      <rPr>
        <sz val="10"/>
        <color rgb="FF000000"/>
        <rFont val="Noto Sans CJK SC"/>
        <family val="2"/>
      </rPr>
      <t xml:space="preserve">（</t>
    </r>
    <r>
      <rPr>
        <sz val="10"/>
        <color rgb="FF000000"/>
        <rFont val="Arial"/>
        <family val="0"/>
        <charset val="1"/>
      </rPr>
      <t xml:space="preserve">A</t>
    </r>
    <r>
      <rPr>
        <sz val="10"/>
        <color rgb="FF000000"/>
        <rFont val="Noto Sans CJK SC"/>
        <family val="2"/>
      </rPr>
      <t xml:space="preserve">＋</t>
    </r>
    <r>
      <rPr>
        <sz val="10"/>
        <color rgb="FF000000"/>
        <rFont val="Arial"/>
        <family val="0"/>
        <charset val="1"/>
      </rPr>
      <t xml:space="preserve">B</t>
    </r>
    <r>
      <rPr>
        <sz val="10"/>
        <color rgb="FF000000"/>
        <rFont val="Noto Sans CJK SC"/>
        <family val="2"/>
      </rPr>
      <t xml:space="preserve">）；</t>
    </r>
    <r>
      <rPr>
        <sz val="10"/>
        <color rgb="FF000000"/>
        <rFont val="Arial"/>
        <family val="0"/>
        <charset val="1"/>
      </rPr>
      <t xml:space="preserve">B </t>
    </r>
    <r>
      <rPr>
        <sz val="10"/>
        <color rgb="FF000000"/>
        <rFont val="Noto Sans CJK SC"/>
        <family val="2"/>
      </rPr>
      <t xml:space="preserve">類不上市</t>
    </r>
  </si>
  <si>
    <t xml:space="preserve">SRC_ZP_598</t>
  </si>
  <si>
    <t xml:space="preserve">peer_mmx_rev_fy25</t>
  </si>
  <si>
    <r>
      <rPr>
        <sz val="10"/>
        <color rgb="FF000000"/>
        <rFont val="Arial"/>
        <family val="0"/>
        <charset val="1"/>
      </rPr>
      <t xml:space="preserve">MiniMax </t>
    </r>
    <r>
      <rPr>
        <sz val="10"/>
        <color rgb="FF000000"/>
        <rFont val="Noto Sans CJK SC"/>
        <family val="2"/>
      </rPr>
      <t xml:space="preserve">營收 </t>
    </r>
    <r>
      <rPr>
        <sz val="10"/>
        <color rgb="FF000000"/>
        <rFont val="Arial"/>
        <family val="0"/>
        <charset val="1"/>
      </rPr>
      <t xml:space="preserve">FY2025</t>
    </r>
  </si>
  <si>
    <r>
      <rPr>
        <sz val="10"/>
        <color rgb="FF000000"/>
        <rFont val="Arial"/>
        <family val="0"/>
        <charset val="1"/>
      </rPr>
      <t xml:space="preserve">MiniMax 2025 </t>
    </r>
    <r>
      <rPr>
        <sz val="10"/>
        <color rgb="FF000000"/>
        <rFont val="Noto Sans CJK SC"/>
        <family val="2"/>
      </rPr>
      <t xml:space="preserve">全年業績新聞稿</t>
    </r>
  </si>
  <si>
    <t xml:space="preserve">https://www.minimax.io/news/minimax-global-announces-full-year-2025-financial-results</t>
  </si>
  <si>
    <t xml:space="preserve">2026-03-02</t>
  </si>
  <si>
    <t xml:space="preserve">經審計（業績公告）</t>
  </si>
  <si>
    <r>
      <rPr>
        <sz val="10"/>
        <color rgb="FF000000"/>
        <rFont val="Noto Sans CJK SC"/>
        <family val="2"/>
      </rPr>
      <t xml:space="preserve">「</t>
    </r>
    <r>
      <rPr>
        <sz val="10"/>
        <color rgb="FF000000"/>
        <rFont val="Arial"/>
        <family val="0"/>
        <charset val="1"/>
      </rPr>
      <t xml:space="preserve">Total revenue increased by 158.9%…to US$79.0 million</t>
    </r>
    <r>
      <rPr>
        <sz val="10"/>
        <color rgb="FF000000"/>
        <rFont val="Noto Sans CJK SC"/>
        <family val="2"/>
      </rPr>
      <t xml:space="preserve">」；毛利率 </t>
    </r>
    <r>
      <rPr>
        <sz val="10"/>
        <color rgb="FF000000"/>
        <rFont val="Arial"/>
        <family val="0"/>
        <charset val="1"/>
      </rPr>
      <t xml:space="preserve">25.4%</t>
    </r>
  </si>
  <si>
    <t xml:space="preserve">SRC_ZP_599</t>
  </si>
  <si>
    <t xml:space="preserve">peer_mmx_nl_fy25</t>
  </si>
  <si>
    <r>
      <rPr>
        <sz val="10"/>
        <color rgb="FF000000"/>
        <rFont val="Arial"/>
        <family val="0"/>
        <charset val="1"/>
      </rPr>
      <t xml:space="preserve">MiniMax </t>
    </r>
    <r>
      <rPr>
        <sz val="10"/>
        <color rgb="FF000000"/>
        <rFont val="Noto Sans CJK SC"/>
        <family val="2"/>
      </rPr>
      <t xml:space="preserve">年度虧損 </t>
    </r>
    <r>
      <rPr>
        <sz val="10"/>
        <color rgb="FF000000"/>
        <rFont val="Arial"/>
        <family val="0"/>
        <charset val="1"/>
      </rPr>
      <t xml:space="preserve">FY2025</t>
    </r>
    <r>
      <rPr>
        <sz val="10"/>
        <color rgb="FF000000"/>
        <rFont val="Noto Sans CJK SC"/>
        <family val="2"/>
      </rPr>
      <t xml:space="preserve">（</t>
    </r>
    <r>
      <rPr>
        <sz val="10"/>
        <color rgb="FF000000"/>
        <rFont val="Arial"/>
        <family val="0"/>
        <charset val="1"/>
      </rPr>
      <t xml:space="preserve">IFRS</t>
    </r>
    <r>
      <rPr>
        <sz val="10"/>
        <color rgb="FF000000"/>
        <rFont val="Noto Sans CJK SC"/>
        <family val="2"/>
      </rPr>
      <t xml:space="preserve">）</t>
    </r>
  </si>
  <si>
    <r>
      <rPr>
        <sz val="10"/>
        <color rgb="FF000000"/>
        <rFont val="Noto Sans CJK SC"/>
        <family val="2"/>
      </rPr>
      <t xml:space="preserve">年度虧損 </t>
    </r>
    <r>
      <rPr>
        <sz val="10"/>
        <color rgb="FF000000"/>
        <rFont val="Arial"/>
        <family val="0"/>
        <charset val="1"/>
      </rPr>
      <t xml:space="preserve">1,871.6 </t>
    </r>
    <r>
      <rPr>
        <sz val="10"/>
        <color rgb="FF000000"/>
        <rFont val="Noto Sans CJK SC"/>
        <family val="2"/>
      </rPr>
      <t xml:space="preserve">百萬美元（含優先股公允值變動）；經調整淨虧 </t>
    </r>
    <r>
      <rPr>
        <sz val="10"/>
        <color rgb="FF000000"/>
        <rFont val="Arial"/>
        <family val="0"/>
        <charset val="1"/>
      </rPr>
      <t xml:space="preserve">250.9</t>
    </r>
  </si>
  <si>
    <t xml:space="preserve">SRC_ZP_600</t>
  </si>
  <si>
    <t xml:space="preserve">peer_mmx_adjnl_fy25</t>
  </si>
  <si>
    <r>
      <rPr>
        <sz val="10"/>
        <color rgb="FF000000"/>
        <rFont val="Arial"/>
        <family val="0"/>
        <charset val="1"/>
      </rPr>
      <t xml:space="preserve">MiniMax </t>
    </r>
    <r>
      <rPr>
        <sz val="10"/>
        <color rgb="FF000000"/>
        <rFont val="Noto Sans CJK SC"/>
        <family val="2"/>
      </rPr>
      <t xml:space="preserve">經調整淨虧損 </t>
    </r>
    <r>
      <rPr>
        <sz val="10"/>
        <color rgb="FF000000"/>
        <rFont val="Arial"/>
        <family val="0"/>
        <charset val="1"/>
      </rPr>
      <t xml:space="preserve">FY2025</t>
    </r>
  </si>
  <si>
    <r>
      <rPr>
        <sz val="10"/>
        <color rgb="FF000000"/>
        <rFont val="Noto Sans CJK SC"/>
        <family val="2"/>
      </rPr>
      <t xml:space="preserve">非 </t>
    </r>
    <r>
      <rPr>
        <sz val="10"/>
        <color rgb="FF000000"/>
        <rFont val="Arial"/>
        <family val="0"/>
        <charset val="1"/>
      </rPr>
      <t xml:space="preserve">IFRS</t>
    </r>
  </si>
  <si>
    <r>
      <rPr>
        <sz val="10"/>
        <color rgb="FF000000"/>
        <rFont val="Noto Sans CJK SC"/>
        <family val="2"/>
      </rPr>
      <t xml:space="preserve">「</t>
    </r>
    <r>
      <rPr>
        <sz val="10"/>
        <color rgb="FF000000"/>
        <rFont val="Arial"/>
        <family val="0"/>
        <charset val="1"/>
      </rPr>
      <t xml:space="preserve">Adjusted net loss was US$250.9 million</t>
    </r>
    <r>
      <rPr>
        <sz val="10"/>
        <color rgb="FF000000"/>
        <rFont val="Noto Sans CJK SC"/>
        <family val="2"/>
      </rPr>
      <t xml:space="preserve">」；年末現金類 </t>
    </r>
    <r>
      <rPr>
        <sz val="10"/>
        <color rgb="FF000000"/>
        <rFont val="Arial"/>
        <family val="0"/>
        <charset val="1"/>
      </rPr>
      <t xml:space="preserve">1,050.3 </t>
    </r>
    <r>
      <rPr>
        <sz val="10"/>
        <color rgb="FF000000"/>
        <rFont val="Noto Sans CJK SC"/>
        <family val="2"/>
      </rPr>
      <t xml:space="preserve">百萬美元</t>
    </r>
  </si>
  <si>
    <t xml:space="preserve">SRC_ZP_601</t>
  </si>
  <si>
    <t xml:space="preserve">peer_mmx_rev_1h26</t>
  </si>
  <si>
    <r>
      <rPr>
        <sz val="10"/>
        <color rgb="FF000000"/>
        <rFont val="Arial"/>
        <family val="0"/>
        <charset val="1"/>
      </rPr>
      <t xml:space="preserve">MiniMax </t>
    </r>
    <r>
      <rPr>
        <sz val="10"/>
        <color rgb="FF000000"/>
        <rFont val="Noto Sans CJK SC"/>
        <family val="2"/>
      </rPr>
      <t xml:space="preserve">營收 </t>
    </r>
    <r>
      <rPr>
        <sz val="10"/>
        <color rgb="FF000000"/>
        <rFont val="Arial"/>
        <family val="0"/>
        <charset val="1"/>
      </rPr>
      <t xml:space="preserve">1H2026</t>
    </r>
  </si>
  <si>
    <r>
      <rPr>
        <sz val="10"/>
        <color rgb="FF000000"/>
        <rFont val="Noto Sans CJK SC"/>
        <family val="2"/>
      </rPr>
      <t xml:space="preserve">老虎（轉 </t>
    </r>
    <r>
      <rPr>
        <sz val="10"/>
        <color rgb="FF000000"/>
        <rFont val="Arial"/>
        <family val="0"/>
        <charset val="1"/>
      </rPr>
      <t xml:space="preserve">MiniMax </t>
    </r>
    <r>
      <rPr>
        <sz val="10"/>
        <color rgb="FF000000"/>
        <rFont val="Noto Sans CJK SC"/>
        <family val="2"/>
      </rPr>
      <t xml:space="preserve">中期業績）</t>
    </r>
  </si>
  <si>
    <t xml:space="preserve">https://www.itiger.com/news/1169167557</t>
  </si>
  <si>
    <t xml:space="preserve">未經審計（媒體轉述）</t>
  </si>
  <si>
    <r>
      <rPr>
        <sz val="10"/>
        <color rgb="FF000000"/>
        <rFont val="Noto Sans CJK SC"/>
        <family val="2"/>
      </rPr>
      <t xml:space="preserve">「</t>
    </r>
    <r>
      <rPr>
        <sz val="10"/>
        <color rgb="FF000000"/>
        <rFont val="Arial"/>
        <family val="0"/>
        <charset val="1"/>
      </rPr>
      <t xml:space="preserve">revenue climbing 283.10%…to US$116.57 million</t>
    </r>
    <r>
      <rPr>
        <sz val="10"/>
        <color rgb="FF000000"/>
        <rFont val="Noto Sans CJK SC"/>
        <family val="2"/>
      </rPr>
      <t xml:space="preserve">」</t>
    </r>
  </si>
  <si>
    <t xml:space="preserve">SRC_ZP_602</t>
  </si>
  <si>
    <t xml:space="preserve">peer_mmx_nl_1h26</t>
  </si>
  <si>
    <r>
      <rPr>
        <sz val="10"/>
        <color rgb="FF000000"/>
        <rFont val="Arial"/>
        <family val="0"/>
        <charset val="1"/>
      </rPr>
      <t xml:space="preserve">MiniMax </t>
    </r>
    <r>
      <rPr>
        <sz val="10"/>
        <color rgb="FF000000"/>
        <rFont val="Noto Sans CJK SC"/>
        <family val="2"/>
      </rPr>
      <t xml:space="preserve">期間虧損 </t>
    </r>
    <r>
      <rPr>
        <sz val="10"/>
        <color rgb="FF000000"/>
        <rFont val="Arial"/>
        <family val="0"/>
        <charset val="1"/>
      </rPr>
      <t xml:space="preserve">1H2026</t>
    </r>
  </si>
  <si>
    <t xml:space="preserve">未經審計</t>
  </si>
  <si>
    <r>
      <rPr>
        <sz val="10"/>
        <color rgb="FF000000"/>
        <rFont val="Noto Sans CJK SC"/>
        <family val="2"/>
      </rPr>
      <t xml:space="preserve">期間虧損 </t>
    </r>
    <r>
      <rPr>
        <sz val="10"/>
        <color rgb="FF000000"/>
        <rFont val="Arial"/>
        <family val="0"/>
        <charset val="1"/>
      </rPr>
      <t xml:space="preserve">357.99 </t>
    </r>
    <r>
      <rPr>
        <sz val="10"/>
        <color rgb="FF000000"/>
        <rFont val="Noto Sans CJK SC"/>
        <family val="2"/>
      </rPr>
      <t xml:space="preserve">百萬美元；經調整淨虧 </t>
    </r>
    <r>
      <rPr>
        <sz val="10"/>
        <color rgb="FF000000"/>
        <rFont val="Arial"/>
        <family val="0"/>
        <charset val="1"/>
      </rPr>
      <t xml:space="preserve">293.03</t>
    </r>
  </si>
  <si>
    <t xml:space="preserve">SRC_ZP_603</t>
  </si>
  <si>
    <t xml:space="preserve">peer_mmx_cash_1h26</t>
  </si>
  <si>
    <r>
      <rPr>
        <sz val="10"/>
        <color rgb="FF000000"/>
        <rFont val="Arial"/>
        <family val="0"/>
        <charset val="1"/>
      </rPr>
      <t xml:space="preserve">MiniMax </t>
    </r>
    <r>
      <rPr>
        <sz val="10"/>
        <color rgb="FF000000"/>
        <rFont val="Noto Sans CJK SC"/>
        <family val="2"/>
      </rPr>
      <t xml:space="preserve">現金、等價物及短期投資</t>
    </r>
  </si>
  <si>
    <r>
      <rPr>
        <sz val="10"/>
        <color rgb="FF000000"/>
        <rFont val="Noto Sans CJK SC"/>
        <family val="2"/>
      </rPr>
      <t xml:space="preserve">「</t>
    </r>
    <r>
      <rPr>
        <sz val="10"/>
        <color rgb="FF000000"/>
        <rFont val="Arial"/>
        <family val="0"/>
        <charset val="1"/>
      </rPr>
      <t xml:space="preserve">US$1.32 billion as of 30 June 2026</t>
    </r>
    <r>
      <rPr>
        <sz val="10"/>
        <color rgb="FF000000"/>
        <rFont val="Noto Sans CJK SC"/>
        <family val="2"/>
      </rPr>
      <t xml:space="preserve">」；</t>
    </r>
    <r>
      <rPr>
        <sz val="10"/>
        <color rgb="FF000000"/>
        <rFont val="Arial"/>
        <family val="0"/>
        <charset val="1"/>
      </rPr>
      <t xml:space="preserve">EV </t>
    </r>
    <r>
      <rPr>
        <sz val="10"/>
        <color rgb="FF000000"/>
        <rFont val="Noto Sans CJK SC"/>
        <family val="2"/>
      </rPr>
      <t xml:space="preserve">計算需匯率（模型 </t>
    </r>
    <r>
      <rPr>
        <sz val="10"/>
        <color rgb="FF000000"/>
        <rFont val="Arial"/>
        <family val="0"/>
        <charset val="1"/>
      </rPr>
      <t xml:space="preserve">Inputs</t>
    </r>
    <r>
      <rPr>
        <sz val="10"/>
        <color rgb="FF000000"/>
        <rFont val="Noto Sans CJK SC"/>
        <family val="2"/>
      </rPr>
      <t xml:space="preserve">）</t>
    </r>
  </si>
  <si>
    <t xml:space="preserve">SRC_ZP_604</t>
  </si>
  <si>
    <t xml:space="preserve">peer_mmx_ev_rev</t>
  </si>
  <si>
    <r>
      <rPr>
        <sz val="10"/>
        <color rgb="FF000000"/>
        <rFont val="Arial"/>
        <family val="0"/>
        <charset val="1"/>
      </rPr>
      <t xml:space="preserve">MiniMax EV</t>
    </r>
    <r>
      <rPr>
        <sz val="10"/>
        <color rgb="FF000000"/>
        <rFont val="Noto Sans CJK SC"/>
        <family val="2"/>
      </rPr>
      <t xml:space="preserve">／營收（</t>
    </r>
    <r>
      <rPr>
        <sz val="10"/>
        <color rgb="FF000000"/>
        <rFont val="Arial"/>
        <family val="0"/>
        <charset val="1"/>
      </rPr>
      <t xml:space="preserve">TTM</t>
    </r>
    <r>
      <rPr>
        <sz val="10"/>
        <color rgb="FF000000"/>
        <rFont val="Noto Sans CJK SC"/>
        <family val="2"/>
      </rPr>
      <t xml:space="preserve">）</t>
    </r>
  </si>
  <si>
    <r>
      <rPr>
        <sz val="10"/>
        <color rgb="FF000000"/>
        <rFont val="Arial"/>
        <family val="0"/>
        <charset val="1"/>
      </rPr>
      <t xml:space="preserve">Derived</t>
    </r>
    <r>
      <rPr>
        <sz val="10"/>
        <color rgb="FF000000"/>
        <rFont val="Noto Sans CJK SC"/>
        <family val="2"/>
      </rPr>
      <t xml:space="preserve">（待模型以 </t>
    </r>
    <r>
      <rPr>
        <sz val="10"/>
        <color rgb="FF000000"/>
        <rFont val="Arial"/>
        <family val="0"/>
        <charset val="1"/>
      </rPr>
      <t xml:space="preserve">INP </t>
    </r>
    <r>
      <rPr>
        <sz val="10"/>
        <color rgb="FF000000"/>
        <rFont val="Noto Sans CJK SC"/>
        <family val="2"/>
      </rPr>
      <t xml:space="preserve">匯率計算）</t>
    </r>
  </si>
  <si>
    <r>
      <rPr>
        <sz val="10"/>
        <color rgb="FF000000"/>
        <rFont val="Noto Sans CJK SC"/>
        <family val="2"/>
      </rPr>
      <t xml:space="preserve">規則禁自行換匯；公式＝</t>
    </r>
    <r>
      <rPr>
        <sz val="10"/>
        <color rgb="FF000000"/>
        <rFont val="Arial"/>
        <family val="0"/>
        <charset val="1"/>
      </rPr>
      <t xml:space="preserve">(830.72</t>
    </r>
    <r>
      <rPr>
        <sz val="10"/>
        <color rgb="FF000000"/>
        <rFont val="Noto Sans CJK SC"/>
        <family val="2"/>
      </rPr>
      <t xml:space="preserve">億</t>
    </r>
    <r>
      <rPr>
        <sz val="10"/>
        <color rgb="FF000000"/>
        <rFont val="Arial"/>
        <family val="0"/>
        <charset val="1"/>
      </rPr>
      <t xml:space="preserve">HKD÷HKD/USD−13.2</t>
    </r>
    <r>
      <rPr>
        <sz val="10"/>
        <color rgb="FF000000"/>
        <rFont val="Noto Sans CJK SC"/>
        <family val="2"/>
      </rPr>
      <t xml:space="preserve">億</t>
    </r>
    <r>
      <rPr>
        <sz val="10"/>
        <color rgb="FF000000"/>
        <rFont val="Arial"/>
        <family val="0"/>
        <charset val="1"/>
      </rPr>
      <t xml:space="preserve">USD)÷TTM</t>
    </r>
    <r>
      <rPr>
        <sz val="10"/>
        <color rgb="FF000000"/>
        <rFont val="Noto Sans CJK SC"/>
        <family val="2"/>
      </rPr>
      <t xml:space="preserve">營收（</t>
    </r>
    <r>
      <rPr>
        <sz val="10"/>
        <color rgb="FF000000"/>
        <rFont val="Arial"/>
        <family val="0"/>
        <charset val="1"/>
      </rPr>
      <t xml:space="preserve">2H25</t>
    </r>
    <r>
      <rPr>
        <sz val="10"/>
        <color rgb="FF000000"/>
        <rFont val="Noto Sans CJK SC"/>
        <family val="2"/>
      </rPr>
      <t xml:space="preserve">＋</t>
    </r>
    <r>
      <rPr>
        <sz val="10"/>
        <color rgb="FF000000"/>
        <rFont val="Arial"/>
        <family val="0"/>
        <charset val="1"/>
      </rPr>
      <t xml:space="preserve">1H26</t>
    </r>
    <r>
      <rPr>
        <sz val="10"/>
        <color rgb="FF000000"/>
        <rFont val="Noto Sans CJK SC"/>
        <family val="2"/>
      </rPr>
      <t xml:space="preserve">，</t>
    </r>
    <r>
      <rPr>
        <sz val="10"/>
        <color rgb="FF000000"/>
        <rFont val="Arial"/>
        <family val="0"/>
        <charset val="1"/>
      </rPr>
      <t xml:space="preserve">2H25 </t>
    </r>
    <r>
      <rPr>
        <sz val="10"/>
        <color rgb="FF000000"/>
        <rFont val="Noto Sans CJK SC"/>
        <family val="2"/>
      </rPr>
      <t xml:space="preserve">需推算）</t>
    </r>
  </si>
  <si>
    <t xml:space="preserve">SRC_ZP_605</t>
  </si>
  <si>
    <t xml:space="preserve">cust_a_purch</t>
  </si>
  <si>
    <r>
      <rPr>
        <sz val="10"/>
        <color rgb="FF000000"/>
        <rFont val="Noto Sans CJK SC"/>
        <family val="2"/>
      </rPr>
      <t xml:space="preserve">最大客戶 </t>
    </r>
    <r>
      <rPr>
        <sz val="10"/>
        <color rgb="FF000000"/>
        <rFont val="Arial"/>
        <family val="0"/>
        <charset val="1"/>
      </rPr>
      <t xml:space="preserve">A</t>
    </r>
    <r>
      <rPr>
        <sz val="10"/>
        <color rgb="FF000000"/>
        <rFont val="Noto Sans CJK SC"/>
        <family val="2"/>
      </rPr>
      <t xml:space="preserve">：智譜向其採購（</t>
    </r>
    <r>
      <rPr>
        <sz val="10"/>
        <color rgb="FF000000"/>
        <rFont val="Arial"/>
        <family val="0"/>
        <charset val="1"/>
      </rPr>
      <t xml:space="preserve">2022–1H25 </t>
    </r>
    <r>
      <rPr>
        <sz val="10"/>
        <color rgb="FF000000"/>
        <rFont val="Noto Sans CJK SC"/>
        <family val="2"/>
      </rPr>
      <t xml:space="preserve">累計）</t>
    </r>
  </si>
  <si>
    <r>
      <rPr>
        <sz val="10"/>
        <color rgb="FF000000"/>
        <rFont val="Arial"/>
        <family val="0"/>
        <charset val="1"/>
      </rPr>
      <t xml:space="preserve">RMB </t>
    </r>
    <r>
      <rPr>
        <sz val="10"/>
        <color rgb="FF000000"/>
        <rFont val="Noto Sans CJK SC"/>
        <family val="2"/>
      </rPr>
      <t xml:space="preserve">億（採購）</t>
    </r>
  </si>
  <si>
    <r>
      <rPr>
        <sz val="10"/>
        <color rgb="FF000000"/>
        <rFont val="Arial"/>
        <family val="0"/>
        <charset val="1"/>
      </rPr>
      <t xml:space="preserve">Z4 </t>
    </r>
    <r>
      <rPr>
        <sz val="10"/>
        <color rgb="FF000000"/>
        <rFont val="Noto Sans CJK SC"/>
        <family val="2"/>
      </rPr>
      <t xml:space="preserve">由 </t>
    </r>
    <r>
      <rPr>
        <sz val="10"/>
        <color rgb="FF000000"/>
        <rFont val="Arial"/>
        <family val="0"/>
        <charset val="1"/>
      </rPr>
      <t xml:space="preserve">SRC_ZP_433 </t>
    </r>
    <r>
      <rPr>
        <sz val="10"/>
        <color rgb="FF000000"/>
        <rFont val="Noto Sans CJK SC"/>
        <family val="2"/>
      </rPr>
      <t xml:space="preserve">的 </t>
    </r>
    <r>
      <rPr>
        <sz val="10"/>
        <color rgb="FF000000"/>
        <rFont val="Arial"/>
        <family val="0"/>
        <charset val="1"/>
      </rPr>
      <t xml:space="preserve">note </t>
    </r>
    <r>
      <rPr>
        <sz val="10"/>
        <color rgb="FF000000"/>
        <rFont val="Noto Sans CJK SC"/>
        <family val="2"/>
      </rPr>
      <t xml:space="preserve">拆出數值列（同一原文「向客戶採購了</t>
    </r>
    <r>
      <rPr>
        <sz val="10"/>
        <color rgb="FF000000"/>
        <rFont val="Arial"/>
        <family val="0"/>
        <charset val="1"/>
      </rPr>
      <t xml:space="preserve">2.47</t>
    </r>
    <r>
      <rPr>
        <sz val="10"/>
        <color rgb="FF000000"/>
        <rFont val="Noto Sans CJK SC"/>
        <family val="2"/>
      </rPr>
      <t xml:space="preserve">億元」）；</t>
    </r>
    <r>
      <rPr>
        <sz val="10"/>
        <color rgb="FF000000"/>
        <rFont val="Arial"/>
        <family val="0"/>
        <charset val="1"/>
      </rPr>
      <t xml:space="preserve">D19 </t>
    </r>
    <r>
      <rPr>
        <sz val="10"/>
        <color rgb="FF000000"/>
        <rFont val="Noto Sans CJK SC"/>
        <family val="2"/>
      </rPr>
      <t xml:space="preserve">回流對照；【</t>
    </r>
    <r>
      <rPr>
        <sz val="10"/>
        <color rgb="FF000000"/>
        <rFont val="Arial"/>
        <family val="0"/>
        <charset val="1"/>
      </rPr>
      <t xml:space="preserve">r2 P2 </t>
    </r>
    <r>
      <rPr>
        <sz val="10"/>
        <color rgb="FF000000"/>
        <rFont val="Noto Sans CJK SC"/>
        <family val="2"/>
      </rPr>
      <t xml:space="preserve">引用更正】同 </t>
    </r>
    <r>
      <rPr>
        <sz val="10"/>
        <color rgb="FF000000"/>
        <rFont val="Arial"/>
        <family val="0"/>
        <charset val="1"/>
      </rPr>
      <t xml:space="preserve">SRC_ZP_433</t>
    </r>
    <r>
      <rPr>
        <sz val="10"/>
        <color rgb="FF000000"/>
        <rFont val="Noto Sans CJK SC"/>
        <family val="2"/>
      </rPr>
      <t xml:space="preserve">；模型改引用 </t>
    </r>
    <r>
      <rPr>
        <sz val="10"/>
        <color rgb="FF000000"/>
        <rFont val="Arial"/>
        <family val="0"/>
        <charset val="1"/>
      </rPr>
      <t xml:space="preserve">SRC_ZP_786</t>
    </r>
    <r>
      <rPr>
        <sz val="10"/>
        <color rgb="FF000000"/>
        <rFont val="Noto Sans CJK SC"/>
        <family val="2"/>
      </rPr>
      <t xml:space="preserve">（採購 </t>
    </r>
    <r>
      <rPr>
        <sz val="10"/>
        <color rgb="FF000000"/>
        <rFont val="Arial"/>
        <family val="0"/>
        <charset val="1"/>
      </rPr>
      <t xml:space="preserve">0.247 </t>
    </r>
    <r>
      <rPr>
        <sz val="10"/>
        <color rgb="FF000000"/>
        <rFont val="Noto Sans CJK SC"/>
        <family val="2"/>
      </rPr>
      <t xml:space="preserve">億）</t>
    </r>
  </si>
  <si>
    <t xml:space="preserve">SRC_ZP_606</t>
  </si>
  <si>
    <t xml:space="preserve">broker_guosen_rev_fy27</t>
  </si>
  <si>
    <r>
      <rPr>
        <sz val="10"/>
        <color rgb="FF000000"/>
        <rFont val="Noto Sans CJK SC"/>
        <family val="2"/>
      </rPr>
      <t xml:space="preserve">國信證券營收預測 </t>
    </r>
    <r>
      <rPr>
        <sz val="10"/>
        <color rgb="FF000000"/>
        <rFont val="Arial"/>
        <family val="0"/>
        <charset val="1"/>
      </rPr>
      <t xml:space="preserve">FY2027</t>
    </r>
  </si>
  <si>
    <r>
      <rPr>
        <sz val="10"/>
        <color rgb="FF000000"/>
        <rFont val="Arial"/>
        <family val="0"/>
        <charset val="1"/>
      </rPr>
      <t xml:space="preserve">Z4 </t>
    </r>
    <r>
      <rPr>
        <sz val="10"/>
        <color rgb="FF000000"/>
        <rFont val="Noto Sans CJK SC"/>
        <family val="2"/>
      </rPr>
      <t xml:space="preserve">由 </t>
    </r>
    <r>
      <rPr>
        <sz val="10"/>
        <color rgb="FF000000"/>
        <rFont val="Arial"/>
        <family val="0"/>
        <charset val="1"/>
      </rPr>
      <t xml:space="preserve">SRC_ZP_591 </t>
    </r>
    <r>
      <rPr>
        <sz val="10"/>
        <color rgb="FF000000"/>
        <rFont val="Noto Sans CJK SC"/>
        <family val="2"/>
      </rPr>
      <t xml:space="preserve">的 </t>
    </r>
    <r>
      <rPr>
        <sz val="10"/>
        <color rgb="FF000000"/>
        <rFont val="Arial"/>
        <family val="0"/>
        <charset val="1"/>
      </rPr>
      <t xml:space="preserve">note </t>
    </r>
    <r>
      <rPr>
        <sz val="10"/>
        <color rgb="FF000000"/>
        <rFont val="Noto Sans CJK SC"/>
        <family val="2"/>
      </rPr>
      <t xml:space="preserve">拆出（營收 </t>
    </r>
    <r>
      <rPr>
        <sz val="10"/>
        <color rgb="FF000000"/>
        <rFont val="Arial"/>
        <family val="0"/>
        <charset val="1"/>
      </rPr>
      <t xml:space="preserve">62</t>
    </r>
    <r>
      <rPr>
        <sz val="10"/>
        <color rgb="FF000000"/>
        <rFont val="Noto Sans CJK SC"/>
        <family val="2"/>
      </rPr>
      <t xml:space="preserve">／</t>
    </r>
    <r>
      <rPr>
        <sz val="10"/>
        <color rgb="FF000000"/>
        <rFont val="Arial"/>
        <family val="0"/>
        <charset val="1"/>
      </rPr>
      <t xml:space="preserve">155</t>
    </r>
    <r>
      <rPr>
        <sz val="10"/>
        <color rgb="FF000000"/>
        <rFont val="Noto Sans CJK SC"/>
        <family val="2"/>
      </rPr>
      <t xml:space="preserve">／</t>
    </r>
    <r>
      <rPr>
        <sz val="10"/>
        <color rgb="FF000000"/>
        <rFont val="Arial"/>
        <family val="0"/>
        <charset val="1"/>
      </rPr>
      <t xml:space="preserve">344 </t>
    </r>
    <r>
      <rPr>
        <sz val="10"/>
        <color rgb="FF000000"/>
        <rFont val="Noto Sans CJK SC"/>
        <family val="2"/>
      </rPr>
      <t xml:space="preserve">億元）</t>
    </r>
  </si>
  <si>
    <t xml:space="preserve">SRC_ZP_607</t>
  </si>
  <si>
    <t xml:space="preserve">broker_guosen_rev_fy28</t>
  </si>
  <si>
    <r>
      <rPr>
        <sz val="10"/>
        <color rgb="FF000000"/>
        <rFont val="Noto Sans CJK SC"/>
        <family val="2"/>
      </rPr>
      <t xml:space="preserve">國信證券營收預測 </t>
    </r>
    <r>
      <rPr>
        <sz val="10"/>
        <color rgb="FF000000"/>
        <rFont val="Arial"/>
        <family val="0"/>
        <charset val="1"/>
      </rPr>
      <t xml:space="preserve">FY2028</t>
    </r>
  </si>
  <si>
    <r>
      <rPr>
        <sz val="10"/>
        <color rgb="FF000000"/>
        <rFont val="Arial"/>
        <family val="0"/>
        <charset val="1"/>
      </rPr>
      <t xml:space="preserve">Z4 </t>
    </r>
    <r>
      <rPr>
        <sz val="10"/>
        <color rgb="FF000000"/>
        <rFont val="Noto Sans CJK SC"/>
        <family val="2"/>
      </rPr>
      <t xml:space="preserve">由 </t>
    </r>
    <r>
      <rPr>
        <sz val="10"/>
        <color rgb="FF000000"/>
        <rFont val="Arial"/>
        <family val="0"/>
        <charset val="1"/>
      </rPr>
      <t xml:space="preserve">SRC_ZP_591 </t>
    </r>
    <r>
      <rPr>
        <sz val="10"/>
        <color rgb="FF000000"/>
        <rFont val="Noto Sans CJK SC"/>
        <family val="2"/>
      </rPr>
      <t xml:space="preserve">的 </t>
    </r>
    <r>
      <rPr>
        <sz val="10"/>
        <color rgb="FF000000"/>
        <rFont val="Arial"/>
        <family val="0"/>
        <charset val="1"/>
      </rPr>
      <t xml:space="preserve">note </t>
    </r>
    <r>
      <rPr>
        <sz val="10"/>
        <color rgb="FF000000"/>
        <rFont val="Noto Sans CJK SC"/>
        <family val="2"/>
      </rPr>
      <t xml:space="preserve">拆出</t>
    </r>
  </si>
  <si>
    <t xml:space="preserve">SRC_ZP_608</t>
  </si>
  <si>
    <t xml:space="preserve">broker_guozheng_rev_fy27</t>
  </si>
  <si>
    <r>
      <rPr>
        <sz val="10"/>
        <color rgb="FF000000"/>
        <rFont val="Noto Sans CJK SC"/>
        <family val="2"/>
      </rPr>
      <t xml:space="preserve">國證國際營收預測 </t>
    </r>
    <r>
      <rPr>
        <sz val="10"/>
        <color rgb="FF000000"/>
        <rFont val="Arial"/>
        <family val="0"/>
        <charset val="1"/>
      </rPr>
      <t xml:space="preserve">FY2027</t>
    </r>
  </si>
  <si>
    <r>
      <rPr>
        <sz val="10"/>
        <color rgb="FF000000"/>
        <rFont val="Arial"/>
        <family val="0"/>
        <charset val="1"/>
      </rPr>
      <t xml:space="preserve">Z4 </t>
    </r>
    <r>
      <rPr>
        <sz val="10"/>
        <color rgb="FF000000"/>
        <rFont val="Noto Sans CJK SC"/>
        <family val="2"/>
      </rPr>
      <t xml:space="preserve">由 </t>
    </r>
    <r>
      <rPr>
        <sz val="10"/>
        <color rgb="FF000000"/>
        <rFont val="Arial"/>
        <family val="0"/>
        <charset val="1"/>
      </rPr>
      <t xml:space="preserve">SRC_ZP_592 </t>
    </r>
    <r>
      <rPr>
        <sz val="10"/>
        <color rgb="FF000000"/>
        <rFont val="Noto Sans CJK SC"/>
        <family val="2"/>
      </rPr>
      <t xml:space="preserve">的 </t>
    </r>
    <r>
      <rPr>
        <sz val="10"/>
        <color rgb="FF000000"/>
        <rFont val="Arial"/>
        <family val="0"/>
        <charset val="1"/>
      </rPr>
      <t xml:space="preserve">note </t>
    </r>
    <r>
      <rPr>
        <sz val="10"/>
        <color rgb="FF000000"/>
        <rFont val="Noto Sans CJK SC"/>
        <family val="2"/>
      </rPr>
      <t xml:space="preserve">拆出（</t>
    </r>
    <r>
      <rPr>
        <sz val="10"/>
        <color rgb="FF000000"/>
        <rFont val="Arial"/>
        <family val="0"/>
        <charset val="1"/>
      </rPr>
      <t xml:space="preserve">42</t>
    </r>
    <r>
      <rPr>
        <sz val="10"/>
        <color rgb="FF000000"/>
        <rFont val="Noto Sans CJK SC"/>
        <family val="2"/>
      </rPr>
      <t xml:space="preserve">／</t>
    </r>
    <r>
      <rPr>
        <sz val="10"/>
        <color rgb="FF000000"/>
        <rFont val="Arial"/>
        <family val="0"/>
        <charset val="1"/>
      </rPr>
      <t xml:space="preserve">114</t>
    </r>
    <r>
      <rPr>
        <sz val="10"/>
        <color rgb="FF000000"/>
        <rFont val="Noto Sans CJK SC"/>
        <family val="2"/>
      </rPr>
      <t xml:space="preserve">／</t>
    </r>
    <r>
      <rPr>
        <sz val="10"/>
        <color rgb="FF000000"/>
        <rFont val="Arial"/>
        <family val="0"/>
        <charset val="1"/>
      </rPr>
      <t xml:space="preserve">251 </t>
    </r>
    <r>
      <rPr>
        <sz val="10"/>
        <color rgb="FF000000"/>
        <rFont val="Noto Sans CJK SC"/>
        <family val="2"/>
      </rPr>
      <t xml:space="preserve">億元）</t>
    </r>
  </si>
  <si>
    <t xml:space="preserve">SRC_ZP_609</t>
  </si>
  <si>
    <t xml:space="preserve">broker_guozheng_rev_fy28</t>
  </si>
  <si>
    <r>
      <rPr>
        <sz val="10"/>
        <color rgb="FF000000"/>
        <rFont val="Noto Sans CJK SC"/>
        <family val="2"/>
      </rPr>
      <t xml:space="preserve">國證國際營收預測 </t>
    </r>
    <r>
      <rPr>
        <sz val="10"/>
        <color rgb="FF000000"/>
        <rFont val="Arial"/>
        <family val="0"/>
        <charset val="1"/>
      </rPr>
      <t xml:space="preserve">FY2028</t>
    </r>
  </si>
  <si>
    <r>
      <rPr>
        <sz val="10"/>
        <color rgb="FF000000"/>
        <rFont val="Arial"/>
        <family val="0"/>
        <charset val="1"/>
      </rPr>
      <t xml:space="preserve">Z4 </t>
    </r>
    <r>
      <rPr>
        <sz val="10"/>
        <color rgb="FF000000"/>
        <rFont val="Noto Sans CJK SC"/>
        <family val="2"/>
      </rPr>
      <t xml:space="preserve">由 </t>
    </r>
    <r>
      <rPr>
        <sz val="10"/>
        <color rgb="FF000000"/>
        <rFont val="Arial"/>
        <family val="0"/>
        <charset val="1"/>
      </rPr>
      <t xml:space="preserve">SRC_ZP_592 </t>
    </r>
    <r>
      <rPr>
        <sz val="10"/>
        <color rgb="FF000000"/>
        <rFont val="Noto Sans CJK SC"/>
        <family val="2"/>
      </rPr>
      <t xml:space="preserve">的 </t>
    </r>
    <r>
      <rPr>
        <sz val="10"/>
        <color rgb="FF000000"/>
        <rFont val="Arial"/>
        <family val="0"/>
        <charset val="1"/>
      </rPr>
      <t xml:space="preserve">note </t>
    </r>
    <r>
      <rPr>
        <sz val="10"/>
        <color rgb="FF000000"/>
        <rFont val="Noto Sans CJK SC"/>
        <family val="2"/>
      </rPr>
      <t xml:space="preserve">拆出</t>
    </r>
  </si>
  <si>
    <t xml:space="preserve">SRC_ZP_610</t>
  </si>
  <si>
    <t xml:space="preserve">broker_daiwa_rev_fy29</t>
  </si>
  <si>
    <r>
      <rPr>
        <sz val="10"/>
        <color rgb="FF000000"/>
        <rFont val="Noto Sans CJK SC"/>
        <family val="2"/>
      </rPr>
      <t xml:space="preserve">大和營收預測 </t>
    </r>
    <r>
      <rPr>
        <sz val="10"/>
        <color rgb="FF000000"/>
        <rFont val="Arial"/>
        <family val="0"/>
        <charset val="1"/>
      </rPr>
      <t xml:space="preserve">FY2029</t>
    </r>
  </si>
  <si>
    <t xml:space="preserve">FY2029</t>
  </si>
  <si>
    <r>
      <rPr>
        <sz val="10"/>
        <color rgb="FF000000"/>
        <rFont val="Arial"/>
        <family val="0"/>
        <charset val="1"/>
      </rPr>
      <t xml:space="preserve">Z4 </t>
    </r>
    <r>
      <rPr>
        <sz val="10"/>
        <color rgb="FF000000"/>
        <rFont val="Noto Sans CJK SC"/>
        <family val="2"/>
      </rPr>
      <t xml:space="preserve">由 </t>
    </r>
    <r>
      <rPr>
        <sz val="10"/>
        <color rgb="FF000000"/>
        <rFont val="Arial"/>
        <family val="0"/>
        <charset val="1"/>
      </rPr>
      <t xml:space="preserve">SRC_ZP_593 </t>
    </r>
    <r>
      <rPr>
        <sz val="10"/>
        <color rgb="FF000000"/>
        <rFont val="Noto Sans CJK SC"/>
        <family val="2"/>
      </rPr>
      <t xml:space="preserve">的 </t>
    </r>
    <r>
      <rPr>
        <sz val="10"/>
        <color rgb="FF000000"/>
        <rFont val="Arial"/>
        <family val="0"/>
        <charset val="1"/>
      </rPr>
      <t xml:space="preserve">note </t>
    </r>
    <r>
      <rPr>
        <sz val="10"/>
        <color rgb="FF000000"/>
        <rFont val="Noto Sans CJK SC"/>
        <family val="2"/>
      </rPr>
      <t xml:space="preserve">拆出（</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7.24 </t>
    </r>
    <r>
      <rPr>
        <sz val="10"/>
        <color rgb="FF000000"/>
        <rFont val="Noto Sans CJK SC"/>
        <family val="2"/>
      </rPr>
      <t xml:space="preserve">億升至 </t>
    </r>
    <r>
      <rPr>
        <sz val="10"/>
        <color rgb="FF000000"/>
        <rFont val="Arial"/>
        <family val="0"/>
        <charset val="1"/>
      </rPr>
      <t xml:space="preserve">2029 </t>
    </r>
    <r>
      <rPr>
        <sz val="10"/>
        <color rgb="FF000000"/>
        <rFont val="Noto Sans CJK SC"/>
        <family val="2"/>
      </rPr>
      <t xml:space="preserve">年 </t>
    </r>
    <r>
      <rPr>
        <sz val="10"/>
        <color rgb="FF000000"/>
        <rFont val="Arial"/>
        <family val="0"/>
        <charset val="1"/>
      </rPr>
      <t xml:space="preserve">475 </t>
    </r>
    <r>
      <rPr>
        <sz val="10"/>
        <color rgb="FF000000"/>
        <rFont val="Noto Sans CJK SC"/>
        <family val="2"/>
      </rPr>
      <t xml:space="preserve">億元，</t>
    </r>
    <r>
      <rPr>
        <sz val="10"/>
        <color rgb="FF000000"/>
        <rFont val="Arial"/>
        <family val="0"/>
        <charset val="1"/>
      </rPr>
      <t xml:space="preserve">CAGR 185%</t>
    </r>
    <r>
      <rPr>
        <sz val="10"/>
        <color rgb="FF000000"/>
        <rFont val="Noto Sans CJK SC"/>
        <family val="2"/>
      </rPr>
      <t xml:space="preserve">）；</t>
    </r>
    <r>
      <rPr>
        <sz val="10"/>
        <color rgb="FF000000"/>
        <rFont val="Arial"/>
        <family val="0"/>
        <charset val="1"/>
      </rPr>
      <t xml:space="preserve">Reverse </t>
    </r>
    <r>
      <rPr>
        <sz val="10"/>
        <color rgb="FF000000"/>
        <rFont val="Noto Sans CJK SC"/>
        <family val="2"/>
      </rPr>
      <t xml:space="preserve">只作 </t>
    </r>
    <r>
      <rPr>
        <sz val="10"/>
        <color rgb="FF000000"/>
        <rFont val="Arial"/>
        <family val="0"/>
        <charset val="1"/>
      </rPr>
      <t xml:space="preserve">2029 </t>
    </r>
    <r>
      <rPr>
        <sz val="10"/>
        <color rgb="FF000000"/>
        <rFont val="Noto Sans CJK SC"/>
        <family val="2"/>
      </rPr>
      <t xml:space="preserve">對照</t>
    </r>
  </si>
  <si>
    <t xml:space="preserve">SRC_ZP_611</t>
  </si>
  <si>
    <t xml:space="preserve">rd_compute_fy22_p</t>
  </si>
  <si>
    <t xml:space="preserve">研發開支：算力服務費</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</si>
  <si>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t>
    </r>
  </si>
  <si>
    <r>
      <rPr>
        <sz val="10"/>
        <color rgb="FF000000"/>
        <rFont val="Noto Sans CJK SC"/>
        <family val="2"/>
      </rPr>
      <t xml:space="preserve">經審計（會計師報告，畢馬威 </t>
    </r>
    <r>
      <rPr>
        <sz val="10"/>
        <color rgb="FF000000"/>
        <rFont val="Arial"/>
        <family val="0"/>
        <charset val="1"/>
      </rPr>
      <t xml:space="preserve">2025-12-30</t>
    </r>
    <r>
      <rPr>
        <sz val="10"/>
        <color rgb="FF000000"/>
        <rFont val="Noto Sans CJK SC"/>
        <family val="2"/>
      </rPr>
      <t xml:space="preserve">）；明細表出自財務資料／業務節（非會計師報告附註），合計與會計師報告一致</t>
    </r>
  </si>
  <si>
    <r>
      <rPr>
        <sz val="10"/>
        <color rgb="FF000000"/>
        <rFont val="Noto Sans CJK SC"/>
        <family val="2"/>
      </rPr>
      <t xml:space="preserve">研發開支明細表「算力服務費」（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14,633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換算成億；升級為一手來源；媒體 </t>
    </r>
    <r>
      <rPr>
        <sz val="10"/>
        <color rgb="FF000000"/>
        <rFont val="Arial"/>
        <family val="0"/>
        <charset val="1"/>
      </rPr>
      <t xml:space="preserve">0.15 </t>
    </r>
    <r>
      <rPr>
        <sz val="10"/>
        <color rgb="FF000000"/>
        <rFont val="Noto Sans CJK SC"/>
        <family val="2"/>
      </rPr>
      <t xml:space="preserve">億＝</t>
    </r>
    <r>
      <rPr>
        <sz val="10"/>
        <color rgb="FF000000"/>
        <rFont val="Arial"/>
        <family val="0"/>
        <charset val="1"/>
      </rPr>
      <t xml:space="preserve">14.6 </t>
    </r>
    <r>
      <rPr>
        <sz val="10"/>
        <color rgb="FF000000"/>
        <rFont val="Noto Sans CJK SC"/>
        <family val="2"/>
      </rPr>
      <t xml:space="preserve">百萬，值一致；另見 </t>
    </r>
    <r>
      <rPr>
        <sz val="10"/>
        <color rgb="FF000000"/>
        <rFont val="Arial"/>
        <family val="0"/>
        <charset val="1"/>
      </rPr>
      <t xml:space="preserve">SRC_ZP_451</t>
    </r>
    <r>
      <rPr>
        <sz val="10"/>
        <color rgb="FF000000"/>
        <rFont val="Noto Sans CJK SC"/>
        <family val="2"/>
      </rPr>
      <t xml:space="preserve">（媒體誤標為含雲端部署的總算力費）</t>
    </r>
  </si>
  <si>
    <t xml:space="preserve">SRC_ZP_612</t>
  </si>
  <si>
    <t xml:space="preserve">rd_compute_fy23</t>
  </si>
  <si>
    <r>
      <rPr>
        <sz val="10"/>
        <color rgb="FF000000"/>
        <rFont val="Noto Sans CJK SC"/>
        <family val="2"/>
      </rPr>
      <t xml:space="preserve">研發開支明細表「算力服務費」（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311,746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</si>
  <si>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SRC_ZP_613</t>
  </si>
  <si>
    <t xml:space="preserve">rd_compute_fy24_p</t>
  </si>
  <si>
    <r>
      <rPr>
        <sz val="10"/>
        <color rgb="FF000000"/>
        <rFont val="Noto Sans CJK SC"/>
        <family val="2"/>
      </rPr>
      <t xml:space="preserve">研發開支明細表「算力服務費」（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1,552,832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t>
    </r>
    <r>
      <rPr>
        <sz val="10"/>
        <color rgb="FF000000"/>
        <rFont val="Arial"/>
        <family val="0"/>
        <charset val="1"/>
      </rPr>
      <t xml:space="preserve">15.53 </t>
    </r>
    <r>
      <rPr>
        <sz val="10"/>
        <color rgb="FF000000"/>
        <rFont val="Noto Sans CJK SC"/>
        <family val="2"/>
      </rPr>
      <t xml:space="preserve">億（媒體 </t>
    </r>
    <r>
      <rPr>
        <sz val="10"/>
        <color rgb="FF000000"/>
        <rFont val="Arial"/>
        <family val="0"/>
        <charset val="1"/>
      </rPr>
      <t xml:space="preserve">15.52 </t>
    </r>
    <r>
      <rPr>
        <sz val="10"/>
        <color rgb="FF000000"/>
        <rFont val="Noto Sans CJK SC"/>
        <family val="2"/>
      </rPr>
      <t xml:space="preserve">為截尾），亦取代 </t>
    </r>
    <r>
      <rPr>
        <sz val="10"/>
        <color rgb="FF000000"/>
        <rFont val="Arial"/>
        <family val="0"/>
        <charset val="1"/>
      </rPr>
      <t xml:space="preserve">SRC_ZP_233</t>
    </r>
  </si>
  <si>
    <t xml:space="preserve">SRC_ZP_614</t>
  </si>
  <si>
    <t xml:space="preserve">rd_compute_1h24</t>
  </si>
  <si>
    <r>
      <rPr>
        <sz val="10"/>
        <color rgb="FF000000"/>
        <rFont val="Noto Sans CJK SC"/>
        <family val="2"/>
      </rPr>
      <t xml:space="preserve">經審閱（未經審計；畢馬威依 </t>
    </r>
    <r>
      <rPr>
        <sz val="10"/>
        <color rgb="FF000000"/>
        <rFont val="Arial"/>
        <family val="0"/>
        <charset val="1"/>
      </rPr>
      <t xml:space="preserve">HKSRE 2410 </t>
    </r>
    <r>
      <rPr>
        <sz val="10"/>
        <color rgb="FF000000"/>
        <rFont val="Noto Sans CJK SC"/>
        <family val="2"/>
      </rPr>
      <t xml:space="preserve">審閱）；明細表出自財務資料／業務節（非會計師報告附註），合計與會計師報告一致</t>
    </r>
  </si>
  <si>
    <r>
      <rPr>
        <sz val="10"/>
        <color rgb="FF000000"/>
        <rFont val="Noto Sans CJK SC"/>
        <family val="2"/>
      </rPr>
      <t xml:space="preserve">研發開支明細表「算力服務費」（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603,237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</si>
  <si>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SRC_ZP_615</t>
  </si>
  <si>
    <t xml:space="preserve">rd_compute_1h25_p</t>
  </si>
  <si>
    <r>
      <rPr>
        <sz val="10"/>
        <color rgb="FF000000"/>
        <rFont val="Noto Sans CJK SC"/>
        <family val="2"/>
      </rPr>
      <t xml:space="preserve">經審計（會計師報告，畢馬威 </t>
    </r>
    <r>
      <rPr>
        <sz val="10"/>
        <color rgb="FF000000"/>
        <rFont val="Arial"/>
        <family val="0"/>
        <charset val="1"/>
      </rPr>
      <t xml:space="preserve">2025-12-30</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為往績記錄期之一，非僅審閱）；明細表出自財務資料／業務節（非會計師報告附註），合計與會計師報告一致</t>
    </r>
  </si>
  <si>
    <r>
      <rPr>
        <sz val="10"/>
        <color rgb="FF000000"/>
        <rFont val="Noto Sans CJK SC"/>
        <family val="2"/>
      </rPr>
      <t xml:space="preserve">研發開支明細表「算力服務費」（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1,145,124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t>
    </r>
    <r>
      <rPr>
        <sz val="10"/>
        <color rgb="FF000000"/>
        <rFont val="Arial"/>
        <family val="0"/>
        <charset val="1"/>
      </rPr>
      <t xml:space="preserve">11.45 </t>
    </r>
    <r>
      <rPr>
        <sz val="10"/>
        <color rgb="FF000000"/>
        <rFont val="Noto Sans CJK SC"/>
        <family val="2"/>
      </rPr>
      <t xml:space="preserve">億一致；原 </t>
    </r>
    <r>
      <rPr>
        <sz val="10"/>
        <color rgb="FF000000"/>
        <rFont val="Arial"/>
        <family val="0"/>
        <charset val="1"/>
      </rPr>
      <t xml:space="preserve">note</t>
    </r>
    <r>
      <rPr>
        <sz val="10"/>
        <color rgb="FF000000"/>
        <rFont val="Noto Sans CJK SC"/>
        <family val="2"/>
      </rPr>
      <t xml:space="preserve">「含模型訓練及雲端部署服務」口徑有誤：此為研發開支項下算力費，雲端部署推論算力在營業成本（見 </t>
    </r>
    <r>
      <rPr>
        <sz val="10"/>
        <color rgb="FF000000"/>
        <rFont val="Arial"/>
        <family val="0"/>
        <charset val="1"/>
      </rPr>
      <t xml:space="preserve">cogs_compute</t>
    </r>
    <r>
      <rPr>
        <sz val="10"/>
        <color rgb="FF000000"/>
        <rFont val="Noto Sans CJK SC"/>
        <family val="2"/>
      </rPr>
      <t xml:space="preserve">）</t>
    </r>
  </si>
  <si>
    <t xml:space="preserve">SRC_ZP_616</t>
  </si>
  <si>
    <t xml:space="preserve">rd_wage_fy22</t>
  </si>
  <si>
    <t xml:space="preserve">研發開支：工資成本（含股權報酬）</t>
  </si>
  <si>
    <r>
      <rPr>
        <sz val="10"/>
        <color rgb="FF000000"/>
        <rFont val="Noto Sans CJK SC"/>
        <family val="2"/>
      </rPr>
      <t xml:space="preserve">研發開支明細表「工資成本」（</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41,982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換算成億；升級為一手來源；值一致（</t>
    </r>
    <r>
      <rPr>
        <sz val="10"/>
        <color rgb="FF000000"/>
        <rFont val="Arial"/>
        <family val="0"/>
        <charset val="1"/>
      </rPr>
      <t xml:space="preserve">0.42 </t>
    </r>
    <r>
      <rPr>
        <sz val="10"/>
        <color rgb="FF000000"/>
        <rFont val="Noto Sans CJK SC"/>
        <family val="2"/>
      </rPr>
      <t xml:space="preserve">億）</t>
    </r>
  </si>
  <si>
    <t xml:space="preserve">SRC_ZP_617</t>
  </si>
  <si>
    <t xml:space="preserve">rd_wage_fy23</t>
  </si>
  <si>
    <r>
      <rPr>
        <sz val="10"/>
        <color rgb="FF000000"/>
        <rFont val="Noto Sans CJK SC"/>
        <family val="2"/>
      </rPr>
      <t xml:space="preserve">研發開支明細表「工資成本」（</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137,296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換算成億；升級為一手來源；值一致</t>
    </r>
  </si>
  <si>
    <t xml:space="preserve">SRC_ZP_618</t>
  </si>
  <si>
    <t xml:space="preserve">rd_wage_fy24</t>
  </si>
  <si>
    <r>
      <rPr>
        <sz val="10"/>
        <color rgb="FF000000"/>
        <rFont val="Noto Sans CJK SC"/>
        <family val="2"/>
      </rPr>
      <t xml:space="preserve">研發開支明細表「工資成本」（</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324,193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換算成億；升級為一手來源；值一致</t>
    </r>
  </si>
  <si>
    <t xml:space="preserve">SRC_ZP_619</t>
  </si>
  <si>
    <t xml:space="preserve">rd_wage_1h24</t>
  </si>
  <si>
    <r>
      <rPr>
        <sz val="10"/>
        <color rgb="FF000000"/>
        <rFont val="Noto Sans CJK SC"/>
        <family val="2"/>
      </rPr>
      <t xml:space="preserve">研發開支明細表「工資成本」（</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107,988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</si>
  <si>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SRC_ZP_620</t>
  </si>
  <si>
    <t xml:space="preserve">rd_wage_1h25</t>
  </si>
  <si>
    <r>
      <rPr>
        <sz val="10"/>
        <color rgb="FF000000"/>
        <rFont val="Noto Sans CJK SC"/>
        <family val="2"/>
      </rPr>
      <t xml:space="preserve">研發開支明細表「工資成本」（</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265,567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換算成億；升級為一手來源；值一致</t>
    </r>
  </si>
  <si>
    <t xml:space="preserve">SRC_ZP_621</t>
  </si>
  <si>
    <t xml:space="preserve">rd_da_fy22</t>
  </si>
  <si>
    <t xml:space="preserve">研發開支：折舊及攤銷</t>
  </si>
  <si>
    <r>
      <rPr>
        <sz val="10"/>
        <color rgb="FF000000"/>
        <rFont val="Noto Sans CJK SC"/>
        <family val="2"/>
      </rPr>
      <t xml:space="preserve">研發開支明細表「折舊及攤銷」（</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14,689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</si>
  <si>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SRC_ZP_622</t>
  </si>
  <si>
    <t xml:space="preserve">rd_da_fy23</t>
  </si>
  <si>
    <r>
      <rPr>
        <sz val="10"/>
        <color rgb="FF000000"/>
        <rFont val="Noto Sans CJK SC"/>
        <family val="2"/>
      </rPr>
      <t xml:space="preserve">研發開支明細表「折舊及攤銷」（</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49,206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</si>
  <si>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SRC_ZP_623</t>
  </si>
  <si>
    <t xml:space="preserve">rd_da_fy24</t>
  </si>
  <si>
    <r>
      <rPr>
        <sz val="10"/>
        <color rgb="FF000000"/>
        <rFont val="Noto Sans CJK SC"/>
        <family val="2"/>
      </rPr>
      <t xml:space="preserve">研發開支明細表「折舊及攤銷」（</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259,038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</si>
  <si>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SRC_ZP_624</t>
  </si>
  <si>
    <t xml:space="preserve">rd_da_1h24</t>
  </si>
  <si>
    <r>
      <rPr>
        <sz val="10"/>
        <color rgb="FF000000"/>
        <rFont val="Noto Sans CJK SC"/>
        <family val="2"/>
      </rPr>
      <t xml:space="preserve">研發開支明細表「折舊及攤銷」（</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118,517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</si>
  <si>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SRC_ZP_625</t>
  </si>
  <si>
    <t xml:space="preserve">rd_da_1h25</t>
  </si>
  <si>
    <r>
      <rPr>
        <sz val="10"/>
        <color rgb="FF000000"/>
        <rFont val="Noto Sans CJK SC"/>
        <family val="2"/>
      </rPr>
      <t xml:space="preserve">研發開支明細表「折舊及攤銷」（</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123,966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</si>
  <si>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SRC_ZP_626</t>
  </si>
  <si>
    <t xml:space="preserve">rd_tech_fy22</t>
  </si>
  <si>
    <t xml:space="preserve">研發開支：技術服務及諮詢費</t>
  </si>
  <si>
    <r>
      <rPr>
        <sz val="10"/>
        <color rgb="FF000000"/>
        <rFont val="Noto Sans CJK SC"/>
        <family val="2"/>
      </rPr>
      <t xml:space="preserve">研發開支明細表「技術服務及諮詢費」（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11,412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</si>
  <si>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SRC_ZP_627</t>
  </si>
  <si>
    <t xml:space="preserve">rd_tech_fy23</t>
  </si>
  <si>
    <r>
      <rPr>
        <sz val="10"/>
        <color rgb="FF000000"/>
        <rFont val="Noto Sans CJK SC"/>
        <family val="2"/>
      </rPr>
      <t xml:space="preserve">研發開支明細表「技術服務及諮詢費」（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25,184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</si>
  <si>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SRC_ZP_628</t>
  </si>
  <si>
    <t xml:space="preserve">rd_tech_fy24</t>
  </si>
  <si>
    <r>
      <rPr>
        <sz val="10"/>
        <color rgb="FF000000"/>
        <rFont val="Noto Sans CJK SC"/>
        <family val="2"/>
      </rPr>
      <t xml:space="preserve">研發開支明細表「技術服務及諮詢費」（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45,036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</si>
  <si>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SRC_ZP_629</t>
  </si>
  <si>
    <t xml:space="preserve">rd_tech_1h24</t>
  </si>
  <si>
    <r>
      <rPr>
        <sz val="10"/>
        <color rgb="FF000000"/>
        <rFont val="Noto Sans CJK SC"/>
        <family val="2"/>
      </rPr>
      <t xml:space="preserve">研發開支明細表「技術服務及諮詢費」（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24,670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</si>
  <si>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SRC_ZP_630</t>
  </si>
  <si>
    <t xml:space="preserve">rd_tech_1h25</t>
  </si>
  <si>
    <r>
      <rPr>
        <sz val="10"/>
        <color rgb="FF000000"/>
        <rFont val="Noto Sans CJK SC"/>
        <family val="2"/>
      </rPr>
      <t xml:space="preserve">研發開支明細表「技術服務及諮詢費」（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52,209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</si>
  <si>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SRC_ZP_631</t>
  </si>
  <si>
    <t xml:space="preserve">rd_other_fy22</t>
  </si>
  <si>
    <t xml:space="preserve">研發開支：其他</t>
  </si>
  <si>
    <r>
      <rPr>
        <sz val="10"/>
        <color rgb="FF000000"/>
        <rFont val="Noto Sans CJK SC"/>
        <family val="2"/>
      </rPr>
      <t xml:space="preserve">研發開支明細表「其他」（</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1,661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</si>
  <si>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SRC_ZP_632</t>
  </si>
  <si>
    <t xml:space="preserve">rd_other_fy23</t>
  </si>
  <si>
    <r>
      <rPr>
        <sz val="10"/>
        <color rgb="FF000000"/>
        <rFont val="Noto Sans CJK SC"/>
        <family val="2"/>
      </rPr>
      <t xml:space="preserve">研發開支明細表「其他」（</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5,452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</si>
  <si>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SRC_ZP_633</t>
  </si>
  <si>
    <t xml:space="preserve">rd_other_fy24</t>
  </si>
  <si>
    <r>
      <rPr>
        <sz val="10"/>
        <color rgb="FF000000"/>
        <rFont val="Noto Sans CJK SC"/>
        <family val="2"/>
      </rPr>
      <t xml:space="preserve">研發開支明細表「其他」（</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14,337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</si>
  <si>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SRC_ZP_634</t>
  </si>
  <si>
    <t xml:space="preserve">rd_other_1h24</t>
  </si>
  <si>
    <r>
      <rPr>
        <sz val="10"/>
        <color rgb="FF000000"/>
        <rFont val="Noto Sans CJK SC"/>
        <family val="2"/>
      </rPr>
      <t xml:space="preserve">研發開支明細表「其他」（</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4,805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</si>
  <si>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SRC_ZP_635</t>
  </si>
  <si>
    <t xml:space="preserve">rd_other_1h25</t>
  </si>
  <si>
    <r>
      <rPr>
        <sz val="10"/>
        <color rgb="FF000000"/>
        <rFont val="Noto Sans CJK SC"/>
        <family val="2"/>
      </rPr>
      <t xml:space="preserve">研發開支明細表「其他」（</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7,795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</si>
  <si>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SRC_ZP_636</t>
  </si>
  <si>
    <t xml:space="preserve">rd_compute_share_fy22</t>
  </si>
  <si>
    <r>
      <rPr>
        <sz val="10"/>
        <color rgb="FF000000"/>
        <rFont val="Noto Sans CJK SC"/>
        <family val="2"/>
      </rPr>
      <t xml:space="preserve">研發開支明細表百分比欄；第 </t>
    </r>
    <r>
      <rPr>
        <sz val="10"/>
        <color rgb="FF000000"/>
        <rFont val="Arial"/>
        <family val="0"/>
        <charset val="1"/>
      </rPr>
      <t xml:space="preserve">51 </t>
    </r>
    <r>
      <rPr>
        <sz val="10"/>
        <color rgb="FF000000"/>
        <rFont val="Noto Sans CJK SC"/>
        <family val="2"/>
      </rPr>
      <t xml:space="preserve">頁風險因素同列「分別佔我們研發開支的 </t>
    </r>
    <r>
      <rPr>
        <sz val="10"/>
        <color rgb="FF000000"/>
        <rFont val="Arial"/>
        <family val="0"/>
        <charset val="1"/>
      </rPr>
      <t xml:space="preserve">17.3%</t>
    </r>
    <r>
      <rPr>
        <sz val="10"/>
        <color rgb="FF000000"/>
        <rFont val="Noto Sans CJK SC"/>
        <family val="2"/>
      </rPr>
      <t xml:space="preserve">、</t>
    </r>
    <r>
      <rPr>
        <sz val="10"/>
        <color rgb="FF000000"/>
        <rFont val="Arial"/>
        <family val="0"/>
        <charset val="1"/>
      </rPr>
      <t xml:space="preserve">58.9%</t>
    </r>
    <r>
      <rPr>
        <sz val="10"/>
        <color rgb="FF000000"/>
        <rFont val="Noto Sans CJK SC"/>
        <family val="2"/>
      </rPr>
      <t xml:space="preserve">、</t>
    </r>
    <r>
      <rPr>
        <sz val="10"/>
        <color rgb="FF000000"/>
        <rFont val="Arial"/>
        <family val="0"/>
        <charset val="1"/>
      </rPr>
      <t xml:space="preserve">70.7%</t>
    </r>
    <r>
      <rPr>
        <sz val="10"/>
        <color rgb="FF000000"/>
        <rFont val="Noto Sans CJK SC"/>
        <family val="2"/>
      </rPr>
      <t xml:space="preserve">、</t>
    </r>
    <r>
      <rPr>
        <sz val="10"/>
        <color rgb="FF000000"/>
        <rFont val="Arial"/>
        <family val="0"/>
        <charset val="1"/>
      </rPr>
      <t xml:space="preserve">70.2%</t>
    </r>
    <r>
      <rPr>
        <sz val="10"/>
        <color rgb="FF000000"/>
        <rFont val="Noto Sans CJK SC"/>
        <family val="2"/>
      </rPr>
      <t xml:space="preserve">及 </t>
    </r>
    <r>
      <rPr>
        <sz val="10"/>
        <color rgb="FF000000"/>
        <rFont val="Arial"/>
        <family val="0"/>
        <charset val="1"/>
      </rPr>
      <t xml:space="preserve">71.8%</t>
    </r>
    <r>
      <rPr>
        <sz val="10"/>
        <color rgb="FF000000"/>
        <rFont val="Noto Sans CJK SC"/>
        <family val="2"/>
      </rPr>
      <t xml:space="preserve">」</t>
    </r>
  </si>
  <si>
    <t xml:space="preserve">SRC_ZP_637</t>
  </si>
  <si>
    <t xml:space="preserve">rd_compute_share_fy23</t>
  </si>
  <si>
    <t xml:space="preserve">SRC_ZP_638</t>
  </si>
  <si>
    <t xml:space="preserve">rd_compute_share_fy24</t>
  </si>
  <si>
    <t xml:space="preserve">SRC_ZP_639</t>
  </si>
  <si>
    <t xml:space="preserve">rd_compute_share_1h24</t>
  </si>
  <si>
    <t xml:space="preserve">SRC_ZP_640</t>
  </si>
  <si>
    <t xml:space="preserve">rd_compute_share_1h25_p</t>
  </si>
  <si>
    <t xml:space="preserve">SRC_ZP_641</t>
  </si>
  <si>
    <t xml:space="preserve">rd_wage_share_fy22</t>
  </si>
  <si>
    <t xml:space="preserve">研發開支明細表百分比欄</t>
  </si>
  <si>
    <t xml:space="preserve">SRC_ZP_642</t>
  </si>
  <si>
    <t xml:space="preserve">rd_wage_share_fy23</t>
  </si>
  <si>
    <t xml:space="preserve">SRC_ZP_643</t>
  </si>
  <si>
    <t xml:space="preserve">rd_wage_share_fy24</t>
  </si>
  <si>
    <t xml:space="preserve">研發開支明細表百分比欄；升級為一手來源；值一致</t>
  </si>
  <si>
    <t xml:space="preserve">SRC_ZP_644</t>
  </si>
  <si>
    <t xml:space="preserve">rd_wage_share_1h24</t>
  </si>
  <si>
    <t xml:space="preserve">SRC_ZP_645</t>
  </si>
  <si>
    <t xml:space="preserve">rd_wage_share_1h25</t>
  </si>
  <si>
    <t xml:space="preserve">SRC_ZP_646</t>
  </si>
  <si>
    <t xml:space="preserve">rd_compute_desc</t>
  </si>
  <si>
    <t xml:space="preserve">研發開支項下算力服務費之定義與用途</t>
  </si>
  <si>
    <t xml:space="preserve">文字</t>
  </si>
  <si>
    <t xml:space="preserve">FY2022–1H2025</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</si>
  <si>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255 </t>
    </r>
    <r>
      <rPr>
        <sz val="10"/>
        <color rgb="FF000000"/>
        <rFont val="Noto Sans CJK SC"/>
        <family val="2"/>
      </rPr>
      <t xml:space="preserve">頁</t>
    </r>
  </si>
  <si>
    <t xml:space="preserve">招股章程正文（管理層陳述）</t>
  </si>
  <si>
    <r>
      <rPr>
        <sz val="10"/>
        <color rgb="FF000000"/>
        <rFont val="Noto Sans CJK SC"/>
        <family val="2"/>
      </rPr>
      <t xml:space="preserve">原文（第 </t>
    </r>
    <r>
      <rPr>
        <sz val="10"/>
        <color rgb="FF000000"/>
        <rFont val="Arial"/>
        <family val="0"/>
        <charset val="1"/>
      </rPr>
      <t xml:space="preserve">255 </t>
    </r>
    <r>
      <rPr>
        <sz val="10"/>
        <color rgb="FF000000"/>
        <rFont val="Noto Sans CJK SC"/>
        <family val="2"/>
      </rPr>
      <t xml:space="preserve">頁＝印 </t>
    </r>
    <r>
      <rPr>
        <sz val="10"/>
        <color rgb="FF000000"/>
        <rFont val="Arial"/>
        <family val="0"/>
        <charset val="1"/>
      </rPr>
      <t xml:space="preserve">246</t>
    </r>
    <r>
      <rPr>
        <sz val="10"/>
        <color rgb="FF000000"/>
        <rFont val="Noto Sans CJK SC"/>
        <family val="2"/>
      </rPr>
      <t xml:space="preserve">）「算力…支撐研發活動中模型及智能體工具的訓練、推理及持續開發…向第三方算力供應商支付的研發活動所需的計算服務費」；第 </t>
    </r>
    <r>
      <rPr>
        <sz val="10"/>
        <color rgb="FF000000"/>
        <rFont val="Arial"/>
        <family val="0"/>
        <charset val="1"/>
      </rPr>
      <t xml:space="preserve">266 </t>
    </r>
    <r>
      <rPr>
        <sz val="10"/>
        <color rgb="FF000000"/>
        <rFont val="Noto Sans CJK SC"/>
        <family val="2"/>
      </rPr>
      <t xml:space="preserve">頁「向第三方供應商支付的算力服務費，以用於我們研發活動的算力」；未拆訓練 </t>
    </r>
    <r>
      <rPr>
        <sz val="10"/>
        <color rgb="FF000000"/>
        <rFont val="Arial"/>
        <family val="0"/>
        <charset val="1"/>
      </rPr>
      <t xml:space="preserve">vs </t>
    </r>
    <r>
      <rPr>
        <sz val="10"/>
        <color rgb="FF000000"/>
        <rFont val="Noto Sans CJK SC"/>
        <family val="2"/>
      </rPr>
      <t xml:space="preserve">推理</t>
    </r>
  </si>
  <si>
    <t xml:space="preserve">SRC_ZP_647</t>
  </si>
  <si>
    <t xml:space="preserve">rd_compute_driver_text</t>
  </si>
  <si>
    <t xml:space="preserve">研發算力費增加原因（管理層說明）</t>
  </si>
  <si>
    <t xml:space="preserve">FY2023–1H2025</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</si>
  <si>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271 </t>
    </r>
    <r>
      <rPr>
        <sz val="10"/>
        <color rgb="FF000000"/>
        <rFont val="Noto Sans CJK SC"/>
        <family val="2"/>
      </rPr>
      <t xml:space="preserve">頁</t>
    </r>
  </si>
  <si>
    <r>
      <rPr>
        <sz val="10"/>
        <color rgb="FF000000"/>
        <rFont val="Noto Sans CJK SC"/>
        <family val="2"/>
      </rPr>
      <t xml:space="preserve">原文（第 </t>
    </r>
    <r>
      <rPr>
        <sz val="10"/>
        <color rgb="FF000000"/>
        <rFont val="Arial"/>
        <family val="0"/>
        <charset val="1"/>
      </rPr>
      <t xml:space="preserve">271/273/275 </t>
    </r>
    <r>
      <rPr>
        <sz val="10"/>
        <color rgb="FF000000"/>
        <rFont val="Noto Sans CJK SC"/>
        <family val="2"/>
      </rPr>
      <t xml:space="preserve">頁）「投入大量精力迭代我們的基座模型並投資於更先進的模型訓練基礎設施」；增額 </t>
    </r>
    <r>
      <rPr>
        <sz val="10"/>
        <color rgb="FF000000"/>
        <rFont val="Arial"/>
        <family val="0"/>
        <charset val="1"/>
      </rPr>
      <t xml:space="preserve">FY23 +297.1</t>
    </r>
    <r>
      <rPr>
        <sz val="10"/>
        <color rgb="FF000000"/>
        <rFont val="Noto Sans CJK SC"/>
        <family val="2"/>
      </rPr>
      <t xml:space="preserve">、</t>
    </r>
    <r>
      <rPr>
        <sz val="10"/>
        <color rgb="FF000000"/>
        <rFont val="Arial"/>
        <family val="0"/>
        <charset val="1"/>
      </rPr>
      <t xml:space="preserve">FY24 +1,241.1</t>
    </r>
    <r>
      <rPr>
        <sz val="10"/>
        <color rgb="FF000000"/>
        <rFont val="Noto Sans CJK SC"/>
        <family val="2"/>
      </rPr>
      <t xml:space="preserve">、</t>
    </r>
    <r>
      <rPr>
        <sz val="10"/>
        <color rgb="FF000000"/>
        <rFont val="Arial"/>
        <family val="0"/>
        <charset val="1"/>
      </rPr>
      <t xml:space="preserve">1H25 +541.9 </t>
    </r>
    <r>
      <rPr>
        <sz val="10"/>
        <color rgb="FF000000"/>
        <rFont val="Noto Sans CJK SC"/>
        <family val="2"/>
      </rPr>
      <t xml:space="preserve">百萬元</t>
    </r>
  </si>
  <si>
    <t xml:space="preserve">SRC_ZP_648</t>
  </si>
  <si>
    <t xml:space="preserve">rd_capitalised</t>
  </si>
  <si>
    <t xml:space="preserve">研發開支資本化</t>
  </si>
  <si>
    <t xml:space="preserve">原文「於往績記錄期，本公司並無將任何研發開支資本化」</t>
  </si>
  <si>
    <t xml:space="preserve">SRC_ZP_649</t>
  </si>
  <si>
    <t xml:space="preserve">rd_cash_cost_fy22</t>
  </si>
  <si>
    <t xml:space="preserve">現金經營成本：研發成本（不含工資及非現金項目，經營運資金調整）</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</si>
  <si>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291 </t>
    </r>
    <r>
      <rPr>
        <sz val="10"/>
        <color rgb="FF000000"/>
        <rFont val="Noto Sans CJK SC"/>
        <family val="2"/>
      </rPr>
      <t xml:space="preserve">頁</t>
    </r>
  </si>
  <si>
    <t xml:space="preserve">管理層口徑（招股章程財務資料節，非會計師報告科目）</t>
  </si>
  <si>
    <r>
      <rPr>
        <sz val="10"/>
        <color rgb="FF000000"/>
        <rFont val="Noto Sans CJK SC"/>
        <family val="2"/>
      </rPr>
      <t xml:space="preserve">現金經營成本表「研發成本」（第 </t>
    </r>
    <r>
      <rPr>
        <sz val="10"/>
        <color rgb="FF000000"/>
        <rFont val="Arial"/>
        <family val="0"/>
        <charset val="1"/>
      </rPr>
      <t xml:space="preserve">291 </t>
    </r>
    <r>
      <rPr>
        <sz val="10"/>
        <color rgb="FF000000"/>
        <rFont val="Noto Sans CJK SC"/>
        <family val="2"/>
      </rPr>
      <t xml:space="preserve">頁＝印 </t>
    </r>
    <r>
      <rPr>
        <sz val="10"/>
        <color rgb="FF000000"/>
        <rFont val="Arial"/>
        <family val="0"/>
        <charset val="1"/>
      </rPr>
      <t xml:space="preserve">282</t>
    </r>
    <r>
      <rPr>
        <sz val="10"/>
        <color rgb="FF000000"/>
        <rFont val="Noto Sans CJK SC"/>
        <family val="2"/>
      </rPr>
      <t xml:space="preserve">；附註</t>
    </r>
    <r>
      <rPr>
        <sz val="10"/>
        <color rgb="FF000000"/>
        <rFont val="Arial"/>
        <family val="0"/>
        <charset val="1"/>
      </rPr>
      <t xml:space="preserve">(1) </t>
    </r>
    <r>
      <rPr>
        <sz val="10"/>
        <color rgb="FF000000"/>
        <rFont val="Noto Sans CJK SC"/>
        <family val="2"/>
      </rPr>
      <t xml:space="preserve">定義）；</t>
    </r>
    <r>
      <rPr>
        <sz val="10"/>
        <color rgb="FF000000"/>
        <rFont val="Arial"/>
        <family val="0"/>
        <charset val="1"/>
      </rPr>
      <t xml:space="preserve">1H2024 </t>
    </r>
    <r>
      <rPr>
        <sz val="10"/>
        <color rgb="FF000000"/>
        <rFont val="Noto Sans CJK SC"/>
        <family val="2"/>
      </rPr>
      <t xml:space="preserve">未列；千元值 </t>
    </r>
    <r>
      <rPr>
        <sz val="10"/>
        <color rgb="FF000000"/>
        <rFont val="Arial"/>
        <family val="0"/>
        <charset val="1"/>
      </rPr>
      <t xml:space="preserve">25,894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</si>
  <si>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SRC_ZP_650</t>
  </si>
  <si>
    <t xml:space="preserve">rd_cash_cost_fy23</t>
  </si>
  <si>
    <r>
      <rPr>
        <sz val="10"/>
        <color rgb="FF000000"/>
        <rFont val="Noto Sans CJK SC"/>
        <family val="2"/>
      </rPr>
      <t xml:space="preserve">現金經營成本表「研發成本」（第 </t>
    </r>
    <r>
      <rPr>
        <sz val="10"/>
        <color rgb="FF000000"/>
        <rFont val="Arial"/>
        <family val="0"/>
        <charset val="1"/>
      </rPr>
      <t xml:space="preserve">291 </t>
    </r>
    <r>
      <rPr>
        <sz val="10"/>
        <color rgb="FF000000"/>
        <rFont val="Noto Sans CJK SC"/>
        <family val="2"/>
      </rPr>
      <t xml:space="preserve">頁＝印 </t>
    </r>
    <r>
      <rPr>
        <sz val="10"/>
        <color rgb="FF000000"/>
        <rFont val="Arial"/>
        <family val="0"/>
        <charset val="1"/>
      </rPr>
      <t xml:space="preserve">282</t>
    </r>
    <r>
      <rPr>
        <sz val="10"/>
        <color rgb="FF000000"/>
        <rFont val="Noto Sans CJK SC"/>
        <family val="2"/>
      </rPr>
      <t xml:space="preserve">；附註</t>
    </r>
    <r>
      <rPr>
        <sz val="10"/>
        <color rgb="FF000000"/>
        <rFont val="Arial"/>
        <family val="0"/>
        <charset val="1"/>
      </rPr>
      <t xml:space="preserve">(1) </t>
    </r>
    <r>
      <rPr>
        <sz val="10"/>
        <color rgb="FF000000"/>
        <rFont val="Noto Sans CJK SC"/>
        <family val="2"/>
      </rPr>
      <t xml:space="preserve">定義）；</t>
    </r>
    <r>
      <rPr>
        <sz val="10"/>
        <color rgb="FF000000"/>
        <rFont val="Arial"/>
        <family val="0"/>
        <charset val="1"/>
      </rPr>
      <t xml:space="preserve">1H2024 </t>
    </r>
    <r>
      <rPr>
        <sz val="10"/>
        <color rgb="FF000000"/>
        <rFont val="Noto Sans CJK SC"/>
        <family val="2"/>
      </rPr>
      <t xml:space="preserve">未列；千元值 </t>
    </r>
    <r>
      <rPr>
        <sz val="10"/>
        <color rgb="FF000000"/>
        <rFont val="Arial"/>
        <family val="0"/>
        <charset val="1"/>
      </rPr>
      <t xml:space="preserve">247,811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</si>
  <si>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SRC_ZP_651</t>
  </si>
  <si>
    <t xml:space="preserve">rd_cash_cost_fy24</t>
  </si>
  <si>
    <r>
      <rPr>
        <sz val="10"/>
        <color rgb="FF000000"/>
        <rFont val="Noto Sans CJK SC"/>
        <family val="2"/>
      </rPr>
      <t xml:space="preserve">現金經營成本表「研發成本」（第 </t>
    </r>
    <r>
      <rPr>
        <sz val="10"/>
        <color rgb="FF000000"/>
        <rFont val="Arial"/>
        <family val="0"/>
        <charset val="1"/>
      </rPr>
      <t xml:space="preserve">291 </t>
    </r>
    <r>
      <rPr>
        <sz val="10"/>
        <color rgb="FF000000"/>
        <rFont val="Noto Sans CJK SC"/>
        <family val="2"/>
      </rPr>
      <t xml:space="preserve">頁＝印 </t>
    </r>
    <r>
      <rPr>
        <sz val="10"/>
        <color rgb="FF000000"/>
        <rFont val="Arial"/>
        <family val="0"/>
        <charset val="1"/>
      </rPr>
      <t xml:space="preserve">282</t>
    </r>
    <r>
      <rPr>
        <sz val="10"/>
        <color rgb="FF000000"/>
        <rFont val="Noto Sans CJK SC"/>
        <family val="2"/>
      </rPr>
      <t xml:space="preserve">；附註</t>
    </r>
    <r>
      <rPr>
        <sz val="10"/>
        <color rgb="FF000000"/>
        <rFont val="Arial"/>
        <family val="0"/>
        <charset val="1"/>
      </rPr>
      <t xml:space="preserve">(1) </t>
    </r>
    <r>
      <rPr>
        <sz val="10"/>
        <color rgb="FF000000"/>
        <rFont val="Noto Sans CJK SC"/>
        <family val="2"/>
      </rPr>
      <t xml:space="preserve">定義）；</t>
    </r>
    <r>
      <rPr>
        <sz val="10"/>
        <color rgb="FF000000"/>
        <rFont val="Arial"/>
        <family val="0"/>
        <charset val="1"/>
      </rPr>
      <t xml:space="preserve">1H2024 </t>
    </r>
    <r>
      <rPr>
        <sz val="10"/>
        <color rgb="FF000000"/>
        <rFont val="Noto Sans CJK SC"/>
        <family val="2"/>
      </rPr>
      <t xml:space="preserve">未列；千元值 </t>
    </r>
    <r>
      <rPr>
        <sz val="10"/>
        <color rgb="FF000000"/>
        <rFont val="Arial"/>
        <family val="0"/>
        <charset val="1"/>
      </rPr>
      <t xml:space="preserve">1,425,605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</si>
  <si>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SRC_ZP_652</t>
  </si>
  <si>
    <t xml:space="preserve">rd_cash_cost_1h25</t>
  </si>
  <si>
    <r>
      <rPr>
        <sz val="10"/>
        <color rgb="FF000000"/>
        <rFont val="Noto Sans CJK SC"/>
        <family val="2"/>
      </rPr>
      <t xml:space="preserve">現金經營成本表「研發成本」（第 </t>
    </r>
    <r>
      <rPr>
        <sz val="10"/>
        <color rgb="FF000000"/>
        <rFont val="Arial"/>
        <family val="0"/>
        <charset val="1"/>
      </rPr>
      <t xml:space="preserve">291 </t>
    </r>
    <r>
      <rPr>
        <sz val="10"/>
        <color rgb="FF000000"/>
        <rFont val="Noto Sans CJK SC"/>
        <family val="2"/>
      </rPr>
      <t xml:space="preserve">頁＝印 </t>
    </r>
    <r>
      <rPr>
        <sz val="10"/>
        <color rgb="FF000000"/>
        <rFont val="Arial"/>
        <family val="0"/>
        <charset val="1"/>
      </rPr>
      <t xml:space="preserve">282</t>
    </r>
    <r>
      <rPr>
        <sz val="10"/>
        <color rgb="FF000000"/>
        <rFont val="Noto Sans CJK SC"/>
        <family val="2"/>
      </rPr>
      <t xml:space="preserve">；附註</t>
    </r>
    <r>
      <rPr>
        <sz val="10"/>
        <color rgb="FF000000"/>
        <rFont val="Arial"/>
        <family val="0"/>
        <charset val="1"/>
      </rPr>
      <t xml:space="preserve">(1) </t>
    </r>
    <r>
      <rPr>
        <sz val="10"/>
        <color rgb="FF000000"/>
        <rFont val="Noto Sans CJK SC"/>
        <family val="2"/>
      </rPr>
      <t xml:space="preserve">定義）；</t>
    </r>
    <r>
      <rPr>
        <sz val="10"/>
        <color rgb="FF000000"/>
        <rFont val="Arial"/>
        <family val="0"/>
        <charset val="1"/>
      </rPr>
      <t xml:space="preserve">1H2024 </t>
    </r>
    <r>
      <rPr>
        <sz val="10"/>
        <color rgb="FF000000"/>
        <rFont val="Noto Sans CJK SC"/>
        <family val="2"/>
      </rPr>
      <t xml:space="preserve">未列；千元值 </t>
    </r>
    <r>
      <rPr>
        <sz val="10"/>
        <color rgb="FF000000"/>
        <rFont val="Arial"/>
        <family val="0"/>
        <charset val="1"/>
      </rPr>
      <t xml:space="preserve">927,001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</si>
  <si>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SRC_ZP_653</t>
  </si>
  <si>
    <t xml:space="preserve">cash_cost_labor_fy22</t>
  </si>
  <si>
    <t xml:space="preserve">現金經營成本：僱傭人工（不含股份支付）</t>
  </si>
  <si>
    <t xml:space="preserve">管理層口徑（招股章程財務資料節）</t>
  </si>
  <si>
    <r>
      <rPr>
        <sz val="10"/>
        <color rgb="FF000000"/>
        <rFont val="Noto Sans CJK SC"/>
        <family val="2"/>
      </rPr>
      <t xml:space="preserve">現金經營成本表「僱傭人工」；千元值 </t>
    </r>
    <r>
      <rPr>
        <sz val="10"/>
        <color rgb="FF000000"/>
        <rFont val="Arial"/>
        <family val="0"/>
        <charset val="1"/>
      </rPr>
      <t xml:space="preserve">84,825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</si>
  <si>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SRC_ZP_654</t>
  </si>
  <si>
    <t xml:space="preserve">cash_cost_labor_fy23</t>
  </si>
  <si>
    <r>
      <rPr>
        <sz val="10"/>
        <color rgb="FF000000"/>
        <rFont val="Noto Sans CJK SC"/>
        <family val="2"/>
      </rPr>
      <t xml:space="preserve">現金經營成本表「僱傭人工」；千元值 </t>
    </r>
    <r>
      <rPr>
        <sz val="10"/>
        <color rgb="FF000000"/>
        <rFont val="Arial"/>
        <family val="0"/>
        <charset val="1"/>
      </rPr>
      <t xml:space="preserve">181,943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</si>
  <si>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SRC_ZP_655</t>
  </si>
  <si>
    <t xml:space="preserve">cash_cost_labor_fy24</t>
  </si>
  <si>
    <r>
      <rPr>
        <sz val="10"/>
        <color rgb="FF000000"/>
        <rFont val="Noto Sans CJK SC"/>
        <family val="2"/>
      </rPr>
      <t xml:space="preserve">現金經營成本表「僱傭人工」；千元值 </t>
    </r>
    <r>
      <rPr>
        <sz val="10"/>
        <color rgb="FF000000"/>
        <rFont val="Arial"/>
        <family val="0"/>
        <charset val="1"/>
      </rPr>
      <t xml:space="preserve">490,639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</si>
  <si>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SRC_ZP_656</t>
  </si>
  <si>
    <t xml:space="preserve">cash_cost_labor_1h25</t>
  </si>
  <si>
    <r>
      <rPr>
        <sz val="10"/>
        <color rgb="FF000000"/>
        <rFont val="Noto Sans CJK SC"/>
        <family val="2"/>
      </rPr>
      <t xml:space="preserve">現金經營成本表「僱傭人工」；千元值 </t>
    </r>
    <r>
      <rPr>
        <sz val="10"/>
        <color rgb="FF000000"/>
        <rFont val="Arial"/>
        <family val="0"/>
        <charset val="1"/>
      </rPr>
      <t xml:space="preserve">339,125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</si>
  <si>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SRC_ZP_657</t>
  </si>
  <si>
    <t xml:space="preserve">rd_expenditure_total_fy22</t>
  </si>
  <si>
    <t xml:space="preserve">總研發支出（研發開支＋資本化研發軟件－其攤銷）</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</si>
  <si>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294 </t>
    </r>
    <r>
      <rPr>
        <sz val="10"/>
        <color rgb="FF000000"/>
        <rFont val="Noto Sans CJK SC"/>
        <family val="2"/>
      </rPr>
      <t xml:space="preserve">頁</t>
    </r>
  </si>
  <si>
    <r>
      <rPr>
        <sz val="10"/>
        <color rgb="FF000000"/>
        <rFont val="Noto Sans CJK SC"/>
        <family val="2"/>
      </rPr>
      <t xml:space="preserve">總研發支出表（第 </t>
    </r>
    <r>
      <rPr>
        <sz val="10"/>
        <color rgb="FF000000"/>
        <rFont val="Arial"/>
        <family val="0"/>
        <charset val="1"/>
      </rPr>
      <t xml:space="preserve">294 </t>
    </r>
    <r>
      <rPr>
        <sz val="10"/>
        <color rgb="FF000000"/>
        <rFont val="Noto Sans CJK SC"/>
        <family val="2"/>
      </rPr>
      <t xml:space="preserve">頁＝印 </t>
    </r>
    <r>
      <rPr>
        <sz val="10"/>
        <color rgb="FF000000"/>
        <rFont val="Arial"/>
        <family val="0"/>
        <charset val="1"/>
      </rPr>
      <t xml:space="preserve">285</t>
    </r>
    <r>
      <rPr>
        <sz val="10"/>
        <color rgb="FF000000"/>
        <rFont val="Noto Sans CJK SC"/>
        <family val="2"/>
      </rPr>
      <t xml:space="preserve">）；千元值 </t>
    </r>
    <r>
      <rPr>
        <sz val="10"/>
        <color rgb="FF000000"/>
        <rFont val="Arial"/>
        <family val="0"/>
        <charset val="1"/>
      </rPr>
      <t xml:space="preserve">80,984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</si>
  <si>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SRC_ZP_658</t>
  </si>
  <si>
    <t xml:space="preserve">rd_expenditure_total_fy23</t>
  </si>
  <si>
    <r>
      <rPr>
        <sz val="10"/>
        <color rgb="FF000000"/>
        <rFont val="Noto Sans CJK SC"/>
        <family val="2"/>
      </rPr>
      <t xml:space="preserve">總研發支出表（第 </t>
    </r>
    <r>
      <rPr>
        <sz val="10"/>
        <color rgb="FF000000"/>
        <rFont val="Arial"/>
        <family val="0"/>
        <charset val="1"/>
      </rPr>
      <t xml:space="preserve">294 </t>
    </r>
    <r>
      <rPr>
        <sz val="10"/>
        <color rgb="FF000000"/>
        <rFont val="Noto Sans CJK SC"/>
        <family val="2"/>
      </rPr>
      <t xml:space="preserve">頁＝印 </t>
    </r>
    <r>
      <rPr>
        <sz val="10"/>
        <color rgb="FF000000"/>
        <rFont val="Arial"/>
        <family val="0"/>
        <charset val="1"/>
      </rPr>
      <t xml:space="preserve">285</t>
    </r>
    <r>
      <rPr>
        <sz val="10"/>
        <color rgb="FF000000"/>
        <rFont val="Noto Sans CJK SC"/>
        <family val="2"/>
      </rPr>
      <t xml:space="preserve">）；千元值 </t>
    </r>
    <r>
      <rPr>
        <sz val="10"/>
        <color rgb="FF000000"/>
        <rFont val="Arial"/>
        <family val="0"/>
        <charset val="1"/>
      </rPr>
      <t xml:space="preserve">562,665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</si>
  <si>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SRC_ZP_659</t>
  </si>
  <si>
    <t xml:space="preserve">rd_expenditure_total_fy24</t>
  </si>
  <si>
    <r>
      <rPr>
        <sz val="10"/>
        <color rgb="FF000000"/>
        <rFont val="Noto Sans CJK SC"/>
        <family val="2"/>
      </rPr>
      <t xml:space="preserve">總研發支出表（第 </t>
    </r>
    <r>
      <rPr>
        <sz val="10"/>
        <color rgb="FF000000"/>
        <rFont val="Arial"/>
        <family val="0"/>
        <charset val="1"/>
      </rPr>
      <t xml:space="preserve">294 </t>
    </r>
    <r>
      <rPr>
        <sz val="10"/>
        <color rgb="FF000000"/>
        <rFont val="Noto Sans CJK SC"/>
        <family val="2"/>
      </rPr>
      <t xml:space="preserve">頁＝印 </t>
    </r>
    <r>
      <rPr>
        <sz val="10"/>
        <color rgb="FF000000"/>
        <rFont val="Arial"/>
        <family val="0"/>
        <charset val="1"/>
      </rPr>
      <t xml:space="preserve">285</t>
    </r>
    <r>
      <rPr>
        <sz val="10"/>
        <color rgb="FF000000"/>
        <rFont val="Noto Sans CJK SC"/>
        <family val="2"/>
      </rPr>
      <t xml:space="preserve">）；千元值 </t>
    </r>
    <r>
      <rPr>
        <sz val="10"/>
        <color rgb="FF000000"/>
        <rFont val="Arial"/>
        <family val="0"/>
        <charset val="1"/>
      </rPr>
      <t xml:space="preserve">2,192,064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</si>
  <si>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SRC_ZP_660</t>
  </si>
  <si>
    <t xml:space="preserve">rd_expenditure_total_1h24</t>
  </si>
  <si>
    <r>
      <rPr>
        <sz val="10"/>
        <color rgb="FF000000"/>
        <rFont val="Noto Sans CJK SC"/>
        <family val="2"/>
      </rPr>
      <t xml:space="preserve">總研發支出表（第 </t>
    </r>
    <r>
      <rPr>
        <sz val="10"/>
        <color rgb="FF000000"/>
        <rFont val="Arial"/>
        <family val="0"/>
        <charset val="1"/>
      </rPr>
      <t xml:space="preserve">294 </t>
    </r>
    <r>
      <rPr>
        <sz val="10"/>
        <color rgb="FF000000"/>
        <rFont val="Noto Sans CJK SC"/>
        <family val="2"/>
      </rPr>
      <t xml:space="preserve">頁＝印 </t>
    </r>
    <r>
      <rPr>
        <sz val="10"/>
        <color rgb="FF000000"/>
        <rFont val="Arial"/>
        <family val="0"/>
        <charset val="1"/>
      </rPr>
      <t xml:space="preserve">285</t>
    </r>
    <r>
      <rPr>
        <sz val="10"/>
        <color rgb="FF000000"/>
        <rFont val="Noto Sans CJK SC"/>
        <family val="2"/>
      </rPr>
      <t xml:space="preserve">）；千元值 </t>
    </r>
    <r>
      <rPr>
        <sz val="10"/>
        <color rgb="FF000000"/>
        <rFont val="Arial"/>
        <family val="0"/>
        <charset val="1"/>
      </rPr>
      <t xml:space="preserve">860,721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</si>
  <si>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SRC_ZP_661</t>
  </si>
  <si>
    <t xml:space="preserve">rd_expenditure_total_1h25</t>
  </si>
  <si>
    <r>
      <rPr>
        <sz val="10"/>
        <color rgb="FF000000"/>
        <rFont val="Noto Sans CJK SC"/>
        <family val="2"/>
      </rPr>
      <t xml:space="preserve">總研發支出表（第 </t>
    </r>
    <r>
      <rPr>
        <sz val="10"/>
        <color rgb="FF000000"/>
        <rFont val="Arial"/>
        <family val="0"/>
        <charset val="1"/>
      </rPr>
      <t xml:space="preserve">294 </t>
    </r>
    <r>
      <rPr>
        <sz val="10"/>
        <color rgb="FF000000"/>
        <rFont val="Noto Sans CJK SC"/>
        <family val="2"/>
      </rPr>
      <t xml:space="preserve">頁＝印 </t>
    </r>
    <r>
      <rPr>
        <sz val="10"/>
        <color rgb="FF000000"/>
        <rFont val="Arial"/>
        <family val="0"/>
        <charset val="1"/>
      </rPr>
      <t xml:space="preserve">285</t>
    </r>
    <r>
      <rPr>
        <sz val="10"/>
        <color rgb="FF000000"/>
        <rFont val="Noto Sans CJK SC"/>
        <family val="2"/>
      </rPr>
      <t xml:space="preserve">）；千元值 </t>
    </r>
    <r>
      <rPr>
        <sz val="10"/>
        <color rgb="FF000000"/>
        <rFont val="Arial"/>
        <family val="0"/>
        <charset val="1"/>
      </rPr>
      <t xml:space="preserve">1,590,087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</si>
  <si>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SRC_ZP_662</t>
  </si>
  <si>
    <t xml:space="preserve">cogs_staff_p_fy22</t>
  </si>
  <si>
    <t xml:space="preserve">營業成本：工資成本</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</si>
  <si>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265 </t>
    </r>
    <r>
      <rPr>
        <sz val="10"/>
        <color rgb="FF000000"/>
        <rFont val="Noto Sans CJK SC"/>
        <family val="2"/>
      </rPr>
      <t xml:space="preserve">頁</t>
    </r>
  </si>
  <si>
    <r>
      <rPr>
        <sz val="10"/>
        <color rgb="FF000000"/>
        <rFont val="Noto Sans CJK SC"/>
        <family val="2"/>
      </rPr>
      <t xml:space="preserve">營業成本按性質劃分表「工資成本」（第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16,434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</si>
  <si>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SRC_ZP_663</t>
  </si>
  <si>
    <t xml:space="preserve">cogs_staff_p_fy23</t>
  </si>
  <si>
    <r>
      <rPr>
        <sz val="10"/>
        <color rgb="FF000000"/>
        <rFont val="Noto Sans CJK SC"/>
        <family val="2"/>
      </rPr>
      <t xml:space="preserve">營業成本按性質劃分表「工資成本」（第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15,375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</si>
  <si>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SRC_ZP_664</t>
  </si>
  <si>
    <t xml:space="preserve">cogs_staff_p_fy24</t>
  </si>
  <si>
    <r>
      <rPr>
        <sz val="10"/>
        <color rgb="FF000000"/>
        <rFont val="Noto Sans CJK SC"/>
        <family val="2"/>
      </rPr>
      <t xml:space="preserve">營業成本按性質劃分表「工資成本」（第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74,262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</si>
  <si>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SRC_ZP_665</t>
  </si>
  <si>
    <t xml:space="preserve">cogs_staff_p_1h24</t>
  </si>
  <si>
    <r>
      <rPr>
        <sz val="10"/>
        <color rgb="FF000000"/>
        <rFont val="Noto Sans CJK SC"/>
        <family val="2"/>
      </rPr>
      <t xml:space="preserve">營業成本按性質劃分表「工資成本」（第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10,832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</si>
  <si>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SRC_ZP_666</t>
  </si>
  <si>
    <t xml:space="preserve">cogs_staff_p_1h25</t>
  </si>
  <si>
    <r>
      <rPr>
        <sz val="10"/>
        <color rgb="FF000000"/>
        <rFont val="Noto Sans CJK SC"/>
        <family val="2"/>
      </rPr>
      <t xml:space="preserve">營業成本按性質劃分表「工資成本」（第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37,628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</si>
  <si>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SRC_ZP_667</t>
  </si>
  <si>
    <t xml:space="preserve">cogs_compute_p_fy22</t>
  </si>
  <si>
    <t xml:space="preserve">營業成本：計算服務費</t>
  </si>
  <si>
    <r>
      <rPr>
        <sz val="10"/>
        <color rgb="FF000000"/>
        <rFont val="Noto Sans CJK SC"/>
        <family val="2"/>
      </rPr>
      <t xml:space="preserve">營業成本按性質劃分表「計算服務費」（第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t>
    </r>
    <r>
      <rPr>
        <sz val="10"/>
        <color rgb="FF000000"/>
        <rFont val="Arial"/>
        <family val="0"/>
        <charset val="1"/>
      </rPr>
      <t xml:space="preserve">FY2022 </t>
    </r>
    <r>
      <rPr>
        <sz val="10"/>
        <color rgb="FF000000"/>
        <rFont val="Noto Sans CJK SC"/>
        <family val="2"/>
      </rPr>
      <t xml:space="preserve">為「—」記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</si>
  <si>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SRC_ZP_668</t>
  </si>
  <si>
    <t xml:space="preserve">cogs_compute_p_fy23</t>
  </si>
  <si>
    <r>
      <rPr>
        <sz val="10"/>
        <color rgb="FF000000"/>
        <rFont val="Noto Sans CJK SC"/>
        <family val="2"/>
      </rPr>
      <t xml:space="preserve">營業成本按性質劃分表「計算服務費」（第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t>
    </r>
    <r>
      <rPr>
        <sz val="10"/>
        <color rgb="FF000000"/>
        <rFont val="Arial"/>
        <family val="0"/>
        <charset val="1"/>
      </rPr>
      <t xml:space="preserve">FY2022 </t>
    </r>
    <r>
      <rPr>
        <sz val="10"/>
        <color rgb="FF000000"/>
        <rFont val="Noto Sans CJK SC"/>
        <family val="2"/>
      </rPr>
      <t xml:space="preserve">為「—」記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11,996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</si>
  <si>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SRC_ZP_669</t>
  </si>
  <si>
    <t xml:space="preserve">cogs_compute_p_fy24</t>
  </si>
  <si>
    <r>
      <rPr>
        <sz val="10"/>
        <color rgb="FF000000"/>
        <rFont val="Noto Sans CJK SC"/>
        <family val="2"/>
      </rPr>
      <t xml:space="preserve">營業成本按性質劃分表「計算服務費」（第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t>
    </r>
    <r>
      <rPr>
        <sz val="10"/>
        <color rgb="FF000000"/>
        <rFont val="Arial"/>
        <family val="0"/>
        <charset val="1"/>
      </rPr>
      <t xml:space="preserve">FY2022 </t>
    </r>
    <r>
      <rPr>
        <sz val="10"/>
        <color rgb="FF000000"/>
        <rFont val="Noto Sans CJK SC"/>
        <family val="2"/>
      </rPr>
      <t xml:space="preserve">為「—」記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30,173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</si>
  <si>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SRC_ZP_670</t>
  </si>
  <si>
    <t xml:space="preserve">cogs_compute_p_1h24</t>
  </si>
  <si>
    <r>
      <rPr>
        <sz val="10"/>
        <color rgb="FF000000"/>
        <rFont val="Noto Sans CJK SC"/>
        <family val="2"/>
      </rPr>
      <t xml:space="preserve">營業成本按性質劃分表「計算服務費」（第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t>
    </r>
    <r>
      <rPr>
        <sz val="10"/>
        <color rgb="FF000000"/>
        <rFont val="Arial"/>
        <family val="0"/>
        <charset val="1"/>
      </rPr>
      <t xml:space="preserve">FY2022 </t>
    </r>
    <r>
      <rPr>
        <sz val="10"/>
        <color rgb="FF000000"/>
        <rFont val="Noto Sans CJK SC"/>
        <family val="2"/>
      </rPr>
      <t xml:space="preserve">為「—」記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8,451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</si>
  <si>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SRC_ZP_671</t>
  </si>
  <si>
    <t xml:space="preserve">cogs_compute_p_1h25</t>
  </si>
  <si>
    <r>
      <rPr>
        <sz val="10"/>
        <color rgb="FF000000"/>
        <rFont val="Noto Sans CJK SC"/>
        <family val="2"/>
      </rPr>
      <t xml:space="preserve">營業成本按性質劃分表「計算服務費」（第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t>
    </r>
    <r>
      <rPr>
        <sz val="10"/>
        <color rgb="FF000000"/>
        <rFont val="Arial"/>
        <family val="0"/>
        <charset val="1"/>
      </rPr>
      <t xml:space="preserve">FY2022 </t>
    </r>
    <r>
      <rPr>
        <sz val="10"/>
        <color rgb="FF000000"/>
        <rFont val="Noto Sans CJK SC"/>
        <family val="2"/>
      </rPr>
      <t xml:space="preserve">為「—」記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35,845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</si>
  <si>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SRC_ZP_672</t>
  </si>
  <si>
    <t xml:space="preserve">cogs_warranty_p_fy22</t>
  </si>
  <si>
    <t xml:space="preserve">營業成本：保修撥備</t>
  </si>
  <si>
    <r>
      <rPr>
        <sz val="10"/>
        <color rgb="FF000000"/>
        <rFont val="Noto Sans CJK SC"/>
        <family val="2"/>
      </rPr>
      <t xml:space="preserve">營業成本按性質劃分表「保修撥備」（第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2,101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</si>
  <si>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SRC_ZP_673</t>
  </si>
  <si>
    <t xml:space="preserve">cogs_warranty_p_fy23</t>
  </si>
  <si>
    <r>
      <rPr>
        <sz val="10"/>
        <color rgb="FF000000"/>
        <rFont val="Noto Sans CJK SC"/>
        <family val="2"/>
      </rPr>
      <t xml:space="preserve">營業成本按性質劃分表「保修撥備」（第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4,522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</si>
  <si>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SRC_ZP_674</t>
  </si>
  <si>
    <t xml:space="preserve">cogs_warranty_p_fy24</t>
  </si>
  <si>
    <r>
      <rPr>
        <sz val="10"/>
        <color rgb="FF000000"/>
        <rFont val="Noto Sans CJK SC"/>
        <family val="2"/>
      </rPr>
      <t xml:space="preserve">營業成本按性質劃分表「保修撥備」（第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12,171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</si>
  <si>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SRC_ZP_675</t>
  </si>
  <si>
    <t xml:space="preserve">cogs_warranty_p_1h24</t>
  </si>
  <si>
    <r>
      <rPr>
        <sz val="10"/>
        <color rgb="FF000000"/>
        <rFont val="Noto Sans CJK SC"/>
        <family val="2"/>
      </rPr>
      <t xml:space="preserve">營業成本按性質劃分表「保修撥備」（第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1,672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</si>
  <si>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SRC_ZP_676</t>
  </si>
  <si>
    <t xml:space="preserve">cogs_warranty_p_1h25</t>
  </si>
  <si>
    <r>
      <rPr>
        <sz val="10"/>
        <color rgb="FF000000"/>
        <rFont val="Noto Sans CJK SC"/>
        <family val="2"/>
      </rPr>
      <t xml:space="preserve">營業成本按性質劃分表「保修撥備」（第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6,670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</si>
  <si>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SRC_ZP_677</t>
  </si>
  <si>
    <t xml:space="preserve">cogs_da_p_fy22</t>
  </si>
  <si>
    <t xml:space="preserve">營業成本：折舊及攤銷</t>
  </si>
  <si>
    <r>
      <rPr>
        <sz val="10"/>
        <color rgb="FF000000"/>
        <rFont val="Noto Sans CJK SC"/>
        <family val="2"/>
      </rPr>
      <t xml:space="preserve">營業成本按性質劃分表「折舊及攤銷」（第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1,912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</si>
  <si>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SRC_ZP_678</t>
  </si>
  <si>
    <t xml:space="preserve">cogs_da_p_fy23</t>
  </si>
  <si>
    <r>
      <rPr>
        <sz val="10"/>
        <color rgb="FF000000"/>
        <rFont val="Noto Sans CJK SC"/>
        <family val="2"/>
      </rPr>
      <t xml:space="preserve">營業成本按性質劃分表「折舊及攤銷」（第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6,436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</si>
  <si>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SRC_ZP_679</t>
  </si>
  <si>
    <t xml:space="preserve">cogs_da_p_fy24</t>
  </si>
  <si>
    <r>
      <rPr>
        <sz val="10"/>
        <color rgb="FF000000"/>
        <rFont val="Noto Sans CJK SC"/>
        <family val="2"/>
      </rPr>
      <t xml:space="preserve">營業成本按性質劃分表「折舊及攤銷」（第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6,769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</si>
  <si>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SRC_ZP_680</t>
  </si>
  <si>
    <t xml:space="preserve">cogs_da_p_1h24</t>
  </si>
  <si>
    <r>
      <rPr>
        <sz val="10"/>
        <color rgb="FF000000"/>
        <rFont val="Noto Sans CJK SC"/>
        <family val="2"/>
      </rPr>
      <t xml:space="preserve">營業成本按性質劃分表「折舊及攤銷」（第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549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</si>
  <si>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SRC_ZP_681</t>
  </si>
  <si>
    <t xml:space="preserve">cogs_da_p_1h25</t>
  </si>
  <si>
    <r>
      <rPr>
        <sz val="10"/>
        <color rgb="FF000000"/>
        <rFont val="Noto Sans CJK SC"/>
        <family val="2"/>
      </rPr>
      <t xml:space="preserve">營業成本按性質劃分表「折舊及攤銷」（第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2,074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</si>
  <si>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SRC_ZP_682</t>
  </si>
  <si>
    <t xml:space="preserve">cogs_tech_p_fy22</t>
  </si>
  <si>
    <t xml:space="preserve">營業成本：技術服務及諮詢費</t>
  </si>
  <si>
    <r>
      <rPr>
        <sz val="10"/>
        <color rgb="FF000000"/>
        <rFont val="Noto Sans CJK SC"/>
        <family val="2"/>
      </rPr>
      <t xml:space="preserve">營業成本按性質劃分表「技術服務及諮詢費」（第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4,553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</si>
  <si>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SRC_ZP_683</t>
  </si>
  <si>
    <t xml:space="preserve">cogs_tech_p_fy23</t>
  </si>
  <si>
    <r>
      <rPr>
        <sz val="10"/>
        <color rgb="FF000000"/>
        <rFont val="Noto Sans CJK SC"/>
        <family val="2"/>
      </rPr>
      <t xml:space="preserve">營業成本按性質劃分表「技術服務及諮詢費」（第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623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</si>
  <si>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SRC_ZP_684</t>
  </si>
  <si>
    <t xml:space="preserve">cogs_tech_p_fy24</t>
  </si>
  <si>
    <r>
      <rPr>
        <sz val="10"/>
        <color rgb="FF000000"/>
        <rFont val="Noto Sans CJK SC"/>
        <family val="2"/>
      </rPr>
      <t xml:space="preserve">營業成本按性質劃分表「技術服務及諮詢費」（第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9,126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</si>
  <si>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SRC_ZP_685</t>
  </si>
  <si>
    <t xml:space="preserve">cogs_tech_p_1h24</t>
  </si>
  <si>
    <r>
      <rPr>
        <sz val="10"/>
        <color rgb="FF000000"/>
        <rFont val="Noto Sans CJK SC"/>
        <family val="2"/>
      </rPr>
      <t xml:space="preserve">營業成本按性質劃分表「技術服務及諮詢費」（第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356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</si>
  <si>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SRC_ZP_686</t>
  </si>
  <si>
    <t xml:space="preserve">cogs_tech_p_1h25</t>
  </si>
  <si>
    <r>
      <rPr>
        <sz val="10"/>
        <color rgb="FF000000"/>
        <rFont val="Noto Sans CJK SC"/>
        <family val="2"/>
      </rPr>
      <t xml:space="preserve">營業成本按性質劃分表「技術服務及諮詢費」（第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6,165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</si>
  <si>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SRC_ZP_687</t>
  </si>
  <si>
    <t xml:space="preserve">cogs_tax_p_fy22</t>
  </si>
  <si>
    <t xml:space="preserve">營業成本：稅款及附加費</t>
  </si>
  <si>
    <r>
      <rPr>
        <sz val="10"/>
        <color rgb="FF000000"/>
        <rFont val="Noto Sans CJK SC"/>
        <family val="2"/>
      </rPr>
      <t xml:space="preserve">營業成本按性質劃分表「稅款及附加費」（第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57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</si>
  <si>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SRC_ZP_688</t>
  </si>
  <si>
    <t xml:space="preserve">cogs_tax_p_fy23</t>
  </si>
  <si>
    <r>
      <rPr>
        <sz val="10"/>
        <color rgb="FF000000"/>
        <rFont val="Noto Sans CJK SC"/>
        <family val="2"/>
      </rPr>
      <t xml:space="preserve">營業成本按性質劃分表「稅款及附加費」（第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1,713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</si>
  <si>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SRC_ZP_689</t>
  </si>
  <si>
    <t xml:space="preserve">cogs_tax_p_fy24</t>
  </si>
  <si>
    <r>
      <rPr>
        <sz val="10"/>
        <color rgb="FF000000"/>
        <rFont val="Noto Sans CJK SC"/>
        <family val="2"/>
      </rPr>
      <t xml:space="preserve">營業成本按性質劃分表「稅款及附加費」（第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541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</si>
  <si>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SRC_ZP_690</t>
  </si>
  <si>
    <t xml:space="preserve">cogs_tax_p_1h24</t>
  </si>
  <si>
    <r>
      <rPr>
        <sz val="10"/>
        <color rgb="FF000000"/>
        <rFont val="Noto Sans CJK SC"/>
        <family val="2"/>
      </rPr>
      <t xml:space="preserve">營業成本按性質劃分表「稅款及附加費」（第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361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</si>
  <si>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SRC_ZP_691</t>
  </si>
  <si>
    <t xml:space="preserve">cogs_tax_p_1h25</t>
  </si>
  <si>
    <r>
      <rPr>
        <sz val="10"/>
        <color rgb="FF000000"/>
        <rFont val="Noto Sans CJK SC"/>
        <family val="2"/>
      </rPr>
      <t xml:space="preserve">營業成本按性質劃分表「稅款及附加費」（第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1,109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</si>
  <si>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SRC_ZP_692</t>
  </si>
  <si>
    <t xml:space="preserve">cogs_other_p_fy22</t>
  </si>
  <si>
    <t xml:space="preserve">營業成本：其他</t>
  </si>
  <si>
    <r>
      <rPr>
        <sz val="10"/>
        <color rgb="FF000000"/>
        <rFont val="Noto Sans CJK SC"/>
        <family val="2"/>
      </rPr>
      <t xml:space="preserve">營業成本按性質劃分表「其他」（第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992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</si>
  <si>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SRC_ZP_693</t>
  </si>
  <si>
    <t xml:space="preserve">cogs_other_p_fy23</t>
  </si>
  <si>
    <r>
      <rPr>
        <sz val="10"/>
        <color rgb="FF000000"/>
        <rFont val="Noto Sans CJK SC"/>
        <family val="2"/>
      </rPr>
      <t xml:space="preserve">營業成本按性質劃分表「其他」（第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3,391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</si>
  <si>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SRC_ZP_694</t>
  </si>
  <si>
    <t xml:space="preserve">cogs_other_p_fy24</t>
  </si>
  <si>
    <r>
      <rPr>
        <sz val="10"/>
        <color rgb="FF000000"/>
        <rFont val="Noto Sans CJK SC"/>
        <family val="2"/>
      </rPr>
      <t xml:space="preserve">營業成本按性質劃分表「其他」（第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3,483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</si>
  <si>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SRC_ZP_695</t>
  </si>
  <si>
    <t xml:space="preserve">cogs_other_p_1h24</t>
  </si>
  <si>
    <r>
      <rPr>
        <sz val="10"/>
        <color rgb="FF000000"/>
        <rFont val="Noto Sans CJK SC"/>
        <family val="2"/>
      </rPr>
      <t xml:space="preserve">營業成本按性質劃分表「其他」（第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729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</si>
  <si>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SRC_ZP_696</t>
  </si>
  <si>
    <t xml:space="preserve">cogs_other_p_1h25</t>
  </si>
  <si>
    <r>
      <rPr>
        <sz val="10"/>
        <color rgb="FF000000"/>
        <rFont val="Noto Sans CJK SC"/>
        <family val="2"/>
      </rPr>
      <t xml:space="preserve">營業成本按性質劃分表「其他」（第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5,962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</si>
  <si>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SRC_ZP_697</t>
  </si>
  <si>
    <t xml:space="preserve">cogs_onprem_p_fy22</t>
  </si>
  <si>
    <t xml:space="preserve">本地化部署營業成本（分部）</t>
  </si>
  <si>
    <r>
      <rPr>
        <sz val="10"/>
        <color rgb="FF000000"/>
        <rFont val="Noto Sans CJK SC"/>
        <family val="2"/>
      </rPr>
      <t xml:space="preserve">營業成本按分部劃分表「本地化部署」；千元值 </t>
    </r>
    <r>
      <rPr>
        <sz val="10"/>
        <color rgb="FF000000"/>
        <rFont val="Arial"/>
        <family val="0"/>
        <charset val="1"/>
      </rPr>
      <t xml:space="preserve">25,429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</si>
  <si>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SRC_ZP_698</t>
  </si>
  <si>
    <t xml:space="preserve">cogs_onprem_p_fy23</t>
  </si>
  <si>
    <r>
      <rPr>
        <sz val="10"/>
        <color rgb="FF000000"/>
        <rFont val="Noto Sans CJK SC"/>
        <family val="2"/>
      </rPr>
      <t xml:space="preserve">營業成本按分部劃分表「本地化部署」；千元值 </t>
    </r>
    <r>
      <rPr>
        <sz val="10"/>
        <color rgb="FF000000"/>
        <rFont val="Arial"/>
        <family val="0"/>
        <charset val="1"/>
      </rPr>
      <t xml:space="preserve">35,833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</si>
  <si>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SRC_ZP_699</t>
  </si>
  <si>
    <t xml:space="preserve">cogs_onprem_p_fy24</t>
  </si>
  <si>
    <r>
      <rPr>
        <sz val="10"/>
        <color rgb="FF000000"/>
        <rFont val="Noto Sans CJK SC"/>
        <family val="2"/>
      </rPr>
      <t xml:space="preserve">營業成本按分部劃分表「本地化部署」；千元值 </t>
    </r>
    <r>
      <rPr>
        <sz val="10"/>
        <color rgb="FF000000"/>
        <rFont val="Arial"/>
        <family val="0"/>
        <charset val="1"/>
      </rPr>
      <t xml:space="preserve">89,674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</si>
  <si>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SRC_ZP_700</t>
  </si>
  <si>
    <t xml:space="preserve">cogs_onprem_p_1h24</t>
  </si>
  <si>
    <r>
      <rPr>
        <sz val="10"/>
        <color rgb="FF000000"/>
        <rFont val="Noto Sans CJK SC"/>
        <family val="2"/>
      </rPr>
      <t xml:space="preserve">營業成本按分部劃分表「本地化部署」；千元值 </t>
    </r>
    <r>
      <rPr>
        <sz val="10"/>
        <color rgb="FF000000"/>
        <rFont val="Arial"/>
        <family val="0"/>
        <charset val="1"/>
      </rPr>
      <t xml:space="preserve">10,030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</si>
  <si>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SRC_ZP_701</t>
  </si>
  <si>
    <t xml:space="preserve">cogs_onprem_p_1h25</t>
  </si>
  <si>
    <r>
      <rPr>
        <sz val="10"/>
        <color rgb="FF000000"/>
        <rFont val="Noto Sans CJK SC"/>
        <family val="2"/>
      </rPr>
      <t xml:space="preserve">營業成本按分部劃分表「本地化部署」；千元值 </t>
    </r>
    <r>
      <rPr>
        <sz val="10"/>
        <color rgb="FF000000"/>
        <rFont val="Arial"/>
        <family val="0"/>
        <charset val="1"/>
      </rPr>
      <t xml:space="preserve">66,237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</si>
  <si>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SRC_ZP_702</t>
  </si>
  <si>
    <t xml:space="preserve">cogs_cloud_p_fy22</t>
  </si>
  <si>
    <t xml:space="preserve">雲端部署營業成本（分部）</t>
  </si>
  <si>
    <r>
      <rPr>
        <sz val="10"/>
        <color rgb="FF000000"/>
        <rFont val="Noto Sans CJK SC"/>
        <family val="2"/>
      </rPr>
      <t xml:space="preserve">營業成本按分部劃分表「雲端部署」；千元值 </t>
    </r>
    <r>
      <rPr>
        <sz val="10"/>
        <color rgb="FF000000"/>
        <rFont val="Arial"/>
        <family val="0"/>
        <charset val="1"/>
      </rPr>
      <t xml:space="preserve">620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</si>
  <si>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SRC_ZP_703</t>
  </si>
  <si>
    <t xml:space="preserve">cogs_cloud_p_fy23</t>
  </si>
  <si>
    <r>
      <rPr>
        <sz val="10"/>
        <color rgb="FF000000"/>
        <rFont val="Noto Sans CJK SC"/>
        <family val="2"/>
      </rPr>
      <t xml:space="preserve">營業成本按分部劃分表「雲端部署」；千元值 </t>
    </r>
    <r>
      <rPr>
        <sz val="10"/>
        <color rgb="FF000000"/>
        <rFont val="Arial"/>
        <family val="0"/>
        <charset val="1"/>
      </rPr>
      <t xml:space="preserve">8,223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</si>
  <si>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SRC_ZP_704</t>
  </si>
  <si>
    <t xml:space="preserve">cogs_cloud_p_fy24</t>
  </si>
  <si>
    <r>
      <rPr>
        <sz val="10"/>
        <color rgb="FF000000"/>
        <rFont val="Noto Sans CJK SC"/>
        <family val="2"/>
      </rPr>
      <t xml:space="preserve">營業成本按分部劃分表「雲端部署」；千元值 </t>
    </r>
    <r>
      <rPr>
        <sz val="10"/>
        <color rgb="FF000000"/>
        <rFont val="Arial"/>
        <family val="0"/>
        <charset val="1"/>
      </rPr>
      <t xml:space="preserve">46,851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</si>
  <si>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SRC_ZP_705</t>
  </si>
  <si>
    <t xml:space="preserve">cogs_cloud_p_1h24</t>
  </si>
  <si>
    <r>
      <rPr>
        <sz val="10"/>
        <color rgb="FF000000"/>
        <rFont val="Noto Sans CJK SC"/>
        <family val="2"/>
      </rPr>
      <t xml:space="preserve">營業成本按分部劃分表「雲端部署」；千元值 </t>
    </r>
    <r>
      <rPr>
        <sz val="10"/>
        <color rgb="FF000000"/>
        <rFont val="Arial"/>
        <family val="0"/>
        <charset val="1"/>
      </rPr>
      <t xml:space="preserve">12,920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</si>
  <si>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SRC_ZP_706</t>
  </si>
  <si>
    <t xml:space="preserve">cogs_cloud_p_1h25</t>
  </si>
  <si>
    <r>
      <rPr>
        <sz val="10"/>
        <color rgb="FF000000"/>
        <rFont val="Noto Sans CJK SC"/>
        <family val="2"/>
      </rPr>
      <t xml:space="preserve">營業成本按分部劃分表「雲端部署」；千元值 </t>
    </r>
    <r>
      <rPr>
        <sz val="10"/>
        <color rgb="FF000000"/>
        <rFont val="Arial"/>
        <family val="0"/>
        <charset val="1"/>
      </rPr>
      <t xml:space="preserve">29,216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</si>
  <si>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SRC_ZP_707</t>
  </si>
  <si>
    <t xml:space="preserve">gm_onprem_fy22</t>
  </si>
  <si>
    <t xml:space="preserve">本地化部署毛利率</t>
  </si>
  <si>
    <t xml:space="preserve">毛利及毛利率明細表</t>
  </si>
  <si>
    <t xml:space="preserve">SRC_ZP_708</t>
  </si>
  <si>
    <t xml:space="preserve">gm_cloud_fy22</t>
  </si>
  <si>
    <r>
      <rPr>
        <sz val="10"/>
        <color rgb="FF000000"/>
        <rFont val="Noto Sans CJK SC"/>
        <family val="2"/>
      </rPr>
      <t xml:space="preserve">毛利及毛利率明細表；</t>
    </r>
    <r>
      <rPr>
        <sz val="10"/>
        <color rgb="FF000000"/>
        <rFont val="Arial"/>
        <family val="0"/>
        <charset val="1"/>
      </rPr>
      <t xml:space="preserve">1H2025 </t>
    </r>
    <r>
      <rPr>
        <sz val="10"/>
        <color rgb="FF000000"/>
        <rFont val="Noto Sans CJK SC"/>
        <family val="2"/>
      </rPr>
      <t xml:space="preserve">毛損率 </t>
    </r>
    <r>
      <rPr>
        <sz val="10"/>
        <color rgb="FF000000"/>
        <rFont val="Arial"/>
        <family val="0"/>
        <charset val="1"/>
      </rPr>
      <t xml:space="preserve">(0.4%)</t>
    </r>
    <r>
      <rPr>
        <sz val="10"/>
        <color rgb="FF000000"/>
        <rFont val="Noto Sans CJK SC"/>
        <family val="2"/>
      </rPr>
      <t xml:space="preserve">，第 </t>
    </r>
    <r>
      <rPr>
        <sz val="10"/>
        <color rgb="FF000000"/>
        <rFont val="Arial"/>
        <family val="0"/>
        <charset val="1"/>
      </rPr>
      <t xml:space="preserve">271 </t>
    </r>
    <r>
      <rPr>
        <sz val="10"/>
        <color rgb="FF000000"/>
        <rFont val="Noto Sans CJK SC"/>
        <family val="2"/>
      </rPr>
      <t xml:space="preserve">頁稱「雲端部署價格下降符合市場趨勢，以及我們以有競爭力的價格快速獲得市場份額的策略」</t>
    </r>
  </si>
  <si>
    <t xml:space="preserve">SRC_ZP_709</t>
  </si>
  <si>
    <t xml:space="preserve">gm_onprem_fy23</t>
  </si>
  <si>
    <t xml:space="preserve">SRC_ZP_710</t>
  </si>
  <si>
    <t xml:space="preserve">gm_cloud_fy23</t>
  </si>
  <si>
    <t xml:space="preserve">SRC_ZP_711</t>
  </si>
  <si>
    <t xml:space="preserve">gm_onprem_fy24</t>
  </si>
  <si>
    <t xml:space="preserve">SRC_ZP_712</t>
  </si>
  <si>
    <t xml:space="preserve">gm_cloud_fy24</t>
  </si>
  <si>
    <t xml:space="preserve">SRC_ZP_713</t>
  </si>
  <si>
    <t xml:space="preserve">gm_onprem_1h24</t>
  </si>
  <si>
    <t xml:space="preserve">SRC_ZP_714</t>
  </si>
  <si>
    <t xml:space="preserve">gm_cloud_1h24</t>
  </si>
  <si>
    <t xml:space="preserve">SRC_ZP_715</t>
  </si>
  <si>
    <t xml:space="preserve">gm_onprem_1h25</t>
  </si>
  <si>
    <t xml:space="preserve">SRC_ZP_716</t>
  </si>
  <si>
    <t xml:space="preserve">gm_cloud_1h25</t>
  </si>
  <si>
    <t xml:space="preserve">SRC_ZP_717</t>
  </si>
  <si>
    <t xml:space="preserve">cogs_compute_desc</t>
  </si>
  <si>
    <t xml:space="preserve">營業成本項下計算服務費之定義（本地化訓練／微調＋雲端推論）</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</si>
  <si>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264 </t>
    </r>
    <r>
      <rPr>
        <sz val="10"/>
        <color rgb="FF000000"/>
        <rFont val="Noto Sans CJK SC"/>
        <family val="2"/>
      </rPr>
      <t xml:space="preserve">頁</t>
    </r>
  </si>
  <si>
    <r>
      <rPr>
        <sz val="10"/>
        <color rgb="FF000000"/>
        <rFont val="Noto Sans CJK SC"/>
        <family val="2"/>
      </rPr>
      <t xml:space="preserve">原文（第 </t>
    </r>
    <r>
      <rPr>
        <sz val="10"/>
        <color rgb="FF000000"/>
        <rFont val="Arial"/>
        <family val="0"/>
        <charset val="1"/>
      </rPr>
      <t xml:space="preserve">264 </t>
    </r>
    <r>
      <rPr>
        <sz val="10"/>
        <color rgb="FF000000"/>
        <rFont val="Noto Sans CJK SC"/>
        <family val="2"/>
      </rPr>
      <t xml:space="preserve">頁＝印 </t>
    </r>
    <r>
      <rPr>
        <sz val="10"/>
        <color rgb="FF000000"/>
        <rFont val="Arial"/>
        <family val="0"/>
        <charset val="1"/>
      </rPr>
      <t xml:space="preserve">255</t>
    </r>
    <r>
      <rPr>
        <sz val="10"/>
        <color rgb="FF000000"/>
        <rFont val="Noto Sans CJK SC"/>
        <family val="2"/>
      </rPr>
      <t xml:space="preserve">）「向客戶交付本地化部署前用於模型訓練及微調的算力成本以及通過雲端部署為客戶提供服務所使用的算力成本…每次該等調用會消耗算力…這筆費用主要指支付給第三方雲服務提供商支持我們的模型訓練、託管及推算的計算資源的金額」</t>
    </r>
  </si>
  <si>
    <t xml:space="preserve">SRC_ZP_718</t>
  </si>
  <si>
    <t xml:space="preserve">sm_compute_fy22</t>
  </si>
  <si>
    <t xml:space="preserve">銷售及營銷開支：算力服務費</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</si>
  <si>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268 </t>
    </r>
    <r>
      <rPr>
        <sz val="10"/>
        <color rgb="FF000000"/>
        <rFont val="Noto Sans CJK SC"/>
        <family val="2"/>
      </rPr>
      <t xml:space="preserve">頁</t>
    </r>
  </si>
  <si>
    <r>
      <rPr>
        <sz val="10"/>
        <color rgb="FF000000"/>
        <rFont val="Noto Sans CJK SC"/>
        <family val="2"/>
      </rPr>
      <t xml:space="preserve">銷售及營銷開支明細表「算力服務費」（第 </t>
    </r>
    <r>
      <rPr>
        <sz val="10"/>
        <color rgb="FF000000"/>
        <rFont val="Arial"/>
        <family val="0"/>
        <charset val="1"/>
      </rPr>
      <t xml:space="preserve">268 </t>
    </r>
    <r>
      <rPr>
        <sz val="10"/>
        <color rgb="FF000000"/>
        <rFont val="Noto Sans CJK SC"/>
        <family val="2"/>
      </rPr>
      <t xml:space="preserve">頁＝印 </t>
    </r>
    <r>
      <rPr>
        <sz val="10"/>
        <color rgb="FF000000"/>
        <rFont val="Arial"/>
        <family val="0"/>
        <charset val="1"/>
      </rPr>
      <t xml:space="preserve">259</t>
    </r>
    <r>
      <rPr>
        <sz val="10"/>
        <color rgb="FF000000"/>
        <rFont val="Noto Sans CJK SC"/>
        <family val="2"/>
      </rPr>
      <t xml:space="preserve">），定義為「就我們銷售及推廣活動所用算力向第三方算力供應商支付的算力服務費」；</t>
    </r>
    <r>
      <rPr>
        <sz val="10"/>
        <color rgb="FF000000"/>
        <rFont val="Arial"/>
        <family val="0"/>
        <charset val="1"/>
      </rPr>
      <t xml:space="preserve">FY2022</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</si>
  <si>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SRC_ZP_719</t>
  </si>
  <si>
    <t xml:space="preserve">sm_compute_fy23</t>
  </si>
  <si>
    <r>
      <rPr>
        <sz val="10"/>
        <color rgb="FF000000"/>
        <rFont val="Noto Sans CJK SC"/>
        <family val="2"/>
      </rPr>
      <t xml:space="preserve">銷售及營銷開支明細表「算力服務費」（第 </t>
    </r>
    <r>
      <rPr>
        <sz val="10"/>
        <color rgb="FF000000"/>
        <rFont val="Arial"/>
        <family val="0"/>
        <charset val="1"/>
      </rPr>
      <t xml:space="preserve">268 </t>
    </r>
    <r>
      <rPr>
        <sz val="10"/>
        <color rgb="FF000000"/>
        <rFont val="Noto Sans CJK SC"/>
        <family val="2"/>
      </rPr>
      <t xml:space="preserve">頁＝印 </t>
    </r>
    <r>
      <rPr>
        <sz val="10"/>
        <color rgb="FF000000"/>
        <rFont val="Arial"/>
        <family val="0"/>
        <charset val="1"/>
      </rPr>
      <t xml:space="preserve">259</t>
    </r>
    <r>
      <rPr>
        <sz val="10"/>
        <color rgb="FF000000"/>
        <rFont val="Noto Sans CJK SC"/>
        <family val="2"/>
      </rPr>
      <t xml:space="preserve">），定義為「就我們銷售及推廣活動所用算力向第三方算力供應商支付的算力服務費」；</t>
    </r>
    <r>
      <rPr>
        <sz val="10"/>
        <color rgb="FF000000"/>
        <rFont val="Arial"/>
        <family val="0"/>
        <charset val="1"/>
      </rPr>
      <t xml:space="preserve">FY2022</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1,852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</si>
  <si>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SRC_ZP_720</t>
  </si>
  <si>
    <t xml:space="preserve">sm_compute_fy24</t>
  </si>
  <si>
    <r>
      <rPr>
        <sz val="10"/>
        <color rgb="FF000000"/>
        <rFont val="Noto Sans CJK SC"/>
        <family val="2"/>
      </rPr>
      <t xml:space="preserve">銷售及營銷開支明細表「算力服務費」（第 </t>
    </r>
    <r>
      <rPr>
        <sz val="10"/>
        <color rgb="FF000000"/>
        <rFont val="Arial"/>
        <family val="0"/>
        <charset val="1"/>
      </rPr>
      <t xml:space="preserve">268 </t>
    </r>
    <r>
      <rPr>
        <sz val="10"/>
        <color rgb="FF000000"/>
        <rFont val="Noto Sans CJK SC"/>
        <family val="2"/>
      </rPr>
      <t xml:space="preserve">頁＝印 </t>
    </r>
    <r>
      <rPr>
        <sz val="10"/>
        <color rgb="FF000000"/>
        <rFont val="Arial"/>
        <family val="0"/>
        <charset val="1"/>
      </rPr>
      <t xml:space="preserve">259</t>
    </r>
    <r>
      <rPr>
        <sz val="10"/>
        <color rgb="FF000000"/>
        <rFont val="Noto Sans CJK SC"/>
        <family val="2"/>
      </rPr>
      <t xml:space="preserve">），定義為「就我們銷售及推廣活動所用算力向第三方算力供應商支付的算力服務費」；</t>
    </r>
    <r>
      <rPr>
        <sz val="10"/>
        <color rgb="FF000000"/>
        <rFont val="Arial"/>
        <family val="0"/>
        <charset val="1"/>
      </rPr>
      <t xml:space="preserve">FY2022</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12,840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</si>
  <si>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SRC_ZP_721</t>
  </si>
  <si>
    <t xml:space="preserve">sm_compute_1h24</t>
  </si>
  <si>
    <r>
      <rPr>
        <sz val="10"/>
        <color rgb="FF000000"/>
        <rFont val="Noto Sans CJK SC"/>
        <family val="2"/>
      </rPr>
      <t xml:space="preserve">銷售及營銷開支明細表「算力服務費」（第 </t>
    </r>
    <r>
      <rPr>
        <sz val="10"/>
        <color rgb="FF000000"/>
        <rFont val="Arial"/>
        <family val="0"/>
        <charset val="1"/>
      </rPr>
      <t xml:space="preserve">268 </t>
    </r>
    <r>
      <rPr>
        <sz val="10"/>
        <color rgb="FF000000"/>
        <rFont val="Noto Sans CJK SC"/>
        <family val="2"/>
      </rPr>
      <t xml:space="preserve">頁＝印 </t>
    </r>
    <r>
      <rPr>
        <sz val="10"/>
        <color rgb="FF000000"/>
        <rFont val="Arial"/>
        <family val="0"/>
        <charset val="1"/>
      </rPr>
      <t xml:space="preserve">259</t>
    </r>
    <r>
      <rPr>
        <sz val="10"/>
        <color rgb="FF000000"/>
        <rFont val="Noto Sans CJK SC"/>
        <family val="2"/>
      </rPr>
      <t xml:space="preserve">），定義為「就我們銷售及推廣活動所用算力向第三方算力供應商支付的算力服務費」；</t>
    </r>
    <r>
      <rPr>
        <sz val="10"/>
        <color rgb="FF000000"/>
        <rFont val="Arial"/>
        <family val="0"/>
        <charset val="1"/>
      </rPr>
      <t xml:space="preserve">FY2022</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2,287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</si>
  <si>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SRC_ZP_722</t>
  </si>
  <si>
    <t xml:space="preserve">sm_compute_1h25</t>
  </si>
  <si>
    <r>
      <rPr>
        <sz val="10"/>
        <color rgb="FF000000"/>
        <rFont val="Noto Sans CJK SC"/>
        <family val="2"/>
      </rPr>
      <t xml:space="preserve">銷售及營銷開支明細表「算力服務費」（第 </t>
    </r>
    <r>
      <rPr>
        <sz val="10"/>
        <color rgb="FF000000"/>
        <rFont val="Arial"/>
        <family val="0"/>
        <charset val="1"/>
      </rPr>
      <t xml:space="preserve">268 </t>
    </r>
    <r>
      <rPr>
        <sz val="10"/>
        <color rgb="FF000000"/>
        <rFont val="Noto Sans CJK SC"/>
        <family val="2"/>
      </rPr>
      <t xml:space="preserve">頁＝印 </t>
    </r>
    <r>
      <rPr>
        <sz val="10"/>
        <color rgb="FF000000"/>
        <rFont val="Arial"/>
        <family val="0"/>
        <charset val="1"/>
      </rPr>
      <t xml:space="preserve">259</t>
    </r>
    <r>
      <rPr>
        <sz val="10"/>
        <color rgb="FF000000"/>
        <rFont val="Noto Sans CJK SC"/>
        <family val="2"/>
      </rPr>
      <t xml:space="preserve">），定義為「就我們銷售及推廣活動所用算力向第三方算力供應商支付的算力服務費」；</t>
    </r>
    <r>
      <rPr>
        <sz val="10"/>
        <color rgb="FF000000"/>
        <rFont val="Arial"/>
        <family val="0"/>
        <charset val="1"/>
      </rPr>
      <t xml:space="preserve">FY2022</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20,564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</si>
  <si>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SRC_ZP_723</t>
  </si>
  <si>
    <t xml:space="preserve">sm_staff_fy22</t>
  </si>
  <si>
    <t xml:space="preserve">銷售及營銷開支：工資成本（含股權報酬）</t>
  </si>
  <si>
    <r>
      <rPr>
        <sz val="10"/>
        <color rgb="FF000000"/>
        <rFont val="Noto Sans CJK SC"/>
        <family val="2"/>
      </rPr>
      <t xml:space="preserve">銷售及營銷開支明細表「工資成本」；千元值 </t>
    </r>
    <r>
      <rPr>
        <sz val="10"/>
        <color rgb="FF000000"/>
        <rFont val="Arial"/>
        <family val="0"/>
        <charset val="1"/>
      </rPr>
      <t xml:space="preserve">11,378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</si>
  <si>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SRC_ZP_724</t>
  </si>
  <si>
    <t xml:space="preserve">sm_staff_fy23</t>
  </si>
  <si>
    <r>
      <rPr>
        <sz val="10"/>
        <color rgb="FF000000"/>
        <rFont val="Noto Sans CJK SC"/>
        <family val="2"/>
      </rPr>
      <t xml:space="preserve">銷售及營銷開支明細表「工資成本」；千元值 </t>
    </r>
    <r>
      <rPr>
        <sz val="10"/>
        <color rgb="FF000000"/>
        <rFont val="Arial"/>
        <family val="0"/>
        <charset val="1"/>
      </rPr>
      <t xml:space="preserve">30,334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</si>
  <si>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SRC_ZP_725</t>
  </si>
  <si>
    <t xml:space="preserve">sm_staff_fy24</t>
  </si>
  <si>
    <r>
      <rPr>
        <sz val="10"/>
        <color rgb="FF000000"/>
        <rFont val="Noto Sans CJK SC"/>
        <family val="2"/>
      </rPr>
      <t xml:space="preserve">銷售及營銷開支明細表「工資成本」；千元值 </t>
    </r>
    <r>
      <rPr>
        <sz val="10"/>
        <color rgb="FF000000"/>
        <rFont val="Arial"/>
        <family val="0"/>
        <charset val="1"/>
      </rPr>
      <t xml:space="preserve">93,695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</si>
  <si>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SRC_ZP_726</t>
  </si>
  <si>
    <t xml:space="preserve">sm_staff_1h24</t>
  </si>
  <si>
    <r>
      <rPr>
        <sz val="10"/>
        <color rgb="FF000000"/>
        <rFont val="Noto Sans CJK SC"/>
        <family val="2"/>
      </rPr>
      <t xml:space="preserve">銷售及營銷開支明細表「工資成本」；千元值 </t>
    </r>
    <r>
      <rPr>
        <sz val="10"/>
        <color rgb="FF000000"/>
        <rFont val="Arial"/>
        <family val="0"/>
        <charset val="1"/>
      </rPr>
      <t xml:space="preserve">44,493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</si>
  <si>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SRC_ZP_727</t>
  </si>
  <si>
    <t xml:space="preserve">sm_staff_1h25</t>
  </si>
  <si>
    <r>
      <rPr>
        <sz val="10"/>
        <color rgb="FF000000"/>
        <rFont val="Noto Sans CJK SC"/>
        <family val="2"/>
      </rPr>
      <t xml:space="preserve">銷售及營銷開支明細表「工資成本」；千元值 </t>
    </r>
    <r>
      <rPr>
        <sz val="10"/>
        <color rgb="FF000000"/>
        <rFont val="Arial"/>
        <family val="0"/>
        <charset val="1"/>
      </rPr>
      <t xml:space="preserve">71,744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</si>
  <si>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SRC_ZP_728</t>
  </si>
  <si>
    <t xml:space="preserve">sm_ad_fy22</t>
  </si>
  <si>
    <t xml:space="preserve">銷售及營銷開支：廣告及營銷開支</t>
  </si>
  <si>
    <r>
      <rPr>
        <sz val="10"/>
        <color rgb="FF000000"/>
        <rFont val="Noto Sans CJK SC"/>
        <family val="2"/>
      </rPr>
      <t xml:space="preserve">銷售及營銷開支明細表「廣告及營銷開支」；千元值 </t>
    </r>
    <r>
      <rPr>
        <sz val="10"/>
        <color rgb="FF000000"/>
        <rFont val="Arial"/>
        <family val="0"/>
        <charset val="1"/>
      </rPr>
      <t xml:space="preserve">1,167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</si>
  <si>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SRC_ZP_729</t>
  </si>
  <si>
    <t xml:space="preserve">sm_ad_fy23</t>
  </si>
  <si>
    <r>
      <rPr>
        <sz val="10"/>
        <color rgb="FF000000"/>
        <rFont val="Noto Sans CJK SC"/>
        <family val="2"/>
      </rPr>
      <t xml:space="preserve">銷售及營銷開支明細表「廣告及營銷開支」；千元值 </t>
    </r>
    <r>
      <rPr>
        <sz val="10"/>
        <color rgb="FF000000"/>
        <rFont val="Arial"/>
        <family val="0"/>
        <charset val="1"/>
      </rPr>
      <t xml:space="preserve">54,868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</si>
  <si>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SRC_ZP_730</t>
  </si>
  <si>
    <t xml:space="preserve">sm_ad_fy24</t>
  </si>
  <si>
    <r>
      <rPr>
        <sz val="10"/>
        <color rgb="FF000000"/>
        <rFont val="Noto Sans CJK SC"/>
        <family val="2"/>
      </rPr>
      <t xml:space="preserve">銷售及營銷開支明細表「廣告及營銷開支」；千元值 </t>
    </r>
    <r>
      <rPr>
        <sz val="10"/>
        <color rgb="FF000000"/>
        <rFont val="Arial"/>
        <family val="0"/>
        <charset val="1"/>
      </rPr>
      <t xml:space="preserve">237,453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</si>
  <si>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SRC_ZP_731</t>
  </si>
  <si>
    <t xml:space="preserve">sm_ad_1h24</t>
  </si>
  <si>
    <r>
      <rPr>
        <sz val="10"/>
        <color rgb="FF000000"/>
        <rFont val="Noto Sans CJK SC"/>
        <family val="2"/>
      </rPr>
      <t xml:space="preserve">銷售及營銷開支明細表「廣告及營銷開支」；千元值 </t>
    </r>
    <r>
      <rPr>
        <sz val="10"/>
        <color rgb="FF000000"/>
        <rFont val="Arial"/>
        <family val="0"/>
        <charset val="1"/>
      </rPr>
      <t xml:space="preserve">80,713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</si>
  <si>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SRC_ZP_732</t>
  </si>
  <si>
    <t xml:space="preserve">sm_ad_1h25</t>
  </si>
  <si>
    <r>
      <rPr>
        <sz val="10"/>
        <color rgb="FF000000"/>
        <rFont val="Noto Sans CJK SC"/>
        <family val="2"/>
      </rPr>
      <t xml:space="preserve">銷售及營銷開支明細表「廣告及營銷開支」；千元值 </t>
    </r>
    <r>
      <rPr>
        <sz val="10"/>
        <color rgb="FF000000"/>
        <rFont val="Arial"/>
        <family val="0"/>
        <charset val="1"/>
      </rPr>
      <t xml:space="preserve">95,675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</si>
  <si>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SRC_ZP_733</t>
  </si>
  <si>
    <t xml:space="preserve">ga_staff_fy22</t>
  </si>
  <si>
    <t xml:space="preserve">一般及行政開支：工資成本（含股權報酬）</t>
  </si>
  <si>
    <r>
      <rPr>
        <sz val="10"/>
        <color rgb="FF000000"/>
        <rFont val="Noto Sans CJK SC"/>
        <family val="2"/>
      </rPr>
      <t xml:space="preserve">一般及行政開支明細表「工資成本」；千元值 </t>
    </r>
    <r>
      <rPr>
        <sz val="10"/>
        <color rgb="FF000000"/>
        <rFont val="Arial"/>
        <family val="0"/>
        <charset val="1"/>
      </rPr>
      <t xml:space="preserve">20,923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</si>
  <si>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SRC_ZP_734</t>
  </si>
  <si>
    <t xml:space="preserve">ga_staff_fy23</t>
  </si>
  <si>
    <r>
      <rPr>
        <sz val="10"/>
        <color rgb="FF000000"/>
        <rFont val="Noto Sans CJK SC"/>
        <family val="2"/>
      </rPr>
      <t xml:space="preserve">一般及行政開支明細表「工資成本」；千元值 </t>
    </r>
    <r>
      <rPr>
        <sz val="10"/>
        <color rgb="FF000000"/>
        <rFont val="Arial"/>
        <family val="0"/>
        <charset val="1"/>
      </rPr>
      <t xml:space="preserve">33,956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</si>
  <si>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SRC_ZP_735</t>
  </si>
  <si>
    <t xml:space="preserve">ga_staff_fy24</t>
  </si>
  <si>
    <r>
      <rPr>
        <sz val="10"/>
        <color rgb="FF000000"/>
        <rFont val="Noto Sans CJK SC"/>
        <family val="2"/>
      </rPr>
      <t xml:space="preserve">一般及行政開支明細表「工資成本」；千元值 </t>
    </r>
    <r>
      <rPr>
        <sz val="10"/>
        <color rgb="FF000000"/>
        <rFont val="Arial"/>
        <family val="0"/>
        <charset val="1"/>
      </rPr>
      <t xml:space="preserve">78,369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</si>
  <si>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SRC_ZP_736</t>
  </si>
  <si>
    <t xml:space="preserve">ga_staff_1h24</t>
  </si>
  <si>
    <r>
      <rPr>
        <sz val="10"/>
        <color rgb="FF000000"/>
        <rFont val="Noto Sans CJK SC"/>
        <family val="2"/>
      </rPr>
      <t xml:space="preserve">一般及行政開支明細表「工資成本」；千元值 </t>
    </r>
    <r>
      <rPr>
        <sz val="10"/>
        <color rgb="FF000000"/>
        <rFont val="Arial"/>
        <family val="0"/>
        <charset val="1"/>
      </rPr>
      <t xml:space="preserve">29,041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</si>
  <si>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SRC_ZP_737</t>
  </si>
  <si>
    <t xml:space="preserve">ga_staff_1h25</t>
  </si>
  <si>
    <r>
      <rPr>
        <sz val="10"/>
        <color rgb="FF000000"/>
        <rFont val="Noto Sans CJK SC"/>
        <family val="2"/>
      </rPr>
      <t xml:space="preserve">一般及行政開支明細表「工資成本」；千元值 </t>
    </r>
    <r>
      <rPr>
        <sz val="10"/>
        <color rgb="FF000000"/>
        <rFont val="Arial"/>
        <family val="0"/>
        <charset val="1"/>
      </rPr>
      <t xml:space="preserve">124,655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</si>
  <si>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SRC_ZP_738</t>
  </si>
  <si>
    <t xml:space="preserve">cmp_fee_total_fy22_p</t>
  </si>
  <si>
    <t xml:space="preserve">算力服務費合計（研發＋營業成本＋銷售及營銷）</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</si>
  <si>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265</t>
    </r>
    <r>
      <rPr>
        <sz val="10"/>
        <color rgb="FF000000"/>
        <rFont val="Noto Sans CJK SC"/>
        <family val="2"/>
      </rPr>
      <t xml:space="preserve">、</t>
    </r>
    <r>
      <rPr>
        <sz val="10"/>
        <color rgb="FF000000"/>
        <rFont val="Arial"/>
        <family val="0"/>
        <charset val="1"/>
      </rPr>
      <t xml:space="preserve">267</t>
    </r>
    <r>
      <rPr>
        <sz val="10"/>
        <color rgb="FF000000"/>
        <rFont val="Noto Sans CJK SC"/>
        <family val="2"/>
      </rPr>
      <t xml:space="preserve">、</t>
    </r>
    <r>
      <rPr>
        <sz val="10"/>
        <color rgb="FF000000"/>
        <rFont val="Arial"/>
        <family val="0"/>
        <charset val="1"/>
      </rPr>
      <t xml:space="preserve">268 </t>
    </r>
    <r>
      <rPr>
        <sz val="10"/>
        <color rgb="FF000000"/>
        <rFont val="Noto Sans CJK SC"/>
        <family val="2"/>
      </rPr>
      <t xml:space="preserve">頁</t>
    </r>
  </si>
  <si>
    <t xml:space="preserve">由經審計科目加總</t>
  </si>
  <si>
    <r>
      <rPr>
        <sz val="10"/>
        <color rgb="FF000000"/>
        <rFont val="Arial"/>
        <family val="0"/>
        <charset val="1"/>
      </rPr>
      <t xml:space="preserve">Derived</t>
    </r>
    <r>
      <rPr>
        <sz val="10"/>
        <color rgb="FF000000"/>
        <rFont val="Noto Sans CJK SC"/>
        <family val="2"/>
      </rPr>
      <t xml:space="preserve">：研發算力費＋營業成本計算服務費＋銷售及營銷算力費＝</t>
    </r>
    <r>
      <rPr>
        <sz val="10"/>
        <color rgb="FF000000"/>
        <rFont val="Arial"/>
        <family val="0"/>
        <charset val="1"/>
      </rPr>
      <t xml:space="preserve">14,633 </t>
    </r>
    <r>
      <rPr>
        <sz val="10"/>
        <color rgb="FF000000"/>
        <rFont val="Noto Sans CJK SC"/>
        <family val="2"/>
      </rPr>
      <t xml:space="preserve">千元；三表分見第 </t>
    </r>
    <r>
      <rPr>
        <sz val="10"/>
        <color rgb="FF000000"/>
        <rFont val="Arial"/>
        <family val="0"/>
        <charset val="1"/>
      </rPr>
      <t xml:space="preserve">265/267/268 </t>
    </r>
    <r>
      <rPr>
        <sz val="10"/>
        <color rgb="FF000000"/>
        <rFont val="Noto Sans CJK SC"/>
        <family val="2"/>
      </rPr>
      <t xml:space="preserve">頁；與既有值差異：媒體 </t>
    </r>
    <r>
      <rPr>
        <sz val="10"/>
        <color rgb="FF000000"/>
        <rFont val="Arial"/>
        <family val="0"/>
        <charset val="1"/>
      </rPr>
      <t xml:space="preserve">0.15 </t>
    </r>
    <r>
      <rPr>
        <sz val="10"/>
        <color rgb="FF000000"/>
        <rFont val="Noto Sans CJK SC"/>
        <family val="2"/>
      </rPr>
      <t xml:space="preserve">億標為「含訓練與雲端部署」，實為研發項下；三科目合計仍 </t>
    </r>
    <r>
      <rPr>
        <sz val="10"/>
        <color rgb="FF000000"/>
        <rFont val="Arial"/>
        <family val="0"/>
        <charset val="1"/>
      </rPr>
      <t xml:space="preserve">14,633 </t>
    </r>
    <r>
      <rPr>
        <sz val="10"/>
        <color rgb="FF000000"/>
        <rFont val="Noto Sans CJK SC"/>
        <family val="2"/>
      </rPr>
      <t xml:space="preserve">千元（</t>
    </r>
    <r>
      <rPr>
        <sz val="10"/>
        <color rgb="FF000000"/>
        <rFont val="Arial"/>
        <family val="0"/>
        <charset val="1"/>
      </rPr>
      <t xml:space="preserve">FY22 </t>
    </r>
    <r>
      <rPr>
        <sz val="10"/>
        <color rgb="FF000000"/>
        <rFont val="Noto Sans CJK SC"/>
        <family val="2"/>
      </rPr>
      <t xml:space="preserve">營業成本、銷售無算力費）</t>
    </r>
  </si>
  <si>
    <t xml:space="preserve">SRC_ZP_739</t>
  </si>
  <si>
    <t xml:space="preserve">cmp_fee_total_fy23</t>
  </si>
  <si>
    <r>
      <rPr>
        <sz val="10"/>
        <color rgb="FF000000"/>
        <rFont val="Arial"/>
        <family val="0"/>
        <charset val="1"/>
      </rPr>
      <t xml:space="preserve">Derived</t>
    </r>
    <r>
      <rPr>
        <sz val="10"/>
        <color rgb="FF000000"/>
        <rFont val="Noto Sans CJK SC"/>
        <family val="2"/>
      </rPr>
      <t xml:space="preserve">：研發算力費＋營業成本計算服務費＋銷售及營銷算力費＝</t>
    </r>
    <r>
      <rPr>
        <sz val="10"/>
        <color rgb="FF000000"/>
        <rFont val="Arial"/>
        <family val="0"/>
        <charset val="1"/>
      </rPr>
      <t xml:space="preserve">325,594 </t>
    </r>
    <r>
      <rPr>
        <sz val="10"/>
        <color rgb="FF000000"/>
        <rFont val="Noto Sans CJK SC"/>
        <family val="2"/>
      </rPr>
      <t xml:space="preserve">千元；三表分見第 </t>
    </r>
    <r>
      <rPr>
        <sz val="10"/>
        <color rgb="FF000000"/>
        <rFont val="Arial"/>
        <family val="0"/>
        <charset val="1"/>
      </rPr>
      <t xml:space="preserve">265/267/268 </t>
    </r>
    <r>
      <rPr>
        <sz val="10"/>
        <color rgb="FF000000"/>
        <rFont val="Noto Sans CJK SC"/>
        <family val="2"/>
      </rPr>
      <t xml:space="preserve">頁</t>
    </r>
  </si>
  <si>
    <t xml:space="preserve">SRC_ZP_740</t>
  </si>
  <si>
    <t xml:space="preserve">cmp_fee_total_fy24_p</t>
  </si>
  <si>
    <r>
      <rPr>
        <sz val="10"/>
        <color rgb="FF000000"/>
        <rFont val="Arial"/>
        <family val="0"/>
        <charset val="1"/>
      </rPr>
      <t xml:space="preserve">Derived</t>
    </r>
    <r>
      <rPr>
        <sz val="10"/>
        <color rgb="FF000000"/>
        <rFont val="Noto Sans CJK SC"/>
        <family val="2"/>
      </rPr>
      <t xml:space="preserve">：研發算力費＋營業成本計算服務費＋銷售及營銷算力費＝</t>
    </r>
    <r>
      <rPr>
        <sz val="10"/>
        <color rgb="FF000000"/>
        <rFont val="Arial"/>
        <family val="0"/>
        <charset val="1"/>
      </rPr>
      <t xml:space="preserve">1,595,845 </t>
    </r>
    <r>
      <rPr>
        <sz val="10"/>
        <color rgb="FF000000"/>
        <rFont val="Noto Sans CJK SC"/>
        <family val="2"/>
      </rPr>
      <t xml:space="preserve">千元；三表分見第 </t>
    </r>
    <r>
      <rPr>
        <sz val="10"/>
        <color rgb="FF000000"/>
        <rFont val="Arial"/>
        <family val="0"/>
        <charset val="1"/>
      </rPr>
      <t xml:space="preserve">265/267/268 </t>
    </r>
    <r>
      <rPr>
        <sz val="10"/>
        <color rgb="FF000000"/>
        <rFont val="Noto Sans CJK SC"/>
        <family val="2"/>
      </rPr>
      <t xml:space="preserve">頁；與既有值差異：媒體 </t>
    </r>
    <r>
      <rPr>
        <sz val="10"/>
        <color rgb="FF000000"/>
        <rFont val="Arial"/>
        <family val="0"/>
        <charset val="1"/>
      </rPr>
      <t xml:space="preserve">15.52 </t>
    </r>
    <r>
      <rPr>
        <sz val="10"/>
        <color rgb="FF000000"/>
        <rFont val="Noto Sans CJK SC"/>
        <family val="2"/>
      </rPr>
      <t xml:space="preserve">億標為「研發＋銷售成本合計」，實為研發項下 </t>
    </r>
    <r>
      <rPr>
        <sz val="10"/>
        <color rgb="FF000000"/>
        <rFont val="Arial"/>
        <family val="0"/>
        <charset val="1"/>
      </rPr>
      <t xml:space="preserve">15.53 </t>
    </r>
    <r>
      <rPr>
        <sz val="10"/>
        <color rgb="FF000000"/>
        <rFont val="Noto Sans CJK SC"/>
        <family val="2"/>
      </rPr>
      <t xml:space="preserve">億；三科目合計 </t>
    </r>
    <r>
      <rPr>
        <sz val="10"/>
        <color rgb="FF000000"/>
        <rFont val="Arial"/>
        <family val="0"/>
        <charset val="1"/>
      </rPr>
      <t xml:space="preserve">15.96 </t>
    </r>
    <r>
      <rPr>
        <sz val="10"/>
        <color rgb="FF000000"/>
        <rFont val="Noto Sans CJK SC"/>
        <family val="2"/>
      </rPr>
      <t xml:space="preserve">億；亦取代 </t>
    </r>
    <r>
      <rPr>
        <sz val="10"/>
        <color rgb="FF000000"/>
        <rFont val="Arial"/>
        <family val="0"/>
        <charset val="1"/>
      </rPr>
      <t xml:space="preserve">SRC_ZP_449</t>
    </r>
  </si>
  <si>
    <t xml:space="preserve">SRC_ZP_741</t>
  </si>
  <si>
    <t xml:space="preserve">cmp_fee_total_1h24</t>
  </si>
  <si>
    <t xml:space="preserve">由經審閱科目加總</t>
  </si>
  <si>
    <r>
      <rPr>
        <sz val="10"/>
        <color rgb="FF000000"/>
        <rFont val="Arial"/>
        <family val="0"/>
        <charset val="1"/>
      </rPr>
      <t xml:space="preserve">Derived</t>
    </r>
    <r>
      <rPr>
        <sz val="10"/>
        <color rgb="FF000000"/>
        <rFont val="Noto Sans CJK SC"/>
        <family val="2"/>
      </rPr>
      <t xml:space="preserve">：研發算力費＋營業成本計算服務費＋銷售及營銷算力費＝</t>
    </r>
    <r>
      <rPr>
        <sz val="10"/>
        <color rgb="FF000000"/>
        <rFont val="Arial"/>
        <family val="0"/>
        <charset val="1"/>
      </rPr>
      <t xml:space="preserve">613,975 </t>
    </r>
    <r>
      <rPr>
        <sz val="10"/>
        <color rgb="FF000000"/>
        <rFont val="Noto Sans CJK SC"/>
        <family val="2"/>
      </rPr>
      <t xml:space="preserve">千元；三表分見第 </t>
    </r>
    <r>
      <rPr>
        <sz val="10"/>
        <color rgb="FF000000"/>
        <rFont val="Arial"/>
        <family val="0"/>
        <charset val="1"/>
      </rPr>
      <t xml:space="preserve">265/267/268 </t>
    </r>
    <r>
      <rPr>
        <sz val="10"/>
        <color rgb="FF000000"/>
        <rFont val="Noto Sans CJK SC"/>
        <family val="2"/>
      </rPr>
      <t xml:space="preserve">頁</t>
    </r>
  </si>
  <si>
    <t xml:space="preserve">SRC_ZP_742</t>
  </si>
  <si>
    <t xml:space="preserve">cmp_fee_total_1h25_p</t>
  </si>
  <si>
    <r>
      <rPr>
        <sz val="10"/>
        <color rgb="FF000000"/>
        <rFont val="Arial"/>
        <family val="0"/>
        <charset val="1"/>
      </rPr>
      <t xml:space="preserve">Derived</t>
    </r>
    <r>
      <rPr>
        <sz val="10"/>
        <color rgb="FF000000"/>
        <rFont val="Noto Sans CJK SC"/>
        <family val="2"/>
      </rPr>
      <t xml:space="preserve">：研發算力費＋營業成本計算服務費＋銷售及營銷算力費＝</t>
    </r>
    <r>
      <rPr>
        <sz val="10"/>
        <color rgb="FF000000"/>
        <rFont val="Arial"/>
        <family val="0"/>
        <charset val="1"/>
      </rPr>
      <t xml:space="preserve">1,201,533 </t>
    </r>
    <r>
      <rPr>
        <sz val="10"/>
        <color rgb="FF000000"/>
        <rFont val="Noto Sans CJK SC"/>
        <family val="2"/>
      </rPr>
      <t xml:space="preserve">千元；三表分見第 </t>
    </r>
    <r>
      <rPr>
        <sz val="10"/>
        <color rgb="FF000000"/>
        <rFont val="Arial"/>
        <family val="0"/>
        <charset val="1"/>
      </rPr>
      <t xml:space="preserve">265/267/268 </t>
    </r>
    <r>
      <rPr>
        <sz val="10"/>
        <color rgb="FF000000"/>
        <rFont val="Noto Sans CJK SC"/>
        <family val="2"/>
      </rPr>
      <t xml:space="preserve">頁；與既有值差異：媒體 </t>
    </r>
    <r>
      <rPr>
        <sz val="10"/>
        <color rgb="FF000000"/>
        <rFont val="Arial"/>
        <family val="0"/>
        <charset val="1"/>
      </rPr>
      <t xml:space="preserve">11.45 </t>
    </r>
    <r>
      <rPr>
        <sz val="10"/>
        <color rgb="FF000000"/>
        <rFont val="Noto Sans CJK SC"/>
        <family val="2"/>
      </rPr>
      <t xml:space="preserve">億為研發項下；三科目合計 </t>
    </r>
    <r>
      <rPr>
        <sz val="10"/>
        <color rgb="FF000000"/>
        <rFont val="Arial"/>
        <family val="0"/>
        <charset val="1"/>
      </rPr>
      <t xml:space="preserve">12.02 </t>
    </r>
    <r>
      <rPr>
        <sz val="10"/>
        <color rgb="FF000000"/>
        <rFont val="Noto Sans CJK SC"/>
        <family val="2"/>
      </rPr>
      <t xml:space="preserve">億</t>
    </r>
  </si>
  <si>
    <t xml:space="preserve">SRC_ZP_743</t>
  </si>
  <si>
    <t xml:space="preserve">cmp_fee_split_fy22</t>
  </si>
  <si>
    <t xml:space="preserve">算力服務費去向：研發／營業成本／銷售 占比</t>
  </si>
  <si>
    <r>
      <rPr>
        <sz val="10"/>
        <color rgb="FF000000"/>
        <rFont val="Arial"/>
        <family val="0"/>
        <charset val="1"/>
      </rPr>
      <t xml:space="preserve">%</t>
    </r>
    <r>
      <rPr>
        <sz val="10"/>
        <color rgb="FF000000"/>
        <rFont val="Noto Sans CJK SC"/>
        <family val="2"/>
      </rPr>
      <t xml:space="preserve">（研發占比）</t>
    </r>
  </si>
  <si>
    <t xml:space="preserve">由經審計科目推算</t>
  </si>
  <si>
    <r>
      <rPr>
        <sz val="10"/>
        <color rgb="FF000000"/>
        <rFont val="Arial"/>
        <family val="0"/>
        <charset val="1"/>
      </rPr>
      <t xml:space="preserve">Derived</t>
    </r>
    <r>
      <rPr>
        <sz val="10"/>
        <color rgb="FF000000"/>
        <rFont val="Noto Sans CJK SC"/>
        <family val="2"/>
      </rPr>
      <t xml:space="preserve">：研發 </t>
    </r>
    <r>
      <rPr>
        <sz val="10"/>
        <color rgb="FF000000"/>
        <rFont val="Arial"/>
        <family val="0"/>
        <charset val="1"/>
      </rPr>
      <t xml:space="preserve">100.0%</t>
    </r>
    <r>
      <rPr>
        <sz val="10"/>
        <color rgb="FF000000"/>
        <rFont val="Noto Sans CJK SC"/>
        <family val="2"/>
      </rPr>
      <t xml:space="preserve">、營業成本 </t>
    </r>
    <r>
      <rPr>
        <sz val="10"/>
        <color rgb="FF000000"/>
        <rFont val="Arial"/>
        <family val="0"/>
        <charset val="1"/>
      </rPr>
      <t xml:space="preserve">0.0%</t>
    </r>
    <r>
      <rPr>
        <sz val="10"/>
        <color rgb="FF000000"/>
        <rFont val="Noto Sans CJK SC"/>
        <family val="2"/>
      </rPr>
      <t xml:space="preserve">、銷售及營銷 </t>
    </r>
    <r>
      <rPr>
        <sz val="10"/>
        <color rgb="FF000000"/>
        <rFont val="Arial"/>
        <family val="0"/>
        <charset val="1"/>
      </rPr>
      <t xml:space="preserve">0.0%</t>
    </r>
    <r>
      <rPr>
        <sz val="10"/>
        <color rgb="FF000000"/>
        <rFont val="Noto Sans CJK SC"/>
        <family val="2"/>
      </rPr>
      <t xml:space="preserve">；營業成本項＝本地化交付前訓練微調＋雲端部署對客推論；招股章程未再細拆訓練 </t>
    </r>
    <r>
      <rPr>
        <sz val="10"/>
        <color rgb="FF000000"/>
        <rFont val="Arial"/>
        <family val="0"/>
        <charset val="1"/>
      </rPr>
      <t xml:space="preserve">vs </t>
    </r>
    <r>
      <rPr>
        <sz val="10"/>
        <color rgb="FF000000"/>
        <rFont val="Noto Sans CJK SC"/>
        <family val="2"/>
      </rPr>
      <t xml:space="preserve">推論</t>
    </r>
  </si>
  <si>
    <t xml:space="preserve">SRC_ZP_744</t>
  </si>
  <si>
    <t xml:space="preserve">cmp_fee_split_fy23</t>
  </si>
  <si>
    <r>
      <rPr>
        <sz val="10"/>
        <color rgb="FF000000"/>
        <rFont val="Arial"/>
        <family val="0"/>
        <charset val="1"/>
      </rPr>
      <t xml:space="preserve">Derived</t>
    </r>
    <r>
      <rPr>
        <sz val="10"/>
        <color rgb="FF000000"/>
        <rFont val="Noto Sans CJK SC"/>
        <family val="2"/>
      </rPr>
      <t xml:space="preserve">：研發 </t>
    </r>
    <r>
      <rPr>
        <sz val="10"/>
        <color rgb="FF000000"/>
        <rFont val="Arial"/>
        <family val="0"/>
        <charset val="1"/>
      </rPr>
      <t xml:space="preserve">95.7%</t>
    </r>
    <r>
      <rPr>
        <sz val="10"/>
        <color rgb="FF000000"/>
        <rFont val="Noto Sans CJK SC"/>
        <family val="2"/>
      </rPr>
      <t xml:space="preserve">、營業成本 </t>
    </r>
    <r>
      <rPr>
        <sz val="10"/>
        <color rgb="FF000000"/>
        <rFont val="Arial"/>
        <family val="0"/>
        <charset val="1"/>
      </rPr>
      <t xml:space="preserve">3.7%</t>
    </r>
    <r>
      <rPr>
        <sz val="10"/>
        <color rgb="FF000000"/>
        <rFont val="Noto Sans CJK SC"/>
        <family val="2"/>
      </rPr>
      <t xml:space="preserve">、銷售及營銷 </t>
    </r>
    <r>
      <rPr>
        <sz val="10"/>
        <color rgb="FF000000"/>
        <rFont val="Arial"/>
        <family val="0"/>
        <charset val="1"/>
      </rPr>
      <t xml:space="preserve">0.6%</t>
    </r>
    <r>
      <rPr>
        <sz val="10"/>
        <color rgb="FF000000"/>
        <rFont val="Noto Sans CJK SC"/>
        <family val="2"/>
      </rPr>
      <t xml:space="preserve">；營業成本項＝本地化交付前訓練微調＋雲端部署對客推論；招股章程未再細拆訓練 </t>
    </r>
    <r>
      <rPr>
        <sz val="10"/>
        <color rgb="FF000000"/>
        <rFont val="Arial"/>
        <family val="0"/>
        <charset val="1"/>
      </rPr>
      <t xml:space="preserve">vs </t>
    </r>
    <r>
      <rPr>
        <sz val="10"/>
        <color rgb="FF000000"/>
        <rFont val="Noto Sans CJK SC"/>
        <family val="2"/>
      </rPr>
      <t xml:space="preserve">推論</t>
    </r>
  </si>
  <si>
    <t xml:space="preserve">SRC_ZP_745</t>
  </si>
  <si>
    <t xml:space="preserve">cmp_fee_split_fy24</t>
  </si>
  <si>
    <r>
      <rPr>
        <sz val="10"/>
        <color rgb="FF000000"/>
        <rFont val="Arial"/>
        <family val="0"/>
        <charset val="1"/>
      </rPr>
      <t xml:space="preserve">Derived</t>
    </r>
    <r>
      <rPr>
        <sz val="10"/>
        <color rgb="FF000000"/>
        <rFont val="Noto Sans CJK SC"/>
        <family val="2"/>
      </rPr>
      <t xml:space="preserve">：研發 </t>
    </r>
    <r>
      <rPr>
        <sz val="10"/>
        <color rgb="FF000000"/>
        <rFont val="Arial"/>
        <family val="0"/>
        <charset val="1"/>
      </rPr>
      <t xml:space="preserve">97.3%</t>
    </r>
    <r>
      <rPr>
        <sz val="10"/>
        <color rgb="FF000000"/>
        <rFont val="Noto Sans CJK SC"/>
        <family val="2"/>
      </rPr>
      <t xml:space="preserve">、營業成本 </t>
    </r>
    <r>
      <rPr>
        <sz val="10"/>
        <color rgb="FF000000"/>
        <rFont val="Arial"/>
        <family val="0"/>
        <charset val="1"/>
      </rPr>
      <t xml:space="preserve">1.9%</t>
    </r>
    <r>
      <rPr>
        <sz val="10"/>
        <color rgb="FF000000"/>
        <rFont val="Noto Sans CJK SC"/>
        <family val="2"/>
      </rPr>
      <t xml:space="preserve">、銷售及營銷 </t>
    </r>
    <r>
      <rPr>
        <sz val="10"/>
        <color rgb="FF000000"/>
        <rFont val="Arial"/>
        <family val="0"/>
        <charset val="1"/>
      </rPr>
      <t xml:space="preserve">0.8%</t>
    </r>
    <r>
      <rPr>
        <sz val="10"/>
        <color rgb="FF000000"/>
        <rFont val="Noto Sans CJK SC"/>
        <family val="2"/>
      </rPr>
      <t xml:space="preserve">；營業成本項＝本地化交付前訓練微調＋雲端部署對客推論；招股章程未再細拆訓練 </t>
    </r>
    <r>
      <rPr>
        <sz val="10"/>
        <color rgb="FF000000"/>
        <rFont val="Arial"/>
        <family val="0"/>
        <charset val="1"/>
      </rPr>
      <t xml:space="preserve">vs </t>
    </r>
    <r>
      <rPr>
        <sz val="10"/>
        <color rgb="FF000000"/>
        <rFont val="Noto Sans CJK SC"/>
        <family val="2"/>
      </rPr>
      <t xml:space="preserve">推論</t>
    </r>
  </si>
  <si>
    <t xml:space="preserve">SRC_ZP_746</t>
  </si>
  <si>
    <t xml:space="preserve">cmp_fee_split_1h24</t>
  </si>
  <si>
    <r>
      <rPr>
        <sz val="10"/>
        <color rgb="FF000000"/>
        <rFont val="Arial"/>
        <family val="0"/>
        <charset val="1"/>
      </rPr>
      <t xml:space="preserve">Derived</t>
    </r>
    <r>
      <rPr>
        <sz val="10"/>
        <color rgb="FF000000"/>
        <rFont val="Noto Sans CJK SC"/>
        <family val="2"/>
      </rPr>
      <t xml:space="preserve">：研發 </t>
    </r>
    <r>
      <rPr>
        <sz val="10"/>
        <color rgb="FF000000"/>
        <rFont val="Arial"/>
        <family val="0"/>
        <charset val="1"/>
      </rPr>
      <t xml:space="preserve">98.3%</t>
    </r>
    <r>
      <rPr>
        <sz val="10"/>
        <color rgb="FF000000"/>
        <rFont val="Noto Sans CJK SC"/>
        <family val="2"/>
      </rPr>
      <t xml:space="preserve">、營業成本 </t>
    </r>
    <r>
      <rPr>
        <sz val="10"/>
        <color rgb="FF000000"/>
        <rFont val="Arial"/>
        <family val="0"/>
        <charset val="1"/>
      </rPr>
      <t xml:space="preserve">1.4%</t>
    </r>
    <r>
      <rPr>
        <sz val="10"/>
        <color rgb="FF000000"/>
        <rFont val="Noto Sans CJK SC"/>
        <family val="2"/>
      </rPr>
      <t xml:space="preserve">、銷售及營銷 </t>
    </r>
    <r>
      <rPr>
        <sz val="10"/>
        <color rgb="FF000000"/>
        <rFont val="Arial"/>
        <family val="0"/>
        <charset val="1"/>
      </rPr>
      <t xml:space="preserve">0.4%</t>
    </r>
    <r>
      <rPr>
        <sz val="10"/>
        <color rgb="FF000000"/>
        <rFont val="Noto Sans CJK SC"/>
        <family val="2"/>
      </rPr>
      <t xml:space="preserve">；營業成本項＝本地化交付前訓練微調＋雲端部署對客推論；招股章程未再細拆訓練 </t>
    </r>
    <r>
      <rPr>
        <sz val="10"/>
        <color rgb="FF000000"/>
        <rFont val="Arial"/>
        <family val="0"/>
        <charset val="1"/>
      </rPr>
      <t xml:space="preserve">vs </t>
    </r>
    <r>
      <rPr>
        <sz val="10"/>
        <color rgb="FF000000"/>
        <rFont val="Noto Sans CJK SC"/>
        <family val="2"/>
      </rPr>
      <t xml:space="preserve">推論</t>
    </r>
  </si>
  <si>
    <t xml:space="preserve">SRC_ZP_747</t>
  </si>
  <si>
    <t xml:space="preserve">cmp_fee_split_1h25</t>
  </si>
  <si>
    <r>
      <rPr>
        <sz val="10"/>
        <color rgb="FF000000"/>
        <rFont val="Arial"/>
        <family val="0"/>
        <charset val="1"/>
      </rPr>
      <t xml:space="preserve">Derived</t>
    </r>
    <r>
      <rPr>
        <sz val="10"/>
        <color rgb="FF000000"/>
        <rFont val="Noto Sans CJK SC"/>
        <family val="2"/>
      </rPr>
      <t xml:space="preserve">：研發 </t>
    </r>
    <r>
      <rPr>
        <sz val="10"/>
        <color rgb="FF000000"/>
        <rFont val="Arial"/>
        <family val="0"/>
        <charset val="1"/>
      </rPr>
      <t xml:space="preserve">95.3%</t>
    </r>
    <r>
      <rPr>
        <sz val="10"/>
        <color rgb="FF000000"/>
        <rFont val="Noto Sans CJK SC"/>
        <family val="2"/>
      </rPr>
      <t xml:space="preserve">、營業成本 </t>
    </r>
    <r>
      <rPr>
        <sz val="10"/>
        <color rgb="FF000000"/>
        <rFont val="Arial"/>
        <family val="0"/>
        <charset val="1"/>
      </rPr>
      <t xml:space="preserve">3.0%</t>
    </r>
    <r>
      <rPr>
        <sz val="10"/>
        <color rgb="FF000000"/>
        <rFont val="Noto Sans CJK SC"/>
        <family val="2"/>
      </rPr>
      <t xml:space="preserve">、銷售及營銷 </t>
    </r>
    <r>
      <rPr>
        <sz val="10"/>
        <color rgb="FF000000"/>
        <rFont val="Arial"/>
        <family val="0"/>
        <charset val="1"/>
      </rPr>
      <t xml:space="preserve">1.7%</t>
    </r>
    <r>
      <rPr>
        <sz val="10"/>
        <color rgb="FF000000"/>
        <rFont val="Noto Sans CJK SC"/>
        <family val="2"/>
      </rPr>
      <t xml:space="preserve">；營業成本項＝本地化交付前訓練微調＋雲端部署對客推論；招股章程未再細拆訓練 </t>
    </r>
    <r>
      <rPr>
        <sz val="10"/>
        <color rgb="FF000000"/>
        <rFont val="Arial"/>
        <family val="0"/>
        <charset val="1"/>
      </rPr>
      <t xml:space="preserve">vs </t>
    </r>
    <r>
      <rPr>
        <sz val="10"/>
        <color rgb="FF000000"/>
        <rFont val="Noto Sans CJK SC"/>
        <family val="2"/>
      </rPr>
      <t xml:space="preserve">推論</t>
    </r>
  </si>
  <si>
    <t xml:space="preserve">SRC_ZP_748</t>
  </si>
  <si>
    <t xml:space="preserve">sup_a_1h25</t>
  </si>
  <si>
    <r>
      <rPr>
        <sz val="10"/>
        <color rgb="FF000000"/>
        <rFont val="Noto Sans CJK SC"/>
        <family val="2"/>
      </rPr>
      <t xml:space="preserve">供應商</t>
    </r>
    <r>
      <rPr>
        <sz val="10"/>
        <color rgb="FF000000"/>
        <rFont val="Arial"/>
        <family val="0"/>
        <charset val="1"/>
      </rPr>
      <t xml:space="preserve">A</t>
    </r>
    <r>
      <rPr>
        <sz val="10"/>
        <color rgb="FF000000"/>
        <rFont val="Noto Sans CJK SC"/>
        <family val="2"/>
      </rPr>
      <t xml:space="preserve">採購額（計算服務）</t>
    </r>
  </si>
  <si>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216 </t>
    </r>
    <r>
      <rPr>
        <sz val="10"/>
        <color rgb="FF000000"/>
        <rFont val="Noto Sans CJK SC"/>
        <family val="2"/>
      </rPr>
      <t xml:space="preserve">頁</t>
    </r>
  </si>
  <si>
    <r>
      <rPr>
        <sz val="10"/>
        <color rgb="FF000000"/>
        <rFont val="Noto Sans CJK SC"/>
        <family val="2"/>
      </rPr>
      <t xml:space="preserve">五大供應商表：供應商</t>
    </r>
    <r>
      <rPr>
        <sz val="10"/>
        <color rgb="FF000000"/>
        <rFont val="Arial"/>
        <family val="0"/>
        <charset val="1"/>
      </rPr>
      <t xml:space="preserve">A</t>
    </r>
    <r>
      <rPr>
        <sz val="10"/>
        <color rgb="FF000000"/>
        <rFont val="Noto Sans CJK SC"/>
        <family val="2"/>
      </rPr>
      <t xml:space="preserve">｜採購內容「計算服務」｜合作年數 </t>
    </r>
    <r>
      <rPr>
        <sz val="10"/>
        <color rgb="FF000000"/>
        <rFont val="Arial"/>
        <family val="0"/>
        <charset val="1"/>
      </rPr>
      <t xml:space="preserve">2</t>
    </r>
    <r>
      <rPr>
        <sz val="10"/>
        <color rgb="FF000000"/>
        <rFont val="Noto Sans CJK SC"/>
        <family val="2"/>
      </rPr>
      <t xml:space="preserve">（表頭因字型缺失無法顯示，依欄位推定為業務關係年數）｜信貸期「</t>
    </r>
    <r>
      <rPr>
        <sz val="10"/>
        <color rgb="FF000000"/>
        <rFont val="Arial"/>
        <family val="0"/>
        <charset val="1"/>
      </rPr>
      <t xml:space="preserve">30</t>
    </r>
    <r>
      <rPr>
        <sz val="10"/>
        <color rgb="FF000000"/>
        <rFont val="Noto Sans CJK SC"/>
        <family val="2"/>
      </rPr>
      <t xml:space="preserve">日」｜</t>
    </r>
    <r>
      <rPr>
        <sz val="10"/>
        <color rgb="FF000000"/>
        <rFont val="Arial"/>
        <family val="0"/>
        <charset val="1"/>
      </rPr>
      <t xml:space="preserve">207,921 </t>
    </r>
    <r>
      <rPr>
        <sz val="10"/>
        <color rgb="FF000000"/>
        <rFont val="Noto Sans CJK SC"/>
        <family val="2"/>
      </rPr>
      <t xml:space="preserve">千元｜占採購總額 </t>
    </r>
    <r>
      <rPr>
        <sz val="10"/>
        <color rgb="FF000000"/>
        <rFont val="Arial"/>
        <family val="0"/>
        <charset val="1"/>
      </rPr>
      <t xml:space="preserve">13.4%</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10.0 </t>
    </r>
    <r>
      <rPr>
        <sz val="10"/>
        <color rgb="FF000000"/>
        <rFont val="Noto Sans CJK SC"/>
        <family val="2"/>
      </rPr>
      <t xml:space="preserve">百萬元</t>
    </r>
  </si>
  <si>
    <t xml:space="preserve">SRC_ZP_749</t>
  </si>
  <si>
    <t xml:space="preserve">sup_b_1h25</t>
  </si>
  <si>
    <r>
      <rPr>
        <sz val="10"/>
        <color rgb="FF000000"/>
        <rFont val="Noto Sans CJK SC"/>
        <family val="2"/>
      </rPr>
      <t xml:space="preserve">供應商</t>
    </r>
    <r>
      <rPr>
        <sz val="10"/>
        <color rgb="FF000000"/>
        <rFont val="Arial"/>
        <family val="0"/>
        <charset val="1"/>
      </rPr>
      <t xml:space="preserve">B</t>
    </r>
    <r>
      <rPr>
        <sz val="10"/>
        <color rgb="FF000000"/>
        <rFont val="Noto Sans CJK SC"/>
        <family val="2"/>
      </rPr>
      <t xml:space="preserve">採購額（計算服務）</t>
    </r>
  </si>
  <si>
    <r>
      <rPr>
        <sz val="10"/>
        <color rgb="FF000000"/>
        <rFont val="Noto Sans CJK SC"/>
        <family val="2"/>
      </rPr>
      <t xml:space="preserve">五大供應商表：供應商</t>
    </r>
    <r>
      <rPr>
        <sz val="10"/>
        <color rgb="FF000000"/>
        <rFont val="Arial"/>
        <family val="0"/>
        <charset val="1"/>
      </rPr>
      <t xml:space="preserve">B</t>
    </r>
    <r>
      <rPr>
        <sz val="10"/>
        <color rgb="FF000000"/>
        <rFont val="Noto Sans CJK SC"/>
        <family val="2"/>
      </rPr>
      <t xml:space="preserve">｜採購內容「計算服務」｜合作年數 </t>
    </r>
    <r>
      <rPr>
        <sz val="10"/>
        <color rgb="FF000000"/>
        <rFont val="Arial"/>
        <family val="0"/>
        <charset val="1"/>
      </rPr>
      <t xml:space="preserve">1</t>
    </r>
    <r>
      <rPr>
        <sz val="10"/>
        <color rgb="FF000000"/>
        <rFont val="Noto Sans CJK SC"/>
        <family val="2"/>
      </rPr>
      <t xml:space="preserve">（表頭因字型缺失無法顯示，依欄位推定為業務關係年數）｜信貸期「</t>
    </r>
    <r>
      <rPr>
        <sz val="10"/>
        <color rgb="FF000000"/>
        <rFont val="Arial"/>
        <family val="0"/>
        <charset val="1"/>
      </rPr>
      <t xml:space="preserve">10</t>
    </r>
    <r>
      <rPr>
        <sz val="10"/>
        <color rgb="FF000000"/>
        <rFont val="Noto Sans CJK SC"/>
        <family val="2"/>
      </rPr>
      <t xml:space="preserve">個工作日」｜</t>
    </r>
    <r>
      <rPr>
        <sz val="10"/>
        <color rgb="FF000000"/>
        <rFont val="Arial"/>
        <family val="0"/>
        <charset val="1"/>
      </rPr>
      <t xml:space="preserve">157,052 </t>
    </r>
    <r>
      <rPr>
        <sz val="10"/>
        <color rgb="FF000000"/>
        <rFont val="Noto Sans CJK SC"/>
        <family val="2"/>
      </rPr>
      <t xml:space="preserve">千元｜占採購總額 </t>
    </r>
    <r>
      <rPr>
        <sz val="10"/>
        <color rgb="FF000000"/>
        <rFont val="Arial"/>
        <family val="0"/>
        <charset val="1"/>
      </rPr>
      <t xml:space="preserve">10.1%</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16 </t>
    </r>
    <r>
      <rPr>
        <sz val="10"/>
        <color rgb="FF000000"/>
        <rFont val="Noto Sans CJK SC"/>
        <family val="2"/>
      </rPr>
      <t xml:space="preserve">億元</t>
    </r>
  </si>
  <si>
    <t xml:space="preserve">SRC_ZP_750</t>
  </si>
  <si>
    <t xml:space="preserve">sup_c_1h25</t>
  </si>
  <si>
    <r>
      <rPr>
        <sz val="10"/>
        <color rgb="FF000000"/>
        <rFont val="Noto Sans CJK SC"/>
        <family val="2"/>
      </rPr>
      <t xml:space="preserve">供應商</t>
    </r>
    <r>
      <rPr>
        <sz val="10"/>
        <color rgb="FF000000"/>
        <rFont val="Arial"/>
        <family val="0"/>
        <charset val="1"/>
      </rPr>
      <t xml:space="preserve">C</t>
    </r>
    <r>
      <rPr>
        <sz val="10"/>
        <color rgb="FF000000"/>
        <rFont val="Noto Sans CJK SC"/>
        <family val="2"/>
      </rPr>
      <t xml:space="preserve">採購額（計算服務）</t>
    </r>
  </si>
  <si>
    <r>
      <rPr>
        <sz val="10"/>
        <color rgb="FF000000"/>
        <rFont val="Noto Sans CJK SC"/>
        <family val="2"/>
      </rPr>
      <t xml:space="preserve">五大供應商表：供應商</t>
    </r>
    <r>
      <rPr>
        <sz val="10"/>
        <color rgb="FF000000"/>
        <rFont val="Arial"/>
        <family val="0"/>
        <charset val="1"/>
      </rPr>
      <t xml:space="preserve">C</t>
    </r>
    <r>
      <rPr>
        <sz val="10"/>
        <color rgb="FF000000"/>
        <rFont val="Noto Sans CJK SC"/>
        <family val="2"/>
      </rPr>
      <t xml:space="preserve">｜採購內容「計算服務」｜合作年數 </t>
    </r>
    <r>
      <rPr>
        <sz val="10"/>
        <color rgb="FF000000"/>
        <rFont val="Arial"/>
        <family val="0"/>
        <charset val="1"/>
      </rPr>
      <t xml:space="preserve">1</t>
    </r>
    <r>
      <rPr>
        <sz val="10"/>
        <color rgb="FF000000"/>
        <rFont val="Noto Sans CJK SC"/>
        <family val="2"/>
      </rPr>
      <t xml:space="preserve">（表頭因字型缺失無法顯示，依欄位推定為業務關係年數）｜信貸期「預付款」｜</t>
    </r>
    <r>
      <rPr>
        <sz val="10"/>
        <color rgb="FF000000"/>
        <rFont val="Arial"/>
        <family val="0"/>
        <charset val="1"/>
      </rPr>
      <t xml:space="preserve">152,430 </t>
    </r>
    <r>
      <rPr>
        <sz val="10"/>
        <color rgb="FF000000"/>
        <rFont val="Noto Sans CJK SC"/>
        <family val="2"/>
      </rPr>
      <t xml:space="preserve">千元｜占採購總額 </t>
    </r>
    <r>
      <rPr>
        <sz val="10"/>
        <color rgb="FF000000"/>
        <rFont val="Arial"/>
        <family val="0"/>
        <charset val="1"/>
      </rPr>
      <t xml:space="preserve">9.8%</t>
    </r>
    <r>
      <rPr>
        <sz val="10"/>
        <color rgb="FF000000"/>
        <rFont val="Noto Sans CJK SC"/>
        <family val="2"/>
      </rPr>
      <t xml:space="preserve">；嘉興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721.1 </t>
    </r>
    <r>
      <rPr>
        <sz val="10"/>
        <color rgb="FF000000"/>
        <rFont val="Noto Sans CJK SC"/>
        <family val="2"/>
      </rPr>
      <t xml:space="preserve">百萬元</t>
    </r>
  </si>
  <si>
    <t xml:space="preserve">SRC_ZP_751</t>
  </si>
  <si>
    <t xml:space="preserve">sup_d_1h25</t>
  </si>
  <si>
    <r>
      <rPr>
        <sz val="10"/>
        <color rgb="FF000000"/>
        <rFont val="Noto Sans CJK SC"/>
        <family val="2"/>
      </rPr>
      <t xml:space="preserve">供應商</t>
    </r>
    <r>
      <rPr>
        <sz val="10"/>
        <color rgb="FF000000"/>
        <rFont val="Arial"/>
        <family val="0"/>
        <charset val="1"/>
      </rPr>
      <t xml:space="preserve">D</t>
    </r>
    <r>
      <rPr>
        <sz val="10"/>
        <color rgb="FF000000"/>
        <rFont val="Noto Sans CJK SC"/>
        <family val="2"/>
      </rPr>
      <t xml:space="preserve">採購額（計算服務）</t>
    </r>
  </si>
  <si>
    <r>
      <rPr>
        <sz val="10"/>
        <color rgb="FF000000"/>
        <rFont val="Noto Sans CJK SC"/>
        <family val="2"/>
      </rPr>
      <t xml:space="preserve">五大供應商表：供應商</t>
    </r>
    <r>
      <rPr>
        <sz val="10"/>
        <color rgb="FF000000"/>
        <rFont val="Arial"/>
        <family val="0"/>
        <charset val="1"/>
      </rPr>
      <t xml:space="preserve">D</t>
    </r>
    <r>
      <rPr>
        <sz val="10"/>
        <color rgb="FF000000"/>
        <rFont val="Noto Sans CJK SC"/>
        <family val="2"/>
      </rPr>
      <t xml:space="preserve">｜採購內容「計算服務」｜合作年數 </t>
    </r>
    <r>
      <rPr>
        <sz val="10"/>
        <color rgb="FF000000"/>
        <rFont val="Arial"/>
        <family val="0"/>
        <charset val="1"/>
      </rPr>
      <t xml:space="preserve">4</t>
    </r>
    <r>
      <rPr>
        <sz val="10"/>
        <color rgb="FF000000"/>
        <rFont val="Noto Sans CJK SC"/>
        <family val="2"/>
      </rPr>
      <t xml:space="preserve">（表頭因字型缺失無法顯示，依欄位推定為業務關係年數）｜信貸期「</t>
    </r>
    <r>
      <rPr>
        <sz val="10"/>
        <color rgb="FF000000"/>
        <rFont val="Arial"/>
        <family val="0"/>
        <charset val="1"/>
      </rPr>
      <t xml:space="preserve">5</t>
    </r>
    <r>
      <rPr>
        <sz val="10"/>
        <color rgb="FF000000"/>
        <rFont val="Noto Sans CJK SC"/>
        <family val="2"/>
      </rPr>
      <t xml:space="preserve">至</t>
    </r>
    <r>
      <rPr>
        <sz val="10"/>
        <color rgb="FF000000"/>
        <rFont val="Arial"/>
        <family val="0"/>
        <charset val="1"/>
      </rPr>
      <t xml:space="preserve">15</t>
    </r>
    <r>
      <rPr>
        <sz val="10"/>
        <color rgb="FF000000"/>
        <rFont val="Noto Sans CJK SC"/>
        <family val="2"/>
      </rPr>
      <t xml:space="preserve">個工作日」｜</t>
    </r>
    <r>
      <rPr>
        <sz val="10"/>
        <color rgb="FF000000"/>
        <rFont val="Arial"/>
        <family val="0"/>
        <charset val="1"/>
      </rPr>
      <t xml:space="preserve">139,442 </t>
    </r>
    <r>
      <rPr>
        <sz val="10"/>
        <color rgb="FF000000"/>
        <rFont val="Noto Sans CJK SC"/>
        <family val="2"/>
      </rPr>
      <t xml:space="preserve">千元｜占採購總額 </t>
    </r>
    <r>
      <rPr>
        <sz val="10"/>
        <color rgb="FF000000"/>
        <rFont val="Arial"/>
        <family val="0"/>
        <charset val="1"/>
      </rPr>
      <t xml:space="preserve">9.0%</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58.2 </t>
    </r>
    <r>
      <rPr>
        <sz val="10"/>
        <color rgb="FF000000"/>
        <rFont val="Noto Sans CJK SC"/>
        <family val="2"/>
      </rPr>
      <t xml:space="preserve">百萬元</t>
    </r>
  </si>
  <si>
    <t xml:space="preserve">SRC_ZP_752</t>
  </si>
  <si>
    <t xml:space="preserve">sup_e_1h25</t>
  </si>
  <si>
    <r>
      <rPr>
        <sz val="10"/>
        <color rgb="FF000000"/>
        <rFont val="Noto Sans CJK SC"/>
        <family val="2"/>
      </rPr>
      <t xml:space="preserve">供應商</t>
    </r>
    <r>
      <rPr>
        <sz val="10"/>
        <color rgb="FF000000"/>
        <rFont val="Arial"/>
        <family val="0"/>
        <charset val="1"/>
      </rPr>
      <t xml:space="preserve">E</t>
    </r>
    <r>
      <rPr>
        <sz val="10"/>
        <color rgb="FF000000"/>
        <rFont val="Noto Sans CJK SC"/>
        <family val="2"/>
      </rPr>
      <t xml:space="preserve">採購額（計算服務）</t>
    </r>
  </si>
  <si>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217 </t>
    </r>
    <r>
      <rPr>
        <sz val="10"/>
        <color rgb="FF000000"/>
        <rFont val="Noto Sans CJK SC"/>
        <family val="2"/>
      </rPr>
      <t xml:space="preserve">頁</t>
    </r>
  </si>
  <si>
    <r>
      <rPr>
        <sz val="10"/>
        <color rgb="FF000000"/>
        <rFont val="Noto Sans CJK SC"/>
        <family val="2"/>
      </rPr>
      <t xml:space="preserve">五大供應商表：供應商</t>
    </r>
    <r>
      <rPr>
        <sz val="10"/>
        <color rgb="FF000000"/>
        <rFont val="Arial"/>
        <family val="0"/>
        <charset val="1"/>
      </rPr>
      <t xml:space="preserve">E</t>
    </r>
    <r>
      <rPr>
        <sz val="10"/>
        <color rgb="FF000000"/>
        <rFont val="Noto Sans CJK SC"/>
        <family val="2"/>
      </rPr>
      <t xml:space="preserve">｜採購內容「計算服務」｜合作年數 </t>
    </r>
    <r>
      <rPr>
        <sz val="10"/>
        <color rgb="FF000000"/>
        <rFont val="Arial"/>
        <family val="0"/>
        <charset val="1"/>
      </rPr>
      <t xml:space="preserve">3</t>
    </r>
    <r>
      <rPr>
        <sz val="10"/>
        <color rgb="FF000000"/>
        <rFont val="Noto Sans CJK SC"/>
        <family val="2"/>
      </rPr>
      <t xml:space="preserve">（表頭因字型缺失無法顯示，依欄位推定為業務關係年數）｜信貸期「不適用」｜</t>
    </r>
    <r>
      <rPr>
        <sz val="10"/>
        <color rgb="FF000000"/>
        <rFont val="Arial"/>
        <family val="0"/>
        <charset val="1"/>
      </rPr>
      <t xml:space="preserve">123,474 </t>
    </r>
    <r>
      <rPr>
        <sz val="10"/>
        <color rgb="FF000000"/>
        <rFont val="Noto Sans CJK SC"/>
        <family val="2"/>
      </rPr>
      <t xml:space="preserve">千元｜占採購總額 </t>
    </r>
    <r>
      <rPr>
        <sz val="10"/>
        <color rgb="FF000000"/>
        <rFont val="Arial"/>
        <family val="0"/>
        <charset val="1"/>
      </rPr>
      <t xml:space="preserve">7.9%</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10 </t>
    </r>
    <r>
      <rPr>
        <sz val="10"/>
        <color rgb="FF000000"/>
        <rFont val="Noto Sans CJK SC"/>
        <family val="2"/>
      </rPr>
      <t xml:space="preserve">億元；第 </t>
    </r>
    <r>
      <rPr>
        <sz val="10"/>
        <color rgb="FF000000"/>
        <rFont val="Arial"/>
        <family val="0"/>
        <charset val="1"/>
      </rPr>
      <t xml:space="preserve">218 </t>
    </r>
    <r>
      <rPr>
        <sz val="10"/>
        <color rgb="FF000000"/>
        <rFont val="Noto Sans CJK SC"/>
        <family val="2"/>
      </rPr>
      <t xml:space="preserve">頁稱「雲服務提供商，是中國一家大型互聯網技術公司的附屬公司」；第 </t>
    </r>
    <r>
      <rPr>
        <sz val="10"/>
        <color rgb="FF000000"/>
        <rFont val="Arial"/>
        <family val="0"/>
        <charset val="1"/>
      </rPr>
      <t xml:space="preserve">218 </t>
    </r>
    <r>
      <rPr>
        <sz val="10"/>
        <color rgb="FF000000"/>
        <rFont val="Noto Sans CJK SC"/>
        <family val="2"/>
      </rPr>
      <t xml:space="preserve">頁正文稱 </t>
    </r>
    <r>
      <rPr>
        <sz val="10"/>
        <color rgb="FF000000"/>
        <rFont val="Arial"/>
        <family val="0"/>
        <charset val="1"/>
      </rPr>
      <t xml:space="preserve">1H2025 </t>
    </r>
    <r>
      <rPr>
        <sz val="10"/>
        <color rgb="FF000000"/>
        <rFont val="Noto Sans CJK SC"/>
        <family val="2"/>
      </rPr>
      <t xml:space="preserve">向 </t>
    </r>
    <r>
      <rPr>
        <sz val="10"/>
        <color rgb="FF000000"/>
        <rFont val="Arial"/>
        <family val="0"/>
        <charset val="1"/>
      </rPr>
      <t xml:space="preserve">E </t>
    </r>
    <r>
      <rPr>
        <sz val="10"/>
        <color rgb="FF000000"/>
        <rFont val="Noto Sans CJK SC"/>
        <family val="2"/>
      </rPr>
      <t xml:space="preserve">採購 </t>
    </r>
    <r>
      <rPr>
        <sz val="10"/>
        <color rgb="FF000000"/>
        <rFont val="Arial"/>
        <family val="0"/>
        <charset val="1"/>
      </rPr>
      <t xml:space="preserve">123.5 </t>
    </r>
    <r>
      <rPr>
        <sz val="10"/>
        <color rgb="FF000000"/>
        <rFont val="Noto Sans CJK SC"/>
        <family val="2"/>
      </rPr>
      <t xml:space="preserve">百萬元、占 </t>
    </r>
    <r>
      <rPr>
        <sz val="10"/>
        <color rgb="FF000000"/>
        <rFont val="Arial"/>
        <family val="0"/>
        <charset val="1"/>
      </rPr>
      <t xml:space="preserve">8.2%</t>
    </r>
    <r>
      <rPr>
        <sz val="10"/>
        <color rgb="FF000000"/>
        <rFont val="Noto Sans CJK SC"/>
        <family val="2"/>
      </rPr>
      <t xml:space="preserve">（與表列 </t>
    </r>
    <r>
      <rPr>
        <sz val="10"/>
        <color rgb="FF000000"/>
        <rFont val="Arial"/>
        <family val="0"/>
        <charset val="1"/>
      </rPr>
      <t xml:space="preserve">7.9% </t>
    </r>
    <r>
      <rPr>
        <sz val="10"/>
        <color rgb="FF000000"/>
        <rFont val="Noto Sans CJK SC"/>
        <family val="2"/>
      </rPr>
      <t xml:space="preserve">不一致）</t>
    </r>
  </si>
  <si>
    <t xml:space="preserve">SRC_ZP_753</t>
  </si>
  <si>
    <t xml:space="preserve">sup_e_fy24</t>
  </si>
  <si>
    <r>
      <rPr>
        <sz val="10"/>
        <color rgb="FF000000"/>
        <rFont val="Noto Sans CJK SC"/>
        <family val="2"/>
      </rPr>
      <t xml:space="preserve">五大供應商表：供應商</t>
    </r>
    <r>
      <rPr>
        <sz val="10"/>
        <color rgb="FF000000"/>
        <rFont val="Arial"/>
        <family val="0"/>
        <charset val="1"/>
      </rPr>
      <t xml:space="preserve">E</t>
    </r>
    <r>
      <rPr>
        <sz val="10"/>
        <color rgb="FF000000"/>
        <rFont val="Noto Sans CJK SC"/>
        <family val="2"/>
      </rPr>
      <t xml:space="preserve">｜採購內容「計算服務」｜合作年數 </t>
    </r>
    <r>
      <rPr>
        <sz val="10"/>
        <color rgb="FF000000"/>
        <rFont val="Arial"/>
        <family val="0"/>
        <charset val="1"/>
      </rPr>
      <t xml:space="preserve">3</t>
    </r>
    <r>
      <rPr>
        <sz val="10"/>
        <color rgb="FF000000"/>
        <rFont val="Noto Sans CJK SC"/>
        <family val="2"/>
      </rPr>
      <t xml:space="preserve">（表頭因字型缺失無法顯示，依欄位推定為業務關係年數）｜信貸期「不適用」｜</t>
    </r>
    <r>
      <rPr>
        <sz val="10"/>
        <color rgb="FF000000"/>
        <rFont val="Arial"/>
        <family val="0"/>
        <charset val="1"/>
      </rPr>
      <t xml:space="preserve">394,771 </t>
    </r>
    <r>
      <rPr>
        <sz val="10"/>
        <color rgb="FF000000"/>
        <rFont val="Noto Sans CJK SC"/>
        <family val="2"/>
      </rPr>
      <t xml:space="preserve">千元｜占採購總額 </t>
    </r>
    <r>
      <rPr>
        <sz val="10"/>
        <color rgb="FF000000"/>
        <rFont val="Arial"/>
        <family val="0"/>
        <charset val="1"/>
      </rPr>
      <t xml:space="preserve">15.6%</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10 </t>
    </r>
    <r>
      <rPr>
        <sz val="10"/>
        <color rgb="FF000000"/>
        <rFont val="Noto Sans CJK SC"/>
        <family val="2"/>
      </rPr>
      <t xml:space="preserve">億元；第 </t>
    </r>
    <r>
      <rPr>
        <sz val="10"/>
        <color rgb="FF000000"/>
        <rFont val="Arial"/>
        <family val="0"/>
        <charset val="1"/>
      </rPr>
      <t xml:space="preserve">218 </t>
    </r>
    <r>
      <rPr>
        <sz val="10"/>
        <color rgb="FF000000"/>
        <rFont val="Noto Sans CJK SC"/>
        <family val="2"/>
      </rPr>
      <t xml:space="preserve">頁稱「雲服務提供商，是中國一家大型互聯網技術公司的附屬公司」</t>
    </r>
  </si>
  <si>
    <t xml:space="preserve">SRC_ZP_754</t>
  </si>
  <si>
    <t xml:space="preserve">sup_c_fy24</t>
  </si>
  <si>
    <r>
      <rPr>
        <sz val="10"/>
        <color rgb="FF000000"/>
        <rFont val="Noto Sans CJK SC"/>
        <family val="2"/>
      </rPr>
      <t xml:space="preserve">五大供應商表：供應商</t>
    </r>
    <r>
      <rPr>
        <sz val="10"/>
        <color rgb="FF000000"/>
        <rFont val="Arial"/>
        <family val="0"/>
        <charset val="1"/>
      </rPr>
      <t xml:space="preserve">C</t>
    </r>
    <r>
      <rPr>
        <sz val="10"/>
        <color rgb="FF000000"/>
        <rFont val="Noto Sans CJK SC"/>
        <family val="2"/>
      </rPr>
      <t xml:space="preserve">｜採購內容「計算服務」｜合作年數 </t>
    </r>
    <r>
      <rPr>
        <sz val="10"/>
        <color rgb="FF000000"/>
        <rFont val="Arial"/>
        <family val="0"/>
        <charset val="1"/>
      </rPr>
      <t xml:space="preserve">1</t>
    </r>
    <r>
      <rPr>
        <sz val="10"/>
        <color rgb="FF000000"/>
        <rFont val="Noto Sans CJK SC"/>
        <family val="2"/>
      </rPr>
      <t xml:space="preserve">（表頭因字型缺失無法顯示，依欄位推定為業務關係年數）｜信貸期「預付款」｜</t>
    </r>
    <r>
      <rPr>
        <sz val="10"/>
        <color rgb="FF000000"/>
        <rFont val="Arial"/>
        <family val="0"/>
        <charset val="1"/>
      </rPr>
      <t xml:space="preserve">379,829 </t>
    </r>
    <r>
      <rPr>
        <sz val="10"/>
        <color rgb="FF000000"/>
        <rFont val="Noto Sans CJK SC"/>
        <family val="2"/>
      </rPr>
      <t xml:space="preserve">千元｜占採購總額 </t>
    </r>
    <r>
      <rPr>
        <sz val="10"/>
        <color rgb="FF000000"/>
        <rFont val="Arial"/>
        <family val="0"/>
        <charset val="1"/>
      </rPr>
      <t xml:space="preserve">15.0%</t>
    </r>
    <r>
      <rPr>
        <sz val="10"/>
        <color rgb="FF000000"/>
        <rFont val="Noto Sans CJK SC"/>
        <family val="2"/>
      </rPr>
      <t xml:space="preserve">；嘉興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721.1 </t>
    </r>
    <r>
      <rPr>
        <sz val="10"/>
        <color rgb="FF000000"/>
        <rFont val="Noto Sans CJK SC"/>
        <family val="2"/>
      </rPr>
      <t xml:space="preserve">百萬元</t>
    </r>
  </si>
  <si>
    <t xml:space="preserve">SRC_ZP_755</t>
  </si>
  <si>
    <t xml:space="preserve">sup_f_fy24</t>
  </si>
  <si>
    <r>
      <rPr>
        <sz val="10"/>
        <color rgb="FF000000"/>
        <rFont val="Noto Sans CJK SC"/>
        <family val="2"/>
      </rPr>
      <t xml:space="preserve">供應商</t>
    </r>
    <r>
      <rPr>
        <sz val="10"/>
        <color rgb="FF000000"/>
        <rFont val="Arial"/>
        <family val="0"/>
        <charset val="1"/>
      </rPr>
      <t xml:space="preserve">F</t>
    </r>
    <r>
      <rPr>
        <sz val="10"/>
        <color rgb="FF000000"/>
        <rFont val="Noto Sans CJK SC"/>
        <family val="2"/>
      </rPr>
      <t xml:space="preserve">採購額（計算硬件）</t>
    </r>
  </si>
  <si>
    <r>
      <rPr>
        <sz val="10"/>
        <color rgb="FF000000"/>
        <rFont val="Noto Sans CJK SC"/>
        <family val="2"/>
      </rPr>
      <t xml:space="preserve">五大供應商表：供應商</t>
    </r>
    <r>
      <rPr>
        <sz val="10"/>
        <color rgb="FF000000"/>
        <rFont val="Arial"/>
        <family val="0"/>
        <charset val="1"/>
      </rPr>
      <t xml:space="preserve">F</t>
    </r>
    <r>
      <rPr>
        <sz val="10"/>
        <color rgb="FF000000"/>
        <rFont val="Noto Sans CJK SC"/>
        <family val="2"/>
      </rPr>
      <t xml:space="preserve">｜採購內容「計算硬件」｜合作年數 </t>
    </r>
    <r>
      <rPr>
        <sz val="10"/>
        <color rgb="FF000000"/>
        <rFont val="Arial"/>
        <family val="0"/>
        <charset val="1"/>
      </rPr>
      <t xml:space="preserve">2</t>
    </r>
    <r>
      <rPr>
        <sz val="10"/>
        <color rgb="FF000000"/>
        <rFont val="Noto Sans CJK SC"/>
        <family val="2"/>
      </rPr>
      <t xml:space="preserve">（表頭因字型缺失無法顯示，依欄位推定為業務關係年數）｜信貸期「</t>
    </r>
    <r>
      <rPr>
        <sz val="10"/>
        <color rgb="FF000000"/>
        <rFont val="Arial"/>
        <family val="0"/>
        <charset val="1"/>
      </rPr>
      <t xml:space="preserve">7</t>
    </r>
    <r>
      <rPr>
        <sz val="10"/>
        <color rgb="FF000000"/>
        <rFont val="Noto Sans CJK SC"/>
        <family val="2"/>
      </rPr>
      <t xml:space="preserve">日」｜</t>
    </r>
    <r>
      <rPr>
        <sz val="10"/>
        <color rgb="FF000000"/>
        <rFont val="Arial"/>
        <family val="0"/>
        <charset val="1"/>
      </rPr>
      <t xml:space="preserve">191,150 </t>
    </r>
    <r>
      <rPr>
        <sz val="10"/>
        <color rgb="FF000000"/>
        <rFont val="Noto Sans CJK SC"/>
        <family val="2"/>
      </rPr>
      <t xml:space="preserve">千元｜占採購總額 </t>
    </r>
    <r>
      <rPr>
        <sz val="10"/>
        <color rgb="FF000000"/>
        <rFont val="Arial"/>
        <family val="0"/>
        <charset val="1"/>
      </rPr>
      <t xml:space="preserve">7.6%</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10.0 </t>
    </r>
    <r>
      <rPr>
        <sz val="10"/>
        <color rgb="FF000000"/>
        <rFont val="Noto Sans CJK SC"/>
        <family val="2"/>
      </rPr>
      <t xml:space="preserve">百萬元</t>
    </r>
  </si>
  <si>
    <t xml:space="preserve">SRC_ZP_756</t>
  </si>
  <si>
    <t xml:space="preserve">sup_g_fy24</t>
  </si>
  <si>
    <r>
      <rPr>
        <sz val="10"/>
        <color rgb="FF000000"/>
        <rFont val="Noto Sans CJK SC"/>
        <family val="2"/>
      </rPr>
      <t xml:space="preserve">供應商</t>
    </r>
    <r>
      <rPr>
        <sz val="10"/>
        <color rgb="FF000000"/>
        <rFont val="Arial"/>
        <family val="0"/>
        <charset val="1"/>
      </rPr>
      <t xml:space="preserve">G</t>
    </r>
    <r>
      <rPr>
        <sz val="10"/>
        <color rgb="FF000000"/>
        <rFont val="Noto Sans CJK SC"/>
        <family val="2"/>
      </rPr>
      <t xml:space="preserve">採購額（計算服務）</t>
    </r>
  </si>
  <si>
    <r>
      <rPr>
        <sz val="10"/>
        <color rgb="FF000000"/>
        <rFont val="Noto Sans CJK SC"/>
        <family val="2"/>
      </rPr>
      <t xml:space="preserve">五大供應商表：供應商</t>
    </r>
    <r>
      <rPr>
        <sz val="10"/>
        <color rgb="FF000000"/>
        <rFont val="Arial"/>
        <family val="0"/>
        <charset val="1"/>
      </rPr>
      <t xml:space="preserve">G</t>
    </r>
    <r>
      <rPr>
        <sz val="10"/>
        <color rgb="FF000000"/>
        <rFont val="Noto Sans CJK SC"/>
        <family val="2"/>
      </rPr>
      <t xml:space="preserve">｜採購內容「計算服務」｜合作年數 </t>
    </r>
    <r>
      <rPr>
        <sz val="10"/>
        <color rgb="FF000000"/>
        <rFont val="Arial"/>
        <family val="0"/>
        <charset val="1"/>
      </rPr>
      <t xml:space="preserve">1</t>
    </r>
    <r>
      <rPr>
        <sz val="10"/>
        <color rgb="FF000000"/>
        <rFont val="Noto Sans CJK SC"/>
        <family val="2"/>
      </rPr>
      <t xml:space="preserve">（表頭因字型缺失無法顯示，依欄位推定為業務關係年數）｜信貸期「</t>
    </r>
    <r>
      <rPr>
        <sz val="10"/>
        <color rgb="FF000000"/>
        <rFont val="Arial"/>
        <family val="0"/>
        <charset val="1"/>
      </rPr>
      <t xml:space="preserve">10</t>
    </r>
    <r>
      <rPr>
        <sz val="10"/>
        <color rgb="FF000000"/>
        <rFont val="Noto Sans CJK SC"/>
        <family val="2"/>
      </rPr>
      <t xml:space="preserve">個工作日」｜</t>
    </r>
    <r>
      <rPr>
        <sz val="10"/>
        <color rgb="FF000000"/>
        <rFont val="Arial"/>
        <family val="0"/>
        <charset val="1"/>
      </rPr>
      <t xml:space="preserve">119,834 </t>
    </r>
    <r>
      <rPr>
        <sz val="10"/>
        <color rgb="FF000000"/>
        <rFont val="Noto Sans CJK SC"/>
        <family val="2"/>
      </rPr>
      <t xml:space="preserve">千元｜占採購總額 </t>
    </r>
    <r>
      <rPr>
        <sz val="10"/>
        <color rgb="FF000000"/>
        <rFont val="Arial"/>
        <family val="0"/>
        <charset val="1"/>
      </rPr>
      <t xml:space="preserve">4.7%</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及數據處理服務公司，註冊資本 </t>
    </r>
    <r>
      <rPr>
        <sz val="10"/>
        <color rgb="FF000000"/>
        <rFont val="Arial"/>
        <family val="0"/>
        <charset val="1"/>
      </rPr>
      <t xml:space="preserve">673.5 </t>
    </r>
    <r>
      <rPr>
        <sz val="10"/>
        <color rgb="FF000000"/>
        <rFont val="Noto Sans CJK SC"/>
        <family val="2"/>
      </rPr>
      <t xml:space="preserve">百萬元</t>
    </r>
  </si>
  <si>
    <t xml:space="preserve">SRC_ZP_757</t>
  </si>
  <si>
    <t xml:space="preserve">sup_d_fy24</t>
  </si>
  <si>
    <r>
      <rPr>
        <sz val="10"/>
        <color rgb="FF000000"/>
        <rFont val="Noto Sans CJK SC"/>
        <family val="2"/>
      </rPr>
      <t xml:space="preserve">五大供應商表：供應商</t>
    </r>
    <r>
      <rPr>
        <sz val="10"/>
        <color rgb="FF000000"/>
        <rFont val="Arial"/>
        <family val="0"/>
        <charset val="1"/>
      </rPr>
      <t xml:space="preserve">D</t>
    </r>
    <r>
      <rPr>
        <sz val="10"/>
        <color rgb="FF000000"/>
        <rFont val="Noto Sans CJK SC"/>
        <family val="2"/>
      </rPr>
      <t xml:space="preserve">｜採購內容「計算服務」｜合作年數 </t>
    </r>
    <r>
      <rPr>
        <sz val="10"/>
        <color rgb="FF000000"/>
        <rFont val="Arial"/>
        <family val="0"/>
        <charset val="1"/>
      </rPr>
      <t xml:space="preserve">4</t>
    </r>
    <r>
      <rPr>
        <sz val="10"/>
        <color rgb="FF000000"/>
        <rFont val="Noto Sans CJK SC"/>
        <family val="2"/>
      </rPr>
      <t xml:space="preserve">（表頭因字型缺失無法顯示，依欄位推定為業務關係年數）｜信貸期「</t>
    </r>
    <r>
      <rPr>
        <sz val="10"/>
        <color rgb="FF000000"/>
        <rFont val="Arial"/>
        <family val="0"/>
        <charset val="1"/>
      </rPr>
      <t xml:space="preserve">5</t>
    </r>
    <r>
      <rPr>
        <sz val="10"/>
        <color rgb="FF000000"/>
        <rFont val="Noto Sans CJK SC"/>
        <family val="2"/>
      </rPr>
      <t xml:space="preserve">至</t>
    </r>
    <r>
      <rPr>
        <sz val="10"/>
        <color rgb="FF000000"/>
        <rFont val="Arial"/>
        <family val="0"/>
        <charset val="1"/>
      </rPr>
      <t xml:space="preserve">15</t>
    </r>
    <r>
      <rPr>
        <sz val="10"/>
        <color rgb="FF000000"/>
        <rFont val="Noto Sans CJK SC"/>
        <family val="2"/>
      </rPr>
      <t xml:space="preserve">個工作日」｜</t>
    </r>
    <r>
      <rPr>
        <sz val="10"/>
        <color rgb="FF000000"/>
        <rFont val="Arial"/>
        <family val="0"/>
        <charset val="1"/>
      </rPr>
      <t xml:space="preserve">112,394 </t>
    </r>
    <r>
      <rPr>
        <sz val="10"/>
        <color rgb="FF000000"/>
        <rFont val="Noto Sans CJK SC"/>
        <family val="2"/>
      </rPr>
      <t xml:space="preserve">千元｜占採購總額 </t>
    </r>
    <r>
      <rPr>
        <sz val="10"/>
        <color rgb="FF000000"/>
        <rFont val="Arial"/>
        <family val="0"/>
        <charset val="1"/>
      </rPr>
      <t xml:space="preserve">4.4%</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58.2 </t>
    </r>
    <r>
      <rPr>
        <sz val="10"/>
        <color rgb="FF000000"/>
        <rFont val="Noto Sans CJK SC"/>
        <family val="2"/>
      </rPr>
      <t xml:space="preserve">百萬元</t>
    </r>
  </si>
  <si>
    <t xml:space="preserve">SRC_ZP_758</t>
  </si>
  <si>
    <t xml:space="preserve">sup_e_fy23</t>
  </si>
  <si>
    <r>
      <rPr>
        <sz val="10"/>
        <color rgb="FF000000"/>
        <rFont val="Noto Sans CJK SC"/>
        <family val="2"/>
      </rPr>
      <t xml:space="preserve">五大供應商表：供應商</t>
    </r>
    <r>
      <rPr>
        <sz val="10"/>
        <color rgb="FF000000"/>
        <rFont val="Arial"/>
        <family val="0"/>
        <charset val="1"/>
      </rPr>
      <t xml:space="preserve">E</t>
    </r>
    <r>
      <rPr>
        <sz val="10"/>
        <color rgb="FF000000"/>
        <rFont val="Noto Sans CJK SC"/>
        <family val="2"/>
      </rPr>
      <t xml:space="preserve">｜採購內容「計算服務」｜合作年數 </t>
    </r>
    <r>
      <rPr>
        <sz val="10"/>
        <color rgb="FF000000"/>
        <rFont val="Arial"/>
        <family val="0"/>
        <charset val="1"/>
      </rPr>
      <t xml:space="preserve">3</t>
    </r>
    <r>
      <rPr>
        <sz val="10"/>
        <color rgb="FF000000"/>
        <rFont val="Noto Sans CJK SC"/>
        <family val="2"/>
      </rPr>
      <t xml:space="preserve">（表頭因字型缺失無法顯示，依欄位推定為業務關係年數）｜信貸期「不適用」｜</t>
    </r>
    <r>
      <rPr>
        <sz val="10"/>
        <color rgb="FF000000"/>
        <rFont val="Arial"/>
        <family val="0"/>
        <charset val="1"/>
      </rPr>
      <t xml:space="preserve">158,890 </t>
    </r>
    <r>
      <rPr>
        <sz val="10"/>
        <color rgb="FF000000"/>
        <rFont val="Noto Sans CJK SC"/>
        <family val="2"/>
      </rPr>
      <t xml:space="preserve">千元｜占採購總額 </t>
    </r>
    <r>
      <rPr>
        <sz val="10"/>
        <color rgb="FF000000"/>
        <rFont val="Arial"/>
        <family val="0"/>
        <charset val="1"/>
      </rPr>
      <t xml:space="preserve">16.4%</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10 </t>
    </r>
    <r>
      <rPr>
        <sz val="10"/>
        <color rgb="FF000000"/>
        <rFont val="Noto Sans CJK SC"/>
        <family val="2"/>
      </rPr>
      <t xml:space="preserve">億元；第 </t>
    </r>
    <r>
      <rPr>
        <sz val="10"/>
        <color rgb="FF000000"/>
        <rFont val="Arial"/>
        <family val="0"/>
        <charset val="1"/>
      </rPr>
      <t xml:space="preserve">218 </t>
    </r>
    <r>
      <rPr>
        <sz val="10"/>
        <color rgb="FF000000"/>
        <rFont val="Noto Sans CJK SC"/>
        <family val="2"/>
      </rPr>
      <t xml:space="preserve">頁稱「雲服務提供商，是中國一家大型互聯網技術公司的附屬公司」</t>
    </r>
  </si>
  <si>
    <t xml:space="preserve">SRC_ZP_759</t>
  </si>
  <si>
    <t xml:space="preserve">sup_h_fy23</t>
  </si>
  <si>
    <r>
      <rPr>
        <sz val="10"/>
        <color rgb="FF000000"/>
        <rFont val="Noto Sans CJK SC"/>
        <family val="2"/>
      </rPr>
      <t xml:space="preserve">供應商</t>
    </r>
    <r>
      <rPr>
        <sz val="10"/>
        <color rgb="FF000000"/>
        <rFont val="Arial"/>
        <family val="0"/>
        <charset val="1"/>
      </rPr>
      <t xml:space="preserve">H</t>
    </r>
    <r>
      <rPr>
        <sz val="10"/>
        <color rgb="FF000000"/>
        <rFont val="Noto Sans CJK SC"/>
        <family val="2"/>
      </rPr>
      <t xml:space="preserve">採購額（計算服務及硬件）</t>
    </r>
  </si>
  <si>
    <r>
      <rPr>
        <sz val="10"/>
        <color rgb="FF000000"/>
        <rFont val="Noto Sans CJK SC"/>
        <family val="2"/>
      </rPr>
      <t xml:space="preserve">五大供應商表：供應商</t>
    </r>
    <r>
      <rPr>
        <sz val="10"/>
        <color rgb="FF000000"/>
        <rFont val="Arial"/>
        <family val="0"/>
        <charset val="1"/>
      </rPr>
      <t xml:space="preserve">H</t>
    </r>
    <r>
      <rPr>
        <sz val="10"/>
        <color rgb="FF000000"/>
        <rFont val="Noto Sans CJK SC"/>
        <family val="2"/>
      </rPr>
      <t xml:space="preserve">｜採購內容「計算服務及硬件」｜合作年數 </t>
    </r>
    <r>
      <rPr>
        <sz val="10"/>
        <color rgb="FF000000"/>
        <rFont val="Arial"/>
        <family val="0"/>
        <charset val="1"/>
      </rPr>
      <t xml:space="preserve">2</t>
    </r>
    <r>
      <rPr>
        <sz val="10"/>
        <color rgb="FF000000"/>
        <rFont val="Noto Sans CJK SC"/>
        <family val="2"/>
      </rPr>
      <t xml:space="preserve">（表頭因字型缺失無法顯示，依欄位推定為業務關係年數）｜信貸期「</t>
    </r>
    <r>
      <rPr>
        <sz val="10"/>
        <color rgb="FF000000"/>
        <rFont val="Arial"/>
        <family val="0"/>
        <charset val="1"/>
      </rPr>
      <t xml:space="preserve">2</t>
    </r>
    <r>
      <rPr>
        <sz val="10"/>
        <color rgb="FF000000"/>
        <rFont val="Noto Sans CJK SC"/>
        <family val="2"/>
      </rPr>
      <t xml:space="preserve">至</t>
    </r>
    <r>
      <rPr>
        <sz val="10"/>
        <color rgb="FF000000"/>
        <rFont val="Arial"/>
        <family val="0"/>
        <charset val="1"/>
      </rPr>
      <t xml:space="preserve">5</t>
    </r>
    <r>
      <rPr>
        <sz val="10"/>
        <color rgb="FF000000"/>
        <rFont val="Noto Sans CJK SC"/>
        <family val="2"/>
      </rPr>
      <t xml:space="preserve">日」｜</t>
    </r>
    <r>
      <rPr>
        <sz val="10"/>
        <color rgb="FF000000"/>
        <rFont val="Arial"/>
        <family val="0"/>
        <charset val="1"/>
      </rPr>
      <t xml:space="preserve">124,471 </t>
    </r>
    <r>
      <rPr>
        <sz val="10"/>
        <color rgb="FF000000"/>
        <rFont val="Noto Sans CJK SC"/>
        <family val="2"/>
      </rPr>
      <t xml:space="preserve">千元｜占採購總額 </t>
    </r>
    <r>
      <rPr>
        <sz val="10"/>
        <color rgb="FF000000"/>
        <rFont val="Arial"/>
        <family val="0"/>
        <charset val="1"/>
      </rPr>
      <t xml:space="preserve">12.8%</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服務公司，上交所上市，註冊資本 </t>
    </r>
    <r>
      <rPr>
        <sz val="10"/>
        <color rgb="FF000000"/>
        <rFont val="Arial"/>
        <family val="0"/>
        <charset val="1"/>
      </rPr>
      <t xml:space="preserve">47.8 </t>
    </r>
    <r>
      <rPr>
        <sz val="10"/>
        <color rgb="FF000000"/>
        <rFont val="Noto Sans CJK SC"/>
        <family val="2"/>
      </rPr>
      <t xml:space="preserve">百萬元</t>
    </r>
  </si>
  <si>
    <t xml:space="preserve">SRC_ZP_760</t>
  </si>
  <si>
    <t xml:space="preserve">sup_i_fy23</t>
  </si>
  <si>
    <r>
      <rPr>
        <sz val="10"/>
        <color rgb="FF000000"/>
        <rFont val="Noto Sans CJK SC"/>
        <family val="2"/>
      </rPr>
      <t xml:space="preserve">供應商</t>
    </r>
    <r>
      <rPr>
        <sz val="10"/>
        <color rgb="FF000000"/>
        <rFont val="Arial"/>
        <family val="0"/>
        <charset val="1"/>
      </rPr>
      <t xml:space="preserve">I</t>
    </r>
    <r>
      <rPr>
        <sz val="10"/>
        <color rgb="FF000000"/>
        <rFont val="Noto Sans CJK SC"/>
        <family val="2"/>
      </rPr>
      <t xml:space="preserve">採購額（計算硬件）</t>
    </r>
  </si>
  <si>
    <r>
      <rPr>
        <sz val="10"/>
        <color rgb="FF000000"/>
        <rFont val="Noto Sans CJK SC"/>
        <family val="2"/>
      </rPr>
      <t xml:space="preserve">五大供應商表：供應商</t>
    </r>
    <r>
      <rPr>
        <sz val="10"/>
        <color rgb="FF000000"/>
        <rFont val="Arial"/>
        <family val="0"/>
        <charset val="1"/>
      </rPr>
      <t xml:space="preserve">I</t>
    </r>
    <r>
      <rPr>
        <sz val="10"/>
        <color rgb="FF000000"/>
        <rFont val="Noto Sans CJK SC"/>
        <family val="2"/>
      </rPr>
      <t xml:space="preserve">｜採購內容「計算硬件」｜合作年數 </t>
    </r>
    <r>
      <rPr>
        <sz val="10"/>
        <color rgb="FF000000"/>
        <rFont val="Arial"/>
        <family val="0"/>
        <charset val="1"/>
      </rPr>
      <t xml:space="preserve">2</t>
    </r>
    <r>
      <rPr>
        <sz val="10"/>
        <color rgb="FF000000"/>
        <rFont val="Noto Sans CJK SC"/>
        <family val="2"/>
      </rPr>
      <t xml:space="preserve">（表頭因字型缺失無法顯示，依欄位推定為業務關係年數）｜信貸期「預付款」｜</t>
    </r>
    <r>
      <rPr>
        <sz val="10"/>
        <color rgb="FF000000"/>
        <rFont val="Arial"/>
        <family val="0"/>
        <charset val="1"/>
      </rPr>
      <t xml:space="preserve">95,841 </t>
    </r>
    <r>
      <rPr>
        <sz val="10"/>
        <color rgb="FF000000"/>
        <rFont val="Noto Sans CJK SC"/>
        <family val="2"/>
      </rPr>
      <t xml:space="preserve">千元｜占採購總額 </t>
    </r>
    <r>
      <rPr>
        <sz val="10"/>
        <color rgb="FF000000"/>
        <rFont val="Arial"/>
        <family val="0"/>
        <charset val="1"/>
      </rPr>
      <t xml:space="preserve">9.9%</t>
    </r>
    <r>
      <rPr>
        <sz val="10"/>
        <color rgb="FF000000"/>
        <rFont val="Noto Sans CJK SC"/>
        <family val="2"/>
      </rPr>
      <t xml:space="preserve">；重慶互聯網信息服務公司，註冊資本 </t>
    </r>
    <r>
      <rPr>
        <sz val="10"/>
        <color rgb="FF000000"/>
        <rFont val="Arial"/>
        <family val="0"/>
        <charset val="1"/>
      </rPr>
      <t xml:space="preserve">50.0 </t>
    </r>
    <r>
      <rPr>
        <sz val="10"/>
        <color rgb="FF000000"/>
        <rFont val="Noto Sans CJK SC"/>
        <family val="2"/>
      </rPr>
      <t xml:space="preserve">百萬元</t>
    </r>
  </si>
  <si>
    <t xml:space="preserve">SRC_ZP_761</t>
  </si>
  <si>
    <t xml:space="preserve">sup_j_fy23</t>
  </si>
  <si>
    <r>
      <rPr>
        <sz val="10"/>
        <color rgb="FF000000"/>
        <rFont val="Noto Sans CJK SC"/>
        <family val="2"/>
      </rPr>
      <t xml:space="preserve">供應商</t>
    </r>
    <r>
      <rPr>
        <sz val="10"/>
        <color rgb="FF000000"/>
        <rFont val="Arial"/>
        <family val="0"/>
        <charset val="1"/>
      </rPr>
      <t xml:space="preserve">J</t>
    </r>
    <r>
      <rPr>
        <sz val="10"/>
        <color rgb="FF000000"/>
        <rFont val="Noto Sans CJK SC"/>
        <family val="2"/>
      </rPr>
      <t xml:space="preserve">採購額（計算硬件）</t>
    </r>
  </si>
  <si>
    <r>
      <rPr>
        <sz val="10"/>
        <color rgb="FF000000"/>
        <rFont val="Noto Sans CJK SC"/>
        <family val="2"/>
      </rPr>
      <t xml:space="preserve">五大供應商表：供應商</t>
    </r>
    <r>
      <rPr>
        <sz val="10"/>
        <color rgb="FF000000"/>
        <rFont val="Arial"/>
        <family val="0"/>
        <charset val="1"/>
      </rPr>
      <t xml:space="preserve">J</t>
    </r>
    <r>
      <rPr>
        <sz val="10"/>
        <color rgb="FF000000"/>
        <rFont val="Noto Sans CJK SC"/>
        <family val="2"/>
      </rPr>
      <t xml:space="preserve">｜採購內容「計算硬件」｜合作年數 </t>
    </r>
    <r>
      <rPr>
        <sz val="10"/>
        <color rgb="FF000000"/>
        <rFont val="Arial"/>
        <family val="0"/>
        <charset val="1"/>
      </rPr>
      <t xml:space="preserve">3</t>
    </r>
    <r>
      <rPr>
        <sz val="10"/>
        <color rgb="FF000000"/>
        <rFont val="Noto Sans CJK SC"/>
        <family val="2"/>
      </rPr>
      <t xml:space="preserve">（表頭因字型缺失無法顯示，依欄位推定為業務關係年數）｜信貸期「</t>
    </r>
    <r>
      <rPr>
        <sz val="10"/>
        <color rgb="FF000000"/>
        <rFont val="Arial"/>
        <family val="0"/>
        <charset val="1"/>
      </rPr>
      <t xml:space="preserve">15</t>
    </r>
    <r>
      <rPr>
        <sz val="10"/>
        <color rgb="FF000000"/>
        <rFont val="Noto Sans CJK SC"/>
        <family val="2"/>
      </rPr>
      <t xml:space="preserve">至</t>
    </r>
    <r>
      <rPr>
        <sz val="10"/>
        <color rgb="FF000000"/>
        <rFont val="Arial"/>
        <family val="0"/>
        <charset val="1"/>
      </rPr>
      <t xml:space="preserve">40</t>
    </r>
    <r>
      <rPr>
        <sz val="10"/>
        <color rgb="FF000000"/>
        <rFont val="Noto Sans CJK SC"/>
        <family val="2"/>
      </rPr>
      <t xml:space="preserve">日」｜</t>
    </r>
    <r>
      <rPr>
        <sz val="10"/>
        <color rgb="FF000000"/>
        <rFont val="Arial"/>
        <family val="0"/>
        <charset val="1"/>
      </rPr>
      <t xml:space="preserve">83,869 </t>
    </r>
    <r>
      <rPr>
        <sz val="10"/>
        <color rgb="FF000000"/>
        <rFont val="Noto Sans CJK SC"/>
        <family val="2"/>
      </rPr>
      <t xml:space="preserve">千元｜占採購總額 </t>
    </r>
    <r>
      <rPr>
        <sz val="10"/>
        <color rgb="FF000000"/>
        <rFont val="Arial"/>
        <family val="0"/>
        <charset val="1"/>
      </rPr>
      <t xml:space="preserve">8.6%</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服務公司，上交所上市公司全資附屬，註冊資本 </t>
    </r>
    <r>
      <rPr>
        <sz val="10"/>
        <color rgb="FF000000"/>
        <rFont val="Arial"/>
        <family val="0"/>
        <charset val="1"/>
      </rPr>
      <t xml:space="preserve">700.0 </t>
    </r>
    <r>
      <rPr>
        <sz val="10"/>
        <color rgb="FF000000"/>
        <rFont val="Noto Sans CJK SC"/>
        <family val="2"/>
      </rPr>
      <t xml:space="preserve">百萬元</t>
    </r>
  </si>
  <si>
    <t xml:space="preserve">SRC_ZP_762</t>
  </si>
  <si>
    <t xml:space="preserve">sup_k_fy23</t>
  </si>
  <si>
    <r>
      <rPr>
        <sz val="10"/>
        <color rgb="FF000000"/>
        <rFont val="Noto Sans CJK SC"/>
        <family val="2"/>
      </rPr>
      <t xml:space="preserve">供應商</t>
    </r>
    <r>
      <rPr>
        <sz val="10"/>
        <color rgb="FF000000"/>
        <rFont val="Arial"/>
        <family val="0"/>
        <charset val="1"/>
      </rPr>
      <t xml:space="preserve">K</t>
    </r>
    <r>
      <rPr>
        <sz val="10"/>
        <color rgb="FF000000"/>
        <rFont val="Noto Sans CJK SC"/>
        <family val="2"/>
      </rPr>
      <t xml:space="preserve">採購額（計算硬件）</t>
    </r>
  </si>
  <si>
    <r>
      <rPr>
        <sz val="10"/>
        <color rgb="FF000000"/>
        <rFont val="Noto Sans CJK SC"/>
        <family val="2"/>
      </rPr>
      <t xml:space="preserve">五大供應商表：供應商</t>
    </r>
    <r>
      <rPr>
        <sz val="10"/>
        <color rgb="FF000000"/>
        <rFont val="Arial"/>
        <family val="0"/>
        <charset val="1"/>
      </rPr>
      <t xml:space="preserve">K</t>
    </r>
    <r>
      <rPr>
        <sz val="10"/>
        <color rgb="FF000000"/>
        <rFont val="Noto Sans CJK SC"/>
        <family val="2"/>
      </rPr>
      <t xml:space="preserve">｜採購內容「計算硬件」｜合作年數 </t>
    </r>
    <r>
      <rPr>
        <sz val="10"/>
        <color rgb="FF000000"/>
        <rFont val="Arial"/>
        <family val="0"/>
        <charset val="1"/>
      </rPr>
      <t xml:space="preserve">2</t>
    </r>
    <r>
      <rPr>
        <sz val="10"/>
        <color rgb="FF000000"/>
        <rFont val="Noto Sans CJK SC"/>
        <family val="2"/>
      </rPr>
      <t xml:space="preserve">（表頭因字型缺失無法顯示，依欄位推定為業務關係年數）｜信貸期「預付款」｜</t>
    </r>
    <r>
      <rPr>
        <sz val="10"/>
        <color rgb="FF000000"/>
        <rFont val="Arial"/>
        <family val="0"/>
        <charset val="1"/>
      </rPr>
      <t xml:space="preserve">57,345 </t>
    </r>
    <r>
      <rPr>
        <sz val="10"/>
        <color rgb="FF000000"/>
        <rFont val="Noto Sans CJK SC"/>
        <family val="2"/>
      </rPr>
      <t xml:space="preserve">千元｜占採購總額 </t>
    </r>
    <r>
      <rPr>
        <sz val="10"/>
        <color rgb="FF000000"/>
        <rFont val="Arial"/>
        <family val="0"/>
        <charset val="1"/>
      </rPr>
      <t xml:space="preserve">5.9%</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服務及數據處理公司，註冊資本 </t>
    </r>
    <r>
      <rPr>
        <sz val="10"/>
        <color rgb="FF000000"/>
        <rFont val="Arial"/>
        <family val="0"/>
        <charset val="1"/>
      </rPr>
      <t xml:space="preserve">14.0 </t>
    </r>
    <r>
      <rPr>
        <sz val="10"/>
        <color rgb="FF000000"/>
        <rFont val="Noto Sans CJK SC"/>
        <family val="2"/>
      </rPr>
      <t xml:space="preserve">百萬元</t>
    </r>
  </si>
  <si>
    <t xml:space="preserve">SRC_ZP_763</t>
  </si>
  <si>
    <t xml:space="preserve">sup_j_fy22</t>
  </si>
  <si>
    <r>
      <rPr>
        <sz val="10"/>
        <color rgb="FF000000"/>
        <rFont val="Noto Sans CJK SC"/>
        <family val="2"/>
      </rPr>
      <t xml:space="preserve">五大供應商表：供應商</t>
    </r>
    <r>
      <rPr>
        <sz val="10"/>
        <color rgb="FF000000"/>
        <rFont val="Arial"/>
        <family val="0"/>
        <charset val="1"/>
      </rPr>
      <t xml:space="preserve">J</t>
    </r>
    <r>
      <rPr>
        <sz val="10"/>
        <color rgb="FF000000"/>
        <rFont val="Noto Sans CJK SC"/>
        <family val="2"/>
      </rPr>
      <t xml:space="preserve">｜採購內容「計算硬件」｜合作年數 </t>
    </r>
    <r>
      <rPr>
        <sz val="10"/>
        <color rgb="FF000000"/>
        <rFont val="Arial"/>
        <family val="0"/>
        <charset val="1"/>
      </rPr>
      <t xml:space="preserve">3</t>
    </r>
    <r>
      <rPr>
        <sz val="10"/>
        <color rgb="FF000000"/>
        <rFont val="Noto Sans CJK SC"/>
        <family val="2"/>
      </rPr>
      <t xml:space="preserve">（表頭因字型缺失無法顯示，依欄位推定為業務關係年數）｜信貸期「</t>
    </r>
    <r>
      <rPr>
        <sz val="10"/>
        <color rgb="FF000000"/>
        <rFont val="Arial"/>
        <family val="0"/>
        <charset val="1"/>
      </rPr>
      <t xml:space="preserve">10</t>
    </r>
    <r>
      <rPr>
        <sz val="10"/>
        <color rgb="FF000000"/>
        <rFont val="Noto Sans CJK SC"/>
        <family val="2"/>
      </rPr>
      <t xml:space="preserve">日」｜</t>
    </r>
    <r>
      <rPr>
        <sz val="10"/>
        <color rgb="FF000000"/>
        <rFont val="Arial"/>
        <family val="0"/>
        <charset val="1"/>
      </rPr>
      <t xml:space="preserve">25,204 </t>
    </r>
    <r>
      <rPr>
        <sz val="10"/>
        <color rgb="FF000000"/>
        <rFont val="Noto Sans CJK SC"/>
        <family val="2"/>
      </rPr>
      <t xml:space="preserve">千元｜占採購總額 </t>
    </r>
    <r>
      <rPr>
        <sz val="10"/>
        <color rgb="FF000000"/>
        <rFont val="Arial"/>
        <family val="0"/>
        <charset val="1"/>
      </rPr>
      <t xml:space="preserve">33.1%</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服務公司，上交所上市公司全資附屬，註冊資本 </t>
    </r>
    <r>
      <rPr>
        <sz val="10"/>
        <color rgb="FF000000"/>
        <rFont val="Arial"/>
        <family val="0"/>
        <charset val="1"/>
      </rPr>
      <t xml:space="preserve">700.0 </t>
    </r>
    <r>
      <rPr>
        <sz val="10"/>
        <color rgb="FF000000"/>
        <rFont val="Noto Sans CJK SC"/>
        <family val="2"/>
      </rPr>
      <t xml:space="preserve">百萬元</t>
    </r>
  </si>
  <si>
    <t xml:space="preserve">SRC_ZP_764</t>
  </si>
  <si>
    <t xml:space="preserve">sup_l_fy22</t>
  </si>
  <si>
    <r>
      <rPr>
        <sz val="10"/>
        <color rgb="FF000000"/>
        <rFont val="Noto Sans CJK SC"/>
        <family val="2"/>
      </rPr>
      <t xml:space="preserve">供應商</t>
    </r>
    <r>
      <rPr>
        <sz val="10"/>
        <color rgb="FF000000"/>
        <rFont val="Arial"/>
        <family val="0"/>
        <charset val="1"/>
      </rPr>
      <t xml:space="preserve">L</t>
    </r>
    <r>
      <rPr>
        <sz val="10"/>
        <color rgb="FF000000"/>
        <rFont val="Noto Sans CJK SC"/>
        <family val="2"/>
      </rPr>
      <t xml:space="preserve">採購額（計算服務）</t>
    </r>
  </si>
  <si>
    <r>
      <rPr>
        <sz val="10"/>
        <color rgb="FF000000"/>
        <rFont val="Noto Sans CJK SC"/>
        <family val="2"/>
      </rPr>
      <t xml:space="preserve">五大供應商表：供應商</t>
    </r>
    <r>
      <rPr>
        <sz val="10"/>
        <color rgb="FF000000"/>
        <rFont val="Arial"/>
        <family val="0"/>
        <charset val="1"/>
      </rPr>
      <t xml:space="preserve">L</t>
    </r>
    <r>
      <rPr>
        <sz val="10"/>
        <color rgb="FF000000"/>
        <rFont val="Noto Sans CJK SC"/>
        <family val="2"/>
      </rPr>
      <t xml:space="preserve">｜採購內容「計算服務」｜合作年數 </t>
    </r>
    <r>
      <rPr>
        <sz val="10"/>
        <color rgb="FF000000"/>
        <rFont val="Arial"/>
        <family val="0"/>
        <charset val="1"/>
      </rPr>
      <t xml:space="preserve">3</t>
    </r>
    <r>
      <rPr>
        <sz val="10"/>
        <color rgb="FF000000"/>
        <rFont val="Noto Sans CJK SC"/>
        <family val="2"/>
      </rPr>
      <t xml:space="preserve">（表頭因字型缺失無法顯示，依欄位推定為業務關係年數）｜信貸期「</t>
    </r>
    <r>
      <rPr>
        <sz val="10"/>
        <color rgb="FF000000"/>
        <rFont val="Arial"/>
        <family val="0"/>
        <charset val="1"/>
      </rPr>
      <t xml:space="preserve">5</t>
    </r>
    <r>
      <rPr>
        <sz val="10"/>
        <color rgb="FF000000"/>
        <rFont val="Noto Sans CJK SC"/>
        <family val="2"/>
      </rPr>
      <t xml:space="preserve">日」｜</t>
    </r>
    <r>
      <rPr>
        <sz val="10"/>
        <color rgb="FF000000"/>
        <rFont val="Arial"/>
        <family val="0"/>
        <charset val="1"/>
      </rPr>
      <t xml:space="preserve">5,834 </t>
    </r>
    <r>
      <rPr>
        <sz val="10"/>
        <color rgb="FF000000"/>
        <rFont val="Noto Sans CJK SC"/>
        <family val="2"/>
      </rPr>
      <t xml:space="preserve">千元｜占採購總額 </t>
    </r>
    <r>
      <rPr>
        <sz val="10"/>
        <color rgb="FF000000"/>
        <rFont val="Arial"/>
        <family val="0"/>
        <charset val="1"/>
      </rPr>
      <t xml:space="preserve">7.7%</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服務及數據處理公司（第 </t>
    </r>
    <r>
      <rPr>
        <sz val="10"/>
        <color rgb="FF000000"/>
        <rFont val="Arial"/>
        <family val="0"/>
        <charset val="1"/>
      </rPr>
      <t xml:space="preserve">219 </t>
    </r>
    <r>
      <rPr>
        <sz val="10"/>
        <color rgb="FF000000"/>
        <rFont val="Noto Sans CJK SC"/>
        <family val="2"/>
      </rPr>
      <t xml:space="preserve">頁：超級計算機製造商），註冊資本 </t>
    </r>
    <r>
      <rPr>
        <sz val="10"/>
        <color rgb="FF000000"/>
        <rFont val="Arial"/>
        <family val="0"/>
        <charset val="1"/>
      </rPr>
      <t xml:space="preserve">200.0 </t>
    </r>
    <r>
      <rPr>
        <sz val="10"/>
        <color rgb="FF000000"/>
        <rFont val="Noto Sans CJK SC"/>
        <family val="2"/>
      </rPr>
      <t xml:space="preserve">百萬元</t>
    </r>
  </si>
  <si>
    <t xml:space="preserve">SRC_ZP_765</t>
  </si>
  <si>
    <t xml:space="preserve">sup_d_fy22</t>
  </si>
  <si>
    <r>
      <rPr>
        <sz val="10"/>
        <color rgb="FF000000"/>
        <rFont val="Noto Sans CJK SC"/>
        <family val="2"/>
      </rPr>
      <t xml:space="preserve">五大供應商表：供應商</t>
    </r>
    <r>
      <rPr>
        <sz val="10"/>
        <color rgb="FF000000"/>
        <rFont val="Arial"/>
        <family val="0"/>
        <charset val="1"/>
      </rPr>
      <t xml:space="preserve">D</t>
    </r>
    <r>
      <rPr>
        <sz val="10"/>
        <color rgb="FF000000"/>
        <rFont val="Noto Sans CJK SC"/>
        <family val="2"/>
      </rPr>
      <t xml:space="preserve">｜採購內容「計算服務」｜合作年數 </t>
    </r>
    <r>
      <rPr>
        <sz val="10"/>
        <color rgb="FF000000"/>
        <rFont val="Arial"/>
        <family val="0"/>
        <charset val="1"/>
      </rPr>
      <t xml:space="preserve">4</t>
    </r>
    <r>
      <rPr>
        <sz val="10"/>
        <color rgb="FF000000"/>
        <rFont val="Noto Sans CJK SC"/>
        <family val="2"/>
      </rPr>
      <t xml:space="preserve">（表頭因字型缺失無法顯示，依欄位推定為業務關係年數）｜信貸期「</t>
    </r>
    <r>
      <rPr>
        <sz val="10"/>
        <color rgb="FF000000"/>
        <rFont val="Arial"/>
        <family val="0"/>
        <charset val="1"/>
      </rPr>
      <t xml:space="preserve">5</t>
    </r>
    <r>
      <rPr>
        <sz val="10"/>
        <color rgb="FF000000"/>
        <rFont val="Noto Sans CJK SC"/>
        <family val="2"/>
      </rPr>
      <t xml:space="preserve">日」｜</t>
    </r>
    <r>
      <rPr>
        <sz val="10"/>
        <color rgb="FF000000"/>
        <rFont val="Arial"/>
        <family val="0"/>
        <charset val="1"/>
      </rPr>
      <t xml:space="preserve">5,028 </t>
    </r>
    <r>
      <rPr>
        <sz val="10"/>
        <color rgb="FF000000"/>
        <rFont val="Noto Sans CJK SC"/>
        <family val="2"/>
      </rPr>
      <t xml:space="preserve">千元｜占採購總額 </t>
    </r>
    <r>
      <rPr>
        <sz val="10"/>
        <color rgb="FF000000"/>
        <rFont val="Arial"/>
        <family val="0"/>
        <charset val="1"/>
      </rPr>
      <t xml:space="preserve">6.6%</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58.2 </t>
    </r>
    <r>
      <rPr>
        <sz val="10"/>
        <color rgb="FF000000"/>
        <rFont val="Noto Sans CJK SC"/>
        <family val="2"/>
      </rPr>
      <t xml:space="preserve">百萬元</t>
    </r>
  </si>
  <si>
    <t xml:space="preserve">SRC_ZP_766</t>
  </si>
  <si>
    <t xml:space="preserve">sup_e_fy22</t>
  </si>
  <si>
    <r>
      <rPr>
        <sz val="10"/>
        <color rgb="FF000000"/>
        <rFont val="Noto Sans CJK SC"/>
        <family val="2"/>
      </rPr>
      <t xml:space="preserve">五大供應商表：供應商</t>
    </r>
    <r>
      <rPr>
        <sz val="10"/>
        <color rgb="FF000000"/>
        <rFont val="Arial"/>
        <family val="0"/>
        <charset val="1"/>
      </rPr>
      <t xml:space="preserve">E</t>
    </r>
    <r>
      <rPr>
        <sz val="10"/>
        <color rgb="FF000000"/>
        <rFont val="Noto Sans CJK SC"/>
        <family val="2"/>
      </rPr>
      <t xml:space="preserve">｜採購內容「計算服務」｜合作年數 </t>
    </r>
    <r>
      <rPr>
        <sz val="10"/>
        <color rgb="FF000000"/>
        <rFont val="Arial"/>
        <family val="0"/>
        <charset val="1"/>
      </rPr>
      <t xml:space="preserve">3</t>
    </r>
    <r>
      <rPr>
        <sz val="10"/>
        <color rgb="FF000000"/>
        <rFont val="Noto Sans CJK SC"/>
        <family val="2"/>
      </rPr>
      <t xml:space="preserve">（表頭因字型缺失無法顯示，依欄位推定為業務關係年數）｜信貸期「不適用」｜</t>
    </r>
    <r>
      <rPr>
        <sz val="10"/>
        <color rgb="FF000000"/>
        <rFont val="Arial"/>
        <family val="0"/>
        <charset val="1"/>
      </rPr>
      <t xml:space="preserve">2,804 </t>
    </r>
    <r>
      <rPr>
        <sz val="10"/>
        <color rgb="FF000000"/>
        <rFont val="Noto Sans CJK SC"/>
        <family val="2"/>
      </rPr>
      <t xml:space="preserve">千元｜占採購總額 </t>
    </r>
    <r>
      <rPr>
        <sz val="10"/>
        <color rgb="FF000000"/>
        <rFont val="Arial"/>
        <family val="0"/>
        <charset val="1"/>
      </rPr>
      <t xml:space="preserve">3.7%</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10 </t>
    </r>
    <r>
      <rPr>
        <sz val="10"/>
        <color rgb="FF000000"/>
        <rFont val="Noto Sans CJK SC"/>
        <family val="2"/>
      </rPr>
      <t xml:space="preserve">億元；第 </t>
    </r>
    <r>
      <rPr>
        <sz val="10"/>
        <color rgb="FF000000"/>
        <rFont val="Arial"/>
        <family val="0"/>
        <charset val="1"/>
      </rPr>
      <t xml:space="preserve">218 </t>
    </r>
    <r>
      <rPr>
        <sz val="10"/>
        <color rgb="FF000000"/>
        <rFont val="Noto Sans CJK SC"/>
        <family val="2"/>
      </rPr>
      <t xml:space="preserve">頁稱「雲服務提供商，是中國一家大型互聯網技術公司的附屬公司」</t>
    </r>
  </si>
  <si>
    <t xml:space="preserve">SRC_ZP_767</t>
  </si>
  <si>
    <t xml:space="preserve">sup_m_fy22</t>
  </si>
  <si>
    <r>
      <rPr>
        <sz val="10"/>
        <color rgb="FF000000"/>
        <rFont val="Noto Sans CJK SC"/>
        <family val="2"/>
      </rPr>
      <t xml:space="preserve">供應商</t>
    </r>
    <r>
      <rPr>
        <sz val="10"/>
        <color rgb="FF000000"/>
        <rFont val="Arial"/>
        <family val="0"/>
        <charset val="1"/>
      </rPr>
      <t xml:space="preserve">M</t>
    </r>
    <r>
      <rPr>
        <sz val="10"/>
        <color rgb="FF000000"/>
        <rFont val="Noto Sans CJK SC"/>
        <family val="2"/>
      </rPr>
      <t xml:space="preserve">採購額（計算服務）</t>
    </r>
  </si>
  <si>
    <r>
      <rPr>
        <sz val="10"/>
        <color rgb="FF000000"/>
        <rFont val="Noto Sans CJK SC"/>
        <family val="2"/>
      </rPr>
      <t xml:space="preserve">五大供應商表：供應商</t>
    </r>
    <r>
      <rPr>
        <sz val="10"/>
        <color rgb="FF000000"/>
        <rFont val="Arial"/>
        <family val="0"/>
        <charset val="1"/>
      </rPr>
      <t xml:space="preserve">M</t>
    </r>
    <r>
      <rPr>
        <sz val="10"/>
        <color rgb="FF000000"/>
        <rFont val="Noto Sans CJK SC"/>
        <family val="2"/>
      </rPr>
      <t xml:space="preserve">｜採購內容「計算服務」｜合作年數 </t>
    </r>
    <r>
      <rPr>
        <sz val="10"/>
        <color rgb="FF000000"/>
        <rFont val="Arial"/>
        <family val="0"/>
        <charset val="1"/>
      </rPr>
      <t xml:space="preserve">3</t>
    </r>
    <r>
      <rPr>
        <sz val="10"/>
        <color rgb="FF000000"/>
        <rFont val="Noto Sans CJK SC"/>
        <family val="2"/>
      </rPr>
      <t xml:space="preserve">（表頭因字型缺失無法顯示，依欄位推定為業務關係年數）｜信貸期「預付款」｜</t>
    </r>
    <r>
      <rPr>
        <sz val="10"/>
        <color rgb="FF000000"/>
        <rFont val="Arial"/>
        <family val="0"/>
        <charset val="1"/>
      </rPr>
      <t xml:space="preserve">2,548 </t>
    </r>
    <r>
      <rPr>
        <sz val="10"/>
        <color rgb="FF000000"/>
        <rFont val="Noto Sans CJK SC"/>
        <family val="2"/>
      </rPr>
      <t xml:space="preserve">千元｜占採購總額 </t>
    </r>
    <r>
      <rPr>
        <sz val="10"/>
        <color rgb="FF000000"/>
        <rFont val="Arial"/>
        <family val="0"/>
        <charset val="1"/>
      </rPr>
      <t xml:space="preserve">3.4%</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92.3 </t>
    </r>
    <r>
      <rPr>
        <sz val="10"/>
        <color rgb="FF000000"/>
        <rFont val="Noto Sans CJK SC"/>
        <family val="2"/>
      </rPr>
      <t xml:space="preserve">百萬元</t>
    </r>
  </si>
  <si>
    <t xml:space="preserve">SRC_ZP_768</t>
  </si>
  <si>
    <t xml:space="preserve">sup_top5_amt_1h25</t>
  </si>
  <si>
    <t xml:space="preserve">前五大供應商採購額合計</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</si>
  <si>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216–217 </t>
    </r>
    <r>
      <rPr>
        <sz val="10"/>
        <color rgb="FF000000"/>
        <rFont val="Noto Sans CJK SC"/>
        <family val="2"/>
      </rPr>
      <t xml:space="preserve">頁</t>
    </r>
  </si>
  <si>
    <r>
      <rPr>
        <sz val="10"/>
        <color rgb="FF000000"/>
        <rFont val="Noto Sans CJK SC"/>
        <family val="2"/>
      </rPr>
      <t xml:space="preserve">五大供應商表合計 </t>
    </r>
    <r>
      <rPr>
        <sz val="10"/>
        <color rgb="FF000000"/>
        <rFont val="Arial"/>
        <family val="0"/>
        <charset val="1"/>
      </rPr>
      <t xml:space="preserve">780,319 </t>
    </r>
    <r>
      <rPr>
        <sz val="10"/>
        <color rgb="FF000000"/>
        <rFont val="Noto Sans CJK SC"/>
        <family val="2"/>
      </rPr>
      <t xml:space="preserve">千元、</t>
    </r>
    <r>
      <rPr>
        <sz val="10"/>
        <color rgb="FF000000"/>
        <rFont val="Arial"/>
        <family val="0"/>
        <charset val="1"/>
      </rPr>
      <t xml:space="preserve">50.2%</t>
    </r>
    <r>
      <rPr>
        <sz val="10"/>
        <color rgb="FF000000"/>
        <rFont val="Noto Sans CJK SC"/>
        <family val="2"/>
      </rPr>
      <t xml:space="preserve">；補充 </t>
    </r>
    <r>
      <rPr>
        <sz val="10"/>
        <color rgb="FF000000"/>
        <rFont val="Arial"/>
        <family val="0"/>
        <charset val="1"/>
      </rPr>
      <t xml:space="preserve">SRC_ZP_446</t>
    </r>
    <r>
      <rPr>
        <sz val="10"/>
        <color rgb="FF000000"/>
        <rFont val="Noto Sans CJK SC"/>
        <family val="2"/>
      </rPr>
      <t xml:space="preserve">（占比）之金額</t>
    </r>
  </si>
  <si>
    <t xml:space="preserve">SRC_ZP_769</t>
  </si>
  <si>
    <t xml:space="preserve">purch_total_1h25</t>
  </si>
  <si>
    <r>
      <rPr>
        <sz val="10"/>
        <color rgb="FF000000"/>
        <rFont val="Noto Sans CJK SC"/>
        <family val="2"/>
      </rPr>
      <t xml:space="preserve">採購總額（由前五大金額</t>
    </r>
    <r>
      <rPr>
        <sz val="10"/>
        <color rgb="FF000000"/>
        <rFont val="Arial"/>
        <family val="0"/>
        <charset val="1"/>
      </rPr>
      <t xml:space="preserve">÷</t>
    </r>
    <r>
      <rPr>
        <sz val="10"/>
        <color rgb="FF000000"/>
        <rFont val="Noto Sans CJK SC"/>
        <family val="2"/>
      </rPr>
      <t xml:space="preserve">占比反推）</t>
    </r>
  </si>
  <si>
    <t xml:space="preserve">由招股章程披露推算</t>
  </si>
  <si>
    <r>
      <rPr>
        <sz val="10"/>
        <color rgb="FF000000"/>
        <rFont val="Arial"/>
        <family val="0"/>
        <charset val="1"/>
      </rPr>
      <t xml:space="preserve">Derived</t>
    </r>
    <r>
      <rPr>
        <sz val="10"/>
        <color rgb="FF000000"/>
        <rFont val="Noto Sans CJK SC"/>
        <family val="2"/>
      </rPr>
      <t xml:space="preserve">：</t>
    </r>
    <r>
      <rPr>
        <sz val="10"/>
        <color rgb="FF000000"/>
        <rFont val="Arial"/>
        <family val="0"/>
        <charset val="1"/>
      </rPr>
      <t xml:space="preserve">780,319÷50.2%≈1,554 </t>
    </r>
    <r>
      <rPr>
        <sz val="10"/>
        <color rgb="FF000000"/>
        <rFont val="Noto Sans CJK SC"/>
        <family val="2"/>
      </rPr>
      <t xml:space="preserve">百萬元；四捨五入占比致誤差約 </t>
    </r>
    <r>
      <rPr>
        <sz val="10"/>
        <color rgb="FF000000"/>
        <rFont val="Arial"/>
        <family val="0"/>
        <charset val="1"/>
      </rPr>
      <t xml:space="preserve">±0.1%</t>
    </r>
    <r>
      <rPr>
        <sz val="10"/>
        <color rgb="FF000000"/>
        <rFont val="Noto Sans CJK SC"/>
        <family val="2"/>
      </rPr>
      <t xml:space="preserve">；採購總額含算力服務、算力硬件、廣告等</t>
    </r>
  </si>
  <si>
    <t xml:space="preserve">SRC_ZP_770</t>
  </si>
  <si>
    <t xml:space="preserve">sup_top5_amt_fy24</t>
  </si>
  <si>
    <r>
      <rPr>
        <sz val="10"/>
        <color rgb="FF000000"/>
        <rFont val="Noto Sans CJK SC"/>
        <family val="2"/>
      </rPr>
      <t xml:space="preserve">五大供應商表合計 </t>
    </r>
    <r>
      <rPr>
        <sz val="10"/>
        <color rgb="FF000000"/>
        <rFont val="Arial"/>
        <family val="0"/>
        <charset val="1"/>
      </rPr>
      <t xml:space="preserve">1,197,978 </t>
    </r>
    <r>
      <rPr>
        <sz val="10"/>
        <color rgb="FF000000"/>
        <rFont val="Noto Sans CJK SC"/>
        <family val="2"/>
      </rPr>
      <t xml:space="preserve">千元、</t>
    </r>
    <r>
      <rPr>
        <sz val="10"/>
        <color rgb="FF000000"/>
        <rFont val="Arial"/>
        <family val="0"/>
        <charset val="1"/>
      </rPr>
      <t xml:space="preserve">47.3%</t>
    </r>
    <r>
      <rPr>
        <sz val="10"/>
        <color rgb="FF000000"/>
        <rFont val="Noto Sans CJK SC"/>
        <family val="2"/>
      </rPr>
      <t xml:space="preserve">；補充 </t>
    </r>
    <r>
      <rPr>
        <sz val="10"/>
        <color rgb="FF000000"/>
        <rFont val="Arial"/>
        <family val="0"/>
        <charset val="1"/>
      </rPr>
      <t xml:space="preserve">SRC_ZP_444</t>
    </r>
    <r>
      <rPr>
        <sz val="10"/>
        <color rgb="FF000000"/>
        <rFont val="Noto Sans CJK SC"/>
        <family val="2"/>
      </rPr>
      <t xml:space="preserve">（占比）之金額</t>
    </r>
  </si>
  <si>
    <t xml:space="preserve">SRC_ZP_771</t>
  </si>
  <si>
    <t xml:space="preserve">purch_total_fy24</t>
  </si>
  <si>
    <r>
      <rPr>
        <sz val="10"/>
        <color rgb="FF000000"/>
        <rFont val="Arial"/>
        <family val="0"/>
        <charset val="1"/>
      </rPr>
      <t xml:space="preserve">Derived</t>
    </r>
    <r>
      <rPr>
        <sz val="10"/>
        <color rgb="FF000000"/>
        <rFont val="Noto Sans CJK SC"/>
        <family val="2"/>
      </rPr>
      <t xml:space="preserve">：</t>
    </r>
    <r>
      <rPr>
        <sz val="10"/>
        <color rgb="FF000000"/>
        <rFont val="Arial"/>
        <family val="0"/>
        <charset val="1"/>
      </rPr>
      <t xml:space="preserve">1,197,978÷47.3%≈2,533 </t>
    </r>
    <r>
      <rPr>
        <sz val="10"/>
        <color rgb="FF000000"/>
        <rFont val="Noto Sans CJK SC"/>
        <family val="2"/>
      </rPr>
      <t xml:space="preserve">百萬元；四捨五入占比致誤差約 </t>
    </r>
    <r>
      <rPr>
        <sz val="10"/>
        <color rgb="FF000000"/>
        <rFont val="Arial"/>
        <family val="0"/>
        <charset val="1"/>
      </rPr>
      <t xml:space="preserve">±0.1%</t>
    </r>
    <r>
      <rPr>
        <sz val="10"/>
        <color rgb="FF000000"/>
        <rFont val="Noto Sans CJK SC"/>
        <family val="2"/>
      </rPr>
      <t xml:space="preserve">；採購總額含算力服務、算力硬件、廣告等</t>
    </r>
  </si>
  <si>
    <t xml:space="preserve">SRC_ZP_772</t>
  </si>
  <si>
    <t xml:space="preserve">sup_top5_amt_fy23</t>
  </si>
  <si>
    <r>
      <rPr>
        <sz val="10"/>
        <color rgb="FF000000"/>
        <rFont val="Noto Sans CJK SC"/>
        <family val="2"/>
      </rPr>
      <t xml:space="preserve">五大供應商表合計 </t>
    </r>
    <r>
      <rPr>
        <sz val="10"/>
        <color rgb="FF000000"/>
        <rFont val="Arial"/>
        <family val="0"/>
        <charset val="1"/>
      </rPr>
      <t xml:space="preserve">520,416 </t>
    </r>
    <r>
      <rPr>
        <sz val="10"/>
        <color rgb="FF000000"/>
        <rFont val="Noto Sans CJK SC"/>
        <family val="2"/>
      </rPr>
      <t xml:space="preserve">千元、</t>
    </r>
    <r>
      <rPr>
        <sz val="10"/>
        <color rgb="FF000000"/>
        <rFont val="Arial"/>
        <family val="0"/>
        <charset val="1"/>
      </rPr>
      <t xml:space="preserve">53.6%</t>
    </r>
    <r>
      <rPr>
        <sz val="10"/>
        <color rgb="FF000000"/>
        <rFont val="Noto Sans CJK SC"/>
        <family val="2"/>
      </rPr>
      <t xml:space="preserve">；補充 </t>
    </r>
    <r>
      <rPr>
        <sz val="10"/>
        <color rgb="FF000000"/>
        <rFont val="Arial"/>
        <family val="0"/>
        <charset val="1"/>
      </rPr>
      <t xml:space="preserve">SRC_ZP_442</t>
    </r>
    <r>
      <rPr>
        <sz val="10"/>
        <color rgb="FF000000"/>
        <rFont val="Noto Sans CJK SC"/>
        <family val="2"/>
      </rPr>
      <t xml:space="preserve">（占比）之金額</t>
    </r>
  </si>
  <si>
    <t xml:space="preserve">SRC_ZP_773</t>
  </si>
  <si>
    <t xml:space="preserve">purch_total_fy23</t>
  </si>
  <si>
    <r>
      <rPr>
        <sz val="10"/>
        <color rgb="FF000000"/>
        <rFont val="Arial"/>
        <family val="0"/>
        <charset val="1"/>
      </rPr>
      <t xml:space="preserve">Derived</t>
    </r>
    <r>
      <rPr>
        <sz val="10"/>
        <color rgb="FF000000"/>
        <rFont val="Noto Sans CJK SC"/>
        <family val="2"/>
      </rPr>
      <t xml:space="preserve">：</t>
    </r>
    <r>
      <rPr>
        <sz val="10"/>
        <color rgb="FF000000"/>
        <rFont val="Arial"/>
        <family val="0"/>
        <charset val="1"/>
      </rPr>
      <t xml:space="preserve">520,416÷53.6%≈971 </t>
    </r>
    <r>
      <rPr>
        <sz val="10"/>
        <color rgb="FF000000"/>
        <rFont val="Noto Sans CJK SC"/>
        <family val="2"/>
      </rPr>
      <t xml:space="preserve">百萬元；四捨五入占比致誤差約 </t>
    </r>
    <r>
      <rPr>
        <sz val="10"/>
        <color rgb="FF000000"/>
        <rFont val="Arial"/>
        <family val="0"/>
        <charset val="1"/>
      </rPr>
      <t xml:space="preserve">±0.1%</t>
    </r>
    <r>
      <rPr>
        <sz val="10"/>
        <color rgb="FF000000"/>
        <rFont val="Noto Sans CJK SC"/>
        <family val="2"/>
      </rPr>
      <t xml:space="preserve">；採購總額含算力服務、算力硬件、廣告等</t>
    </r>
  </si>
  <si>
    <t xml:space="preserve">SRC_ZP_774</t>
  </si>
  <si>
    <t xml:space="preserve">sup_top5_amt_fy22</t>
  </si>
  <si>
    <r>
      <rPr>
        <sz val="10"/>
        <color rgb="FF000000"/>
        <rFont val="Noto Sans CJK SC"/>
        <family val="2"/>
      </rPr>
      <t xml:space="preserve">五大供應商表合計 </t>
    </r>
    <r>
      <rPr>
        <sz val="10"/>
        <color rgb="FF000000"/>
        <rFont val="Arial"/>
        <family val="0"/>
        <charset val="1"/>
      </rPr>
      <t xml:space="preserve">41,418 </t>
    </r>
    <r>
      <rPr>
        <sz val="10"/>
        <color rgb="FF000000"/>
        <rFont val="Noto Sans CJK SC"/>
        <family val="2"/>
      </rPr>
      <t xml:space="preserve">千元、</t>
    </r>
    <r>
      <rPr>
        <sz val="10"/>
        <color rgb="FF000000"/>
        <rFont val="Arial"/>
        <family val="0"/>
        <charset val="1"/>
      </rPr>
      <t xml:space="preserve">54.5%</t>
    </r>
    <r>
      <rPr>
        <sz val="10"/>
        <color rgb="FF000000"/>
        <rFont val="Noto Sans CJK SC"/>
        <family val="2"/>
      </rPr>
      <t xml:space="preserve">；補充 </t>
    </r>
    <r>
      <rPr>
        <sz val="10"/>
        <color rgb="FF000000"/>
        <rFont val="Arial"/>
        <family val="0"/>
        <charset val="1"/>
      </rPr>
      <t xml:space="preserve">SRC_ZP_440</t>
    </r>
    <r>
      <rPr>
        <sz val="10"/>
        <color rgb="FF000000"/>
        <rFont val="Noto Sans CJK SC"/>
        <family val="2"/>
      </rPr>
      <t xml:space="preserve">（占比）之金額</t>
    </r>
  </si>
  <si>
    <t xml:space="preserve">SRC_ZP_775</t>
  </si>
  <si>
    <t xml:space="preserve">purch_total_fy22</t>
  </si>
  <si>
    <r>
      <rPr>
        <sz val="10"/>
        <color rgb="FF000000"/>
        <rFont val="Arial"/>
        <family val="0"/>
        <charset val="1"/>
      </rPr>
      <t xml:space="preserve">Derived</t>
    </r>
    <r>
      <rPr>
        <sz val="10"/>
        <color rgb="FF000000"/>
        <rFont val="Noto Sans CJK SC"/>
        <family val="2"/>
      </rPr>
      <t xml:space="preserve">：</t>
    </r>
    <r>
      <rPr>
        <sz val="10"/>
        <color rgb="FF000000"/>
        <rFont val="Arial"/>
        <family val="0"/>
        <charset val="1"/>
      </rPr>
      <t xml:space="preserve">41,418÷54.5%≈76 </t>
    </r>
    <r>
      <rPr>
        <sz val="10"/>
        <color rgb="FF000000"/>
        <rFont val="Noto Sans CJK SC"/>
        <family val="2"/>
      </rPr>
      <t xml:space="preserve">百萬元；四捨五入占比致誤差約 </t>
    </r>
    <r>
      <rPr>
        <sz val="10"/>
        <color rgb="FF000000"/>
        <rFont val="Arial"/>
        <family val="0"/>
        <charset val="1"/>
      </rPr>
      <t xml:space="preserve">±0.1%</t>
    </r>
    <r>
      <rPr>
        <sz val="10"/>
        <color rgb="FF000000"/>
        <rFont val="Noto Sans CJK SC"/>
        <family val="2"/>
      </rPr>
      <t xml:space="preserve">；採購總額含算力服務、算力硬件、廣告等</t>
    </r>
  </si>
  <si>
    <t xml:space="preserve">SRC_ZP_776</t>
  </si>
  <si>
    <t xml:space="preserve">sup_top1_share_1h25_p</t>
  </si>
  <si>
    <r>
      <rPr>
        <sz val="10"/>
        <color rgb="FF000000"/>
        <rFont val="Noto Sans CJK SC"/>
        <family val="2"/>
      </rPr>
      <t xml:space="preserve">原文「我們自最大供應商的採購額分別佔我們採購總額的 </t>
    </r>
    <r>
      <rPr>
        <sz val="10"/>
        <color rgb="FF000000"/>
        <rFont val="Arial"/>
        <family val="0"/>
        <charset val="1"/>
      </rPr>
      <t xml:space="preserve">33.1%</t>
    </r>
    <r>
      <rPr>
        <sz val="10"/>
        <color rgb="FF000000"/>
        <rFont val="Noto Sans CJK SC"/>
        <family val="2"/>
      </rPr>
      <t xml:space="preserve">、</t>
    </r>
    <r>
      <rPr>
        <sz val="10"/>
        <color rgb="FF000000"/>
        <rFont val="Arial"/>
        <family val="0"/>
        <charset val="1"/>
      </rPr>
      <t xml:space="preserve">16.4%</t>
    </r>
    <r>
      <rPr>
        <sz val="10"/>
        <color rgb="FF000000"/>
        <rFont val="Noto Sans CJK SC"/>
        <family val="2"/>
      </rPr>
      <t xml:space="preserve">、</t>
    </r>
    <r>
      <rPr>
        <sz val="10"/>
        <color rgb="FF000000"/>
        <rFont val="Arial"/>
        <family val="0"/>
        <charset val="1"/>
      </rPr>
      <t xml:space="preserve">15.6%</t>
    </r>
    <r>
      <rPr>
        <sz val="10"/>
        <color rgb="FF000000"/>
        <rFont val="Noto Sans CJK SC"/>
        <family val="2"/>
      </rPr>
      <t xml:space="preserve">及 </t>
    </r>
    <r>
      <rPr>
        <sz val="10"/>
        <color rgb="FF000000"/>
        <rFont val="Arial"/>
        <family val="0"/>
        <charset val="1"/>
      </rPr>
      <t xml:space="preserve">13.4%</t>
    </r>
    <r>
      <rPr>
        <sz val="10"/>
        <color rgb="FF000000"/>
        <rFont val="Noto Sans CJK SC"/>
        <family val="2"/>
      </rPr>
      <t xml:space="preserve">」；頁碼補正，值相同</t>
    </r>
  </si>
  <si>
    <t xml:space="preserve">SRC_ZP_777</t>
  </si>
  <si>
    <t xml:space="preserve">sup_top1_share_fy24_p</t>
  </si>
  <si>
    <t xml:space="preserve">SRC_ZP_778</t>
  </si>
  <si>
    <t xml:space="preserve">sup_top1_share_fy23_p</t>
  </si>
  <si>
    <t xml:space="preserve">SRC_ZP_779</t>
  </si>
  <si>
    <t xml:space="preserve">sup_top1_share_fy22_p</t>
  </si>
  <si>
    <t xml:space="preserve">SRC_ZP_780</t>
  </si>
  <si>
    <t xml:space="preserve">sup_framework_terms</t>
  </si>
  <si>
    <t xml:space="preserve">計算資源供應商（雲服務）框架協議條款</t>
  </si>
  <si>
    <r>
      <rPr>
        <sz val="10"/>
        <color rgb="FF000000"/>
        <rFont val="Noto Sans CJK SC"/>
        <family val="2"/>
      </rPr>
      <t xml:space="preserve">原文（第 </t>
    </r>
    <r>
      <rPr>
        <sz val="10"/>
        <color rgb="FF000000"/>
        <rFont val="Arial"/>
        <family val="0"/>
        <charset val="1"/>
      </rPr>
      <t xml:space="preserve">216 </t>
    </r>
    <r>
      <rPr>
        <sz val="10"/>
        <color rgb="FF000000"/>
        <rFont val="Noto Sans CJK SC"/>
        <family val="2"/>
      </rPr>
      <t xml:space="preserve">頁＝印 </t>
    </r>
    <r>
      <rPr>
        <sz val="10"/>
        <color rgb="FF000000"/>
        <rFont val="Arial"/>
        <family val="0"/>
        <charset val="1"/>
      </rPr>
      <t xml:space="preserve">207</t>
    </r>
    <r>
      <rPr>
        <sz val="10"/>
        <color rgb="FF000000"/>
        <rFont val="Noto Sans CJK SC"/>
        <family val="2"/>
      </rPr>
      <t xml:space="preserve">）：服務範圍「雲計算服務，以及必要的計算基礎設施及技術支持服務」；期限「通常介乎一至四年，經雙方同意可續期」；付款期「根據協議的履約進度分期結算付款。一般而言，我們可獲授最多 </t>
    </r>
    <r>
      <rPr>
        <sz val="10"/>
        <color rgb="FF000000"/>
        <rFont val="Arial"/>
        <family val="0"/>
        <charset val="1"/>
      </rPr>
      <t xml:space="preserve">40 </t>
    </r>
    <r>
      <rPr>
        <sz val="10"/>
        <color rgb="FF000000"/>
        <rFont val="Noto Sans CJK SC"/>
        <family val="2"/>
      </rPr>
      <t xml:space="preserve">日的信貸期」；終止須書面同意或嚴重違約</t>
    </r>
  </si>
  <si>
    <t xml:space="preserve">SRC_ZP_781</t>
  </si>
  <si>
    <t xml:space="preserve">sup_credit_max_days</t>
  </si>
  <si>
    <t xml:space="preserve">算力供應商信貸期上限</t>
  </si>
  <si>
    <t xml:space="preserve">日</t>
  </si>
  <si>
    <r>
      <rPr>
        <sz val="10"/>
        <color rgb="FF000000"/>
        <rFont val="Noto Sans CJK SC"/>
        <family val="2"/>
      </rPr>
      <t xml:space="preserve">原文「一般而言，我們可獲授最多 </t>
    </r>
    <r>
      <rPr>
        <sz val="10"/>
        <color rgb="FF000000"/>
        <rFont val="Arial"/>
        <family val="0"/>
        <charset val="1"/>
      </rPr>
      <t xml:space="preserve">40 </t>
    </r>
    <r>
      <rPr>
        <sz val="10"/>
        <color rgb="FF000000"/>
        <rFont val="Noto Sans CJK SC"/>
        <family val="2"/>
      </rPr>
      <t xml:space="preserve">日的信貸期」</t>
    </r>
  </si>
  <si>
    <t xml:space="preserve">SRC_ZP_782</t>
  </si>
  <si>
    <t xml:space="preserve">sup_prepay_c</t>
  </si>
  <si>
    <r>
      <rPr>
        <sz val="10"/>
        <color rgb="FF000000"/>
        <rFont val="Noto Sans CJK SC"/>
        <family val="2"/>
      </rPr>
      <t xml:space="preserve">預付款條件之供應商（</t>
    </r>
    <r>
      <rPr>
        <sz val="10"/>
        <color rgb="FF000000"/>
        <rFont val="Arial"/>
        <family val="0"/>
        <charset val="1"/>
      </rPr>
      <t xml:space="preserve">C</t>
    </r>
    <r>
      <rPr>
        <sz val="10"/>
        <color rgb="FF000000"/>
        <rFont val="Noto Sans CJK SC"/>
        <family val="2"/>
      </rPr>
      <t xml:space="preserve">：嘉興 </t>
    </r>
    <r>
      <rPr>
        <sz val="10"/>
        <color rgb="FF000000"/>
        <rFont val="Arial"/>
        <family val="0"/>
        <charset val="1"/>
      </rPr>
      <t xml:space="preserve">IT </t>
    </r>
    <r>
      <rPr>
        <sz val="10"/>
        <color rgb="FF000000"/>
        <rFont val="Noto Sans CJK SC"/>
        <family val="2"/>
      </rPr>
      <t xml:space="preserve">服務公司，計算服務）</t>
    </r>
  </si>
  <si>
    <r>
      <rPr>
        <sz val="10"/>
        <color rgb="FF000000"/>
        <rFont val="Arial"/>
        <family val="0"/>
        <charset val="1"/>
      </rPr>
      <t xml:space="preserve">FY2024 </t>
    </r>
    <r>
      <rPr>
        <sz val="10"/>
        <color rgb="FF000000"/>
        <rFont val="Noto Sans CJK SC"/>
        <family val="2"/>
      </rPr>
      <t xml:space="preserve">第二大供應商 </t>
    </r>
    <r>
      <rPr>
        <sz val="10"/>
        <color rgb="FF000000"/>
        <rFont val="Arial"/>
        <family val="0"/>
        <charset val="1"/>
      </rPr>
      <t xml:space="preserve">C </t>
    </r>
    <r>
      <rPr>
        <sz val="10"/>
        <color rgb="FF000000"/>
        <rFont val="Noto Sans CJK SC"/>
        <family val="2"/>
      </rPr>
      <t xml:space="preserve">信貸期欄為「預付款」，採購 </t>
    </r>
    <r>
      <rPr>
        <sz val="10"/>
        <color rgb="FF000000"/>
        <rFont val="Arial"/>
        <family val="0"/>
        <charset val="1"/>
      </rPr>
      <t xml:space="preserve">379,829 </t>
    </r>
    <r>
      <rPr>
        <sz val="10"/>
        <color rgb="FF000000"/>
        <rFont val="Noto Sans CJK SC"/>
        <family val="2"/>
      </rPr>
      <t xml:space="preserve">千元（</t>
    </r>
    <r>
      <rPr>
        <sz val="10"/>
        <color rgb="FF000000"/>
        <rFont val="Arial"/>
        <family val="0"/>
        <charset val="1"/>
      </rPr>
      <t xml:space="preserve">15.0%</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仍為「預付款」</t>
    </r>
    <r>
      <rPr>
        <sz val="10"/>
        <color rgb="FF000000"/>
        <rFont val="Arial"/>
        <family val="0"/>
        <charset val="1"/>
      </rPr>
      <t xml:space="preserve">152,430 </t>
    </r>
    <r>
      <rPr>
        <sz val="10"/>
        <color rgb="FF000000"/>
        <rFont val="Noto Sans CJK SC"/>
        <family val="2"/>
      </rPr>
      <t xml:space="preserve">千元（</t>
    </r>
    <r>
      <rPr>
        <sz val="10"/>
        <color rgb="FF000000"/>
        <rFont val="Arial"/>
        <family val="0"/>
        <charset val="1"/>
      </rPr>
      <t xml:space="preserve">9.8%</t>
    </r>
    <r>
      <rPr>
        <sz val="10"/>
        <color rgb="FF000000"/>
        <rFont val="Noto Sans CJK SC"/>
        <family val="2"/>
      </rPr>
      <t xml:space="preserve">）；合作年數 </t>
    </r>
    <r>
      <rPr>
        <sz val="10"/>
        <color rgb="FF000000"/>
        <rFont val="Arial"/>
        <family val="0"/>
        <charset val="1"/>
      </rPr>
      <t xml:space="preserve">1</t>
    </r>
    <r>
      <rPr>
        <sz val="10"/>
        <color rgb="FF000000"/>
        <rFont val="Noto Sans CJK SC"/>
        <family val="2"/>
      </rPr>
      <t xml:space="preserve">；其他預付款供應商：</t>
    </r>
    <r>
      <rPr>
        <sz val="10"/>
        <color rgb="FF000000"/>
        <rFont val="Arial"/>
        <family val="0"/>
        <charset val="1"/>
      </rPr>
      <t xml:space="preserve">FY2023 I</t>
    </r>
    <r>
      <rPr>
        <sz val="10"/>
        <color rgb="FF000000"/>
        <rFont val="Noto Sans CJK SC"/>
        <family val="2"/>
      </rPr>
      <t xml:space="preserve">（計算硬件 </t>
    </r>
    <r>
      <rPr>
        <sz val="10"/>
        <color rgb="FF000000"/>
        <rFont val="Arial"/>
        <family val="0"/>
        <charset val="1"/>
      </rPr>
      <t xml:space="preserve">95,841</t>
    </r>
    <r>
      <rPr>
        <sz val="10"/>
        <color rgb="FF000000"/>
        <rFont val="Noto Sans CJK SC"/>
        <family val="2"/>
      </rPr>
      <t xml:space="preserve">）、</t>
    </r>
    <r>
      <rPr>
        <sz val="10"/>
        <color rgb="FF000000"/>
        <rFont val="Arial"/>
        <family val="0"/>
        <charset val="1"/>
      </rPr>
      <t xml:space="preserve">K</t>
    </r>
    <r>
      <rPr>
        <sz val="10"/>
        <color rgb="FF000000"/>
        <rFont val="Noto Sans CJK SC"/>
        <family val="2"/>
      </rPr>
      <t xml:space="preserve">（計算硬件 </t>
    </r>
    <r>
      <rPr>
        <sz val="10"/>
        <color rgb="FF000000"/>
        <rFont val="Arial"/>
        <family val="0"/>
        <charset val="1"/>
      </rPr>
      <t xml:space="preserve">57,345</t>
    </r>
    <r>
      <rPr>
        <sz val="10"/>
        <color rgb="FF000000"/>
        <rFont val="Noto Sans CJK SC"/>
        <family val="2"/>
      </rPr>
      <t xml:space="preserve">），</t>
    </r>
    <r>
      <rPr>
        <sz val="10"/>
        <color rgb="FF000000"/>
        <rFont val="Arial"/>
        <family val="0"/>
        <charset val="1"/>
      </rPr>
      <t xml:space="preserve">FY2022 M</t>
    </r>
    <r>
      <rPr>
        <sz val="10"/>
        <color rgb="FF000000"/>
        <rFont val="Noto Sans CJK SC"/>
        <family val="2"/>
      </rPr>
      <t xml:space="preserve">（計算服務 </t>
    </r>
    <r>
      <rPr>
        <sz val="10"/>
        <color rgb="FF000000"/>
        <rFont val="Arial"/>
        <family val="0"/>
        <charset val="1"/>
      </rPr>
      <t xml:space="preserve">2,548</t>
    </r>
    <r>
      <rPr>
        <sz val="10"/>
        <color rgb="FF000000"/>
        <rFont val="Noto Sans CJK SC"/>
        <family val="2"/>
      </rPr>
      <t xml:space="preserve">）</t>
    </r>
  </si>
  <si>
    <t xml:space="preserve">SRC_ZP_783</t>
  </si>
  <si>
    <t xml:space="preserve">sup_e_profile</t>
  </si>
  <si>
    <r>
      <rPr>
        <sz val="10"/>
        <color rgb="FF000000"/>
        <rFont val="Noto Sans CJK SC"/>
        <family val="2"/>
      </rPr>
      <t xml:space="preserve">最大算力雲供應商 </t>
    </r>
    <r>
      <rPr>
        <sz val="10"/>
        <color rgb="FF000000"/>
        <rFont val="Arial"/>
        <family val="0"/>
        <charset val="1"/>
      </rPr>
      <t xml:space="preserve">E </t>
    </r>
    <r>
      <rPr>
        <sz val="10"/>
        <color rgb="FF000000"/>
        <rFont val="Noto Sans CJK SC"/>
        <family val="2"/>
      </rPr>
      <t xml:space="preserve">之採購時序</t>
    </r>
  </si>
  <si>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218 </t>
    </r>
    <r>
      <rPr>
        <sz val="10"/>
        <color rgb="FF000000"/>
        <rFont val="Noto Sans CJK SC"/>
        <family val="2"/>
      </rPr>
      <t xml:space="preserve">頁</t>
    </r>
  </si>
  <si>
    <r>
      <rPr>
        <sz val="10"/>
        <color rgb="FF000000"/>
        <rFont val="Noto Sans CJK SC"/>
        <family val="2"/>
      </rPr>
      <t xml:space="preserve">經審計（會計師報告，畢馬威 </t>
    </r>
    <r>
      <rPr>
        <sz val="10"/>
        <color rgb="FF000000"/>
        <rFont val="Arial"/>
        <family val="0"/>
        <charset val="1"/>
      </rPr>
      <t xml:space="preserve">2025-12-30</t>
    </r>
    <r>
      <rPr>
        <sz val="10"/>
        <color rgb="FF000000"/>
        <rFont val="Noto Sans CJK SC"/>
        <family val="2"/>
      </rPr>
      <t xml:space="preserve">）</t>
    </r>
  </si>
  <si>
    <r>
      <rPr>
        <sz val="10"/>
        <color rgb="FF000000"/>
        <rFont val="Noto Sans CJK SC"/>
        <family val="2"/>
      </rPr>
      <t xml:space="preserve">原文「供應商</t>
    </r>
    <r>
      <rPr>
        <sz val="10"/>
        <color rgb="FF000000"/>
        <rFont val="Arial"/>
        <family val="0"/>
        <charset val="1"/>
      </rPr>
      <t xml:space="preserve">E</t>
    </r>
    <r>
      <rPr>
        <sz val="10"/>
        <color rgb="FF000000"/>
        <rFont val="Noto Sans CJK SC"/>
        <family val="2"/>
      </rPr>
      <t xml:space="preserve">是我們於 </t>
    </r>
    <r>
      <rPr>
        <sz val="10"/>
        <color rgb="FF000000"/>
        <rFont val="Arial"/>
        <family val="0"/>
        <charset val="1"/>
      </rPr>
      <t xml:space="preserve">2023 </t>
    </r>
    <r>
      <rPr>
        <sz val="10"/>
        <color rgb="FF000000"/>
        <rFont val="Noto Sans CJK SC"/>
        <family val="2"/>
      </rPr>
      <t xml:space="preserve">年及 </t>
    </r>
    <r>
      <rPr>
        <sz val="10"/>
        <color rgb="FF000000"/>
        <rFont val="Arial"/>
        <family val="0"/>
        <charset val="1"/>
      </rPr>
      <t xml:space="preserve">2024 </t>
    </r>
    <r>
      <rPr>
        <sz val="10"/>
        <color rgb="FF000000"/>
        <rFont val="Noto Sans CJK SC"/>
        <family val="2"/>
      </rPr>
      <t xml:space="preserve">年的最大供應商…雲服務提供商，是中國一家大型互聯網技術公司的附屬公司…向供應商</t>
    </r>
    <r>
      <rPr>
        <sz val="10"/>
        <color rgb="FF000000"/>
        <rFont val="Arial"/>
        <family val="0"/>
        <charset val="1"/>
      </rPr>
      <t xml:space="preserve">E</t>
    </r>
    <r>
      <rPr>
        <sz val="10"/>
        <color rgb="FF000000"/>
        <rFont val="Noto Sans CJK SC"/>
        <family val="2"/>
      </rPr>
      <t xml:space="preserve">的採購額分別為人民幣 </t>
    </r>
    <r>
      <rPr>
        <sz val="10"/>
        <color rgb="FF000000"/>
        <rFont val="Arial"/>
        <family val="0"/>
        <charset val="1"/>
      </rPr>
      <t xml:space="preserve">2.8</t>
    </r>
    <r>
      <rPr>
        <sz val="10"/>
        <color rgb="FF000000"/>
        <rFont val="Noto Sans CJK SC"/>
        <family val="2"/>
      </rPr>
      <t xml:space="preserve">、</t>
    </r>
    <r>
      <rPr>
        <sz val="10"/>
        <color rgb="FF000000"/>
        <rFont val="Arial"/>
        <family val="0"/>
        <charset val="1"/>
      </rPr>
      <t xml:space="preserve">158.9</t>
    </r>
    <r>
      <rPr>
        <sz val="10"/>
        <color rgb="FF000000"/>
        <rFont val="Noto Sans CJK SC"/>
        <family val="2"/>
      </rPr>
      <t xml:space="preserve">、</t>
    </r>
    <r>
      <rPr>
        <sz val="10"/>
        <color rgb="FF000000"/>
        <rFont val="Arial"/>
        <family val="0"/>
        <charset val="1"/>
      </rPr>
      <t xml:space="preserve">394.8 </t>
    </r>
    <r>
      <rPr>
        <sz val="10"/>
        <color rgb="FF000000"/>
        <rFont val="Noto Sans CJK SC"/>
        <family val="2"/>
      </rPr>
      <t xml:space="preserve">百萬元及 </t>
    </r>
    <r>
      <rPr>
        <sz val="10"/>
        <color rgb="FF000000"/>
        <rFont val="Arial"/>
        <family val="0"/>
        <charset val="1"/>
      </rPr>
      <t xml:space="preserve">123.5 </t>
    </r>
    <r>
      <rPr>
        <sz val="10"/>
        <color rgb="FF000000"/>
        <rFont val="Noto Sans CJK SC"/>
        <family val="2"/>
      </rPr>
      <t xml:space="preserve">百萬元，分別佔 </t>
    </r>
    <r>
      <rPr>
        <sz val="10"/>
        <color rgb="FF000000"/>
        <rFont val="Arial"/>
        <family val="0"/>
        <charset val="1"/>
      </rPr>
      <t xml:space="preserve">3.7%</t>
    </r>
    <r>
      <rPr>
        <sz val="10"/>
        <color rgb="FF000000"/>
        <rFont val="Noto Sans CJK SC"/>
        <family val="2"/>
      </rPr>
      <t xml:space="preserve">、</t>
    </r>
    <r>
      <rPr>
        <sz val="10"/>
        <color rgb="FF000000"/>
        <rFont val="Arial"/>
        <family val="0"/>
        <charset val="1"/>
      </rPr>
      <t xml:space="preserve">16.4%</t>
    </r>
    <r>
      <rPr>
        <sz val="10"/>
        <color rgb="FF000000"/>
        <rFont val="Noto Sans CJK SC"/>
        <family val="2"/>
      </rPr>
      <t xml:space="preserve">、</t>
    </r>
    <r>
      <rPr>
        <sz val="10"/>
        <color rgb="FF000000"/>
        <rFont val="Arial"/>
        <family val="0"/>
        <charset val="1"/>
      </rPr>
      <t xml:space="preserve">15.6%</t>
    </r>
    <r>
      <rPr>
        <sz val="10"/>
        <color rgb="FF000000"/>
        <rFont val="Noto Sans CJK SC"/>
        <family val="2"/>
      </rPr>
      <t xml:space="preserve">及 </t>
    </r>
    <r>
      <rPr>
        <sz val="10"/>
        <color rgb="FF000000"/>
        <rFont val="Arial"/>
        <family val="0"/>
        <charset val="1"/>
      </rPr>
      <t xml:space="preserve">8.2%</t>
    </r>
    <r>
      <rPr>
        <sz val="10"/>
        <color rgb="FF000000"/>
        <rFont val="Noto Sans CJK SC"/>
        <family val="2"/>
      </rPr>
      <t xml:space="preserve">」；亦為客戶（</t>
    </r>
    <r>
      <rPr>
        <sz val="10"/>
        <color rgb="FF000000"/>
        <rFont val="Arial"/>
        <family val="0"/>
        <charset val="1"/>
      </rPr>
      <t xml:space="preserve">FY24 </t>
    </r>
    <r>
      <rPr>
        <sz val="10"/>
        <color rgb="FF000000"/>
        <rFont val="Noto Sans CJK SC"/>
        <family val="2"/>
      </rPr>
      <t xml:space="preserve">銷售 </t>
    </r>
    <r>
      <rPr>
        <sz val="10"/>
        <color rgb="FF000000"/>
        <rFont val="Arial"/>
        <family val="0"/>
        <charset val="1"/>
      </rPr>
      <t xml:space="preserve">2.4</t>
    </r>
    <r>
      <rPr>
        <sz val="10"/>
        <color rgb="FF000000"/>
        <rFont val="Noto Sans CJK SC"/>
        <family val="2"/>
      </rPr>
      <t xml:space="preserve">、</t>
    </r>
    <r>
      <rPr>
        <sz val="10"/>
        <color rgb="FF000000"/>
        <rFont val="Arial"/>
        <family val="0"/>
        <charset val="1"/>
      </rPr>
      <t xml:space="preserve">1H25 4.7 </t>
    </r>
    <r>
      <rPr>
        <sz val="10"/>
        <color rgb="FF000000"/>
        <rFont val="Noto Sans CJK SC"/>
        <family val="2"/>
      </rPr>
      <t xml:space="preserve">百萬元，原文誤植為「供應商</t>
    </r>
    <r>
      <rPr>
        <sz val="10"/>
        <color rgb="FF000000"/>
        <rFont val="Arial"/>
        <family val="0"/>
        <charset val="1"/>
      </rPr>
      <t xml:space="preserve">A</t>
    </r>
    <r>
      <rPr>
        <sz val="10"/>
        <color rgb="FF000000"/>
        <rFont val="Noto Sans CJK SC"/>
        <family val="2"/>
      </rPr>
      <t xml:space="preserve">」）</t>
    </r>
  </si>
  <si>
    <t xml:space="preserve">SRC_ZP_784</t>
  </si>
  <si>
    <t xml:space="preserve">sup_q_cloud</t>
  </si>
  <si>
    <r>
      <rPr>
        <sz val="10"/>
        <color rgb="FF000000"/>
        <rFont val="Noto Sans CJK SC"/>
        <family val="2"/>
      </rPr>
      <t xml:space="preserve">客戶 </t>
    </r>
    <r>
      <rPr>
        <sz val="10"/>
        <color rgb="FF000000"/>
        <rFont val="Arial"/>
        <family val="0"/>
        <charset val="1"/>
      </rPr>
      <t xml:space="preserve">Q</t>
    </r>
    <r>
      <rPr>
        <sz val="10"/>
        <color rgb="FF000000"/>
        <rFont val="Noto Sans CJK SC"/>
        <family val="2"/>
      </rPr>
      <t xml:space="preserve">（雲計算公司）兼算力供應商：採購額</t>
    </r>
  </si>
  <si>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219 </t>
    </r>
    <r>
      <rPr>
        <sz val="10"/>
        <color rgb="FF000000"/>
        <rFont val="Noto Sans CJK SC"/>
        <family val="2"/>
      </rPr>
      <t xml:space="preserve">頁</t>
    </r>
  </si>
  <si>
    <r>
      <rPr>
        <sz val="10"/>
        <color rgb="FF000000"/>
        <rFont val="Noto Sans CJK SC"/>
        <family val="2"/>
      </rPr>
      <t xml:space="preserve">經審計（會計師報告，畢馬威 </t>
    </r>
    <r>
      <rPr>
        <sz val="10"/>
        <color rgb="FF000000"/>
        <rFont val="Arial"/>
        <family val="0"/>
        <charset val="1"/>
      </rPr>
      <t xml:space="preserve">2025-12-30</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為往績記錄期之一，非僅審閱）</t>
    </r>
  </si>
  <si>
    <r>
      <rPr>
        <sz val="10"/>
        <color rgb="FF000000"/>
        <rFont val="Noto Sans CJK SC"/>
        <family val="2"/>
      </rPr>
      <t xml:space="preserve">原文「我們向客戶</t>
    </r>
    <r>
      <rPr>
        <sz val="10"/>
        <color rgb="FF000000"/>
        <rFont val="Arial"/>
        <family val="0"/>
        <charset val="1"/>
      </rPr>
      <t xml:space="preserve">Q</t>
    </r>
    <r>
      <rPr>
        <sz val="10"/>
        <color rgb="FF000000"/>
        <rFont val="Noto Sans CJK SC"/>
        <family val="2"/>
      </rPr>
      <t xml:space="preserve">的採購額分別為人民幣 </t>
    </r>
    <r>
      <rPr>
        <sz val="10"/>
        <color rgb="FF000000"/>
        <rFont val="Arial"/>
        <family val="0"/>
        <charset val="1"/>
      </rPr>
      <t xml:space="preserve">0.98 </t>
    </r>
    <r>
      <rPr>
        <sz val="10"/>
        <color rgb="FF000000"/>
        <rFont val="Noto Sans CJK SC"/>
        <family val="2"/>
      </rPr>
      <t xml:space="preserve">百萬元、人民幣 </t>
    </r>
    <r>
      <rPr>
        <sz val="10"/>
        <color rgb="FF000000"/>
        <rFont val="Arial"/>
        <family val="0"/>
        <charset val="1"/>
      </rPr>
      <t xml:space="preserve">27.2 </t>
    </r>
    <r>
      <rPr>
        <sz val="10"/>
        <color rgb="FF000000"/>
        <rFont val="Noto Sans CJK SC"/>
        <family val="2"/>
      </rPr>
      <t xml:space="preserve">百萬元、人民幣 </t>
    </r>
    <r>
      <rPr>
        <sz val="10"/>
        <color rgb="FF000000"/>
        <rFont val="Arial"/>
        <family val="0"/>
        <charset val="1"/>
      </rPr>
      <t xml:space="preserve">76.6 </t>
    </r>
    <r>
      <rPr>
        <sz val="10"/>
        <color rgb="FF000000"/>
        <rFont val="Noto Sans CJK SC"/>
        <family val="2"/>
      </rPr>
      <t xml:space="preserve">百萬元及人民幣 </t>
    </r>
    <r>
      <rPr>
        <sz val="10"/>
        <color rgb="FF000000"/>
        <rFont val="Arial"/>
        <family val="0"/>
        <charset val="1"/>
      </rPr>
      <t xml:space="preserve">94.5 </t>
    </r>
    <r>
      <rPr>
        <sz val="10"/>
        <color rgb="FF000000"/>
        <rFont val="Noto Sans CJK SC"/>
        <family val="2"/>
      </rPr>
      <t xml:space="preserve">百萬元，分別佔…</t>
    </r>
    <r>
      <rPr>
        <sz val="10"/>
        <color rgb="FF000000"/>
        <rFont val="Arial"/>
        <family val="0"/>
        <charset val="1"/>
      </rPr>
      <t xml:space="preserve">1.3%</t>
    </r>
    <r>
      <rPr>
        <sz val="10"/>
        <color rgb="FF000000"/>
        <rFont val="Noto Sans CJK SC"/>
        <family val="2"/>
      </rPr>
      <t xml:space="preserve">、</t>
    </r>
    <r>
      <rPr>
        <sz val="10"/>
        <color rgb="FF000000"/>
        <rFont val="Arial"/>
        <family val="0"/>
        <charset val="1"/>
      </rPr>
      <t xml:space="preserve">2.8%</t>
    </r>
    <r>
      <rPr>
        <sz val="10"/>
        <color rgb="FF000000"/>
        <rFont val="Noto Sans CJK SC"/>
        <family val="2"/>
      </rPr>
      <t xml:space="preserve">、</t>
    </r>
    <r>
      <rPr>
        <sz val="10"/>
        <color rgb="FF000000"/>
        <rFont val="Arial"/>
        <family val="0"/>
        <charset val="1"/>
      </rPr>
      <t xml:space="preserve">3.0%</t>
    </r>
    <r>
      <rPr>
        <sz val="10"/>
        <color rgb="FF000000"/>
        <rFont val="Noto Sans CJK SC"/>
        <family val="2"/>
      </rPr>
      <t xml:space="preserve">及 </t>
    </r>
    <r>
      <rPr>
        <sz val="10"/>
        <color rgb="FF000000"/>
        <rFont val="Arial"/>
        <family val="0"/>
        <charset val="1"/>
      </rPr>
      <t xml:space="preserve">6.3%</t>
    </r>
    <r>
      <rPr>
        <sz val="10"/>
        <color rgb="FF000000"/>
        <rFont val="Noto Sans CJK SC"/>
        <family val="2"/>
      </rPr>
      <t xml:space="preserve">」；</t>
    </r>
    <r>
      <rPr>
        <sz val="10"/>
        <color rgb="FF000000"/>
        <rFont val="Arial"/>
        <family val="0"/>
        <charset val="1"/>
      </rPr>
      <t xml:space="preserve">Q </t>
    </r>
    <r>
      <rPr>
        <sz val="10"/>
        <color rgb="FF000000"/>
        <rFont val="Noto Sans CJK SC"/>
        <family val="2"/>
      </rPr>
      <t xml:space="preserve">為杭州雲計算及 </t>
    </r>
    <r>
      <rPr>
        <sz val="10"/>
        <color rgb="FF000000"/>
        <rFont val="Arial"/>
        <family val="0"/>
        <charset val="1"/>
      </rPr>
      <t xml:space="preserve">AI </t>
    </r>
    <r>
      <rPr>
        <sz val="10"/>
        <color rgb="FF000000"/>
        <rFont val="Noto Sans CJK SC"/>
        <family val="2"/>
      </rPr>
      <t xml:space="preserve">公司（註冊資本 </t>
    </r>
    <r>
      <rPr>
        <sz val="10"/>
        <color rgb="FF000000"/>
        <rFont val="Arial"/>
        <family val="0"/>
        <charset val="1"/>
      </rPr>
      <t xml:space="preserve">10 </t>
    </r>
    <r>
      <rPr>
        <sz val="10"/>
        <color rgb="FF000000"/>
        <rFont val="Noto Sans CJK SC"/>
        <family val="2"/>
      </rPr>
      <t xml:space="preserve">億）；以百萬元換算（</t>
    </r>
    <r>
      <rPr>
        <sz val="10"/>
        <color rgb="FF000000"/>
        <rFont val="Arial"/>
        <family val="0"/>
        <charset val="1"/>
      </rPr>
      <t xml:space="preserve">94.5 </t>
    </r>
    <r>
      <rPr>
        <sz val="10"/>
        <color rgb="FF000000"/>
        <rFont val="Noto Sans CJK SC"/>
        <family val="2"/>
      </rPr>
      <t xml:space="preserve">百萬）</t>
    </r>
  </si>
  <si>
    <t xml:space="preserve">SRC_ZP_785</t>
  </si>
  <si>
    <t xml:space="preserve">cust_a_overlap_p</t>
  </si>
  <si>
    <r>
      <rPr>
        <sz val="10"/>
        <color rgb="FF000000"/>
        <rFont val="Noto Sans CJK SC"/>
        <family val="2"/>
      </rPr>
      <t xml:space="preserve">最大客戶 </t>
    </r>
    <r>
      <rPr>
        <sz val="10"/>
        <color rgb="FF000000"/>
        <rFont val="Arial"/>
        <family val="0"/>
        <charset val="1"/>
      </rPr>
      <t xml:space="preserve">A</t>
    </r>
    <r>
      <rPr>
        <sz val="10"/>
        <color rgb="FF000000"/>
        <rFont val="Noto Sans CJK SC"/>
        <family val="2"/>
      </rPr>
      <t xml:space="preserve">（</t>
    </r>
    <r>
      <rPr>
        <sz val="10"/>
        <color rgb="FF000000"/>
        <rFont val="Arial"/>
        <family val="0"/>
        <charset val="1"/>
      </rPr>
      <t xml:space="preserve">1H25</t>
    </r>
    <r>
      <rPr>
        <sz val="10"/>
        <color rgb="FF000000"/>
        <rFont val="Noto Sans CJK SC"/>
        <family val="2"/>
      </rPr>
      <t xml:space="preserve">）兼供應商：銷售 </t>
    </r>
    <r>
      <rPr>
        <sz val="10"/>
        <color rgb="FF000000"/>
        <rFont val="Arial"/>
        <family val="0"/>
        <charset val="1"/>
      </rPr>
      <t xml:space="preserve">vs </t>
    </r>
    <r>
      <rPr>
        <sz val="10"/>
        <color rgb="FF000000"/>
        <rFont val="Noto Sans CJK SC"/>
        <family val="2"/>
      </rPr>
      <t xml:space="preserve">採購</t>
    </r>
  </si>
  <si>
    <r>
      <rPr>
        <sz val="10"/>
        <color rgb="FF000000"/>
        <rFont val="Arial"/>
        <family val="0"/>
        <charset val="1"/>
      </rPr>
      <t xml:space="preserve">RMB </t>
    </r>
    <r>
      <rPr>
        <sz val="10"/>
        <color rgb="FF000000"/>
        <rFont val="Noto Sans CJK SC"/>
        <family val="2"/>
      </rPr>
      <t xml:space="preserve">億（銷售，</t>
    </r>
    <r>
      <rPr>
        <sz val="10"/>
        <color rgb="FF000000"/>
        <rFont val="Arial"/>
        <family val="0"/>
        <charset val="1"/>
      </rPr>
      <t xml:space="preserve">FY24+1H25</t>
    </r>
    <r>
      <rPr>
        <sz val="10"/>
        <color rgb="FF000000"/>
        <rFont val="Noto Sans CJK SC"/>
        <family val="2"/>
      </rPr>
      <t xml:space="preserve">）</t>
    </r>
  </si>
  <si>
    <t xml:space="preserve">FY2024–1H2025</t>
  </si>
  <si>
    <r>
      <rPr>
        <sz val="10"/>
        <color rgb="FF000000"/>
        <rFont val="Noto Sans CJK SC"/>
        <family val="2"/>
      </rPr>
      <t xml:space="preserve">原文「我們自客戶</t>
    </r>
    <r>
      <rPr>
        <sz val="10"/>
        <color rgb="FF000000"/>
        <rFont val="Arial"/>
        <family val="0"/>
        <charset val="1"/>
      </rPr>
      <t xml:space="preserve">A</t>
    </r>
    <r>
      <rPr>
        <sz val="10"/>
        <color rgb="FF000000"/>
        <rFont val="Noto Sans CJK SC"/>
        <family val="2"/>
      </rPr>
      <t xml:space="preserve">的採購額分別為零、零、人民幣 </t>
    </r>
    <r>
      <rPr>
        <sz val="10"/>
        <color rgb="FF000000"/>
        <rFont val="Arial"/>
        <family val="0"/>
        <charset val="1"/>
      </rPr>
      <t xml:space="preserve">12.9 </t>
    </r>
    <r>
      <rPr>
        <sz val="10"/>
        <color rgb="FF000000"/>
        <rFont val="Noto Sans CJK SC"/>
        <family val="2"/>
      </rPr>
      <t xml:space="preserve">百萬元及人民幣 </t>
    </r>
    <r>
      <rPr>
        <sz val="10"/>
        <color rgb="FF000000"/>
        <rFont val="Arial"/>
        <family val="0"/>
        <charset val="1"/>
      </rPr>
      <t xml:space="preserve">11.8 </t>
    </r>
    <r>
      <rPr>
        <sz val="10"/>
        <color rgb="FF000000"/>
        <rFont val="Noto Sans CJK SC"/>
        <family val="2"/>
      </rPr>
      <t xml:space="preserve">百萬元…向客戶</t>
    </r>
    <r>
      <rPr>
        <sz val="10"/>
        <color rgb="FF000000"/>
        <rFont val="Arial"/>
        <family val="0"/>
        <charset val="1"/>
      </rPr>
      <t xml:space="preserve">A</t>
    </r>
    <r>
      <rPr>
        <sz val="10"/>
        <color rgb="FF000000"/>
        <rFont val="Noto Sans CJK SC"/>
        <family val="2"/>
      </rPr>
      <t xml:space="preserve">的銷售額分別為零、零、人民幣 </t>
    </r>
    <r>
      <rPr>
        <sz val="10"/>
        <color rgb="FF000000"/>
        <rFont val="Arial"/>
        <family val="0"/>
        <charset val="1"/>
      </rPr>
      <t xml:space="preserve">3.2 </t>
    </r>
    <r>
      <rPr>
        <sz val="10"/>
        <color rgb="FF000000"/>
        <rFont val="Noto Sans CJK SC"/>
        <family val="2"/>
      </rPr>
      <t xml:space="preserve">百萬元及人民幣 </t>
    </r>
    <r>
      <rPr>
        <sz val="10"/>
        <color rgb="FF000000"/>
        <rFont val="Arial"/>
        <family val="0"/>
        <charset val="1"/>
      </rPr>
      <t xml:space="preserve">21.0 </t>
    </r>
    <r>
      <rPr>
        <sz val="10"/>
        <color rgb="FF000000"/>
        <rFont val="Noto Sans CJK SC"/>
        <family val="2"/>
      </rPr>
      <t xml:space="preserve">百萬元」；銷售合計 </t>
    </r>
    <r>
      <rPr>
        <sz val="10"/>
        <color rgb="FF000000"/>
        <rFont val="Arial"/>
        <family val="0"/>
        <charset val="1"/>
      </rPr>
      <t xml:space="preserve">24.2 </t>
    </r>
    <r>
      <rPr>
        <sz val="10"/>
        <color rgb="FF000000"/>
        <rFont val="Noto Sans CJK SC"/>
        <family val="2"/>
      </rPr>
      <t xml:space="preserve">百萬＝</t>
    </r>
    <r>
      <rPr>
        <sz val="10"/>
        <color rgb="FF000000"/>
        <rFont val="Arial"/>
        <family val="0"/>
        <charset val="1"/>
      </rPr>
      <t xml:space="preserve">0.242 </t>
    </r>
    <r>
      <rPr>
        <sz val="10"/>
        <color rgb="FF000000"/>
        <rFont val="Noto Sans CJK SC"/>
        <family val="2"/>
      </rPr>
      <t xml:space="preserve">億、採購 </t>
    </r>
    <r>
      <rPr>
        <sz val="10"/>
        <color rgb="FF000000"/>
        <rFont val="Arial"/>
        <family val="0"/>
        <charset val="1"/>
      </rPr>
      <t xml:space="preserve">24.7 </t>
    </r>
    <r>
      <rPr>
        <sz val="10"/>
        <color rgb="FF000000"/>
        <rFont val="Noto Sans CJK SC"/>
        <family val="2"/>
      </rPr>
      <t xml:space="preserve">百萬＝</t>
    </r>
    <r>
      <rPr>
        <sz val="10"/>
        <color rgb="FF000000"/>
        <rFont val="Arial"/>
        <family val="0"/>
        <charset val="1"/>
      </rPr>
      <t xml:space="preserve">0.247 </t>
    </r>
    <r>
      <rPr>
        <sz val="10"/>
        <color rgb="FF000000"/>
        <rFont val="Noto Sans CJK SC"/>
        <family val="2"/>
      </rPr>
      <t xml:space="preserve">億；與既有值差異：媒體寫 </t>
    </r>
    <r>
      <rPr>
        <sz val="10"/>
        <color rgb="FF000000"/>
        <rFont val="Arial"/>
        <family val="0"/>
        <charset val="1"/>
      </rPr>
      <t xml:space="preserve">2.42 </t>
    </r>
    <r>
      <rPr>
        <sz val="10"/>
        <color rgb="FF000000"/>
        <rFont val="Noto Sans CJK SC"/>
        <family val="2"/>
      </rPr>
      <t xml:space="preserve">億／</t>
    </r>
    <r>
      <rPr>
        <sz val="10"/>
        <color rgb="FF000000"/>
        <rFont val="Arial"/>
        <family val="0"/>
        <charset val="1"/>
      </rPr>
      <t xml:space="preserve">2.47 </t>
    </r>
    <r>
      <rPr>
        <sz val="10"/>
        <color rgb="FF000000"/>
        <rFont val="Noto Sans CJK SC"/>
        <family val="2"/>
      </rPr>
      <t xml:space="preserve">億，單位誤差 </t>
    </r>
    <r>
      <rPr>
        <sz val="10"/>
        <color rgb="FF000000"/>
        <rFont val="Arial"/>
        <family val="0"/>
        <charset val="1"/>
      </rPr>
      <t xml:space="preserve">10 </t>
    </r>
    <r>
      <rPr>
        <sz val="10"/>
        <color rgb="FF000000"/>
        <rFont val="Noto Sans CJK SC"/>
        <family val="2"/>
      </rPr>
      <t xml:space="preserve">倍；採購內容為數據庫及知識產權授權</t>
    </r>
  </si>
  <si>
    <t xml:space="preserve">SRC_ZP_786</t>
  </si>
  <si>
    <t xml:space="preserve">cust_a_purch_p</t>
  </si>
  <si>
    <r>
      <rPr>
        <sz val="10"/>
        <color rgb="FF000000"/>
        <rFont val="Noto Sans CJK SC"/>
        <family val="2"/>
      </rPr>
      <t xml:space="preserve">最大客戶 </t>
    </r>
    <r>
      <rPr>
        <sz val="10"/>
        <color rgb="FF000000"/>
        <rFont val="Arial"/>
        <family val="0"/>
        <charset val="1"/>
      </rPr>
      <t xml:space="preserve">A</t>
    </r>
    <r>
      <rPr>
        <sz val="10"/>
        <color rgb="FF000000"/>
        <rFont val="Noto Sans CJK SC"/>
        <family val="2"/>
      </rPr>
      <t xml:space="preserve">（</t>
    </r>
    <r>
      <rPr>
        <sz val="10"/>
        <color rgb="FF000000"/>
        <rFont val="Arial"/>
        <family val="0"/>
        <charset val="1"/>
      </rPr>
      <t xml:space="preserve">1H25</t>
    </r>
    <r>
      <rPr>
        <sz val="10"/>
        <color rgb="FF000000"/>
        <rFont val="Noto Sans CJK SC"/>
        <family val="2"/>
      </rPr>
      <t xml:space="preserve">）：智譜向其採購（</t>
    </r>
    <r>
      <rPr>
        <sz val="10"/>
        <color rgb="FF000000"/>
        <rFont val="Arial"/>
        <family val="0"/>
        <charset val="1"/>
      </rPr>
      <t xml:space="preserve">FY24+1H25</t>
    </r>
    <r>
      <rPr>
        <sz val="10"/>
        <color rgb="FF000000"/>
        <rFont val="Noto Sans CJK SC"/>
        <family val="2"/>
      </rPr>
      <t xml:space="preserve">）</t>
    </r>
  </si>
  <si>
    <r>
      <rPr>
        <sz val="10"/>
        <color rgb="FF000000"/>
        <rFont val="Noto Sans CJK SC"/>
        <family val="2"/>
      </rPr>
      <t xml:space="preserve">同 </t>
    </r>
    <r>
      <rPr>
        <sz val="10"/>
        <color rgb="FF000000"/>
        <rFont val="Arial"/>
        <family val="0"/>
        <charset val="1"/>
      </rPr>
      <t xml:space="preserve">cust_a_overlap_p</t>
    </r>
    <r>
      <rPr>
        <sz val="10"/>
        <color rgb="FF000000"/>
        <rFont val="Noto Sans CJK SC"/>
        <family val="2"/>
      </rPr>
      <t xml:space="preserve">；</t>
    </r>
    <r>
      <rPr>
        <sz val="10"/>
        <color rgb="FF000000"/>
        <rFont val="Arial"/>
        <family val="0"/>
        <charset val="1"/>
      </rPr>
      <t xml:space="preserve">12.9</t>
    </r>
    <r>
      <rPr>
        <sz val="10"/>
        <color rgb="FF000000"/>
        <rFont val="Noto Sans CJK SC"/>
        <family val="2"/>
      </rPr>
      <t xml:space="preserve">＋</t>
    </r>
    <r>
      <rPr>
        <sz val="10"/>
        <color rgb="FF000000"/>
        <rFont val="Arial"/>
        <family val="0"/>
        <charset val="1"/>
      </rPr>
      <t xml:space="preserve">11.8</t>
    </r>
    <r>
      <rPr>
        <sz val="10"/>
        <color rgb="FF000000"/>
        <rFont val="Noto Sans CJK SC"/>
        <family val="2"/>
      </rPr>
      <t xml:space="preserve">＝</t>
    </r>
    <r>
      <rPr>
        <sz val="10"/>
        <color rgb="FF000000"/>
        <rFont val="Arial"/>
        <family val="0"/>
        <charset val="1"/>
      </rPr>
      <t xml:space="preserve">24.7 </t>
    </r>
    <r>
      <rPr>
        <sz val="10"/>
        <color rgb="FF000000"/>
        <rFont val="Noto Sans CJK SC"/>
        <family val="2"/>
      </rPr>
      <t xml:space="preserve">百萬元；與既有值差異：既有 </t>
    </r>
    <r>
      <rPr>
        <sz val="10"/>
        <color rgb="FF000000"/>
        <rFont val="Arial"/>
        <family val="0"/>
        <charset val="1"/>
      </rPr>
      <t xml:space="preserve">2.47 </t>
    </r>
    <r>
      <rPr>
        <sz val="10"/>
        <color rgb="FF000000"/>
        <rFont val="Noto Sans CJK SC"/>
        <family val="2"/>
      </rPr>
      <t xml:space="preserve">億為媒體 </t>
    </r>
    <r>
      <rPr>
        <sz val="10"/>
        <color rgb="FF000000"/>
        <rFont val="Arial"/>
        <family val="0"/>
        <charset val="1"/>
      </rPr>
      <t xml:space="preserve">10 </t>
    </r>
    <r>
      <rPr>
        <sz val="10"/>
        <color rgb="FF000000"/>
        <rFont val="Noto Sans CJK SC"/>
        <family val="2"/>
      </rPr>
      <t xml:space="preserve">倍誤植</t>
    </r>
  </si>
  <si>
    <t xml:space="preserve">SRC_ZP_787</t>
  </si>
  <si>
    <t xml:space="preserve">prepay_compute_total_fy22</t>
  </si>
  <si>
    <t xml:space="preserve">預付計算服務費及其他（流動＋非流動）</t>
  </si>
  <si>
    <t xml:space="preserve">2022-12-31</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</si>
  <si>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398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</si>
  <si>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17(a)</t>
    </r>
    <r>
      <rPr>
        <sz val="10"/>
        <color rgb="FF000000"/>
        <rFont val="Noto Sans CJK SC"/>
        <family val="2"/>
      </rPr>
      <t xml:space="preserve">「預付計算服務費及其他」（第 </t>
    </r>
    <r>
      <rPr>
        <sz val="10"/>
        <color rgb="FF000000"/>
        <rFont val="Arial"/>
        <family val="0"/>
        <charset val="1"/>
      </rPr>
      <t xml:space="preserve">398 </t>
    </r>
    <r>
      <rPr>
        <sz val="10"/>
        <color rgb="FF000000"/>
        <rFont val="Noto Sans CJK SC"/>
        <family val="2"/>
      </rPr>
      <t xml:space="preserve">頁＝印 </t>
    </r>
    <r>
      <rPr>
        <sz val="10"/>
        <color rgb="FF000000"/>
        <rFont val="Arial"/>
        <family val="0"/>
        <charset val="1"/>
      </rPr>
      <t xml:space="preserve">I-55</t>
    </r>
    <r>
      <rPr>
        <sz val="10"/>
        <color rgb="FF000000"/>
        <rFont val="Noto Sans CJK SC"/>
        <family val="2"/>
      </rPr>
      <t xml:space="preserve">）；定義「向供應商支付的款項，以確保該等供應商在一定時期內提供計算服務，並將在日後使用該等供應商提供的計算服務時扣除」；千元值 </t>
    </r>
    <r>
      <rPr>
        <sz val="10"/>
        <color rgb="FF000000"/>
        <rFont val="Arial"/>
        <family val="0"/>
        <charset val="1"/>
      </rPr>
      <t xml:space="preserve">11,633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</si>
  <si>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SRC_ZP_788</t>
  </si>
  <si>
    <t xml:space="preserve">prepay_compute_total_fy23</t>
  </si>
  <si>
    <t xml:space="preserve">2023-12-31</t>
  </si>
  <si>
    <r>
      <rPr>
        <sz val="10"/>
        <color rgb="FF000000"/>
        <rFont val="Noto Sans CJK SC"/>
        <family val="2"/>
      </rPr>
      <t xml:space="preserve">附註 </t>
    </r>
    <r>
      <rPr>
        <sz val="10"/>
        <color rgb="FF000000"/>
        <rFont val="Arial"/>
        <family val="0"/>
        <charset val="1"/>
      </rPr>
      <t xml:space="preserve">17(a)</t>
    </r>
    <r>
      <rPr>
        <sz val="10"/>
        <color rgb="FF000000"/>
        <rFont val="Noto Sans CJK SC"/>
        <family val="2"/>
      </rPr>
      <t xml:space="preserve">「預付計算服務費及其他」（第 </t>
    </r>
    <r>
      <rPr>
        <sz val="10"/>
        <color rgb="FF000000"/>
        <rFont val="Arial"/>
        <family val="0"/>
        <charset val="1"/>
      </rPr>
      <t xml:space="preserve">398 </t>
    </r>
    <r>
      <rPr>
        <sz val="10"/>
        <color rgb="FF000000"/>
        <rFont val="Noto Sans CJK SC"/>
        <family val="2"/>
      </rPr>
      <t xml:space="preserve">頁＝印 </t>
    </r>
    <r>
      <rPr>
        <sz val="10"/>
        <color rgb="FF000000"/>
        <rFont val="Arial"/>
        <family val="0"/>
        <charset val="1"/>
      </rPr>
      <t xml:space="preserve">I-55</t>
    </r>
    <r>
      <rPr>
        <sz val="10"/>
        <color rgb="FF000000"/>
        <rFont val="Noto Sans CJK SC"/>
        <family val="2"/>
      </rPr>
      <t xml:space="preserve">）；定義「向供應商支付的款項，以確保該等供應商在一定時期內提供計算服務，並將在日後使用該等供應商提供的計算服務時扣除」；千元值 </t>
    </r>
    <r>
      <rPr>
        <sz val="10"/>
        <color rgb="FF000000"/>
        <rFont val="Arial"/>
        <family val="0"/>
        <charset val="1"/>
      </rPr>
      <t xml:space="preserve">88,295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</si>
  <si>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SRC_ZP_789</t>
  </si>
  <si>
    <t xml:space="preserve">prepay_compute_total_fy24</t>
  </si>
  <si>
    <t xml:space="preserve">2024-12-31</t>
  </si>
  <si>
    <r>
      <rPr>
        <sz val="10"/>
        <color rgb="FF000000"/>
        <rFont val="Noto Sans CJK SC"/>
        <family val="2"/>
      </rPr>
      <t xml:space="preserve">附註 </t>
    </r>
    <r>
      <rPr>
        <sz val="10"/>
        <color rgb="FF000000"/>
        <rFont val="Arial"/>
        <family val="0"/>
        <charset val="1"/>
      </rPr>
      <t xml:space="preserve">17(a)</t>
    </r>
    <r>
      <rPr>
        <sz val="10"/>
        <color rgb="FF000000"/>
        <rFont val="Noto Sans CJK SC"/>
        <family val="2"/>
      </rPr>
      <t xml:space="preserve">「預付計算服務費及其他」（第 </t>
    </r>
    <r>
      <rPr>
        <sz val="10"/>
        <color rgb="FF000000"/>
        <rFont val="Arial"/>
        <family val="0"/>
        <charset val="1"/>
      </rPr>
      <t xml:space="preserve">398 </t>
    </r>
    <r>
      <rPr>
        <sz val="10"/>
        <color rgb="FF000000"/>
        <rFont val="Noto Sans CJK SC"/>
        <family val="2"/>
      </rPr>
      <t xml:space="preserve">頁＝印 </t>
    </r>
    <r>
      <rPr>
        <sz val="10"/>
        <color rgb="FF000000"/>
        <rFont val="Arial"/>
        <family val="0"/>
        <charset val="1"/>
      </rPr>
      <t xml:space="preserve">I-55</t>
    </r>
    <r>
      <rPr>
        <sz val="10"/>
        <color rgb="FF000000"/>
        <rFont val="Noto Sans CJK SC"/>
        <family val="2"/>
      </rPr>
      <t xml:space="preserve">）；定義「向供應商支付的款項，以確保該等供應商在一定時期內提供計算服務，並將在日後使用該等供應商提供的計算服務時扣除」；千元值 </t>
    </r>
    <r>
      <rPr>
        <sz val="10"/>
        <color rgb="FF000000"/>
        <rFont val="Arial"/>
        <family val="0"/>
        <charset val="1"/>
      </rPr>
      <t xml:space="preserve">166,893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</si>
  <si>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SRC_ZP_790</t>
  </si>
  <si>
    <t xml:space="preserve">prepay_compute_total_1h25</t>
  </si>
  <si>
    <r>
      <rPr>
        <sz val="10"/>
        <color rgb="FF000000"/>
        <rFont val="Noto Sans CJK SC"/>
        <family val="2"/>
      </rPr>
      <t xml:space="preserve">附註 </t>
    </r>
    <r>
      <rPr>
        <sz val="10"/>
        <color rgb="FF000000"/>
        <rFont val="Arial"/>
        <family val="0"/>
        <charset val="1"/>
      </rPr>
      <t xml:space="preserve">17(a)</t>
    </r>
    <r>
      <rPr>
        <sz val="10"/>
        <color rgb="FF000000"/>
        <rFont val="Noto Sans CJK SC"/>
        <family val="2"/>
      </rPr>
      <t xml:space="preserve">「預付計算服務費及其他」（第 </t>
    </r>
    <r>
      <rPr>
        <sz val="10"/>
        <color rgb="FF000000"/>
        <rFont val="Arial"/>
        <family val="0"/>
        <charset val="1"/>
      </rPr>
      <t xml:space="preserve">398 </t>
    </r>
    <r>
      <rPr>
        <sz val="10"/>
        <color rgb="FF000000"/>
        <rFont val="Noto Sans CJK SC"/>
        <family val="2"/>
      </rPr>
      <t xml:space="preserve">頁＝印 </t>
    </r>
    <r>
      <rPr>
        <sz val="10"/>
        <color rgb="FF000000"/>
        <rFont val="Arial"/>
        <family val="0"/>
        <charset val="1"/>
      </rPr>
      <t xml:space="preserve">I-55</t>
    </r>
    <r>
      <rPr>
        <sz val="10"/>
        <color rgb="FF000000"/>
        <rFont val="Noto Sans CJK SC"/>
        <family val="2"/>
      </rPr>
      <t xml:space="preserve">）；定義「向供應商支付的款項，以確保該等供應商在一定時期內提供計算服務，並將在日後使用該等供應商提供的計算服務時扣除」；千元值 </t>
    </r>
    <r>
      <rPr>
        <sz val="10"/>
        <color rgb="FF000000"/>
        <rFont val="Arial"/>
        <family val="0"/>
        <charset val="1"/>
      </rPr>
      <t xml:space="preserve">134,030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</si>
  <si>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SRC_ZP_791</t>
  </si>
  <si>
    <t xml:space="preserve">prepay_compute_cur_fy22</t>
  </si>
  <si>
    <t xml:space="preserve">預付計算服務費（流動，算力服務費預付款項）</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</si>
  <si>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283 </t>
    </r>
    <r>
      <rPr>
        <sz val="10"/>
        <color rgb="FF000000"/>
        <rFont val="Noto Sans CJK SC"/>
        <family val="2"/>
      </rPr>
      <t xml:space="preserve">頁</t>
    </r>
  </si>
  <si>
    <r>
      <rPr>
        <sz val="10"/>
        <color rgb="FF000000"/>
        <rFont val="Noto Sans CJK SC"/>
        <family val="2"/>
      </rPr>
      <t xml:space="preserve">貿易及其他應收款項表「算力服務費預付款項」（第 </t>
    </r>
    <r>
      <rPr>
        <sz val="10"/>
        <color rgb="FF000000"/>
        <rFont val="Arial"/>
        <family val="0"/>
        <charset val="1"/>
      </rPr>
      <t xml:space="preserve">283 </t>
    </r>
    <r>
      <rPr>
        <sz val="10"/>
        <color rgb="FF000000"/>
        <rFont val="Noto Sans CJK SC"/>
        <family val="2"/>
      </rPr>
      <t xml:space="preserve">頁＝印 </t>
    </r>
    <r>
      <rPr>
        <sz val="10"/>
        <color rgb="FF000000"/>
        <rFont val="Arial"/>
        <family val="0"/>
        <charset val="1"/>
      </rPr>
      <t xml:space="preserve">274</t>
    </r>
    <r>
      <rPr>
        <sz val="10"/>
        <color rgb="FF000000"/>
        <rFont val="Noto Sans CJK SC"/>
        <family val="2"/>
      </rPr>
      <t xml:space="preserve">）；千元值 </t>
    </r>
    <r>
      <rPr>
        <sz val="10"/>
        <color rgb="FF000000"/>
        <rFont val="Arial"/>
        <family val="0"/>
        <charset val="1"/>
      </rPr>
      <t xml:space="preserve">11,633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</si>
  <si>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SRC_ZP_792</t>
  </si>
  <si>
    <t xml:space="preserve">prepay_compute_cur_fy23</t>
  </si>
  <si>
    <r>
      <rPr>
        <sz val="10"/>
        <color rgb="FF000000"/>
        <rFont val="Noto Sans CJK SC"/>
        <family val="2"/>
      </rPr>
      <t xml:space="preserve">貿易及其他應收款項表「算力服務費預付款項」（第 </t>
    </r>
    <r>
      <rPr>
        <sz val="10"/>
        <color rgb="FF000000"/>
        <rFont val="Arial"/>
        <family val="0"/>
        <charset val="1"/>
      </rPr>
      <t xml:space="preserve">283 </t>
    </r>
    <r>
      <rPr>
        <sz val="10"/>
        <color rgb="FF000000"/>
        <rFont val="Noto Sans CJK SC"/>
        <family val="2"/>
      </rPr>
      <t xml:space="preserve">頁＝印 </t>
    </r>
    <r>
      <rPr>
        <sz val="10"/>
        <color rgb="FF000000"/>
        <rFont val="Arial"/>
        <family val="0"/>
        <charset val="1"/>
      </rPr>
      <t xml:space="preserve">274</t>
    </r>
    <r>
      <rPr>
        <sz val="10"/>
        <color rgb="FF000000"/>
        <rFont val="Noto Sans CJK SC"/>
        <family val="2"/>
      </rPr>
      <t xml:space="preserve">）；千元值 </t>
    </r>
    <r>
      <rPr>
        <sz val="10"/>
        <color rgb="FF000000"/>
        <rFont val="Arial"/>
        <family val="0"/>
        <charset val="1"/>
      </rPr>
      <t xml:space="preserve">88,295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</si>
  <si>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SRC_ZP_793</t>
  </si>
  <si>
    <t xml:space="preserve">prepay_compute_cur_fy24</t>
  </si>
  <si>
    <r>
      <rPr>
        <sz val="10"/>
        <color rgb="FF000000"/>
        <rFont val="Noto Sans CJK SC"/>
        <family val="2"/>
      </rPr>
      <t xml:space="preserve">貿易及其他應收款項表「算力服務費預付款項」（第 </t>
    </r>
    <r>
      <rPr>
        <sz val="10"/>
        <color rgb="FF000000"/>
        <rFont val="Arial"/>
        <family val="0"/>
        <charset val="1"/>
      </rPr>
      <t xml:space="preserve">283 </t>
    </r>
    <r>
      <rPr>
        <sz val="10"/>
        <color rgb="FF000000"/>
        <rFont val="Noto Sans CJK SC"/>
        <family val="2"/>
      </rPr>
      <t xml:space="preserve">頁＝印 </t>
    </r>
    <r>
      <rPr>
        <sz val="10"/>
        <color rgb="FF000000"/>
        <rFont val="Arial"/>
        <family val="0"/>
        <charset val="1"/>
      </rPr>
      <t xml:space="preserve">274</t>
    </r>
    <r>
      <rPr>
        <sz val="10"/>
        <color rgb="FF000000"/>
        <rFont val="Noto Sans CJK SC"/>
        <family val="2"/>
      </rPr>
      <t xml:space="preserve">）；千元值 </t>
    </r>
    <r>
      <rPr>
        <sz val="10"/>
        <color rgb="FF000000"/>
        <rFont val="Arial"/>
        <family val="0"/>
        <charset val="1"/>
      </rPr>
      <t xml:space="preserve">127,371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</si>
  <si>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SRC_ZP_794</t>
  </si>
  <si>
    <t xml:space="preserve">prepay_compute_cur_1h25</t>
  </si>
  <si>
    <r>
      <rPr>
        <sz val="10"/>
        <color rgb="FF000000"/>
        <rFont val="Noto Sans CJK SC"/>
        <family val="2"/>
      </rPr>
      <t xml:space="preserve">貿易及其他應收款項表「算力服務費預付款項」（第 </t>
    </r>
    <r>
      <rPr>
        <sz val="10"/>
        <color rgb="FF000000"/>
        <rFont val="Arial"/>
        <family val="0"/>
        <charset val="1"/>
      </rPr>
      <t xml:space="preserve">283 </t>
    </r>
    <r>
      <rPr>
        <sz val="10"/>
        <color rgb="FF000000"/>
        <rFont val="Noto Sans CJK SC"/>
        <family val="2"/>
      </rPr>
      <t xml:space="preserve">頁＝印 </t>
    </r>
    <r>
      <rPr>
        <sz val="10"/>
        <color rgb="FF000000"/>
        <rFont val="Arial"/>
        <family val="0"/>
        <charset val="1"/>
      </rPr>
      <t xml:space="preserve">274</t>
    </r>
    <r>
      <rPr>
        <sz val="10"/>
        <color rgb="FF000000"/>
        <rFont val="Noto Sans CJK SC"/>
        <family val="2"/>
      </rPr>
      <t xml:space="preserve">）；千元值 </t>
    </r>
    <r>
      <rPr>
        <sz val="10"/>
        <color rgb="FF000000"/>
        <rFont val="Arial"/>
        <family val="0"/>
        <charset val="1"/>
      </rPr>
      <t xml:space="preserve">72,907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</si>
  <si>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SRC_ZP_795</t>
  </si>
  <si>
    <t xml:space="preserve">prepay_compute_ncur_fy22</t>
  </si>
  <si>
    <t xml:space="preserve">預付算力服務費（非流動）</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</si>
  <si>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281 </t>
    </r>
    <r>
      <rPr>
        <sz val="10"/>
        <color rgb="FF000000"/>
        <rFont val="Noto Sans CJK SC"/>
        <family val="2"/>
      </rPr>
      <t xml:space="preserve">頁</t>
    </r>
  </si>
  <si>
    <r>
      <rPr>
        <sz val="10"/>
        <color rgb="FF000000"/>
        <rFont val="Noto Sans CJK SC"/>
        <family val="2"/>
      </rPr>
      <t xml:space="preserve">其他非流動資產表（第 </t>
    </r>
    <r>
      <rPr>
        <sz val="10"/>
        <color rgb="FF000000"/>
        <rFont val="Arial"/>
        <family val="0"/>
        <charset val="1"/>
      </rPr>
      <t xml:space="preserve">281 </t>
    </r>
    <r>
      <rPr>
        <sz val="10"/>
        <color rgb="FF000000"/>
        <rFont val="Noto Sans CJK SC"/>
        <family val="2"/>
      </rPr>
      <t xml:space="preserve">頁＝印 </t>
    </r>
    <r>
      <rPr>
        <sz val="10"/>
        <color rgb="FF000000"/>
        <rFont val="Arial"/>
        <family val="0"/>
        <charset val="1"/>
      </rPr>
      <t xml:space="preserve">272</t>
    </r>
    <r>
      <rPr>
        <sz val="10"/>
        <color rgb="FF000000"/>
        <rFont val="Noto Sans CJK SC"/>
        <family val="2"/>
      </rPr>
      <t xml:space="preserve">）；原文「由於我們大幅增加算力的採購，我們已於 </t>
    </r>
    <r>
      <rPr>
        <sz val="10"/>
        <color rgb="FF000000"/>
        <rFont val="Arial"/>
        <family val="0"/>
        <charset val="1"/>
      </rPr>
      <t xml:space="preserve">2024 </t>
    </r>
    <r>
      <rPr>
        <sz val="10"/>
        <color rgb="FF000000"/>
        <rFont val="Noto Sans CJK SC"/>
        <family val="2"/>
      </rPr>
      <t xml:space="preserve">年預付算力服務費」；</t>
    </r>
    <r>
      <rPr>
        <sz val="10"/>
        <color rgb="FF000000"/>
        <rFont val="Arial"/>
        <family val="0"/>
        <charset val="1"/>
      </rPr>
      <t xml:space="preserve">FY22–23</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</si>
  <si>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SRC_ZP_796</t>
  </si>
  <si>
    <t xml:space="preserve">prepay_compute_ncur_fy23</t>
  </si>
  <si>
    <t xml:space="preserve">SRC_ZP_797</t>
  </si>
  <si>
    <t xml:space="preserve">prepay_compute_ncur_fy24</t>
  </si>
  <si>
    <r>
      <rPr>
        <sz val="10"/>
        <color rgb="FF000000"/>
        <rFont val="Noto Sans CJK SC"/>
        <family val="2"/>
      </rPr>
      <t xml:space="preserve">其他非流動資產表（第 </t>
    </r>
    <r>
      <rPr>
        <sz val="10"/>
        <color rgb="FF000000"/>
        <rFont val="Arial"/>
        <family val="0"/>
        <charset val="1"/>
      </rPr>
      <t xml:space="preserve">281 </t>
    </r>
    <r>
      <rPr>
        <sz val="10"/>
        <color rgb="FF000000"/>
        <rFont val="Noto Sans CJK SC"/>
        <family val="2"/>
      </rPr>
      <t xml:space="preserve">頁＝印 </t>
    </r>
    <r>
      <rPr>
        <sz val="10"/>
        <color rgb="FF000000"/>
        <rFont val="Arial"/>
        <family val="0"/>
        <charset val="1"/>
      </rPr>
      <t xml:space="preserve">272</t>
    </r>
    <r>
      <rPr>
        <sz val="10"/>
        <color rgb="FF000000"/>
        <rFont val="Noto Sans CJK SC"/>
        <family val="2"/>
      </rPr>
      <t xml:space="preserve">）；原文「由於我們大幅增加算力的採購，我們已於 </t>
    </r>
    <r>
      <rPr>
        <sz val="10"/>
        <color rgb="FF000000"/>
        <rFont val="Arial"/>
        <family val="0"/>
        <charset val="1"/>
      </rPr>
      <t xml:space="preserve">2024 </t>
    </r>
    <r>
      <rPr>
        <sz val="10"/>
        <color rgb="FF000000"/>
        <rFont val="Noto Sans CJK SC"/>
        <family val="2"/>
      </rPr>
      <t xml:space="preserve">年預付算力服務費」；</t>
    </r>
    <r>
      <rPr>
        <sz val="10"/>
        <color rgb="FF000000"/>
        <rFont val="Arial"/>
        <family val="0"/>
        <charset val="1"/>
      </rPr>
      <t xml:space="preserve">FY22–23</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39,522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</si>
  <si>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SRC_ZP_798</t>
  </si>
  <si>
    <t xml:space="preserve">prepay_compute_ncur_1h25</t>
  </si>
  <si>
    <r>
      <rPr>
        <sz val="10"/>
        <color rgb="FF000000"/>
        <rFont val="Noto Sans CJK SC"/>
        <family val="2"/>
      </rPr>
      <t xml:space="preserve">其他非流動資產表（第 </t>
    </r>
    <r>
      <rPr>
        <sz val="10"/>
        <color rgb="FF000000"/>
        <rFont val="Arial"/>
        <family val="0"/>
        <charset val="1"/>
      </rPr>
      <t xml:space="preserve">281 </t>
    </r>
    <r>
      <rPr>
        <sz val="10"/>
        <color rgb="FF000000"/>
        <rFont val="Noto Sans CJK SC"/>
        <family val="2"/>
      </rPr>
      <t xml:space="preserve">頁＝印 </t>
    </r>
    <r>
      <rPr>
        <sz val="10"/>
        <color rgb="FF000000"/>
        <rFont val="Arial"/>
        <family val="0"/>
        <charset val="1"/>
      </rPr>
      <t xml:space="preserve">272</t>
    </r>
    <r>
      <rPr>
        <sz val="10"/>
        <color rgb="FF000000"/>
        <rFont val="Noto Sans CJK SC"/>
        <family val="2"/>
      </rPr>
      <t xml:space="preserve">）；原文「由於我們大幅增加算力的採購，我們已於 </t>
    </r>
    <r>
      <rPr>
        <sz val="10"/>
        <color rgb="FF000000"/>
        <rFont val="Arial"/>
        <family val="0"/>
        <charset val="1"/>
      </rPr>
      <t xml:space="preserve">2024 </t>
    </r>
    <r>
      <rPr>
        <sz val="10"/>
        <color rgb="FF000000"/>
        <rFont val="Noto Sans CJK SC"/>
        <family val="2"/>
      </rPr>
      <t xml:space="preserve">年預付算力服務費」；</t>
    </r>
    <r>
      <rPr>
        <sz val="10"/>
        <color rgb="FF000000"/>
        <rFont val="Arial"/>
        <family val="0"/>
        <charset val="1"/>
      </rPr>
      <t xml:space="preserve">FY22–23</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61,123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</si>
  <si>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SRC_ZP_799</t>
  </si>
  <si>
    <t xml:space="preserve">payable_compute_fy22</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</si>
  <si>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286 </t>
    </r>
    <r>
      <rPr>
        <sz val="10"/>
        <color rgb="FF000000"/>
        <rFont val="Noto Sans CJK SC"/>
        <family val="2"/>
      </rPr>
      <t xml:space="preserve">頁</t>
    </r>
  </si>
  <si>
    <r>
      <rPr>
        <sz val="10"/>
        <color rgb="FF000000"/>
        <rFont val="Noto Sans CJK SC"/>
        <family val="2"/>
      </rPr>
      <t xml:space="preserve">貿易及其他應付款項表「應付算力服務費」（第 </t>
    </r>
    <r>
      <rPr>
        <sz val="10"/>
        <color rgb="FF000000"/>
        <rFont val="Arial"/>
        <family val="0"/>
        <charset val="1"/>
      </rPr>
      <t xml:space="preserve">286 </t>
    </r>
    <r>
      <rPr>
        <sz val="10"/>
        <color rgb="FF000000"/>
        <rFont val="Noto Sans CJK SC"/>
        <family val="2"/>
      </rPr>
      <t xml:space="preserve">頁＝印 </t>
    </r>
    <r>
      <rPr>
        <sz val="10"/>
        <color rgb="FF000000"/>
        <rFont val="Arial"/>
        <family val="0"/>
        <charset val="1"/>
      </rPr>
      <t xml:space="preserve">277</t>
    </r>
    <r>
      <rPr>
        <sz val="10"/>
        <color rgb="FF000000"/>
        <rFont val="Noto Sans CJK SC"/>
        <family val="2"/>
      </rPr>
      <t xml:space="preserve">；附註 </t>
    </r>
    <r>
      <rPr>
        <sz val="10"/>
        <color rgb="FF000000"/>
        <rFont val="Arial"/>
        <family val="0"/>
        <charset val="1"/>
      </rPr>
      <t xml:space="preserve">22(a)</t>
    </r>
    <r>
      <rPr>
        <sz val="10"/>
        <color rgb="FF000000"/>
        <rFont val="Noto Sans CJK SC"/>
        <family val="2"/>
      </rPr>
      <t xml:space="preserve">）；千元值 </t>
    </r>
    <r>
      <rPr>
        <sz val="10"/>
        <color rgb="FF000000"/>
        <rFont val="Arial"/>
        <family val="0"/>
        <charset val="1"/>
      </rPr>
      <t xml:space="preserve">1,509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</si>
  <si>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SRC_ZP_800</t>
  </si>
  <si>
    <t xml:space="preserve">payable_compute_fy23</t>
  </si>
  <si>
    <r>
      <rPr>
        <sz val="10"/>
        <color rgb="FF000000"/>
        <rFont val="Noto Sans CJK SC"/>
        <family val="2"/>
      </rPr>
      <t xml:space="preserve">貿易及其他應付款項表「應付算力服務費」（第 </t>
    </r>
    <r>
      <rPr>
        <sz val="10"/>
        <color rgb="FF000000"/>
        <rFont val="Arial"/>
        <family val="0"/>
        <charset val="1"/>
      </rPr>
      <t xml:space="preserve">286 </t>
    </r>
    <r>
      <rPr>
        <sz val="10"/>
        <color rgb="FF000000"/>
        <rFont val="Noto Sans CJK SC"/>
        <family val="2"/>
      </rPr>
      <t xml:space="preserve">頁＝印 </t>
    </r>
    <r>
      <rPr>
        <sz val="10"/>
        <color rgb="FF000000"/>
        <rFont val="Arial"/>
        <family val="0"/>
        <charset val="1"/>
      </rPr>
      <t xml:space="preserve">277</t>
    </r>
    <r>
      <rPr>
        <sz val="10"/>
        <color rgb="FF000000"/>
        <rFont val="Noto Sans CJK SC"/>
        <family val="2"/>
      </rPr>
      <t xml:space="preserve">；附註 </t>
    </r>
    <r>
      <rPr>
        <sz val="10"/>
        <color rgb="FF000000"/>
        <rFont val="Arial"/>
        <family val="0"/>
        <charset val="1"/>
      </rPr>
      <t xml:space="preserve">22(a)</t>
    </r>
    <r>
      <rPr>
        <sz val="10"/>
        <color rgb="FF000000"/>
        <rFont val="Noto Sans CJK SC"/>
        <family val="2"/>
      </rPr>
      <t xml:space="preserve">）；千元值 </t>
    </r>
    <r>
      <rPr>
        <sz val="10"/>
        <color rgb="FF000000"/>
        <rFont val="Arial"/>
        <family val="0"/>
        <charset val="1"/>
      </rPr>
      <t xml:space="preserve">104,536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</si>
  <si>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SRC_ZP_801</t>
  </si>
  <si>
    <t xml:space="preserve">payable_compute_fy24_p</t>
  </si>
  <si>
    <r>
      <rPr>
        <sz val="10"/>
        <color rgb="FF000000"/>
        <rFont val="Noto Sans CJK SC"/>
        <family val="2"/>
      </rPr>
      <t xml:space="preserve">貿易及其他應付款項表「應付算力服務費」（第 </t>
    </r>
    <r>
      <rPr>
        <sz val="10"/>
        <color rgb="FF000000"/>
        <rFont val="Arial"/>
        <family val="0"/>
        <charset val="1"/>
      </rPr>
      <t xml:space="preserve">286 </t>
    </r>
    <r>
      <rPr>
        <sz val="10"/>
        <color rgb="FF000000"/>
        <rFont val="Noto Sans CJK SC"/>
        <family val="2"/>
      </rPr>
      <t xml:space="preserve">頁＝印 </t>
    </r>
    <r>
      <rPr>
        <sz val="10"/>
        <color rgb="FF000000"/>
        <rFont val="Arial"/>
        <family val="0"/>
        <charset val="1"/>
      </rPr>
      <t xml:space="preserve">277</t>
    </r>
    <r>
      <rPr>
        <sz val="10"/>
        <color rgb="FF000000"/>
        <rFont val="Noto Sans CJK SC"/>
        <family val="2"/>
      </rPr>
      <t xml:space="preserve">；附註 </t>
    </r>
    <r>
      <rPr>
        <sz val="10"/>
        <color rgb="FF000000"/>
        <rFont val="Arial"/>
        <family val="0"/>
        <charset val="1"/>
      </rPr>
      <t xml:space="preserve">22(a)</t>
    </r>
    <r>
      <rPr>
        <sz val="10"/>
        <color rgb="FF000000"/>
        <rFont val="Noto Sans CJK SC"/>
        <family val="2"/>
      </rPr>
      <t xml:space="preserve">）；千元值 </t>
    </r>
    <r>
      <rPr>
        <sz val="10"/>
        <color rgb="FF000000"/>
        <rFont val="Arial"/>
        <family val="0"/>
        <charset val="1"/>
      </rPr>
      <t xml:space="preserve">269,467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換算成億；升級為一手來源；值相同（年度公告比較數）</t>
    </r>
  </si>
  <si>
    <t xml:space="preserve">SRC_ZP_802</t>
  </si>
  <si>
    <t xml:space="preserve">payable_compute_1h25</t>
  </si>
  <si>
    <r>
      <rPr>
        <sz val="10"/>
        <color rgb="FF000000"/>
        <rFont val="Noto Sans CJK SC"/>
        <family val="2"/>
      </rPr>
      <t xml:space="preserve">貿易及其他應付款項表「應付算力服務費」（第 </t>
    </r>
    <r>
      <rPr>
        <sz val="10"/>
        <color rgb="FF000000"/>
        <rFont val="Arial"/>
        <family val="0"/>
        <charset val="1"/>
      </rPr>
      <t xml:space="preserve">286 </t>
    </r>
    <r>
      <rPr>
        <sz val="10"/>
        <color rgb="FF000000"/>
        <rFont val="Noto Sans CJK SC"/>
        <family val="2"/>
      </rPr>
      <t xml:space="preserve">頁＝印 </t>
    </r>
    <r>
      <rPr>
        <sz val="10"/>
        <color rgb="FF000000"/>
        <rFont val="Arial"/>
        <family val="0"/>
        <charset val="1"/>
      </rPr>
      <t xml:space="preserve">277</t>
    </r>
    <r>
      <rPr>
        <sz val="10"/>
        <color rgb="FF000000"/>
        <rFont val="Noto Sans CJK SC"/>
        <family val="2"/>
      </rPr>
      <t xml:space="preserve">；附註 </t>
    </r>
    <r>
      <rPr>
        <sz val="10"/>
        <color rgb="FF000000"/>
        <rFont val="Arial"/>
        <family val="0"/>
        <charset val="1"/>
      </rPr>
      <t xml:space="preserve">22(a)</t>
    </r>
    <r>
      <rPr>
        <sz val="10"/>
        <color rgb="FF000000"/>
        <rFont val="Noto Sans CJK SC"/>
        <family val="2"/>
      </rPr>
      <t xml:space="preserve">）；千元值 </t>
    </r>
    <r>
      <rPr>
        <sz val="10"/>
        <color rgb="FF000000"/>
        <rFont val="Arial"/>
        <family val="0"/>
        <charset val="1"/>
      </rPr>
      <t xml:space="preserve">495,348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</si>
  <si>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SRC_ZP_803</t>
  </si>
  <si>
    <t xml:space="preserve">payables_trade_other_fy22</t>
  </si>
  <si>
    <t xml:space="preserve">貿易及其他應付款項合計</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</si>
  <si>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277–278 </t>
    </r>
    <r>
      <rPr>
        <sz val="10"/>
        <color rgb="FF000000"/>
        <rFont val="Noto Sans CJK SC"/>
        <family val="2"/>
      </rPr>
      <t xml:space="preserve">頁</t>
    </r>
  </si>
  <si>
    <r>
      <rPr>
        <sz val="10"/>
        <color rgb="FF000000"/>
        <rFont val="Noto Sans CJK SC"/>
        <family val="2"/>
      </rPr>
      <t xml:space="preserve">綜合財務狀況表（第 </t>
    </r>
    <r>
      <rPr>
        <sz val="10"/>
        <color rgb="FF000000"/>
        <rFont val="Arial"/>
        <family val="0"/>
        <charset val="1"/>
      </rPr>
      <t xml:space="preserve">277–278 </t>
    </r>
    <r>
      <rPr>
        <sz val="10"/>
        <color rgb="FF000000"/>
        <rFont val="Noto Sans CJK SC"/>
        <family val="2"/>
      </rPr>
      <t xml:space="preserve">頁）；千元值 </t>
    </r>
    <r>
      <rPr>
        <sz val="10"/>
        <color rgb="FF000000"/>
        <rFont val="Arial"/>
        <family val="0"/>
        <charset val="1"/>
      </rPr>
      <t xml:space="preserve">25,834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</si>
  <si>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SRC_ZP_804</t>
  </si>
  <si>
    <t xml:space="preserve">payables_trade_other_fy23</t>
  </si>
  <si>
    <r>
      <rPr>
        <sz val="10"/>
        <color rgb="FF000000"/>
        <rFont val="Noto Sans CJK SC"/>
        <family val="2"/>
      </rPr>
      <t xml:space="preserve">綜合財務狀況表（第 </t>
    </r>
    <r>
      <rPr>
        <sz val="10"/>
        <color rgb="FF000000"/>
        <rFont val="Arial"/>
        <family val="0"/>
        <charset val="1"/>
      </rPr>
      <t xml:space="preserve">277–278 </t>
    </r>
    <r>
      <rPr>
        <sz val="10"/>
        <color rgb="FF000000"/>
        <rFont val="Noto Sans CJK SC"/>
        <family val="2"/>
      </rPr>
      <t xml:space="preserve">頁）；千元值 </t>
    </r>
    <r>
      <rPr>
        <sz val="10"/>
        <color rgb="FF000000"/>
        <rFont val="Arial"/>
        <family val="0"/>
        <charset val="1"/>
      </rPr>
      <t xml:space="preserve">288,197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</si>
  <si>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SRC_ZP_805</t>
  </si>
  <si>
    <t xml:space="preserve">payables_trade_other_fy24</t>
  </si>
  <si>
    <r>
      <rPr>
        <sz val="10"/>
        <color rgb="FF000000"/>
        <rFont val="Noto Sans CJK SC"/>
        <family val="2"/>
      </rPr>
      <t xml:space="preserve">綜合財務狀況表（第 </t>
    </r>
    <r>
      <rPr>
        <sz val="10"/>
        <color rgb="FF000000"/>
        <rFont val="Arial"/>
        <family val="0"/>
        <charset val="1"/>
      </rPr>
      <t xml:space="preserve">277–278 </t>
    </r>
    <r>
      <rPr>
        <sz val="10"/>
        <color rgb="FF000000"/>
        <rFont val="Noto Sans CJK SC"/>
        <family val="2"/>
      </rPr>
      <t xml:space="preserve">頁）；千元值 </t>
    </r>
    <r>
      <rPr>
        <sz val="10"/>
        <color rgb="FF000000"/>
        <rFont val="Arial"/>
        <family val="0"/>
        <charset val="1"/>
      </rPr>
      <t xml:space="preserve">603,488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</si>
  <si>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SRC_ZP_806</t>
  </si>
  <si>
    <t xml:space="preserve">payables_trade_other_1h25</t>
  </si>
  <si>
    <r>
      <rPr>
        <sz val="10"/>
        <color rgb="FF000000"/>
        <rFont val="Noto Sans CJK SC"/>
        <family val="2"/>
      </rPr>
      <t xml:space="preserve">綜合財務狀況表（第 </t>
    </r>
    <r>
      <rPr>
        <sz val="10"/>
        <color rgb="FF000000"/>
        <rFont val="Arial"/>
        <family val="0"/>
        <charset val="1"/>
      </rPr>
      <t xml:space="preserve">277–278 </t>
    </r>
    <r>
      <rPr>
        <sz val="10"/>
        <color rgb="FF000000"/>
        <rFont val="Noto Sans CJK SC"/>
        <family val="2"/>
      </rPr>
      <t xml:space="preserve">頁）；千元值 </t>
    </r>
    <r>
      <rPr>
        <sz val="10"/>
        <color rgb="FF000000"/>
        <rFont val="Arial"/>
        <family val="0"/>
        <charset val="1"/>
      </rPr>
      <t xml:space="preserve">838,417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</si>
  <si>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SRC_ZP_807</t>
  </si>
  <si>
    <t xml:space="preserve">payables_trade_other_oct25</t>
  </si>
  <si>
    <t xml:space="preserve">未經審計（招股章程財務資料節）</t>
  </si>
  <si>
    <r>
      <rPr>
        <sz val="10"/>
        <color rgb="FF000000"/>
        <rFont val="Noto Sans CJK SC"/>
        <family val="2"/>
      </rPr>
      <t xml:space="preserve">綜合財務狀況表（第 </t>
    </r>
    <r>
      <rPr>
        <sz val="10"/>
        <color rgb="FF000000"/>
        <rFont val="Arial"/>
        <family val="0"/>
        <charset val="1"/>
      </rPr>
      <t xml:space="preserve">277–278 </t>
    </r>
    <r>
      <rPr>
        <sz val="10"/>
        <color rgb="FF000000"/>
        <rFont val="Noto Sans CJK SC"/>
        <family val="2"/>
      </rPr>
      <t xml:space="preserve">頁）；千元值 </t>
    </r>
    <r>
      <rPr>
        <sz val="10"/>
        <color rgb="FF000000"/>
        <rFont val="Arial"/>
        <family val="0"/>
        <charset val="1"/>
      </rPr>
      <t xml:space="preserve">1,209,354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</si>
  <si>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SRC_ZP_808</t>
  </si>
  <si>
    <t xml:space="preserve">commit_capital</t>
  </si>
  <si>
    <t xml:space="preserve">重大資本承擔</t>
  </si>
  <si>
    <r>
      <rPr>
        <sz val="10"/>
        <color rgb="FF000000"/>
        <rFont val="Arial"/>
        <family val="0"/>
        <charset val="1"/>
      </rPr>
      <t xml:space="preserve">2022-12-31</t>
    </r>
    <r>
      <rPr>
        <sz val="10"/>
        <color rgb="FF000000"/>
        <rFont val="Noto Sans CJK SC"/>
        <family val="2"/>
      </rPr>
      <t xml:space="preserve">～</t>
    </r>
    <r>
      <rPr>
        <sz val="10"/>
        <color rgb="FF000000"/>
        <rFont val="Arial"/>
        <family val="0"/>
        <charset val="1"/>
      </rPr>
      <t xml:space="preserve">2025-06-30</t>
    </r>
  </si>
  <si>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295 </t>
    </r>
    <r>
      <rPr>
        <sz val="10"/>
        <color rgb="FF000000"/>
        <rFont val="Noto Sans CJK SC"/>
        <family val="2"/>
      </rPr>
      <t xml:space="preserve">頁</t>
    </r>
  </si>
  <si>
    <r>
      <rPr>
        <sz val="10"/>
        <color rgb="FF000000"/>
        <rFont val="Noto Sans CJK SC"/>
        <family val="2"/>
      </rPr>
      <t xml:space="preserve">原文（第 </t>
    </r>
    <r>
      <rPr>
        <sz val="10"/>
        <color rgb="FF000000"/>
        <rFont val="Arial"/>
        <family val="0"/>
        <charset val="1"/>
      </rPr>
      <t xml:space="preserve">295 </t>
    </r>
    <r>
      <rPr>
        <sz val="10"/>
        <color rgb="FF000000"/>
        <rFont val="Noto Sans CJK SC"/>
        <family val="2"/>
      </rPr>
      <t xml:space="preserve">頁＝印 </t>
    </r>
    <r>
      <rPr>
        <sz val="10"/>
        <color rgb="FF000000"/>
        <rFont val="Arial"/>
        <family val="0"/>
        <charset val="1"/>
      </rPr>
      <t xml:space="preserve">286</t>
    </r>
    <r>
      <rPr>
        <sz val="10"/>
        <color rgb="FF000000"/>
        <rFont val="Noto Sans CJK SC"/>
        <family val="2"/>
      </rPr>
      <t xml:space="preserve">）「截至 </t>
    </r>
    <r>
      <rPr>
        <sz val="10"/>
        <color rgb="FF000000"/>
        <rFont val="Arial"/>
        <family val="0"/>
        <charset val="1"/>
      </rPr>
      <t xml:space="preserve">2022 </t>
    </r>
    <r>
      <rPr>
        <sz val="10"/>
        <color rgb="FF000000"/>
        <rFont val="Noto Sans CJK SC"/>
        <family val="2"/>
      </rPr>
      <t xml:space="preserve">年、</t>
    </r>
    <r>
      <rPr>
        <sz val="10"/>
        <color rgb="FF000000"/>
        <rFont val="Arial"/>
        <family val="0"/>
        <charset val="1"/>
      </rPr>
      <t xml:space="preserve">2023 </t>
    </r>
    <r>
      <rPr>
        <sz val="10"/>
        <color rgb="FF000000"/>
        <rFont val="Noto Sans CJK SC"/>
        <family val="2"/>
      </rPr>
      <t xml:space="preserve">年及 </t>
    </r>
    <r>
      <rPr>
        <sz val="10"/>
        <color rgb="FF000000"/>
        <rFont val="Arial"/>
        <family val="0"/>
        <charset val="1"/>
      </rPr>
      <t xml:space="preserve">2024 </t>
    </r>
    <r>
      <rPr>
        <sz val="10"/>
        <color rgb="FF000000"/>
        <rFont val="Noto Sans CJK SC"/>
        <family val="2"/>
      </rPr>
      <t xml:space="preserve">年 </t>
    </r>
    <r>
      <rPr>
        <sz val="10"/>
        <color rgb="FF000000"/>
        <rFont val="Arial"/>
        <family val="0"/>
        <charset val="1"/>
      </rPr>
      <t xml:space="preserve">12 </t>
    </r>
    <r>
      <rPr>
        <sz val="10"/>
        <color rgb="FF000000"/>
        <rFont val="Noto Sans CJK SC"/>
        <family val="2"/>
      </rPr>
      <t xml:space="preserve">月 </t>
    </r>
    <r>
      <rPr>
        <sz val="10"/>
        <color rgb="FF000000"/>
        <rFont val="Arial"/>
        <family val="0"/>
        <charset val="1"/>
      </rPr>
      <t xml:space="preserve">31 </t>
    </r>
    <r>
      <rPr>
        <sz val="10"/>
        <color rgb="FF000000"/>
        <rFont val="Noto Sans CJK SC"/>
        <family val="2"/>
      </rPr>
      <t xml:space="preserve">日以及截至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 </t>
    </r>
    <r>
      <rPr>
        <sz val="10"/>
        <color rgb="FF000000"/>
        <rFont val="Arial"/>
        <family val="0"/>
        <charset val="1"/>
      </rPr>
      <t xml:space="preserve">30 </t>
    </r>
    <r>
      <rPr>
        <sz val="10"/>
        <color rgb="FF000000"/>
        <rFont val="Noto Sans CJK SC"/>
        <family val="2"/>
      </rPr>
      <t xml:space="preserve">日，我們沒有任何重大資本承擔」；未見算力採購承諾或照付不議條款披露</t>
    </r>
  </si>
  <si>
    <t xml:space="preserve">SRC_ZP_809</t>
  </si>
  <si>
    <t xml:space="preserve">offbs</t>
  </si>
  <si>
    <t xml:space="preserve">資產負債表外安排</t>
  </si>
  <si>
    <t xml:space="preserve">最後實際可行日期</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</si>
  <si>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297 </t>
    </r>
    <r>
      <rPr>
        <sz val="10"/>
        <color rgb="FF000000"/>
        <rFont val="Noto Sans CJK SC"/>
        <family val="2"/>
      </rPr>
      <t xml:space="preserve">頁</t>
    </r>
  </si>
  <si>
    <r>
      <rPr>
        <sz val="10"/>
        <color rgb="FF000000"/>
        <rFont val="Noto Sans CJK SC"/>
        <family val="2"/>
      </rPr>
      <t xml:space="preserve">原文「截至最後實際可行日期，我們並無訂立任何資產負債表外交易或安排」；第 </t>
    </r>
    <r>
      <rPr>
        <sz val="10"/>
        <color rgb="FF000000"/>
        <rFont val="Arial"/>
        <family val="0"/>
        <charset val="1"/>
      </rPr>
      <t xml:space="preserve">292 </t>
    </r>
    <r>
      <rPr>
        <sz val="10"/>
        <color rgb="FF000000"/>
        <rFont val="Noto Sans CJK SC"/>
        <family val="2"/>
      </rPr>
      <t xml:space="preserve">頁亦稱無其他借款、擔保、租購承擔</t>
    </r>
  </si>
  <si>
    <t xml:space="preserve">SRC_ZP_810</t>
  </si>
  <si>
    <t xml:space="preserve">no_own_dc</t>
  </si>
  <si>
    <r>
      <rPr>
        <sz val="10"/>
        <color rgb="FF000000"/>
        <rFont val="Noto Sans CJK SC"/>
        <family val="2"/>
      </rPr>
      <t xml:space="preserve">自建 </t>
    </r>
    <r>
      <rPr>
        <sz val="10"/>
        <color rgb="FF000000"/>
        <rFont val="Arial"/>
        <family val="0"/>
        <charset val="1"/>
      </rPr>
      <t xml:space="preserve">AI </t>
    </r>
    <r>
      <rPr>
        <sz val="10"/>
        <color rgb="FF000000"/>
        <rFont val="Noto Sans CJK SC"/>
        <family val="2"/>
      </rPr>
      <t xml:space="preserve">資料中心計畫</t>
    </r>
  </si>
  <si>
    <r>
      <rPr>
        <sz val="10"/>
        <color rgb="FF000000"/>
        <rFont val="Noto Sans CJK SC"/>
        <family val="2"/>
      </rPr>
      <t xml:space="preserve">是否（</t>
    </r>
    <r>
      <rPr>
        <sz val="10"/>
        <color rgb="FF000000"/>
        <rFont val="Arial"/>
        <family val="0"/>
        <charset val="1"/>
      </rPr>
      <t xml:space="preserve">0</t>
    </r>
    <r>
      <rPr>
        <sz val="10"/>
        <color rgb="FF000000"/>
        <rFont val="Noto Sans CJK SC"/>
        <family val="2"/>
      </rPr>
      <t xml:space="preserve">＝無）</t>
    </r>
  </si>
  <si>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223 </t>
    </r>
    <r>
      <rPr>
        <sz val="10"/>
        <color rgb="FF000000"/>
        <rFont val="Noto Sans CJK SC"/>
        <family val="2"/>
      </rPr>
      <t xml:space="preserve">頁</t>
    </r>
  </si>
  <si>
    <r>
      <rPr>
        <sz val="10"/>
        <color rgb="FF000000"/>
        <rFont val="Noto Sans CJK SC"/>
        <family val="2"/>
      </rPr>
      <t xml:space="preserve">原文（第 </t>
    </r>
    <r>
      <rPr>
        <sz val="10"/>
        <color rgb="FF000000"/>
        <rFont val="Arial"/>
        <family val="0"/>
        <charset val="1"/>
      </rPr>
      <t xml:space="preserve">223 </t>
    </r>
    <r>
      <rPr>
        <sz val="10"/>
        <color rgb="FF000000"/>
        <rFont val="Noto Sans CJK SC"/>
        <family val="2"/>
      </rPr>
      <t xml:space="preserve">頁＝印 </t>
    </r>
    <r>
      <rPr>
        <sz val="10"/>
        <color rgb="FF000000"/>
        <rFont val="Arial"/>
        <family val="0"/>
        <charset val="1"/>
      </rPr>
      <t xml:space="preserve">214</t>
    </r>
    <r>
      <rPr>
        <sz val="10"/>
        <color rgb="FF000000"/>
        <rFont val="Noto Sans CJK SC"/>
        <family val="2"/>
      </rPr>
      <t xml:space="preserve">）「由於我們並無計劃開發我們自身的</t>
    </r>
    <r>
      <rPr>
        <sz val="10"/>
        <color rgb="FF000000"/>
        <rFont val="Arial"/>
        <family val="0"/>
        <charset val="1"/>
      </rPr>
      <t xml:space="preserve">AI</t>
    </r>
    <r>
      <rPr>
        <sz val="10"/>
        <color rgb="FF000000"/>
        <rFont val="Noto Sans CJK SC"/>
        <family val="2"/>
      </rPr>
      <t xml:space="preserve">數據中心，此對我們的業務並無不利影響…我們從中國聲譽良好的雲計算服務提供商採購算力資源」</t>
    </r>
  </si>
  <si>
    <t xml:space="preserve">SRC_ZP_811</t>
  </si>
  <si>
    <t xml:space="preserve">lease_liab_total_fy22</t>
  </si>
  <si>
    <t xml:space="preserve">租賃負債合計（流動＋非流動）</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</si>
  <si>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292 </t>
    </r>
    <r>
      <rPr>
        <sz val="10"/>
        <color rgb="FF000000"/>
        <rFont val="Noto Sans CJK SC"/>
        <family val="2"/>
      </rPr>
      <t xml:space="preserve">頁</t>
    </r>
  </si>
  <si>
    <r>
      <rPr>
        <sz val="10"/>
        <color rgb="FF000000"/>
        <rFont val="Noto Sans CJK SC"/>
        <family val="2"/>
      </rPr>
      <t xml:space="preserve">債務表及原文「租賃負債分別為人民幣 </t>
    </r>
    <r>
      <rPr>
        <sz val="10"/>
        <color rgb="FF000000"/>
        <rFont val="Arial"/>
        <family val="0"/>
        <charset val="1"/>
      </rPr>
      <t xml:space="preserve">12.8</t>
    </r>
    <r>
      <rPr>
        <sz val="10"/>
        <color rgb="FF000000"/>
        <rFont val="Noto Sans CJK SC"/>
        <family val="2"/>
      </rPr>
      <t xml:space="preserve">、</t>
    </r>
    <r>
      <rPr>
        <sz val="10"/>
        <color rgb="FF000000"/>
        <rFont val="Arial"/>
        <family val="0"/>
        <charset val="1"/>
      </rPr>
      <t xml:space="preserve">270.9</t>
    </r>
    <r>
      <rPr>
        <sz val="10"/>
        <color rgb="FF000000"/>
        <rFont val="Noto Sans CJK SC"/>
        <family val="2"/>
      </rPr>
      <t xml:space="preserve">、</t>
    </r>
    <r>
      <rPr>
        <sz val="10"/>
        <color rgb="FF000000"/>
        <rFont val="Arial"/>
        <family val="0"/>
        <charset val="1"/>
      </rPr>
      <t xml:space="preserve">671.3</t>
    </r>
    <r>
      <rPr>
        <sz val="10"/>
        <color rgb="FF000000"/>
        <rFont val="Noto Sans CJK SC"/>
        <family val="2"/>
      </rPr>
      <t xml:space="preserve">、</t>
    </r>
    <r>
      <rPr>
        <sz val="10"/>
        <color rgb="FF000000"/>
        <rFont val="Arial"/>
        <family val="0"/>
        <charset val="1"/>
      </rPr>
      <t xml:space="preserve">599.6 </t>
    </r>
    <r>
      <rPr>
        <sz val="10"/>
        <color rgb="FF000000"/>
        <rFont val="Noto Sans CJK SC"/>
        <family val="2"/>
      </rPr>
      <t xml:space="preserve">及 </t>
    </r>
    <r>
      <rPr>
        <sz val="10"/>
        <color rgb="FF000000"/>
        <rFont val="Arial"/>
        <family val="0"/>
        <charset val="1"/>
      </rPr>
      <t xml:space="preserve">565.4 </t>
    </r>
    <r>
      <rPr>
        <sz val="10"/>
        <color rgb="FF000000"/>
        <rFont val="Noto Sans CJK SC"/>
        <family val="2"/>
      </rPr>
      <t xml:space="preserve">百萬元」（第 </t>
    </r>
    <r>
      <rPr>
        <sz val="10"/>
        <color rgb="FF000000"/>
        <rFont val="Arial"/>
        <family val="0"/>
        <charset val="1"/>
      </rPr>
      <t xml:space="preserve">292 </t>
    </r>
    <r>
      <rPr>
        <sz val="10"/>
        <color rgb="FF000000"/>
        <rFont val="Noto Sans CJK SC"/>
        <family val="2"/>
      </rPr>
      <t xml:space="preserve">頁＝印 </t>
    </r>
    <r>
      <rPr>
        <sz val="10"/>
        <color rgb="FF000000"/>
        <rFont val="Arial"/>
        <family val="0"/>
        <charset val="1"/>
      </rPr>
      <t xml:space="preserve">283</t>
    </r>
    <r>
      <rPr>
        <sz val="10"/>
        <color rgb="FF000000"/>
        <rFont val="Noto Sans CJK SC"/>
        <family val="2"/>
      </rPr>
      <t xml:space="preserve">）；「主要與我們的辦公室租賃及算力硬件有關」；</t>
    </r>
    <r>
      <rPr>
        <sz val="10"/>
        <color rgb="FF000000"/>
        <rFont val="Arial"/>
        <family val="0"/>
        <charset val="1"/>
      </rPr>
      <t xml:space="preserve">2025-10-31 </t>
    </r>
    <r>
      <rPr>
        <sz val="10"/>
        <color rgb="FF000000"/>
        <rFont val="Noto Sans CJK SC"/>
        <family val="2"/>
      </rPr>
      <t xml:space="preserve">為 </t>
    </r>
    <r>
      <rPr>
        <sz val="10"/>
        <color rgb="FF000000"/>
        <rFont val="Arial"/>
        <family val="0"/>
        <charset val="1"/>
      </rPr>
      <t xml:space="preserve">216,879</t>
    </r>
    <r>
      <rPr>
        <sz val="10"/>
        <color rgb="FF000000"/>
        <rFont val="Noto Sans CJK SC"/>
        <family val="2"/>
      </rPr>
      <t xml:space="preserve">＋</t>
    </r>
    <r>
      <rPr>
        <sz val="10"/>
        <color rgb="FF000000"/>
        <rFont val="Arial"/>
        <family val="0"/>
        <charset val="1"/>
      </rPr>
      <t xml:space="preserve">348,528</t>
    </r>
    <r>
      <rPr>
        <sz val="10"/>
        <color rgb="FF000000"/>
        <rFont val="Noto Sans CJK SC"/>
        <family val="2"/>
      </rPr>
      <t xml:space="preserve">；千元值 </t>
    </r>
    <r>
      <rPr>
        <sz val="10"/>
        <color rgb="FF000000"/>
        <rFont val="Arial"/>
        <family val="0"/>
        <charset val="1"/>
      </rPr>
      <t xml:space="preserve">12,832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</si>
  <si>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SRC_ZP_812</t>
  </si>
  <si>
    <t xml:space="preserve">lease_liab_total_fy23</t>
  </si>
  <si>
    <r>
      <rPr>
        <sz val="10"/>
        <color rgb="FF000000"/>
        <rFont val="Noto Sans CJK SC"/>
        <family val="2"/>
      </rPr>
      <t xml:space="preserve">債務表及原文「租賃負債分別為人民幣 </t>
    </r>
    <r>
      <rPr>
        <sz val="10"/>
        <color rgb="FF000000"/>
        <rFont val="Arial"/>
        <family val="0"/>
        <charset val="1"/>
      </rPr>
      <t xml:space="preserve">12.8</t>
    </r>
    <r>
      <rPr>
        <sz val="10"/>
        <color rgb="FF000000"/>
        <rFont val="Noto Sans CJK SC"/>
        <family val="2"/>
      </rPr>
      <t xml:space="preserve">、</t>
    </r>
    <r>
      <rPr>
        <sz val="10"/>
        <color rgb="FF000000"/>
        <rFont val="Arial"/>
        <family val="0"/>
        <charset val="1"/>
      </rPr>
      <t xml:space="preserve">270.9</t>
    </r>
    <r>
      <rPr>
        <sz val="10"/>
        <color rgb="FF000000"/>
        <rFont val="Noto Sans CJK SC"/>
        <family val="2"/>
      </rPr>
      <t xml:space="preserve">、</t>
    </r>
    <r>
      <rPr>
        <sz val="10"/>
        <color rgb="FF000000"/>
        <rFont val="Arial"/>
        <family val="0"/>
        <charset val="1"/>
      </rPr>
      <t xml:space="preserve">671.3</t>
    </r>
    <r>
      <rPr>
        <sz val="10"/>
        <color rgb="FF000000"/>
        <rFont val="Noto Sans CJK SC"/>
        <family val="2"/>
      </rPr>
      <t xml:space="preserve">、</t>
    </r>
    <r>
      <rPr>
        <sz val="10"/>
        <color rgb="FF000000"/>
        <rFont val="Arial"/>
        <family val="0"/>
        <charset val="1"/>
      </rPr>
      <t xml:space="preserve">599.6 </t>
    </r>
    <r>
      <rPr>
        <sz val="10"/>
        <color rgb="FF000000"/>
        <rFont val="Noto Sans CJK SC"/>
        <family val="2"/>
      </rPr>
      <t xml:space="preserve">及 </t>
    </r>
    <r>
      <rPr>
        <sz val="10"/>
        <color rgb="FF000000"/>
        <rFont val="Arial"/>
        <family val="0"/>
        <charset val="1"/>
      </rPr>
      <t xml:space="preserve">565.4 </t>
    </r>
    <r>
      <rPr>
        <sz val="10"/>
        <color rgb="FF000000"/>
        <rFont val="Noto Sans CJK SC"/>
        <family val="2"/>
      </rPr>
      <t xml:space="preserve">百萬元」（第 </t>
    </r>
    <r>
      <rPr>
        <sz val="10"/>
        <color rgb="FF000000"/>
        <rFont val="Arial"/>
        <family val="0"/>
        <charset val="1"/>
      </rPr>
      <t xml:space="preserve">292 </t>
    </r>
    <r>
      <rPr>
        <sz val="10"/>
        <color rgb="FF000000"/>
        <rFont val="Noto Sans CJK SC"/>
        <family val="2"/>
      </rPr>
      <t xml:space="preserve">頁＝印 </t>
    </r>
    <r>
      <rPr>
        <sz val="10"/>
        <color rgb="FF000000"/>
        <rFont val="Arial"/>
        <family val="0"/>
        <charset val="1"/>
      </rPr>
      <t xml:space="preserve">283</t>
    </r>
    <r>
      <rPr>
        <sz val="10"/>
        <color rgb="FF000000"/>
        <rFont val="Noto Sans CJK SC"/>
        <family val="2"/>
      </rPr>
      <t xml:space="preserve">）；「主要與我們的辦公室租賃及算力硬件有關」；</t>
    </r>
    <r>
      <rPr>
        <sz val="10"/>
        <color rgb="FF000000"/>
        <rFont val="Arial"/>
        <family val="0"/>
        <charset val="1"/>
      </rPr>
      <t xml:space="preserve">2025-10-31 </t>
    </r>
    <r>
      <rPr>
        <sz val="10"/>
        <color rgb="FF000000"/>
        <rFont val="Noto Sans CJK SC"/>
        <family val="2"/>
      </rPr>
      <t xml:space="preserve">為 </t>
    </r>
    <r>
      <rPr>
        <sz val="10"/>
        <color rgb="FF000000"/>
        <rFont val="Arial"/>
        <family val="0"/>
        <charset val="1"/>
      </rPr>
      <t xml:space="preserve">216,879</t>
    </r>
    <r>
      <rPr>
        <sz val="10"/>
        <color rgb="FF000000"/>
        <rFont val="Noto Sans CJK SC"/>
        <family val="2"/>
      </rPr>
      <t xml:space="preserve">＋</t>
    </r>
    <r>
      <rPr>
        <sz val="10"/>
        <color rgb="FF000000"/>
        <rFont val="Arial"/>
        <family val="0"/>
        <charset val="1"/>
      </rPr>
      <t xml:space="preserve">348,528</t>
    </r>
    <r>
      <rPr>
        <sz val="10"/>
        <color rgb="FF000000"/>
        <rFont val="Noto Sans CJK SC"/>
        <family val="2"/>
      </rPr>
      <t xml:space="preserve">；千元值 </t>
    </r>
    <r>
      <rPr>
        <sz val="10"/>
        <color rgb="FF000000"/>
        <rFont val="Arial"/>
        <family val="0"/>
        <charset val="1"/>
      </rPr>
      <t xml:space="preserve">270,882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</si>
  <si>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SRC_ZP_813</t>
  </si>
  <si>
    <t xml:space="preserve">lease_liab_total_fy24</t>
  </si>
  <si>
    <r>
      <rPr>
        <sz val="10"/>
        <color rgb="FF000000"/>
        <rFont val="Noto Sans CJK SC"/>
        <family val="2"/>
      </rPr>
      <t xml:space="preserve">債務表及原文「租賃負債分別為人民幣 </t>
    </r>
    <r>
      <rPr>
        <sz val="10"/>
        <color rgb="FF000000"/>
        <rFont val="Arial"/>
        <family val="0"/>
        <charset val="1"/>
      </rPr>
      <t xml:space="preserve">12.8</t>
    </r>
    <r>
      <rPr>
        <sz val="10"/>
        <color rgb="FF000000"/>
        <rFont val="Noto Sans CJK SC"/>
        <family val="2"/>
      </rPr>
      <t xml:space="preserve">、</t>
    </r>
    <r>
      <rPr>
        <sz val="10"/>
        <color rgb="FF000000"/>
        <rFont val="Arial"/>
        <family val="0"/>
        <charset val="1"/>
      </rPr>
      <t xml:space="preserve">270.9</t>
    </r>
    <r>
      <rPr>
        <sz val="10"/>
        <color rgb="FF000000"/>
        <rFont val="Noto Sans CJK SC"/>
        <family val="2"/>
      </rPr>
      <t xml:space="preserve">、</t>
    </r>
    <r>
      <rPr>
        <sz val="10"/>
        <color rgb="FF000000"/>
        <rFont val="Arial"/>
        <family val="0"/>
        <charset val="1"/>
      </rPr>
      <t xml:space="preserve">671.3</t>
    </r>
    <r>
      <rPr>
        <sz val="10"/>
        <color rgb="FF000000"/>
        <rFont val="Noto Sans CJK SC"/>
        <family val="2"/>
      </rPr>
      <t xml:space="preserve">、</t>
    </r>
    <r>
      <rPr>
        <sz val="10"/>
        <color rgb="FF000000"/>
        <rFont val="Arial"/>
        <family val="0"/>
        <charset val="1"/>
      </rPr>
      <t xml:space="preserve">599.6 </t>
    </r>
    <r>
      <rPr>
        <sz val="10"/>
        <color rgb="FF000000"/>
        <rFont val="Noto Sans CJK SC"/>
        <family val="2"/>
      </rPr>
      <t xml:space="preserve">及 </t>
    </r>
    <r>
      <rPr>
        <sz val="10"/>
        <color rgb="FF000000"/>
        <rFont val="Arial"/>
        <family val="0"/>
        <charset val="1"/>
      </rPr>
      <t xml:space="preserve">565.4 </t>
    </r>
    <r>
      <rPr>
        <sz val="10"/>
        <color rgb="FF000000"/>
        <rFont val="Noto Sans CJK SC"/>
        <family val="2"/>
      </rPr>
      <t xml:space="preserve">百萬元」（第 </t>
    </r>
    <r>
      <rPr>
        <sz val="10"/>
        <color rgb="FF000000"/>
        <rFont val="Arial"/>
        <family val="0"/>
        <charset val="1"/>
      </rPr>
      <t xml:space="preserve">292 </t>
    </r>
    <r>
      <rPr>
        <sz val="10"/>
        <color rgb="FF000000"/>
        <rFont val="Noto Sans CJK SC"/>
        <family val="2"/>
      </rPr>
      <t xml:space="preserve">頁＝印 </t>
    </r>
    <r>
      <rPr>
        <sz val="10"/>
        <color rgb="FF000000"/>
        <rFont val="Arial"/>
        <family val="0"/>
        <charset val="1"/>
      </rPr>
      <t xml:space="preserve">283</t>
    </r>
    <r>
      <rPr>
        <sz val="10"/>
        <color rgb="FF000000"/>
        <rFont val="Noto Sans CJK SC"/>
        <family val="2"/>
      </rPr>
      <t xml:space="preserve">）；「主要與我們的辦公室租賃及算力硬件有關」；</t>
    </r>
    <r>
      <rPr>
        <sz val="10"/>
        <color rgb="FF000000"/>
        <rFont val="Arial"/>
        <family val="0"/>
        <charset val="1"/>
      </rPr>
      <t xml:space="preserve">2025-10-31 </t>
    </r>
    <r>
      <rPr>
        <sz val="10"/>
        <color rgb="FF000000"/>
        <rFont val="Noto Sans CJK SC"/>
        <family val="2"/>
      </rPr>
      <t xml:space="preserve">為 </t>
    </r>
    <r>
      <rPr>
        <sz val="10"/>
        <color rgb="FF000000"/>
        <rFont val="Arial"/>
        <family val="0"/>
        <charset val="1"/>
      </rPr>
      <t xml:space="preserve">216,879</t>
    </r>
    <r>
      <rPr>
        <sz val="10"/>
        <color rgb="FF000000"/>
        <rFont val="Noto Sans CJK SC"/>
        <family val="2"/>
      </rPr>
      <t xml:space="preserve">＋</t>
    </r>
    <r>
      <rPr>
        <sz val="10"/>
        <color rgb="FF000000"/>
        <rFont val="Arial"/>
        <family val="0"/>
        <charset val="1"/>
      </rPr>
      <t xml:space="preserve">348,528</t>
    </r>
    <r>
      <rPr>
        <sz val="10"/>
        <color rgb="FF000000"/>
        <rFont val="Noto Sans CJK SC"/>
        <family val="2"/>
      </rPr>
      <t xml:space="preserve">；千元值 </t>
    </r>
    <r>
      <rPr>
        <sz val="10"/>
        <color rgb="FF000000"/>
        <rFont val="Arial"/>
        <family val="0"/>
        <charset val="1"/>
      </rPr>
      <t xml:space="preserve">671,268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換算成億；升級為一手來源；值相同</t>
    </r>
  </si>
  <si>
    <t xml:space="preserve">SRC_ZP_814</t>
  </si>
  <si>
    <t xml:space="preserve">lease_liab_total_1h25</t>
  </si>
  <si>
    <r>
      <rPr>
        <sz val="10"/>
        <color rgb="FF000000"/>
        <rFont val="Noto Sans CJK SC"/>
        <family val="2"/>
      </rPr>
      <t xml:space="preserve">債務表及原文「租賃負債分別為人民幣 </t>
    </r>
    <r>
      <rPr>
        <sz val="10"/>
        <color rgb="FF000000"/>
        <rFont val="Arial"/>
        <family val="0"/>
        <charset val="1"/>
      </rPr>
      <t xml:space="preserve">12.8</t>
    </r>
    <r>
      <rPr>
        <sz val="10"/>
        <color rgb="FF000000"/>
        <rFont val="Noto Sans CJK SC"/>
        <family val="2"/>
      </rPr>
      <t xml:space="preserve">、</t>
    </r>
    <r>
      <rPr>
        <sz val="10"/>
        <color rgb="FF000000"/>
        <rFont val="Arial"/>
        <family val="0"/>
        <charset val="1"/>
      </rPr>
      <t xml:space="preserve">270.9</t>
    </r>
    <r>
      <rPr>
        <sz val="10"/>
        <color rgb="FF000000"/>
        <rFont val="Noto Sans CJK SC"/>
        <family val="2"/>
      </rPr>
      <t xml:space="preserve">、</t>
    </r>
    <r>
      <rPr>
        <sz val="10"/>
        <color rgb="FF000000"/>
        <rFont val="Arial"/>
        <family val="0"/>
        <charset val="1"/>
      </rPr>
      <t xml:space="preserve">671.3</t>
    </r>
    <r>
      <rPr>
        <sz val="10"/>
        <color rgb="FF000000"/>
        <rFont val="Noto Sans CJK SC"/>
        <family val="2"/>
      </rPr>
      <t xml:space="preserve">、</t>
    </r>
    <r>
      <rPr>
        <sz val="10"/>
        <color rgb="FF000000"/>
        <rFont val="Arial"/>
        <family val="0"/>
        <charset val="1"/>
      </rPr>
      <t xml:space="preserve">599.6 </t>
    </r>
    <r>
      <rPr>
        <sz val="10"/>
        <color rgb="FF000000"/>
        <rFont val="Noto Sans CJK SC"/>
        <family val="2"/>
      </rPr>
      <t xml:space="preserve">及 </t>
    </r>
    <r>
      <rPr>
        <sz val="10"/>
        <color rgb="FF000000"/>
        <rFont val="Arial"/>
        <family val="0"/>
        <charset val="1"/>
      </rPr>
      <t xml:space="preserve">565.4 </t>
    </r>
    <r>
      <rPr>
        <sz val="10"/>
        <color rgb="FF000000"/>
        <rFont val="Noto Sans CJK SC"/>
        <family val="2"/>
      </rPr>
      <t xml:space="preserve">百萬元」（第 </t>
    </r>
    <r>
      <rPr>
        <sz val="10"/>
        <color rgb="FF000000"/>
        <rFont val="Arial"/>
        <family val="0"/>
        <charset val="1"/>
      </rPr>
      <t xml:space="preserve">292 </t>
    </r>
    <r>
      <rPr>
        <sz val="10"/>
        <color rgb="FF000000"/>
        <rFont val="Noto Sans CJK SC"/>
        <family val="2"/>
      </rPr>
      <t xml:space="preserve">頁＝印 </t>
    </r>
    <r>
      <rPr>
        <sz val="10"/>
        <color rgb="FF000000"/>
        <rFont val="Arial"/>
        <family val="0"/>
        <charset val="1"/>
      </rPr>
      <t xml:space="preserve">283</t>
    </r>
    <r>
      <rPr>
        <sz val="10"/>
        <color rgb="FF000000"/>
        <rFont val="Noto Sans CJK SC"/>
        <family val="2"/>
      </rPr>
      <t xml:space="preserve">）；「主要與我們的辦公室租賃及算力硬件有關」；</t>
    </r>
    <r>
      <rPr>
        <sz val="10"/>
        <color rgb="FF000000"/>
        <rFont val="Arial"/>
        <family val="0"/>
        <charset val="1"/>
      </rPr>
      <t xml:space="preserve">2025-10-31 </t>
    </r>
    <r>
      <rPr>
        <sz val="10"/>
        <color rgb="FF000000"/>
        <rFont val="Noto Sans CJK SC"/>
        <family val="2"/>
      </rPr>
      <t xml:space="preserve">為 </t>
    </r>
    <r>
      <rPr>
        <sz val="10"/>
        <color rgb="FF000000"/>
        <rFont val="Arial"/>
        <family val="0"/>
        <charset val="1"/>
      </rPr>
      <t xml:space="preserve">216,879</t>
    </r>
    <r>
      <rPr>
        <sz val="10"/>
        <color rgb="FF000000"/>
        <rFont val="Noto Sans CJK SC"/>
        <family val="2"/>
      </rPr>
      <t xml:space="preserve">＋</t>
    </r>
    <r>
      <rPr>
        <sz val="10"/>
        <color rgb="FF000000"/>
        <rFont val="Arial"/>
        <family val="0"/>
        <charset val="1"/>
      </rPr>
      <t xml:space="preserve">348,528</t>
    </r>
    <r>
      <rPr>
        <sz val="10"/>
        <color rgb="FF000000"/>
        <rFont val="Noto Sans CJK SC"/>
        <family val="2"/>
      </rPr>
      <t xml:space="preserve">；千元值 </t>
    </r>
    <r>
      <rPr>
        <sz val="10"/>
        <color rgb="FF000000"/>
        <rFont val="Arial"/>
        <family val="0"/>
        <charset val="1"/>
      </rPr>
      <t xml:space="preserve">599,590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</si>
  <si>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SRC_ZP_815</t>
  </si>
  <si>
    <t xml:space="preserve">lease_liab_total_oct25</t>
  </si>
  <si>
    <r>
      <rPr>
        <sz val="10"/>
        <color rgb="FF000000"/>
        <rFont val="Noto Sans CJK SC"/>
        <family val="2"/>
      </rPr>
      <t xml:space="preserve">債務表及原文「租賃負債分別為人民幣 </t>
    </r>
    <r>
      <rPr>
        <sz val="10"/>
        <color rgb="FF000000"/>
        <rFont val="Arial"/>
        <family val="0"/>
        <charset val="1"/>
      </rPr>
      <t xml:space="preserve">12.8</t>
    </r>
    <r>
      <rPr>
        <sz val="10"/>
        <color rgb="FF000000"/>
        <rFont val="Noto Sans CJK SC"/>
        <family val="2"/>
      </rPr>
      <t xml:space="preserve">、</t>
    </r>
    <r>
      <rPr>
        <sz val="10"/>
        <color rgb="FF000000"/>
        <rFont val="Arial"/>
        <family val="0"/>
        <charset val="1"/>
      </rPr>
      <t xml:space="preserve">270.9</t>
    </r>
    <r>
      <rPr>
        <sz val="10"/>
        <color rgb="FF000000"/>
        <rFont val="Noto Sans CJK SC"/>
        <family val="2"/>
      </rPr>
      <t xml:space="preserve">、</t>
    </r>
    <r>
      <rPr>
        <sz val="10"/>
        <color rgb="FF000000"/>
        <rFont val="Arial"/>
        <family val="0"/>
        <charset val="1"/>
      </rPr>
      <t xml:space="preserve">671.3</t>
    </r>
    <r>
      <rPr>
        <sz val="10"/>
        <color rgb="FF000000"/>
        <rFont val="Noto Sans CJK SC"/>
        <family val="2"/>
      </rPr>
      <t xml:space="preserve">、</t>
    </r>
    <r>
      <rPr>
        <sz val="10"/>
        <color rgb="FF000000"/>
        <rFont val="Arial"/>
        <family val="0"/>
        <charset val="1"/>
      </rPr>
      <t xml:space="preserve">599.6 </t>
    </r>
    <r>
      <rPr>
        <sz val="10"/>
        <color rgb="FF000000"/>
        <rFont val="Noto Sans CJK SC"/>
        <family val="2"/>
      </rPr>
      <t xml:space="preserve">及 </t>
    </r>
    <r>
      <rPr>
        <sz val="10"/>
        <color rgb="FF000000"/>
        <rFont val="Arial"/>
        <family val="0"/>
        <charset val="1"/>
      </rPr>
      <t xml:space="preserve">565.4 </t>
    </r>
    <r>
      <rPr>
        <sz val="10"/>
        <color rgb="FF000000"/>
        <rFont val="Noto Sans CJK SC"/>
        <family val="2"/>
      </rPr>
      <t xml:space="preserve">百萬元」（第 </t>
    </r>
    <r>
      <rPr>
        <sz val="10"/>
        <color rgb="FF000000"/>
        <rFont val="Arial"/>
        <family val="0"/>
        <charset val="1"/>
      </rPr>
      <t xml:space="preserve">292 </t>
    </r>
    <r>
      <rPr>
        <sz val="10"/>
        <color rgb="FF000000"/>
        <rFont val="Noto Sans CJK SC"/>
        <family val="2"/>
      </rPr>
      <t xml:space="preserve">頁＝印 </t>
    </r>
    <r>
      <rPr>
        <sz val="10"/>
        <color rgb="FF000000"/>
        <rFont val="Arial"/>
        <family val="0"/>
        <charset val="1"/>
      </rPr>
      <t xml:space="preserve">283</t>
    </r>
    <r>
      <rPr>
        <sz val="10"/>
        <color rgb="FF000000"/>
        <rFont val="Noto Sans CJK SC"/>
        <family val="2"/>
      </rPr>
      <t xml:space="preserve">）；「主要與我們的辦公室租賃及算力硬件有關」；</t>
    </r>
    <r>
      <rPr>
        <sz val="10"/>
        <color rgb="FF000000"/>
        <rFont val="Arial"/>
        <family val="0"/>
        <charset val="1"/>
      </rPr>
      <t xml:space="preserve">2025-10-31 </t>
    </r>
    <r>
      <rPr>
        <sz val="10"/>
        <color rgb="FF000000"/>
        <rFont val="Noto Sans CJK SC"/>
        <family val="2"/>
      </rPr>
      <t xml:space="preserve">為 </t>
    </r>
    <r>
      <rPr>
        <sz val="10"/>
        <color rgb="FF000000"/>
        <rFont val="Arial"/>
        <family val="0"/>
        <charset val="1"/>
      </rPr>
      <t xml:space="preserve">216,879</t>
    </r>
    <r>
      <rPr>
        <sz val="10"/>
        <color rgb="FF000000"/>
        <rFont val="Noto Sans CJK SC"/>
        <family val="2"/>
      </rPr>
      <t xml:space="preserve">＋</t>
    </r>
    <r>
      <rPr>
        <sz val="10"/>
        <color rgb="FF000000"/>
        <rFont val="Arial"/>
        <family val="0"/>
        <charset val="1"/>
      </rPr>
      <t xml:space="preserve">348,528</t>
    </r>
    <r>
      <rPr>
        <sz val="10"/>
        <color rgb="FF000000"/>
        <rFont val="Noto Sans CJK SC"/>
        <family val="2"/>
      </rPr>
      <t xml:space="preserve">；千元值 </t>
    </r>
    <r>
      <rPr>
        <sz val="10"/>
        <color rgb="FF000000"/>
        <rFont val="Arial"/>
        <family val="0"/>
        <charset val="1"/>
      </rPr>
      <t xml:space="preserve">565,407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</si>
  <si>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SRC_ZP_816</t>
  </si>
  <si>
    <t xml:space="preserve">lease_liab_le1y_fy22</t>
  </si>
  <si>
    <r>
      <rPr>
        <sz val="10"/>
        <color rgb="FF000000"/>
        <rFont val="Noto Sans CJK SC"/>
        <family val="2"/>
      </rPr>
      <t xml:space="preserve">租賃負債到期：</t>
    </r>
    <r>
      <rPr>
        <sz val="10"/>
        <color rgb="FF000000"/>
        <rFont val="Arial"/>
        <family val="0"/>
        <charset val="1"/>
      </rPr>
      <t xml:space="preserve">1 </t>
    </r>
    <r>
      <rPr>
        <sz val="10"/>
        <color rgb="FF000000"/>
        <rFont val="Noto Sans CJK SC"/>
        <family val="2"/>
      </rPr>
      <t xml:space="preserve">年內</t>
    </r>
  </si>
  <si>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410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</si>
  <si>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（第 </t>
    </r>
    <r>
      <rPr>
        <sz val="10"/>
        <color rgb="FF000000"/>
        <rFont val="Arial"/>
        <family val="0"/>
        <charset val="1"/>
      </rPr>
      <t xml:space="preserve">410 </t>
    </r>
    <r>
      <rPr>
        <sz val="10"/>
        <color rgb="FF000000"/>
        <rFont val="Noto Sans CJK SC"/>
        <family val="2"/>
      </rPr>
      <t xml:space="preserve">頁＝印 </t>
    </r>
    <r>
      <rPr>
        <sz val="10"/>
        <color rgb="FF000000"/>
        <rFont val="Arial"/>
        <family val="0"/>
        <charset val="1"/>
      </rPr>
      <t xml:space="preserve">I-67</t>
    </r>
    <r>
      <rPr>
        <sz val="10"/>
        <color rgb="FF000000"/>
        <rFont val="Noto Sans CJK SC"/>
        <family val="2"/>
      </rPr>
      <t xml:space="preserve">）；千元值 </t>
    </r>
    <r>
      <rPr>
        <sz val="10"/>
        <color rgb="FF000000"/>
        <rFont val="Arial"/>
        <family val="0"/>
        <charset val="1"/>
      </rPr>
      <t xml:space="preserve">12,832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</si>
  <si>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SRC_ZP_817</t>
  </si>
  <si>
    <t xml:space="preserve">lease_liab_le1y_fy23</t>
  </si>
  <si>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（第 </t>
    </r>
    <r>
      <rPr>
        <sz val="10"/>
        <color rgb="FF000000"/>
        <rFont val="Arial"/>
        <family val="0"/>
        <charset val="1"/>
      </rPr>
      <t xml:space="preserve">410 </t>
    </r>
    <r>
      <rPr>
        <sz val="10"/>
        <color rgb="FF000000"/>
        <rFont val="Noto Sans CJK SC"/>
        <family val="2"/>
      </rPr>
      <t xml:space="preserve">頁＝印 </t>
    </r>
    <r>
      <rPr>
        <sz val="10"/>
        <color rgb="FF000000"/>
        <rFont val="Arial"/>
        <family val="0"/>
        <charset val="1"/>
      </rPr>
      <t xml:space="preserve">I-67</t>
    </r>
    <r>
      <rPr>
        <sz val="10"/>
        <color rgb="FF000000"/>
        <rFont val="Noto Sans CJK SC"/>
        <family val="2"/>
      </rPr>
      <t xml:space="preserve">）；千元值 </t>
    </r>
    <r>
      <rPr>
        <sz val="10"/>
        <color rgb="FF000000"/>
        <rFont val="Arial"/>
        <family val="0"/>
        <charset val="1"/>
      </rPr>
      <t xml:space="preserve">66,765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</si>
  <si>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SRC_ZP_818</t>
  </si>
  <si>
    <t xml:space="preserve">lease_liab_le1y_fy24</t>
  </si>
  <si>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（第 </t>
    </r>
    <r>
      <rPr>
        <sz val="10"/>
        <color rgb="FF000000"/>
        <rFont val="Arial"/>
        <family val="0"/>
        <charset val="1"/>
      </rPr>
      <t xml:space="preserve">410 </t>
    </r>
    <r>
      <rPr>
        <sz val="10"/>
        <color rgb="FF000000"/>
        <rFont val="Noto Sans CJK SC"/>
        <family val="2"/>
      </rPr>
      <t xml:space="preserve">頁＝印 </t>
    </r>
    <r>
      <rPr>
        <sz val="10"/>
        <color rgb="FF000000"/>
        <rFont val="Arial"/>
        <family val="0"/>
        <charset val="1"/>
      </rPr>
      <t xml:space="preserve">I-67</t>
    </r>
    <r>
      <rPr>
        <sz val="10"/>
        <color rgb="FF000000"/>
        <rFont val="Noto Sans CJK SC"/>
        <family val="2"/>
      </rPr>
      <t xml:space="preserve">）；千元值 </t>
    </r>
    <r>
      <rPr>
        <sz val="10"/>
        <color rgb="FF000000"/>
        <rFont val="Arial"/>
        <family val="0"/>
        <charset val="1"/>
      </rPr>
      <t xml:space="preserve">213,161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</si>
  <si>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SRC_ZP_819</t>
  </si>
  <si>
    <t xml:space="preserve">lease_liab_le1y_1h25</t>
  </si>
  <si>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（第 </t>
    </r>
    <r>
      <rPr>
        <sz val="10"/>
        <color rgb="FF000000"/>
        <rFont val="Arial"/>
        <family val="0"/>
        <charset val="1"/>
      </rPr>
      <t xml:space="preserve">410 </t>
    </r>
    <r>
      <rPr>
        <sz val="10"/>
        <color rgb="FF000000"/>
        <rFont val="Noto Sans CJK SC"/>
        <family val="2"/>
      </rPr>
      <t xml:space="preserve">頁＝印 </t>
    </r>
    <r>
      <rPr>
        <sz val="10"/>
        <color rgb="FF000000"/>
        <rFont val="Arial"/>
        <family val="0"/>
        <charset val="1"/>
      </rPr>
      <t xml:space="preserve">I-67</t>
    </r>
    <r>
      <rPr>
        <sz val="10"/>
        <color rgb="FF000000"/>
        <rFont val="Noto Sans CJK SC"/>
        <family val="2"/>
      </rPr>
      <t xml:space="preserve">）；千元值 </t>
    </r>
    <r>
      <rPr>
        <sz val="10"/>
        <color rgb="FF000000"/>
        <rFont val="Arial"/>
        <family val="0"/>
        <charset val="1"/>
      </rPr>
      <t xml:space="preserve">213,458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</si>
  <si>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SRC_ZP_820</t>
  </si>
  <si>
    <t xml:space="preserve">lease_liab_1to2y_fy22</t>
  </si>
  <si>
    <r>
      <rPr>
        <sz val="10"/>
        <color rgb="FF000000"/>
        <rFont val="Noto Sans CJK SC"/>
        <family val="2"/>
      </rPr>
      <t xml:space="preserve">租賃負債到期：</t>
    </r>
    <r>
      <rPr>
        <sz val="10"/>
        <color rgb="FF000000"/>
        <rFont val="Arial"/>
        <family val="0"/>
        <charset val="1"/>
      </rPr>
      <t xml:space="preserve">1–2 </t>
    </r>
    <r>
      <rPr>
        <sz val="10"/>
        <color rgb="FF000000"/>
        <rFont val="Noto Sans CJK SC"/>
        <family val="2"/>
      </rPr>
      <t xml:space="preserve">年</t>
    </r>
  </si>
  <si>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</si>
  <si>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SRC_ZP_821</t>
  </si>
  <si>
    <t xml:space="preserve">lease_liab_1to2y_fy23</t>
  </si>
  <si>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；千元值 </t>
    </r>
    <r>
      <rPr>
        <sz val="10"/>
        <color rgb="FF000000"/>
        <rFont val="Arial"/>
        <family val="0"/>
        <charset val="1"/>
      </rPr>
      <t xml:space="preserve">47,367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</si>
  <si>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SRC_ZP_822</t>
  </si>
  <si>
    <t xml:space="preserve">lease_liab_1to2y_fy24</t>
  </si>
  <si>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；千元值 </t>
    </r>
    <r>
      <rPr>
        <sz val="10"/>
        <color rgb="FF000000"/>
        <rFont val="Arial"/>
        <family val="0"/>
        <charset val="1"/>
      </rPr>
      <t xml:space="preserve">205,437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</si>
  <si>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SRC_ZP_823</t>
  </si>
  <si>
    <t xml:space="preserve">lease_liab_1to2y_1h25</t>
  </si>
  <si>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；千元值 </t>
    </r>
    <r>
      <rPr>
        <sz val="10"/>
        <color rgb="FF000000"/>
        <rFont val="Arial"/>
        <family val="0"/>
        <charset val="1"/>
      </rPr>
      <t xml:space="preserve">174,836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</si>
  <si>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SRC_ZP_824</t>
  </si>
  <si>
    <t xml:space="preserve">lease_liab_2to5y_fy22</t>
  </si>
  <si>
    <r>
      <rPr>
        <sz val="10"/>
        <color rgb="FF000000"/>
        <rFont val="Noto Sans CJK SC"/>
        <family val="2"/>
      </rPr>
      <t xml:space="preserve">租賃負債到期：</t>
    </r>
    <r>
      <rPr>
        <sz val="10"/>
        <color rgb="FF000000"/>
        <rFont val="Arial"/>
        <family val="0"/>
        <charset val="1"/>
      </rPr>
      <t xml:space="preserve">2–5 </t>
    </r>
    <r>
      <rPr>
        <sz val="10"/>
        <color rgb="FF000000"/>
        <rFont val="Noto Sans CJK SC"/>
        <family val="2"/>
      </rPr>
      <t xml:space="preserve">年</t>
    </r>
  </si>
  <si>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；租約「於 </t>
    </r>
    <r>
      <rPr>
        <sz val="10"/>
        <color rgb="FF000000"/>
        <rFont val="Arial"/>
        <family val="0"/>
        <charset val="1"/>
      </rPr>
      <t xml:space="preserve">1 </t>
    </r>
    <r>
      <rPr>
        <sz val="10"/>
        <color rgb="FF000000"/>
        <rFont val="Noto Sans CJK SC"/>
        <family val="2"/>
      </rPr>
      <t xml:space="preserve">至 </t>
    </r>
    <r>
      <rPr>
        <sz val="10"/>
        <color rgb="FF000000"/>
        <rFont val="Arial"/>
        <family val="0"/>
        <charset val="1"/>
      </rPr>
      <t xml:space="preserve">5 </t>
    </r>
    <r>
      <rPr>
        <sz val="10"/>
        <color rgb="FF000000"/>
        <rFont val="Noto Sans CJK SC"/>
        <family val="2"/>
      </rPr>
      <t xml:space="preserve">年內到期」；千元值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</si>
  <si>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SRC_ZP_825</t>
  </si>
  <si>
    <t xml:space="preserve">lease_liab_2to5y_fy23</t>
  </si>
  <si>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；租約「於 </t>
    </r>
    <r>
      <rPr>
        <sz val="10"/>
        <color rgb="FF000000"/>
        <rFont val="Arial"/>
        <family val="0"/>
        <charset val="1"/>
      </rPr>
      <t xml:space="preserve">1 </t>
    </r>
    <r>
      <rPr>
        <sz val="10"/>
        <color rgb="FF000000"/>
        <rFont val="Noto Sans CJK SC"/>
        <family val="2"/>
      </rPr>
      <t xml:space="preserve">至 </t>
    </r>
    <r>
      <rPr>
        <sz val="10"/>
        <color rgb="FF000000"/>
        <rFont val="Arial"/>
        <family val="0"/>
        <charset val="1"/>
      </rPr>
      <t xml:space="preserve">5 </t>
    </r>
    <r>
      <rPr>
        <sz val="10"/>
        <color rgb="FF000000"/>
        <rFont val="Noto Sans CJK SC"/>
        <family val="2"/>
      </rPr>
      <t xml:space="preserve">年內到期」；千元值 </t>
    </r>
    <r>
      <rPr>
        <sz val="10"/>
        <color rgb="FF000000"/>
        <rFont val="Arial"/>
        <family val="0"/>
        <charset val="1"/>
      </rPr>
      <t xml:space="preserve">156,750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</si>
  <si>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SRC_ZP_826</t>
  </si>
  <si>
    <t xml:space="preserve">lease_liab_2to5y_fy24</t>
  </si>
  <si>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；租約「於 </t>
    </r>
    <r>
      <rPr>
        <sz val="10"/>
        <color rgb="FF000000"/>
        <rFont val="Arial"/>
        <family val="0"/>
        <charset val="1"/>
      </rPr>
      <t xml:space="preserve">1 </t>
    </r>
    <r>
      <rPr>
        <sz val="10"/>
        <color rgb="FF000000"/>
        <rFont val="Noto Sans CJK SC"/>
        <family val="2"/>
      </rPr>
      <t xml:space="preserve">至 </t>
    </r>
    <r>
      <rPr>
        <sz val="10"/>
        <color rgb="FF000000"/>
        <rFont val="Arial"/>
        <family val="0"/>
        <charset val="1"/>
      </rPr>
      <t xml:space="preserve">5 </t>
    </r>
    <r>
      <rPr>
        <sz val="10"/>
        <color rgb="FF000000"/>
        <rFont val="Noto Sans CJK SC"/>
        <family val="2"/>
      </rPr>
      <t xml:space="preserve">年內到期」；千元值 </t>
    </r>
    <r>
      <rPr>
        <sz val="10"/>
        <color rgb="FF000000"/>
        <rFont val="Arial"/>
        <family val="0"/>
        <charset val="1"/>
      </rPr>
      <t xml:space="preserve">252,670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</si>
  <si>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SRC_ZP_827</t>
  </si>
  <si>
    <t xml:space="preserve">lease_liab_2to5y_1h25</t>
  </si>
  <si>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；租約「於 </t>
    </r>
    <r>
      <rPr>
        <sz val="10"/>
        <color rgb="FF000000"/>
        <rFont val="Arial"/>
        <family val="0"/>
        <charset val="1"/>
      </rPr>
      <t xml:space="preserve">1 </t>
    </r>
    <r>
      <rPr>
        <sz val="10"/>
        <color rgb="FF000000"/>
        <rFont val="Noto Sans CJK SC"/>
        <family val="2"/>
      </rPr>
      <t xml:space="preserve">至 </t>
    </r>
    <r>
      <rPr>
        <sz val="10"/>
        <color rgb="FF000000"/>
        <rFont val="Arial"/>
        <family val="0"/>
        <charset val="1"/>
      </rPr>
      <t xml:space="preserve">5 </t>
    </r>
    <r>
      <rPr>
        <sz val="10"/>
        <color rgb="FF000000"/>
        <rFont val="Noto Sans CJK SC"/>
        <family val="2"/>
      </rPr>
      <t xml:space="preserve">年內到期」；千元值 </t>
    </r>
    <r>
      <rPr>
        <sz val="10"/>
        <color rgb="FF000000"/>
        <rFont val="Arial"/>
        <family val="0"/>
        <charset val="1"/>
      </rPr>
      <t xml:space="preserve">211,296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</si>
  <si>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SRC_ZP_828</t>
  </si>
  <si>
    <t xml:space="preserve">lease_rate</t>
  </si>
  <si>
    <t xml:space="preserve">租賃負債實際利率</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</si>
  <si>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424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</si>
  <si>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31(d) </t>
    </r>
    <r>
      <rPr>
        <sz val="10"/>
        <color rgb="FF000000"/>
        <rFont val="Noto Sans CJK SC"/>
        <family val="2"/>
      </rPr>
      <t xml:space="preserve">利率概況表「租賃負債 </t>
    </r>
    <r>
      <rPr>
        <sz val="10"/>
        <color rgb="FF000000"/>
        <rFont val="Arial"/>
        <family val="0"/>
        <charset val="1"/>
      </rPr>
      <t xml:space="preserve">4.75%</t>
    </r>
    <r>
      <rPr>
        <sz val="10"/>
        <color rgb="FF000000"/>
        <rFont val="Noto Sans CJK SC"/>
        <family val="2"/>
      </rPr>
      <t xml:space="preserve">」（第 </t>
    </r>
    <r>
      <rPr>
        <sz val="10"/>
        <color rgb="FF000000"/>
        <rFont val="Arial"/>
        <family val="0"/>
        <charset val="1"/>
      </rPr>
      <t xml:space="preserve">424 </t>
    </r>
    <r>
      <rPr>
        <sz val="10"/>
        <color rgb="FF000000"/>
        <rFont val="Noto Sans CJK SC"/>
        <family val="2"/>
      </rPr>
      <t xml:space="preserve">頁＝印 </t>
    </r>
    <r>
      <rPr>
        <sz val="10"/>
        <color rgb="FF000000"/>
        <rFont val="Arial"/>
        <family val="0"/>
        <charset val="1"/>
      </rPr>
      <t xml:space="preserve">I-81</t>
    </r>
    <r>
      <rPr>
        <sz val="10"/>
        <color rgb="FF000000"/>
        <rFont val="Noto Sans CJK SC"/>
        <family val="2"/>
      </rPr>
      <t xml:space="preserve">），四期相同</t>
    </r>
  </si>
  <si>
    <t xml:space="preserve">SRC_ZP_829</t>
  </si>
  <si>
    <t xml:space="preserve">lease_cash_total_fy22</t>
  </si>
  <si>
    <t xml:space="preserve">租賃現金流出總額（經營＋融資）</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</si>
  <si>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408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</si>
  <si>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21(d)</t>
    </r>
    <r>
      <rPr>
        <sz val="10"/>
        <color rgb="FF000000"/>
        <rFont val="Noto Sans CJK SC"/>
        <family val="2"/>
      </rPr>
      <t xml:space="preserve">（第 </t>
    </r>
    <r>
      <rPr>
        <sz val="10"/>
        <color rgb="FF000000"/>
        <rFont val="Arial"/>
        <family val="0"/>
        <charset val="1"/>
      </rPr>
      <t xml:space="preserve">408 </t>
    </r>
    <r>
      <rPr>
        <sz val="10"/>
        <color rgb="FF000000"/>
        <rFont val="Noto Sans CJK SC"/>
        <family val="2"/>
      </rPr>
      <t xml:space="preserve">頁＝印 </t>
    </r>
    <r>
      <rPr>
        <sz val="10"/>
        <color rgb="FF000000"/>
        <rFont val="Arial"/>
        <family val="0"/>
        <charset val="1"/>
      </rPr>
      <t xml:space="preserve">I-65</t>
    </r>
    <r>
      <rPr>
        <sz val="10"/>
        <color rgb="FF000000"/>
        <rFont val="Noto Sans CJK SC"/>
        <family val="2"/>
      </rPr>
      <t xml:space="preserve">）；計入經營（短期租賃）</t>
    </r>
    <r>
      <rPr>
        <sz val="10"/>
        <color rgb="FF000000"/>
        <rFont val="Arial"/>
        <family val="0"/>
        <charset val="1"/>
      </rPr>
      <t xml:space="preserve">2,383/5,537/9,070/4,211/5,909</t>
    </r>
    <r>
      <rPr>
        <sz val="10"/>
        <color rgb="FF000000"/>
        <rFont val="Noto Sans CJK SC"/>
        <family val="2"/>
      </rPr>
      <t xml:space="preserve">；千元值 </t>
    </r>
    <r>
      <rPr>
        <sz val="10"/>
        <color rgb="FF000000"/>
        <rFont val="Arial"/>
        <family val="0"/>
        <charset val="1"/>
      </rPr>
      <t xml:space="preserve">14,281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</si>
  <si>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SRC_ZP_830</t>
  </si>
  <si>
    <t xml:space="preserve">lease_cash_total_fy23</t>
  </si>
  <si>
    <r>
      <rPr>
        <sz val="10"/>
        <color rgb="FF000000"/>
        <rFont val="Noto Sans CJK SC"/>
        <family val="2"/>
      </rPr>
      <t xml:space="preserve">附註 </t>
    </r>
    <r>
      <rPr>
        <sz val="10"/>
        <color rgb="FF000000"/>
        <rFont val="Arial"/>
        <family val="0"/>
        <charset val="1"/>
      </rPr>
      <t xml:space="preserve">21(d)</t>
    </r>
    <r>
      <rPr>
        <sz val="10"/>
        <color rgb="FF000000"/>
        <rFont val="Noto Sans CJK SC"/>
        <family val="2"/>
      </rPr>
      <t xml:space="preserve">（第 </t>
    </r>
    <r>
      <rPr>
        <sz val="10"/>
        <color rgb="FF000000"/>
        <rFont val="Arial"/>
        <family val="0"/>
        <charset val="1"/>
      </rPr>
      <t xml:space="preserve">408 </t>
    </r>
    <r>
      <rPr>
        <sz val="10"/>
        <color rgb="FF000000"/>
        <rFont val="Noto Sans CJK SC"/>
        <family val="2"/>
      </rPr>
      <t xml:space="preserve">頁＝印 </t>
    </r>
    <r>
      <rPr>
        <sz val="10"/>
        <color rgb="FF000000"/>
        <rFont val="Arial"/>
        <family val="0"/>
        <charset val="1"/>
      </rPr>
      <t xml:space="preserve">I-65</t>
    </r>
    <r>
      <rPr>
        <sz val="10"/>
        <color rgb="FF000000"/>
        <rFont val="Noto Sans CJK SC"/>
        <family val="2"/>
      </rPr>
      <t xml:space="preserve">）；計入經營（短期租賃）</t>
    </r>
    <r>
      <rPr>
        <sz val="10"/>
        <color rgb="FF000000"/>
        <rFont val="Arial"/>
        <family val="0"/>
        <charset val="1"/>
      </rPr>
      <t xml:space="preserve">2,383/5,537/9,070/4,211/5,909</t>
    </r>
    <r>
      <rPr>
        <sz val="10"/>
        <color rgb="FF000000"/>
        <rFont val="Noto Sans CJK SC"/>
        <family val="2"/>
      </rPr>
      <t xml:space="preserve">；千元值 </t>
    </r>
    <r>
      <rPr>
        <sz val="10"/>
        <color rgb="FF000000"/>
        <rFont val="Arial"/>
        <family val="0"/>
        <charset val="1"/>
      </rPr>
      <t xml:space="preserve">44,864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</si>
  <si>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SRC_ZP_831</t>
  </si>
  <si>
    <t xml:space="preserve">lease_cash_total_fy24</t>
  </si>
  <si>
    <r>
      <rPr>
        <sz val="10"/>
        <color rgb="FF000000"/>
        <rFont val="Noto Sans CJK SC"/>
        <family val="2"/>
      </rPr>
      <t xml:space="preserve">附註 </t>
    </r>
    <r>
      <rPr>
        <sz val="10"/>
        <color rgb="FF000000"/>
        <rFont val="Arial"/>
        <family val="0"/>
        <charset val="1"/>
      </rPr>
      <t xml:space="preserve">21(d)</t>
    </r>
    <r>
      <rPr>
        <sz val="10"/>
        <color rgb="FF000000"/>
        <rFont val="Noto Sans CJK SC"/>
        <family val="2"/>
      </rPr>
      <t xml:space="preserve">（第 </t>
    </r>
    <r>
      <rPr>
        <sz val="10"/>
        <color rgb="FF000000"/>
        <rFont val="Arial"/>
        <family val="0"/>
        <charset val="1"/>
      </rPr>
      <t xml:space="preserve">408 </t>
    </r>
    <r>
      <rPr>
        <sz val="10"/>
        <color rgb="FF000000"/>
        <rFont val="Noto Sans CJK SC"/>
        <family val="2"/>
      </rPr>
      <t xml:space="preserve">頁＝印 </t>
    </r>
    <r>
      <rPr>
        <sz val="10"/>
        <color rgb="FF000000"/>
        <rFont val="Arial"/>
        <family val="0"/>
        <charset val="1"/>
      </rPr>
      <t xml:space="preserve">I-65</t>
    </r>
    <r>
      <rPr>
        <sz val="10"/>
        <color rgb="FF000000"/>
        <rFont val="Noto Sans CJK SC"/>
        <family val="2"/>
      </rPr>
      <t xml:space="preserve">）；計入經營（短期租賃）</t>
    </r>
    <r>
      <rPr>
        <sz val="10"/>
        <color rgb="FF000000"/>
        <rFont val="Arial"/>
        <family val="0"/>
        <charset val="1"/>
      </rPr>
      <t xml:space="preserve">2,383/5,537/9,070/4,211/5,909</t>
    </r>
    <r>
      <rPr>
        <sz val="10"/>
        <color rgb="FF000000"/>
        <rFont val="Noto Sans CJK SC"/>
        <family val="2"/>
      </rPr>
      <t xml:space="preserve">；千元值 </t>
    </r>
    <r>
      <rPr>
        <sz val="10"/>
        <color rgb="FF000000"/>
        <rFont val="Arial"/>
        <family val="0"/>
        <charset val="1"/>
      </rPr>
      <t xml:space="preserve">187,388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</si>
  <si>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SRC_ZP_832</t>
  </si>
  <si>
    <t xml:space="preserve">lease_cash_total_1h24</t>
  </si>
  <si>
    <r>
      <rPr>
        <sz val="10"/>
        <color rgb="FF000000"/>
        <rFont val="Noto Sans CJK SC"/>
        <family val="2"/>
      </rPr>
      <t xml:space="preserve">經審閱（未經審計；畢馬威依 </t>
    </r>
    <r>
      <rPr>
        <sz val="10"/>
        <color rgb="FF000000"/>
        <rFont val="Arial"/>
        <family val="0"/>
        <charset val="1"/>
      </rPr>
      <t xml:space="preserve">HKSRE 2410 </t>
    </r>
    <r>
      <rPr>
        <sz val="10"/>
        <color rgb="FF000000"/>
        <rFont val="Noto Sans CJK SC"/>
        <family val="2"/>
      </rPr>
      <t xml:space="preserve">審閱）</t>
    </r>
  </si>
  <si>
    <r>
      <rPr>
        <sz val="10"/>
        <color rgb="FF000000"/>
        <rFont val="Noto Sans CJK SC"/>
        <family val="2"/>
      </rPr>
      <t xml:space="preserve">附註 </t>
    </r>
    <r>
      <rPr>
        <sz val="10"/>
        <color rgb="FF000000"/>
        <rFont val="Arial"/>
        <family val="0"/>
        <charset val="1"/>
      </rPr>
      <t xml:space="preserve">21(d)</t>
    </r>
    <r>
      <rPr>
        <sz val="10"/>
        <color rgb="FF000000"/>
        <rFont val="Noto Sans CJK SC"/>
        <family val="2"/>
      </rPr>
      <t xml:space="preserve">（第 </t>
    </r>
    <r>
      <rPr>
        <sz val="10"/>
        <color rgb="FF000000"/>
        <rFont val="Arial"/>
        <family val="0"/>
        <charset val="1"/>
      </rPr>
      <t xml:space="preserve">408 </t>
    </r>
    <r>
      <rPr>
        <sz val="10"/>
        <color rgb="FF000000"/>
        <rFont val="Noto Sans CJK SC"/>
        <family val="2"/>
      </rPr>
      <t xml:space="preserve">頁＝印 </t>
    </r>
    <r>
      <rPr>
        <sz val="10"/>
        <color rgb="FF000000"/>
        <rFont val="Arial"/>
        <family val="0"/>
        <charset val="1"/>
      </rPr>
      <t xml:space="preserve">I-65</t>
    </r>
    <r>
      <rPr>
        <sz val="10"/>
        <color rgb="FF000000"/>
        <rFont val="Noto Sans CJK SC"/>
        <family val="2"/>
      </rPr>
      <t xml:space="preserve">）；計入經營（短期租賃）</t>
    </r>
    <r>
      <rPr>
        <sz val="10"/>
        <color rgb="FF000000"/>
        <rFont val="Arial"/>
        <family val="0"/>
        <charset val="1"/>
      </rPr>
      <t xml:space="preserve">2,383/5,537/9,070/4,211/5,909</t>
    </r>
    <r>
      <rPr>
        <sz val="10"/>
        <color rgb="FF000000"/>
        <rFont val="Noto Sans CJK SC"/>
        <family val="2"/>
      </rPr>
      <t xml:space="preserve">；千元值 </t>
    </r>
    <r>
      <rPr>
        <sz val="10"/>
        <color rgb="FF000000"/>
        <rFont val="Arial"/>
        <family val="0"/>
        <charset val="1"/>
      </rPr>
      <t xml:space="preserve">77,822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</si>
  <si>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SRC_ZP_833</t>
  </si>
  <si>
    <t xml:space="preserve">lease_cash_total_1h25</t>
  </si>
  <si>
    <r>
      <rPr>
        <sz val="10"/>
        <color rgb="FF000000"/>
        <rFont val="Noto Sans CJK SC"/>
        <family val="2"/>
      </rPr>
      <t xml:space="preserve">附註 </t>
    </r>
    <r>
      <rPr>
        <sz val="10"/>
        <color rgb="FF000000"/>
        <rFont val="Arial"/>
        <family val="0"/>
        <charset val="1"/>
      </rPr>
      <t xml:space="preserve">21(d)</t>
    </r>
    <r>
      <rPr>
        <sz val="10"/>
        <color rgb="FF000000"/>
        <rFont val="Noto Sans CJK SC"/>
        <family val="2"/>
      </rPr>
      <t xml:space="preserve">（第 </t>
    </r>
    <r>
      <rPr>
        <sz val="10"/>
        <color rgb="FF000000"/>
        <rFont val="Arial"/>
        <family val="0"/>
        <charset val="1"/>
      </rPr>
      <t xml:space="preserve">408 </t>
    </r>
    <r>
      <rPr>
        <sz val="10"/>
        <color rgb="FF000000"/>
        <rFont val="Noto Sans CJK SC"/>
        <family val="2"/>
      </rPr>
      <t xml:space="preserve">頁＝印 </t>
    </r>
    <r>
      <rPr>
        <sz val="10"/>
        <color rgb="FF000000"/>
        <rFont val="Arial"/>
        <family val="0"/>
        <charset val="1"/>
      </rPr>
      <t xml:space="preserve">I-65</t>
    </r>
    <r>
      <rPr>
        <sz val="10"/>
        <color rgb="FF000000"/>
        <rFont val="Noto Sans CJK SC"/>
        <family val="2"/>
      </rPr>
      <t xml:space="preserve">）；計入經營（短期租賃）</t>
    </r>
    <r>
      <rPr>
        <sz val="10"/>
        <color rgb="FF000000"/>
        <rFont val="Arial"/>
        <family val="0"/>
        <charset val="1"/>
      </rPr>
      <t xml:space="preserve">2,383/5,537/9,070/4,211/5,909</t>
    </r>
    <r>
      <rPr>
        <sz val="10"/>
        <color rgb="FF000000"/>
        <rFont val="Noto Sans CJK SC"/>
        <family val="2"/>
      </rPr>
      <t xml:space="preserve">；千元值 </t>
    </r>
    <r>
      <rPr>
        <sz val="10"/>
        <color rgb="FF000000"/>
        <rFont val="Arial"/>
        <family val="0"/>
        <charset val="1"/>
      </rPr>
      <t xml:space="preserve">129,967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</si>
  <si>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SRC_ZP_834</t>
  </si>
  <si>
    <t xml:space="preserve">lease_principal_fy22</t>
  </si>
  <si>
    <t xml:space="preserve">已付租賃租金的資本部分（融資現金流）</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</si>
  <si>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359 </t>
    </r>
    <r>
      <rPr>
        <sz val="10"/>
        <color rgb="FF000000"/>
        <rFont val="Noto Sans CJK SC"/>
        <family val="2"/>
      </rPr>
      <t xml:space="preserve">頁</t>
    </r>
  </si>
  <si>
    <r>
      <rPr>
        <sz val="10"/>
        <color rgb="FF000000"/>
        <rFont val="Noto Sans CJK SC"/>
        <family val="2"/>
      </rPr>
      <t xml:space="preserve">綜合現金流量表（第 </t>
    </r>
    <r>
      <rPr>
        <sz val="10"/>
        <color rgb="FF000000"/>
        <rFont val="Arial"/>
        <family val="0"/>
        <charset val="1"/>
      </rPr>
      <t xml:space="preserve">359 </t>
    </r>
    <r>
      <rPr>
        <sz val="10"/>
        <color rgb="FF000000"/>
        <rFont val="Noto Sans CJK SC"/>
        <family val="2"/>
      </rPr>
      <t xml:space="preserve">頁＝印 </t>
    </r>
    <r>
      <rPr>
        <sz val="10"/>
        <color rgb="FF000000"/>
        <rFont val="Arial"/>
        <family val="0"/>
        <charset val="1"/>
      </rPr>
      <t xml:space="preserve">I-16</t>
    </r>
    <r>
      <rPr>
        <sz val="10"/>
        <color rgb="FF000000"/>
        <rFont val="Noto Sans CJK SC"/>
        <family val="2"/>
      </rPr>
      <t xml:space="preserve">）；千元值 </t>
    </r>
    <r>
      <rPr>
        <sz val="10"/>
        <color rgb="FF000000"/>
        <rFont val="Arial"/>
        <family val="0"/>
        <charset val="1"/>
      </rPr>
      <t xml:space="preserve">11,110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</si>
  <si>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SRC_ZP_835</t>
  </si>
  <si>
    <t xml:space="preserve">lease_principal_fy23</t>
  </si>
  <si>
    <r>
      <rPr>
        <sz val="10"/>
        <color rgb="FF000000"/>
        <rFont val="Noto Sans CJK SC"/>
        <family val="2"/>
      </rPr>
      <t xml:space="preserve">綜合現金流量表（第 </t>
    </r>
    <r>
      <rPr>
        <sz val="10"/>
        <color rgb="FF000000"/>
        <rFont val="Arial"/>
        <family val="0"/>
        <charset val="1"/>
      </rPr>
      <t xml:space="preserve">359 </t>
    </r>
    <r>
      <rPr>
        <sz val="10"/>
        <color rgb="FF000000"/>
        <rFont val="Noto Sans CJK SC"/>
        <family val="2"/>
      </rPr>
      <t xml:space="preserve">頁＝印 </t>
    </r>
    <r>
      <rPr>
        <sz val="10"/>
        <color rgb="FF000000"/>
        <rFont val="Arial"/>
        <family val="0"/>
        <charset val="1"/>
      </rPr>
      <t xml:space="preserve">I-16</t>
    </r>
    <r>
      <rPr>
        <sz val="10"/>
        <color rgb="FF000000"/>
        <rFont val="Noto Sans CJK SC"/>
        <family val="2"/>
      </rPr>
      <t xml:space="preserve">）；千元值 </t>
    </r>
    <r>
      <rPr>
        <sz val="10"/>
        <color rgb="FF000000"/>
        <rFont val="Arial"/>
        <family val="0"/>
        <charset val="1"/>
      </rPr>
      <t xml:space="preserve">31,829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</si>
  <si>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SRC_ZP_836</t>
  </si>
  <si>
    <t xml:space="preserve">lease_principal_fy24</t>
  </si>
  <si>
    <r>
      <rPr>
        <sz val="10"/>
        <color rgb="FF000000"/>
        <rFont val="Noto Sans CJK SC"/>
        <family val="2"/>
      </rPr>
      <t xml:space="preserve">綜合現金流量表（第 </t>
    </r>
    <r>
      <rPr>
        <sz val="10"/>
        <color rgb="FF000000"/>
        <rFont val="Arial"/>
        <family val="0"/>
        <charset val="1"/>
      </rPr>
      <t xml:space="preserve">359 </t>
    </r>
    <r>
      <rPr>
        <sz val="10"/>
        <color rgb="FF000000"/>
        <rFont val="Noto Sans CJK SC"/>
        <family val="2"/>
      </rPr>
      <t xml:space="preserve">頁＝印 </t>
    </r>
    <r>
      <rPr>
        <sz val="10"/>
        <color rgb="FF000000"/>
        <rFont val="Arial"/>
        <family val="0"/>
        <charset val="1"/>
      </rPr>
      <t xml:space="preserve">I-16</t>
    </r>
    <r>
      <rPr>
        <sz val="10"/>
        <color rgb="FF000000"/>
        <rFont val="Noto Sans CJK SC"/>
        <family val="2"/>
      </rPr>
      <t xml:space="preserve">）；千元值 </t>
    </r>
    <r>
      <rPr>
        <sz val="10"/>
        <color rgb="FF000000"/>
        <rFont val="Arial"/>
        <family val="0"/>
        <charset val="1"/>
      </rPr>
      <t xml:space="preserve">147,387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</si>
  <si>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SRC_ZP_837</t>
  </si>
  <si>
    <t xml:space="preserve">lease_principal_1h24</t>
  </si>
  <si>
    <r>
      <rPr>
        <sz val="10"/>
        <color rgb="FF000000"/>
        <rFont val="Noto Sans CJK SC"/>
        <family val="2"/>
      </rPr>
      <t xml:space="preserve">綜合現金流量表（第 </t>
    </r>
    <r>
      <rPr>
        <sz val="10"/>
        <color rgb="FF000000"/>
        <rFont val="Arial"/>
        <family val="0"/>
        <charset val="1"/>
      </rPr>
      <t xml:space="preserve">359 </t>
    </r>
    <r>
      <rPr>
        <sz val="10"/>
        <color rgb="FF000000"/>
        <rFont val="Noto Sans CJK SC"/>
        <family val="2"/>
      </rPr>
      <t xml:space="preserve">頁＝印 </t>
    </r>
    <r>
      <rPr>
        <sz val="10"/>
        <color rgb="FF000000"/>
        <rFont val="Arial"/>
        <family val="0"/>
        <charset val="1"/>
      </rPr>
      <t xml:space="preserve">I-16</t>
    </r>
    <r>
      <rPr>
        <sz val="10"/>
        <color rgb="FF000000"/>
        <rFont val="Noto Sans CJK SC"/>
        <family val="2"/>
      </rPr>
      <t xml:space="preserve">）；千元值 </t>
    </r>
    <r>
      <rPr>
        <sz val="10"/>
        <color rgb="FF000000"/>
        <rFont val="Arial"/>
        <family val="0"/>
        <charset val="1"/>
      </rPr>
      <t xml:space="preserve">61,771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</si>
  <si>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SRC_ZP_838</t>
  </si>
  <si>
    <t xml:space="preserve">lease_principal_1h25</t>
  </si>
  <si>
    <r>
      <rPr>
        <sz val="10"/>
        <color rgb="FF000000"/>
        <rFont val="Noto Sans CJK SC"/>
        <family val="2"/>
      </rPr>
      <t xml:space="preserve">綜合現金流量表（第 </t>
    </r>
    <r>
      <rPr>
        <sz val="10"/>
        <color rgb="FF000000"/>
        <rFont val="Arial"/>
        <family val="0"/>
        <charset val="1"/>
      </rPr>
      <t xml:space="preserve">359 </t>
    </r>
    <r>
      <rPr>
        <sz val="10"/>
        <color rgb="FF000000"/>
        <rFont val="Noto Sans CJK SC"/>
        <family val="2"/>
      </rPr>
      <t xml:space="preserve">頁＝印 </t>
    </r>
    <r>
      <rPr>
        <sz val="10"/>
        <color rgb="FF000000"/>
        <rFont val="Arial"/>
        <family val="0"/>
        <charset val="1"/>
      </rPr>
      <t xml:space="preserve">I-16</t>
    </r>
    <r>
      <rPr>
        <sz val="10"/>
        <color rgb="FF000000"/>
        <rFont val="Noto Sans CJK SC"/>
        <family val="2"/>
      </rPr>
      <t xml:space="preserve">）；千元值 </t>
    </r>
    <r>
      <rPr>
        <sz val="10"/>
        <color rgb="FF000000"/>
        <rFont val="Arial"/>
        <family val="0"/>
        <charset val="1"/>
      </rPr>
      <t xml:space="preserve">106,075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</si>
  <si>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SRC_ZP_839</t>
  </si>
  <si>
    <t xml:space="preserve">st_lease_exp_fy22</t>
  </si>
  <si>
    <t xml:space="preserve">短期租賃開支</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</si>
  <si>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391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</si>
  <si>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11(c) </t>
    </r>
    <r>
      <rPr>
        <sz val="10"/>
        <color rgb="FF000000"/>
        <rFont val="Noto Sans CJK SC"/>
        <family val="2"/>
      </rPr>
      <t xml:space="preserve">與租賃有關的開支（第 </t>
    </r>
    <r>
      <rPr>
        <sz val="10"/>
        <color rgb="FF000000"/>
        <rFont val="Arial"/>
        <family val="0"/>
        <charset val="1"/>
      </rPr>
      <t xml:space="preserve">391 </t>
    </r>
    <r>
      <rPr>
        <sz val="10"/>
        <color rgb="FF000000"/>
        <rFont val="Noto Sans CJK SC"/>
        <family val="2"/>
      </rPr>
      <t xml:space="preserve">頁＝印 </t>
    </r>
    <r>
      <rPr>
        <sz val="10"/>
        <color rgb="FF000000"/>
        <rFont val="Arial"/>
        <family val="0"/>
        <charset val="1"/>
      </rPr>
      <t xml:space="preserve">I-48</t>
    </r>
    <r>
      <rPr>
        <sz val="10"/>
        <color rgb="FF000000"/>
        <rFont val="Noto Sans CJK SC"/>
        <family val="2"/>
      </rPr>
      <t xml:space="preserve">）；千元值 </t>
    </r>
    <r>
      <rPr>
        <sz val="10"/>
        <color rgb="FF000000"/>
        <rFont val="Arial"/>
        <family val="0"/>
        <charset val="1"/>
      </rPr>
      <t xml:space="preserve">2,383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</si>
  <si>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SRC_ZP_840</t>
  </si>
  <si>
    <t xml:space="preserve">st_lease_exp_fy23</t>
  </si>
  <si>
    <r>
      <rPr>
        <sz val="10"/>
        <color rgb="FF000000"/>
        <rFont val="Noto Sans CJK SC"/>
        <family val="2"/>
      </rPr>
      <t xml:space="preserve">附註 </t>
    </r>
    <r>
      <rPr>
        <sz val="10"/>
        <color rgb="FF000000"/>
        <rFont val="Arial"/>
        <family val="0"/>
        <charset val="1"/>
      </rPr>
      <t xml:space="preserve">11(c) </t>
    </r>
    <r>
      <rPr>
        <sz val="10"/>
        <color rgb="FF000000"/>
        <rFont val="Noto Sans CJK SC"/>
        <family val="2"/>
      </rPr>
      <t xml:space="preserve">與租賃有關的開支（第 </t>
    </r>
    <r>
      <rPr>
        <sz val="10"/>
        <color rgb="FF000000"/>
        <rFont val="Arial"/>
        <family val="0"/>
        <charset val="1"/>
      </rPr>
      <t xml:space="preserve">391 </t>
    </r>
    <r>
      <rPr>
        <sz val="10"/>
        <color rgb="FF000000"/>
        <rFont val="Noto Sans CJK SC"/>
        <family val="2"/>
      </rPr>
      <t xml:space="preserve">頁＝印 </t>
    </r>
    <r>
      <rPr>
        <sz val="10"/>
        <color rgb="FF000000"/>
        <rFont val="Arial"/>
        <family val="0"/>
        <charset val="1"/>
      </rPr>
      <t xml:space="preserve">I-48</t>
    </r>
    <r>
      <rPr>
        <sz val="10"/>
        <color rgb="FF000000"/>
        <rFont val="Noto Sans CJK SC"/>
        <family val="2"/>
      </rPr>
      <t xml:space="preserve">）；千元值 </t>
    </r>
    <r>
      <rPr>
        <sz val="10"/>
        <color rgb="FF000000"/>
        <rFont val="Arial"/>
        <family val="0"/>
        <charset val="1"/>
      </rPr>
      <t xml:space="preserve">5,537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</si>
  <si>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SRC_ZP_841</t>
  </si>
  <si>
    <t xml:space="preserve">st_lease_exp_fy24</t>
  </si>
  <si>
    <r>
      <rPr>
        <sz val="10"/>
        <color rgb="FF000000"/>
        <rFont val="Noto Sans CJK SC"/>
        <family val="2"/>
      </rPr>
      <t xml:space="preserve">附註 </t>
    </r>
    <r>
      <rPr>
        <sz val="10"/>
        <color rgb="FF000000"/>
        <rFont val="Arial"/>
        <family val="0"/>
        <charset val="1"/>
      </rPr>
      <t xml:space="preserve">11(c) </t>
    </r>
    <r>
      <rPr>
        <sz val="10"/>
        <color rgb="FF000000"/>
        <rFont val="Noto Sans CJK SC"/>
        <family val="2"/>
      </rPr>
      <t xml:space="preserve">與租賃有關的開支（第 </t>
    </r>
    <r>
      <rPr>
        <sz val="10"/>
        <color rgb="FF000000"/>
        <rFont val="Arial"/>
        <family val="0"/>
        <charset val="1"/>
      </rPr>
      <t xml:space="preserve">391 </t>
    </r>
    <r>
      <rPr>
        <sz val="10"/>
        <color rgb="FF000000"/>
        <rFont val="Noto Sans CJK SC"/>
        <family val="2"/>
      </rPr>
      <t xml:space="preserve">頁＝印 </t>
    </r>
    <r>
      <rPr>
        <sz val="10"/>
        <color rgb="FF000000"/>
        <rFont val="Arial"/>
        <family val="0"/>
        <charset val="1"/>
      </rPr>
      <t xml:space="preserve">I-48</t>
    </r>
    <r>
      <rPr>
        <sz val="10"/>
        <color rgb="FF000000"/>
        <rFont val="Noto Sans CJK SC"/>
        <family val="2"/>
      </rPr>
      <t xml:space="preserve">）；千元值 </t>
    </r>
    <r>
      <rPr>
        <sz val="10"/>
        <color rgb="FF000000"/>
        <rFont val="Arial"/>
        <family val="0"/>
        <charset val="1"/>
      </rPr>
      <t xml:space="preserve">9,070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</si>
  <si>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SRC_ZP_842</t>
  </si>
  <si>
    <t xml:space="preserve">st_lease_exp_1h24</t>
  </si>
  <si>
    <r>
      <rPr>
        <sz val="10"/>
        <color rgb="FF000000"/>
        <rFont val="Noto Sans CJK SC"/>
        <family val="2"/>
      </rPr>
      <t xml:space="preserve">附註 </t>
    </r>
    <r>
      <rPr>
        <sz val="10"/>
        <color rgb="FF000000"/>
        <rFont val="Arial"/>
        <family val="0"/>
        <charset val="1"/>
      </rPr>
      <t xml:space="preserve">11(c) </t>
    </r>
    <r>
      <rPr>
        <sz val="10"/>
        <color rgb="FF000000"/>
        <rFont val="Noto Sans CJK SC"/>
        <family val="2"/>
      </rPr>
      <t xml:space="preserve">與租賃有關的開支（第 </t>
    </r>
    <r>
      <rPr>
        <sz val="10"/>
        <color rgb="FF000000"/>
        <rFont val="Arial"/>
        <family val="0"/>
        <charset val="1"/>
      </rPr>
      <t xml:space="preserve">391 </t>
    </r>
    <r>
      <rPr>
        <sz val="10"/>
        <color rgb="FF000000"/>
        <rFont val="Noto Sans CJK SC"/>
        <family val="2"/>
      </rPr>
      <t xml:space="preserve">頁＝印 </t>
    </r>
    <r>
      <rPr>
        <sz val="10"/>
        <color rgb="FF000000"/>
        <rFont val="Arial"/>
        <family val="0"/>
        <charset val="1"/>
      </rPr>
      <t xml:space="preserve">I-48</t>
    </r>
    <r>
      <rPr>
        <sz val="10"/>
        <color rgb="FF000000"/>
        <rFont val="Noto Sans CJK SC"/>
        <family val="2"/>
      </rPr>
      <t xml:space="preserve">）；千元值 </t>
    </r>
    <r>
      <rPr>
        <sz val="10"/>
        <color rgb="FF000000"/>
        <rFont val="Arial"/>
        <family val="0"/>
        <charset val="1"/>
      </rPr>
      <t xml:space="preserve">4,211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</si>
  <si>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SRC_ZP_843</t>
  </si>
  <si>
    <t xml:space="preserve">st_lease_exp_1h25</t>
  </si>
  <si>
    <r>
      <rPr>
        <sz val="10"/>
        <color rgb="FF000000"/>
        <rFont val="Noto Sans CJK SC"/>
        <family val="2"/>
      </rPr>
      <t xml:space="preserve">附註 </t>
    </r>
    <r>
      <rPr>
        <sz val="10"/>
        <color rgb="FF000000"/>
        <rFont val="Arial"/>
        <family val="0"/>
        <charset val="1"/>
      </rPr>
      <t xml:space="preserve">11(c) </t>
    </r>
    <r>
      <rPr>
        <sz val="10"/>
        <color rgb="FF000000"/>
        <rFont val="Noto Sans CJK SC"/>
        <family val="2"/>
      </rPr>
      <t xml:space="preserve">與租賃有關的開支（第 </t>
    </r>
    <r>
      <rPr>
        <sz val="10"/>
        <color rgb="FF000000"/>
        <rFont val="Arial"/>
        <family val="0"/>
        <charset val="1"/>
      </rPr>
      <t xml:space="preserve">391 </t>
    </r>
    <r>
      <rPr>
        <sz val="10"/>
        <color rgb="FF000000"/>
        <rFont val="Noto Sans CJK SC"/>
        <family val="2"/>
      </rPr>
      <t xml:space="preserve">頁＝印 </t>
    </r>
    <r>
      <rPr>
        <sz val="10"/>
        <color rgb="FF000000"/>
        <rFont val="Arial"/>
        <family val="0"/>
        <charset val="1"/>
      </rPr>
      <t xml:space="preserve">I-48</t>
    </r>
    <r>
      <rPr>
        <sz val="10"/>
        <color rgb="FF000000"/>
        <rFont val="Noto Sans CJK SC"/>
        <family val="2"/>
      </rPr>
      <t xml:space="preserve">）；千元值 </t>
    </r>
    <r>
      <rPr>
        <sz val="10"/>
        <color rgb="FF000000"/>
        <rFont val="Arial"/>
        <family val="0"/>
        <charset val="1"/>
      </rPr>
      <t xml:space="preserve">5,909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</si>
  <si>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SRC_ZP_844</t>
  </si>
  <si>
    <t xml:space="preserve">employees_1h25_p</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</si>
  <si>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221 </t>
    </r>
    <r>
      <rPr>
        <sz val="10"/>
        <color rgb="FF000000"/>
        <rFont val="Noto Sans CJK SC"/>
        <family val="2"/>
      </rPr>
      <t xml:space="preserve">頁</t>
    </r>
  </si>
  <si>
    <r>
      <rPr>
        <sz val="10"/>
        <color rgb="FF000000"/>
        <rFont val="Noto Sans CJK SC"/>
        <family val="2"/>
      </rPr>
      <t xml:space="preserve">原文（第 </t>
    </r>
    <r>
      <rPr>
        <sz val="10"/>
        <color rgb="FF000000"/>
        <rFont val="Arial"/>
        <family val="0"/>
        <charset val="1"/>
      </rPr>
      <t xml:space="preserve">221 </t>
    </r>
    <r>
      <rPr>
        <sz val="10"/>
        <color rgb="FF000000"/>
        <rFont val="Noto Sans CJK SC"/>
        <family val="2"/>
      </rPr>
      <t xml:space="preserve">頁＝印 </t>
    </r>
    <r>
      <rPr>
        <sz val="10"/>
        <color rgb="FF000000"/>
        <rFont val="Arial"/>
        <family val="0"/>
        <charset val="1"/>
      </rPr>
      <t xml:space="preserve">212</t>
    </r>
    <r>
      <rPr>
        <sz val="10"/>
        <color rgb="FF000000"/>
        <rFont val="Noto Sans CJK SC"/>
        <family val="2"/>
      </rPr>
      <t xml:space="preserve">）「截至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 </t>
    </r>
    <r>
      <rPr>
        <sz val="10"/>
        <color rgb="FF000000"/>
        <rFont val="Arial"/>
        <family val="0"/>
        <charset val="1"/>
      </rPr>
      <t xml:space="preserve">30 </t>
    </r>
    <r>
      <rPr>
        <sz val="10"/>
        <color rgb="FF000000"/>
        <rFont val="Noto Sans CJK SC"/>
        <family val="2"/>
      </rPr>
      <t xml:space="preserve">日，我們共擁有 </t>
    </r>
    <r>
      <rPr>
        <sz val="10"/>
        <color rgb="FF000000"/>
        <rFont val="Arial"/>
        <family val="0"/>
        <charset val="1"/>
      </rPr>
      <t xml:space="preserve">883 </t>
    </r>
    <r>
      <rPr>
        <sz val="10"/>
        <color rgb="FF000000"/>
        <rFont val="Noto Sans CJK SC"/>
        <family val="2"/>
      </rPr>
      <t xml:space="preserve">名員工」；升級為一手來源（既有為中期公告比較數），值相同</t>
    </r>
  </si>
  <si>
    <t xml:space="preserve">SRC_ZP_845</t>
  </si>
  <si>
    <t xml:space="preserve">employees_rd_1h25</t>
  </si>
  <si>
    <t xml:space="preserve">員工人數：研發</t>
  </si>
  <si>
    <r>
      <rPr>
        <sz val="10"/>
        <color rgb="FF000000"/>
        <rFont val="Noto Sans CJK SC"/>
        <family val="2"/>
      </rPr>
      <t xml:space="preserve">按職能劃分員工表「研發 </t>
    </r>
    <r>
      <rPr>
        <sz val="10"/>
        <color rgb="FF000000"/>
        <rFont val="Arial"/>
        <family val="0"/>
        <charset val="1"/>
      </rPr>
      <t xml:space="preserve">657 74.4%</t>
    </r>
    <r>
      <rPr>
        <sz val="10"/>
        <color rgb="FF000000"/>
        <rFont val="Noto Sans CJK SC"/>
        <family val="2"/>
      </rPr>
      <t xml:space="preserve">」；升級為一手來源（</t>
    </r>
    <r>
      <rPr>
        <sz val="10"/>
        <color rgb="FF000000"/>
        <rFont val="Arial"/>
        <family val="0"/>
        <charset val="1"/>
      </rPr>
      <t xml:space="preserve">74.4% </t>
    </r>
    <r>
      <rPr>
        <sz val="10"/>
        <color rgb="FF000000"/>
        <rFont val="Noto Sans CJK SC"/>
        <family val="2"/>
      </rPr>
      <t xml:space="preserve">一致）</t>
    </r>
  </si>
  <si>
    <t xml:space="preserve">SRC_ZP_846</t>
  </si>
  <si>
    <t xml:space="preserve">employees_sm_1h25</t>
  </si>
  <si>
    <t xml:space="preserve">員工人數：銷售和營銷</t>
  </si>
  <si>
    <r>
      <rPr>
        <sz val="10"/>
        <color rgb="FF000000"/>
        <rFont val="Noto Sans CJK SC"/>
        <family val="2"/>
      </rPr>
      <t xml:space="preserve">按職能劃分員工表「銷售和營銷 </t>
    </r>
    <r>
      <rPr>
        <sz val="10"/>
        <color rgb="FF000000"/>
        <rFont val="Arial"/>
        <family val="0"/>
        <charset val="1"/>
      </rPr>
      <t xml:space="preserve">145 16.4%</t>
    </r>
    <r>
      <rPr>
        <sz val="10"/>
        <color rgb="FF000000"/>
        <rFont val="Noto Sans CJK SC"/>
        <family val="2"/>
      </rPr>
      <t xml:space="preserve">」</t>
    </r>
  </si>
  <si>
    <t xml:space="preserve">SRC_ZP_847</t>
  </si>
  <si>
    <t xml:space="preserve">employees_ga_1h25</t>
  </si>
  <si>
    <t xml:space="preserve">員工人數：管理和行政</t>
  </si>
  <si>
    <r>
      <rPr>
        <sz val="10"/>
        <color rgb="FF000000"/>
        <rFont val="Noto Sans CJK SC"/>
        <family val="2"/>
      </rPr>
      <t xml:space="preserve">按職能劃分員工表「管理和行政 </t>
    </r>
    <r>
      <rPr>
        <sz val="10"/>
        <color rgb="FF000000"/>
        <rFont val="Arial"/>
        <family val="0"/>
        <charset val="1"/>
      </rPr>
      <t xml:space="preserve">81 9.2%</t>
    </r>
    <r>
      <rPr>
        <sz val="10"/>
        <color rgb="FF000000"/>
        <rFont val="Noto Sans CJK SC"/>
        <family val="2"/>
      </rPr>
      <t xml:space="preserve">」</t>
    </r>
  </si>
  <si>
    <t xml:space="preserve">SRC_ZP_848</t>
  </si>
  <si>
    <t xml:space="preserve">employees_rd_share_1h25</t>
  </si>
  <si>
    <t xml:space="preserve">按職能劃分員工表；升級為一手來源</t>
  </si>
  <si>
    <t xml:space="preserve">SRC_ZP_849</t>
  </si>
  <si>
    <t xml:space="preserve">rd_team_1h25_p</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</si>
  <si>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187 </t>
    </r>
    <r>
      <rPr>
        <sz val="10"/>
        <color rgb="FF000000"/>
        <rFont val="Noto Sans CJK SC"/>
        <family val="2"/>
      </rPr>
      <t xml:space="preserve">頁</t>
    </r>
  </si>
  <si>
    <r>
      <rPr>
        <sz val="10"/>
        <color rgb="FF000000"/>
        <rFont val="Noto Sans CJK SC"/>
        <family val="2"/>
      </rPr>
      <t xml:space="preserve">原文（第 </t>
    </r>
    <r>
      <rPr>
        <sz val="10"/>
        <color rgb="FF000000"/>
        <rFont val="Arial"/>
        <family val="0"/>
        <charset val="1"/>
      </rPr>
      <t xml:space="preserve">187 </t>
    </r>
    <r>
      <rPr>
        <sz val="10"/>
        <color rgb="FF000000"/>
        <rFont val="Noto Sans CJK SC"/>
        <family val="2"/>
      </rPr>
      <t xml:space="preserve">頁＝印 </t>
    </r>
    <r>
      <rPr>
        <sz val="10"/>
        <color rgb="FF000000"/>
        <rFont val="Arial"/>
        <family val="0"/>
        <charset val="1"/>
      </rPr>
      <t xml:space="preserve">178</t>
    </r>
    <r>
      <rPr>
        <sz val="10"/>
        <color rgb="FF000000"/>
        <rFont val="Noto Sans CJK SC"/>
        <family val="2"/>
      </rPr>
      <t xml:space="preserve">）「截至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 </t>
    </r>
    <r>
      <rPr>
        <sz val="10"/>
        <color rgb="FF000000"/>
        <rFont val="Arial"/>
        <family val="0"/>
        <charset val="1"/>
      </rPr>
      <t xml:space="preserve">30 </t>
    </r>
    <r>
      <rPr>
        <sz val="10"/>
        <color rgb="FF000000"/>
        <rFont val="Noto Sans CJK SC"/>
        <family val="2"/>
      </rPr>
      <t xml:space="preserve">日，我們擁有一支由 </t>
    </r>
    <r>
      <rPr>
        <sz val="10"/>
        <color rgb="FF000000"/>
        <rFont val="Arial"/>
        <family val="0"/>
        <charset val="1"/>
      </rPr>
      <t xml:space="preserve">657 </t>
    </r>
    <r>
      <rPr>
        <sz val="10"/>
        <color rgb="FF000000"/>
        <rFont val="Noto Sans CJK SC"/>
        <family val="2"/>
      </rPr>
      <t xml:space="preserve">名成員組成的研發團隊」；頁碼補正</t>
    </r>
  </si>
  <si>
    <t xml:space="preserve">SRC_ZP_850</t>
  </si>
  <si>
    <t xml:space="preserve">staff_cost_total_fy22</t>
  </si>
  <si>
    <t xml:space="preserve">員工成本總額（含股權報酬）</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</si>
  <si>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380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</si>
  <si>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（第 </t>
    </r>
    <r>
      <rPr>
        <sz val="10"/>
        <color rgb="FF000000"/>
        <rFont val="Arial"/>
        <family val="0"/>
        <charset val="1"/>
      </rPr>
      <t xml:space="preserve">380 </t>
    </r>
    <r>
      <rPr>
        <sz val="10"/>
        <color rgb="FF000000"/>
        <rFont val="Noto Sans CJK SC"/>
        <family val="2"/>
      </rPr>
      <t xml:space="preserve">頁＝印 </t>
    </r>
    <r>
      <rPr>
        <sz val="10"/>
        <color rgb="FF000000"/>
        <rFont val="Arial"/>
        <family val="0"/>
        <charset val="1"/>
      </rPr>
      <t xml:space="preserve">I-37</t>
    </r>
    <r>
      <rPr>
        <sz val="10"/>
        <color rgb="FF000000"/>
        <rFont val="Noto Sans CJK SC"/>
        <family val="2"/>
      </rPr>
      <t xml:space="preserve">）合計；</t>
    </r>
    <r>
      <rPr>
        <sz val="10"/>
        <color rgb="FF000000"/>
        <rFont val="Arial"/>
        <family val="0"/>
        <charset val="1"/>
      </rPr>
      <t xml:space="preserve">1H2025 </t>
    </r>
    <r>
      <rPr>
        <sz val="10"/>
        <color rgb="FF000000"/>
        <rFont val="Noto Sans CJK SC"/>
        <family val="2"/>
      </rPr>
      <t xml:space="preserve">與中期公告比較數 </t>
    </r>
    <r>
      <rPr>
        <sz val="10"/>
        <color rgb="FF000000"/>
        <rFont val="Arial"/>
        <family val="0"/>
        <charset val="1"/>
      </rPr>
      <t xml:space="preserve">499.6 </t>
    </r>
    <r>
      <rPr>
        <sz val="10"/>
        <color rgb="FF000000"/>
        <rFont val="Noto Sans CJK SC"/>
        <family val="2"/>
      </rPr>
      <t xml:space="preserve">百萬一致；千元值 </t>
    </r>
    <r>
      <rPr>
        <sz val="10"/>
        <color rgb="FF000000"/>
        <rFont val="Arial"/>
        <family val="0"/>
        <charset val="1"/>
      </rPr>
      <t xml:space="preserve">90,721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</si>
  <si>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SRC_ZP_851</t>
  </si>
  <si>
    <t xml:space="preserve">staff_cost_total_fy23</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</si>
  <si>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（第 </t>
    </r>
    <r>
      <rPr>
        <sz val="10"/>
        <color rgb="FF000000"/>
        <rFont val="Arial"/>
        <family val="0"/>
        <charset val="1"/>
      </rPr>
      <t xml:space="preserve">380 </t>
    </r>
    <r>
      <rPr>
        <sz val="10"/>
        <color rgb="FF000000"/>
        <rFont val="Noto Sans CJK SC"/>
        <family val="2"/>
      </rPr>
      <t xml:space="preserve">頁＝印 </t>
    </r>
    <r>
      <rPr>
        <sz val="10"/>
        <color rgb="FF000000"/>
        <rFont val="Arial"/>
        <family val="0"/>
        <charset val="1"/>
      </rPr>
      <t xml:space="preserve">I-37</t>
    </r>
    <r>
      <rPr>
        <sz val="10"/>
        <color rgb="FF000000"/>
        <rFont val="Noto Sans CJK SC"/>
        <family val="2"/>
      </rPr>
      <t xml:space="preserve">）合計；</t>
    </r>
    <r>
      <rPr>
        <sz val="10"/>
        <color rgb="FF000000"/>
        <rFont val="Arial"/>
        <family val="0"/>
        <charset val="1"/>
      </rPr>
      <t xml:space="preserve">1H2025 </t>
    </r>
    <r>
      <rPr>
        <sz val="10"/>
        <color rgb="FF000000"/>
        <rFont val="Noto Sans CJK SC"/>
        <family val="2"/>
      </rPr>
      <t xml:space="preserve">與中期公告比較數 </t>
    </r>
    <r>
      <rPr>
        <sz val="10"/>
        <color rgb="FF000000"/>
        <rFont val="Arial"/>
        <family val="0"/>
        <charset val="1"/>
      </rPr>
      <t xml:space="preserve">499.6 </t>
    </r>
    <r>
      <rPr>
        <sz val="10"/>
        <color rgb="FF000000"/>
        <rFont val="Noto Sans CJK SC"/>
        <family val="2"/>
      </rPr>
      <t xml:space="preserve">百萬一致；千元值 </t>
    </r>
    <r>
      <rPr>
        <sz val="10"/>
        <color rgb="FF000000"/>
        <rFont val="Arial"/>
        <family val="0"/>
        <charset val="1"/>
      </rPr>
      <t xml:space="preserve">217,285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</si>
  <si>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SRC_ZP_852</t>
  </si>
  <si>
    <t xml:space="preserve">staff_cost_total_fy24</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</si>
  <si>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（第 </t>
    </r>
    <r>
      <rPr>
        <sz val="10"/>
        <color rgb="FF000000"/>
        <rFont val="Arial"/>
        <family val="0"/>
        <charset val="1"/>
      </rPr>
      <t xml:space="preserve">380 </t>
    </r>
    <r>
      <rPr>
        <sz val="10"/>
        <color rgb="FF000000"/>
        <rFont val="Noto Sans CJK SC"/>
        <family val="2"/>
      </rPr>
      <t xml:space="preserve">頁＝印 </t>
    </r>
    <r>
      <rPr>
        <sz val="10"/>
        <color rgb="FF000000"/>
        <rFont val="Arial"/>
        <family val="0"/>
        <charset val="1"/>
      </rPr>
      <t xml:space="preserve">I-37</t>
    </r>
    <r>
      <rPr>
        <sz val="10"/>
        <color rgb="FF000000"/>
        <rFont val="Noto Sans CJK SC"/>
        <family val="2"/>
      </rPr>
      <t xml:space="preserve">）合計；</t>
    </r>
    <r>
      <rPr>
        <sz val="10"/>
        <color rgb="FF000000"/>
        <rFont val="Arial"/>
        <family val="0"/>
        <charset val="1"/>
      </rPr>
      <t xml:space="preserve">1H2025 </t>
    </r>
    <r>
      <rPr>
        <sz val="10"/>
        <color rgb="FF000000"/>
        <rFont val="Noto Sans CJK SC"/>
        <family val="2"/>
      </rPr>
      <t xml:space="preserve">與中期公告比較數 </t>
    </r>
    <r>
      <rPr>
        <sz val="10"/>
        <color rgb="FF000000"/>
        <rFont val="Arial"/>
        <family val="0"/>
        <charset val="1"/>
      </rPr>
      <t xml:space="preserve">499.6 </t>
    </r>
    <r>
      <rPr>
        <sz val="10"/>
        <color rgb="FF000000"/>
        <rFont val="Noto Sans CJK SC"/>
        <family val="2"/>
      </rPr>
      <t xml:space="preserve">百萬一致；千元值 </t>
    </r>
    <r>
      <rPr>
        <sz val="10"/>
        <color rgb="FF000000"/>
        <rFont val="Arial"/>
        <family val="0"/>
        <charset val="1"/>
      </rPr>
      <t xml:space="preserve">573,221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</si>
  <si>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SRC_ZP_853</t>
  </si>
  <si>
    <t xml:space="preserve">staff_cost_total_1h24</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</si>
  <si>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（第 </t>
    </r>
    <r>
      <rPr>
        <sz val="10"/>
        <color rgb="FF000000"/>
        <rFont val="Arial"/>
        <family val="0"/>
        <charset val="1"/>
      </rPr>
      <t xml:space="preserve">380 </t>
    </r>
    <r>
      <rPr>
        <sz val="10"/>
        <color rgb="FF000000"/>
        <rFont val="Noto Sans CJK SC"/>
        <family val="2"/>
      </rPr>
      <t xml:space="preserve">頁＝印 </t>
    </r>
    <r>
      <rPr>
        <sz val="10"/>
        <color rgb="FF000000"/>
        <rFont val="Arial"/>
        <family val="0"/>
        <charset val="1"/>
      </rPr>
      <t xml:space="preserve">I-37</t>
    </r>
    <r>
      <rPr>
        <sz val="10"/>
        <color rgb="FF000000"/>
        <rFont val="Noto Sans CJK SC"/>
        <family val="2"/>
      </rPr>
      <t xml:space="preserve">）合計；</t>
    </r>
    <r>
      <rPr>
        <sz val="10"/>
        <color rgb="FF000000"/>
        <rFont val="Arial"/>
        <family val="0"/>
        <charset val="1"/>
      </rPr>
      <t xml:space="preserve">1H2025 </t>
    </r>
    <r>
      <rPr>
        <sz val="10"/>
        <color rgb="FF000000"/>
        <rFont val="Noto Sans CJK SC"/>
        <family val="2"/>
      </rPr>
      <t xml:space="preserve">與中期公告比較數 </t>
    </r>
    <r>
      <rPr>
        <sz val="10"/>
        <color rgb="FF000000"/>
        <rFont val="Arial"/>
        <family val="0"/>
        <charset val="1"/>
      </rPr>
      <t xml:space="preserve">499.6 </t>
    </r>
    <r>
      <rPr>
        <sz val="10"/>
        <color rgb="FF000000"/>
        <rFont val="Noto Sans CJK SC"/>
        <family val="2"/>
      </rPr>
      <t xml:space="preserve">百萬一致；千元值 </t>
    </r>
    <r>
      <rPr>
        <sz val="10"/>
        <color rgb="FF000000"/>
        <rFont val="Arial"/>
        <family val="0"/>
        <charset val="1"/>
      </rPr>
      <t xml:space="preserve">192,354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</si>
  <si>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SRC_ZP_854</t>
  </si>
  <si>
    <t xml:space="preserve">staff_cost_total_1h25</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</si>
  <si>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（第 </t>
    </r>
    <r>
      <rPr>
        <sz val="10"/>
        <color rgb="FF000000"/>
        <rFont val="Arial"/>
        <family val="0"/>
        <charset val="1"/>
      </rPr>
      <t xml:space="preserve">380 </t>
    </r>
    <r>
      <rPr>
        <sz val="10"/>
        <color rgb="FF000000"/>
        <rFont val="Noto Sans CJK SC"/>
        <family val="2"/>
      </rPr>
      <t xml:space="preserve">頁＝印 </t>
    </r>
    <r>
      <rPr>
        <sz val="10"/>
        <color rgb="FF000000"/>
        <rFont val="Arial"/>
        <family val="0"/>
        <charset val="1"/>
      </rPr>
      <t xml:space="preserve">I-37</t>
    </r>
    <r>
      <rPr>
        <sz val="10"/>
        <color rgb="FF000000"/>
        <rFont val="Noto Sans CJK SC"/>
        <family val="2"/>
      </rPr>
      <t xml:space="preserve">）合計；</t>
    </r>
    <r>
      <rPr>
        <sz val="10"/>
        <color rgb="FF000000"/>
        <rFont val="Arial"/>
        <family val="0"/>
        <charset val="1"/>
      </rPr>
      <t xml:space="preserve">1H2025 </t>
    </r>
    <r>
      <rPr>
        <sz val="10"/>
        <color rgb="FF000000"/>
        <rFont val="Noto Sans CJK SC"/>
        <family val="2"/>
      </rPr>
      <t xml:space="preserve">與中期公告比較數 </t>
    </r>
    <r>
      <rPr>
        <sz val="10"/>
        <color rgb="FF000000"/>
        <rFont val="Arial"/>
        <family val="0"/>
        <charset val="1"/>
      </rPr>
      <t xml:space="preserve">499.6 </t>
    </r>
    <r>
      <rPr>
        <sz val="10"/>
        <color rgb="FF000000"/>
        <rFont val="Noto Sans CJK SC"/>
        <family val="2"/>
      </rPr>
      <t xml:space="preserve">百萬一致；千元值 </t>
    </r>
    <r>
      <rPr>
        <sz val="10"/>
        <color rgb="FF000000"/>
        <rFont val="Arial"/>
        <family val="0"/>
        <charset val="1"/>
      </rPr>
      <t xml:space="preserve">499,594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換算成億；升級為一手來源；值相同</t>
    </r>
  </si>
  <si>
    <t xml:space="preserve">SRC_ZP_855</t>
  </si>
  <si>
    <t xml:space="preserve">staff_wages_fy22</t>
  </si>
  <si>
    <t xml:space="preserve">員工成本：工資、薪金及其他福利</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</si>
  <si>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82,198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</si>
  <si>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SRC_ZP_856</t>
  </si>
  <si>
    <t xml:space="preserve">staff_wages_fy23</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</si>
  <si>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195,117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</si>
  <si>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SRC_ZP_857</t>
  </si>
  <si>
    <t xml:space="preserve">staff_wages_fy24</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</si>
  <si>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512,176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</si>
  <si>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SRC_ZP_858</t>
  </si>
  <si>
    <t xml:space="preserve">staff_wages_1h24</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</si>
  <si>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171,663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</si>
  <si>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SRC_ZP_859</t>
  </si>
  <si>
    <t xml:space="preserve">staff_wages_1h25</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</si>
  <si>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318,624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</si>
  <si>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SRC_ZP_860</t>
  </si>
  <si>
    <t xml:space="preserve">staff_pension_fy22</t>
  </si>
  <si>
    <t xml:space="preserve">員工成本：界定供款退休福利</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</si>
  <si>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7,499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</si>
  <si>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SRC_ZP_861</t>
  </si>
  <si>
    <t xml:space="preserve">staff_pension_fy23</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</si>
  <si>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16,666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</si>
  <si>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SRC_ZP_862</t>
  </si>
  <si>
    <t xml:space="preserve">staff_pension_fy24</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</si>
  <si>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37,466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</si>
  <si>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SRC_ZP_863</t>
  </si>
  <si>
    <t xml:space="preserve">staff_pension_1h24</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</si>
  <si>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16,474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</si>
  <si>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SRC_ZP_864</t>
  </si>
  <si>
    <t xml:space="preserve">staff_pension_1h25</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</si>
  <si>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22,118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</si>
  <si>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SRC_ZP_865</t>
  </si>
  <si>
    <t xml:space="preserve">sbc_p_fy22</t>
  </si>
  <si>
    <t xml:space="preserve">以權益結算股份支付（計入損益）</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</si>
  <si>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；另 </t>
    </r>
    <r>
      <rPr>
        <sz val="10"/>
        <color rgb="FF000000"/>
        <rFont val="Arial"/>
        <family val="0"/>
        <charset val="1"/>
      </rPr>
      <t xml:space="preserve">1H2025 </t>
    </r>
    <r>
      <rPr>
        <sz val="10"/>
        <color rgb="FF000000"/>
        <rFont val="Noto Sans CJK SC"/>
        <family val="2"/>
      </rPr>
      <t xml:space="preserve">資本化為存貨 </t>
    </r>
    <r>
      <rPr>
        <sz val="10"/>
        <color rgb="FF000000"/>
        <rFont val="Arial"/>
        <family val="0"/>
        <charset val="1"/>
      </rPr>
      <t xml:space="preserve">2,890 </t>
    </r>
    <r>
      <rPr>
        <sz val="10"/>
        <color rgb="FF000000"/>
        <rFont val="Noto Sans CJK SC"/>
        <family val="2"/>
      </rPr>
      <t xml:space="preserve">千元（合計 </t>
    </r>
    <r>
      <rPr>
        <sz val="10"/>
        <color rgb="FF000000"/>
        <rFont val="Arial"/>
        <family val="0"/>
        <charset val="1"/>
      </rPr>
      <t xml:space="preserve">161,742 </t>
    </r>
    <r>
      <rPr>
        <sz val="10"/>
        <color rgb="FF000000"/>
        <rFont val="Noto Sans CJK SC"/>
        <family val="2"/>
      </rPr>
      <t xml:space="preserve">見權益變動表）；第 </t>
    </r>
    <r>
      <rPr>
        <sz val="10"/>
        <color rgb="FF000000"/>
        <rFont val="Arial"/>
        <family val="0"/>
        <charset val="1"/>
      </rPr>
      <t xml:space="preserve">69 </t>
    </r>
    <r>
      <rPr>
        <sz val="10"/>
        <color rgb="FF000000"/>
        <rFont val="Noto Sans CJK SC"/>
        <family val="2"/>
      </rPr>
      <t xml:space="preserve">頁風險因素同列 </t>
    </r>
    <r>
      <rPr>
        <sz val="10"/>
        <color rgb="FF000000"/>
        <rFont val="Arial"/>
        <family val="0"/>
        <charset val="1"/>
      </rPr>
      <t xml:space="preserve">1.0/5.5/23.6/4.2/158.9 </t>
    </r>
    <r>
      <rPr>
        <sz val="10"/>
        <color rgb="FF000000"/>
        <rFont val="Noto Sans CJK SC"/>
        <family val="2"/>
      </rPr>
      <t xml:space="preserve">百萬元；頁碼補正，值相同；千元值 </t>
    </r>
    <r>
      <rPr>
        <sz val="10"/>
        <color rgb="FF000000"/>
        <rFont val="Arial"/>
        <family val="0"/>
        <charset val="1"/>
      </rPr>
      <t xml:space="preserve">1,024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</si>
  <si>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SRC_ZP_866</t>
  </si>
  <si>
    <t xml:space="preserve">sbc_p_fy23</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</si>
  <si>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；另 </t>
    </r>
    <r>
      <rPr>
        <sz val="10"/>
        <color rgb="FF000000"/>
        <rFont val="Arial"/>
        <family val="0"/>
        <charset val="1"/>
      </rPr>
      <t xml:space="preserve">1H2025 </t>
    </r>
    <r>
      <rPr>
        <sz val="10"/>
        <color rgb="FF000000"/>
        <rFont val="Noto Sans CJK SC"/>
        <family val="2"/>
      </rPr>
      <t xml:space="preserve">資本化為存貨 </t>
    </r>
    <r>
      <rPr>
        <sz val="10"/>
        <color rgb="FF000000"/>
        <rFont val="Arial"/>
        <family val="0"/>
        <charset val="1"/>
      </rPr>
      <t xml:space="preserve">2,890 </t>
    </r>
    <r>
      <rPr>
        <sz val="10"/>
        <color rgb="FF000000"/>
        <rFont val="Noto Sans CJK SC"/>
        <family val="2"/>
      </rPr>
      <t xml:space="preserve">千元（合計 </t>
    </r>
    <r>
      <rPr>
        <sz val="10"/>
        <color rgb="FF000000"/>
        <rFont val="Arial"/>
        <family val="0"/>
        <charset val="1"/>
      </rPr>
      <t xml:space="preserve">161,742 </t>
    </r>
    <r>
      <rPr>
        <sz val="10"/>
        <color rgb="FF000000"/>
        <rFont val="Noto Sans CJK SC"/>
        <family val="2"/>
      </rPr>
      <t xml:space="preserve">見權益變動表）；第 </t>
    </r>
    <r>
      <rPr>
        <sz val="10"/>
        <color rgb="FF000000"/>
        <rFont val="Arial"/>
        <family val="0"/>
        <charset val="1"/>
      </rPr>
      <t xml:space="preserve">69 </t>
    </r>
    <r>
      <rPr>
        <sz val="10"/>
        <color rgb="FF000000"/>
        <rFont val="Noto Sans CJK SC"/>
        <family val="2"/>
      </rPr>
      <t xml:space="preserve">頁風險因素同列 </t>
    </r>
    <r>
      <rPr>
        <sz val="10"/>
        <color rgb="FF000000"/>
        <rFont val="Arial"/>
        <family val="0"/>
        <charset val="1"/>
      </rPr>
      <t xml:space="preserve">1.0/5.5/23.6/4.2/158.9 </t>
    </r>
    <r>
      <rPr>
        <sz val="10"/>
        <color rgb="FF000000"/>
        <rFont val="Noto Sans CJK SC"/>
        <family val="2"/>
      </rPr>
      <t xml:space="preserve">百萬元；頁碼補正，值相同；千元值 </t>
    </r>
    <r>
      <rPr>
        <sz val="10"/>
        <color rgb="FF000000"/>
        <rFont val="Arial"/>
        <family val="0"/>
        <charset val="1"/>
      </rPr>
      <t xml:space="preserve">5,502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</si>
  <si>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SRC_ZP_867</t>
  </si>
  <si>
    <t xml:space="preserve">sbc_p_fy24</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</si>
  <si>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；另 </t>
    </r>
    <r>
      <rPr>
        <sz val="10"/>
        <color rgb="FF000000"/>
        <rFont val="Arial"/>
        <family val="0"/>
        <charset val="1"/>
      </rPr>
      <t xml:space="preserve">1H2025 </t>
    </r>
    <r>
      <rPr>
        <sz val="10"/>
        <color rgb="FF000000"/>
        <rFont val="Noto Sans CJK SC"/>
        <family val="2"/>
      </rPr>
      <t xml:space="preserve">資本化為存貨 </t>
    </r>
    <r>
      <rPr>
        <sz val="10"/>
        <color rgb="FF000000"/>
        <rFont val="Arial"/>
        <family val="0"/>
        <charset val="1"/>
      </rPr>
      <t xml:space="preserve">2,890 </t>
    </r>
    <r>
      <rPr>
        <sz val="10"/>
        <color rgb="FF000000"/>
        <rFont val="Noto Sans CJK SC"/>
        <family val="2"/>
      </rPr>
      <t xml:space="preserve">千元（合計 </t>
    </r>
    <r>
      <rPr>
        <sz val="10"/>
        <color rgb="FF000000"/>
        <rFont val="Arial"/>
        <family val="0"/>
        <charset val="1"/>
      </rPr>
      <t xml:space="preserve">161,742 </t>
    </r>
    <r>
      <rPr>
        <sz val="10"/>
        <color rgb="FF000000"/>
        <rFont val="Noto Sans CJK SC"/>
        <family val="2"/>
      </rPr>
      <t xml:space="preserve">見權益變動表）；第 </t>
    </r>
    <r>
      <rPr>
        <sz val="10"/>
        <color rgb="FF000000"/>
        <rFont val="Arial"/>
        <family val="0"/>
        <charset val="1"/>
      </rPr>
      <t xml:space="preserve">69 </t>
    </r>
    <r>
      <rPr>
        <sz val="10"/>
        <color rgb="FF000000"/>
        <rFont val="Noto Sans CJK SC"/>
        <family val="2"/>
      </rPr>
      <t xml:space="preserve">頁風險因素同列 </t>
    </r>
    <r>
      <rPr>
        <sz val="10"/>
        <color rgb="FF000000"/>
        <rFont val="Arial"/>
        <family val="0"/>
        <charset val="1"/>
      </rPr>
      <t xml:space="preserve">1.0/5.5/23.6/4.2/158.9 </t>
    </r>
    <r>
      <rPr>
        <sz val="10"/>
        <color rgb="FF000000"/>
        <rFont val="Noto Sans CJK SC"/>
        <family val="2"/>
      </rPr>
      <t xml:space="preserve">百萬元；頁碼補正，值相同；千元值 </t>
    </r>
    <r>
      <rPr>
        <sz val="10"/>
        <color rgb="FF000000"/>
        <rFont val="Arial"/>
        <family val="0"/>
        <charset val="1"/>
      </rPr>
      <t xml:space="preserve">23,579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</si>
  <si>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SRC_ZP_868</t>
  </si>
  <si>
    <t xml:space="preserve">sbc_p_1h24</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</si>
  <si>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；另 </t>
    </r>
    <r>
      <rPr>
        <sz val="10"/>
        <color rgb="FF000000"/>
        <rFont val="Arial"/>
        <family val="0"/>
        <charset val="1"/>
      </rPr>
      <t xml:space="preserve">1H2025 </t>
    </r>
    <r>
      <rPr>
        <sz val="10"/>
        <color rgb="FF000000"/>
        <rFont val="Noto Sans CJK SC"/>
        <family val="2"/>
      </rPr>
      <t xml:space="preserve">資本化為存貨 </t>
    </r>
    <r>
      <rPr>
        <sz val="10"/>
        <color rgb="FF000000"/>
        <rFont val="Arial"/>
        <family val="0"/>
        <charset val="1"/>
      </rPr>
      <t xml:space="preserve">2,890 </t>
    </r>
    <r>
      <rPr>
        <sz val="10"/>
        <color rgb="FF000000"/>
        <rFont val="Noto Sans CJK SC"/>
        <family val="2"/>
      </rPr>
      <t xml:space="preserve">千元（合計 </t>
    </r>
    <r>
      <rPr>
        <sz val="10"/>
        <color rgb="FF000000"/>
        <rFont val="Arial"/>
        <family val="0"/>
        <charset val="1"/>
      </rPr>
      <t xml:space="preserve">161,742 </t>
    </r>
    <r>
      <rPr>
        <sz val="10"/>
        <color rgb="FF000000"/>
        <rFont val="Noto Sans CJK SC"/>
        <family val="2"/>
      </rPr>
      <t xml:space="preserve">見權益變動表）；第 </t>
    </r>
    <r>
      <rPr>
        <sz val="10"/>
        <color rgb="FF000000"/>
        <rFont val="Arial"/>
        <family val="0"/>
        <charset val="1"/>
      </rPr>
      <t xml:space="preserve">69 </t>
    </r>
    <r>
      <rPr>
        <sz val="10"/>
        <color rgb="FF000000"/>
        <rFont val="Noto Sans CJK SC"/>
        <family val="2"/>
      </rPr>
      <t xml:space="preserve">頁風險因素同列 </t>
    </r>
    <r>
      <rPr>
        <sz val="10"/>
        <color rgb="FF000000"/>
        <rFont val="Arial"/>
        <family val="0"/>
        <charset val="1"/>
      </rPr>
      <t xml:space="preserve">1.0/5.5/23.6/4.2/158.9 </t>
    </r>
    <r>
      <rPr>
        <sz val="10"/>
        <color rgb="FF000000"/>
        <rFont val="Noto Sans CJK SC"/>
        <family val="2"/>
      </rPr>
      <t xml:space="preserve">百萬元；頁碼補正，值相同；千元值 </t>
    </r>
    <r>
      <rPr>
        <sz val="10"/>
        <color rgb="FF000000"/>
        <rFont val="Arial"/>
        <family val="0"/>
        <charset val="1"/>
      </rPr>
      <t xml:space="preserve">4,217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</si>
  <si>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SRC_ZP_869</t>
  </si>
  <si>
    <t xml:space="preserve">sbc_p_1h25</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</si>
  <si>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；另 </t>
    </r>
    <r>
      <rPr>
        <sz val="10"/>
        <color rgb="FF000000"/>
        <rFont val="Arial"/>
        <family val="0"/>
        <charset val="1"/>
      </rPr>
      <t xml:space="preserve">1H2025 </t>
    </r>
    <r>
      <rPr>
        <sz val="10"/>
        <color rgb="FF000000"/>
        <rFont val="Noto Sans CJK SC"/>
        <family val="2"/>
      </rPr>
      <t xml:space="preserve">資本化為存貨 </t>
    </r>
    <r>
      <rPr>
        <sz val="10"/>
        <color rgb="FF000000"/>
        <rFont val="Arial"/>
        <family val="0"/>
        <charset val="1"/>
      </rPr>
      <t xml:space="preserve">2,890 </t>
    </r>
    <r>
      <rPr>
        <sz val="10"/>
        <color rgb="FF000000"/>
        <rFont val="Noto Sans CJK SC"/>
        <family val="2"/>
      </rPr>
      <t xml:space="preserve">千元（合計 </t>
    </r>
    <r>
      <rPr>
        <sz val="10"/>
        <color rgb="FF000000"/>
        <rFont val="Arial"/>
        <family val="0"/>
        <charset val="1"/>
      </rPr>
      <t xml:space="preserve">161,742 </t>
    </r>
    <r>
      <rPr>
        <sz val="10"/>
        <color rgb="FF000000"/>
        <rFont val="Noto Sans CJK SC"/>
        <family val="2"/>
      </rPr>
      <t xml:space="preserve">見權益變動表）；第 </t>
    </r>
    <r>
      <rPr>
        <sz val="10"/>
        <color rgb="FF000000"/>
        <rFont val="Arial"/>
        <family val="0"/>
        <charset val="1"/>
      </rPr>
      <t xml:space="preserve">69 </t>
    </r>
    <r>
      <rPr>
        <sz val="10"/>
        <color rgb="FF000000"/>
        <rFont val="Noto Sans CJK SC"/>
        <family val="2"/>
      </rPr>
      <t xml:space="preserve">頁風險因素同列 </t>
    </r>
    <r>
      <rPr>
        <sz val="10"/>
        <color rgb="FF000000"/>
        <rFont val="Arial"/>
        <family val="0"/>
        <charset val="1"/>
      </rPr>
      <t xml:space="preserve">1.0/5.5/23.6/4.2/158.9 </t>
    </r>
    <r>
      <rPr>
        <sz val="10"/>
        <color rgb="FF000000"/>
        <rFont val="Noto Sans CJK SC"/>
        <family val="2"/>
      </rPr>
      <t xml:space="preserve">百萬元；頁碼補正，值相同；千元值 </t>
    </r>
    <r>
      <rPr>
        <sz val="10"/>
        <color rgb="FF000000"/>
        <rFont val="Arial"/>
        <family val="0"/>
        <charset val="1"/>
      </rPr>
      <t xml:space="preserve">158,852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</si>
  <si>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SRC_ZP_870</t>
  </si>
  <si>
    <t xml:space="preserve">sbc_by_function</t>
  </si>
  <si>
    <t xml:space="preserve">股權報酬按功能分配</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</si>
  <si>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266–268 </t>
    </r>
    <r>
      <rPr>
        <sz val="10"/>
        <color rgb="FF000000"/>
        <rFont val="Noto Sans CJK SC"/>
        <family val="2"/>
      </rPr>
      <t xml:space="preserve">頁</t>
    </r>
  </si>
  <si>
    <t xml:space="preserve">未揭露</t>
  </si>
  <si>
    <r>
      <rPr>
        <sz val="10"/>
        <color rgb="FF000000"/>
        <rFont val="Noto Sans CJK SC"/>
        <family val="2"/>
      </rPr>
      <t xml:space="preserve">招股章程未揭露股權報酬按功能拆分；各功能「工資成本」均註明「包括以股份為基礎的付款開支」（第 </t>
    </r>
    <r>
      <rPr>
        <sz val="10"/>
        <color rgb="FF000000"/>
        <rFont val="Arial"/>
        <family val="0"/>
        <charset val="1"/>
      </rPr>
      <t xml:space="preserve">266–268 </t>
    </r>
    <r>
      <rPr>
        <sz val="10"/>
        <color rgb="FF000000"/>
        <rFont val="Noto Sans CJK SC"/>
        <family val="2"/>
      </rPr>
      <t xml:space="preserve">頁）</t>
    </r>
  </si>
  <si>
    <t xml:space="preserve">SRC_ZP_871</t>
  </si>
  <si>
    <t xml:space="preserve">kmp_sbc_fy22</t>
  </si>
  <si>
    <t xml:space="preserve">關鍵管理人員股份支付</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</si>
  <si>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426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</si>
  <si>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33(a)</t>
    </r>
    <r>
      <rPr>
        <sz val="10"/>
        <color rgb="FF000000"/>
        <rFont val="Noto Sans CJK SC"/>
        <family val="2"/>
      </rPr>
      <t xml:space="preserve">（第 </t>
    </r>
    <r>
      <rPr>
        <sz val="10"/>
        <color rgb="FF000000"/>
        <rFont val="Arial"/>
        <family val="0"/>
        <charset val="1"/>
      </rPr>
      <t xml:space="preserve">426 </t>
    </r>
    <r>
      <rPr>
        <sz val="10"/>
        <color rgb="FF000000"/>
        <rFont val="Noto Sans CJK SC"/>
        <family val="2"/>
      </rPr>
      <t xml:space="preserve">頁＝印 </t>
    </r>
    <r>
      <rPr>
        <sz val="10"/>
        <color rgb="FF000000"/>
        <rFont val="Arial"/>
        <family val="0"/>
        <charset val="1"/>
      </rPr>
      <t xml:space="preserve">I-83</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劉德兵 </t>
    </r>
    <r>
      <rPr>
        <sz val="10"/>
        <color rgb="FF000000"/>
        <rFont val="Arial"/>
        <family val="0"/>
        <charset val="1"/>
      </rPr>
      <t xml:space="preserve">27.3</t>
    </r>
    <r>
      <rPr>
        <sz val="10"/>
        <color rgb="FF000000"/>
        <rFont val="Noto Sans CJK SC"/>
        <family val="2"/>
      </rPr>
      <t xml:space="preserve">、張鵬 </t>
    </r>
    <r>
      <rPr>
        <sz val="10"/>
        <color rgb="FF000000"/>
        <rFont val="Arial"/>
        <family val="0"/>
        <charset val="1"/>
      </rPr>
      <t xml:space="preserve">9.2 </t>
    </r>
    <r>
      <rPr>
        <sz val="10"/>
        <color rgb="FF000000"/>
        <rFont val="Noto Sans CJK SC"/>
        <family val="2"/>
      </rPr>
      <t xml:space="preserve">百萬元（附註 </t>
    </r>
    <r>
      <rPr>
        <sz val="10"/>
        <color rgb="FF000000"/>
        <rFont val="Arial"/>
        <family val="0"/>
        <charset val="1"/>
      </rPr>
      <t xml:space="preserve">8</t>
    </r>
    <r>
      <rPr>
        <sz val="10"/>
        <color rgb="FF000000"/>
        <rFont val="Noto Sans CJK SC"/>
        <family val="2"/>
      </rPr>
      <t xml:space="preserve">）；千元值 </t>
    </r>
    <r>
      <rPr>
        <sz val="10"/>
        <color rgb="FF000000"/>
        <rFont val="Arial"/>
        <family val="0"/>
        <charset val="1"/>
      </rPr>
      <t xml:space="preserve">779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</si>
  <si>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SRC_ZP_872</t>
  </si>
  <si>
    <t xml:space="preserve">kmp_sbc_fy23</t>
  </si>
  <si>
    <r>
      <rPr>
        <sz val="10"/>
        <color rgb="FF000000"/>
        <rFont val="Noto Sans CJK SC"/>
        <family val="2"/>
      </rPr>
      <t xml:space="preserve">附註 </t>
    </r>
    <r>
      <rPr>
        <sz val="10"/>
        <color rgb="FF000000"/>
        <rFont val="Arial"/>
        <family val="0"/>
        <charset val="1"/>
      </rPr>
      <t xml:space="preserve">33(a)</t>
    </r>
    <r>
      <rPr>
        <sz val="10"/>
        <color rgb="FF000000"/>
        <rFont val="Noto Sans CJK SC"/>
        <family val="2"/>
      </rPr>
      <t xml:space="preserve">（第 </t>
    </r>
    <r>
      <rPr>
        <sz val="10"/>
        <color rgb="FF000000"/>
        <rFont val="Arial"/>
        <family val="0"/>
        <charset val="1"/>
      </rPr>
      <t xml:space="preserve">426 </t>
    </r>
    <r>
      <rPr>
        <sz val="10"/>
        <color rgb="FF000000"/>
        <rFont val="Noto Sans CJK SC"/>
        <family val="2"/>
      </rPr>
      <t xml:space="preserve">頁＝印 </t>
    </r>
    <r>
      <rPr>
        <sz val="10"/>
        <color rgb="FF000000"/>
        <rFont val="Arial"/>
        <family val="0"/>
        <charset val="1"/>
      </rPr>
      <t xml:space="preserve">I-83</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劉德兵 </t>
    </r>
    <r>
      <rPr>
        <sz val="10"/>
        <color rgb="FF000000"/>
        <rFont val="Arial"/>
        <family val="0"/>
        <charset val="1"/>
      </rPr>
      <t xml:space="preserve">27.3</t>
    </r>
    <r>
      <rPr>
        <sz val="10"/>
        <color rgb="FF000000"/>
        <rFont val="Noto Sans CJK SC"/>
        <family val="2"/>
      </rPr>
      <t xml:space="preserve">、張鵬 </t>
    </r>
    <r>
      <rPr>
        <sz val="10"/>
        <color rgb="FF000000"/>
        <rFont val="Arial"/>
        <family val="0"/>
        <charset val="1"/>
      </rPr>
      <t xml:space="preserve">9.2 </t>
    </r>
    <r>
      <rPr>
        <sz val="10"/>
        <color rgb="FF000000"/>
        <rFont val="Noto Sans CJK SC"/>
        <family val="2"/>
      </rPr>
      <t xml:space="preserve">百萬元（附註 </t>
    </r>
    <r>
      <rPr>
        <sz val="10"/>
        <color rgb="FF000000"/>
        <rFont val="Arial"/>
        <family val="0"/>
        <charset val="1"/>
      </rPr>
      <t xml:space="preserve">8</t>
    </r>
    <r>
      <rPr>
        <sz val="10"/>
        <color rgb="FF000000"/>
        <rFont val="Noto Sans CJK SC"/>
        <family val="2"/>
      </rPr>
      <t xml:space="preserve">）；千元值 </t>
    </r>
    <r>
      <rPr>
        <sz val="10"/>
        <color rgb="FF000000"/>
        <rFont val="Arial"/>
        <family val="0"/>
        <charset val="1"/>
      </rPr>
      <t xml:space="preserve">1,649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</si>
  <si>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SRC_ZP_873</t>
  </si>
  <si>
    <t xml:space="preserve">kmp_sbc_fy24</t>
  </si>
  <si>
    <r>
      <rPr>
        <sz val="10"/>
        <color rgb="FF000000"/>
        <rFont val="Noto Sans CJK SC"/>
        <family val="2"/>
      </rPr>
      <t xml:space="preserve">附註 </t>
    </r>
    <r>
      <rPr>
        <sz val="10"/>
        <color rgb="FF000000"/>
        <rFont val="Arial"/>
        <family val="0"/>
        <charset val="1"/>
      </rPr>
      <t xml:space="preserve">33(a)</t>
    </r>
    <r>
      <rPr>
        <sz val="10"/>
        <color rgb="FF000000"/>
        <rFont val="Noto Sans CJK SC"/>
        <family val="2"/>
      </rPr>
      <t xml:space="preserve">（第 </t>
    </r>
    <r>
      <rPr>
        <sz val="10"/>
        <color rgb="FF000000"/>
        <rFont val="Arial"/>
        <family val="0"/>
        <charset val="1"/>
      </rPr>
      <t xml:space="preserve">426 </t>
    </r>
    <r>
      <rPr>
        <sz val="10"/>
        <color rgb="FF000000"/>
        <rFont val="Noto Sans CJK SC"/>
        <family val="2"/>
      </rPr>
      <t xml:space="preserve">頁＝印 </t>
    </r>
    <r>
      <rPr>
        <sz val="10"/>
        <color rgb="FF000000"/>
        <rFont val="Arial"/>
        <family val="0"/>
        <charset val="1"/>
      </rPr>
      <t xml:space="preserve">I-83</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劉德兵 </t>
    </r>
    <r>
      <rPr>
        <sz val="10"/>
        <color rgb="FF000000"/>
        <rFont val="Arial"/>
        <family val="0"/>
        <charset val="1"/>
      </rPr>
      <t xml:space="preserve">27.3</t>
    </r>
    <r>
      <rPr>
        <sz val="10"/>
        <color rgb="FF000000"/>
        <rFont val="Noto Sans CJK SC"/>
        <family val="2"/>
      </rPr>
      <t xml:space="preserve">、張鵬 </t>
    </r>
    <r>
      <rPr>
        <sz val="10"/>
        <color rgb="FF000000"/>
        <rFont val="Arial"/>
        <family val="0"/>
        <charset val="1"/>
      </rPr>
      <t xml:space="preserve">9.2 </t>
    </r>
    <r>
      <rPr>
        <sz val="10"/>
        <color rgb="FF000000"/>
        <rFont val="Noto Sans CJK SC"/>
        <family val="2"/>
      </rPr>
      <t xml:space="preserve">百萬元（附註 </t>
    </r>
    <r>
      <rPr>
        <sz val="10"/>
        <color rgb="FF000000"/>
        <rFont val="Arial"/>
        <family val="0"/>
        <charset val="1"/>
      </rPr>
      <t xml:space="preserve">8</t>
    </r>
    <r>
      <rPr>
        <sz val="10"/>
        <color rgb="FF000000"/>
        <rFont val="Noto Sans CJK SC"/>
        <family val="2"/>
      </rPr>
      <t xml:space="preserve">）；千元值 </t>
    </r>
    <r>
      <rPr>
        <sz val="10"/>
        <color rgb="FF000000"/>
        <rFont val="Arial"/>
        <family val="0"/>
        <charset val="1"/>
      </rPr>
      <t xml:space="preserve">4,050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</si>
  <si>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SRC_ZP_874</t>
  </si>
  <si>
    <t xml:space="preserve">kmp_sbc_1h24</t>
  </si>
  <si>
    <r>
      <rPr>
        <sz val="10"/>
        <color rgb="FF000000"/>
        <rFont val="Noto Sans CJK SC"/>
        <family val="2"/>
      </rPr>
      <t xml:space="preserve">附註 </t>
    </r>
    <r>
      <rPr>
        <sz val="10"/>
        <color rgb="FF000000"/>
        <rFont val="Arial"/>
        <family val="0"/>
        <charset val="1"/>
      </rPr>
      <t xml:space="preserve">33(a)</t>
    </r>
    <r>
      <rPr>
        <sz val="10"/>
        <color rgb="FF000000"/>
        <rFont val="Noto Sans CJK SC"/>
        <family val="2"/>
      </rPr>
      <t xml:space="preserve">（第 </t>
    </r>
    <r>
      <rPr>
        <sz val="10"/>
        <color rgb="FF000000"/>
        <rFont val="Arial"/>
        <family val="0"/>
        <charset val="1"/>
      </rPr>
      <t xml:space="preserve">426 </t>
    </r>
    <r>
      <rPr>
        <sz val="10"/>
        <color rgb="FF000000"/>
        <rFont val="Noto Sans CJK SC"/>
        <family val="2"/>
      </rPr>
      <t xml:space="preserve">頁＝印 </t>
    </r>
    <r>
      <rPr>
        <sz val="10"/>
        <color rgb="FF000000"/>
        <rFont val="Arial"/>
        <family val="0"/>
        <charset val="1"/>
      </rPr>
      <t xml:space="preserve">I-83</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劉德兵 </t>
    </r>
    <r>
      <rPr>
        <sz val="10"/>
        <color rgb="FF000000"/>
        <rFont val="Arial"/>
        <family val="0"/>
        <charset val="1"/>
      </rPr>
      <t xml:space="preserve">27.3</t>
    </r>
    <r>
      <rPr>
        <sz val="10"/>
        <color rgb="FF000000"/>
        <rFont val="Noto Sans CJK SC"/>
        <family val="2"/>
      </rPr>
      <t xml:space="preserve">、張鵬 </t>
    </r>
    <r>
      <rPr>
        <sz val="10"/>
        <color rgb="FF000000"/>
        <rFont val="Arial"/>
        <family val="0"/>
        <charset val="1"/>
      </rPr>
      <t xml:space="preserve">9.2 </t>
    </r>
    <r>
      <rPr>
        <sz val="10"/>
        <color rgb="FF000000"/>
        <rFont val="Noto Sans CJK SC"/>
        <family val="2"/>
      </rPr>
      <t xml:space="preserve">百萬元（附註 </t>
    </r>
    <r>
      <rPr>
        <sz val="10"/>
        <color rgb="FF000000"/>
        <rFont val="Arial"/>
        <family val="0"/>
        <charset val="1"/>
      </rPr>
      <t xml:space="preserve">8</t>
    </r>
    <r>
      <rPr>
        <sz val="10"/>
        <color rgb="FF000000"/>
        <rFont val="Noto Sans CJK SC"/>
        <family val="2"/>
      </rPr>
      <t xml:space="preserve">）；千元值 </t>
    </r>
    <r>
      <rPr>
        <sz val="10"/>
        <color rgb="FF000000"/>
        <rFont val="Arial"/>
        <family val="0"/>
        <charset val="1"/>
      </rPr>
      <t xml:space="preserve">861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</si>
  <si>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SRC_ZP_875</t>
  </si>
  <si>
    <t xml:space="preserve">kmp_sbc_1h25</t>
  </si>
  <si>
    <r>
      <rPr>
        <sz val="10"/>
        <color rgb="FF000000"/>
        <rFont val="Noto Sans CJK SC"/>
        <family val="2"/>
      </rPr>
      <t xml:space="preserve">附註 </t>
    </r>
    <r>
      <rPr>
        <sz val="10"/>
        <color rgb="FF000000"/>
        <rFont val="Arial"/>
        <family val="0"/>
        <charset val="1"/>
      </rPr>
      <t xml:space="preserve">33(a)</t>
    </r>
    <r>
      <rPr>
        <sz val="10"/>
        <color rgb="FF000000"/>
        <rFont val="Noto Sans CJK SC"/>
        <family val="2"/>
      </rPr>
      <t xml:space="preserve">（第 </t>
    </r>
    <r>
      <rPr>
        <sz val="10"/>
        <color rgb="FF000000"/>
        <rFont val="Arial"/>
        <family val="0"/>
        <charset val="1"/>
      </rPr>
      <t xml:space="preserve">426 </t>
    </r>
    <r>
      <rPr>
        <sz val="10"/>
        <color rgb="FF000000"/>
        <rFont val="Noto Sans CJK SC"/>
        <family val="2"/>
      </rPr>
      <t xml:space="preserve">頁＝印 </t>
    </r>
    <r>
      <rPr>
        <sz val="10"/>
        <color rgb="FF000000"/>
        <rFont val="Arial"/>
        <family val="0"/>
        <charset val="1"/>
      </rPr>
      <t xml:space="preserve">I-83</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劉德兵 </t>
    </r>
    <r>
      <rPr>
        <sz val="10"/>
        <color rgb="FF000000"/>
        <rFont val="Arial"/>
        <family val="0"/>
        <charset val="1"/>
      </rPr>
      <t xml:space="preserve">27.3</t>
    </r>
    <r>
      <rPr>
        <sz val="10"/>
        <color rgb="FF000000"/>
        <rFont val="Noto Sans CJK SC"/>
        <family val="2"/>
      </rPr>
      <t xml:space="preserve">、張鵬 </t>
    </r>
    <r>
      <rPr>
        <sz val="10"/>
        <color rgb="FF000000"/>
        <rFont val="Arial"/>
        <family val="0"/>
        <charset val="1"/>
      </rPr>
      <t xml:space="preserve">9.2 </t>
    </r>
    <r>
      <rPr>
        <sz val="10"/>
        <color rgb="FF000000"/>
        <rFont val="Noto Sans CJK SC"/>
        <family val="2"/>
      </rPr>
      <t xml:space="preserve">百萬元（附註 </t>
    </r>
    <r>
      <rPr>
        <sz val="10"/>
        <color rgb="FF000000"/>
        <rFont val="Arial"/>
        <family val="0"/>
        <charset val="1"/>
      </rPr>
      <t xml:space="preserve">8</t>
    </r>
    <r>
      <rPr>
        <sz val="10"/>
        <color rgb="FF000000"/>
        <rFont val="Noto Sans CJK SC"/>
        <family val="2"/>
      </rPr>
      <t xml:space="preserve">）；千元值 </t>
    </r>
    <r>
      <rPr>
        <sz val="10"/>
        <color rgb="FF000000"/>
        <rFont val="Arial"/>
        <family val="0"/>
        <charset val="1"/>
      </rPr>
      <t xml:space="preserve">39,878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</si>
  <si>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SRC_ZP_876</t>
  </si>
  <si>
    <t xml:space="preserve">esop_awards_1h25</t>
  </si>
  <si>
    <t xml:space="preserve">受限制股份尚未行使數（股權獎勵替換後）</t>
  </si>
  <si>
    <t xml:space="preserve">千份</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</si>
  <si>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415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</si>
  <si>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29(b)</t>
    </r>
    <r>
      <rPr>
        <sz val="10"/>
        <color rgb="FF000000"/>
        <rFont val="Noto Sans CJK SC"/>
        <family val="2"/>
      </rPr>
      <t xml:space="preserve">：替換 </t>
    </r>
    <r>
      <rPr>
        <sz val="10"/>
        <color rgb="FF000000"/>
        <rFont val="Arial"/>
        <family val="0"/>
        <charset val="1"/>
      </rPr>
      <t xml:space="preserve">2,016 </t>
    </r>
    <r>
      <rPr>
        <sz val="10"/>
        <color rgb="FF000000"/>
        <rFont val="Noto Sans CJK SC"/>
        <family val="2"/>
      </rPr>
      <t xml:space="preserve">千份＋期內授出 </t>
    </r>
    <r>
      <rPr>
        <sz val="10"/>
        <color rgb="FF000000"/>
        <rFont val="Arial"/>
        <family val="0"/>
        <charset val="1"/>
      </rPr>
      <t xml:space="preserve">4,604 </t>
    </r>
    <r>
      <rPr>
        <sz val="10"/>
        <color rgb="FF000000"/>
        <rFont val="Noto Sans CJK SC"/>
        <family val="2"/>
      </rPr>
      <t xml:space="preserve">千份＝</t>
    </r>
    <r>
      <rPr>
        <sz val="10"/>
        <color rgb="FF000000"/>
        <rFont val="Arial"/>
        <family val="0"/>
        <charset val="1"/>
      </rPr>
      <t xml:space="preserve">6,620 </t>
    </r>
    <r>
      <rPr>
        <sz val="10"/>
        <color rgb="FF000000"/>
        <rFont val="Noto Sans CJK SC"/>
        <family val="2"/>
      </rPr>
      <t xml:space="preserve">千份（拆股前；面值人民幣 </t>
    </r>
    <r>
      <rPr>
        <sz val="10"/>
        <color rgb="FF000000"/>
        <rFont val="Arial"/>
        <family val="0"/>
        <charset val="1"/>
      </rPr>
      <t xml:space="preserve">1 </t>
    </r>
    <r>
      <rPr>
        <sz val="10"/>
        <color rgb="FF000000"/>
        <rFont val="Noto Sans CJK SC"/>
        <family val="2"/>
      </rPr>
      <t xml:space="preserve">元／股，上市前 </t>
    </r>
    <r>
      <rPr>
        <sz val="10"/>
        <color rgb="FF000000"/>
        <rFont val="Arial"/>
        <family val="0"/>
        <charset val="1"/>
      </rPr>
      <t xml:space="preserve">1 </t>
    </r>
    <r>
      <rPr>
        <sz val="10"/>
        <color rgb="FF000000"/>
        <rFont val="Noto Sans CJK SC"/>
        <family val="2"/>
      </rPr>
      <t xml:space="preserve">拆 </t>
    </r>
    <r>
      <rPr>
        <sz val="10"/>
        <color rgb="FF000000"/>
        <rFont val="Arial"/>
        <family val="0"/>
        <charset val="1"/>
      </rPr>
      <t xml:space="preserve">10</t>
    </r>
    <r>
      <rPr>
        <sz val="10"/>
        <color rgb="FF000000"/>
        <rFont val="Noto Sans CJK SC"/>
        <family val="2"/>
      </rPr>
      <t xml:space="preserve">）；每股普通股公允價值人民幣 </t>
    </r>
    <r>
      <rPr>
        <sz val="10"/>
        <color rgb="FF000000"/>
        <rFont val="Arial"/>
        <family val="0"/>
        <charset val="1"/>
      </rPr>
      <t xml:space="preserve">302.73 </t>
    </r>
    <r>
      <rPr>
        <sz val="10"/>
        <color rgb="FF000000"/>
        <rFont val="Noto Sans CJK SC"/>
        <family val="2"/>
      </rPr>
      <t xml:space="preserve">元；行使價 </t>
    </r>
    <r>
      <rPr>
        <sz val="10"/>
        <color rgb="FF000000"/>
        <rFont val="Arial"/>
        <family val="0"/>
        <charset val="1"/>
      </rPr>
      <t xml:space="preserve">0.10–2.00 </t>
    </r>
    <r>
      <rPr>
        <sz val="10"/>
        <color rgb="FF000000"/>
        <rFont val="Noto Sans CJK SC"/>
        <family val="2"/>
      </rPr>
      <t xml:space="preserve">元</t>
    </r>
  </si>
  <si>
    <t xml:space="preserve">SRC_ZP_877</t>
  </si>
  <si>
    <t xml:space="preserve">capex_cash_ppe_fy22</t>
  </si>
  <si>
    <t xml:space="preserve">購買物業及設備的付款（現金資本開支）</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</si>
  <si>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358 </t>
    </r>
    <r>
      <rPr>
        <sz val="10"/>
        <color rgb="FF000000"/>
        <rFont val="Noto Sans CJK SC"/>
        <family val="2"/>
      </rPr>
      <t xml:space="preserve">頁</t>
    </r>
  </si>
  <si>
    <r>
      <rPr>
        <sz val="10"/>
        <color rgb="FF000000"/>
        <rFont val="Noto Sans CJK SC"/>
        <family val="2"/>
      </rPr>
      <t xml:space="preserve">綜合現金流量表投資活動（第 </t>
    </r>
    <r>
      <rPr>
        <sz val="10"/>
        <color rgb="FF000000"/>
        <rFont val="Arial"/>
        <family val="0"/>
        <charset val="1"/>
      </rPr>
      <t xml:space="preserve">358 </t>
    </r>
    <r>
      <rPr>
        <sz val="10"/>
        <color rgb="FF000000"/>
        <rFont val="Noto Sans CJK SC"/>
        <family val="2"/>
      </rPr>
      <t xml:space="preserve">頁＝印 </t>
    </r>
    <r>
      <rPr>
        <sz val="10"/>
        <color rgb="FF000000"/>
        <rFont val="Arial"/>
        <family val="0"/>
        <charset val="1"/>
      </rPr>
      <t xml:space="preserve">I-15</t>
    </r>
    <r>
      <rPr>
        <sz val="10"/>
        <color rgb="FF000000"/>
        <rFont val="Noto Sans CJK SC"/>
        <family val="2"/>
      </rPr>
      <t xml:space="preserve">）；第 </t>
    </r>
    <r>
      <rPr>
        <sz val="10"/>
        <color rgb="FF000000"/>
        <rFont val="Arial"/>
        <family val="0"/>
        <charset val="1"/>
      </rPr>
      <t xml:space="preserve">295 </t>
    </r>
    <r>
      <rPr>
        <sz val="10"/>
        <color rgb="FF000000"/>
        <rFont val="Noto Sans CJK SC"/>
        <family val="2"/>
      </rPr>
      <t xml:space="preserve">頁同表；千元值 </t>
    </r>
    <r>
      <rPr>
        <sz val="10"/>
        <color rgb="FF000000"/>
        <rFont val="Arial"/>
        <family val="0"/>
        <charset val="1"/>
      </rPr>
      <t xml:space="preserve">31,651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</si>
  <si>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SRC_ZP_878</t>
  </si>
  <si>
    <t xml:space="preserve">capex_cash_ppe_fy23</t>
  </si>
  <si>
    <r>
      <rPr>
        <sz val="10"/>
        <color rgb="FF000000"/>
        <rFont val="Noto Sans CJK SC"/>
        <family val="2"/>
      </rPr>
      <t xml:space="preserve">綜合現金流量表投資活動（第 </t>
    </r>
    <r>
      <rPr>
        <sz val="10"/>
        <color rgb="FF000000"/>
        <rFont val="Arial"/>
        <family val="0"/>
        <charset val="1"/>
      </rPr>
      <t xml:space="preserve">358 </t>
    </r>
    <r>
      <rPr>
        <sz val="10"/>
        <color rgb="FF000000"/>
        <rFont val="Noto Sans CJK SC"/>
        <family val="2"/>
      </rPr>
      <t xml:space="preserve">頁＝印 </t>
    </r>
    <r>
      <rPr>
        <sz val="10"/>
        <color rgb="FF000000"/>
        <rFont val="Arial"/>
        <family val="0"/>
        <charset val="1"/>
      </rPr>
      <t xml:space="preserve">I-15</t>
    </r>
    <r>
      <rPr>
        <sz val="10"/>
        <color rgb="FF000000"/>
        <rFont val="Noto Sans CJK SC"/>
        <family val="2"/>
      </rPr>
      <t xml:space="preserve">）；第 </t>
    </r>
    <r>
      <rPr>
        <sz val="10"/>
        <color rgb="FF000000"/>
        <rFont val="Arial"/>
        <family val="0"/>
        <charset val="1"/>
      </rPr>
      <t xml:space="preserve">295 </t>
    </r>
    <r>
      <rPr>
        <sz val="10"/>
        <color rgb="FF000000"/>
        <rFont val="Noto Sans CJK SC"/>
        <family val="2"/>
      </rPr>
      <t xml:space="preserve">頁同表；千元值 </t>
    </r>
    <r>
      <rPr>
        <sz val="10"/>
        <color rgb="FF000000"/>
        <rFont val="Arial"/>
        <family val="0"/>
        <charset val="1"/>
      </rPr>
      <t xml:space="preserve">506,760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</si>
  <si>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SRC_ZP_879</t>
  </si>
  <si>
    <t xml:space="preserve">capex_cash_ppe_fy24</t>
  </si>
  <si>
    <r>
      <rPr>
        <sz val="10"/>
        <color rgb="FF000000"/>
        <rFont val="Noto Sans CJK SC"/>
        <family val="2"/>
      </rPr>
      <t xml:space="preserve">綜合現金流量表投資活動（第 </t>
    </r>
    <r>
      <rPr>
        <sz val="10"/>
        <color rgb="FF000000"/>
        <rFont val="Arial"/>
        <family val="0"/>
        <charset val="1"/>
      </rPr>
      <t xml:space="preserve">358 </t>
    </r>
    <r>
      <rPr>
        <sz val="10"/>
        <color rgb="FF000000"/>
        <rFont val="Noto Sans CJK SC"/>
        <family val="2"/>
      </rPr>
      <t xml:space="preserve">頁＝印 </t>
    </r>
    <r>
      <rPr>
        <sz val="10"/>
        <color rgb="FF000000"/>
        <rFont val="Arial"/>
        <family val="0"/>
        <charset val="1"/>
      </rPr>
      <t xml:space="preserve">I-15</t>
    </r>
    <r>
      <rPr>
        <sz val="10"/>
        <color rgb="FF000000"/>
        <rFont val="Noto Sans CJK SC"/>
        <family val="2"/>
      </rPr>
      <t xml:space="preserve">）；第 </t>
    </r>
    <r>
      <rPr>
        <sz val="10"/>
        <color rgb="FF000000"/>
        <rFont val="Arial"/>
        <family val="0"/>
        <charset val="1"/>
      </rPr>
      <t xml:space="preserve">295 </t>
    </r>
    <r>
      <rPr>
        <sz val="10"/>
        <color rgb="FF000000"/>
        <rFont val="Noto Sans CJK SC"/>
        <family val="2"/>
      </rPr>
      <t xml:space="preserve">頁同表；千元值 </t>
    </r>
    <r>
      <rPr>
        <sz val="10"/>
        <color rgb="FF000000"/>
        <rFont val="Arial"/>
        <family val="0"/>
        <charset val="1"/>
      </rPr>
      <t xml:space="preserve">125,958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換算成億；與既有值差異：年度公告「資本開支」</t>
    </r>
    <r>
      <rPr>
        <sz val="10"/>
        <color rgb="FF000000"/>
        <rFont val="Arial"/>
        <family val="0"/>
        <charset val="1"/>
      </rPr>
      <t xml:space="preserve">462.3 </t>
    </r>
    <r>
      <rPr>
        <sz val="10"/>
        <color rgb="FF000000"/>
        <rFont val="Noto Sans CJK SC"/>
        <family val="2"/>
      </rPr>
      <t xml:space="preserve">百萬＝附註 </t>
    </r>
    <r>
      <rPr>
        <sz val="10"/>
        <color rgb="FF000000"/>
        <rFont val="Arial"/>
        <family val="0"/>
        <charset val="1"/>
      </rPr>
      <t xml:space="preserve">11 </t>
    </r>
    <r>
      <rPr>
        <sz val="10"/>
        <color rgb="FF000000"/>
        <rFont val="Noto Sans CJK SC"/>
        <family val="2"/>
      </rPr>
      <t xml:space="preserve">物業及設備添置 </t>
    </r>
    <r>
      <rPr>
        <sz val="10"/>
        <color rgb="FF000000"/>
        <rFont val="Arial"/>
        <family val="0"/>
        <charset val="1"/>
      </rPr>
      <t xml:space="preserve">455,545</t>
    </r>
    <r>
      <rPr>
        <sz val="10"/>
        <color rgb="FF000000"/>
        <rFont val="Noto Sans CJK SC"/>
        <family val="2"/>
      </rPr>
      <t xml:space="preserve">（含使用權資產 </t>
    </r>
    <r>
      <rPr>
        <sz val="10"/>
        <color rgb="FF000000"/>
        <rFont val="Arial"/>
        <family val="0"/>
        <charset val="1"/>
      </rPr>
      <t xml:space="preserve">337,092</t>
    </r>
    <r>
      <rPr>
        <sz val="10"/>
        <color rgb="FF000000"/>
        <rFont val="Noto Sans CJK SC"/>
        <family val="2"/>
      </rPr>
      <t xml:space="preserve">）＋無形資產添置 </t>
    </r>
    <r>
      <rPr>
        <sz val="10"/>
        <color rgb="FF000000"/>
        <rFont val="Arial"/>
        <family val="0"/>
        <charset val="1"/>
      </rPr>
      <t xml:space="preserve">6,802</t>
    </r>
    <r>
      <rPr>
        <sz val="10"/>
        <color rgb="FF000000"/>
        <rFont val="Noto Sans CJK SC"/>
        <family val="2"/>
      </rPr>
      <t xml:space="preserve">，屬權責口徑；現金口徑為 </t>
    </r>
    <r>
      <rPr>
        <sz val="10"/>
        <color rgb="FF000000"/>
        <rFont val="Arial"/>
        <family val="0"/>
        <charset val="1"/>
      </rPr>
      <t xml:space="preserve">125,958</t>
    </r>
    <r>
      <rPr>
        <sz val="10"/>
        <color rgb="FF000000"/>
        <rFont val="Noto Sans CJK SC"/>
        <family val="2"/>
      </rPr>
      <t xml:space="preserve">（</t>
    </r>
    <r>
      <rPr>
        <sz val="10"/>
        <color rgb="FF000000"/>
        <rFont val="Arial"/>
        <family val="0"/>
        <charset val="1"/>
      </rPr>
      <t xml:space="preserve">PPE</t>
    </r>
    <r>
      <rPr>
        <sz val="10"/>
        <color rgb="FF000000"/>
        <rFont val="Noto Sans CJK SC"/>
        <family val="2"/>
      </rPr>
      <t xml:space="preserve">）＋</t>
    </r>
    <r>
      <rPr>
        <sz val="10"/>
        <color rgb="FF000000"/>
        <rFont val="Arial"/>
        <family val="0"/>
        <charset val="1"/>
      </rPr>
      <t xml:space="preserve">6,802</t>
    </r>
    <r>
      <rPr>
        <sz val="10"/>
        <color rgb="FF000000"/>
        <rFont val="Noto Sans CJK SC"/>
        <family val="2"/>
      </rPr>
      <t xml:space="preserve">（無形）＝</t>
    </r>
    <r>
      <rPr>
        <sz val="10"/>
        <color rgb="FF000000"/>
        <rFont val="Arial"/>
        <family val="0"/>
        <charset val="1"/>
      </rPr>
      <t xml:space="preserve">132,760</t>
    </r>
  </si>
  <si>
    <t xml:space="preserve">SRC_ZP_880</t>
  </si>
  <si>
    <t xml:space="preserve">capex_cash_ppe_1h24</t>
  </si>
  <si>
    <r>
      <rPr>
        <sz val="10"/>
        <color rgb="FF000000"/>
        <rFont val="Noto Sans CJK SC"/>
        <family val="2"/>
      </rPr>
      <t xml:space="preserve">綜合現金流量表投資活動（第 </t>
    </r>
    <r>
      <rPr>
        <sz val="10"/>
        <color rgb="FF000000"/>
        <rFont val="Arial"/>
        <family val="0"/>
        <charset val="1"/>
      </rPr>
      <t xml:space="preserve">358 </t>
    </r>
    <r>
      <rPr>
        <sz val="10"/>
        <color rgb="FF000000"/>
        <rFont val="Noto Sans CJK SC"/>
        <family val="2"/>
      </rPr>
      <t xml:space="preserve">頁＝印 </t>
    </r>
    <r>
      <rPr>
        <sz val="10"/>
        <color rgb="FF000000"/>
        <rFont val="Arial"/>
        <family val="0"/>
        <charset val="1"/>
      </rPr>
      <t xml:space="preserve">I-15</t>
    </r>
    <r>
      <rPr>
        <sz val="10"/>
        <color rgb="FF000000"/>
        <rFont val="Noto Sans CJK SC"/>
        <family val="2"/>
      </rPr>
      <t xml:space="preserve">）；第 </t>
    </r>
    <r>
      <rPr>
        <sz val="10"/>
        <color rgb="FF000000"/>
        <rFont val="Arial"/>
        <family val="0"/>
        <charset val="1"/>
      </rPr>
      <t xml:space="preserve">295 </t>
    </r>
    <r>
      <rPr>
        <sz val="10"/>
        <color rgb="FF000000"/>
        <rFont val="Noto Sans CJK SC"/>
        <family val="2"/>
      </rPr>
      <t xml:space="preserve">頁同表；千元值 </t>
    </r>
    <r>
      <rPr>
        <sz val="10"/>
        <color rgb="FF000000"/>
        <rFont val="Arial"/>
        <family val="0"/>
        <charset val="1"/>
      </rPr>
      <t xml:space="preserve">98,388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</si>
  <si>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SRC_ZP_881</t>
  </si>
  <si>
    <t xml:space="preserve">capex_cash_ppe_1h25</t>
  </si>
  <si>
    <r>
      <rPr>
        <sz val="10"/>
        <color rgb="FF000000"/>
        <rFont val="Noto Sans CJK SC"/>
        <family val="2"/>
      </rPr>
      <t xml:space="preserve">綜合現金流量表投資活動（第 </t>
    </r>
    <r>
      <rPr>
        <sz val="10"/>
        <color rgb="FF000000"/>
        <rFont val="Arial"/>
        <family val="0"/>
        <charset val="1"/>
      </rPr>
      <t xml:space="preserve">358 </t>
    </r>
    <r>
      <rPr>
        <sz val="10"/>
        <color rgb="FF000000"/>
        <rFont val="Noto Sans CJK SC"/>
        <family val="2"/>
      </rPr>
      <t xml:space="preserve">頁＝印 </t>
    </r>
    <r>
      <rPr>
        <sz val="10"/>
        <color rgb="FF000000"/>
        <rFont val="Arial"/>
        <family val="0"/>
        <charset val="1"/>
      </rPr>
      <t xml:space="preserve">I-15</t>
    </r>
    <r>
      <rPr>
        <sz val="10"/>
        <color rgb="FF000000"/>
        <rFont val="Noto Sans CJK SC"/>
        <family val="2"/>
      </rPr>
      <t xml:space="preserve">）；第 </t>
    </r>
    <r>
      <rPr>
        <sz val="10"/>
        <color rgb="FF000000"/>
        <rFont val="Arial"/>
        <family val="0"/>
        <charset val="1"/>
      </rPr>
      <t xml:space="preserve">295 </t>
    </r>
    <r>
      <rPr>
        <sz val="10"/>
        <color rgb="FF000000"/>
        <rFont val="Noto Sans CJK SC"/>
        <family val="2"/>
      </rPr>
      <t xml:space="preserve">頁同表；千元值 </t>
    </r>
    <r>
      <rPr>
        <sz val="10"/>
        <color rgb="FF000000"/>
        <rFont val="Arial"/>
        <family val="0"/>
        <charset val="1"/>
      </rPr>
      <t xml:space="preserve">12,740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換算成億；與既有值差異：中期公告比較數 </t>
    </r>
    <r>
      <rPr>
        <sz val="10"/>
        <color rgb="FF000000"/>
        <rFont val="Arial"/>
        <family val="0"/>
        <charset val="1"/>
      </rPr>
      <t xml:space="preserve">53.7 </t>
    </r>
    <r>
      <rPr>
        <sz val="10"/>
        <color rgb="FF000000"/>
        <rFont val="Noto Sans CJK SC"/>
        <family val="2"/>
      </rPr>
      <t xml:space="preserve">百萬＝</t>
    </r>
    <r>
      <rPr>
        <sz val="10"/>
        <color rgb="FF000000"/>
        <rFont val="Arial"/>
        <family val="0"/>
        <charset val="1"/>
      </rPr>
      <t xml:space="preserve">PPE </t>
    </r>
    <r>
      <rPr>
        <sz val="10"/>
        <color rgb="FF000000"/>
        <rFont val="Noto Sans CJK SC"/>
        <family val="2"/>
      </rPr>
      <t xml:space="preserve">添置 </t>
    </r>
    <r>
      <rPr>
        <sz val="10"/>
        <color rgb="FF000000"/>
        <rFont val="Arial"/>
        <family val="0"/>
        <charset val="1"/>
      </rPr>
      <t xml:space="preserve">42,495</t>
    </r>
    <r>
      <rPr>
        <sz val="10"/>
        <color rgb="FF000000"/>
        <rFont val="Noto Sans CJK SC"/>
        <family val="2"/>
      </rPr>
      <t xml:space="preserve">（含使用權資產 </t>
    </r>
    <r>
      <rPr>
        <sz val="10"/>
        <color rgb="FF000000"/>
        <rFont val="Arial"/>
        <family val="0"/>
        <charset val="1"/>
      </rPr>
      <t xml:space="preserve">34,397</t>
    </r>
    <r>
      <rPr>
        <sz val="10"/>
        <color rgb="FF000000"/>
        <rFont val="Noto Sans CJK SC"/>
        <family val="2"/>
      </rPr>
      <t xml:space="preserve">）＋無形 </t>
    </r>
    <r>
      <rPr>
        <sz val="10"/>
        <color rgb="FF000000"/>
        <rFont val="Arial"/>
        <family val="0"/>
        <charset val="1"/>
      </rPr>
      <t xml:space="preserve">11,168</t>
    </r>
    <r>
      <rPr>
        <sz val="10"/>
        <color rgb="FF000000"/>
        <rFont val="Noto Sans CJK SC"/>
        <family val="2"/>
      </rPr>
      <t xml:space="preserve">；現金口徑 </t>
    </r>
    <r>
      <rPr>
        <sz val="10"/>
        <color rgb="FF000000"/>
        <rFont val="Arial"/>
        <family val="0"/>
        <charset val="1"/>
      </rPr>
      <t xml:space="preserve">12,740</t>
    </r>
    <r>
      <rPr>
        <sz val="10"/>
        <color rgb="FF000000"/>
        <rFont val="Noto Sans CJK SC"/>
        <family val="2"/>
      </rPr>
      <t xml:space="preserve">＋</t>
    </r>
    <r>
      <rPr>
        <sz val="10"/>
        <color rgb="FF000000"/>
        <rFont val="Arial"/>
        <family val="0"/>
        <charset val="1"/>
      </rPr>
      <t xml:space="preserve">11,168</t>
    </r>
    <r>
      <rPr>
        <sz val="10"/>
        <color rgb="FF000000"/>
        <rFont val="Noto Sans CJK SC"/>
        <family val="2"/>
      </rPr>
      <t xml:space="preserve">＝</t>
    </r>
    <r>
      <rPr>
        <sz val="10"/>
        <color rgb="FF000000"/>
        <rFont val="Arial"/>
        <family val="0"/>
        <charset val="1"/>
      </rPr>
      <t xml:space="preserve">23,908</t>
    </r>
  </si>
  <si>
    <t xml:space="preserve">SRC_ZP_882</t>
  </si>
  <si>
    <t xml:space="preserve">capex_cash_intang_fy22</t>
  </si>
  <si>
    <t xml:space="preserve">購買無形資產的付款</t>
  </si>
  <si>
    <r>
      <rPr>
        <sz val="10"/>
        <color rgb="FF000000"/>
        <rFont val="Noto Sans CJK SC"/>
        <family val="2"/>
      </rPr>
      <t xml:space="preserve">綜合現金流量表；千元值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</si>
  <si>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SRC_ZP_883</t>
  </si>
  <si>
    <t xml:space="preserve">capex_cash_intang_fy23</t>
  </si>
  <si>
    <r>
      <rPr>
        <sz val="10"/>
        <color rgb="FF000000"/>
        <rFont val="Noto Sans CJK SC"/>
        <family val="2"/>
      </rPr>
      <t xml:space="preserve">綜合現金流量表；千元值 </t>
    </r>
    <r>
      <rPr>
        <sz val="10"/>
        <color rgb="FF000000"/>
        <rFont val="Arial"/>
        <family val="0"/>
        <charset val="1"/>
      </rPr>
      <t xml:space="preserve">1,809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</si>
  <si>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SRC_ZP_884</t>
  </si>
  <si>
    <t xml:space="preserve">capex_cash_intang_fy24</t>
  </si>
  <si>
    <r>
      <rPr>
        <sz val="10"/>
        <color rgb="FF000000"/>
        <rFont val="Noto Sans CJK SC"/>
        <family val="2"/>
      </rPr>
      <t xml:space="preserve">綜合現金流量表；千元值 </t>
    </r>
    <r>
      <rPr>
        <sz val="10"/>
        <color rgb="FF000000"/>
        <rFont val="Arial"/>
        <family val="0"/>
        <charset val="1"/>
      </rPr>
      <t xml:space="preserve">6,802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</si>
  <si>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SRC_ZP_885</t>
  </si>
  <si>
    <t xml:space="preserve">capex_cash_intang_1h24</t>
  </si>
  <si>
    <r>
      <rPr>
        <sz val="10"/>
        <color rgb="FF000000"/>
        <rFont val="Noto Sans CJK SC"/>
        <family val="2"/>
      </rPr>
      <t xml:space="preserve">綜合現金流量表；千元值 </t>
    </r>
    <r>
      <rPr>
        <sz val="10"/>
        <color rgb="FF000000"/>
        <rFont val="Arial"/>
        <family val="0"/>
        <charset val="1"/>
      </rPr>
      <t xml:space="preserve">6,150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</si>
  <si>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SRC_ZP_886</t>
  </si>
  <si>
    <t xml:space="preserve">capex_cash_intang_1h25</t>
  </si>
  <si>
    <r>
      <rPr>
        <sz val="10"/>
        <color rgb="FF000000"/>
        <rFont val="Noto Sans CJK SC"/>
        <family val="2"/>
      </rPr>
      <t xml:space="preserve">綜合現金流量表；千元值 </t>
    </r>
    <r>
      <rPr>
        <sz val="10"/>
        <color rgb="FF000000"/>
        <rFont val="Arial"/>
        <family val="0"/>
        <charset val="1"/>
      </rPr>
      <t xml:space="preserve">11,168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</si>
  <si>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SRC_ZP_887</t>
  </si>
  <si>
    <t xml:space="preserve">capex_cash_total_fy22</t>
  </si>
  <si>
    <r>
      <rPr>
        <sz val="10"/>
        <color rgb="FF000000"/>
        <rFont val="Noto Sans CJK SC"/>
        <family val="2"/>
      </rPr>
      <t xml:space="preserve">資本支出合計（現金：</t>
    </r>
    <r>
      <rPr>
        <sz val="10"/>
        <color rgb="FF000000"/>
        <rFont val="Arial"/>
        <family val="0"/>
        <charset val="1"/>
      </rPr>
      <t xml:space="preserve">PPE</t>
    </r>
    <r>
      <rPr>
        <sz val="10"/>
        <color rgb="FF000000"/>
        <rFont val="Noto Sans CJK SC"/>
        <family val="2"/>
      </rPr>
      <t xml:space="preserve">＋無形）</t>
    </r>
  </si>
  <si>
    <r>
      <rPr>
        <sz val="10"/>
        <color rgb="FF000000"/>
        <rFont val="Noto Sans CJK SC"/>
        <family val="2"/>
      </rPr>
      <t xml:space="preserve">資本支出表（第 </t>
    </r>
    <r>
      <rPr>
        <sz val="10"/>
        <color rgb="FF000000"/>
        <rFont val="Arial"/>
        <family val="0"/>
        <charset val="1"/>
      </rPr>
      <t xml:space="preserve">295 </t>
    </r>
    <r>
      <rPr>
        <sz val="10"/>
        <color rgb="FF000000"/>
        <rFont val="Noto Sans CJK SC"/>
        <family val="2"/>
      </rPr>
      <t xml:space="preserve">頁＝印 </t>
    </r>
    <r>
      <rPr>
        <sz val="10"/>
        <color rgb="FF000000"/>
        <rFont val="Arial"/>
        <family val="0"/>
        <charset val="1"/>
      </rPr>
      <t xml:space="preserve">286</t>
    </r>
    <r>
      <rPr>
        <sz val="10"/>
        <color rgb="FF000000"/>
        <rFont val="Noto Sans CJK SC"/>
        <family val="2"/>
      </rPr>
      <t xml:space="preserve">）；千元值 </t>
    </r>
    <r>
      <rPr>
        <sz val="10"/>
        <color rgb="FF000000"/>
        <rFont val="Arial"/>
        <family val="0"/>
        <charset val="1"/>
      </rPr>
      <t xml:space="preserve">31,651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</si>
  <si>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SRC_ZP_888</t>
  </si>
  <si>
    <t xml:space="preserve">capex_cash_total_fy23</t>
  </si>
  <si>
    <r>
      <rPr>
        <sz val="10"/>
        <color rgb="FF000000"/>
        <rFont val="Noto Sans CJK SC"/>
        <family val="2"/>
      </rPr>
      <t xml:space="preserve">資本支出表（第 </t>
    </r>
    <r>
      <rPr>
        <sz val="10"/>
        <color rgb="FF000000"/>
        <rFont val="Arial"/>
        <family val="0"/>
        <charset val="1"/>
      </rPr>
      <t xml:space="preserve">295 </t>
    </r>
    <r>
      <rPr>
        <sz val="10"/>
        <color rgb="FF000000"/>
        <rFont val="Noto Sans CJK SC"/>
        <family val="2"/>
      </rPr>
      <t xml:space="preserve">頁＝印 </t>
    </r>
    <r>
      <rPr>
        <sz val="10"/>
        <color rgb="FF000000"/>
        <rFont val="Arial"/>
        <family val="0"/>
        <charset val="1"/>
      </rPr>
      <t xml:space="preserve">286</t>
    </r>
    <r>
      <rPr>
        <sz val="10"/>
        <color rgb="FF000000"/>
        <rFont val="Noto Sans CJK SC"/>
        <family val="2"/>
      </rPr>
      <t xml:space="preserve">）；千元值 </t>
    </r>
    <r>
      <rPr>
        <sz val="10"/>
        <color rgb="FF000000"/>
        <rFont val="Arial"/>
        <family val="0"/>
        <charset val="1"/>
      </rPr>
      <t xml:space="preserve">508,569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</si>
  <si>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SRC_ZP_889</t>
  </si>
  <si>
    <t xml:space="preserve">capex_cash_total_fy24</t>
  </si>
  <si>
    <r>
      <rPr>
        <sz val="10"/>
        <color rgb="FF000000"/>
        <rFont val="Noto Sans CJK SC"/>
        <family val="2"/>
      </rPr>
      <t xml:space="preserve">資本支出表（第 </t>
    </r>
    <r>
      <rPr>
        <sz val="10"/>
        <color rgb="FF000000"/>
        <rFont val="Arial"/>
        <family val="0"/>
        <charset val="1"/>
      </rPr>
      <t xml:space="preserve">295 </t>
    </r>
    <r>
      <rPr>
        <sz val="10"/>
        <color rgb="FF000000"/>
        <rFont val="Noto Sans CJK SC"/>
        <family val="2"/>
      </rPr>
      <t xml:space="preserve">頁＝印 </t>
    </r>
    <r>
      <rPr>
        <sz val="10"/>
        <color rgb="FF000000"/>
        <rFont val="Arial"/>
        <family val="0"/>
        <charset val="1"/>
      </rPr>
      <t xml:space="preserve">286</t>
    </r>
    <r>
      <rPr>
        <sz val="10"/>
        <color rgb="FF000000"/>
        <rFont val="Noto Sans CJK SC"/>
        <family val="2"/>
      </rPr>
      <t xml:space="preserve">）；千元值 </t>
    </r>
    <r>
      <rPr>
        <sz val="10"/>
        <color rgb="FF000000"/>
        <rFont val="Arial"/>
        <family val="0"/>
        <charset val="1"/>
      </rPr>
      <t xml:space="preserve">132,760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</si>
  <si>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SRC_ZP_890</t>
  </si>
  <si>
    <t xml:space="preserve">capex_cash_total_1h24</t>
  </si>
  <si>
    <r>
      <rPr>
        <sz val="10"/>
        <color rgb="FF000000"/>
        <rFont val="Noto Sans CJK SC"/>
        <family val="2"/>
      </rPr>
      <t xml:space="preserve">資本支出表（第 </t>
    </r>
    <r>
      <rPr>
        <sz val="10"/>
        <color rgb="FF000000"/>
        <rFont val="Arial"/>
        <family val="0"/>
        <charset val="1"/>
      </rPr>
      <t xml:space="preserve">295 </t>
    </r>
    <r>
      <rPr>
        <sz val="10"/>
        <color rgb="FF000000"/>
        <rFont val="Noto Sans CJK SC"/>
        <family val="2"/>
      </rPr>
      <t xml:space="preserve">頁＝印 </t>
    </r>
    <r>
      <rPr>
        <sz val="10"/>
        <color rgb="FF000000"/>
        <rFont val="Arial"/>
        <family val="0"/>
        <charset val="1"/>
      </rPr>
      <t xml:space="preserve">286</t>
    </r>
    <r>
      <rPr>
        <sz val="10"/>
        <color rgb="FF000000"/>
        <rFont val="Noto Sans CJK SC"/>
        <family val="2"/>
      </rPr>
      <t xml:space="preserve">）；千元值 </t>
    </r>
    <r>
      <rPr>
        <sz val="10"/>
        <color rgb="FF000000"/>
        <rFont val="Arial"/>
        <family val="0"/>
        <charset val="1"/>
      </rPr>
      <t xml:space="preserve">104,538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</si>
  <si>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SRC_ZP_891</t>
  </si>
  <si>
    <t xml:space="preserve">capex_cash_total_1h25</t>
  </si>
  <si>
    <r>
      <rPr>
        <sz val="10"/>
        <color rgb="FF000000"/>
        <rFont val="Noto Sans CJK SC"/>
        <family val="2"/>
      </rPr>
      <t xml:space="preserve">資本支出表（第 </t>
    </r>
    <r>
      <rPr>
        <sz val="10"/>
        <color rgb="FF000000"/>
        <rFont val="Arial"/>
        <family val="0"/>
        <charset val="1"/>
      </rPr>
      <t xml:space="preserve">295 </t>
    </r>
    <r>
      <rPr>
        <sz val="10"/>
        <color rgb="FF000000"/>
        <rFont val="Noto Sans CJK SC"/>
        <family val="2"/>
      </rPr>
      <t xml:space="preserve">頁＝印 </t>
    </r>
    <r>
      <rPr>
        <sz val="10"/>
        <color rgb="FF000000"/>
        <rFont val="Arial"/>
        <family val="0"/>
        <charset val="1"/>
      </rPr>
      <t xml:space="preserve">286</t>
    </r>
    <r>
      <rPr>
        <sz val="10"/>
        <color rgb="FF000000"/>
        <rFont val="Noto Sans CJK SC"/>
        <family val="2"/>
      </rPr>
      <t xml:space="preserve">）；千元值 </t>
    </r>
    <r>
      <rPr>
        <sz val="10"/>
        <color rgb="FF000000"/>
        <rFont val="Arial"/>
        <family val="0"/>
        <charset val="1"/>
      </rPr>
      <t xml:space="preserve">23,908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</si>
  <si>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SRC_ZP_892</t>
  </si>
  <si>
    <t xml:space="preserve">ppe_add_equip_fy22</t>
  </si>
  <si>
    <t xml:space="preserve">電子設備及其他添置（自有）</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</si>
  <si>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388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</si>
  <si>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物業及設備變動（第 </t>
    </r>
    <r>
      <rPr>
        <sz val="10"/>
        <color rgb="FF000000"/>
        <rFont val="Arial"/>
        <family val="0"/>
        <charset val="1"/>
      </rPr>
      <t xml:space="preserve">387–388 </t>
    </r>
    <r>
      <rPr>
        <sz val="10"/>
        <color rgb="FF000000"/>
        <rFont val="Noto Sans CJK SC"/>
        <family val="2"/>
      </rPr>
      <t xml:space="preserve">頁＝印 </t>
    </r>
    <r>
      <rPr>
        <sz val="10"/>
        <color rgb="FF000000"/>
        <rFont val="Arial"/>
        <family val="0"/>
        <charset val="1"/>
      </rPr>
      <t xml:space="preserve">I-44/45</t>
    </r>
    <r>
      <rPr>
        <sz val="10"/>
        <color rgb="FF000000"/>
        <rFont val="Noto Sans CJK SC"/>
        <family val="2"/>
      </rPr>
      <t xml:space="preserve">）；</t>
    </r>
    <r>
      <rPr>
        <sz val="10"/>
        <color rgb="FF000000"/>
        <rFont val="Arial"/>
        <family val="0"/>
        <charset val="1"/>
      </rPr>
      <t xml:space="preserve">FY23 </t>
    </r>
    <r>
      <rPr>
        <sz val="10"/>
        <color rgb="FF000000"/>
        <rFont val="Noto Sans CJK SC"/>
        <family val="2"/>
      </rPr>
      <t xml:space="preserve">主要為算力硬件（第 </t>
    </r>
    <r>
      <rPr>
        <sz val="10"/>
        <color rgb="FF000000"/>
        <rFont val="Arial"/>
        <family val="0"/>
        <charset val="1"/>
      </rPr>
      <t xml:space="preserve">279 </t>
    </r>
    <r>
      <rPr>
        <sz val="10"/>
        <color rgb="FF000000"/>
        <rFont val="Noto Sans CJK SC"/>
        <family val="2"/>
      </rPr>
      <t xml:space="preserve">頁「採購大量電子設備（主要由可為我們提供額外算力的算力硬件組成）」）；千元值 </t>
    </r>
    <r>
      <rPr>
        <sz val="10"/>
        <color rgb="FF000000"/>
        <rFont val="Arial"/>
        <family val="0"/>
        <charset val="1"/>
      </rPr>
      <t xml:space="preserve">31,651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</si>
  <si>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SRC_ZP_893</t>
  </si>
  <si>
    <t xml:space="preserve">ppe_add_equip_fy23</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</si>
  <si>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物業及設備變動（第 </t>
    </r>
    <r>
      <rPr>
        <sz val="10"/>
        <color rgb="FF000000"/>
        <rFont val="Arial"/>
        <family val="0"/>
        <charset val="1"/>
      </rPr>
      <t xml:space="preserve">387–388 </t>
    </r>
    <r>
      <rPr>
        <sz val="10"/>
        <color rgb="FF000000"/>
        <rFont val="Noto Sans CJK SC"/>
        <family val="2"/>
      </rPr>
      <t xml:space="preserve">頁＝印 </t>
    </r>
    <r>
      <rPr>
        <sz val="10"/>
        <color rgb="FF000000"/>
        <rFont val="Arial"/>
        <family val="0"/>
        <charset val="1"/>
      </rPr>
      <t xml:space="preserve">I-44/45</t>
    </r>
    <r>
      <rPr>
        <sz val="10"/>
        <color rgb="FF000000"/>
        <rFont val="Noto Sans CJK SC"/>
        <family val="2"/>
      </rPr>
      <t xml:space="preserve">）；</t>
    </r>
    <r>
      <rPr>
        <sz val="10"/>
        <color rgb="FF000000"/>
        <rFont val="Arial"/>
        <family val="0"/>
        <charset val="1"/>
      </rPr>
      <t xml:space="preserve">FY23 </t>
    </r>
    <r>
      <rPr>
        <sz val="10"/>
        <color rgb="FF000000"/>
        <rFont val="Noto Sans CJK SC"/>
        <family val="2"/>
      </rPr>
      <t xml:space="preserve">主要為算力硬件（第 </t>
    </r>
    <r>
      <rPr>
        <sz val="10"/>
        <color rgb="FF000000"/>
        <rFont val="Arial"/>
        <family val="0"/>
        <charset val="1"/>
      </rPr>
      <t xml:space="preserve">279 </t>
    </r>
    <r>
      <rPr>
        <sz val="10"/>
        <color rgb="FF000000"/>
        <rFont val="Noto Sans CJK SC"/>
        <family val="2"/>
      </rPr>
      <t xml:space="preserve">頁「採購大量電子設備（主要由可為我們提供額外算力的算力硬件組成）」）；千元值 </t>
    </r>
    <r>
      <rPr>
        <sz val="10"/>
        <color rgb="FF000000"/>
        <rFont val="Arial"/>
        <family val="0"/>
        <charset val="1"/>
      </rPr>
      <t xml:space="preserve">500,462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</si>
  <si>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SRC_ZP_894</t>
  </si>
  <si>
    <t xml:space="preserve">ppe_add_equip_fy24</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</si>
  <si>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物業及設備變動（第 </t>
    </r>
    <r>
      <rPr>
        <sz val="10"/>
        <color rgb="FF000000"/>
        <rFont val="Arial"/>
        <family val="0"/>
        <charset val="1"/>
      </rPr>
      <t xml:space="preserve">387–388 </t>
    </r>
    <r>
      <rPr>
        <sz val="10"/>
        <color rgb="FF000000"/>
        <rFont val="Noto Sans CJK SC"/>
        <family val="2"/>
      </rPr>
      <t xml:space="preserve">頁＝印 </t>
    </r>
    <r>
      <rPr>
        <sz val="10"/>
        <color rgb="FF000000"/>
        <rFont val="Arial"/>
        <family val="0"/>
        <charset val="1"/>
      </rPr>
      <t xml:space="preserve">I-44/45</t>
    </r>
    <r>
      <rPr>
        <sz val="10"/>
        <color rgb="FF000000"/>
        <rFont val="Noto Sans CJK SC"/>
        <family val="2"/>
      </rPr>
      <t xml:space="preserve">）；</t>
    </r>
    <r>
      <rPr>
        <sz val="10"/>
        <color rgb="FF000000"/>
        <rFont val="Arial"/>
        <family val="0"/>
        <charset val="1"/>
      </rPr>
      <t xml:space="preserve">FY23 </t>
    </r>
    <r>
      <rPr>
        <sz val="10"/>
        <color rgb="FF000000"/>
        <rFont val="Noto Sans CJK SC"/>
        <family val="2"/>
      </rPr>
      <t xml:space="preserve">主要為算力硬件（第 </t>
    </r>
    <r>
      <rPr>
        <sz val="10"/>
        <color rgb="FF000000"/>
        <rFont val="Arial"/>
        <family val="0"/>
        <charset val="1"/>
      </rPr>
      <t xml:space="preserve">279 </t>
    </r>
    <r>
      <rPr>
        <sz val="10"/>
        <color rgb="FF000000"/>
        <rFont val="Noto Sans CJK SC"/>
        <family val="2"/>
      </rPr>
      <t xml:space="preserve">頁「採購大量電子設備（主要由可為我們提供額外算力的算力硬件組成）」）；千元值 </t>
    </r>
    <r>
      <rPr>
        <sz val="10"/>
        <color rgb="FF000000"/>
        <rFont val="Arial"/>
        <family val="0"/>
        <charset val="1"/>
      </rPr>
      <t xml:space="preserve">117,601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</si>
  <si>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SRC_ZP_895</t>
  </si>
  <si>
    <t xml:space="preserve">ppe_add_equip_1h25</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</si>
  <si>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物業及設備變動（第 </t>
    </r>
    <r>
      <rPr>
        <sz val="10"/>
        <color rgb="FF000000"/>
        <rFont val="Arial"/>
        <family val="0"/>
        <charset val="1"/>
      </rPr>
      <t xml:space="preserve">387–388 </t>
    </r>
    <r>
      <rPr>
        <sz val="10"/>
        <color rgb="FF000000"/>
        <rFont val="Noto Sans CJK SC"/>
        <family val="2"/>
      </rPr>
      <t xml:space="preserve">頁＝印 </t>
    </r>
    <r>
      <rPr>
        <sz val="10"/>
        <color rgb="FF000000"/>
        <rFont val="Arial"/>
        <family val="0"/>
        <charset val="1"/>
      </rPr>
      <t xml:space="preserve">I-44/45</t>
    </r>
    <r>
      <rPr>
        <sz val="10"/>
        <color rgb="FF000000"/>
        <rFont val="Noto Sans CJK SC"/>
        <family val="2"/>
      </rPr>
      <t xml:space="preserve">）；</t>
    </r>
    <r>
      <rPr>
        <sz val="10"/>
        <color rgb="FF000000"/>
        <rFont val="Arial"/>
        <family val="0"/>
        <charset val="1"/>
      </rPr>
      <t xml:space="preserve">FY23 </t>
    </r>
    <r>
      <rPr>
        <sz val="10"/>
        <color rgb="FF000000"/>
        <rFont val="Noto Sans CJK SC"/>
        <family val="2"/>
      </rPr>
      <t xml:space="preserve">主要為算力硬件（第 </t>
    </r>
    <r>
      <rPr>
        <sz val="10"/>
        <color rgb="FF000000"/>
        <rFont val="Arial"/>
        <family val="0"/>
        <charset val="1"/>
      </rPr>
      <t xml:space="preserve">279 </t>
    </r>
    <r>
      <rPr>
        <sz val="10"/>
        <color rgb="FF000000"/>
        <rFont val="Noto Sans CJK SC"/>
        <family val="2"/>
      </rPr>
      <t xml:space="preserve">頁「採購大量電子設備（主要由可為我們提供額外算力的算力硬件組成）」）；千元值 </t>
    </r>
    <r>
      <rPr>
        <sz val="10"/>
        <color rgb="FF000000"/>
        <rFont val="Arial"/>
        <family val="0"/>
        <charset val="1"/>
      </rPr>
      <t xml:space="preserve">5,285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</si>
  <si>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SRC_ZP_896</t>
  </si>
  <si>
    <t xml:space="preserve">rou_add_fy22</t>
  </si>
  <si>
    <t xml:space="preserve">使用權資產添置（辦公場所＋電子設備）</t>
  </si>
  <si>
    <r>
      <rPr>
        <sz val="10"/>
        <color rgb="FF000000"/>
        <rFont val="Noto Sans CJK SC"/>
        <family val="2"/>
      </rPr>
      <t xml:space="preserve">附註 </t>
    </r>
    <r>
      <rPr>
        <sz val="10"/>
        <color rgb="FF000000"/>
        <rFont val="Arial"/>
        <family val="0"/>
        <charset val="1"/>
      </rPr>
      <t xml:space="preserve">11(a)</t>
    </r>
    <r>
      <rPr>
        <sz val="10"/>
        <color rgb="FF000000"/>
        <rFont val="Noto Sans CJK SC"/>
        <family val="2"/>
      </rPr>
      <t xml:space="preserve">；</t>
    </r>
    <r>
      <rPr>
        <sz val="10"/>
        <color rgb="FF000000"/>
        <rFont val="Arial"/>
        <family val="0"/>
        <charset val="1"/>
      </rPr>
      <t xml:space="preserve">FY24 </t>
    </r>
    <r>
      <rPr>
        <sz val="10"/>
        <color rgb="FF000000"/>
        <rFont val="Noto Sans CJK SC"/>
        <family val="2"/>
      </rPr>
      <t xml:space="preserve">另由自有轉入 </t>
    </r>
    <r>
      <rPr>
        <sz val="10"/>
        <color rgb="FF000000"/>
        <rFont val="Arial"/>
        <family val="0"/>
        <charset val="1"/>
      </rPr>
      <t xml:space="preserve">205,403</t>
    </r>
    <r>
      <rPr>
        <sz val="10"/>
        <color rgb="FF000000"/>
        <rFont val="Noto Sans CJK SC"/>
        <family val="2"/>
      </rPr>
      <t xml:space="preserve">（售後租回，見 </t>
    </r>
    <r>
      <rPr>
        <sz val="10"/>
        <color rgb="FF000000"/>
        <rFont val="Arial"/>
        <family val="0"/>
        <charset val="1"/>
      </rPr>
      <t xml:space="preserve">ppe_saleleaseback_fy24</t>
    </r>
    <r>
      <rPr>
        <sz val="10"/>
        <color rgb="FF000000"/>
        <rFont val="Noto Sans CJK SC"/>
        <family val="2"/>
      </rPr>
      <t xml:space="preserve">）；千元值 </t>
    </r>
    <r>
      <rPr>
        <sz val="10"/>
        <color rgb="FF000000"/>
        <rFont val="Arial"/>
        <family val="0"/>
        <charset val="1"/>
      </rPr>
      <t xml:space="preserve">23,942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</si>
  <si>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SRC_ZP_897</t>
  </si>
  <si>
    <t xml:space="preserve">rou_add_fy23</t>
  </si>
  <si>
    <r>
      <rPr>
        <sz val="10"/>
        <color rgb="FF000000"/>
        <rFont val="Noto Sans CJK SC"/>
        <family val="2"/>
      </rPr>
      <t xml:space="preserve">附註 </t>
    </r>
    <r>
      <rPr>
        <sz val="10"/>
        <color rgb="FF000000"/>
        <rFont val="Arial"/>
        <family val="0"/>
        <charset val="1"/>
      </rPr>
      <t xml:space="preserve">11(a)</t>
    </r>
    <r>
      <rPr>
        <sz val="10"/>
        <color rgb="FF000000"/>
        <rFont val="Noto Sans CJK SC"/>
        <family val="2"/>
      </rPr>
      <t xml:space="preserve">；</t>
    </r>
    <r>
      <rPr>
        <sz val="10"/>
        <color rgb="FF000000"/>
        <rFont val="Arial"/>
        <family val="0"/>
        <charset val="1"/>
      </rPr>
      <t xml:space="preserve">FY24 </t>
    </r>
    <r>
      <rPr>
        <sz val="10"/>
        <color rgb="FF000000"/>
        <rFont val="Noto Sans CJK SC"/>
        <family val="2"/>
      </rPr>
      <t xml:space="preserve">另由自有轉入 </t>
    </r>
    <r>
      <rPr>
        <sz val="10"/>
        <color rgb="FF000000"/>
        <rFont val="Arial"/>
        <family val="0"/>
        <charset val="1"/>
      </rPr>
      <t xml:space="preserve">205,403</t>
    </r>
    <r>
      <rPr>
        <sz val="10"/>
        <color rgb="FF000000"/>
        <rFont val="Noto Sans CJK SC"/>
        <family val="2"/>
      </rPr>
      <t xml:space="preserve">（售後租回，見 </t>
    </r>
    <r>
      <rPr>
        <sz val="10"/>
        <color rgb="FF000000"/>
        <rFont val="Arial"/>
        <family val="0"/>
        <charset val="1"/>
      </rPr>
      <t xml:space="preserve">ppe_saleleaseback_fy24</t>
    </r>
    <r>
      <rPr>
        <sz val="10"/>
        <color rgb="FF000000"/>
        <rFont val="Noto Sans CJK SC"/>
        <family val="2"/>
      </rPr>
      <t xml:space="preserve">）；千元值 </t>
    </r>
    <r>
      <rPr>
        <sz val="10"/>
        <color rgb="FF000000"/>
        <rFont val="Arial"/>
        <family val="0"/>
        <charset val="1"/>
      </rPr>
      <t xml:space="preserve">294,699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</si>
  <si>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SRC_ZP_898</t>
  </si>
  <si>
    <t xml:space="preserve">rou_add_fy24</t>
  </si>
  <si>
    <r>
      <rPr>
        <sz val="10"/>
        <color rgb="FF000000"/>
        <rFont val="Noto Sans CJK SC"/>
        <family val="2"/>
      </rPr>
      <t xml:space="preserve">附註 </t>
    </r>
    <r>
      <rPr>
        <sz val="10"/>
        <color rgb="FF000000"/>
        <rFont val="Arial"/>
        <family val="0"/>
        <charset val="1"/>
      </rPr>
      <t xml:space="preserve">11(a)</t>
    </r>
    <r>
      <rPr>
        <sz val="10"/>
        <color rgb="FF000000"/>
        <rFont val="Noto Sans CJK SC"/>
        <family val="2"/>
      </rPr>
      <t xml:space="preserve">；</t>
    </r>
    <r>
      <rPr>
        <sz val="10"/>
        <color rgb="FF000000"/>
        <rFont val="Arial"/>
        <family val="0"/>
        <charset val="1"/>
      </rPr>
      <t xml:space="preserve">FY24 </t>
    </r>
    <r>
      <rPr>
        <sz val="10"/>
        <color rgb="FF000000"/>
        <rFont val="Noto Sans CJK SC"/>
        <family val="2"/>
      </rPr>
      <t xml:space="preserve">另由自有轉入 </t>
    </r>
    <r>
      <rPr>
        <sz val="10"/>
        <color rgb="FF000000"/>
        <rFont val="Arial"/>
        <family val="0"/>
        <charset val="1"/>
      </rPr>
      <t xml:space="preserve">205,403</t>
    </r>
    <r>
      <rPr>
        <sz val="10"/>
        <color rgb="FF000000"/>
        <rFont val="Noto Sans CJK SC"/>
        <family val="2"/>
      </rPr>
      <t xml:space="preserve">（售後租回，見 </t>
    </r>
    <r>
      <rPr>
        <sz val="10"/>
        <color rgb="FF000000"/>
        <rFont val="Arial"/>
        <family val="0"/>
        <charset val="1"/>
      </rPr>
      <t xml:space="preserve">ppe_saleleaseback_fy24</t>
    </r>
    <r>
      <rPr>
        <sz val="10"/>
        <color rgb="FF000000"/>
        <rFont val="Noto Sans CJK SC"/>
        <family val="2"/>
      </rPr>
      <t xml:space="preserve">）；千元值 </t>
    </r>
    <r>
      <rPr>
        <sz val="10"/>
        <color rgb="FF000000"/>
        <rFont val="Arial"/>
        <family val="0"/>
        <charset val="1"/>
      </rPr>
      <t xml:space="preserve">337,092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</si>
  <si>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SRC_ZP_899</t>
  </si>
  <si>
    <t xml:space="preserve">rou_add_1h25</t>
  </si>
  <si>
    <r>
      <rPr>
        <sz val="10"/>
        <color rgb="FF000000"/>
        <rFont val="Noto Sans CJK SC"/>
        <family val="2"/>
      </rPr>
      <t xml:space="preserve">附註 </t>
    </r>
    <r>
      <rPr>
        <sz val="10"/>
        <color rgb="FF000000"/>
        <rFont val="Arial"/>
        <family val="0"/>
        <charset val="1"/>
      </rPr>
      <t xml:space="preserve">11(a)</t>
    </r>
    <r>
      <rPr>
        <sz val="10"/>
        <color rgb="FF000000"/>
        <rFont val="Noto Sans CJK SC"/>
        <family val="2"/>
      </rPr>
      <t xml:space="preserve">；</t>
    </r>
    <r>
      <rPr>
        <sz val="10"/>
        <color rgb="FF000000"/>
        <rFont val="Arial"/>
        <family val="0"/>
        <charset val="1"/>
      </rPr>
      <t xml:space="preserve">FY24 </t>
    </r>
    <r>
      <rPr>
        <sz val="10"/>
        <color rgb="FF000000"/>
        <rFont val="Noto Sans CJK SC"/>
        <family val="2"/>
      </rPr>
      <t xml:space="preserve">另由自有轉入 </t>
    </r>
    <r>
      <rPr>
        <sz val="10"/>
        <color rgb="FF000000"/>
        <rFont val="Arial"/>
        <family val="0"/>
        <charset val="1"/>
      </rPr>
      <t xml:space="preserve">205,403</t>
    </r>
    <r>
      <rPr>
        <sz val="10"/>
        <color rgb="FF000000"/>
        <rFont val="Noto Sans CJK SC"/>
        <family val="2"/>
      </rPr>
      <t xml:space="preserve">（售後租回，見 </t>
    </r>
    <r>
      <rPr>
        <sz val="10"/>
        <color rgb="FF000000"/>
        <rFont val="Arial"/>
        <family val="0"/>
        <charset val="1"/>
      </rPr>
      <t xml:space="preserve">ppe_saleleaseback_fy24</t>
    </r>
    <r>
      <rPr>
        <sz val="10"/>
        <color rgb="FF000000"/>
        <rFont val="Noto Sans CJK SC"/>
        <family val="2"/>
      </rPr>
      <t xml:space="preserve">）；千元值 </t>
    </r>
    <r>
      <rPr>
        <sz val="10"/>
        <color rgb="FF000000"/>
        <rFont val="Arial"/>
        <family val="0"/>
        <charset val="1"/>
      </rPr>
      <t xml:space="preserve">34,397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</si>
  <si>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SRC_ZP_900</t>
  </si>
  <si>
    <t xml:space="preserve">ppe_add_total_fy22</t>
  </si>
  <si>
    <t xml:space="preserve">物業及設備添置合計（含使用權資產，權責口徑）</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</si>
  <si>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添置欄合計；年度公告「資本開支」與此加無形資產添置吻合；千元值 </t>
    </r>
    <r>
      <rPr>
        <sz val="10"/>
        <color rgb="FF000000"/>
        <rFont val="Arial"/>
        <family val="0"/>
        <charset val="1"/>
      </rPr>
      <t xml:space="preserve">55,593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</si>
  <si>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SRC_ZP_901</t>
  </si>
  <si>
    <t xml:space="preserve">ppe_add_total_fy23</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</si>
  <si>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添置欄合計；年度公告「資本開支」與此加無形資產添置吻合；千元值 </t>
    </r>
    <r>
      <rPr>
        <sz val="10"/>
        <color rgb="FF000000"/>
        <rFont val="Arial"/>
        <family val="0"/>
        <charset val="1"/>
      </rPr>
      <t xml:space="preserve">814,277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</si>
  <si>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SRC_ZP_902</t>
  </si>
  <si>
    <t xml:space="preserve">ppe_add_total_fy24</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</si>
  <si>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添置欄合計；年度公告「資本開支」與此加無形資產添置吻合；千元值 </t>
    </r>
    <r>
      <rPr>
        <sz val="10"/>
        <color rgb="FF000000"/>
        <rFont val="Arial"/>
        <family val="0"/>
        <charset val="1"/>
      </rPr>
      <t xml:space="preserve">455,545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</si>
  <si>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SRC_ZP_903</t>
  </si>
  <si>
    <t xml:space="preserve">ppe_add_total_1h25</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</si>
  <si>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添置欄合計；年度公告「資本開支」與此加無形資產添置吻合；千元值 </t>
    </r>
    <r>
      <rPr>
        <sz val="10"/>
        <color rgb="FF000000"/>
        <rFont val="Arial"/>
        <family val="0"/>
        <charset val="1"/>
      </rPr>
      <t xml:space="preserve">42,495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</si>
  <si>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SRC_ZP_904</t>
  </si>
  <si>
    <t xml:space="preserve">ppe_saleleaseback_fy24</t>
  </si>
  <si>
    <t xml:space="preserve">電子設備售後租回（融資安排）轉出原值</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</si>
  <si>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附註「與一名第三方達成一項融資安排…轉讓電子設備的合法所有權予該第三方，同時繼續使用該等租賃設備，租期為四年」；轉讓原值 </t>
    </r>
    <r>
      <rPr>
        <sz val="10"/>
        <color rgb="FF000000"/>
        <rFont val="Arial"/>
        <family val="0"/>
        <charset val="1"/>
      </rPr>
      <t xml:space="preserve">224,637 </t>
    </r>
    <r>
      <rPr>
        <sz val="10"/>
        <color rgb="FF000000"/>
        <rFont val="Noto Sans CJK SC"/>
        <family val="2"/>
      </rPr>
      <t xml:space="preserve">千元、轉入使用權資產 </t>
    </r>
    <r>
      <rPr>
        <sz val="10"/>
        <color rgb="FF000000"/>
        <rFont val="Arial"/>
        <family val="0"/>
        <charset val="1"/>
      </rPr>
      <t xml:space="preserve">205,403</t>
    </r>
    <r>
      <rPr>
        <sz val="10"/>
        <color rgb="FF000000"/>
        <rFont val="Noto Sans CJK SC"/>
        <family val="2"/>
      </rPr>
      <t xml:space="preserve">；現金流量表「物業及設備融資所得款項」</t>
    </r>
    <r>
      <rPr>
        <sz val="10"/>
        <color rgb="FF000000"/>
        <rFont val="Arial"/>
        <family val="0"/>
        <charset val="1"/>
      </rPr>
      <t xml:space="preserve">210,680 </t>
    </r>
    <r>
      <rPr>
        <sz val="10"/>
        <color rgb="FF000000"/>
        <rFont val="Noto Sans CJK SC"/>
        <family val="2"/>
      </rPr>
      <t xml:space="preserve">千元（第 </t>
    </r>
    <r>
      <rPr>
        <sz val="10"/>
        <color rgb="FF000000"/>
        <rFont val="Arial"/>
        <family val="0"/>
        <charset val="1"/>
      </rPr>
      <t xml:space="preserve">359 </t>
    </r>
    <r>
      <rPr>
        <sz val="10"/>
        <color rgb="FF000000"/>
        <rFont val="Noto Sans CJK SC"/>
        <family val="2"/>
      </rPr>
      <t xml:space="preserve">頁）；第 </t>
    </r>
    <r>
      <rPr>
        <sz val="10"/>
        <color rgb="FF000000"/>
        <rFont val="Arial"/>
        <family val="0"/>
        <charset val="1"/>
      </rPr>
      <t xml:space="preserve">279 </t>
    </r>
    <r>
      <rPr>
        <sz val="10"/>
        <color rgb="FF000000"/>
        <rFont val="Noto Sans CJK SC"/>
        <family val="2"/>
      </rPr>
      <t xml:space="preserve">頁「將部分電子設備從自有轉向租賃，以提高運營效率」</t>
    </r>
  </si>
  <si>
    <t xml:space="preserve">SRC_ZP_905</t>
  </si>
  <si>
    <t xml:space="preserve">ppe_disposal_proceeds_fy22</t>
  </si>
  <si>
    <t xml:space="preserve">出售物業及設備及無形資產所得款項</t>
  </si>
  <si>
    <r>
      <rPr>
        <sz val="10"/>
        <color rgb="FF000000"/>
        <rFont val="Noto Sans CJK SC"/>
        <family val="2"/>
      </rPr>
      <t xml:space="preserve">綜合現金流量表；</t>
    </r>
    <r>
      <rPr>
        <sz val="10"/>
        <color rgb="FF000000"/>
        <rFont val="Arial"/>
        <family val="0"/>
        <charset val="1"/>
      </rPr>
      <t xml:space="preserve">FY24 </t>
    </r>
    <r>
      <rPr>
        <sz val="10"/>
        <color rgb="FF000000"/>
        <rFont val="Noto Sans CJK SC"/>
        <family val="2"/>
      </rPr>
      <t xml:space="preserve">第 </t>
    </r>
    <r>
      <rPr>
        <sz val="10"/>
        <color rgb="FF000000"/>
        <rFont val="Arial"/>
        <family val="0"/>
        <charset val="1"/>
      </rPr>
      <t xml:space="preserve">279 </t>
    </r>
    <r>
      <rPr>
        <sz val="10"/>
        <color rgb="FF000000"/>
        <rFont val="Noto Sans CJK SC"/>
        <family val="2"/>
      </rPr>
      <t xml:space="preserve">頁「處置算力硬件等部分電子設備」，</t>
    </r>
    <r>
      <rPr>
        <sz val="10"/>
        <color rgb="FF000000"/>
        <rFont val="Arial"/>
        <family val="0"/>
        <charset val="1"/>
      </rPr>
      <t xml:space="preserve">FY23</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</si>
  <si>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SRC_ZP_906</t>
  </si>
  <si>
    <t xml:space="preserve">ppe_disposal_proceeds_fy23</t>
  </si>
  <si>
    <r>
      <rPr>
        <sz val="10"/>
        <color rgb="FF000000"/>
        <rFont val="Noto Sans CJK SC"/>
        <family val="2"/>
      </rPr>
      <t xml:space="preserve">綜合現金流量表；</t>
    </r>
    <r>
      <rPr>
        <sz val="10"/>
        <color rgb="FF000000"/>
        <rFont val="Arial"/>
        <family val="0"/>
        <charset val="1"/>
      </rPr>
      <t xml:space="preserve">FY24 </t>
    </r>
    <r>
      <rPr>
        <sz val="10"/>
        <color rgb="FF000000"/>
        <rFont val="Noto Sans CJK SC"/>
        <family val="2"/>
      </rPr>
      <t xml:space="preserve">第 </t>
    </r>
    <r>
      <rPr>
        <sz val="10"/>
        <color rgb="FF000000"/>
        <rFont val="Arial"/>
        <family val="0"/>
        <charset val="1"/>
      </rPr>
      <t xml:space="preserve">279 </t>
    </r>
    <r>
      <rPr>
        <sz val="10"/>
        <color rgb="FF000000"/>
        <rFont val="Noto Sans CJK SC"/>
        <family val="2"/>
      </rPr>
      <t xml:space="preserve">頁「處置算力硬件等部分電子設備」，</t>
    </r>
    <r>
      <rPr>
        <sz val="10"/>
        <color rgb="FF000000"/>
        <rFont val="Arial"/>
        <family val="0"/>
        <charset val="1"/>
      </rPr>
      <t xml:space="preserve">FY23</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</si>
  <si>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SRC_ZP_907</t>
  </si>
  <si>
    <t xml:space="preserve">ppe_disposal_proceeds_fy24</t>
  </si>
  <si>
    <r>
      <rPr>
        <sz val="10"/>
        <color rgb="FF000000"/>
        <rFont val="Noto Sans CJK SC"/>
        <family val="2"/>
      </rPr>
      <t xml:space="preserve">綜合現金流量表；</t>
    </r>
    <r>
      <rPr>
        <sz val="10"/>
        <color rgb="FF000000"/>
        <rFont val="Arial"/>
        <family val="0"/>
        <charset val="1"/>
      </rPr>
      <t xml:space="preserve">FY24 </t>
    </r>
    <r>
      <rPr>
        <sz val="10"/>
        <color rgb="FF000000"/>
        <rFont val="Noto Sans CJK SC"/>
        <family val="2"/>
      </rPr>
      <t xml:space="preserve">第 </t>
    </r>
    <r>
      <rPr>
        <sz val="10"/>
        <color rgb="FF000000"/>
        <rFont val="Arial"/>
        <family val="0"/>
        <charset val="1"/>
      </rPr>
      <t xml:space="preserve">279 </t>
    </r>
    <r>
      <rPr>
        <sz val="10"/>
        <color rgb="FF000000"/>
        <rFont val="Noto Sans CJK SC"/>
        <family val="2"/>
      </rPr>
      <t xml:space="preserve">頁「處置算力硬件等部分電子設備」，</t>
    </r>
    <r>
      <rPr>
        <sz val="10"/>
        <color rgb="FF000000"/>
        <rFont val="Arial"/>
        <family val="0"/>
        <charset val="1"/>
      </rPr>
      <t xml:space="preserve">FY23</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114,603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</si>
  <si>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SRC_ZP_908</t>
  </si>
  <si>
    <t xml:space="preserve">ppe_disposal_proceeds_1h24</t>
  </si>
  <si>
    <t xml:space="preserve">SRC_ZP_909</t>
  </si>
  <si>
    <t xml:space="preserve">ppe_disposal_proceeds_1h25</t>
  </si>
  <si>
    <r>
      <rPr>
        <sz val="10"/>
        <color rgb="FF000000"/>
        <rFont val="Noto Sans CJK SC"/>
        <family val="2"/>
      </rPr>
      <t xml:space="preserve">綜合現金流量表；</t>
    </r>
    <r>
      <rPr>
        <sz val="10"/>
        <color rgb="FF000000"/>
        <rFont val="Arial"/>
        <family val="0"/>
        <charset val="1"/>
      </rPr>
      <t xml:space="preserve">FY24 </t>
    </r>
    <r>
      <rPr>
        <sz val="10"/>
        <color rgb="FF000000"/>
        <rFont val="Noto Sans CJK SC"/>
        <family val="2"/>
      </rPr>
      <t xml:space="preserve">第 </t>
    </r>
    <r>
      <rPr>
        <sz val="10"/>
        <color rgb="FF000000"/>
        <rFont val="Arial"/>
        <family val="0"/>
        <charset val="1"/>
      </rPr>
      <t xml:space="preserve">279 </t>
    </r>
    <r>
      <rPr>
        <sz val="10"/>
        <color rgb="FF000000"/>
        <rFont val="Noto Sans CJK SC"/>
        <family val="2"/>
      </rPr>
      <t xml:space="preserve">頁「處置算力硬件等部分電子設備」，</t>
    </r>
    <r>
      <rPr>
        <sz val="10"/>
        <color rgb="FF000000"/>
        <rFont val="Arial"/>
        <family val="0"/>
        <charset val="1"/>
      </rPr>
      <t xml:space="preserve">FY23</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</si>
  <si>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SRC_ZP_910</t>
  </si>
  <si>
    <t xml:space="preserve">ppe_total_fy22</t>
  </si>
  <si>
    <t xml:space="preserve">物業及設備（含使用權資產）賬面值</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</si>
  <si>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279 </t>
    </r>
    <r>
      <rPr>
        <sz val="10"/>
        <color rgb="FF000000"/>
        <rFont val="Noto Sans CJK SC"/>
        <family val="2"/>
      </rPr>
      <t xml:space="preserve">頁</t>
    </r>
  </si>
  <si>
    <r>
      <rPr>
        <sz val="10"/>
        <color rgb="FF000000"/>
        <rFont val="Noto Sans CJK SC"/>
        <family val="2"/>
      </rPr>
      <t xml:space="preserve">物業及設備明細表（第 </t>
    </r>
    <r>
      <rPr>
        <sz val="10"/>
        <color rgb="FF000000"/>
        <rFont val="Arial"/>
        <family val="0"/>
        <charset val="1"/>
      </rPr>
      <t xml:space="preserve">279 </t>
    </r>
    <r>
      <rPr>
        <sz val="10"/>
        <color rgb="FF000000"/>
        <rFont val="Noto Sans CJK SC"/>
        <family val="2"/>
      </rPr>
      <t xml:space="preserve">頁＝印 </t>
    </r>
    <r>
      <rPr>
        <sz val="10"/>
        <color rgb="FF000000"/>
        <rFont val="Arial"/>
        <family val="0"/>
        <charset val="1"/>
      </rPr>
      <t xml:space="preserve">270</t>
    </r>
    <r>
      <rPr>
        <sz val="10"/>
        <color rgb="FF000000"/>
        <rFont val="Noto Sans CJK SC"/>
        <family val="2"/>
      </rPr>
      <t xml:space="preserve">）；千元值 </t>
    </r>
    <r>
      <rPr>
        <sz val="10"/>
        <color rgb="FF000000"/>
        <rFont val="Arial"/>
        <family val="0"/>
        <charset val="1"/>
      </rPr>
      <t xml:space="preserve">41,418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</si>
  <si>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SRC_ZP_911</t>
  </si>
  <si>
    <t xml:space="preserve">ppe_total_fy23</t>
  </si>
  <si>
    <r>
      <rPr>
        <sz val="10"/>
        <color rgb="FF000000"/>
        <rFont val="Noto Sans CJK SC"/>
        <family val="2"/>
      </rPr>
      <t xml:space="preserve">物業及設備明細表（第 </t>
    </r>
    <r>
      <rPr>
        <sz val="10"/>
        <color rgb="FF000000"/>
        <rFont val="Arial"/>
        <family val="0"/>
        <charset val="1"/>
      </rPr>
      <t xml:space="preserve">279 </t>
    </r>
    <r>
      <rPr>
        <sz val="10"/>
        <color rgb="FF000000"/>
        <rFont val="Noto Sans CJK SC"/>
        <family val="2"/>
      </rPr>
      <t xml:space="preserve">頁＝印 </t>
    </r>
    <r>
      <rPr>
        <sz val="10"/>
        <color rgb="FF000000"/>
        <rFont val="Arial"/>
        <family val="0"/>
        <charset val="1"/>
      </rPr>
      <t xml:space="preserve">270</t>
    </r>
    <r>
      <rPr>
        <sz val="10"/>
        <color rgb="FF000000"/>
        <rFont val="Noto Sans CJK SC"/>
        <family val="2"/>
      </rPr>
      <t xml:space="preserve">）；千元值 </t>
    </r>
    <r>
      <rPr>
        <sz val="10"/>
        <color rgb="FF000000"/>
        <rFont val="Arial"/>
        <family val="0"/>
        <charset val="1"/>
      </rPr>
      <t xml:space="preserve">787,537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</si>
  <si>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SRC_ZP_912</t>
  </si>
  <si>
    <t xml:space="preserve">ppe_total_fy24</t>
  </si>
  <si>
    <r>
      <rPr>
        <sz val="10"/>
        <color rgb="FF000000"/>
        <rFont val="Noto Sans CJK SC"/>
        <family val="2"/>
      </rPr>
      <t xml:space="preserve">物業及設備明細表（第 </t>
    </r>
    <r>
      <rPr>
        <sz val="10"/>
        <color rgb="FF000000"/>
        <rFont val="Arial"/>
        <family val="0"/>
        <charset val="1"/>
      </rPr>
      <t xml:space="preserve">279 </t>
    </r>
    <r>
      <rPr>
        <sz val="10"/>
        <color rgb="FF000000"/>
        <rFont val="Noto Sans CJK SC"/>
        <family val="2"/>
      </rPr>
      <t xml:space="preserve">頁＝印 </t>
    </r>
    <r>
      <rPr>
        <sz val="10"/>
        <color rgb="FF000000"/>
        <rFont val="Arial"/>
        <family val="0"/>
        <charset val="1"/>
      </rPr>
      <t xml:space="preserve">270</t>
    </r>
    <r>
      <rPr>
        <sz val="10"/>
        <color rgb="FF000000"/>
        <rFont val="Noto Sans CJK SC"/>
        <family val="2"/>
      </rPr>
      <t xml:space="preserve">）；千元值 </t>
    </r>
    <r>
      <rPr>
        <sz val="10"/>
        <color rgb="FF000000"/>
        <rFont val="Arial"/>
        <family val="0"/>
        <charset val="1"/>
      </rPr>
      <t xml:space="preserve">866,363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</si>
  <si>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SRC_ZP_913</t>
  </si>
  <si>
    <t xml:space="preserve">ppe_total_1h25</t>
  </si>
  <si>
    <r>
      <rPr>
        <sz val="10"/>
        <color rgb="FF000000"/>
        <rFont val="Noto Sans CJK SC"/>
        <family val="2"/>
      </rPr>
      <t xml:space="preserve">物業及設備明細表（第 </t>
    </r>
    <r>
      <rPr>
        <sz val="10"/>
        <color rgb="FF000000"/>
        <rFont val="Arial"/>
        <family val="0"/>
        <charset val="1"/>
      </rPr>
      <t xml:space="preserve">279 </t>
    </r>
    <r>
      <rPr>
        <sz val="10"/>
        <color rgb="FF000000"/>
        <rFont val="Noto Sans CJK SC"/>
        <family val="2"/>
      </rPr>
      <t xml:space="preserve">頁＝印 </t>
    </r>
    <r>
      <rPr>
        <sz val="10"/>
        <color rgb="FF000000"/>
        <rFont val="Arial"/>
        <family val="0"/>
        <charset val="1"/>
      </rPr>
      <t xml:space="preserve">270</t>
    </r>
    <r>
      <rPr>
        <sz val="10"/>
        <color rgb="FF000000"/>
        <rFont val="Noto Sans CJK SC"/>
        <family val="2"/>
      </rPr>
      <t xml:space="preserve">）；千元值 </t>
    </r>
    <r>
      <rPr>
        <sz val="10"/>
        <color rgb="FF000000"/>
        <rFont val="Arial"/>
        <family val="0"/>
        <charset val="1"/>
      </rPr>
      <t xml:space="preserve">772,619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</si>
  <si>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SRC_ZP_914</t>
  </si>
  <si>
    <t xml:space="preserve">ppe_equip_nbv_fy22</t>
  </si>
  <si>
    <t xml:space="preserve">電子設備及其他（自有）賬面值</t>
  </si>
  <si>
    <r>
      <rPr>
        <sz val="10"/>
        <color rgb="FF000000"/>
        <rFont val="Noto Sans CJK SC"/>
        <family val="2"/>
      </rPr>
      <t xml:space="preserve">物業及設備明細表「電子設備及其他」；千元值 </t>
    </r>
    <r>
      <rPr>
        <sz val="10"/>
        <color rgb="FF000000"/>
        <rFont val="Arial"/>
        <family val="0"/>
        <charset val="1"/>
      </rPr>
      <t xml:space="preserve">29,447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</si>
  <si>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SRC_ZP_915</t>
  </si>
  <si>
    <t xml:space="preserve">ppe_equip_nbv_fy23</t>
  </si>
  <si>
    <r>
      <rPr>
        <sz val="10"/>
        <color rgb="FF000000"/>
        <rFont val="Noto Sans CJK SC"/>
        <family val="2"/>
      </rPr>
      <t xml:space="preserve">物業及設備明細表「電子設備及其他」；千元值 </t>
    </r>
    <r>
      <rPr>
        <sz val="10"/>
        <color rgb="FF000000"/>
        <rFont val="Arial"/>
        <family val="0"/>
        <charset val="1"/>
      </rPr>
      <t xml:space="preserve">511,348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</si>
  <si>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SRC_ZP_916</t>
  </si>
  <si>
    <t xml:space="preserve">ppe_equip_nbv_fy24</t>
  </si>
  <si>
    <r>
      <rPr>
        <sz val="10"/>
        <color rgb="FF000000"/>
        <rFont val="Noto Sans CJK SC"/>
        <family val="2"/>
      </rPr>
      <t xml:space="preserve">物業及設備明細表「電子設備及其他」；千元值 </t>
    </r>
    <r>
      <rPr>
        <sz val="10"/>
        <color rgb="FF000000"/>
        <rFont val="Arial"/>
        <family val="0"/>
        <charset val="1"/>
      </rPr>
      <t xml:space="preserve">228,130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</si>
  <si>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SRC_ZP_917</t>
  </si>
  <si>
    <t xml:space="preserve">ppe_equip_nbv_1h25</t>
  </si>
  <si>
    <r>
      <rPr>
        <sz val="10"/>
        <color rgb="FF000000"/>
        <rFont val="Noto Sans CJK SC"/>
        <family val="2"/>
      </rPr>
      <t xml:space="preserve">物業及設備明細表「電子設備及其他」；千元值 </t>
    </r>
    <r>
      <rPr>
        <sz val="10"/>
        <color rgb="FF000000"/>
        <rFont val="Arial"/>
        <family val="0"/>
        <charset val="1"/>
      </rPr>
      <t xml:space="preserve">202,690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</si>
  <si>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SRC_ZP_918</t>
  </si>
  <si>
    <t xml:space="preserve">rou_total_fy22</t>
  </si>
  <si>
    <t xml:space="preserve">使用權資產賬面值</t>
  </si>
  <si>
    <r>
      <rPr>
        <sz val="10"/>
        <color rgb="FF000000"/>
        <rFont val="Noto Sans CJK SC"/>
        <family val="2"/>
      </rPr>
      <t xml:space="preserve">物業及設備明細表「使用權資產」；千元值 </t>
    </r>
    <r>
      <rPr>
        <sz val="10"/>
        <color rgb="FF000000"/>
        <rFont val="Arial"/>
        <family val="0"/>
        <charset val="1"/>
      </rPr>
      <t xml:space="preserve">11,971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</si>
  <si>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SRC_ZP_919</t>
  </si>
  <si>
    <t xml:space="preserve">rou_total_fy23</t>
  </si>
  <si>
    <r>
      <rPr>
        <sz val="10"/>
        <color rgb="FF000000"/>
        <rFont val="Noto Sans CJK SC"/>
        <family val="2"/>
      </rPr>
      <t xml:space="preserve">物業及設備明細表「使用權資產」；千元值 </t>
    </r>
    <r>
      <rPr>
        <sz val="10"/>
        <color rgb="FF000000"/>
        <rFont val="Arial"/>
        <family val="0"/>
        <charset val="1"/>
      </rPr>
      <t xml:space="preserve">257,582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</si>
  <si>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SRC_ZP_920</t>
  </si>
  <si>
    <t xml:space="preserve">rou_total_fy24</t>
  </si>
  <si>
    <r>
      <rPr>
        <sz val="10"/>
        <color rgb="FF000000"/>
        <rFont val="Noto Sans CJK SC"/>
        <family val="2"/>
      </rPr>
      <t xml:space="preserve">物業及設備明細表「使用權資產」；千元值 </t>
    </r>
    <r>
      <rPr>
        <sz val="10"/>
        <color rgb="FF000000"/>
        <rFont val="Arial"/>
        <family val="0"/>
        <charset val="1"/>
      </rPr>
      <t xml:space="preserve">623,825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</si>
  <si>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SRC_ZP_921</t>
  </si>
  <si>
    <t xml:space="preserve">rou_total_1h25</t>
  </si>
  <si>
    <r>
      <rPr>
        <sz val="10"/>
        <color rgb="FF000000"/>
        <rFont val="Noto Sans CJK SC"/>
        <family val="2"/>
      </rPr>
      <t xml:space="preserve">物業及設備明細表「使用權資產」；千元值 </t>
    </r>
    <r>
      <rPr>
        <sz val="10"/>
        <color rgb="FF000000"/>
        <rFont val="Arial"/>
        <family val="0"/>
        <charset val="1"/>
      </rPr>
      <t xml:space="preserve">555,302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</si>
  <si>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SRC_ZP_922</t>
  </si>
  <si>
    <t xml:space="preserve">rou_equip_fy22</t>
  </si>
  <si>
    <t xml:space="preserve">使用權資產：電子設備（租賃算力硬件）賬面值</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</si>
  <si>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390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</si>
  <si>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（第 </t>
    </r>
    <r>
      <rPr>
        <sz val="10"/>
        <color rgb="FF000000"/>
        <rFont val="Arial"/>
        <family val="0"/>
        <charset val="1"/>
      </rPr>
      <t xml:space="preserve">390 </t>
    </r>
    <r>
      <rPr>
        <sz val="10"/>
        <color rgb="FF000000"/>
        <rFont val="Noto Sans CJK SC"/>
        <family val="2"/>
      </rPr>
      <t xml:space="preserve">頁＝印 </t>
    </r>
    <r>
      <rPr>
        <sz val="10"/>
        <color rgb="FF000000"/>
        <rFont val="Arial"/>
        <family val="0"/>
        <charset val="1"/>
      </rPr>
      <t xml:space="preserve">I-47</t>
    </r>
    <r>
      <rPr>
        <sz val="10"/>
        <color rgb="FF000000"/>
        <rFont val="Noto Sans CJK SC"/>
        <family val="2"/>
      </rPr>
      <t xml:space="preserve">）；千元值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</si>
  <si>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SRC_ZP_923</t>
  </si>
  <si>
    <t xml:space="preserve">rou_equip_fy23</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</si>
  <si>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（第 </t>
    </r>
    <r>
      <rPr>
        <sz val="10"/>
        <color rgb="FF000000"/>
        <rFont val="Arial"/>
        <family val="0"/>
        <charset val="1"/>
      </rPr>
      <t xml:space="preserve">390 </t>
    </r>
    <r>
      <rPr>
        <sz val="10"/>
        <color rgb="FF000000"/>
        <rFont val="Noto Sans CJK SC"/>
        <family val="2"/>
      </rPr>
      <t xml:space="preserve">頁＝印 </t>
    </r>
    <r>
      <rPr>
        <sz val="10"/>
        <color rgb="FF000000"/>
        <rFont val="Arial"/>
        <family val="0"/>
        <charset val="1"/>
      </rPr>
      <t xml:space="preserve">I-47</t>
    </r>
    <r>
      <rPr>
        <sz val="10"/>
        <color rgb="FF000000"/>
        <rFont val="Noto Sans CJK SC"/>
        <family val="2"/>
      </rPr>
      <t xml:space="preserve">）；千元值 </t>
    </r>
    <r>
      <rPr>
        <sz val="10"/>
        <color rgb="FF000000"/>
        <rFont val="Arial"/>
        <family val="0"/>
        <charset val="1"/>
      </rPr>
      <t xml:space="preserve">84,615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</si>
  <si>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SRC_ZP_924</t>
  </si>
  <si>
    <t xml:space="preserve">rou_equip_fy24</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</si>
  <si>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（第 </t>
    </r>
    <r>
      <rPr>
        <sz val="10"/>
        <color rgb="FF000000"/>
        <rFont val="Arial"/>
        <family val="0"/>
        <charset val="1"/>
      </rPr>
      <t xml:space="preserve">390 </t>
    </r>
    <r>
      <rPr>
        <sz val="10"/>
        <color rgb="FF000000"/>
        <rFont val="Noto Sans CJK SC"/>
        <family val="2"/>
      </rPr>
      <t xml:space="preserve">頁＝印 </t>
    </r>
    <r>
      <rPr>
        <sz val="10"/>
        <color rgb="FF000000"/>
        <rFont val="Arial"/>
        <family val="0"/>
        <charset val="1"/>
      </rPr>
      <t xml:space="preserve">I-47</t>
    </r>
    <r>
      <rPr>
        <sz val="10"/>
        <color rgb="FF000000"/>
        <rFont val="Noto Sans CJK SC"/>
        <family val="2"/>
      </rPr>
      <t xml:space="preserve">）；千元值 </t>
    </r>
    <r>
      <rPr>
        <sz val="10"/>
        <color rgb="FF000000"/>
        <rFont val="Arial"/>
        <family val="0"/>
        <charset val="1"/>
      </rPr>
      <t xml:space="preserve">483,737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</si>
  <si>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SRC_ZP_925</t>
  </si>
  <si>
    <t xml:space="preserve">rou_equip_1h25</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</si>
  <si>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（第 </t>
    </r>
    <r>
      <rPr>
        <sz val="10"/>
        <color rgb="FF000000"/>
        <rFont val="Arial"/>
        <family val="0"/>
        <charset val="1"/>
      </rPr>
      <t xml:space="preserve">390 </t>
    </r>
    <r>
      <rPr>
        <sz val="10"/>
        <color rgb="FF000000"/>
        <rFont val="Noto Sans CJK SC"/>
        <family val="2"/>
      </rPr>
      <t xml:space="preserve">頁＝印 </t>
    </r>
    <r>
      <rPr>
        <sz val="10"/>
        <color rgb="FF000000"/>
        <rFont val="Arial"/>
        <family val="0"/>
        <charset val="1"/>
      </rPr>
      <t xml:space="preserve">I-47</t>
    </r>
    <r>
      <rPr>
        <sz val="10"/>
        <color rgb="FF000000"/>
        <rFont val="Noto Sans CJK SC"/>
        <family val="2"/>
      </rPr>
      <t xml:space="preserve">）；千元值 </t>
    </r>
    <r>
      <rPr>
        <sz val="10"/>
        <color rgb="FF000000"/>
        <rFont val="Arial"/>
        <family val="0"/>
        <charset val="1"/>
      </rPr>
      <t xml:space="preserve">403,766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</si>
  <si>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SRC_ZP_926</t>
  </si>
  <si>
    <t xml:space="preserve">rou_office_fy22</t>
  </si>
  <si>
    <t xml:space="preserve">使用權資產：辦公場所賬面值</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</si>
  <si>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；千元值 </t>
    </r>
    <r>
      <rPr>
        <sz val="10"/>
        <color rgb="FF000000"/>
        <rFont val="Arial"/>
        <family val="0"/>
        <charset val="1"/>
      </rPr>
      <t xml:space="preserve">11,971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</si>
  <si>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SRC_ZP_927</t>
  </si>
  <si>
    <t xml:space="preserve">rou_office_fy23</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</si>
  <si>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；千元值 </t>
    </r>
    <r>
      <rPr>
        <sz val="10"/>
        <color rgb="FF000000"/>
        <rFont val="Arial"/>
        <family val="0"/>
        <charset val="1"/>
      </rPr>
      <t xml:space="preserve">172,967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</si>
  <si>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SRC_ZP_928</t>
  </si>
  <si>
    <t xml:space="preserve">rou_office_fy24</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</si>
  <si>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；千元值 </t>
    </r>
    <r>
      <rPr>
        <sz val="10"/>
        <color rgb="FF000000"/>
        <rFont val="Arial"/>
        <family val="0"/>
        <charset val="1"/>
      </rPr>
      <t xml:space="preserve">140,088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</si>
  <si>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SRC_ZP_929</t>
  </si>
  <si>
    <t xml:space="preserve">rou_office_1h25</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</si>
  <si>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；千元值 </t>
    </r>
    <r>
      <rPr>
        <sz val="10"/>
        <color rgb="FF000000"/>
        <rFont val="Arial"/>
        <family val="0"/>
        <charset val="1"/>
      </rPr>
      <t xml:space="preserve">151,536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</si>
  <si>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SRC_ZP_930</t>
  </si>
  <si>
    <t xml:space="preserve">dep_ppe_fy22</t>
  </si>
  <si>
    <t xml:space="preserve">物業及設備折舊（計入損益）</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</si>
  <si>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357 </t>
    </r>
    <r>
      <rPr>
        <sz val="10"/>
        <color rgb="FF000000"/>
        <rFont val="Noto Sans CJK SC"/>
        <family val="2"/>
      </rPr>
      <t xml:space="preserve">頁</t>
    </r>
  </si>
  <si>
    <r>
      <rPr>
        <sz val="10"/>
        <color rgb="FF000000"/>
        <rFont val="Noto Sans CJK SC"/>
        <family val="2"/>
      </rPr>
      <t xml:space="preserve">現金流量表調整項（第 </t>
    </r>
    <r>
      <rPr>
        <sz val="10"/>
        <color rgb="FF000000"/>
        <rFont val="Arial"/>
        <family val="0"/>
        <charset val="1"/>
      </rPr>
      <t xml:space="preserve">357 </t>
    </r>
    <r>
      <rPr>
        <sz val="10"/>
        <color rgb="FF000000"/>
        <rFont val="Noto Sans CJK SC"/>
        <family val="2"/>
      </rPr>
      <t xml:space="preserve">頁）及附註 </t>
    </r>
    <r>
      <rPr>
        <sz val="10"/>
        <color rgb="FF000000"/>
        <rFont val="Arial"/>
        <family val="0"/>
        <charset val="1"/>
      </rPr>
      <t xml:space="preserve">6(c)</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另資本化至存貨 </t>
    </r>
    <r>
      <rPr>
        <sz val="10"/>
        <color rgb="FF000000"/>
        <rFont val="Arial"/>
        <family val="0"/>
        <charset val="1"/>
      </rPr>
      <t xml:space="preserve">3,311 </t>
    </r>
    <r>
      <rPr>
        <sz val="10"/>
        <color rgb="FF000000"/>
        <rFont val="Noto Sans CJK SC"/>
        <family val="2"/>
      </rPr>
      <t xml:space="preserve">千元；千元值 </t>
    </r>
    <r>
      <rPr>
        <sz val="10"/>
        <color rgb="FF000000"/>
        <rFont val="Arial"/>
        <family val="0"/>
        <charset val="1"/>
      </rPr>
      <t xml:space="preserve">16,567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</si>
  <si>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SRC_ZP_931</t>
  </si>
  <si>
    <t xml:space="preserve">dep_ppe_fy23</t>
  </si>
  <si>
    <r>
      <rPr>
        <sz val="10"/>
        <color rgb="FF000000"/>
        <rFont val="Noto Sans CJK SC"/>
        <family val="2"/>
      </rPr>
      <t xml:space="preserve">現金流量表調整項（第 </t>
    </r>
    <r>
      <rPr>
        <sz val="10"/>
        <color rgb="FF000000"/>
        <rFont val="Arial"/>
        <family val="0"/>
        <charset val="1"/>
      </rPr>
      <t xml:space="preserve">357 </t>
    </r>
    <r>
      <rPr>
        <sz val="10"/>
        <color rgb="FF000000"/>
        <rFont val="Noto Sans CJK SC"/>
        <family val="2"/>
      </rPr>
      <t xml:space="preserve">頁）及附註 </t>
    </r>
    <r>
      <rPr>
        <sz val="10"/>
        <color rgb="FF000000"/>
        <rFont val="Arial"/>
        <family val="0"/>
        <charset val="1"/>
      </rPr>
      <t xml:space="preserve">6(c)</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另資本化至存貨 </t>
    </r>
    <r>
      <rPr>
        <sz val="10"/>
        <color rgb="FF000000"/>
        <rFont val="Arial"/>
        <family val="0"/>
        <charset val="1"/>
      </rPr>
      <t xml:space="preserve">3,311 </t>
    </r>
    <r>
      <rPr>
        <sz val="10"/>
        <color rgb="FF000000"/>
        <rFont val="Noto Sans CJK SC"/>
        <family val="2"/>
      </rPr>
      <t xml:space="preserve">千元；千元值 </t>
    </r>
    <r>
      <rPr>
        <sz val="10"/>
        <color rgb="FF000000"/>
        <rFont val="Arial"/>
        <family val="0"/>
        <charset val="1"/>
      </rPr>
      <t xml:space="preserve">63,822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</si>
  <si>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SRC_ZP_932</t>
  </si>
  <si>
    <t xml:space="preserve">dep_ppe_fy24</t>
  </si>
  <si>
    <r>
      <rPr>
        <sz val="10"/>
        <color rgb="FF000000"/>
        <rFont val="Noto Sans CJK SC"/>
        <family val="2"/>
      </rPr>
      <t xml:space="preserve">現金流量表調整項（第 </t>
    </r>
    <r>
      <rPr>
        <sz val="10"/>
        <color rgb="FF000000"/>
        <rFont val="Arial"/>
        <family val="0"/>
        <charset val="1"/>
      </rPr>
      <t xml:space="preserve">357 </t>
    </r>
    <r>
      <rPr>
        <sz val="10"/>
        <color rgb="FF000000"/>
        <rFont val="Noto Sans CJK SC"/>
        <family val="2"/>
      </rPr>
      <t xml:space="preserve">頁）及附註 </t>
    </r>
    <r>
      <rPr>
        <sz val="10"/>
        <color rgb="FF000000"/>
        <rFont val="Arial"/>
        <family val="0"/>
        <charset val="1"/>
      </rPr>
      <t xml:space="preserve">6(c)</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另資本化至存貨 </t>
    </r>
    <r>
      <rPr>
        <sz val="10"/>
        <color rgb="FF000000"/>
        <rFont val="Arial"/>
        <family val="0"/>
        <charset val="1"/>
      </rPr>
      <t xml:space="preserve">3,311 </t>
    </r>
    <r>
      <rPr>
        <sz val="10"/>
        <color rgb="FF000000"/>
        <rFont val="Noto Sans CJK SC"/>
        <family val="2"/>
      </rPr>
      <t xml:space="preserve">千元；千元值 </t>
    </r>
    <r>
      <rPr>
        <sz val="10"/>
        <color rgb="FF000000"/>
        <rFont val="Arial"/>
        <family val="0"/>
        <charset val="1"/>
      </rPr>
      <t xml:space="preserve">270,252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</si>
  <si>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SRC_ZP_933</t>
  </si>
  <si>
    <t xml:space="preserve">dep_ppe_1h24</t>
  </si>
  <si>
    <r>
      <rPr>
        <sz val="10"/>
        <color rgb="FF000000"/>
        <rFont val="Noto Sans CJK SC"/>
        <family val="2"/>
      </rPr>
      <t xml:space="preserve">現金流量表調整項（第 </t>
    </r>
    <r>
      <rPr>
        <sz val="10"/>
        <color rgb="FF000000"/>
        <rFont val="Arial"/>
        <family val="0"/>
        <charset val="1"/>
      </rPr>
      <t xml:space="preserve">357 </t>
    </r>
    <r>
      <rPr>
        <sz val="10"/>
        <color rgb="FF000000"/>
        <rFont val="Noto Sans CJK SC"/>
        <family val="2"/>
      </rPr>
      <t xml:space="preserve">頁）及附註 </t>
    </r>
    <r>
      <rPr>
        <sz val="10"/>
        <color rgb="FF000000"/>
        <rFont val="Arial"/>
        <family val="0"/>
        <charset val="1"/>
      </rPr>
      <t xml:space="preserve">6(c)</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另資本化至存貨 </t>
    </r>
    <r>
      <rPr>
        <sz val="10"/>
        <color rgb="FF000000"/>
        <rFont val="Arial"/>
        <family val="0"/>
        <charset val="1"/>
      </rPr>
      <t xml:space="preserve">3,311 </t>
    </r>
    <r>
      <rPr>
        <sz val="10"/>
        <color rgb="FF000000"/>
        <rFont val="Noto Sans CJK SC"/>
        <family val="2"/>
      </rPr>
      <t xml:space="preserve">千元；千元值 </t>
    </r>
    <r>
      <rPr>
        <sz val="10"/>
        <color rgb="FF000000"/>
        <rFont val="Arial"/>
        <family val="0"/>
        <charset val="1"/>
      </rPr>
      <t xml:space="preserve">131,105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</si>
  <si>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SRC_ZP_934</t>
  </si>
  <si>
    <t xml:space="preserve">dep_ppe_1h25</t>
  </si>
  <si>
    <r>
      <rPr>
        <sz val="10"/>
        <color rgb="FF000000"/>
        <rFont val="Noto Sans CJK SC"/>
        <family val="2"/>
      </rPr>
      <t xml:space="preserve">現金流量表調整項（第 </t>
    </r>
    <r>
      <rPr>
        <sz val="10"/>
        <color rgb="FF000000"/>
        <rFont val="Arial"/>
        <family val="0"/>
        <charset val="1"/>
      </rPr>
      <t xml:space="preserve">357 </t>
    </r>
    <r>
      <rPr>
        <sz val="10"/>
        <color rgb="FF000000"/>
        <rFont val="Noto Sans CJK SC"/>
        <family val="2"/>
      </rPr>
      <t xml:space="preserve">頁）及附註 </t>
    </r>
    <r>
      <rPr>
        <sz val="10"/>
        <color rgb="FF000000"/>
        <rFont val="Arial"/>
        <family val="0"/>
        <charset val="1"/>
      </rPr>
      <t xml:space="preserve">6(c)</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另資本化至存貨 </t>
    </r>
    <r>
      <rPr>
        <sz val="10"/>
        <color rgb="FF000000"/>
        <rFont val="Arial"/>
        <family val="0"/>
        <charset val="1"/>
      </rPr>
      <t xml:space="preserve">3,311 </t>
    </r>
    <r>
      <rPr>
        <sz val="10"/>
        <color rgb="FF000000"/>
        <rFont val="Noto Sans CJK SC"/>
        <family val="2"/>
      </rPr>
      <t xml:space="preserve">千元；千元值 </t>
    </r>
    <r>
      <rPr>
        <sz val="10"/>
        <color rgb="FF000000"/>
        <rFont val="Arial"/>
        <family val="0"/>
        <charset val="1"/>
      </rPr>
      <t xml:space="preserve">132,908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</si>
  <si>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SRC_ZP_935</t>
  </si>
  <si>
    <t xml:space="preserve">dep_rou_equip_fy22</t>
  </si>
  <si>
    <t xml:space="preserve">使用權資產（電子設備）折舊</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</si>
  <si>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「—電子設備」；千元值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</si>
  <si>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SRC_ZP_936</t>
  </si>
  <si>
    <t xml:space="preserve">dep_rou_equip_fy23</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</si>
  <si>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「—電子設備」；千元值 </t>
    </r>
    <r>
      <rPr>
        <sz val="10"/>
        <color rgb="FF000000"/>
        <rFont val="Arial"/>
        <family val="0"/>
        <charset val="1"/>
      </rPr>
      <t xml:space="preserve">3,542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</si>
  <si>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SRC_ZP_937</t>
  </si>
  <si>
    <t xml:space="preserve">dep_rou_equip_fy24</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</si>
  <si>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「—電子設備」；千元值 </t>
    </r>
    <r>
      <rPr>
        <sz val="10"/>
        <color rgb="FF000000"/>
        <rFont val="Arial"/>
        <family val="0"/>
        <charset val="1"/>
      </rPr>
      <t xml:space="preserve">133,444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</si>
  <si>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SRC_ZP_938</t>
  </si>
  <si>
    <t xml:space="preserve">dep_rou_equip_1h24</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</si>
  <si>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「—電子設備」；千元值 </t>
    </r>
    <r>
      <rPr>
        <sz val="10"/>
        <color rgb="FF000000"/>
        <rFont val="Arial"/>
        <family val="0"/>
        <charset val="1"/>
      </rPr>
      <t xml:space="preserve">53,032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</si>
  <si>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SRC_ZP_939</t>
  </si>
  <si>
    <t xml:space="preserve">dep_rou_equip_1h25</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</si>
  <si>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「—電子設備」；千元值 </t>
    </r>
    <r>
      <rPr>
        <sz val="10"/>
        <color rgb="FF000000"/>
        <rFont val="Arial"/>
        <family val="0"/>
        <charset val="1"/>
      </rPr>
      <t xml:space="preserve">79,970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</si>
  <si>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SRC_ZP_940</t>
  </si>
  <si>
    <t xml:space="preserve">dep_owned_equip_fy22</t>
  </si>
  <si>
    <t xml:space="preserve">自有電子設備及其他折舊</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</si>
  <si>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年內支出欄；千元值 </t>
    </r>
    <r>
      <rPr>
        <sz val="10"/>
        <color rgb="FF000000"/>
        <rFont val="Arial"/>
        <family val="0"/>
        <charset val="1"/>
      </rPr>
      <t xml:space="preserve">4,596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</si>
  <si>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SRC_ZP_941</t>
  </si>
  <si>
    <t xml:space="preserve">dep_owned_equip_fy23</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</si>
  <si>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年內支出欄；千元值 </t>
    </r>
    <r>
      <rPr>
        <sz val="10"/>
        <color rgb="FF000000"/>
        <rFont val="Arial"/>
        <family val="0"/>
        <charset val="1"/>
      </rPr>
      <t xml:space="preserve">18,745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</si>
  <si>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SRC_ZP_942</t>
  </si>
  <si>
    <t xml:space="preserve">dep_owned_equip_fy24</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</si>
  <si>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年內支出欄；千元值 </t>
    </r>
    <r>
      <rPr>
        <sz val="10"/>
        <color rgb="FF000000"/>
        <rFont val="Arial"/>
        <family val="0"/>
        <charset val="1"/>
      </rPr>
      <t xml:space="preserve">88,949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</si>
  <si>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SRC_ZP_943</t>
  </si>
  <si>
    <t xml:space="preserve">dep_owned_equip_1h25</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</si>
  <si>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年內支出欄；千元值 </t>
    </r>
    <r>
      <rPr>
        <sz val="10"/>
        <color rgb="FF000000"/>
        <rFont val="Arial"/>
        <family val="0"/>
        <charset val="1"/>
      </rPr>
      <t xml:space="preserve">30,705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</si>
  <si>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SRC_ZP_944</t>
  </si>
  <si>
    <t xml:space="preserve">fcf_fin_fy22</t>
  </si>
  <si>
    <t xml:space="preserve">融資活動所得現金淨額</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</si>
  <si>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289 </t>
    </r>
    <r>
      <rPr>
        <sz val="10"/>
        <color rgb="FF000000"/>
        <rFont val="Noto Sans CJK SC"/>
        <family val="2"/>
      </rPr>
      <t xml:space="preserve">頁</t>
    </r>
  </si>
  <si>
    <r>
      <rPr>
        <sz val="10"/>
        <color rgb="FF000000"/>
        <rFont val="Noto Sans CJK SC"/>
        <family val="2"/>
      </rPr>
      <t xml:space="preserve">綜合現金流量表概要（第 </t>
    </r>
    <r>
      <rPr>
        <sz val="10"/>
        <color rgb="FF000000"/>
        <rFont val="Arial"/>
        <family val="0"/>
        <charset val="1"/>
      </rPr>
      <t xml:space="preserve">289 </t>
    </r>
    <r>
      <rPr>
        <sz val="10"/>
        <color rgb="FF000000"/>
        <rFont val="Noto Sans CJK SC"/>
        <family val="2"/>
      </rPr>
      <t xml:space="preserve">頁＝印 </t>
    </r>
    <r>
      <rPr>
        <sz val="10"/>
        <color rgb="FF000000"/>
        <rFont val="Arial"/>
        <family val="0"/>
        <charset val="1"/>
      </rPr>
      <t xml:space="preserve">280</t>
    </r>
    <r>
      <rPr>
        <sz val="10"/>
        <color rgb="FF000000"/>
        <rFont val="Noto Sans CJK SC"/>
        <family val="2"/>
      </rPr>
      <t xml:space="preserve">）；千元值 </t>
    </r>
    <r>
      <rPr>
        <sz val="10"/>
        <color rgb="FF000000"/>
        <rFont val="Arial"/>
        <family val="0"/>
        <charset val="1"/>
      </rPr>
      <t xml:space="preserve">191,196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</si>
  <si>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SRC_ZP_945</t>
  </si>
  <si>
    <t xml:space="preserve">fcf_fin_fy23</t>
  </si>
  <si>
    <r>
      <rPr>
        <sz val="10"/>
        <color rgb="FF000000"/>
        <rFont val="Noto Sans CJK SC"/>
        <family val="2"/>
      </rPr>
      <t xml:space="preserve">綜合現金流量表概要（第 </t>
    </r>
    <r>
      <rPr>
        <sz val="10"/>
        <color rgb="FF000000"/>
        <rFont val="Arial"/>
        <family val="0"/>
        <charset val="1"/>
      </rPr>
      <t xml:space="preserve">289 </t>
    </r>
    <r>
      <rPr>
        <sz val="10"/>
        <color rgb="FF000000"/>
        <rFont val="Noto Sans CJK SC"/>
        <family val="2"/>
      </rPr>
      <t xml:space="preserve">頁＝印 </t>
    </r>
    <r>
      <rPr>
        <sz val="10"/>
        <color rgb="FF000000"/>
        <rFont val="Arial"/>
        <family val="0"/>
        <charset val="1"/>
      </rPr>
      <t xml:space="preserve">280</t>
    </r>
    <r>
      <rPr>
        <sz val="10"/>
        <color rgb="FF000000"/>
        <rFont val="Noto Sans CJK SC"/>
        <family val="2"/>
      </rPr>
      <t xml:space="preserve">）；千元值 </t>
    </r>
    <r>
      <rPr>
        <sz val="10"/>
        <color rgb="FF000000"/>
        <rFont val="Arial"/>
        <family val="0"/>
        <charset val="1"/>
      </rPr>
      <t xml:space="preserve">2,463,043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</si>
  <si>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SRC_ZP_946</t>
  </si>
  <si>
    <t xml:space="preserve">fcf_fin_fy24</t>
  </si>
  <si>
    <r>
      <rPr>
        <sz val="10"/>
        <color rgb="FF000000"/>
        <rFont val="Noto Sans CJK SC"/>
        <family val="2"/>
      </rPr>
      <t xml:space="preserve">綜合現金流量表概要（第 </t>
    </r>
    <r>
      <rPr>
        <sz val="10"/>
        <color rgb="FF000000"/>
        <rFont val="Arial"/>
        <family val="0"/>
        <charset val="1"/>
      </rPr>
      <t xml:space="preserve">289 </t>
    </r>
    <r>
      <rPr>
        <sz val="10"/>
        <color rgb="FF000000"/>
        <rFont val="Noto Sans CJK SC"/>
        <family val="2"/>
      </rPr>
      <t xml:space="preserve">頁＝印 </t>
    </r>
    <r>
      <rPr>
        <sz val="10"/>
        <color rgb="FF000000"/>
        <rFont val="Arial"/>
        <family val="0"/>
        <charset val="1"/>
      </rPr>
      <t xml:space="preserve">280</t>
    </r>
    <r>
      <rPr>
        <sz val="10"/>
        <color rgb="FF000000"/>
        <rFont val="Noto Sans CJK SC"/>
        <family val="2"/>
      </rPr>
      <t xml:space="preserve">）；千元值 </t>
    </r>
    <r>
      <rPr>
        <sz val="10"/>
        <color rgb="FF000000"/>
        <rFont val="Arial"/>
        <family val="0"/>
        <charset val="1"/>
      </rPr>
      <t xml:space="preserve">3,312,073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</si>
  <si>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SRC_ZP_947</t>
  </si>
  <si>
    <t xml:space="preserve">fcf_fin_1h24</t>
  </si>
  <si>
    <r>
      <rPr>
        <sz val="10"/>
        <color rgb="FF000000"/>
        <rFont val="Noto Sans CJK SC"/>
        <family val="2"/>
      </rPr>
      <t xml:space="preserve">綜合現金流量表概要（第 </t>
    </r>
    <r>
      <rPr>
        <sz val="10"/>
        <color rgb="FF000000"/>
        <rFont val="Arial"/>
        <family val="0"/>
        <charset val="1"/>
      </rPr>
      <t xml:space="preserve">289 </t>
    </r>
    <r>
      <rPr>
        <sz val="10"/>
        <color rgb="FF000000"/>
        <rFont val="Noto Sans CJK SC"/>
        <family val="2"/>
      </rPr>
      <t xml:space="preserve">頁＝印 </t>
    </r>
    <r>
      <rPr>
        <sz val="10"/>
        <color rgb="FF000000"/>
        <rFont val="Arial"/>
        <family val="0"/>
        <charset val="1"/>
      </rPr>
      <t xml:space="preserve">280</t>
    </r>
    <r>
      <rPr>
        <sz val="10"/>
        <color rgb="FF000000"/>
        <rFont val="Noto Sans CJK SC"/>
        <family val="2"/>
      </rPr>
      <t xml:space="preserve">）；千元值 </t>
    </r>
    <r>
      <rPr>
        <sz val="10"/>
        <color rgb="FF000000"/>
        <rFont val="Arial"/>
        <family val="0"/>
        <charset val="1"/>
      </rPr>
      <t xml:space="preserve">816,341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</si>
  <si>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SRC_ZP_948</t>
  </si>
  <si>
    <t xml:space="preserve">fcf_fin_1h25</t>
  </si>
  <si>
    <r>
      <rPr>
        <sz val="10"/>
        <color rgb="FF000000"/>
        <rFont val="Noto Sans CJK SC"/>
        <family val="2"/>
      </rPr>
      <t xml:space="preserve">綜合現金流量表概要（第 </t>
    </r>
    <r>
      <rPr>
        <sz val="10"/>
        <color rgb="FF000000"/>
        <rFont val="Arial"/>
        <family val="0"/>
        <charset val="1"/>
      </rPr>
      <t xml:space="preserve">289 </t>
    </r>
    <r>
      <rPr>
        <sz val="10"/>
        <color rgb="FF000000"/>
        <rFont val="Noto Sans CJK SC"/>
        <family val="2"/>
      </rPr>
      <t xml:space="preserve">頁＝印 </t>
    </r>
    <r>
      <rPr>
        <sz val="10"/>
        <color rgb="FF000000"/>
        <rFont val="Arial"/>
        <family val="0"/>
        <charset val="1"/>
      </rPr>
      <t xml:space="preserve">280</t>
    </r>
    <r>
      <rPr>
        <sz val="10"/>
        <color rgb="FF000000"/>
        <rFont val="Noto Sans CJK SC"/>
        <family val="2"/>
      </rPr>
      <t xml:space="preserve">）；千元值 </t>
    </r>
    <r>
      <rPr>
        <sz val="10"/>
        <color rgb="FF000000"/>
        <rFont val="Arial"/>
        <family val="0"/>
        <charset val="1"/>
      </rPr>
      <t xml:space="preserve">2,165,110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</si>
  <si>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SRC_ZP_949</t>
  </si>
  <si>
    <t xml:space="preserve">ocf_p_fy22</t>
  </si>
  <si>
    <r>
      <rPr>
        <sz val="10"/>
        <color rgb="FF000000"/>
        <rFont val="Noto Sans CJK SC"/>
        <family val="2"/>
      </rPr>
      <t xml:space="preserve">綜合現金流量表概要；頁碼補正，值相同；千元值 </t>
    </r>
    <r>
      <rPr>
        <sz val="10"/>
        <color rgb="FF000000"/>
        <rFont val="Arial"/>
        <family val="0"/>
        <charset val="1"/>
      </rPr>
      <t xml:space="preserve">-68,246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</si>
  <si>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SRC_ZP_950</t>
  </si>
  <si>
    <t xml:space="preserve">ocf_p_fy23</t>
  </si>
  <si>
    <r>
      <rPr>
        <sz val="10"/>
        <color rgb="FF000000"/>
        <rFont val="Noto Sans CJK SC"/>
        <family val="2"/>
      </rPr>
      <t xml:space="preserve">綜合現金流量表概要；頁碼補正，值相同；千元值 </t>
    </r>
    <r>
      <rPr>
        <sz val="10"/>
        <color rgb="FF000000"/>
        <rFont val="Arial"/>
        <family val="0"/>
        <charset val="1"/>
      </rPr>
      <t xml:space="preserve">-648,017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</si>
  <si>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SRC_ZP_951</t>
  </si>
  <si>
    <t xml:space="preserve">ocf_p_fy24</t>
  </si>
  <si>
    <r>
      <rPr>
        <sz val="10"/>
        <color rgb="FF000000"/>
        <rFont val="Noto Sans CJK SC"/>
        <family val="2"/>
      </rPr>
      <t xml:space="preserve">綜合現金流量表概要；頁碼補正，值相同；千元值 </t>
    </r>
    <r>
      <rPr>
        <sz val="10"/>
        <color rgb="FF000000"/>
        <rFont val="Arial"/>
        <family val="0"/>
        <charset val="1"/>
      </rPr>
      <t xml:space="preserve">-2,244,919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</si>
  <si>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SRC_ZP_952</t>
  </si>
  <si>
    <t xml:space="preserve">ocf_p_1h24</t>
  </si>
  <si>
    <r>
      <rPr>
        <sz val="10"/>
        <color rgb="FF000000"/>
        <rFont val="Noto Sans CJK SC"/>
        <family val="2"/>
      </rPr>
      <t xml:space="preserve">綜合現金流量表概要；頁碼補正，值相同；千元值 </t>
    </r>
    <r>
      <rPr>
        <sz val="10"/>
        <color rgb="FF000000"/>
        <rFont val="Arial"/>
        <family val="0"/>
        <charset val="1"/>
      </rPr>
      <t xml:space="preserve">-994,678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</si>
  <si>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SRC_ZP_953</t>
  </si>
  <si>
    <t xml:space="preserve">ocf_p_1h25</t>
  </si>
  <si>
    <r>
      <rPr>
        <sz val="10"/>
        <color rgb="FF000000"/>
        <rFont val="Noto Sans CJK SC"/>
        <family val="2"/>
      </rPr>
      <t xml:space="preserve">綜合現金流量表概要；頁碼補正，值相同；千元值 </t>
    </r>
    <r>
      <rPr>
        <sz val="10"/>
        <color rgb="FF000000"/>
        <rFont val="Arial"/>
        <family val="0"/>
        <charset val="1"/>
      </rPr>
      <t xml:space="preserve">-1,327,150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</si>
  <si>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SRC_ZP_954</t>
  </si>
  <si>
    <t xml:space="preserve">icf_p_fy22</t>
  </si>
  <si>
    <r>
      <rPr>
        <sz val="10"/>
        <color rgb="FF000000"/>
        <rFont val="Noto Sans CJK SC"/>
        <family val="2"/>
      </rPr>
      <t xml:space="preserve">綜合現金流量表概要；頁碼補正，值相同；千元值 </t>
    </r>
    <r>
      <rPr>
        <sz val="10"/>
        <color rgb="FF000000"/>
        <rFont val="Arial"/>
        <family val="0"/>
        <charset val="1"/>
      </rPr>
      <t xml:space="preserve">32,921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</si>
  <si>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SRC_ZP_955</t>
  </si>
  <si>
    <t xml:space="preserve">icf_p_fy23</t>
  </si>
  <si>
    <r>
      <rPr>
        <sz val="10"/>
        <color rgb="FF000000"/>
        <rFont val="Noto Sans CJK SC"/>
        <family val="2"/>
      </rPr>
      <t xml:space="preserve">綜合現金流量表概要；頁碼補正，值相同；千元值 </t>
    </r>
    <r>
      <rPr>
        <sz val="10"/>
        <color rgb="FF000000"/>
        <rFont val="Arial"/>
        <family val="0"/>
        <charset val="1"/>
      </rPr>
      <t xml:space="preserve">-784,965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</si>
  <si>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SRC_ZP_956</t>
  </si>
  <si>
    <t xml:space="preserve">icf_p_fy24</t>
  </si>
  <si>
    <r>
      <rPr>
        <sz val="10"/>
        <color rgb="FF000000"/>
        <rFont val="Noto Sans CJK SC"/>
        <family val="2"/>
      </rPr>
      <t xml:space="preserve">綜合現金流量表概要；頁碼補正，值相同；千元值 </t>
    </r>
    <r>
      <rPr>
        <sz val="10"/>
        <color rgb="FF000000"/>
        <rFont val="Arial"/>
        <family val="0"/>
        <charset val="1"/>
      </rPr>
      <t xml:space="preserve">-48,559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</si>
  <si>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SRC_ZP_957</t>
  </si>
  <si>
    <t xml:space="preserve">icf_p_1h24</t>
  </si>
  <si>
    <r>
      <rPr>
        <sz val="10"/>
        <color rgb="FF000000"/>
        <rFont val="Noto Sans CJK SC"/>
        <family val="2"/>
      </rPr>
      <t xml:space="preserve">綜合現金流量表概要；頁碼補正，值相同；千元值 </t>
    </r>
    <r>
      <rPr>
        <sz val="10"/>
        <color rgb="FF000000"/>
        <rFont val="Arial"/>
        <family val="0"/>
        <charset val="1"/>
      </rPr>
      <t xml:space="preserve">-138,775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</si>
  <si>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SRC_ZP_958</t>
  </si>
  <si>
    <t xml:space="preserve">icf_p_1h25</t>
  </si>
  <si>
    <r>
      <rPr>
        <sz val="10"/>
        <color rgb="FF000000"/>
        <rFont val="Noto Sans CJK SC"/>
        <family val="2"/>
      </rPr>
      <t xml:space="preserve">綜合現金流量表概要；頁碼補正，值相同；千元值 </t>
    </r>
    <r>
      <rPr>
        <sz val="10"/>
        <color rgb="FF000000"/>
        <rFont val="Arial"/>
        <family val="0"/>
        <charset val="1"/>
      </rPr>
      <t xml:space="preserve">-556,373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</si>
  <si>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SRC_ZP_959</t>
  </si>
  <si>
    <t xml:space="preserve">cash_end_p_fy22</t>
  </si>
  <si>
    <r>
      <rPr>
        <sz val="10"/>
        <color rgb="FF000000"/>
        <rFont val="Noto Sans CJK SC"/>
        <family val="2"/>
      </rPr>
      <t xml:space="preserve">綜合現金流量表概要；頁碼補正，值相同；千元值 </t>
    </r>
    <r>
      <rPr>
        <sz val="10"/>
        <color rgb="FF000000"/>
        <rFont val="Arial"/>
        <family val="0"/>
        <charset val="1"/>
      </rPr>
      <t xml:space="preserve">218,928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</si>
  <si>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SRC_ZP_960</t>
  </si>
  <si>
    <t xml:space="preserve">cash_end_p_fy23</t>
  </si>
  <si>
    <r>
      <rPr>
        <sz val="10"/>
        <color rgb="FF000000"/>
        <rFont val="Noto Sans CJK SC"/>
        <family val="2"/>
      </rPr>
      <t xml:space="preserve">綜合現金流量表概要；頁碼補正，值相同；千元值 </t>
    </r>
    <r>
      <rPr>
        <sz val="10"/>
        <color rgb="FF000000"/>
        <rFont val="Arial"/>
        <family val="0"/>
        <charset val="1"/>
      </rPr>
      <t xml:space="preserve">1,249,175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</si>
  <si>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SRC_ZP_961</t>
  </si>
  <si>
    <t xml:space="preserve">cash_end_p_fy24</t>
  </si>
  <si>
    <r>
      <rPr>
        <sz val="10"/>
        <color rgb="FF000000"/>
        <rFont val="Noto Sans CJK SC"/>
        <family val="2"/>
      </rPr>
      <t xml:space="preserve">綜合現金流量表概要；頁碼補正，值相同；千元值 </t>
    </r>
    <r>
      <rPr>
        <sz val="10"/>
        <color rgb="FF000000"/>
        <rFont val="Arial"/>
        <family val="0"/>
        <charset val="1"/>
      </rPr>
      <t xml:space="preserve">2,268,164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換算成億；；與 </t>
    </r>
    <r>
      <rPr>
        <sz val="10"/>
        <color rgb="FF000000"/>
        <rFont val="Arial"/>
        <family val="0"/>
        <charset val="1"/>
      </rPr>
      <t xml:space="preserve">SRC_ZP_152</t>
    </r>
    <r>
      <rPr>
        <sz val="10"/>
        <color rgb="FF000000"/>
        <rFont val="Noto Sans CJK SC"/>
        <family val="2"/>
      </rPr>
      <t xml:space="preserve">（</t>
    </r>
    <r>
      <rPr>
        <sz val="10"/>
        <color rgb="FF000000"/>
        <rFont val="Arial"/>
        <family val="0"/>
        <charset val="1"/>
      </rPr>
      <t xml:space="preserve">2,269,222</t>
    </r>
    <r>
      <rPr>
        <sz val="10"/>
        <color rgb="FF000000"/>
        <rFont val="Noto Sans CJK SC"/>
        <family val="2"/>
      </rPr>
      <t xml:space="preserve">）差 </t>
    </r>
    <r>
      <rPr>
        <sz val="10"/>
        <color rgb="FF000000"/>
        <rFont val="Arial"/>
        <family val="0"/>
        <charset val="1"/>
      </rPr>
      <t xml:space="preserve">1,058 </t>
    </r>
    <r>
      <rPr>
        <sz val="10"/>
        <color rgb="FF000000"/>
        <rFont val="Noto Sans CJK SC"/>
        <family val="2"/>
      </rPr>
      <t xml:space="preserve">千元＝受限制現金（附註 </t>
    </r>
    <r>
      <rPr>
        <sz val="10"/>
        <color rgb="FF000000"/>
        <rFont val="Arial"/>
        <family val="0"/>
        <charset val="1"/>
      </rPr>
      <t xml:space="preserve">21(a)</t>
    </r>
    <r>
      <rPr>
        <sz val="10"/>
        <color rgb="FF000000"/>
        <rFont val="Noto Sans CJK SC"/>
        <family val="2"/>
      </rPr>
      <t xml:space="preserve">），差異已解</t>
    </r>
  </si>
  <si>
    <t xml:space="preserve">SRC_ZP_962</t>
  </si>
  <si>
    <t xml:space="preserve">cash_end_p_1h24</t>
  </si>
  <si>
    <r>
      <rPr>
        <sz val="10"/>
        <color rgb="FF000000"/>
        <rFont val="Noto Sans CJK SC"/>
        <family val="2"/>
      </rPr>
      <t xml:space="preserve">綜合現金流量表概要；頁碼補正，值相同；千元值 </t>
    </r>
    <r>
      <rPr>
        <sz val="10"/>
        <color rgb="FF000000"/>
        <rFont val="Arial"/>
        <family val="0"/>
        <charset val="1"/>
      </rPr>
      <t xml:space="preserve">932,066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</si>
  <si>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SRC_ZP_963</t>
  </si>
  <si>
    <t xml:space="preserve">cash_end_p_1h25</t>
  </si>
  <si>
    <r>
      <rPr>
        <sz val="10"/>
        <color rgb="FF000000"/>
        <rFont val="Noto Sans CJK SC"/>
        <family val="2"/>
      </rPr>
      <t xml:space="preserve">綜合現金流量表概要；頁碼補正，值相同；千元值 </t>
    </r>
    <r>
      <rPr>
        <sz val="10"/>
        <color rgb="FF000000"/>
        <rFont val="Arial"/>
        <family val="0"/>
        <charset val="1"/>
      </rPr>
      <t xml:space="preserve">2,551,970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</si>
  <si>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SRC_ZP_964</t>
  </si>
  <si>
    <t xml:space="preserve">proceeds_investor_instr_fy22</t>
  </si>
  <si>
    <t xml:space="preserve">向投資者發行金融工具所得款項</t>
  </si>
  <si>
    <r>
      <rPr>
        <sz val="10"/>
        <color rgb="FF000000"/>
        <rFont val="Noto Sans CJK SC"/>
        <family val="2"/>
      </rPr>
      <t xml:space="preserve">綜合現金流量表融資活動；千元值 </t>
    </r>
    <r>
      <rPr>
        <sz val="10"/>
        <color rgb="FF000000"/>
        <rFont val="Arial"/>
        <family val="0"/>
        <charset val="1"/>
      </rPr>
      <t xml:space="preserve">208,000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</si>
  <si>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SRC_ZP_965</t>
  </si>
  <si>
    <t xml:space="preserve">proceeds_investor_instr_fy23</t>
  </si>
  <si>
    <r>
      <rPr>
        <sz val="10"/>
        <color rgb="FF000000"/>
        <rFont val="Noto Sans CJK SC"/>
        <family val="2"/>
      </rPr>
      <t xml:space="preserve">綜合現金流量表融資活動；千元值 </t>
    </r>
    <r>
      <rPr>
        <sz val="10"/>
        <color rgb="FF000000"/>
        <rFont val="Arial"/>
        <family val="0"/>
        <charset val="1"/>
      </rPr>
      <t xml:space="preserve">2,419,038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</si>
  <si>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SRC_ZP_966</t>
  </si>
  <si>
    <t xml:space="preserve">proceeds_investor_instr_fy24</t>
  </si>
  <si>
    <r>
      <rPr>
        <sz val="10"/>
        <color rgb="FF000000"/>
        <rFont val="Noto Sans CJK SC"/>
        <family val="2"/>
      </rPr>
      <t xml:space="preserve">綜合現金流量表融資活動；千元值 </t>
    </r>
    <r>
      <rPr>
        <sz val="10"/>
        <color rgb="FF000000"/>
        <rFont val="Arial"/>
        <family val="0"/>
        <charset val="1"/>
      </rPr>
      <t xml:space="preserve">3,019,587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</si>
  <si>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SRC_ZP_967</t>
  </si>
  <si>
    <t xml:space="preserve">proceeds_investor_instr_1h24</t>
  </si>
  <si>
    <r>
      <rPr>
        <sz val="10"/>
        <color rgb="FF000000"/>
        <rFont val="Noto Sans CJK SC"/>
        <family val="2"/>
      </rPr>
      <t xml:space="preserve">綜合現金流量表融資活動；千元值 </t>
    </r>
    <r>
      <rPr>
        <sz val="10"/>
        <color rgb="FF000000"/>
        <rFont val="Arial"/>
        <family val="0"/>
        <charset val="1"/>
      </rPr>
      <t xml:space="preserve">893,190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</si>
  <si>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SRC_ZP_968</t>
  </si>
  <si>
    <t xml:space="preserve">proceeds_investor_instr_1h25</t>
  </si>
  <si>
    <r>
      <rPr>
        <sz val="10"/>
        <color rgb="FF000000"/>
        <rFont val="Noto Sans CJK SC"/>
        <family val="2"/>
      </rPr>
      <t xml:space="preserve">綜合現金流量表融資活動；千元值 </t>
    </r>
    <r>
      <rPr>
        <sz val="10"/>
        <color rgb="FF000000"/>
        <rFont val="Arial"/>
        <family val="0"/>
        <charset val="1"/>
      </rPr>
      <t xml:space="preserve">1,625,000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</si>
  <si>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SRC_ZP_969</t>
  </si>
  <si>
    <t xml:space="preserve">proceeds_cb_fy22</t>
  </si>
  <si>
    <t xml:space="preserve">發行可換股債券所得款項</t>
  </si>
  <si>
    <r>
      <rPr>
        <sz val="10"/>
        <color rgb="FF000000"/>
        <rFont val="Noto Sans CJK SC"/>
        <family val="2"/>
      </rPr>
      <t xml:space="preserve">綜合現金流量表；附註 </t>
    </r>
    <r>
      <rPr>
        <sz val="10"/>
        <color rgb="FF000000"/>
        <rFont val="Arial"/>
        <family val="0"/>
        <charset val="1"/>
      </rPr>
      <t xml:space="preserve">27</t>
    </r>
    <r>
      <rPr>
        <sz val="10"/>
        <color rgb="FF000000"/>
        <rFont val="Noto Sans CJK SC"/>
        <family val="2"/>
      </rPr>
      <t xml:space="preserve">：本金合計 </t>
    </r>
    <r>
      <rPr>
        <sz val="10"/>
        <color rgb="FF000000"/>
        <rFont val="Arial"/>
        <family val="0"/>
        <charset val="1"/>
      </rPr>
      <t xml:space="preserve">830 </t>
    </r>
    <r>
      <rPr>
        <sz val="10"/>
        <color rgb="FF000000"/>
        <rFont val="Noto Sans CJK SC"/>
        <family val="2"/>
      </rPr>
      <t xml:space="preserve">百萬元，年利率 </t>
    </r>
    <r>
      <rPr>
        <sz val="10"/>
        <color rgb="FF000000"/>
        <rFont val="Arial"/>
        <family val="0"/>
        <charset val="1"/>
      </rPr>
      <t xml:space="preserve">0%–8%</t>
    </r>
    <r>
      <rPr>
        <sz val="10"/>
        <color rgb="FF000000"/>
        <rFont val="Noto Sans CJK SC"/>
        <family val="2"/>
      </rPr>
      <t xml:space="preserve">，</t>
    </r>
    <r>
      <rPr>
        <sz val="10"/>
        <color rgb="FF000000"/>
        <rFont val="Arial"/>
        <family val="0"/>
        <charset val="1"/>
      </rPr>
      <t xml:space="preserve">2025-05 </t>
    </r>
    <r>
      <rPr>
        <sz val="10"/>
        <color rgb="FF000000"/>
        <rFont val="Noto Sans CJK SC"/>
        <family val="2"/>
      </rPr>
      <t xml:space="preserve">全數轉為向投資者發行的金融工具；千元值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</si>
  <si>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SRC_ZP_970</t>
  </si>
  <si>
    <t xml:space="preserve">proceeds_cb_fy23</t>
  </si>
  <si>
    <t xml:space="preserve">SRC_ZP_971</t>
  </si>
  <si>
    <t xml:space="preserve">proceeds_cb_fy24</t>
  </si>
  <si>
    <r>
      <rPr>
        <sz val="10"/>
        <color rgb="FF000000"/>
        <rFont val="Noto Sans CJK SC"/>
        <family val="2"/>
      </rPr>
      <t xml:space="preserve">綜合現金流量表；附註 </t>
    </r>
    <r>
      <rPr>
        <sz val="10"/>
        <color rgb="FF000000"/>
        <rFont val="Arial"/>
        <family val="0"/>
        <charset val="1"/>
      </rPr>
      <t xml:space="preserve">27</t>
    </r>
    <r>
      <rPr>
        <sz val="10"/>
        <color rgb="FF000000"/>
        <rFont val="Noto Sans CJK SC"/>
        <family val="2"/>
      </rPr>
      <t xml:space="preserve">：本金合計 </t>
    </r>
    <r>
      <rPr>
        <sz val="10"/>
        <color rgb="FF000000"/>
        <rFont val="Arial"/>
        <family val="0"/>
        <charset val="1"/>
      </rPr>
      <t xml:space="preserve">830 </t>
    </r>
    <r>
      <rPr>
        <sz val="10"/>
        <color rgb="FF000000"/>
        <rFont val="Noto Sans CJK SC"/>
        <family val="2"/>
      </rPr>
      <t xml:space="preserve">百萬元，年利率 </t>
    </r>
    <r>
      <rPr>
        <sz val="10"/>
        <color rgb="FF000000"/>
        <rFont val="Arial"/>
        <family val="0"/>
        <charset val="1"/>
      </rPr>
      <t xml:space="preserve">0%–8%</t>
    </r>
    <r>
      <rPr>
        <sz val="10"/>
        <color rgb="FF000000"/>
        <rFont val="Noto Sans CJK SC"/>
        <family val="2"/>
      </rPr>
      <t xml:space="preserve">，</t>
    </r>
    <r>
      <rPr>
        <sz val="10"/>
        <color rgb="FF000000"/>
        <rFont val="Arial"/>
        <family val="0"/>
        <charset val="1"/>
      </rPr>
      <t xml:space="preserve">2025-05 </t>
    </r>
    <r>
      <rPr>
        <sz val="10"/>
        <color rgb="FF000000"/>
        <rFont val="Noto Sans CJK SC"/>
        <family val="2"/>
      </rPr>
      <t xml:space="preserve">全數轉為向投資者發行的金融工具；千元值 </t>
    </r>
    <r>
      <rPr>
        <sz val="10"/>
        <color rgb="FF000000"/>
        <rFont val="Arial"/>
        <family val="0"/>
        <charset val="1"/>
      </rPr>
      <t xml:space="preserve">130,000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</si>
  <si>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SRC_ZP_972</t>
  </si>
  <si>
    <t xml:space="preserve">proceeds_cb_1h24</t>
  </si>
  <si>
    <t xml:space="preserve">SRC_ZP_973</t>
  </si>
  <si>
    <t xml:space="preserve">proceeds_cb_1h25</t>
  </si>
  <si>
    <r>
      <rPr>
        <sz val="10"/>
        <color rgb="FF000000"/>
        <rFont val="Noto Sans CJK SC"/>
        <family val="2"/>
      </rPr>
      <t xml:space="preserve">綜合現金流量表；附註 </t>
    </r>
    <r>
      <rPr>
        <sz val="10"/>
        <color rgb="FF000000"/>
        <rFont val="Arial"/>
        <family val="0"/>
        <charset val="1"/>
      </rPr>
      <t xml:space="preserve">27</t>
    </r>
    <r>
      <rPr>
        <sz val="10"/>
        <color rgb="FF000000"/>
        <rFont val="Noto Sans CJK SC"/>
        <family val="2"/>
      </rPr>
      <t xml:space="preserve">：本金合計 </t>
    </r>
    <r>
      <rPr>
        <sz val="10"/>
        <color rgb="FF000000"/>
        <rFont val="Arial"/>
        <family val="0"/>
        <charset val="1"/>
      </rPr>
      <t xml:space="preserve">830 </t>
    </r>
    <r>
      <rPr>
        <sz val="10"/>
        <color rgb="FF000000"/>
        <rFont val="Noto Sans CJK SC"/>
        <family val="2"/>
      </rPr>
      <t xml:space="preserve">百萬元，年利率 </t>
    </r>
    <r>
      <rPr>
        <sz val="10"/>
        <color rgb="FF000000"/>
        <rFont val="Arial"/>
        <family val="0"/>
        <charset val="1"/>
      </rPr>
      <t xml:space="preserve">0%–8%</t>
    </r>
    <r>
      <rPr>
        <sz val="10"/>
        <color rgb="FF000000"/>
        <rFont val="Noto Sans CJK SC"/>
        <family val="2"/>
      </rPr>
      <t xml:space="preserve">，</t>
    </r>
    <r>
      <rPr>
        <sz val="10"/>
        <color rgb="FF000000"/>
        <rFont val="Arial"/>
        <family val="0"/>
        <charset val="1"/>
      </rPr>
      <t xml:space="preserve">2025-05 </t>
    </r>
    <r>
      <rPr>
        <sz val="10"/>
        <color rgb="FF000000"/>
        <rFont val="Noto Sans CJK SC"/>
        <family val="2"/>
      </rPr>
      <t xml:space="preserve">全數轉為向投資者發行的金融工具；千元值 </t>
    </r>
    <r>
      <rPr>
        <sz val="10"/>
        <color rgb="FF000000"/>
        <rFont val="Arial"/>
        <family val="0"/>
        <charset val="1"/>
      </rPr>
      <t xml:space="preserve">700,000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</si>
  <si>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SRC_ZP_974</t>
  </si>
  <si>
    <t xml:space="preserve">restricted_cash_fy22</t>
  </si>
  <si>
    <t xml:space="preserve">受限制現金</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</si>
  <si>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402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</si>
  <si>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21(a)(i)</t>
    </r>
    <r>
      <rPr>
        <sz val="10"/>
        <color rgb="FF000000"/>
        <rFont val="Noto Sans CJK SC"/>
        <family val="2"/>
      </rPr>
      <t xml:space="preserve">（第 </t>
    </r>
    <r>
      <rPr>
        <sz val="10"/>
        <color rgb="FF000000"/>
        <rFont val="Arial"/>
        <family val="0"/>
        <charset val="1"/>
      </rPr>
      <t xml:space="preserve">402 </t>
    </r>
    <r>
      <rPr>
        <sz val="10"/>
        <color rgb="FF000000"/>
        <rFont val="Noto Sans CJK SC"/>
        <family val="2"/>
      </rPr>
      <t xml:space="preserve">頁＝印 </t>
    </r>
    <r>
      <rPr>
        <sz val="10"/>
        <color rgb="FF000000"/>
        <rFont val="Arial"/>
        <family val="0"/>
        <charset val="1"/>
      </rPr>
      <t xml:space="preserve">I-59</t>
    </r>
    <r>
      <rPr>
        <sz val="10"/>
        <color rgb="FF000000"/>
        <rFont val="Noto Sans CJK SC"/>
        <family val="2"/>
      </rPr>
      <t xml:space="preserve">）「受限制現金主要指投標及履約保證金存款」；補 </t>
    </r>
    <r>
      <rPr>
        <sz val="10"/>
        <color rgb="FF000000"/>
        <rFont val="Arial"/>
        <family val="0"/>
        <charset val="1"/>
      </rPr>
      <t xml:space="preserve">not_found</t>
    </r>
    <r>
      <rPr>
        <sz val="10"/>
        <color rgb="FF000000"/>
        <rFont val="Noto Sans CJK SC"/>
        <family val="2"/>
      </rPr>
      <t xml:space="preserve">「受限制現金」（招股章程期間）；千元值 </t>
    </r>
    <r>
      <rPr>
        <sz val="10"/>
        <color rgb="FF000000"/>
        <rFont val="Arial"/>
        <family val="0"/>
        <charset val="1"/>
      </rPr>
      <t xml:space="preserve">103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</si>
  <si>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SRC_ZP_975</t>
  </si>
  <si>
    <t xml:space="preserve">restricted_cash_fy23</t>
  </si>
  <si>
    <r>
      <rPr>
        <sz val="10"/>
        <color rgb="FF000000"/>
        <rFont val="Noto Sans CJK SC"/>
        <family val="2"/>
      </rPr>
      <t xml:space="preserve">附註 </t>
    </r>
    <r>
      <rPr>
        <sz val="10"/>
        <color rgb="FF000000"/>
        <rFont val="Arial"/>
        <family val="0"/>
        <charset val="1"/>
      </rPr>
      <t xml:space="preserve">21(a)(i)</t>
    </r>
    <r>
      <rPr>
        <sz val="10"/>
        <color rgb="FF000000"/>
        <rFont val="Noto Sans CJK SC"/>
        <family val="2"/>
      </rPr>
      <t xml:space="preserve">（第 </t>
    </r>
    <r>
      <rPr>
        <sz val="10"/>
        <color rgb="FF000000"/>
        <rFont val="Arial"/>
        <family val="0"/>
        <charset val="1"/>
      </rPr>
      <t xml:space="preserve">402 </t>
    </r>
    <r>
      <rPr>
        <sz val="10"/>
        <color rgb="FF000000"/>
        <rFont val="Noto Sans CJK SC"/>
        <family val="2"/>
      </rPr>
      <t xml:space="preserve">頁＝印 </t>
    </r>
    <r>
      <rPr>
        <sz val="10"/>
        <color rgb="FF000000"/>
        <rFont val="Arial"/>
        <family val="0"/>
        <charset val="1"/>
      </rPr>
      <t xml:space="preserve">I-59</t>
    </r>
    <r>
      <rPr>
        <sz val="10"/>
        <color rgb="FF000000"/>
        <rFont val="Noto Sans CJK SC"/>
        <family val="2"/>
      </rPr>
      <t xml:space="preserve">）「受限制現金主要指投標及履約保證金存款」；補 </t>
    </r>
    <r>
      <rPr>
        <sz val="10"/>
        <color rgb="FF000000"/>
        <rFont val="Arial"/>
        <family val="0"/>
        <charset val="1"/>
      </rPr>
      <t xml:space="preserve">not_found</t>
    </r>
    <r>
      <rPr>
        <sz val="10"/>
        <color rgb="FF000000"/>
        <rFont val="Noto Sans CJK SC"/>
        <family val="2"/>
      </rPr>
      <t xml:space="preserve">「受限制現金」（招股章程期間）；千元值 </t>
    </r>
    <r>
      <rPr>
        <sz val="10"/>
        <color rgb="FF000000"/>
        <rFont val="Arial"/>
        <family val="0"/>
        <charset val="1"/>
      </rPr>
      <t xml:space="preserve">216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</si>
  <si>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SRC_ZP_976</t>
  </si>
  <si>
    <t xml:space="preserve">restricted_cash_fy24</t>
  </si>
  <si>
    <r>
      <rPr>
        <sz val="10"/>
        <color rgb="FF000000"/>
        <rFont val="Noto Sans CJK SC"/>
        <family val="2"/>
      </rPr>
      <t xml:space="preserve">附註 </t>
    </r>
    <r>
      <rPr>
        <sz val="10"/>
        <color rgb="FF000000"/>
        <rFont val="Arial"/>
        <family val="0"/>
        <charset val="1"/>
      </rPr>
      <t xml:space="preserve">21(a)(i)</t>
    </r>
    <r>
      <rPr>
        <sz val="10"/>
        <color rgb="FF000000"/>
        <rFont val="Noto Sans CJK SC"/>
        <family val="2"/>
      </rPr>
      <t xml:space="preserve">（第 </t>
    </r>
    <r>
      <rPr>
        <sz val="10"/>
        <color rgb="FF000000"/>
        <rFont val="Arial"/>
        <family val="0"/>
        <charset val="1"/>
      </rPr>
      <t xml:space="preserve">402 </t>
    </r>
    <r>
      <rPr>
        <sz val="10"/>
        <color rgb="FF000000"/>
        <rFont val="Noto Sans CJK SC"/>
        <family val="2"/>
      </rPr>
      <t xml:space="preserve">頁＝印 </t>
    </r>
    <r>
      <rPr>
        <sz val="10"/>
        <color rgb="FF000000"/>
        <rFont val="Arial"/>
        <family val="0"/>
        <charset val="1"/>
      </rPr>
      <t xml:space="preserve">I-59</t>
    </r>
    <r>
      <rPr>
        <sz val="10"/>
        <color rgb="FF000000"/>
        <rFont val="Noto Sans CJK SC"/>
        <family val="2"/>
      </rPr>
      <t xml:space="preserve">）「受限制現金主要指投標及履約保證金存款」；補 </t>
    </r>
    <r>
      <rPr>
        <sz val="10"/>
        <color rgb="FF000000"/>
        <rFont val="Arial"/>
        <family val="0"/>
        <charset val="1"/>
      </rPr>
      <t xml:space="preserve">not_found</t>
    </r>
    <r>
      <rPr>
        <sz val="10"/>
        <color rgb="FF000000"/>
        <rFont val="Noto Sans CJK SC"/>
        <family val="2"/>
      </rPr>
      <t xml:space="preserve">「受限制現金」（招股章程期間）；千元值 </t>
    </r>
    <r>
      <rPr>
        <sz val="10"/>
        <color rgb="FF000000"/>
        <rFont val="Arial"/>
        <family val="0"/>
        <charset val="1"/>
      </rPr>
      <t xml:space="preserve">1,058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</si>
  <si>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SRC_ZP_977</t>
  </si>
  <si>
    <t xml:space="preserve">restricted_cash_1h25</t>
  </si>
  <si>
    <r>
      <rPr>
        <sz val="10"/>
        <color rgb="FF000000"/>
        <rFont val="Noto Sans CJK SC"/>
        <family val="2"/>
      </rPr>
      <t xml:space="preserve">附註 </t>
    </r>
    <r>
      <rPr>
        <sz val="10"/>
        <color rgb="FF000000"/>
        <rFont val="Arial"/>
        <family val="0"/>
        <charset val="1"/>
      </rPr>
      <t xml:space="preserve">21(a)(i)</t>
    </r>
    <r>
      <rPr>
        <sz val="10"/>
        <color rgb="FF000000"/>
        <rFont val="Noto Sans CJK SC"/>
        <family val="2"/>
      </rPr>
      <t xml:space="preserve">（第 </t>
    </r>
    <r>
      <rPr>
        <sz val="10"/>
        <color rgb="FF000000"/>
        <rFont val="Arial"/>
        <family val="0"/>
        <charset val="1"/>
      </rPr>
      <t xml:space="preserve">402 </t>
    </r>
    <r>
      <rPr>
        <sz val="10"/>
        <color rgb="FF000000"/>
        <rFont val="Noto Sans CJK SC"/>
        <family val="2"/>
      </rPr>
      <t xml:space="preserve">頁＝印 </t>
    </r>
    <r>
      <rPr>
        <sz val="10"/>
        <color rgb="FF000000"/>
        <rFont val="Arial"/>
        <family val="0"/>
        <charset val="1"/>
      </rPr>
      <t xml:space="preserve">I-59</t>
    </r>
    <r>
      <rPr>
        <sz val="10"/>
        <color rgb="FF000000"/>
        <rFont val="Noto Sans CJK SC"/>
        <family val="2"/>
      </rPr>
      <t xml:space="preserve">）「受限制現金主要指投標及履約保證金存款」；補 </t>
    </r>
    <r>
      <rPr>
        <sz val="10"/>
        <color rgb="FF000000"/>
        <rFont val="Arial"/>
        <family val="0"/>
        <charset val="1"/>
      </rPr>
      <t xml:space="preserve">not_found</t>
    </r>
    <r>
      <rPr>
        <sz val="10"/>
        <color rgb="FF000000"/>
        <rFont val="Noto Sans CJK SC"/>
        <family val="2"/>
      </rPr>
      <t xml:space="preserve">「受限制現金」（招股章程期間）；千元值 </t>
    </r>
    <r>
      <rPr>
        <sz val="10"/>
        <color rgb="FF000000"/>
        <rFont val="Arial"/>
        <family val="0"/>
        <charset val="1"/>
      </rPr>
      <t xml:space="preserve">4,146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</si>
  <si>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SRC_ZP_978</t>
  </si>
  <si>
    <t xml:space="preserve">bank_loans_p_fy22</t>
  </si>
  <si>
    <t xml:space="preserve">銀行貸款（含應計利息）</t>
  </si>
  <si>
    <r>
      <rPr>
        <sz val="10"/>
        <color rgb="FF000000"/>
        <rFont val="Noto Sans CJK SC"/>
        <family val="2"/>
      </rPr>
      <t xml:space="preserve">債務表（第 </t>
    </r>
    <r>
      <rPr>
        <sz val="10"/>
        <color rgb="FF000000"/>
        <rFont val="Arial"/>
        <family val="0"/>
        <charset val="1"/>
      </rPr>
      <t xml:space="preserve">292 </t>
    </r>
    <r>
      <rPr>
        <sz val="10"/>
        <color rgb="FF000000"/>
        <rFont val="Noto Sans CJK SC"/>
        <family val="2"/>
      </rPr>
      <t xml:space="preserve">頁＝印 </t>
    </r>
    <r>
      <rPr>
        <sz val="10"/>
        <color rgb="FF000000"/>
        <rFont val="Arial"/>
        <family val="0"/>
        <charset val="1"/>
      </rPr>
      <t xml:space="preserve">283</t>
    </r>
    <r>
      <rPr>
        <sz val="10"/>
        <color rgb="FF000000"/>
        <rFont val="Noto Sans CJK SC"/>
        <family val="2"/>
      </rPr>
      <t xml:space="preserve">）；附註 </t>
    </r>
    <r>
      <rPr>
        <sz val="10"/>
        <color rgb="FF000000"/>
        <rFont val="Arial"/>
        <family val="0"/>
        <charset val="1"/>
      </rPr>
      <t xml:space="preserve">24</t>
    </r>
    <r>
      <rPr>
        <sz val="10"/>
        <color rgb="FF000000"/>
        <rFont val="Noto Sans CJK SC"/>
        <family val="2"/>
      </rPr>
      <t xml:space="preserve">「一年內需償還的無擔保無抵押銀行貸款」；千元值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</si>
  <si>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SRC_ZP_979</t>
  </si>
  <si>
    <t xml:space="preserve">bank_loans_p_fy23</t>
  </si>
  <si>
    <t xml:space="preserve">SRC_ZP_980</t>
  </si>
  <si>
    <t xml:space="preserve">bank_loans_p_fy24</t>
  </si>
  <si>
    <r>
      <rPr>
        <sz val="10"/>
        <color rgb="FF000000"/>
        <rFont val="Noto Sans CJK SC"/>
        <family val="2"/>
      </rPr>
      <t xml:space="preserve">債務表（第 </t>
    </r>
    <r>
      <rPr>
        <sz val="10"/>
        <color rgb="FF000000"/>
        <rFont val="Arial"/>
        <family val="0"/>
        <charset val="1"/>
      </rPr>
      <t xml:space="preserve">292 </t>
    </r>
    <r>
      <rPr>
        <sz val="10"/>
        <color rgb="FF000000"/>
        <rFont val="Noto Sans CJK SC"/>
        <family val="2"/>
      </rPr>
      <t xml:space="preserve">頁＝印 </t>
    </r>
    <r>
      <rPr>
        <sz val="10"/>
        <color rgb="FF000000"/>
        <rFont val="Arial"/>
        <family val="0"/>
        <charset val="1"/>
      </rPr>
      <t xml:space="preserve">283</t>
    </r>
    <r>
      <rPr>
        <sz val="10"/>
        <color rgb="FF000000"/>
        <rFont val="Noto Sans CJK SC"/>
        <family val="2"/>
      </rPr>
      <t xml:space="preserve">）；附註 </t>
    </r>
    <r>
      <rPr>
        <sz val="10"/>
        <color rgb="FF000000"/>
        <rFont val="Arial"/>
        <family val="0"/>
        <charset val="1"/>
      </rPr>
      <t xml:space="preserve">24</t>
    </r>
    <r>
      <rPr>
        <sz val="10"/>
        <color rgb="FF000000"/>
        <rFont val="Noto Sans CJK SC"/>
        <family val="2"/>
      </rPr>
      <t xml:space="preserve">「一年內需償還的無擔保無抵押銀行貸款」；千元值 </t>
    </r>
    <r>
      <rPr>
        <sz val="10"/>
        <color rgb="FF000000"/>
        <rFont val="Arial"/>
        <family val="0"/>
        <charset val="1"/>
      </rPr>
      <t xml:space="preserve">137,246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換算成億；升級為一手來源；補利率與到期：實際利率 </t>
    </r>
    <r>
      <rPr>
        <sz val="10"/>
        <color rgb="FF000000"/>
        <rFont val="Arial"/>
        <family val="0"/>
        <charset val="1"/>
      </rPr>
      <t xml:space="preserve">2.65%</t>
    </r>
    <r>
      <rPr>
        <sz val="10"/>
        <color rgb="FF000000"/>
        <rFont val="Noto Sans CJK SC"/>
        <family val="2"/>
      </rPr>
      <t xml:space="preserve">、無抵押擔保、</t>
    </r>
    <r>
      <rPr>
        <sz val="10"/>
        <color rgb="FF000000"/>
        <rFont val="Arial"/>
        <family val="0"/>
        <charset val="1"/>
      </rPr>
      <t xml:space="preserve">2025-07 </t>
    </r>
    <r>
      <rPr>
        <sz val="10"/>
        <color rgb="FF000000"/>
        <rFont val="Noto Sans CJK SC"/>
        <family val="2"/>
      </rPr>
      <t xml:space="preserve">悉數償還</t>
    </r>
  </si>
  <si>
    <t xml:space="preserve">SRC_ZP_981</t>
  </si>
  <si>
    <t xml:space="preserve">bank_loans_p_1h25</t>
  </si>
  <si>
    <r>
      <rPr>
        <sz val="10"/>
        <color rgb="FF000000"/>
        <rFont val="Noto Sans CJK SC"/>
        <family val="2"/>
      </rPr>
      <t xml:space="preserve">債務表（第 </t>
    </r>
    <r>
      <rPr>
        <sz val="10"/>
        <color rgb="FF000000"/>
        <rFont val="Arial"/>
        <family val="0"/>
        <charset val="1"/>
      </rPr>
      <t xml:space="preserve">292 </t>
    </r>
    <r>
      <rPr>
        <sz val="10"/>
        <color rgb="FF000000"/>
        <rFont val="Noto Sans CJK SC"/>
        <family val="2"/>
      </rPr>
      <t xml:space="preserve">頁＝印 </t>
    </r>
    <r>
      <rPr>
        <sz val="10"/>
        <color rgb="FF000000"/>
        <rFont val="Arial"/>
        <family val="0"/>
        <charset val="1"/>
      </rPr>
      <t xml:space="preserve">283</t>
    </r>
    <r>
      <rPr>
        <sz val="10"/>
        <color rgb="FF000000"/>
        <rFont val="Noto Sans CJK SC"/>
        <family val="2"/>
      </rPr>
      <t xml:space="preserve">）；附註 </t>
    </r>
    <r>
      <rPr>
        <sz val="10"/>
        <color rgb="FF000000"/>
        <rFont val="Arial"/>
        <family val="0"/>
        <charset val="1"/>
      </rPr>
      <t xml:space="preserve">24</t>
    </r>
    <r>
      <rPr>
        <sz val="10"/>
        <color rgb="FF000000"/>
        <rFont val="Noto Sans CJK SC"/>
        <family val="2"/>
      </rPr>
      <t xml:space="preserve">「一年內需償還的無擔保無抵押銀行貸款」；千元值 </t>
    </r>
    <r>
      <rPr>
        <sz val="10"/>
        <color rgb="FF000000"/>
        <rFont val="Arial"/>
        <family val="0"/>
        <charset val="1"/>
      </rPr>
      <t xml:space="preserve">137,214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</si>
  <si>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SRC_ZP_982</t>
  </si>
  <si>
    <t xml:space="preserve">bank_loans_p_oct25</t>
  </si>
  <si>
    <r>
      <rPr>
        <sz val="10"/>
        <color rgb="FF000000"/>
        <rFont val="Noto Sans CJK SC"/>
        <family val="2"/>
      </rPr>
      <t xml:space="preserve">債務表（第 </t>
    </r>
    <r>
      <rPr>
        <sz val="10"/>
        <color rgb="FF000000"/>
        <rFont val="Arial"/>
        <family val="0"/>
        <charset val="1"/>
      </rPr>
      <t xml:space="preserve">292 </t>
    </r>
    <r>
      <rPr>
        <sz val="10"/>
        <color rgb="FF000000"/>
        <rFont val="Noto Sans CJK SC"/>
        <family val="2"/>
      </rPr>
      <t xml:space="preserve">頁＝印 </t>
    </r>
    <r>
      <rPr>
        <sz val="10"/>
        <color rgb="FF000000"/>
        <rFont val="Arial"/>
        <family val="0"/>
        <charset val="1"/>
      </rPr>
      <t xml:space="preserve">283</t>
    </r>
    <r>
      <rPr>
        <sz val="10"/>
        <color rgb="FF000000"/>
        <rFont val="Noto Sans CJK SC"/>
        <family val="2"/>
      </rPr>
      <t xml:space="preserve">）；附註 </t>
    </r>
    <r>
      <rPr>
        <sz val="10"/>
        <color rgb="FF000000"/>
        <rFont val="Arial"/>
        <family val="0"/>
        <charset val="1"/>
      </rPr>
      <t xml:space="preserve">24</t>
    </r>
    <r>
      <rPr>
        <sz val="10"/>
        <color rgb="FF000000"/>
        <rFont val="Noto Sans CJK SC"/>
        <family val="2"/>
      </rPr>
      <t xml:space="preserve">「一年內需償還的無擔保無抵押銀行貸款」；千元值 </t>
    </r>
    <r>
      <rPr>
        <sz val="10"/>
        <color rgb="FF000000"/>
        <rFont val="Arial"/>
        <family val="0"/>
        <charset val="1"/>
      </rPr>
      <t xml:space="preserve">268,367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</si>
  <si>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SRC_ZP_983</t>
  </si>
  <si>
    <t xml:space="preserve">bank_loan_rate_fy24</t>
  </si>
  <si>
    <r>
      <rPr>
        <sz val="10"/>
        <color rgb="FF000000"/>
        <rFont val="Noto Sans CJK SC"/>
        <family val="2"/>
      </rPr>
      <t xml:space="preserve">銀行貸款實際利率（</t>
    </r>
    <r>
      <rPr>
        <sz val="10"/>
        <color rgb="FF000000"/>
        <rFont val="Arial"/>
        <family val="0"/>
        <charset val="1"/>
      </rPr>
      <t xml:space="preserve">2024 </t>
    </r>
    <r>
      <rPr>
        <sz val="10"/>
        <color rgb="FF000000"/>
        <rFont val="Noto Sans CJK SC"/>
        <family val="2"/>
      </rPr>
      <t xml:space="preserve">年借入一筆）</t>
    </r>
  </si>
  <si>
    <r>
      <rPr>
        <sz val="10"/>
        <color rgb="FF000000"/>
        <rFont val="Noto Sans CJK SC"/>
        <family val="2"/>
      </rPr>
      <t xml:space="preserve">原文「我們於 </t>
    </r>
    <r>
      <rPr>
        <sz val="10"/>
        <color rgb="FF000000"/>
        <rFont val="Arial"/>
        <family val="0"/>
        <charset val="1"/>
      </rPr>
      <t xml:space="preserve">2024 </t>
    </r>
    <r>
      <rPr>
        <sz val="10"/>
        <color rgb="FF000000"/>
        <rFont val="Noto Sans CJK SC"/>
        <family val="2"/>
      </rPr>
      <t xml:space="preserve">年有一筆銀行貸款，實際利率為 </t>
    </r>
    <r>
      <rPr>
        <sz val="10"/>
        <color rgb="FF000000"/>
        <rFont val="Arial"/>
        <family val="0"/>
        <charset val="1"/>
      </rPr>
      <t xml:space="preserve">2.65%</t>
    </r>
    <r>
      <rPr>
        <sz val="10"/>
        <color rgb="FF000000"/>
        <rFont val="Noto Sans CJK SC"/>
        <family val="2"/>
      </rPr>
      <t xml:space="preserve">。該銀行貸款並無抵押或擔保，其後已於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7 </t>
    </r>
    <r>
      <rPr>
        <sz val="10"/>
        <color rgb="FF000000"/>
        <rFont val="Noto Sans CJK SC"/>
        <family val="2"/>
      </rPr>
      <t xml:space="preserve">月悉數償還」</t>
    </r>
  </si>
  <si>
    <t xml:space="preserve">SRC_ZP_984</t>
  </si>
  <si>
    <t xml:space="preserve">bank_loan_rate_2h25</t>
  </si>
  <si>
    <r>
      <rPr>
        <sz val="10"/>
        <color rgb="FF000000"/>
        <rFont val="Noto Sans CJK SC"/>
        <family val="2"/>
      </rPr>
      <t xml:space="preserve">新增銀行貸款實際利率（</t>
    </r>
    <r>
      <rPr>
        <sz val="10"/>
        <color rgb="FF000000"/>
        <rFont val="Arial"/>
        <family val="0"/>
        <charset val="1"/>
      </rPr>
      <t xml:space="preserve">2025-07</t>
    </r>
    <r>
      <rPr>
        <sz val="10"/>
        <color rgb="FF000000"/>
        <rFont val="Noto Sans CJK SC"/>
        <family val="2"/>
      </rPr>
      <t xml:space="preserve">～</t>
    </r>
    <r>
      <rPr>
        <sz val="10"/>
        <color rgb="FF000000"/>
        <rFont val="Arial"/>
        <family val="0"/>
        <charset val="1"/>
      </rPr>
      <t xml:space="preserve">10</t>
    </r>
    <r>
      <rPr>
        <sz val="10"/>
        <color rgb="FF000000"/>
        <rFont val="Noto Sans CJK SC"/>
        <family val="2"/>
      </rPr>
      <t xml:space="preserve">，十筆）</t>
    </r>
  </si>
  <si>
    <r>
      <rPr>
        <sz val="10"/>
        <color rgb="FF000000"/>
        <rFont val="Arial"/>
        <family val="0"/>
        <charset val="1"/>
      </rPr>
      <t xml:space="preserve">2025-07</t>
    </r>
    <r>
      <rPr>
        <sz val="10"/>
        <color rgb="FF000000"/>
        <rFont val="Noto Sans CJK SC"/>
        <family val="2"/>
      </rPr>
      <t xml:space="preserve">～</t>
    </r>
    <r>
      <rPr>
        <sz val="10"/>
        <color rgb="FF000000"/>
        <rFont val="Arial"/>
        <family val="0"/>
        <charset val="1"/>
      </rPr>
      <t xml:space="preserve">2025-10</t>
    </r>
  </si>
  <si>
    <r>
      <rPr>
        <sz val="10"/>
        <color rgb="FF000000"/>
        <rFont val="Noto Sans CJK SC"/>
        <family val="2"/>
      </rPr>
      <t xml:space="preserve">原文「自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7 </t>
    </r>
    <r>
      <rPr>
        <sz val="10"/>
        <color rgb="FF000000"/>
        <rFont val="Noto Sans CJK SC"/>
        <family val="2"/>
      </rPr>
      <t xml:space="preserve">月至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10 </t>
    </r>
    <r>
      <rPr>
        <sz val="10"/>
        <color rgb="FF000000"/>
        <rFont val="Noto Sans CJK SC"/>
        <family val="2"/>
      </rPr>
      <t xml:space="preserve">月，我們新增十筆銀行貸款，總額為人民幣 </t>
    </r>
    <r>
      <rPr>
        <sz val="10"/>
        <color rgb="FF000000"/>
        <rFont val="Arial"/>
        <family val="0"/>
        <charset val="1"/>
      </rPr>
      <t xml:space="preserve">268.2 </t>
    </r>
    <r>
      <rPr>
        <sz val="10"/>
        <color rgb="FF000000"/>
        <rFont val="Noto Sans CJK SC"/>
        <family val="2"/>
      </rPr>
      <t xml:space="preserve">百萬元，實際利率分別為 </t>
    </r>
    <r>
      <rPr>
        <sz val="10"/>
        <color rgb="FF000000"/>
        <rFont val="Arial"/>
        <family val="0"/>
        <charset val="1"/>
      </rPr>
      <t xml:space="preserve">2.20%</t>
    </r>
    <r>
      <rPr>
        <sz val="10"/>
        <color rgb="FF000000"/>
        <rFont val="Noto Sans CJK SC"/>
        <family val="2"/>
      </rPr>
      <t xml:space="preserve">及 </t>
    </r>
    <r>
      <rPr>
        <sz val="10"/>
        <color rgb="FF000000"/>
        <rFont val="Arial"/>
        <family val="0"/>
        <charset val="1"/>
      </rPr>
      <t xml:space="preserve">2.11%</t>
    </r>
    <r>
      <rPr>
        <sz val="10"/>
        <color rgb="FF000000"/>
        <rFont val="Noto Sans CJK SC"/>
        <family val="2"/>
      </rPr>
      <t xml:space="preserve">。該等銀行貸款並無抵押或擔保」</t>
    </r>
  </si>
  <si>
    <t xml:space="preserve">SRC_ZP_985</t>
  </si>
  <si>
    <t xml:space="preserve">bank_facility_unused_2510</t>
  </si>
  <si>
    <t xml:space="preserve">承諾未動用銀行融資</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</si>
  <si>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293 </t>
    </r>
    <r>
      <rPr>
        <sz val="10"/>
        <color rgb="FF000000"/>
        <rFont val="Noto Sans CJK SC"/>
        <family val="2"/>
      </rPr>
      <t xml:space="preserve">頁</t>
    </r>
  </si>
  <si>
    <r>
      <rPr>
        <sz val="10"/>
        <color rgb="FF000000"/>
        <rFont val="Noto Sans CJK SC"/>
        <family val="2"/>
      </rPr>
      <t xml:space="preserve">原文（第 </t>
    </r>
    <r>
      <rPr>
        <sz val="10"/>
        <color rgb="FF000000"/>
        <rFont val="Arial"/>
        <family val="0"/>
        <charset val="1"/>
      </rPr>
      <t xml:space="preserve">293 </t>
    </r>
    <r>
      <rPr>
        <sz val="10"/>
        <color rgb="FF000000"/>
        <rFont val="Noto Sans CJK SC"/>
        <family val="2"/>
      </rPr>
      <t xml:space="preserve">頁＝印 </t>
    </r>
    <r>
      <rPr>
        <sz val="10"/>
        <color rgb="FF000000"/>
        <rFont val="Arial"/>
        <family val="0"/>
        <charset val="1"/>
      </rPr>
      <t xml:space="preserve">284</t>
    </r>
    <r>
      <rPr>
        <sz val="10"/>
        <color rgb="FF000000"/>
        <rFont val="Noto Sans CJK SC"/>
        <family val="2"/>
      </rPr>
      <t xml:space="preserve">）「截至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10 </t>
    </r>
    <r>
      <rPr>
        <sz val="10"/>
        <color rgb="FF000000"/>
        <rFont val="Noto Sans CJK SC"/>
        <family val="2"/>
      </rPr>
      <t xml:space="preserve">月 </t>
    </r>
    <r>
      <rPr>
        <sz val="10"/>
        <color rgb="FF000000"/>
        <rFont val="Arial"/>
        <family val="0"/>
        <charset val="1"/>
      </rPr>
      <t xml:space="preserve">31 </t>
    </r>
    <r>
      <rPr>
        <sz val="10"/>
        <color rgb="FF000000"/>
        <rFont val="Noto Sans CJK SC"/>
        <family val="2"/>
      </rPr>
      <t xml:space="preserve">日，我們承諾的未動用銀行融資為人民幣 </t>
    </r>
    <r>
      <rPr>
        <sz val="10"/>
        <color rgb="FF000000"/>
        <rFont val="Arial"/>
        <family val="0"/>
        <charset val="1"/>
      </rPr>
      <t xml:space="preserve">6,130.5 </t>
    </r>
    <r>
      <rPr>
        <sz val="10"/>
        <color rgb="FF000000"/>
        <rFont val="Noto Sans CJK SC"/>
        <family val="2"/>
      </rPr>
      <t xml:space="preserve">百萬元」；可拆解 </t>
    </r>
    <r>
      <rPr>
        <sz val="10"/>
        <color rgb="FF000000"/>
        <rFont val="Arial"/>
        <family val="0"/>
        <charset val="1"/>
      </rPr>
      <t xml:space="preserve">SRC_ZP_110 </t>
    </r>
    <r>
      <rPr>
        <sz val="10"/>
        <color rgb="FF000000"/>
        <rFont val="Noto Sans CJK SC"/>
        <family val="2"/>
      </rPr>
      <t xml:space="preserve">合計 </t>
    </r>
    <r>
      <rPr>
        <sz val="10"/>
        <color rgb="FF000000"/>
        <rFont val="Arial"/>
        <family val="0"/>
        <charset val="1"/>
      </rPr>
      <t xml:space="preserve">89.431 </t>
    </r>
    <r>
      <rPr>
        <sz val="10"/>
        <color rgb="FF000000"/>
        <rFont val="Noto Sans CJK SC"/>
        <family val="2"/>
      </rPr>
      <t xml:space="preserve">億中的授信部分；百萬</t>
    </r>
    <r>
      <rPr>
        <sz val="10"/>
        <color rgb="FF000000"/>
        <rFont val="Arial"/>
        <family val="0"/>
        <charset val="1"/>
      </rPr>
      <t xml:space="preserve">÷100</t>
    </r>
  </si>
  <si>
    <t xml:space="preserve">SRC_ZP_986</t>
  </si>
  <si>
    <t xml:space="preserve">investor_instr_redeem_terms</t>
  </si>
  <si>
    <t xml:space="preserve">向投資者發行金融工具贖回條款</t>
  </si>
  <si>
    <r>
      <rPr>
        <sz val="10"/>
        <color rgb="FF000000"/>
        <rFont val="Arial"/>
        <family val="0"/>
        <charset val="1"/>
      </rPr>
      <t xml:space="preserve">%</t>
    </r>
    <r>
      <rPr>
        <sz val="10"/>
        <color rgb="FF000000"/>
        <rFont val="Noto Sans CJK SC"/>
        <family val="2"/>
      </rPr>
      <t xml:space="preserve">（年利率）</t>
    </r>
  </si>
  <si>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411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</si>
  <si>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26</t>
    </r>
    <r>
      <rPr>
        <sz val="10"/>
        <color rgb="FF000000"/>
        <rFont val="Noto Sans CJK SC"/>
        <family val="2"/>
      </rPr>
      <t xml:space="preserve">：觸發事件含「</t>
    </r>
    <r>
      <rPr>
        <sz val="10"/>
        <color rgb="FF000000"/>
        <rFont val="Arial"/>
        <family val="0"/>
        <charset val="1"/>
      </rPr>
      <t xml:space="preserve">2028 </t>
    </r>
    <r>
      <rPr>
        <sz val="10"/>
        <color rgb="FF000000"/>
        <rFont val="Noto Sans CJK SC"/>
        <family val="2"/>
      </rPr>
      <t xml:space="preserve">年 </t>
    </r>
    <r>
      <rPr>
        <sz val="10"/>
        <color rgb="FF000000"/>
        <rFont val="Arial"/>
        <family val="0"/>
        <charset val="1"/>
      </rPr>
      <t xml:space="preserve">2 </t>
    </r>
    <r>
      <rPr>
        <sz val="10"/>
        <color rgb="FF000000"/>
        <rFont val="Noto Sans CJK SC"/>
        <family val="2"/>
      </rPr>
      <t xml:space="preserve">月前首次公開發售」未達成；最高結果為「原始本金投資加上按年利率 </t>
    </r>
    <r>
      <rPr>
        <sz val="10"/>
        <color rgb="FF000000"/>
        <rFont val="Arial"/>
        <family val="0"/>
        <charset val="1"/>
      </rPr>
      <t xml:space="preserve">12%</t>
    </r>
    <r>
      <rPr>
        <sz val="10"/>
        <color rgb="FF000000"/>
        <rFont val="Noto Sans CJK SC"/>
        <family val="2"/>
      </rPr>
      <t xml:space="preserve">計算的應計利息」；上市後贖回權終止並轉入權益；</t>
    </r>
    <r>
      <rPr>
        <sz val="10"/>
        <color rgb="FF000000"/>
        <rFont val="Arial"/>
        <family val="0"/>
        <charset val="1"/>
      </rPr>
      <t xml:space="preserve">1H2025 </t>
    </r>
    <r>
      <rPr>
        <sz val="10"/>
        <color rgb="FF000000"/>
        <rFont val="Noto Sans CJK SC"/>
        <family val="2"/>
      </rPr>
      <t xml:space="preserve">賬面 </t>
    </r>
    <r>
      <rPr>
        <sz val="10"/>
        <color rgb="FF000000"/>
        <rFont val="Arial"/>
        <family val="0"/>
        <charset val="1"/>
      </rPr>
      <t xml:space="preserve">9,564,760 </t>
    </r>
    <r>
      <rPr>
        <sz val="10"/>
        <color rgb="FF000000"/>
        <rFont val="Noto Sans CJK SC"/>
        <family val="2"/>
      </rPr>
      <t xml:space="preserve">千元</t>
    </r>
  </si>
  <si>
    <t xml:space="preserve">SRC_ZP_987</t>
  </si>
  <si>
    <t xml:space="preserve">tok_daily_202212</t>
  </si>
  <si>
    <t xml:space="preserve">2022-12</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</si>
  <si>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182 </t>
    </r>
    <r>
      <rPr>
        <sz val="10"/>
        <color rgb="FF000000"/>
        <rFont val="Noto Sans CJK SC"/>
        <family val="2"/>
      </rPr>
      <t xml:space="preserve">頁</t>
    </r>
  </si>
  <si>
    <t xml:space="preserve">智譜（上市招股誘因；營運數據非會計師報告科目）</t>
  </si>
  <si>
    <r>
      <rPr>
        <sz val="10"/>
        <color rgb="FF000000"/>
        <rFont val="Noto Sans CJK SC"/>
        <family val="2"/>
      </rPr>
      <t xml:space="preserve">原文（第 </t>
    </r>
    <r>
      <rPr>
        <sz val="10"/>
        <color rgb="FF000000"/>
        <rFont val="Arial"/>
        <family val="0"/>
        <charset val="1"/>
      </rPr>
      <t xml:space="preserve">182 </t>
    </r>
    <r>
      <rPr>
        <sz val="10"/>
        <color rgb="FF000000"/>
        <rFont val="Noto Sans CJK SC"/>
        <family val="2"/>
      </rPr>
      <t xml:space="preserve">頁＝印 </t>
    </r>
    <r>
      <rPr>
        <sz val="10"/>
        <color rgb="FF000000"/>
        <rFont val="Arial"/>
        <family val="0"/>
        <charset val="1"/>
      </rPr>
      <t xml:space="preserve">173</t>
    </r>
    <r>
      <rPr>
        <sz val="10"/>
        <color rgb="FF000000"/>
        <rFont val="Noto Sans CJK SC"/>
        <family val="2"/>
      </rPr>
      <t xml:space="preserve">）「於 </t>
    </r>
    <r>
      <rPr>
        <sz val="10"/>
        <color rgb="FF000000"/>
        <rFont val="Arial"/>
        <family val="0"/>
        <charset val="1"/>
      </rPr>
      <t xml:space="preserve">2022 </t>
    </r>
    <r>
      <rPr>
        <sz val="10"/>
        <color rgb="FF000000"/>
        <rFont val="Noto Sans CJK SC"/>
        <family val="2"/>
      </rPr>
      <t xml:space="preserve">年、</t>
    </r>
    <r>
      <rPr>
        <sz val="10"/>
        <color rgb="FF000000"/>
        <rFont val="Arial"/>
        <family val="0"/>
        <charset val="1"/>
      </rPr>
      <t xml:space="preserve">2023 </t>
    </r>
    <r>
      <rPr>
        <sz val="10"/>
        <color rgb="FF000000"/>
        <rFont val="Noto Sans CJK SC"/>
        <family val="2"/>
      </rPr>
      <t xml:space="preserve">年及 </t>
    </r>
    <r>
      <rPr>
        <sz val="10"/>
        <color rgb="FF000000"/>
        <rFont val="Arial"/>
        <family val="0"/>
        <charset val="1"/>
      </rPr>
      <t xml:space="preserve">2024 </t>
    </r>
    <r>
      <rPr>
        <sz val="10"/>
        <color rgb="FF000000"/>
        <rFont val="Noto Sans CJK SC"/>
        <family val="2"/>
      </rPr>
      <t xml:space="preserve">年 </t>
    </r>
    <r>
      <rPr>
        <sz val="10"/>
        <color rgb="FF000000"/>
        <rFont val="Arial"/>
        <family val="0"/>
        <charset val="1"/>
      </rPr>
      <t xml:space="preserve">12 </t>
    </r>
    <r>
      <rPr>
        <sz val="10"/>
        <color rgb="FF000000"/>
        <rFont val="Noto Sans CJK SC"/>
        <family val="2"/>
      </rPr>
      <t xml:space="preserve">月以及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月，我們的日均</t>
    </r>
    <r>
      <rPr>
        <sz val="10"/>
        <color rgb="FF000000"/>
        <rFont val="Arial"/>
        <family val="0"/>
        <charset val="1"/>
      </rPr>
      <t xml:space="preserve">token</t>
    </r>
    <r>
      <rPr>
        <sz val="10"/>
        <color rgb="FF000000"/>
        <rFont val="Noto Sans CJK SC"/>
        <family val="2"/>
      </rPr>
      <t xml:space="preserve">消耗量分別為 </t>
    </r>
    <r>
      <rPr>
        <sz val="10"/>
        <color rgb="FF000000"/>
        <rFont val="Arial"/>
        <family val="0"/>
        <charset val="1"/>
      </rPr>
      <t xml:space="preserve">5 </t>
    </r>
    <r>
      <rPr>
        <sz val="10"/>
        <color rgb="FF000000"/>
        <rFont val="Noto Sans CJK SC"/>
        <family val="2"/>
      </rPr>
      <t xml:space="preserve">億、</t>
    </r>
    <r>
      <rPr>
        <sz val="10"/>
        <color rgb="FF000000"/>
        <rFont val="Arial"/>
        <family val="0"/>
        <charset val="1"/>
      </rPr>
      <t xml:space="preserve">21 </t>
    </r>
    <r>
      <rPr>
        <sz val="10"/>
        <color rgb="FF000000"/>
        <rFont val="Noto Sans CJK SC"/>
        <family val="2"/>
      </rPr>
      <t xml:space="preserve">億、</t>
    </r>
    <r>
      <rPr>
        <sz val="10"/>
        <color rgb="FF000000"/>
        <rFont val="Arial"/>
        <family val="0"/>
        <charset val="1"/>
      </rPr>
      <t xml:space="preserve">0.2 </t>
    </r>
    <r>
      <rPr>
        <sz val="10"/>
        <color rgb="FF000000"/>
        <rFont val="Noto Sans CJK SC"/>
        <family val="2"/>
      </rPr>
      <t xml:space="preserve">萬億及 </t>
    </r>
    <r>
      <rPr>
        <sz val="10"/>
        <color rgb="FF000000"/>
        <rFont val="Arial"/>
        <family val="0"/>
        <charset val="1"/>
      </rPr>
      <t xml:space="preserve">4.6 </t>
    </r>
    <r>
      <rPr>
        <sz val="10"/>
        <color rgb="FF000000"/>
        <rFont val="Noto Sans CJK SC"/>
        <family val="2"/>
      </rPr>
      <t xml:space="preserve">萬億」；本值 </t>
    </r>
    <r>
      <rPr>
        <sz val="10"/>
        <color rgb="FF000000"/>
        <rFont val="Arial"/>
        <family val="0"/>
        <charset val="1"/>
      </rPr>
      <t xml:space="preserve">5 </t>
    </r>
    <r>
      <rPr>
        <sz val="10"/>
        <color rgb="FF000000"/>
        <rFont val="Noto Sans CJK SC"/>
        <family val="2"/>
      </rPr>
      <t xml:space="preserve">億；升級為一手來源；期間更正為 </t>
    </r>
    <r>
      <rPr>
        <sz val="10"/>
        <color rgb="FF000000"/>
        <rFont val="Arial"/>
        <family val="0"/>
        <charset val="1"/>
      </rPr>
      <t xml:space="preserve">2022 </t>
    </r>
    <r>
      <rPr>
        <sz val="10"/>
        <color rgb="FF000000"/>
        <rFont val="Noto Sans CJK SC"/>
        <family val="2"/>
      </rPr>
      <t xml:space="preserve">年 </t>
    </r>
    <r>
      <rPr>
        <sz val="10"/>
        <color rgb="FF000000"/>
        <rFont val="Arial"/>
        <family val="0"/>
        <charset val="1"/>
      </rPr>
      <t xml:space="preserve">12 </t>
    </r>
    <r>
      <rPr>
        <sz val="10"/>
        <color rgb="FF000000"/>
        <rFont val="Noto Sans CJK SC"/>
        <family val="2"/>
      </rPr>
      <t xml:space="preserve">月（原記 </t>
    </r>
    <r>
      <rPr>
        <sz val="10"/>
        <color rgb="FF000000"/>
        <rFont val="Arial"/>
        <family val="0"/>
        <charset val="1"/>
      </rPr>
      <t xml:space="preserve">FY2022</t>
    </r>
    <r>
      <rPr>
        <sz val="10"/>
        <color rgb="FF000000"/>
        <rFont val="Noto Sans CJK SC"/>
        <family val="2"/>
      </rPr>
      <t xml:space="preserve">）</t>
    </r>
  </si>
  <si>
    <t xml:space="preserve">SRC_ZP_988</t>
  </si>
  <si>
    <t xml:space="preserve">tok_daily_202312</t>
  </si>
  <si>
    <t xml:space="preserve">2023-12</t>
  </si>
  <si>
    <r>
      <rPr>
        <sz val="10"/>
        <color rgb="FF000000"/>
        <rFont val="Noto Sans CJK SC"/>
        <family val="2"/>
      </rPr>
      <t xml:space="preserve">原文（第 </t>
    </r>
    <r>
      <rPr>
        <sz val="10"/>
        <color rgb="FF000000"/>
        <rFont val="Arial"/>
        <family val="0"/>
        <charset val="1"/>
      </rPr>
      <t xml:space="preserve">182 </t>
    </r>
    <r>
      <rPr>
        <sz val="10"/>
        <color rgb="FF000000"/>
        <rFont val="Noto Sans CJK SC"/>
        <family val="2"/>
      </rPr>
      <t xml:space="preserve">頁＝印 </t>
    </r>
    <r>
      <rPr>
        <sz val="10"/>
        <color rgb="FF000000"/>
        <rFont val="Arial"/>
        <family val="0"/>
        <charset val="1"/>
      </rPr>
      <t xml:space="preserve">173</t>
    </r>
    <r>
      <rPr>
        <sz val="10"/>
        <color rgb="FF000000"/>
        <rFont val="Noto Sans CJK SC"/>
        <family val="2"/>
      </rPr>
      <t xml:space="preserve">）「於 </t>
    </r>
    <r>
      <rPr>
        <sz val="10"/>
        <color rgb="FF000000"/>
        <rFont val="Arial"/>
        <family val="0"/>
        <charset val="1"/>
      </rPr>
      <t xml:space="preserve">2022 </t>
    </r>
    <r>
      <rPr>
        <sz val="10"/>
        <color rgb="FF000000"/>
        <rFont val="Noto Sans CJK SC"/>
        <family val="2"/>
      </rPr>
      <t xml:space="preserve">年、</t>
    </r>
    <r>
      <rPr>
        <sz val="10"/>
        <color rgb="FF000000"/>
        <rFont val="Arial"/>
        <family val="0"/>
        <charset val="1"/>
      </rPr>
      <t xml:space="preserve">2023 </t>
    </r>
    <r>
      <rPr>
        <sz val="10"/>
        <color rgb="FF000000"/>
        <rFont val="Noto Sans CJK SC"/>
        <family val="2"/>
      </rPr>
      <t xml:space="preserve">年及 </t>
    </r>
    <r>
      <rPr>
        <sz val="10"/>
        <color rgb="FF000000"/>
        <rFont val="Arial"/>
        <family val="0"/>
        <charset val="1"/>
      </rPr>
      <t xml:space="preserve">2024 </t>
    </r>
    <r>
      <rPr>
        <sz val="10"/>
        <color rgb="FF000000"/>
        <rFont val="Noto Sans CJK SC"/>
        <family val="2"/>
      </rPr>
      <t xml:space="preserve">年 </t>
    </r>
    <r>
      <rPr>
        <sz val="10"/>
        <color rgb="FF000000"/>
        <rFont val="Arial"/>
        <family val="0"/>
        <charset val="1"/>
      </rPr>
      <t xml:space="preserve">12 </t>
    </r>
    <r>
      <rPr>
        <sz val="10"/>
        <color rgb="FF000000"/>
        <rFont val="Noto Sans CJK SC"/>
        <family val="2"/>
      </rPr>
      <t xml:space="preserve">月以及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月，我們的日均</t>
    </r>
    <r>
      <rPr>
        <sz val="10"/>
        <color rgb="FF000000"/>
        <rFont val="Arial"/>
        <family val="0"/>
        <charset val="1"/>
      </rPr>
      <t xml:space="preserve">token</t>
    </r>
    <r>
      <rPr>
        <sz val="10"/>
        <color rgb="FF000000"/>
        <rFont val="Noto Sans CJK SC"/>
        <family val="2"/>
      </rPr>
      <t xml:space="preserve">消耗量分別為 </t>
    </r>
    <r>
      <rPr>
        <sz val="10"/>
        <color rgb="FF000000"/>
        <rFont val="Arial"/>
        <family val="0"/>
        <charset val="1"/>
      </rPr>
      <t xml:space="preserve">5 </t>
    </r>
    <r>
      <rPr>
        <sz val="10"/>
        <color rgb="FF000000"/>
        <rFont val="Noto Sans CJK SC"/>
        <family val="2"/>
      </rPr>
      <t xml:space="preserve">億、</t>
    </r>
    <r>
      <rPr>
        <sz val="10"/>
        <color rgb="FF000000"/>
        <rFont val="Arial"/>
        <family val="0"/>
        <charset val="1"/>
      </rPr>
      <t xml:space="preserve">21 </t>
    </r>
    <r>
      <rPr>
        <sz val="10"/>
        <color rgb="FF000000"/>
        <rFont val="Noto Sans CJK SC"/>
        <family val="2"/>
      </rPr>
      <t xml:space="preserve">億、</t>
    </r>
    <r>
      <rPr>
        <sz val="10"/>
        <color rgb="FF000000"/>
        <rFont val="Arial"/>
        <family val="0"/>
        <charset val="1"/>
      </rPr>
      <t xml:space="preserve">0.2 </t>
    </r>
    <r>
      <rPr>
        <sz val="10"/>
        <color rgb="FF000000"/>
        <rFont val="Noto Sans CJK SC"/>
        <family val="2"/>
      </rPr>
      <t xml:space="preserve">萬億及 </t>
    </r>
    <r>
      <rPr>
        <sz val="10"/>
        <color rgb="FF000000"/>
        <rFont val="Arial"/>
        <family val="0"/>
        <charset val="1"/>
      </rPr>
      <t xml:space="preserve">4.6 </t>
    </r>
    <r>
      <rPr>
        <sz val="10"/>
        <color rgb="FF000000"/>
        <rFont val="Noto Sans CJK SC"/>
        <family val="2"/>
      </rPr>
      <t xml:space="preserve">萬億」；本值 </t>
    </r>
    <r>
      <rPr>
        <sz val="10"/>
        <color rgb="FF000000"/>
        <rFont val="Arial"/>
        <family val="0"/>
        <charset val="1"/>
      </rPr>
      <t xml:space="preserve">21 </t>
    </r>
    <r>
      <rPr>
        <sz val="10"/>
        <color rgb="FF000000"/>
        <rFont val="Noto Sans CJK SC"/>
        <family val="2"/>
      </rPr>
      <t xml:space="preserve">億</t>
    </r>
  </si>
  <si>
    <t xml:space="preserve">SRC_ZP_989</t>
  </si>
  <si>
    <t xml:space="preserve">tok_daily_202412</t>
  </si>
  <si>
    <r>
      <rPr>
        <sz val="10"/>
        <color rgb="FF000000"/>
        <rFont val="Noto Sans CJK SC"/>
        <family val="2"/>
      </rPr>
      <t xml:space="preserve">原文（第 </t>
    </r>
    <r>
      <rPr>
        <sz val="10"/>
        <color rgb="FF000000"/>
        <rFont val="Arial"/>
        <family val="0"/>
        <charset val="1"/>
      </rPr>
      <t xml:space="preserve">182 </t>
    </r>
    <r>
      <rPr>
        <sz val="10"/>
        <color rgb="FF000000"/>
        <rFont val="Noto Sans CJK SC"/>
        <family val="2"/>
      </rPr>
      <t xml:space="preserve">頁＝印 </t>
    </r>
    <r>
      <rPr>
        <sz val="10"/>
        <color rgb="FF000000"/>
        <rFont val="Arial"/>
        <family val="0"/>
        <charset val="1"/>
      </rPr>
      <t xml:space="preserve">173</t>
    </r>
    <r>
      <rPr>
        <sz val="10"/>
        <color rgb="FF000000"/>
        <rFont val="Noto Sans CJK SC"/>
        <family val="2"/>
      </rPr>
      <t xml:space="preserve">）「於 </t>
    </r>
    <r>
      <rPr>
        <sz val="10"/>
        <color rgb="FF000000"/>
        <rFont val="Arial"/>
        <family val="0"/>
        <charset val="1"/>
      </rPr>
      <t xml:space="preserve">2022 </t>
    </r>
    <r>
      <rPr>
        <sz val="10"/>
        <color rgb="FF000000"/>
        <rFont val="Noto Sans CJK SC"/>
        <family val="2"/>
      </rPr>
      <t xml:space="preserve">年、</t>
    </r>
    <r>
      <rPr>
        <sz val="10"/>
        <color rgb="FF000000"/>
        <rFont val="Arial"/>
        <family val="0"/>
        <charset val="1"/>
      </rPr>
      <t xml:space="preserve">2023 </t>
    </r>
    <r>
      <rPr>
        <sz val="10"/>
        <color rgb="FF000000"/>
        <rFont val="Noto Sans CJK SC"/>
        <family val="2"/>
      </rPr>
      <t xml:space="preserve">年及 </t>
    </r>
    <r>
      <rPr>
        <sz val="10"/>
        <color rgb="FF000000"/>
        <rFont val="Arial"/>
        <family val="0"/>
        <charset val="1"/>
      </rPr>
      <t xml:space="preserve">2024 </t>
    </r>
    <r>
      <rPr>
        <sz val="10"/>
        <color rgb="FF000000"/>
        <rFont val="Noto Sans CJK SC"/>
        <family val="2"/>
      </rPr>
      <t xml:space="preserve">年 </t>
    </r>
    <r>
      <rPr>
        <sz val="10"/>
        <color rgb="FF000000"/>
        <rFont val="Arial"/>
        <family val="0"/>
        <charset val="1"/>
      </rPr>
      <t xml:space="preserve">12 </t>
    </r>
    <r>
      <rPr>
        <sz val="10"/>
        <color rgb="FF000000"/>
        <rFont val="Noto Sans CJK SC"/>
        <family val="2"/>
      </rPr>
      <t xml:space="preserve">月以及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月，我們的日均</t>
    </r>
    <r>
      <rPr>
        <sz val="10"/>
        <color rgb="FF000000"/>
        <rFont val="Arial"/>
        <family val="0"/>
        <charset val="1"/>
      </rPr>
      <t xml:space="preserve">token</t>
    </r>
    <r>
      <rPr>
        <sz val="10"/>
        <color rgb="FF000000"/>
        <rFont val="Noto Sans CJK SC"/>
        <family val="2"/>
      </rPr>
      <t xml:space="preserve">消耗量分別為 </t>
    </r>
    <r>
      <rPr>
        <sz val="10"/>
        <color rgb="FF000000"/>
        <rFont val="Arial"/>
        <family val="0"/>
        <charset val="1"/>
      </rPr>
      <t xml:space="preserve">5 </t>
    </r>
    <r>
      <rPr>
        <sz val="10"/>
        <color rgb="FF000000"/>
        <rFont val="Noto Sans CJK SC"/>
        <family val="2"/>
      </rPr>
      <t xml:space="preserve">億、</t>
    </r>
    <r>
      <rPr>
        <sz val="10"/>
        <color rgb="FF000000"/>
        <rFont val="Arial"/>
        <family val="0"/>
        <charset val="1"/>
      </rPr>
      <t xml:space="preserve">21 </t>
    </r>
    <r>
      <rPr>
        <sz val="10"/>
        <color rgb="FF000000"/>
        <rFont val="Noto Sans CJK SC"/>
        <family val="2"/>
      </rPr>
      <t xml:space="preserve">億、</t>
    </r>
    <r>
      <rPr>
        <sz val="10"/>
        <color rgb="FF000000"/>
        <rFont val="Arial"/>
        <family val="0"/>
        <charset val="1"/>
      </rPr>
      <t xml:space="preserve">0.2 </t>
    </r>
    <r>
      <rPr>
        <sz val="10"/>
        <color rgb="FF000000"/>
        <rFont val="Noto Sans CJK SC"/>
        <family val="2"/>
      </rPr>
      <t xml:space="preserve">萬億及 </t>
    </r>
    <r>
      <rPr>
        <sz val="10"/>
        <color rgb="FF000000"/>
        <rFont val="Arial"/>
        <family val="0"/>
        <charset val="1"/>
      </rPr>
      <t xml:space="preserve">4.6 </t>
    </r>
    <r>
      <rPr>
        <sz val="10"/>
        <color rgb="FF000000"/>
        <rFont val="Noto Sans CJK SC"/>
        <family val="2"/>
      </rPr>
      <t xml:space="preserve">萬億」；本值 </t>
    </r>
    <r>
      <rPr>
        <sz val="10"/>
        <color rgb="FF000000"/>
        <rFont val="Arial"/>
        <family val="0"/>
        <charset val="1"/>
      </rPr>
      <t xml:space="preserve">0.2 </t>
    </r>
    <r>
      <rPr>
        <sz val="10"/>
        <color rgb="FF000000"/>
        <rFont val="Noto Sans CJK SC"/>
        <family val="2"/>
      </rPr>
      <t xml:space="preserve">萬億</t>
    </r>
  </si>
  <si>
    <t xml:space="preserve">SRC_ZP_990</t>
  </si>
  <si>
    <t xml:space="preserve">tok_daily_202506</t>
  </si>
  <si>
    <r>
      <rPr>
        <sz val="10"/>
        <color rgb="FF000000"/>
        <rFont val="Noto Sans CJK SC"/>
        <family val="2"/>
      </rPr>
      <t xml:space="preserve">原文（第 </t>
    </r>
    <r>
      <rPr>
        <sz val="10"/>
        <color rgb="FF000000"/>
        <rFont val="Arial"/>
        <family val="0"/>
        <charset val="1"/>
      </rPr>
      <t xml:space="preserve">182 </t>
    </r>
    <r>
      <rPr>
        <sz val="10"/>
        <color rgb="FF000000"/>
        <rFont val="Noto Sans CJK SC"/>
        <family val="2"/>
      </rPr>
      <t xml:space="preserve">頁＝印 </t>
    </r>
    <r>
      <rPr>
        <sz val="10"/>
        <color rgb="FF000000"/>
        <rFont val="Arial"/>
        <family val="0"/>
        <charset val="1"/>
      </rPr>
      <t xml:space="preserve">173</t>
    </r>
    <r>
      <rPr>
        <sz val="10"/>
        <color rgb="FF000000"/>
        <rFont val="Noto Sans CJK SC"/>
        <family val="2"/>
      </rPr>
      <t xml:space="preserve">）「於 </t>
    </r>
    <r>
      <rPr>
        <sz val="10"/>
        <color rgb="FF000000"/>
        <rFont val="Arial"/>
        <family val="0"/>
        <charset val="1"/>
      </rPr>
      <t xml:space="preserve">2022 </t>
    </r>
    <r>
      <rPr>
        <sz val="10"/>
        <color rgb="FF000000"/>
        <rFont val="Noto Sans CJK SC"/>
        <family val="2"/>
      </rPr>
      <t xml:space="preserve">年、</t>
    </r>
    <r>
      <rPr>
        <sz val="10"/>
        <color rgb="FF000000"/>
        <rFont val="Arial"/>
        <family val="0"/>
        <charset val="1"/>
      </rPr>
      <t xml:space="preserve">2023 </t>
    </r>
    <r>
      <rPr>
        <sz val="10"/>
        <color rgb="FF000000"/>
        <rFont val="Noto Sans CJK SC"/>
        <family val="2"/>
      </rPr>
      <t xml:space="preserve">年及 </t>
    </r>
    <r>
      <rPr>
        <sz val="10"/>
        <color rgb="FF000000"/>
        <rFont val="Arial"/>
        <family val="0"/>
        <charset val="1"/>
      </rPr>
      <t xml:space="preserve">2024 </t>
    </r>
    <r>
      <rPr>
        <sz val="10"/>
        <color rgb="FF000000"/>
        <rFont val="Noto Sans CJK SC"/>
        <family val="2"/>
      </rPr>
      <t xml:space="preserve">年 </t>
    </r>
    <r>
      <rPr>
        <sz val="10"/>
        <color rgb="FF000000"/>
        <rFont val="Arial"/>
        <family val="0"/>
        <charset val="1"/>
      </rPr>
      <t xml:space="preserve">12 </t>
    </r>
    <r>
      <rPr>
        <sz val="10"/>
        <color rgb="FF000000"/>
        <rFont val="Noto Sans CJK SC"/>
        <family val="2"/>
      </rPr>
      <t xml:space="preserve">月以及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月，我們的日均</t>
    </r>
    <r>
      <rPr>
        <sz val="10"/>
        <color rgb="FF000000"/>
        <rFont val="Arial"/>
        <family val="0"/>
        <charset val="1"/>
      </rPr>
      <t xml:space="preserve">token</t>
    </r>
    <r>
      <rPr>
        <sz val="10"/>
        <color rgb="FF000000"/>
        <rFont val="Noto Sans CJK SC"/>
        <family val="2"/>
      </rPr>
      <t xml:space="preserve">消耗量分別為 </t>
    </r>
    <r>
      <rPr>
        <sz val="10"/>
        <color rgb="FF000000"/>
        <rFont val="Arial"/>
        <family val="0"/>
        <charset val="1"/>
      </rPr>
      <t xml:space="preserve">5 </t>
    </r>
    <r>
      <rPr>
        <sz val="10"/>
        <color rgb="FF000000"/>
        <rFont val="Noto Sans CJK SC"/>
        <family val="2"/>
      </rPr>
      <t xml:space="preserve">億、</t>
    </r>
    <r>
      <rPr>
        <sz val="10"/>
        <color rgb="FF000000"/>
        <rFont val="Arial"/>
        <family val="0"/>
        <charset val="1"/>
      </rPr>
      <t xml:space="preserve">21 </t>
    </r>
    <r>
      <rPr>
        <sz val="10"/>
        <color rgb="FF000000"/>
        <rFont val="Noto Sans CJK SC"/>
        <family val="2"/>
      </rPr>
      <t xml:space="preserve">億、</t>
    </r>
    <r>
      <rPr>
        <sz val="10"/>
        <color rgb="FF000000"/>
        <rFont val="Arial"/>
        <family val="0"/>
        <charset val="1"/>
      </rPr>
      <t xml:space="preserve">0.2 </t>
    </r>
    <r>
      <rPr>
        <sz val="10"/>
        <color rgb="FF000000"/>
        <rFont val="Noto Sans CJK SC"/>
        <family val="2"/>
      </rPr>
      <t xml:space="preserve">萬億及 </t>
    </r>
    <r>
      <rPr>
        <sz val="10"/>
        <color rgb="FF000000"/>
        <rFont val="Arial"/>
        <family val="0"/>
        <charset val="1"/>
      </rPr>
      <t xml:space="preserve">4.6 </t>
    </r>
    <r>
      <rPr>
        <sz val="10"/>
        <color rgb="FF000000"/>
        <rFont val="Noto Sans CJK SC"/>
        <family val="2"/>
      </rPr>
      <t xml:space="preserve">萬億」；本值 </t>
    </r>
    <r>
      <rPr>
        <sz val="10"/>
        <color rgb="FF000000"/>
        <rFont val="Arial"/>
        <family val="0"/>
        <charset val="1"/>
      </rPr>
      <t xml:space="preserve">4.6 </t>
    </r>
    <r>
      <rPr>
        <sz val="10"/>
        <color rgb="FF000000"/>
        <rFont val="Noto Sans CJK SC"/>
        <family val="2"/>
      </rPr>
      <t xml:space="preserve">萬億；升級為一手來源；期間更正為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月單月（原記 </t>
    </r>
    <r>
      <rPr>
        <sz val="10"/>
        <color rgb="FF000000"/>
        <rFont val="Arial"/>
        <family val="0"/>
        <charset val="1"/>
      </rPr>
      <t xml:space="preserve">1H2025</t>
    </r>
    <r>
      <rPr>
        <sz val="10"/>
        <color rgb="FF000000"/>
        <rFont val="Noto Sans CJK SC"/>
        <family val="2"/>
      </rPr>
      <t xml:space="preserve">）；與 </t>
    </r>
    <r>
      <rPr>
        <sz val="10"/>
        <color rgb="FF000000"/>
        <rFont val="Arial"/>
        <family val="0"/>
        <charset val="1"/>
      </rPr>
      <t xml:space="preserve">2025-11 </t>
    </r>
    <r>
      <rPr>
        <sz val="10"/>
        <color rgb="FF000000"/>
        <rFont val="Noto Sans CJK SC"/>
        <family val="2"/>
      </rPr>
      <t xml:space="preserve">的 </t>
    </r>
    <r>
      <rPr>
        <sz val="10"/>
        <color rgb="FF000000"/>
        <rFont val="Arial"/>
        <family val="0"/>
        <charset val="1"/>
      </rPr>
      <t xml:space="preserve">4.2T</t>
    </r>
    <r>
      <rPr>
        <sz val="10"/>
        <color rgb="FF000000"/>
        <rFont val="Noto Sans CJK SC"/>
        <family val="2"/>
      </rPr>
      <t xml:space="preserve">（</t>
    </r>
    <r>
      <rPr>
        <sz val="10"/>
        <color rgb="FF000000"/>
        <rFont val="Arial"/>
        <family val="0"/>
        <charset val="1"/>
      </rPr>
      <t xml:space="preserve">SRC_ZP_413</t>
    </r>
    <r>
      <rPr>
        <sz val="10"/>
        <color rgb="FF000000"/>
        <rFont val="Noto Sans CJK SC"/>
        <family val="2"/>
      </rPr>
      <t xml:space="preserve">）為不同月份，非矛盾</t>
    </r>
  </si>
  <si>
    <t xml:space="preserve">SRC_ZP_991</t>
  </si>
  <si>
    <t xml:space="preserve">tok_daily_nov25_p</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</si>
  <si>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32 </t>
    </r>
    <r>
      <rPr>
        <sz val="10"/>
        <color rgb="FF000000"/>
        <rFont val="Noto Sans CJK SC"/>
        <family val="2"/>
      </rPr>
      <t xml:space="preserve">頁</t>
    </r>
  </si>
  <si>
    <t xml:space="preserve">智譜（上市招股誘因）</t>
  </si>
  <si>
    <r>
      <rPr>
        <sz val="10"/>
        <color rgb="FF000000"/>
        <rFont val="Noto Sans CJK SC"/>
        <family val="2"/>
      </rPr>
      <t xml:space="preserve">原文（第 </t>
    </r>
    <r>
      <rPr>
        <sz val="10"/>
        <color rgb="FF000000"/>
        <rFont val="Arial"/>
        <family val="0"/>
        <charset val="1"/>
      </rPr>
      <t xml:space="preserve">32 </t>
    </r>
    <r>
      <rPr>
        <sz val="10"/>
        <color rgb="FF000000"/>
        <rFont val="Noto Sans CJK SC"/>
        <family val="2"/>
      </rPr>
      <t xml:space="preserve">頁＝印 </t>
    </r>
    <r>
      <rPr>
        <sz val="10"/>
        <color rgb="FF000000"/>
        <rFont val="Arial"/>
        <family val="0"/>
        <charset val="1"/>
      </rPr>
      <t xml:space="preserve">23</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11 </t>
    </r>
    <r>
      <rPr>
        <sz val="10"/>
        <color rgb="FF000000"/>
        <rFont val="Noto Sans CJK SC"/>
        <family val="2"/>
      </rPr>
      <t xml:space="preserve">月，我們的日均</t>
    </r>
    <r>
      <rPr>
        <sz val="10"/>
        <color rgb="FF000000"/>
        <rFont val="Arial"/>
        <family val="0"/>
        <charset val="1"/>
      </rPr>
      <t xml:space="preserve">token</t>
    </r>
    <r>
      <rPr>
        <sz val="10"/>
        <color rgb="FF000000"/>
        <rFont val="Noto Sans CJK SC"/>
        <family val="2"/>
      </rPr>
      <t xml:space="preserve">消耗量為 </t>
    </r>
    <r>
      <rPr>
        <sz val="10"/>
        <color rgb="FF000000"/>
        <rFont val="Arial"/>
        <family val="0"/>
        <charset val="1"/>
      </rPr>
      <t xml:space="preserve">4.2 </t>
    </r>
    <r>
      <rPr>
        <sz val="10"/>
        <color rgb="FF000000"/>
        <rFont val="Noto Sans CJK SC"/>
        <family val="2"/>
      </rPr>
      <t xml:space="preserve">萬億」；頁碼補正</t>
    </r>
  </si>
  <si>
    <t xml:space="preserve">SRC_ZP_992</t>
  </si>
  <si>
    <t xml:space="preserve">cust_inst_fy22</t>
  </si>
  <si>
    <t xml:space="preserve">機構客戶數（期內有交易）</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</si>
  <si>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181 </t>
    </r>
    <r>
      <rPr>
        <sz val="10"/>
        <color rgb="FF000000"/>
        <rFont val="Noto Sans CJK SC"/>
        <family val="2"/>
      </rPr>
      <t xml:space="preserve">頁</t>
    </r>
  </si>
  <si>
    <r>
      <rPr>
        <sz val="10"/>
        <color rgb="FF000000"/>
        <rFont val="Noto Sans CJK SC"/>
        <family val="2"/>
      </rPr>
      <t xml:space="preserve">按業務分部劃分機構客戶數目表（第 </t>
    </r>
    <r>
      <rPr>
        <sz val="10"/>
        <color rgb="FF000000"/>
        <rFont val="Arial"/>
        <family val="0"/>
        <charset val="1"/>
      </rPr>
      <t xml:space="preserve">181 </t>
    </r>
    <r>
      <rPr>
        <sz val="10"/>
        <color rgb="FF000000"/>
        <rFont val="Noto Sans CJK SC"/>
        <family val="2"/>
      </rPr>
      <t xml:space="preserve">頁＝印 </t>
    </r>
    <r>
      <rPr>
        <sz val="10"/>
        <color rgb="FF000000"/>
        <rFont val="Arial"/>
        <family val="0"/>
        <charset val="1"/>
      </rPr>
      <t xml:space="preserve">172</t>
    </r>
    <r>
      <rPr>
        <sz val="10"/>
        <color rgb="FF000000"/>
        <rFont val="Noto Sans CJK SC"/>
        <family val="2"/>
      </rPr>
      <t xml:space="preserve">）：雲端部署 </t>
    </r>
    <r>
      <rPr>
        <sz val="10"/>
        <color rgb="FF000000"/>
        <rFont val="Arial"/>
        <family val="0"/>
        <charset val="1"/>
      </rPr>
      <t xml:space="preserve">0</t>
    </r>
    <r>
      <rPr>
        <sz val="10"/>
        <color rgb="FF000000"/>
        <rFont val="Noto Sans CJK SC"/>
        <family val="2"/>
      </rPr>
      <t xml:space="preserve">、本地化部署 </t>
    </r>
    <r>
      <rPr>
        <sz val="10"/>
        <color rgb="FF000000"/>
        <rFont val="Arial"/>
        <family val="0"/>
        <charset val="1"/>
      </rPr>
      <t xml:space="preserve">48</t>
    </r>
    <r>
      <rPr>
        <sz val="10"/>
        <color rgb="FF000000"/>
        <rFont val="Noto Sans CJK SC"/>
        <family val="2"/>
      </rPr>
      <t xml:space="preserve">、合計 </t>
    </r>
    <r>
      <rPr>
        <sz val="10"/>
        <color rgb="FF000000"/>
        <rFont val="Arial"/>
        <family val="0"/>
        <charset val="1"/>
      </rPr>
      <t xml:space="preserve">48</t>
    </r>
  </si>
  <si>
    <t xml:space="preserve">SRC_ZP_993</t>
  </si>
  <si>
    <t xml:space="preserve">cust_cloud_fy22</t>
  </si>
  <si>
    <t xml:space="preserve">雲端部署機構客戶數</t>
  </si>
  <si>
    <t xml:space="preserve">按業務分部劃分機構客戶數目表</t>
  </si>
  <si>
    <t xml:space="preserve">SRC_ZP_994</t>
  </si>
  <si>
    <t xml:space="preserve">cust_onprem_fy22</t>
  </si>
  <si>
    <t xml:space="preserve">本地化部署機構客戶數</t>
  </si>
  <si>
    <t xml:space="preserve">SRC_ZP_995</t>
  </si>
  <si>
    <t xml:space="preserve">cust_inst_fy23</t>
  </si>
  <si>
    <r>
      <rPr>
        <sz val="10"/>
        <color rgb="FF000000"/>
        <rFont val="Noto Sans CJK SC"/>
        <family val="2"/>
      </rPr>
      <t xml:space="preserve">按業務分部劃分機構客戶數目表（第 </t>
    </r>
    <r>
      <rPr>
        <sz val="10"/>
        <color rgb="FF000000"/>
        <rFont val="Arial"/>
        <family val="0"/>
        <charset val="1"/>
      </rPr>
      <t xml:space="preserve">181 </t>
    </r>
    <r>
      <rPr>
        <sz val="10"/>
        <color rgb="FF000000"/>
        <rFont val="Noto Sans CJK SC"/>
        <family val="2"/>
      </rPr>
      <t xml:space="preserve">頁＝印 </t>
    </r>
    <r>
      <rPr>
        <sz val="10"/>
        <color rgb="FF000000"/>
        <rFont val="Arial"/>
        <family val="0"/>
        <charset val="1"/>
      </rPr>
      <t xml:space="preserve">172</t>
    </r>
    <r>
      <rPr>
        <sz val="10"/>
        <color rgb="FF000000"/>
        <rFont val="Noto Sans CJK SC"/>
        <family val="2"/>
      </rPr>
      <t xml:space="preserve">）：雲端部署 </t>
    </r>
    <r>
      <rPr>
        <sz val="10"/>
        <color rgb="FF000000"/>
        <rFont val="Arial"/>
        <family val="0"/>
        <charset val="1"/>
      </rPr>
      <t xml:space="preserve">2812</t>
    </r>
    <r>
      <rPr>
        <sz val="10"/>
        <color rgb="FF000000"/>
        <rFont val="Noto Sans CJK SC"/>
        <family val="2"/>
      </rPr>
      <t xml:space="preserve">、本地化部署 </t>
    </r>
    <r>
      <rPr>
        <sz val="10"/>
        <color rgb="FF000000"/>
        <rFont val="Arial"/>
        <family val="0"/>
        <charset val="1"/>
      </rPr>
      <t xml:space="preserve">61</t>
    </r>
    <r>
      <rPr>
        <sz val="10"/>
        <color rgb="FF000000"/>
        <rFont val="Noto Sans CJK SC"/>
        <family val="2"/>
      </rPr>
      <t xml:space="preserve">、合計 </t>
    </r>
    <r>
      <rPr>
        <sz val="10"/>
        <color rgb="FF000000"/>
        <rFont val="Arial"/>
        <family val="0"/>
        <charset val="1"/>
      </rPr>
      <t xml:space="preserve">2873</t>
    </r>
  </si>
  <si>
    <t xml:space="preserve">SRC_ZP_996</t>
  </si>
  <si>
    <t xml:space="preserve">cust_cloud_fy23</t>
  </si>
  <si>
    <t xml:space="preserve">SRC_ZP_997</t>
  </si>
  <si>
    <t xml:space="preserve">cust_onprem_fy23</t>
  </si>
  <si>
    <t xml:space="preserve">SRC_ZP_998</t>
  </si>
  <si>
    <t xml:space="preserve">cust_inst_fy24</t>
  </si>
  <si>
    <r>
      <rPr>
        <sz val="10"/>
        <color rgb="FF000000"/>
        <rFont val="Noto Sans CJK SC"/>
        <family val="2"/>
      </rPr>
      <t xml:space="preserve">按業務分部劃分機構客戶數目表（第 </t>
    </r>
    <r>
      <rPr>
        <sz val="10"/>
        <color rgb="FF000000"/>
        <rFont val="Arial"/>
        <family val="0"/>
        <charset val="1"/>
      </rPr>
      <t xml:space="preserve">181 </t>
    </r>
    <r>
      <rPr>
        <sz val="10"/>
        <color rgb="FF000000"/>
        <rFont val="Noto Sans CJK SC"/>
        <family val="2"/>
      </rPr>
      <t xml:space="preserve">頁＝印 </t>
    </r>
    <r>
      <rPr>
        <sz val="10"/>
        <color rgb="FF000000"/>
        <rFont val="Arial"/>
        <family val="0"/>
        <charset val="1"/>
      </rPr>
      <t xml:space="preserve">172</t>
    </r>
    <r>
      <rPr>
        <sz val="10"/>
        <color rgb="FF000000"/>
        <rFont val="Noto Sans CJK SC"/>
        <family val="2"/>
      </rPr>
      <t xml:space="preserve">）：雲端部署 </t>
    </r>
    <r>
      <rPr>
        <sz val="10"/>
        <color rgb="FF000000"/>
        <rFont val="Arial"/>
        <family val="0"/>
        <charset val="1"/>
      </rPr>
      <t xml:space="preserve">5457</t>
    </r>
    <r>
      <rPr>
        <sz val="10"/>
        <color rgb="FF000000"/>
        <rFont val="Noto Sans CJK SC"/>
        <family val="2"/>
      </rPr>
      <t xml:space="preserve">、本地化部署 </t>
    </r>
    <r>
      <rPr>
        <sz val="10"/>
        <color rgb="FF000000"/>
        <rFont val="Arial"/>
        <family val="0"/>
        <charset val="1"/>
      </rPr>
      <t xml:space="preserve">123</t>
    </r>
    <r>
      <rPr>
        <sz val="10"/>
        <color rgb="FF000000"/>
        <rFont val="Noto Sans CJK SC"/>
        <family val="2"/>
      </rPr>
      <t xml:space="preserve">、合計 </t>
    </r>
    <r>
      <rPr>
        <sz val="10"/>
        <color rgb="FF000000"/>
        <rFont val="Arial"/>
        <family val="0"/>
        <charset val="1"/>
      </rPr>
      <t xml:space="preserve">5580</t>
    </r>
  </si>
  <si>
    <t xml:space="preserve">SRC_ZP_999</t>
  </si>
  <si>
    <t xml:space="preserve">cust_cloud_fy24</t>
  </si>
  <si>
    <t xml:space="preserve">SRC_ZP_1000</t>
  </si>
  <si>
    <t xml:space="preserve">cust_onprem_fy24</t>
  </si>
  <si>
    <t xml:space="preserve">SRC_ZP_1001</t>
  </si>
  <si>
    <t xml:space="preserve">cust_inst_1h25</t>
  </si>
  <si>
    <r>
      <rPr>
        <sz val="10"/>
        <color rgb="FF000000"/>
        <rFont val="Noto Sans CJK SC"/>
        <family val="2"/>
      </rPr>
      <t xml:space="preserve">按業務分部劃分機構客戶數目表（第 </t>
    </r>
    <r>
      <rPr>
        <sz val="10"/>
        <color rgb="FF000000"/>
        <rFont val="Arial"/>
        <family val="0"/>
        <charset val="1"/>
      </rPr>
      <t xml:space="preserve">181 </t>
    </r>
    <r>
      <rPr>
        <sz val="10"/>
        <color rgb="FF000000"/>
        <rFont val="Noto Sans CJK SC"/>
        <family val="2"/>
      </rPr>
      <t xml:space="preserve">頁＝印 </t>
    </r>
    <r>
      <rPr>
        <sz val="10"/>
        <color rgb="FF000000"/>
        <rFont val="Arial"/>
        <family val="0"/>
        <charset val="1"/>
      </rPr>
      <t xml:space="preserve">172</t>
    </r>
    <r>
      <rPr>
        <sz val="10"/>
        <color rgb="FF000000"/>
        <rFont val="Noto Sans CJK SC"/>
        <family val="2"/>
      </rPr>
      <t xml:space="preserve">）：雲端部署 </t>
    </r>
    <r>
      <rPr>
        <sz val="10"/>
        <color rgb="FF000000"/>
        <rFont val="Arial"/>
        <family val="0"/>
        <charset val="1"/>
      </rPr>
      <t xml:space="preserve">3061</t>
    </r>
    <r>
      <rPr>
        <sz val="10"/>
        <color rgb="FF000000"/>
        <rFont val="Noto Sans CJK SC"/>
        <family val="2"/>
      </rPr>
      <t xml:space="preserve">、本地化部署 </t>
    </r>
    <r>
      <rPr>
        <sz val="10"/>
        <color rgb="FF000000"/>
        <rFont val="Arial"/>
        <family val="0"/>
        <charset val="1"/>
      </rPr>
      <t xml:space="preserve">95</t>
    </r>
    <r>
      <rPr>
        <sz val="10"/>
        <color rgb="FF000000"/>
        <rFont val="Noto Sans CJK SC"/>
        <family val="2"/>
      </rPr>
      <t xml:space="preserve">、合計 </t>
    </r>
    <r>
      <rPr>
        <sz val="10"/>
        <color rgb="FF000000"/>
        <rFont val="Arial"/>
        <family val="0"/>
        <charset val="1"/>
      </rPr>
      <t xml:space="preserve">3156</t>
    </r>
    <r>
      <rPr>
        <sz val="10"/>
        <color rgb="FF000000"/>
        <rFont val="Noto Sans CJK SC"/>
        <family val="2"/>
      </rPr>
      <t xml:space="preserve">；與既有值差異：</t>
    </r>
    <r>
      <rPr>
        <sz val="10"/>
        <color rgb="FF000000"/>
        <rFont val="Arial"/>
        <family val="0"/>
        <charset val="1"/>
      </rPr>
      <t xml:space="preserve">SRC_ZP_404 </t>
    </r>
    <r>
      <rPr>
        <sz val="10"/>
        <color rgb="FF000000"/>
        <rFont val="Noto Sans CJK SC"/>
        <family val="2"/>
      </rPr>
      <t xml:space="preserve">之「逾八千家」為「模型已為…提供支持」口徑（累計／賦能），非期內付費機構客戶；第 </t>
    </r>
    <r>
      <rPr>
        <sz val="10"/>
        <color rgb="FF000000"/>
        <rFont val="Arial"/>
        <family val="0"/>
        <charset val="1"/>
      </rPr>
      <t xml:space="preserve">207 </t>
    </r>
    <r>
      <rPr>
        <sz val="10"/>
        <color rgb="FF000000"/>
        <rFont val="Noto Sans CJK SC"/>
        <family val="2"/>
      </rPr>
      <t xml:space="preserve">頁「機構客戶數目由 </t>
    </r>
    <r>
      <rPr>
        <sz val="10"/>
        <color rgb="FF000000"/>
        <rFont val="Arial"/>
        <family val="0"/>
        <charset val="1"/>
      </rPr>
      <t xml:space="preserve">2022 </t>
    </r>
    <r>
      <rPr>
        <sz val="10"/>
        <color rgb="FF000000"/>
        <rFont val="Noto Sans CJK SC"/>
        <family val="2"/>
      </rPr>
      <t xml:space="preserve">年的 </t>
    </r>
    <r>
      <rPr>
        <sz val="10"/>
        <color rgb="FF000000"/>
        <rFont val="Arial"/>
        <family val="0"/>
        <charset val="1"/>
      </rPr>
      <t xml:space="preserve">48 </t>
    </r>
    <r>
      <rPr>
        <sz val="10"/>
        <color rgb="FF000000"/>
        <rFont val="Noto Sans CJK SC"/>
        <family val="2"/>
      </rPr>
      <t xml:space="preserve">家增至…</t>
    </r>
    <r>
      <rPr>
        <sz val="10"/>
        <color rgb="FF000000"/>
        <rFont val="Arial"/>
        <family val="0"/>
        <charset val="1"/>
      </rPr>
      <t xml:space="preserve">3,156 </t>
    </r>
    <r>
      <rPr>
        <sz val="10"/>
        <color rgb="FF000000"/>
        <rFont val="Noto Sans CJK SC"/>
        <family val="2"/>
      </rPr>
      <t xml:space="preserve">家」</t>
    </r>
  </si>
  <si>
    <t xml:space="preserve">SRC_ZP_1002</t>
  </si>
  <si>
    <t xml:space="preserve">cust_cloud_1h25</t>
  </si>
  <si>
    <t xml:space="preserve">SRC_ZP_1003</t>
  </si>
  <si>
    <t xml:space="preserve">cust_onprem_1h25</t>
  </si>
  <si>
    <t xml:space="preserve">SRC_ZP_1004</t>
  </si>
  <si>
    <t xml:space="preserve">oss_downloads_1h25</t>
  </si>
  <si>
    <t xml:space="preserve">開源模型累計下載量</t>
  </si>
  <si>
    <t xml:space="preserve">百萬次（以上）</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</si>
  <si>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162 </t>
    </r>
    <r>
      <rPr>
        <sz val="10"/>
        <color rgb="FF000000"/>
        <rFont val="Noto Sans CJK SC"/>
        <family val="2"/>
      </rPr>
      <t xml:space="preserve">頁</t>
    </r>
  </si>
  <si>
    <r>
      <rPr>
        <sz val="10"/>
        <color rgb="FF000000"/>
        <rFont val="Noto Sans CJK SC"/>
        <family val="2"/>
      </rPr>
      <t xml:space="preserve">原文「截至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 </t>
    </r>
    <r>
      <rPr>
        <sz val="10"/>
        <color rgb="FF000000"/>
        <rFont val="Arial"/>
        <family val="0"/>
        <charset val="1"/>
      </rPr>
      <t xml:space="preserve">30 </t>
    </r>
    <r>
      <rPr>
        <sz val="10"/>
        <color rgb="FF000000"/>
        <rFont val="Noto Sans CJK SC"/>
        <family val="2"/>
      </rPr>
      <t xml:space="preserve">日，我們開源了 </t>
    </r>
    <r>
      <rPr>
        <sz val="10"/>
        <color rgb="FF000000"/>
        <rFont val="Arial"/>
        <family val="0"/>
        <charset val="1"/>
      </rPr>
      <t xml:space="preserve">50 </t>
    </r>
    <r>
      <rPr>
        <sz val="10"/>
        <color rgb="FF000000"/>
        <rFont val="Noto Sans CJK SC"/>
        <family val="2"/>
      </rPr>
      <t xml:space="preserve">多個模型，我們的開源大模型累計下載量已超過 </t>
    </r>
    <r>
      <rPr>
        <sz val="10"/>
        <color rgb="FF000000"/>
        <rFont val="Arial"/>
        <family val="0"/>
        <charset val="1"/>
      </rPr>
      <t xml:space="preserve">4,500 </t>
    </r>
    <r>
      <rPr>
        <sz val="10"/>
        <color rgb="FF000000"/>
        <rFont val="Noto Sans CJK SC"/>
        <family val="2"/>
      </rPr>
      <t xml:space="preserve">萬次」</t>
    </r>
  </si>
  <si>
    <t xml:space="preserve">SRC_ZP_1005</t>
  </si>
  <si>
    <t xml:space="preserve">codegeex_lines_1h25</t>
  </si>
  <si>
    <r>
      <rPr>
        <sz val="10"/>
        <color rgb="FF000000"/>
        <rFont val="Arial"/>
        <family val="0"/>
        <charset val="1"/>
      </rPr>
      <t xml:space="preserve">CodeGeeX </t>
    </r>
    <r>
      <rPr>
        <sz val="10"/>
        <color rgb="FF000000"/>
        <rFont val="Noto Sans CJK SC"/>
        <family val="2"/>
      </rPr>
      <t xml:space="preserve">日均生成代碼行數</t>
    </r>
  </si>
  <si>
    <t xml:space="preserve">百萬行／日（以上）</t>
  </si>
  <si>
    <r>
      <rPr>
        <sz val="10"/>
        <color rgb="FF000000"/>
        <rFont val="Noto Sans CJK SC"/>
        <family val="2"/>
      </rPr>
      <t xml:space="preserve">原文「截至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 </t>
    </r>
    <r>
      <rPr>
        <sz val="10"/>
        <color rgb="FF000000"/>
        <rFont val="Arial"/>
        <family val="0"/>
        <charset val="1"/>
      </rPr>
      <t xml:space="preserve">30 </t>
    </r>
    <r>
      <rPr>
        <sz val="10"/>
        <color rgb="FF000000"/>
        <rFont val="Noto Sans CJK SC"/>
        <family val="2"/>
      </rPr>
      <t xml:space="preserve">日，</t>
    </r>
    <r>
      <rPr>
        <sz val="10"/>
        <color rgb="FF000000"/>
        <rFont val="Arial"/>
        <family val="0"/>
        <charset val="1"/>
      </rPr>
      <t xml:space="preserve">CodeGeeX</t>
    </r>
    <r>
      <rPr>
        <sz val="10"/>
        <color rgb="FF000000"/>
        <rFont val="Noto Sans CJK SC"/>
        <family val="2"/>
      </rPr>
      <t xml:space="preserve">日均生成一億行以上代碼」</t>
    </r>
  </si>
  <si>
    <t xml:space="preserve">SRC_ZP_1006</t>
  </si>
  <si>
    <t xml:space="preserve">rev_growth_3q25</t>
  </si>
  <si>
    <r>
      <rPr>
        <sz val="10"/>
        <color rgb="FF000000"/>
        <rFont val="Arial"/>
        <family val="0"/>
        <charset val="1"/>
      </rPr>
      <t xml:space="preserve">2025 </t>
    </r>
    <r>
      <rPr>
        <sz val="10"/>
        <color rgb="FF000000"/>
        <rFont val="Noto Sans CJK SC"/>
        <family val="2"/>
      </rPr>
      <t xml:space="preserve">年第三季收入同比增幅（管理賬目）</t>
    </r>
  </si>
  <si>
    <r>
      <rPr>
        <sz val="10"/>
        <color rgb="FF000000"/>
        <rFont val="Arial"/>
        <family val="0"/>
        <charset val="1"/>
      </rPr>
      <t xml:space="preserve">%</t>
    </r>
    <r>
      <rPr>
        <sz val="10"/>
        <color rgb="FF000000"/>
        <rFont val="Noto Sans CJK SC"/>
        <family val="2"/>
      </rPr>
      <t xml:space="preserve">（以上）</t>
    </r>
  </si>
  <si>
    <t xml:space="preserve">3Q2025</t>
  </si>
  <si>
    <t xml:space="preserve">未經審計（管理賬目）</t>
  </si>
  <si>
    <r>
      <rPr>
        <sz val="10"/>
        <color rgb="FF000000"/>
        <rFont val="Noto Sans CJK SC"/>
        <family val="2"/>
      </rPr>
      <t xml:space="preserve">原文「根據我們未經審計的管理賬目，我們預計截至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9 </t>
    </r>
    <r>
      <rPr>
        <sz val="10"/>
        <color rgb="FF000000"/>
        <rFont val="Noto Sans CJK SC"/>
        <family val="2"/>
      </rPr>
      <t xml:space="preserve">月 </t>
    </r>
    <r>
      <rPr>
        <sz val="10"/>
        <color rgb="FF000000"/>
        <rFont val="Arial"/>
        <family val="0"/>
        <charset val="1"/>
      </rPr>
      <t xml:space="preserve">30 </t>
    </r>
    <r>
      <rPr>
        <sz val="10"/>
        <color rgb="FF000000"/>
        <rFont val="Noto Sans CJK SC"/>
        <family val="2"/>
      </rPr>
      <t xml:space="preserve">日止三個月的收入將比 </t>
    </r>
    <r>
      <rPr>
        <sz val="10"/>
        <color rgb="FF000000"/>
        <rFont val="Arial"/>
        <family val="0"/>
        <charset val="1"/>
      </rPr>
      <t xml:space="preserve">2024 </t>
    </r>
    <r>
      <rPr>
        <sz val="10"/>
        <color rgb="FF000000"/>
        <rFont val="Noto Sans CJK SC"/>
        <family val="2"/>
      </rPr>
      <t xml:space="preserve">年同期增長 </t>
    </r>
    <r>
      <rPr>
        <sz val="10"/>
        <color rgb="FF000000"/>
        <rFont val="Arial"/>
        <family val="0"/>
        <charset val="1"/>
      </rPr>
      <t xml:space="preserve">60%</t>
    </r>
    <r>
      <rPr>
        <sz val="10"/>
        <color rgb="FF000000"/>
        <rFont val="Noto Sans CJK SC"/>
        <family val="2"/>
      </rPr>
      <t xml:space="preserve">以上」</t>
    </r>
  </si>
  <si>
    <t xml:space="preserve">SRC_ZP_1007</t>
  </si>
  <si>
    <t xml:space="preserve">cust_top5_rev_1h25</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</si>
  <si>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213–214 </t>
    </r>
    <r>
      <rPr>
        <sz val="10"/>
        <color rgb="FF000000"/>
        <rFont val="Noto Sans CJK SC"/>
        <family val="2"/>
      </rPr>
      <t xml:space="preserve">頁</t>
    </r>
  </si>
  <si>
    <r>
      <rPr>
        <sz val="10"/>
        <color rgb="FF000000"/>
        <rFont val="Noto Sans CJK SC"/>
        <family val="2"/>
      </rPr>
      <t xml:space="preserve">五大客戶表合計 </t>
    </r>
    <r>
      <rPr>
        <sz val="10"/>
        <color rgb="FF000000"/>
        <rFont val="Arial"/>
        <family val="0"/>
        <charset val="1"/>
      </rPr>
      <t xml:space="preserve">76,533 </t>
    </r>
    <r>
      <rPr>
        <sz val="10"/>
        <color rgb="FF000000"/>
        <rFont val="Noto Sans CJK SC"/>
        <family val="2"/>
      </rPr>
      <t xml:space="preserve">千元、</t>
    </r>
    <r>
      <rPr>
        <sz val="10"/>
        <color rgb="FF000000"/>
        <rFont val="Arial"/>
        <family val="0"/>
        <charset val="1"/>
      </rPr>
      <t xml:space="preserve">40.0%</t>
    </r>
    <r>
      <rPr>
        <sz val="10"/>
        <color rgb="FF000000"/>
        <rFont val="Noto Sans CJK SC"/>
        <family val="2"/>
      </rPr>
      <t xml:space="preserve">（本地化部署客戶）</t>
    </r>
  </si>
  <si>
    <t xml:space="preserve">SRC_ZP_1008</t>
  </si>
  <si>
    <t xml:space="preserve">cust_top5_rev_fy24_p</t>
  </si>
  <si>
    <r>
      <rPr>
        <sz val="10"/>
        <color rgb="FF000000"/>
        <rFont val="Noto Sans CJK SC"/>
        <family val="2"/>
      </rPr>
      <t xml:space="preserve">五大客戶表合計 </t>
    </r>
    <r>
      <rPr>
        <sz val="10"/>
        <color rgb="FF000000"/>
        <rFont val="Arial"/>
        <family val="0"/>
        <charset val="1"/>
      </rPr>
      <t xml:space="preserve">142,189 </t>
    </r>
    <r>
      <rPr>
        <sz val="10"/>
        <color rgb="FF000000"/>
        <rFont val="Noto Sans CJK SC"/>
        <family val="2"/>
      </rPr>
      <t xml:space="preserve">千元、</t>
    </r>
    <r>
      <rPr>
        <sz val="10"/>
        <color rgb="FF000000"/>
        <rFont val="Arial"/>
        <family val="0"/>
        <charset val="1"/>
      </rPr>
      <t xml:space="preserve">45.5%</t>
    </r>
    <r>
      <rPr>
        <sz val="10"/>
        <color rgb="FF000000"/>
        <rFont val="Noto Sans CJK SC"/>
        <family val="2"/>
      </rPr>
      <t xml:space="preserve">（本地化部署客戶）；升級為一手來源；</t>
    </r>
    <r>
      <rPr>
        <sz val="10"/>
        <color rgb="FF000000"/>
        <rFont val="Arial"/>
        <family val="0"/>
        <charset val="1"/>
      </rPr>
      <t xml:space="preserve">142,189 </t>
    </r>
    <r>
      <rPr>
        <sz val="10"/>
        <color rgb="FF000000"/>
        <rFont val="Noto Sans CJK SC"/>
        <family val="2"/>
      </rPr>
      <t xml:space="preserve">千元≈</t>
    </r>
    <r>
      <rPr>
        <sz val="10"/>
        <color rgb="FF000000"/>
        <rFont val="Arial"/>
        <family val="0"/>
        <charset val="1"/>
      </rPr>
      <t xml:space="preserve">1.42 </t>
    </r>
    <r>
      <rPr>
        <sz val="10"/>
        <color rgb="FF000000"/>
        <rFont val="Noto Sans CJK SC"/>
        <family val="2"/>
      </rPr>
      <t xml:space="preserve">億</t>
    </r>
  </si>
  <si>
    <t xml:space="preserve">SRC_ZP_1009</t>
  </si>
  <si>
    <t xml:space="preserve">cust_top5_rev_fy23</t>
  </si>
  <si>
    <r>
      <rPr>
        <sz val="10"/>
        <color rgb="FF000000"/>
        <rFont val="Noto Sans CJK SC"/>
        <family val="2"/>
      </rPr>
      <t xml:space="preserve">五大客戶表合計 </t>
    </r>
    <r>
      <rPr>
        <sz val="10"/>
        <color rgb="FF000000"/>
        <rFont val="Arial"/>
        <family val="0"/>
        <charset val="1"/>
      </rPr>
      <t xml:space="preserve">76,627 </t>
    </r>
    <r>
      <rPr>
        <sz val="10"/>
        <color rgb="FF000000"/>
        <rFont val="Noto Sans CJK SC"/>
        <family val="2"/>
      </rPr>
      <t xml:space="preserve">千元、</t>
    </r>
    <r>
      <rPr>
        <sz val="10"/>
        <color rgb="FF000000"/>
        <rFont val="Arial"/>
        <family val="0"/>
        <charset val="1"/>
      </rPr>
      <t xml:space="preserve">61.5%</t>
    </r>
    <r>
      <rPr>
        <sz val="10"/>
        <color rgb="FF000000"/>
        <rFont val="Noto Sans CJK SC"/>
        <family val="2"/>
      </rPr>
      <t xml:space="preserve">（本地化部署客戶）</t>
    </r>
  </si>
  <si>
    <t xml:space="preserve">SRC_ZP_1010</t>
  </si>
  <si>
    <t xml:space="preserve">cust_top5_rev_fy22</t>
  </si>
  <si>
    <r>
      <rPr>
        <sz val="10"/>
        <color rgb="FF000000"/>
        <rFont val="Noto Sans CJK SC"/>
        <family val="2"/>
      </rPr>
      <t xml:space="preserve">五大客戶表合計 </t>
    </r>
    <r>
      <rPr>
        <sz val="10"/>
        <color rgb="FF000000"/>
        <rFont val="Arial"/>
        <family val="0"/>
        <charset val="1"/>
      </rPr>
      <t xml:space="preserve">31,825 </t>
    </r>
    <r>
      <rPr>
        <sz val="10"/>
        <color rgb="FF000000"/>
        <rFont val="Noto Sans CJK SC"/>
        <family val="2"/>
      </rPr>
      <t xml:space="preserve">千元、</t>
    </r>
    <r>
      <rPr>
        <sz val="10"/>
        <color rgb="FF000000"/>
        <rFont val="Arial"/>
        <family val="0"/>
        <charset val="1"/>
      </rPr>
      <t xml:space="preserve">55.4%</t>
    </r>
    <r>
      <rPr>
        <sz val="10"/>
        <color rgb="FF000000"/>
        <rFont val="Noto Sans CJK SC"/>
        <family val="2"/>
      </rPr>
      <t xml:space="preserve">（本地化部署客戶）</t>
    </r>
  </si>
  <si>
    <t xml:space="preserve">SRC_ZP_1011</t>
  </si>
  <si>
    <t xml:space="preserve">cust_top1_1h25_detail</t>
  </si>
  <si>
    <r>
      <rPr>
        <sz val="10"/>
        <color rgb="FF000000"/>
        <rFont val="Arial"/>
        <family val="0"/>
        <charset val="1"/>
      </rPr>
      <t xml:space="preserve">1H2025 </t>
    </r>
    <r>
      <rPr>
        <sz val="10"/>
        <color rgb="FF000000"/>
        <rFont val="Noto Sans CJK SC"/>
        <family val="2"/>
      </rPr>
      <t xml:space="preserve">最大客戶（客戶</t>
    </r>
    <r>
      <rPr>
        <sz val="10"/>
        <color rgb="FF000000"/>
        <rFont val="Arial"/>
        <family val="0"/>
        <charset val="1"/>
      </rPr>
      <t xml:space="preserve">A</t>
    </r>
    <r>
      <rPr>
        <sz val="10"/>
        <color rgb="FF000000"/>
        <rFont val="Noto Sans CJK SC"/>
        <family val="2"/>
      </rPr>
      <t xml:space="preserve">）收入</t>
    </r>
  </si>
  <si>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213 </t>
    </r>
    <r>
      <rPr>
        <sz val="10"/>
        <color rgb="FF000000"/>
        <rFont val="Noto Sans CJK SC"/>
        <family val="2"/>
      </rPr>
      <t xml:space="preserve">頁</t>
    </r>
  </si>
  <si>
    <r>
      <rPr>
        <sz val="10"/>
        <color rgb="FF000000"/>
        <rFont val="Noto Sans CJK SC"/>
        <family val="2"/>
      </rPr>
      <t xml:space="preserve">五大客戶表：</t>
    </r>
    <r>
      <rPr>
        <sz val="10"/>
        <color rgb="FF000000"/>
        <rFont val="Arial"/>
        <family val="0"/>
        <charset val="1"/>
      </rPr>
      <t xml:space="preserve">A</t>
    </r>
    <r>
      <rPr>
        <sz val="10"/>
        <color rgb="FF000000"/>
        <rFont val="Noto Sans CJK SC"/>
        <family val="2"/>
      </rPr>
      <t xml:space="preserve">「藝術相關的學習服務、直播電商、文化旅遊研學、智慧教育服務及人工智能教育」，信貸期 </t>
    </r>
    <r>
      <rPr>
        <sz val="10"/>
        <color rgb="FF000000"/>
        <rFont val="Arial"/>
        <family val="0"/>
        <charset val="1"/>
      </rPr>
      <t xml:space="preserve">10 </t>
    </r>
    <r>
      <rPr>
        <sz val="10"/>
        <color rgb="FF000000"/>
        <rFont val="Noto Sans CJK SC"/>
        <family val="2"/>
      </rPr>
      <t xml:space="preserve">個工作日，</t>
    </r>
    <r>
      <rPr>
        <sz val="10"/>
        <color rgb="FF000000"/>
        <rFont val="Arial"/>
        <family val="0"/>
        <charset val="1"/>
      </rPr>
      <t xml:space="preserve">20,977 </t>
    </r>
    <r>
      <rPr>
        <sz val="10"/>
        <color rgb="FF000000"/>
        <rFont val="Noto Sans CJK SC"/>
        <family val="2"/>
      </rPr>
      <t xml:space="preserve">千元、</t>
    </r>
    <r>
      <rPr>
        <sz val="10"/>
        <color rgb="FF000000"/>
        <rFont val="Arial"/>
        <family val="0"/>
        <charset val="1"/>
      </rPr>
      <t xml:space="preserve">11.0%</t>
    </r>
    <r>
      <rPr>
        <sz val="10"/>
        <color rgb="FF000000"/>
        <rFont val="Noto Sans CJK SC"/>
        <family val="2"/>
      </rPr>
      <t xml:space="preserve">；附註 </t>
    </r>
    <r>
      <rPr>
        <sz val="10"/>
        <color rgb="FF000000"/>
        <rFont val="Arial"/>
        <family val="0"/>
        <charset val="1"/>
      </rPr>
      <t xml:space="preserve">33(d) </t>
    </r>
    <r>
      <rPr>
        <sz val="10"/>
        <color rgb="FF000000"/>
        <rFont val="Noto Sans CJK SC"/>
        <family val="2"/>
      </rPr>
      <t xml:space="preserve">關聯方銷售同額 </t>
    </r>
    <r>
      <rPr>
        <sz val="10"/>
        <color rgb="FF000000"/>
        <rFont val="Arial"/>
        <family val="0"/>
        <charset val="1"/>
      </rPr>
      <t xml:space="preserve">20,977</t>
    </r>
    <r>
      <rPr>
        <sz val="10"/>
        <color rgb="FF000000"/>
        <rFont val="Noto Sans CJK SC"/>
        <family val="2"/>
      </rPr>
      <t xml:space="preserve">（北京豆神智創為聯營公司）</t>
    </r>
  </si>
  <si>
    <t xml:space="preserve">SRC_ZP_1012</t>
  </si>
  <si>
    <t xml:space="preserve">cust_top1_fy24_detail</t>
  </si>
  <si>
    <r>
      <rPr>
        <sz val="10"/>
        <color rgb="FF000000"/>
        <rFont val="Arial"/>
        <family val="0"/>
        <charset val="1"/>
      </rPr>
      <t xml:space="preserve">FY2024 </t>
    </r>
    <r>
      <rPr>
        <sz val="10"/>
        <color rgb="FF000000"/>
        <rFont val="Noto Sans CJK SC"/>
        <family val="2"/>
      </rPr>
      <t xml:space="preserve">最大客戶（客戶</t>
    </r>
    <r>
      <rPr>
        <sz val="10"/>
        <color rgb="FF000000"/>
        <rFont val="Arial"/>
        <family val="0"/>
        <charset val="1"/>
      </rPr>
      <t xml:space="preserve">F</t>
    </r>
    <r>
      <rPr>
        <sz val="10"/>
        <color rgb="FF000000"/>
        <rFont val="Noto Sans CJK SC"/>
        <family val="2"/>
      </rPr>
      <t xml:space="preserve">）收入</t>
    </r>
  </si>
  <si>
    <r>
      <rPr>
        <sz val="10"/>
        <color rgb="FF000000"/>
        <rFont val="Noto Sans CJK SC"/>
        <family val="2"/>
      </rPr>
      <t xml:space="preserve">五大客戶表：</t>
    </r>
    <r>
      <rPr>
        <sz val="10"/>
        <color rgb="FF000000"/>
        <rFont val="Arial"/>
        <family val="0"/>
        <charset val="1"/>
      </rPr>
      <t xml:space="preserve">F</t>
    </r>
    <r>
      <rPr>
        <sz val="10"/>
        <color rgb="FF000000"/>
        <rFont val="Noto Sans CJK SC"/>
        <family val="2"/>
      </rPr>
      <t xml:space="preserve">「技術開發和諮詢服務；計算機系統和數據處理服務；人工智能應用開發」，</t>
    </r>
    <r>
      <rPr>
        <sz val="10"/>
        <color rgb="FF000000"/>
        <rFont val="Arial"/>
        <family val="0"/>
        <charset val="1"/>
      </rPr>
      <t xml:space="preserve">59,465 </t>
    </r>
    <r>
      <rPr>
        <sz val="10"/>
        <color rgb="FF000000"/>
        <rFont val="Noto Sans CJK SC"/>
        <family val="2"/>
      </rPr>
      <t xml:space="preserve">千元、</t>
    </r>
    <r>
      <rPr>
        <sz val="10"/>
        <color rgb="FF000000"/>
        <rFont val="Arial"/>
        <family val="0"/>
        <charset val="1"/>
      </rPr>
      <t xml:space="preserve">19.0%</t>
    </r>
  </si>
  <si>
    <t xml:space="preserve">SRC_ZP_1013</t>
  </si>
  <si>
    <t xml:space="preserve">debtor_top5_share_fy22</t>
  </si>
  <si>
    <t xml:space="preserve">五大貿易債務人占貿易應收款項總額</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</si>
  <si>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296 </t>
    </r>
    <r>
      <rPr>
        <sz val="10"/>
        <color rgb="FF000000"/>
        <rFont val="Noto Sans CJK SC"/>
        <family val="2"/>
      </rPr>
      <t xml:space="preserve">頁</t>
    </r>
  </si>
  <si>
    <r>
      <rPr>
        <sz val="10"/>
        <color rgb="FF000000"/>
        <rFont val="Noto Sans CJK SC"/>
        <family val="2"/>
      </rPr>
      <t xml:space="preserve">原文（第 </t>
    </r>
    <r>
      <rPr>
        <sz val="10"/>
        <color rgb="FF000000"/>
        <rFont val="Arial"/>
        <family val="0"/>
        <charset val="1"/>
      </rPr>
      <t xml:space="preserve">296 </t>
    </r>
    <r>
      <rPr>
        <sz val="10"/>
        <color rgb="FF000000"/>
        <rFont val="Noto Sans CJK SC"/>
        <family val="2"/>
      </rPr>
      <t xml:space="preserve">頁＝印 </t>
    </r>
    <r>
      <rPr>
        <sz val="10"/>
        <color rgb="FF000000"/>
        <rFont val="Arial"/>
        <family val="0"/>
        <charset val="1"/>
      </rPr>
      <t xml:space="preserve">287</t>
    </r>
    <r>
      <rPr>
        <sz val="10"/>
        <color rgb="FF000000"/>
        <rFont val="Noto Sans CJK SC"/>
        <family val="2"/>
      </rPr>
      <t xml:space="preserve">）「貿易應收款項總額的 </t>
    </r>
    <r>
      <rPr>
        <sz val="10"/>
        <color rgb="FF000000"/>
        <rFont val="Arial"/>
        <family val="0"/>
        <charset val="1"/>
      </rPr>
      <t xml:space="preserve">74.9%</t>
    </r>
    <r>
      <rPr>
        <sz val="10"/>
        <color rgb="FF000000"/>
        <rFont val="Noto Sans CJK SC"/>
        <family val="2"/>
      </rPr>
      <t xml:space="preserve">、</t>
    </r>
    <r>
      <rPr>
        <sz val="10"/>
        <color rgb="FF000000"/>
        <rFont val="Arial"/>
        <family val="0"/>
        <charset val="1"/>
      </rPr>
      <t xml:space="preserve">75.3%</t>
    </r>
    <r>
      <rPr>
        <sz val="10"/>
        <color rgb="FF000000"/>
        <rFont val="Noto Sans CJK SC"/>
        <family val="2"/>
      </rPr>
      <t xml:space="preserve">、</t>
    </r>
    <r>
      <rPr>
        <sz val="10"/>
        <color rgb="FF000000"/>
        <rFont val="Arial"/>
        <family val="0"/>
        <charset val="1"/>
      </rPr>
      <t xml:space="preserve">50.9%</t>
    </r>
    <r>
      <rPr>
        <sz val="10"/>
        <color rgb="FF000000"/>
        <rFont val="Noto Sans CJK SC"/>
        <family val="2"/>
      </rPr>
      <t xml:space="preserve">及 </t>
    </r>
    <r>
      <rPr>
        <sz val="10"/>
        <color rgb="FF000000"/>
        <rFont val="Arial"/>
        <family val="0"/>
        <charset val="1"/>
      </rPr>
      <t xml:space="preserve">39.0%</t>
    </r>
    <r>
      <rPr>
        <sz val="10"/>
        <color rgb="FF000000"/>
        <rFont val="Noto Sans CJK SC"/>
        <family val="2"/>
      </rPr>
      <t xml:space="preserve">分別來自我們的五大貿易債務人」</t>
    </r>
  </si>
  <si>
    <t xml:space="preserve">SRC_ZP_1014</t>
  </si>
  <si>
    <t xml:space="preserve">debtor_top5_share_fy23</t>
  </si>
  <si>
    <t xml:space="preserve">SRC_ZP_1015</t>
  </si>
  <si>
    <t xml:space="preserve">debtor_top5_share_fy24</t>
  </si>
  <si>
    <t xml:space="preserve">SRC_ZP_1016</t>
  </si>
  <si>
    <t xml:space="preserve">debtor_top5_share_1h25</t>
  </si>
  <si>
    <t xml:space="preserve">SRC_ZP_1017</t>
  </si>
  <si>
    <t xml:space="preserve">cust_payment_terms</t>
  </si>
  <si>
    <t xml:space="preserve">客戶付款條件</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</si>
  <si>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212</t>
    </r>
    <r>
      <rPr>
        <sz val="10"/>
        <color rgb="FF000000"/>
        <rFont val="Noto Sans CJK SC"/>
        <family val="2"/>
      </rPr>
      <t xml:space="preserve">、</t>
    </r>
    <r>
      <rPr>
        <sz val="10"/>
        <color rgb="FF000000"/>
        <rFont val="Arial"/>
        <family val="0"/>
        <charset val="1"/>
      </rPr>
      <t xml:space="preserve">296 </t>
    </r>
    <r>
      <rPr>
        <sz val="10"/>
        <color rgb="FF000000"/>
        <rFont val="Noto Sans CJK SC"/>
        <family val="2"/>
      </rPr>
      <t xml:space="preserve">頁</t>
    </r>
  </si>
  <si>
    <r>
      <rPr>
        <sz val="10"/>
        <color rgb="FF000000"/>
        <rFont val="Noto Sans CJK SC"/>
        <family val="2"/>
      </rPr>
      <t xml:space="preserve">原文「我們按個別基準向若干客戶授出信貸期，一般介乎 </t>
    </r>
    <r>
      <rPr>
        <sz val="10"/>
        <color rgb="FF000000"/>
        <rFont val="Arial"/>
        <family val="0"/>
        <charset val="1"/>
      </rPr>
      <t xml:space="preserve">10 </t>
    </r>
    <r>
      <rPr>
        <sz val="10"/>
        <color rgb="FF000000"/>
        <rFont val="Noto Sans CJK SC"/>
        <family val="2"/>
      </rPr>
      <t xml:space="preserve">至 </t>
    </r>
    <r>
      <rPr>
        <sz val="10"/>
        <color rgb="FF000000"/>
        <rFont val="Arial"/>
        <family val="0"/>
        <charset val="1"/>
      </rPr>
      <t xml:space="preserve">180 </t>
    </r>
    <r>
      <rPr>
        <sz val="10"/>
        <color rgb="FF000000"/>
        <rFont val="Noto Sans CJK SC"/>
        <family val="2"/>
      </rPr>
      <t xml:space="preserve">天」；「本地化部署的客戶結算進度賬單，而雲端部署客戶根據基於使用的合約預付費用，並根據基於訂閱的合約定期支付賬單」</t>
    </r>
  </si>
  <si>
    <t xml:space="preserve">SRC_ZP_1018</t>
  </si>
  <si>
    <t xml:space="preserve">rel_purchase_fy22</t>
  </si>
  <si>
    <t xml:space="preserve">關聯方購買服務</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</si>
  <si>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427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</si>
  <si>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33(d)</t>
    </r>
    <r>
      <rPr>
        <sz val="10"/>
        <color rgb="FF000000"/>
        <rFont val="Noto Sans CJK SC"/>
        <family val="2"/>
      </rPr>
      <t xml:space="preserve">（第 </t>
    </r>
    <r>
      <rPr>
        <sz val="10"/>
        <color rgb="FF000000"/>
        <rFont val="Arial"/>
        <family val="0"/>
        <charset val="1"/>
      </rPr>
      <t xml:space="preserve">427 </t>
    </r>
    <r>
      <rPr>
        <sz val="10"/>
        <color rgb="FF000000"/>
        <rFont val="Noto Sans CJK SC"/>
        <family val="2"/>
      </rPr>
      <t xml:space="preserve">頁＝印 </t>
    </r>
    <r>
      <rPr>
        <sz val="10"/>
        <color rgb="FF000000"/>
        <rFont val="Arial"/>
        <family val="0"/>
        <charset val="1"/>
      </rPr>
      <t xml:space="preserve">I-84</t>
    </r>
    <r>
      <rPr>
        <sz val="10"/>
        <color rgb="FF000000"/>
        <rFont val="Noto Sans CJK SC"/>
        <family val="2"/>
      </rPr>
      <t xml:space="preserve">）；關聯方含美團旗下北京三快在線、聯營公司北京星連、北京豆神智創；未拆對手方；千元值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</si>
  <si>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SRC_ZP_1019</t>
  </si>
  <si>
    <t xml:space="preserve">rel_purchase_fy23</t>
  </si>
  <si>
    <t xml:space="preserve">SRC_ZP_1020</t>
  </si>
  <si>
    <t xml:space="preserve">rel_purchase_fy24</t>
  </si>
  <si>
    <r>
      <rPr>
        <sz val="10"/>
        <color rgb="FF000000"/>
        <rFont val="Noto Sans CJK SC"/>
        <family val="2"/>
      </rPr>
      <t xml:space="preserve">附註 </t>
    </r>
    <r>
      <rPr>
        <sz val="10"/>
        <color rgb="FF000000"/>
        <rFont val="Arial"/>
        <family val="0"/>
        <charset val="1"/>
      </rPr>
      <t xml:space="preserve">33(d)</t>
    </r>
    <r>
      <rPr>
        <sz val="10"/>
        <color rgb="FF000000"/>
        <rFont val="Noto Sans CJK SC"/>
        <family val="2"/>
      </rPr>
      <t xml:space="preserve">（第 </t>
    </r>
    <r>
      <rPr>
        <sz val="10"/>
        <color rgb="FF000000"/>
        <rFont val="Arial"/>
        <family val="0"/>
        <charset val="1"/>
      </rPr>
      <t xml:space="preserve">427 </t>
    </r>
    <r>
      <rPr>
        <sz val="10"/>
        <color rgb="FF000000"/>
        <rFont val="Noto Sans CJK SC"/>
        <family val="2"/>
      </rPr>
      <t xml:space="preserve">頁＝印 </t>
    </r>
    <r>
      <rPr>
        <sz val="10"/>
        <color rgb="FF000000"/>
        <rFont val="Arial"/>
        <family val="0"/>
        <charset val="1"/>
      </rPr>
      <t xml:space="preserve">I-84</t>
    </r>
    <r>
      <rPr>
        <sz val="10"/>
        <color rgb="FF000000"/>
        <rFont val="Noto Sans CJK SC"/>
        <family val="2"/>
      </rPr>
      <t xml:space="preserve">）；關聯方含美團旗下北京三快在線、聯營公司北京星連、北京豆神智創；未拆對手方；千元值 </t>
    </r>
    <r>
      <rPr>
        <sz val="10"/>
        <color rgb="FF000000"/>
        <rFont val="Arial"/>
        <family val="0"/>
        <charset val="1"/>
      </rPr>
      <t xml:space="preserve">37,863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</si>
  <si>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SRC_ZP_1021</t>
  </si>
  <si>
    <t xml:space="preserve">rel_purchase_1h24</t>
  </si>
  <si>
    <t xml:space="preserve">SRC_ZP_1022</t>
  </si>
  <si>
    <t xml:space="preserve">rel_purchase_1h25</t>
  </si>
  <si>
    <r>
      <rPr>
        <sz val="10"/>
        <color rgb="FF000000"/>
        <rFont val="Noto Sans CJK SC"/>
        <family val="2"/>
      </rPr>
      <t xml:space="preserve">附註 </t>
    </r>
    <r>
      <rPr>
        <sz val="10"/>
        <color rgb="FF000000"/>
        <rFont val="Arial"/>
        <family val="0"/>
        <charset val="1"/>
      </rPr>
      <t xml:space="preserve">33(d)</t>
    </r>
    <r>
      <rPr>
        <sz val="10"/>
        <color rgb="FF000000"/>
        <rFont val="Noto Sans CJK SC"/>
        <family val="2"/>
      </rPr>
      <t xml:space="preserve">（第 </t>
    </r>
    <r>
      <rPr>
        <sz val="10"/>
        <color rgb="FF000000"/>
        <rFont val="Arial"/>
        <family val="0"/>
        <charset val="1"/>
      </rPr>
      <t xml:space="preserve">427 </t>
    </r>
    <r>
      <rPr>
        <sz val="10"/>
        <color rgb="FF000000"/>
        <rFont val="Noto Sans CJK SC"/>
        <family val="2"/>
      </rPr>
      <t xml:space="preserve">頁＝印 </t>
    </r>
    <r>
      <rPr>
        <sz val="10"/>
        <color rgb="FF000000"/>
        <rFont val="Arial"/>
        <family val="0"/>
        <charset val="1"/>
      </rPr>
      <t xml:space="preserve">I-84</t>
    </r>
    <r>
      <rPr>
        <sz val="10"/>
        <color rgb="FF000000"/>
        <rFont val="Noto Sans CJK SC"/>
        <family val="2"/>
      </rPr>
      <t xml:space="preserve">）；關聯方含美團旗下北京三快在線、聯營公司北京星連、北京豆神智創；未拆對手方；千元值 </t>
    </r>
    <r>
      <rPr>
        <sz val="10"/>
        <color rgb="FF000000"/>
        <rFont val="Arial"/>
        <family val="0"/>
        <charset val="1"/>
      </rPr>
      <t xml:space="preserve">29,717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</si>
  <si>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SRC_ZP_1023</t>
  </si>
  <si>
    <t xml:space="preserve">ipo_net_proceeds_est</t>
  </si>
  <si>
    <t xml:space="preserve">全球發售估計所得款項淨額（不含超額配股）</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</si>
  <si>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308 </t>
    </r>
    <r>
      <rPr>
        <sz val="10"/>
        <color rgb="FF000000"/>
        <rFont val="Noto Sans CJK SC"/>
        <family val="2"/>
      </rPr>
      <t xml:space="preserve">頁</t>
    </r>
  </si>
  <si>
    <t xml:space="preserve">招股章程估計</t>
  </si>
  <si>
    <r>
      <rPr>
        <sz val="10"/>
        <color rgb="FF000000"/>
        <rFont val="Noto Sans CJK SC"/>
        <family val="2"/>
      </rPr>
      <t xml:space="preserve">原文（第 </t>
    </r>
    <r>
      <rPr>
        <sz val="10"/>
        <color rgb="FF000000"/>
        <rFont val="Arial"/>
        <family val="0"/>
        <charset val="1"/>
      </rPr>
      <t xml:space="preserve">308 </t>
    </r>
    <r>
      <rPr>
        <sz val="10"/>
        <color rgb="FF000000"/>
        <rFont val="Noto Sans CJK SC"/>
        <family val="2"/>
      </rPr>
      <t xml:space="preserve">頁＝印 </t>
    </r>
    <r>
      <rPr>
        <sz val="10"/>
        <color rgb="FF000000"/>
        <rFont val="Arial"/>
        <family val="0"/>
        <charset val="1"/>
      </rPr>
      <t xml:space="preserve">299</t>
    </r>
    <r>
      <rPr>
        <sz val="10"/>
        <color rgb="FF000000"/>
        <rFont val="Noto Sans CJK SC"/>
        <family val="2"/>
      </rPr>
      <t xml:space="preserve">）「按發售價每股股份 </t>
    </r>
    <r>
      <rPr>
        <sz val="10"/>
        <color rgb="FF000000"/>
        <rFont val="Arial"/>
        <family val="0"/>
        <charset val="1"/>
      </rPr>
      <t xml:space="preserve">116.20 </t>
    </r>
    <r>
      <rPr>
        <sz val="10"/>
        <color rgb="FF000000"/>
        <rFont val="Noto Sans CJK SC"/>
        <family val="2"/>
      </rPr>
      <t xml:space="preserve">港元…約 </t>
    </r>
    <r>
      <rPr>
        <sz val="10"/>
        <color rgb="FF000000"/>
        <rFont val="Arial"/>
        <family val="0"/>
        <charset val="1"/>
      </rPr>
      <t xml:space="preserve">4,173.4 </t>
    </r>
    <r>
      <rPr>
        <sz val="10"/>
        <color rgb="FF000000"/>
        <rFont val="Noto Sans CJK SC"/>
        <family val="2"/>
      </rPr>
      <t xml:space="preserve">百萬港元的所得款項淨額」；第 </t>
    </r>
    <r>
      <rPr>
        <sz val="10"/>
        <color rgb="FF000000"/>
        <rFont val="Arial"/>
        <family val="0"/>
        <charset val="1"/>
      </rPr>
      <t xml:space="preserve">288 </t>
    </r>
    <r>
      <rPr>
        <sz val="10"/>
        <color rgb="FF000000"/>
        <rFont val="Noto Sans CJK SC"/>
        <family val="2"/>
      </rPr>
      <t xml:space="preserve">頁折合人民幣 </t>
    </r>
    <r>
      <rPr>
        <sz val="10"/>
        <color rgb="FF000000"/>
        <rFont val="Arial"/>
        <family val="0"/>
        <charset val="1"/>
      </rPr>
      <t xml:space="preserve">3,785.3 </t>
    </r>
    <r>
      <rPr>
        <sz val="10"/>
        <color rgb="FF000000"/>
        <rFont val="Noto Sans CJK SC"/>
        <family val="2"/>
      </rPr>
      <t xml:space="preserve">百萬元；與 </t>
    </r>
    <r>
      <rPr>
        <sz val="10"/>
        <color rgb="FF000000"/>
        <rFont val="Arial"/>
        <family val="0"/>
        <charset val="1"/>
      </rPr>
      <t xml:space="preserve">SRC_ZP_519 </t>
    </r>
    <r>
      <rPr>
        <sz val="10"/>
        <color rgb="FF000000"/>
        <rFont val="Noto Sans CJK SC"/>
        <family val="2"/>
      </rPr>
      <t xml:space="preserve">一致，升級為一手來源</t>
    </r>
  </si>
  <si>
    <t xml:space="preserve">SRC_ZP_1024</t>
  </si>
  <si>
    <t xml:space="preserve">ipo_use_rd</t>
  </si>
  <si>
    <r>
      <rPr>
        <sz val="10"/>
        <color rgb="FF000000"/>
        <rFont val="Arial"/>
        <family val="0"/>
        <charset val="1"/>
      </rPr>
      <t xml:space="preserve">IPO </t>
    </r>
    <r>
      <rPr>
        <sz val="10"/>
        <color rgb="FF000000"/>
        <rFont val="Noto Sans CJK SC"/>
        <family val="2"/>
      </rPr>
      <t xml:space="preserve">所得款項用途：通用 </t>
    </r>
    <r>
      <rPr>
        <sz val="10"/>
        <color rgb="FF000000"/>
        <rFont val="Arial"/>
        <family val="0"/>
        <charset val="1"/>
      </rPr>
      <t xml:space="preserve">AI </t>
    </r>
    <r>
      <rPr>
        <sz val="10"/>
        <color rgb="FF000000"/>
        <rFont val="Noto Sans CJK SC"/>
        <family val="2"/>
      </rPr>
      <t xml:space="preserve">大模型研發</t>
    </r>
  </si>
  <si>
    <t xml:space="preserve">2026–2028</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</si>
  <si>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308–310 </t>
    </r>
    <r>
      <rPr>
        <sz val="10"/>
        <color rgb="FF000000"/>
        <rFont val="Noto Sans CJK SC"/>
        <family val="2"/>
      </rPr>
      <t xml:space="preserve">頁</t>
    </r>
  </si>
  <si>
    <t xml:space="preserve">招股章程計劃（非承諾）</t>
  </si>
  <si>
    <r>
      <rPr>
        <sz val="10"/>
        <color rgb="FF000000"/>
        <rFont val="Noto Sans CJK SC"/>
        <family val="2"/>
      </rPr>
      <t xml:space="preserve">原文金額 </t>
    </r>
    <r>
      <rPr>
        <sz val="10"/>
        <color rgb="FF000000"/>
        <rFont val="Arial"/>
        <family val="0"/>
        <charset val="1"/>
      </rPr>
      <t xml:space="preserve">2,921.4 </t>
    </r>
    <r>
      <rPr>
        <sz val="10"/>
        <color rgb="FF000000"/>
        <rFont val="Noto Sans CJK SC"/>
        <family val="2"/>
      </rPr>
      <t xml:space="preserve">百萬港元；</t>
    </r>
    <r>
      <rPr>
        <sz val="10"/>
        <color rgb="FF000000"/>
        <rFont val="Arial"/>
        <family val="0"/>
        <charset val="1"/>
      </rPr>
      <t xml:space="preserve">2026 1,439.8</t>
    </r>
    <r>
      <rPr>
        <sz val="10"/>
        <color rgb="FF000000"/>
        <rFont val="Noto Sans CJK SC"/>
        <family val="2"/>
      </rPr>
      <t xml:space="preserve">／</t>
    </r>
    <r>
      <rPr>
        <sz val="10"/>
        <color rgb="FF000000"/>
        <rFont val="Arial"/>
        <family val="0"/>
        <charset val="1"/>
      </rPr>
      <t xml:space="preserve">2027 1,085.1</t>
    </r>
    <r>
      <rPr>
        <sz val="10"/>
        <color rgb="FF000000"/>
        <rFont val="Noto Sans CJK SC"/>
        <family val="2"/>
      </rPr>
      <t xml:space="preserve">／</t>
    </r>
    <r>
      <rPr>
        <sz val="10"/>
        <color rgb="FF000000"/>
        <rFont val="Arial"/>
        <family val="0"/>
        <charset val="1"/>
      </rPr>
      <t xml:space="preserve">2028 396.5</t>
    </r>
  </si>
  <si>
    <t xml:space="preserve">SRC_ZP_1025</t>
  </si>
  <si>
    <t xml:space="preserve">ipo_use_rd_model_infra</t>
  </si>
  <si>
    <r>
      <rPr>
        <sz val="10"/>
        <color rgb="FF000000"/>
        <rFont val="Arial"/>
        <family val="0"/>
        <charset val="1"/>
      </rPr>
      <t xml:space="preserve">IPO </t>
    </r>
    <r>
      <rPr>
        <sz val="10"/>
        <color rgb="FF000000"/>
        <rFont val="Noto Sans CJK SC"/>
        <family val="2"/>
      </rPr>
      <t xml:space="preserve">所得款項用途：（研發內）大模型能力及訓練基礎設施</t>
    </r>
  </si>
  <si>
    <r>
      <rPr>
        <sz val="10"/>
        <color rgb="FF000000"/>
        <rFont val="Noto Sans CJK SC"/>
        <family val="2"/>
      </rPr>
      <t xml:space="preserve">原文金額 </t>
    </r>
    <r>
      <rPr>
        <sz val="10"/>
        <color rgb="FF000000"/>
        <rFont val="Arial"/>
        <family val="0"/>
        <charset val="1"/>
      </rPr>
      <t xml:space="preserve">2,504.0 </t>
    </r>
    <r>
      <rPr>
        <sz val="10"/>
        <color rgb="FF000000"/>
        <rFont val="Noto Sans CJK SC"/>
        <family val="2"/>
      </rPr>
      <t xml:space="preserve">百萬港元；預訓練 </t>
    </r>
    <r>
      <rPr>
        <sz val="10"/>
        <color rgb="FF000000"/>
        <rFont val="Arial"/>
        <family val="0"/>
        <charset val="1"/>
      </rPr>
      <t xml:space="preserve">20%</t>
    </r>
    <r>
      <rPr>
        <sz val="10"/>
        <color rgb="FF000000"/>
        <rFont val="Noto Sans CJK SC"/>
        <family val="2"/>
      </rPr>
      <t xml:space="preserve">（</t>
    </r>
    <r>
      <rPr>
        <sz val="10"/>
        <color rgb="FF000000"/>
        <rFont val="Arial"/>
        <family val="0"/>
        <charset val="1"/>
      </rPr>
      <t xml:space="preserve">834.7</t>
    </r>
    <r>
      <rPr>
        <sz val="10"/>
        <color rgb="FF000000"/>
        <rFont val="Noto Sans CJK SC"/>
        <family val="2"/>
      </rPr>
      <t xml:space="preserve">）、深度推理 </t>
    </r>
    <r>
      <rPr>
        <sz val="10"/>
        <color rgb="FF000000"/>
        <rFont val="Arial"/>
        <family val="0"/>
        <charset val="1"/>
      </rPr>
      <t xml:space="preserve">20%</t>
    </r>
    <r>
      <rPr>
        <sz val="10"/>
        <color rgb="FF000000"/>
        <rFont val="Noto Sans CJK SC"/>
        <family val="2"/>
      </rPr>
      <t xml:space="preserve">（</t>
    </r>
    <r>
      <rPr>
        <sz val="10"/>
        <color rgb="FF000000"/>
        <rFont val="Arial"/>
        <family val="0"/>
        <charset val="1"/>
      </rPr>
      <t xml:space="preserve">834.7</t>
    </r>
    <r>
      <rPr>
        <sz val="10"/>
        <color rgb="FF000000"/>
        <rFont val="Noto Sans CJK SC"/>
        <family val="2"/>
      </rPr>
      <t xml:space="preserve">）、</t>
    </r>
    <r>
      <rPr>
        <sz val="10"/>
        <color rgb="FF000000"/>
        <rFont val="Arial"/>
        <family val="0"/>
        <charset val="1"/>
      </rPr>
      <t xml:space="preserve">AI agent 10%</t>
    </r>
    <r>
      <rPr>
        <sz val="10"/>
        <color rgb="FF000000"/>
        <rFont val="Noto Sans CJK SC"/>
        <family val="2"/>
      </rPr>
      <t xml:space="preserve">（</t>
    </r>
    <r>
      <rPr>
        <sz val="10"/>
        <color rgb="FF000000"/>
        <rFont val="Arial"/>
        <family val="0"/>
        <charset val="1"/>
      </rPr>
      <t xml:space="preserve">417.3</t>
    </r>
    <r>
      <rPr>
        <sz val="10"/>
        <color rgb="FF000000"/>
        <rFont val="Noto Sans CJK SC"/>
        <family val="2"/>
      </rPr>
      <t xml:space="preserve">）、前沿技術 </t>
    </r>
    <r>
      <rPr>
        <sz val="10"/>
        <color rgb="FF000000"/>
        <rFont val="Arial"/>
        <family val="0"/>
        <charset val="1"/>
      </rPr>
      <t xml:space="preserve">10%</t>
    </r>
    <r>
      <rPr>
        <sz val="10"/>
        <color rgb="FF000000"/>
        <rFont val="Noto Sans CJK SC"/>
        <family val="2"/>
      </rPr>
      <t xml:space="preserve">（</t>
    </r>
    <r>
      <rPr>
        <sz val="10"/>
        <color rgb="FF000000"/>
        <rFont val="Arial"/>
        <family val="0"/>
        <charset val="1"/>
      </rPr>
      <t xml:space="preserve">417.3</t>
    </r>
    <r>
      <rPr>
        <sz val="10"/>
        <color rgb="FF000000"/>
        <rFont val="Noto Sans CJK SC"/>
        <family val="2"/>
      </rPr>
      <t xml:space="preserve">）</t>
    </r>
  </si>
  <si>
    <t xml:space="preserve">SRC_ZP_1026</t>
  </si>
  <si>
    <t xml:space="preserve">ipo_use_rd_glm_data</t>
  </si>
  <si>
    <r>
      <rPr>
        <sz val="10"/>
        <color rgb="FF000000"/>
        <rFont val="Arial"/>
        <family val="0"/>
        <charset val="1"/>
      </rPr>
      <t xml:space="preserve">IPO </t>
    </r>
    <r>
      <rPr>
        <sz val="10"/>
        <color rgb="FF000000"/>
        <rFont val="Noto Sans CJK SC"/>
        <family val="2"/>
      </rPr>
      <t xml:space="preserve">所得款項用途：（研發內）</t>
    </r>
    <r>
      <rPr>
        <sz val="10"/>
        <color rgb="FF000000"/>
        <rFont val="Arial"/>
        <family val="0"/>
        <charset val="1"/>
      </rPr>
      <t xml:space="preserve">GLM </t>
    </r>
    <r>
      <rPr>
        <sz val="10"/>
        <color rgb="FF000000"/>
        <rFont val="Noto Sans CJK SC"/>
        <family val="2"/>
      </rPr>
      <t xml:space="preserve">框架、數據處理平台與語料</t>
    </r>
  </si>
  <si>
    <r>
      <rPr>
        <sz val="10"/>
        <color rgb="FF000000"/>
        <rFont val="Noto Sans CJK SC"/>
        <family val="2"/>
      </rPr>
      <t xml:space="preserve">原文金額 </t>
    </r>
    <r>
      <rPr>
        <sz val="10"/>
        <color rgb="FF000000"/>
        <rFont val="Arial"/>
        <family val="0"/>
        <charset val="1"/>
      </rPr>
      <t xml:space="preserve">417.3 </t>
    </r>
    <r>
      <rPr>
        <sz val="10"/>
        <color rgb="FF000000"/>
        <rFont val="Noto Sans CJK SC"/>
        <family val="2"/>
      </rPr>
      <t xml:space="preserve">百萬港元；框架 </t>
    </r>
    <r>
      <rPr>
        <sz val="10"/>
        <color rgb="FF000000"/>
        <rFont val="Arial"/>
        <family val="0"/>
        <charset val="1"/>
      </rPr>
      <t xml:space="preserve">5%</t>
    </r>
    <r>
      <rPr>
        <sz val="10"/>
        <color rgb="FF000000"/>
        <rFont val="Noto Sans CJK SC"/>
        <family val="2"/>
      </rPr>
      <t xml:space="preserve">、數據 </t>
    </r>
    <r>
      <rPr>
        <sz val="10"/>
        <color rgb="FF000000"/>
        <rFont val="Arial"/>
        <family val="0"/>
        <charset val="1"/>
      </rPr>
      <t xml:space="preserve">5%</t>
    </r>
  </si>
  <si>
    <t xml:space="preserve">SRC_ZP_1027</t>
  </si>
  <si>
    <t xml:space="preserve">ipo_use_maas</t>
  </si>
  <si>
    <r>
      <rPr>
        <sz val="10"/>
        <color rgb="FF000000"/>
        <rFont val="Arial"/>
        <family val="0"/>
        <charset val="1"/>
      </rPr>
      <t xml:space="preserve">IPO </t>
    </r>
    <r>
      <rPr>
        <sz val="10"/>
        <color rgb="FF000000"/>
        <rFont val="Noto Sans CJK SC"/>
        <family val="2"/>
      </rPr>
      <t xml:space="preserve">所得款項用途：</t>
    </r>
    <r>
      <rPr>
        <sz val="10"/>
        <color rgb="FF000000"/>
        <rFont val="Arial"/>
        <family val="0"/>
        <charset val="1"/>
      </rPr>
      <t xml:space="preserve">MaaS </t>
    </r>
    <r>
      <rPr>
        <sz val="10"/>
        <color rgb="FF000000"/>
        <rFont val="Noto Sans CJK SC"/>
        <family val="2"/>
      </rPr>
      <t xml:space="preserve">平台優化</t>
    </r>
  </si>
  <si>
    <r>
      <rPr>
        <sz val="10"/>
        <color rgb="FF000000"/>
        <rFont val="Noto Sans CJK SC"/>
        <family val="2"/>
      </rPr>
      <t xml:space="preserve">原文金額 </t>
    </r>
    <r>
      <rPr>
        <sz val="10"/>
        <color rgb="FF000000"/>
        <rFont val="Arial"/>
        <family val="0"/>
        <charset val="1"/>
      </rPr>
      <t xml:space="preserve">417.3 </t>
    </r>
    <r>
      <rPr>
        <sz val="10"/>
        <color rgb="FF000000"/>
        <rFont val="Noto Sans CJK SC"/>
        <family val="2"/>
      </rPr>
      <t xml:space="preserve">百萬港元；</t>
    </r>
    <r>
      <rPr>
        <sz val="10"/>
        <color rgb="FF000000"/>
        <rFont val="Arial"/>
        <family val="0"/>
        <charset val="1"/>
      </rPr>
      <t xml:space="preserve">2026 250.4</t>
    </r>
    <r>
      <rPr>
        <sz val="10"/>
        <color rgb="FF000000"/>
        <rFont val="Noto Sans CJK SC"/>
        <family val="2"/>
      </rPr>
      <t xml:space="preserve">／</t>
    </r>
    <r>
      <rPr>
        <sz val="10"/>
        <color rgb="FF000000"/>
        <rFont val="Arial"/>
        <family val="0"/>
        <charset val="1"/>
      </rPr>
      <t xml:space="preserve">2027 125.2</t>
    </r>
    <r>
      <rPr>
        <sz val="10"/>
        <color rgb="FF000000"/>
        <rFont val="Noto Sans CJK SC"/>
        <family val="2"/>
      </rPr>
      <t xml:space="preserve">／</t>
    </r>
    <r>
      <rPr>
        <sz val="10"/>
        <color rgb="FF000000"/>
        <rFont val="Arial"/>
        <family val="0"/>
        <charset val="1"/>
      </rPr>
      <t xml:space="preserve">2028 41.7</t>
    </r>
    <r>
      <rPr>
        <sz val="10"/>
        <color rgb="FF000000"/>
        <rFont val="Noto Sans CJK SC"/>
        <family val="2"/>
      </rPr>
      <t xml:space="preserve">；含部署 </t>
    </r>
    <r>
      <rPr>
        <sz val="10"/>
        <color rgb="FF000000"/>
        <rFont val="Arial"/>
        <family val="0"/>
        <charset val="1"/>
      </rPr>
      <t xml:space="preserve">5%</t>
    </r>
    <r>
      <rPr>
        <sz val="10"/>
        <color rgb="FF000000"/>
        <rFont val="Noto Sans CJK SC"/>
        <family val="2"/>
      </rPr>
      <t xml:space="preserve">、銷售營銷 </t>
    </r>
    <r>
      <rPr>
        <sz val="10"/>
        <color rgb="FF000000"/>
        <rFont val="Arial"/>
        <family val="0"/>
        <charset val="1"/>
      </rPr>
      <t xml:space="preserve">5%</t>
    </r>
  </si>
  <si>
    <t xml:space="preserve">SRC_ZP_1028</t>
  </si>
  <si>
    <t xml:space="preserve">ipo_use_partners</t>
  </si>
  <si>
    <r>
      <rPr>
        <sz val="10"/>
        <color rgb="FF000000"/>
        <rFont val="Arial"/>
        <family val="0"/>
        <charset val="1"/>
      </rPr>
      <t xml:space="preserve">IPO </t>
    </r>
    <r>
      <rPr>
        <sz val="10"/>
        <color rgb="FF000000"/>
        <rFont val="Noto Sans CJK SC"/>
        <family val="2"/>
      </rPr>
      <t xml:space="preserve">所得款項用途：業務合作夥伴網絡及戰略投資</t>
    </r>
  </si>
  <si>
    <r>
      <rPr>
        <sz val="10"/>
        <color rgb="FF000000"/>
        <rFont val="Noto Sans CJK SC"/>
        <family val="2"/>
      </rPr>
      <t xml:space="preserve">原文金額 </t>
    </r>
    <r>
      <rPr>
        <sz val="10"/>
        <color rgb="FF000000"/>
        <rFont val="Arial"/>
        <family val="0"/>
        <charset val="1"/>
      </rPr>
      <t xml:space="preserve">417.3 </t>
    </r>
    <r>
      <rPr>
        <sz val="10"/>
        <color rgb="FF000000"/>
        <rFont val="Noto Sans CJK SC"/>
        <family val="2"/>
      </rPr>
      <t xml:space="preserve">百萬港元；</t>
    </r>
    <r>
      <rPr>
        <sz val="10"/>
        <color rgb="FF000000"/>
        <rFont val="Arial"/>
        <family val="0"/>
        <charset val="1"/>
      </rPr>
      <t xml:space="preserve">2026 166.9</t>
    </r>
    <r>
      <rPr>
        <sz val="10"/>
        <color rgb="FF000000"/>
        <rFont val="Noto Sans CJK SC"/>
        <family val="2"/>
      </rPr>
      <t xml:space="preserve">／</t>
    </r>
    <r>
      <rPr>
        <sz val="10"/>
        <color rgb="FF000000"/>
        <rFont val="Arial"/>
        <family val="0"/>
        <charset val="1"/>
      </rPr>
      <t xml:space="preserve">2027 166.9</t>
    </r>
    <r>
      <rPr>
        <sz val="10"/>
        <color rgb="FF000000"/>
        <rFont val="Noto Sans CJK SC"/>
        <family val="2"/>
      </rPr>
      <t xml:space="preserve">／</t>
    </r>
    <r>
      <rPr>
        <sz val="10"/>
        <color rgb="FF000000"/>
        <rFont val="Arial"/>
        <family val="0"/>
        <charset val="1"/>
      </rPr>
      <t xml:space="preserve">2028 83.5</t>
    </r>
    <r>
      <rPr>
        <sz val="10"/>
        <color rgb="FF000000"/>
        <rFont val="Noto Sans CJK SC"/>
        <family val="2"/>
      </rPr>
      <t xml:space="preserve">；含「邀請更多計算基礎設施合作夥伴」</t>
    </r>
  </si>
  <si>
    <t xml:space="preserve">SRC_ZP_1029</t>
  </si>
  <si>
    <t xml:space="preserve">ipo_use_wc</t>
  </si>
  <si>
    <r>
      <rPr>
        <sz val="10"/>
        <color rgb="FF000000"/>
        <rFont val="Arial"/>
        <family val="0"/>
        <charset val="1"/>
      </rPr>
      <t xml:space="preserve">IPO </t>
    </r>
    <r>
      <rPr>
        <sz val="10"/>
        <color rgb="FF000000"/>
        <rFont val="Noto Sans CJK SC"/>
        <family val="2"/>
      </rPr>
      <t xml:space="preserve">所得款項用途：營運資金及一般企業用途</t>
    </r>
  </si>
  <si>
    <r>
      <rPr>
        <sz val="10"/>
        <color rgb="FF000000"/>
        <rFont val="Noto Sans CJK SC"/>
        <family val="2"/>
      </rPr>
      <t xml:space="preserve">原文金額 </t>
    </r>
    <r>
      <rPr>
        <sz val="10"/>
        <color rgb="FF000000"/>
        <rFont val="Arial"/>
        <family val="0"/>
        <charset val="1"/>
      </rPr>
      <t xml:space="preserve">417.3 </t>
    </r>
    <r>
      <rPr>
        <sz val="10"/>
        <color rgb="FF000000"/>
        <rFont val="Noto Sans CJK SC"/>
        <family val="2"/>
      </rPr>
      <t xml:space="preserve">百萬港元；</t>
    </r>
  </si>
  <si>
    <t xml:space="preserve">SRC_ZP_1030</t>
  </si>
  <si>
    <t xml:space="preserve">ipo_overallot_extra</t>
  </si>
  <si>
    <t xml:space="preserve">超額配股權悉數行使之額外淨額</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</si>
  <si>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310 </t>
    </r>
    <r>
      <rPr>
        <sz val="10"/>
        <color rgb="FF000000"/>
        <rFont val="Noto Sans CJK SC"/>
        <family val="2"/>
      </rPr>
      <t xml:space="preserve">頁</t>
    </r>
  </si>
  <si>
    <r>
      <rPr>
        <sz val="10"/>
        <color rgb="FF000000"/>
        <rFont val="Noto Sans CJK SC"/>
        <family val="2"/>
      </rPr>
      <t xml:space="preserve">原文「倘若超額配股權獲悉數行使，則我們將獲得的額外所得款項淨額將為 </t>
    </r>
    <r>
      <rPr>
        <sz val="10"/>
        <color rgb="FF000000"/>
        <rFont val="Arial"/>
        <family val="0"/>
        <charset val="1"/>
      </rPr>
      <t xml:space="preserve">632.6 </t>
    </r>
    <r>
      <rPr>
        <sz val="10"/>
        <color rgb="FF000000"/>
        <rFont val="Noto Sans CJK SC"/>
        <family val="2"/>
      </rPr>
      <t xml:space="preserve">百萬港元」</t>
    </r>
  </si>
  <si>
    <t xml:space="preserve">SRC_ZP_1031</t>
  </si>
  <si>
    <t xml:space="preserve">ipo_listing_exp_p</t>
  </si>
  <si>
    <t xml:space="preserve">估計上市開支</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</si>
  <si>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297–298 </t>
    </r>
    <r>
      <rPr>
        <sz val="10"/>
        <color rgb="FF000000"/>
        <rFont val="Noto Sans CJK SC"/>
        <family val="2"/>
      </rPr>
      <t xml:space="preserve">頁</t>
    </r>
  </si>
  <si>
    <r>
      <rPr>
        <sz val="10"/>
        <color rgb="FF000000"/>
        <rFont val="Noto Sans CJK SC"/>
        <family val="2"/>
      </rPr>
      <t xml:space="preserve">原文「上市開支估計將約為人民幣 </t>
    </r>
    <r>
      <rPr>
        <sz val="10"/>
        <color rgb="FF000000"/>
        <rFont val="Arial"/>
        <family val="0"/>
        <charset val="1"/>
      </rPr>
      <t xml:space="preserve">158.5 </t>
    </r>
    <r>
      <rPr>
        <sz val="10"/>
        <color rgb="FF000000"/>
        <rFont val="Noto Sans CJK SC"/>
        <family val="2"/>
      </rPr>
      <t xml:space="preserve">百萬元（</t>
    </r>
    <r>
      <rPr>
        <sz val="10"/>
        <color rgb="FF000000"/>
        <rFont val="Arial"/>
        <family val="0"/>
        <charset val="1"/>
      </rPr>
      <t xml:space="preserve">174.7 </t>
    </r>
    <r>
      <rPr>
        <sz val="10"/>
        <color rgb="FF000000"/>
        <rFont val="Noto Sans CJK SC"/>
        <family val="2"/>
      </rPr>
      <t xml:space="preserve">百萬港元）（包括包銷佣金），佔全球發售所得款項總額的 </t>
    </r>
    <r>
      <rPr>
        <sz val="10"/>
        <color rgb="FF000000"/>
        <rFont val="Arial"/>
        <family val="0"/>
        <charset val="1"/>
      </rPr>
      <t xml:space="preserve">4.0%</t>
    </r>
    <r>
      <rPr>
        <sz val="10"/>
        <color rgb="FF000000"/>
        <rFont val="Noto Sans CJK SC"/>
        <family val="2"/>
      </rPr>
      <t xml:space="preserve">」</t>
    </r>
  </si>
  <si>
    <t xml:space="preserve">SRC_ZP_1032</t>
  </si>
  <si>
    <t xml:space="preserve">runway_months_2510</t>
  </si>
  <si>
    <r>
      <rPr>
        <sz val="10"/>
        <color rgb="FF000000"/>
        <rFont val="Noto Sans CJK SC"/>
        <family val="2"/>
      </rPr>
      <t xml:space="preserve">財務可行期（不含／含 </t>
    </r>
    <r>
      <rPr>
        <sz val="10"/>
        <color rgb="FF000000"/>
        <rFont val="Arial"/>
        <family val="0"/>
        <charset val="1"/>
      </rPr>
      <t xml:space="preserve">IPO </t>
    </r>
    <r>
      <rPr>
        <sz val="10"/>
        <color rgb="FF000000"/>
        <rFont val="Noto Sans CJK SC"/>
        <family val="2"/>
      </rPr>
      <t xml:space="preserve">淨額）</t>
    </r>
  </si>
  <si>
    <t xml:space="preserve">月</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</si>
  <si>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288–289 </t>
    </r>
    <r>
      <rPr>
        <sz val="10"/>
        <color rgb="FF000000"/>
        <rFont val="Noto Sans CJK SC"/>
        <family val="2"/>
      </rPr>
      <t xml:space="preserve">頁</t>
    </r>
  </si>
  <si>
    <r>
      <rPr>
        <sz val="10"/>
        <color rgb="FF000000"/>
        <rFont val="Noto Sans CJK SC"/>
        <family val="2"/>
      </rPr>
      <t xml:space="preserve">原文「將能夠維持我們 </t>
    </r>
    <r>
      <rPr>
        <sz val="10"/>
        <color rgb="FF000000"/>
        <rFont val="Arial"/>
        <family val="0"/>
        <charset val="1"/>
      </rPr>
      <t xml:space="preserve">27.3 </t>
    </r>
    <r>
      <rPr>
        <sz val="10"/>
        <color rgb="FF000000"/>
        <rFont val="Noto Sans CJK SC"/>
        <family val="2"/>
      </rPr>
      <t xml:space="preserve">個月的財務可行性…計及估計上市所得款項淨額的 </t>
    </r>
    <r>
      <rPr>
        <sz val="10"/>
        <color rgb="FF000000"/>
        <rFont val="Arial"/>
        <family val="0"/>
        <charset val="1"/>
      </rPr>
      <t xml:space="preserve">10%…</t>
    </r>
    <r>
      <rPr>
        <sz val="10"/>
        <color rgb="FF000000"/>
        <rFont val="Noto Sans CJK SC"/>
        <family val="2"/>
      </rPr>
      <t xml:space="preserve">則為 </t>
    </r>
    <r>
      <rPr>
        <sz val="10"/>
        <color rgb="FF000000"/>
        <rFont val="Arial"/>
        <family val="0"/>
        <charset val="1"/>
      </rPr>
      <t xml:space="preserve">28.5 </t>
    </r>
    <r>
      <rPr>
        <sz val="10"/>
        <color rgb="FF000000"/>
        <rFont val="Noto Sans CJK SC"/>
        <family val="2"/>
      </rPr>
      <t xml:space="preserve">個月…亦計及估計上市所得款項淨額，則為 </t>
    </r>
    <r>
      <rPr>
        <sz val="10"/>
        <color rgb="FF000000"/>
        <rFont val="Arial"/>
        <family val="0"/>
        <charset val="1"/>
      </rPr>
      <t xml:space="preserve">38.9 </t>
    </r>
    <r>
      <rPr>
        <sz val="10"/>
        <color rgb="FF000000"/>
        <rFont val="Noto Sans CJK SC"/>
        <family val="2"/>
      </rPr>
      <t xml:space="preserve">個月」；假設月均消耗 </t>
    </r>
    <r>
      <rPr>
        <sz val="10"/>
        <color rgb="FF000000"/>
        <rFont val="Arial"/>
        <family val="0"/>
        <charset val="1"/>
      </rPr>
      <t xml:space="preserve">327.3 </t>
    </r>
    <r>
      <rPr>
        <sz val="10"/>
        <color rgb="FF000000"/>
        <rFont val="Noto Sans CJK SC"/>
        <family val="2"/>
      </rPr>
      <t xml:space="preserve">百萬元、研發人數不顯著增加、無大量資本投資</t>
    </r>
  </si>
  <si>
    <t xml:space="preserve">SRC_ZP_1033</t>
  </si>
  <si>
    <t xml:space="preserve">grant_released_fy22</t>
  </si>
  <si>
    <t xml:space="preserve">政府補助計入損益（沖減相關開支）</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</si>
  <si>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288 </t>
    </r>
    <r>
      <rPr>
        <sz val="10"/>
        <color rgb="FF000000"/>
        <rFont val="Noto Sans CJK SC"/>
        <family val="2"/>
      </rPr>
      <t xml:space="preserve">頁</t>
    </r>
  </si>
  <si>
    <r>
      <rPr>
        <sz val="10"/>
        <color rgb="FF000000"/>
        <rFont val="Noto Sans CJK SC"/>
        <family val="2"/>
      </rPr>
      <t xml:space="preserve">原文（第 </t>
    </r>
    <r>
      <rPr>
        <sz val="10"/>
        <color rgb="FF000000"/>
        <rFont val="Arial"/>
        <family val="0"/>
        <charset val="1"/>
      </rPr>
      <t xml:space="preserve">288 </t>
    </r>
    <r>
      <rPr>
        <sz val="10"/>
        <color rgb="FF000000"/>
        <rFont val="Noto Sans CJK SC"/>
        <family val="2"/>
      </rPr>
      <t xml:space="preserve">頁＝印 </t>
    </r>
    <r>
      <rPr>
        <sz val="10"/>
        <color rgb="FF000000"/>
        <rFont val="Arial"/>
        <family val="0"/>
        <charset val="1"/>
      </rPr>
      <t xml:space="preserve">279</t>
    </r>
    <r>
      <rPr>
        <sz val="10"/>
        <color rgb="FF000000"/>
        <rFont val="Noto Sans CJK SC"/>
        <family val="2"/>
      </rPr>
      <t xml:space="preserve">）「於往績記錄期，人民幣 </t>
    </r>
    <r>
      <rPr>
        <sz val="10"/>
        <color rgb="FF000000"/>
        <rFont val="Arial"/>
        <family val="0"/>
        <charset val="1"/>
      </rPr>
      <t xml:space="preserve">2.9 </t>
    </r>
    <r>
      <rPr>
        <sz val="10"/>
        <color rgb="FF000000"/>
        <rFont val="Noto Sans CJK SC"/>
        <family val="2"/>
      </rPr>
      <t xml:space="preserve">百萬元、人民幣 </t>
    </r>
    <r>
      <rPr>
        <sz val="10"/>
        <color rgb="FF000000"/>
        <rFont val="Arial"/>
        <family val="0"/>
        <charset val="1"/>
      </rPr>
      <t xml:space="preserve">11.2 </t>
    </r>
    <r>
      <rPr>
        <sz val="10"/>
        <color rgb="FF000000"/>
        <rFont val="Noto Sans CJK SC"/>
        <family val="2"/>
      </rPr>
      <t xml:space="preserve">百萬元、人民幣 </t>
    </r>
    <r>
      <rPr>
        <sz val="10"/>
        <color rgb="FF000000"/>
        <rFont val="Arial"/>
        <family val="0"/>
        <charset val="1"/>
      </rPr>
      <t xml:space="preserve">36.3 </t>
    </r>
    <r>
      <rPr>
        <sz val="10"/>
        <color rgb="FF000000"/>
        <rFont val="Noto Sans CJK SC"/>
        <family val="2"/>
      </rPr>
      <t xml:space="preserve">百萬元及人民幣 </t>
    </r>
    <r>
      <rPr>
        <sz val="10"/>
        <color rgb="FF000000"/>
        <rFont val="Arial"/>
        <family val="0"/>
        <charset val="1"/>
      </rPr>
      <t xml:space="preserve">5.7 </t>
    </r>
    <r>
      <rPr>
        <sz val="10"/>
        <color rgb="FF000000"/>
        <rFont val="Noto Sans CJK SC"/>
        <family val="2"/>
      </rPr>
      <t xml:space="preserve">百萬元自損益扣除」；會計政策（第 </t>
    </r>
    <r>
      <rPr>
        <sz val="10"/>
        <color rgb="FF000000"/>
        <rFont val="Arial"/>
        <family val="0"/>
        <charset val="1"/>
      </rPr>
      <t xml:space="preserve">258 </t>
    </r>
    <r>
      <rPr>
        <sz val="10"/>
        <color rgb="FF000000"/>
        <rFont val="Noto Sans CJK SC"/>
        <family val="2"/>
      </rPr>
      <t xml:space="preserve">頁）「於損益中確認為與補助有關的開支的減少」——即沖減開支（主要研發），不在「其他收入」；原文用語「自損益扣除」語意不清，依政策判讀為由遞延收入撥入損益；本值 </t>
    </r>
    <r>
      <rPr>
        <sz val="10"/>
        <color rgb="FF000000"/>
        <rFont val="Arial"/>
        <family val="0"/>
        <charset val="1"/>
      </rPr>
      <t xml:space="preserve">2.9 </t>
    </r>
    <r>
      <rPr>
        <sz val="10"/>
        <color rgb="FF000000"/>
        <rFont val="Noto Sans CJK SC"/>
        <family val="2"/>
      </rPr>
      <t xml:space="preserve">百萬；補 </t>
    </r>
    <r>
      <rPr>
        <sz val="10"/>
        <color rgb="FF000000"/>
        <rFont val="Arial"/>
        <family val="0"/>
        <charset val="1"/>
      </rPr>
      <t xml:space="preserve">not_found</t>
    </r>
    <r>
      <rPr>
        <sz val="10"/>
        <color rgb="FF000000"/>
        <rFont val="Noto Sans CJK SC"/>
        <family val="2"/>
      </rPr>
      <t xml:space="preserve">「政府補助金額」</t>
    </r>
  </si>
  <si>
    <t xml:space="preserve">SRC_ZP_1034</t>
  </si>
  <si>
    <t xml:space="preserve">grant_released_fy23</t>
  </si>
  <si>
    <r>
      <rPr>
        <sz val="10"/>
        <color rgb="FF000000"/>
        <rFont val="Noto Sans CJK SC"/>
        <family val="2"/>
      </rPr>
      <t xml:space="preserve">原文（第 </t>
    </r>
    <r>
      <rPr>
        <sz val="10"/>
        <color rgb="FF000000"/>
        <rFont val="Arial"/>
        <family val="0"/>
        <charset val="1"/>
      </rPr>
      <t xml:space="preserve">288 </t>
    </r>
    <r>
      <rPr>
        <sz val="10"/>
        <color rgb="FF000000"/>
        <rFont val="Noto Sans CJK SC"/>
        <family val="2"/>
      </rPr>
      <t xml:space="preserve">頁＝印 </t>
    </r>
    <r>
      <rPr>
        <sz val="10"/>
        <color rgb="FF000000"/>
        <rFont val="Arial"/>
        <family val="0"/>
        <charset val="1"/>
      </rPr>
      <t xml:space="preserve">279</t>
    </r>
    <r>
      <rPr>
        <sz val="10"/>
        <color rgb="FF000000"/>
        <rFont val="Noto Sans CJK SC"/>
        <family val="2"/>
      </rPr>
      <t xml:space="preserve">）「於往績記錄期，人民幣 </t>
    </r>
    <r>
      <rPr>
        <sz val="10"/>
        <color rgb="FF000000"/>
        <rFont val="Arial"/>
        <family val="0"/>
        <charset val="1"/>
      </rPr>
      <t xml:space="preserve">2.9 </t>
    </r>
    <r>
      <rPr>
        <sz val="10"/>
        <color rgb="FF000000"/>
        <rFont val="Noto Sans CJK SC"/>
        <family val="2"/>
      </rPr>
      <t xml:space="preserve">百萬元、人民幣 </t>
    </r>
    <r>
      <rPr>
        <sz val="10"/>
        <color rgb="FF000000"/>
        <rFont val="Arial"/>
        <family val="0"/>
        <charset val="1"/>
      </rPr>
      <t xml:space="preserve">11.2 </t>
    </r>
    <r>
      <rPr>
        <sz val="10"/>
        <color rgb="FF000000"/>
        <rFont val="Noto Sans CJK SC"/>
        <family val="2"/>
      </rPr>
      <t xml:space="preserve">百萬元、人民幣 </t>
    </r>
    <r>
      <rPr>
        <sz val="10"/>
        <color rgb="FF000000"/>
        <rFont val="Arial"/>
        <family val="0"/>
        <charset val="1"/>
      </rPr>
      <t xml:space="preserve">36.3 </t>
    </r>
    <r>
      <rPr>
        <sz val="10"/>
        <color rgb="FF000000"/>
        <rFont val="Noto Sans CJK SC"/>
        <family val="2"/>
      </rPr>
      <t xml:space="preserve">百萬元及人民幣 </t>
    </r>
    <r>
      <rPr>
        <sz val="10"/>
        <color rgb="FF000000"/>
        <rFont val="Arial"/>
        <family val="0"/>
        <charset val="1"/>
      </rPr>
      <t xml:space="preserve">5.7 </t>
    </r>
    <r>
      <rPr>
        <sz val="10"/>
        <color rgb="FF000000"/>
        <rFont val="Noto Sans CJK SC"/>
        <family val="2"/>
      </rPr>
      <t xml:space="preserve">百萬元自損益扣除」；會計政策（第 </t>
    </r>
    <r>
      <rPr>
        <sz val="10"/>
        <color rgb="FF000000"/>
        <rFont val="Arial"/>
        <family val="0"/>
        <charset val="1"/>
      </rPr>
      <t xml:space="preserve">258 </t>
    </r>
    <r>
      <rPr>
        <sz val="10"/>
        <color rgb="FF000000"/>
        <rFont val="Noto Sans CJK SC"/>
        <family val="2"/>
      </rPr>
      <t xml:space="preserve">頁）「於損益中確認為與補助有關的開支的減少」——即沖減開支（主要研發），不在「其他收入」；原文用語「自損益扣除」語意不清，依政策判讀為由遞延收入撥入損益；本值 </t>
    </r>
    <r>
      <rPr>
        <sz val="10"/>
        <color rgb="FF000000"/>
        <rFont val="Arial"/>
        <family val="0"/>
        <charset val="1"/>
      </rPr>
      <t xml:space="preserve">11.2 </t>
    </r>
    <r>
      <rPr>
        <sz val="10"/>
        <color rgb="FF000000"/>
        <rFont val="Noto Sans CJK SC"/>
        <family val="2"/>
      </rPr>
      <t xml:space="preserve">百萬；補 </t>
    </r>
    <r>
      <rPr>
        <sz val="10"/>
        <color rgb="FF000000"/>
        <rFont val="Arial"/>
        <family val="0"/>
        <charset val="1"/>
      </rPr>
      <t xml:space="preserve">not_found</t>
    </r>
    <r>
      <rPr>
        <sz val="10"/>
        <color rgb="FF000000"/>
        <rFont val="Noto Sans CJK SC"/>
        <family val="2"/>
      </rPr>
      <t xml:space="preserve">「政府補助金額」</t>
    </r>
  </si>
  <si>
    <t xml:space="preserve">SRC_ZP_1035</t>
  </si>
  <si>
    <t xml:space="preserve">grant_released_fy24</t>
  </si>
  <si>
    <r>
      <rPr>
        <sz val="10"/>
        <color rgb="FF000000"/>
        <rFont val="Noto Sans CJK SC"/>
        <family val="2"/>
      </rPr>
      <t xml:space="preserve">原文（第 </t>
    </r>
    <r>
      <rPr>
        <sz val="10"/>
        <color rgb="FF000000"/>
        <rFont val="Arial"/>
        <family val="0"/>
        <charset val="1"/>
      </rPr>
      <t xml:space="preserve">288 </t>
    </r>
    <r>
      <rPr>
        <sz val="10"/>
        <color rgb="FF000000"/>
        <rFont val="Noto Sans CJK SC"/>
        <family val="2"/>
      </rPr>
      <t xml:space="preserve">頁＝印 </t>
    </r>
    <r>
      <rPr>
        <sz val="10"/>
        <color rgb="FF000000"/>
        <rFont val="Arial"/>
        <family val="0"/>
        <charset val="1"/>
      </rPr>
      <t xml:space="preserve">279</t>
    </r>
    <r>
      <rPr>
        <sz val="10"/>
        <color rgb="FF000000"/>
        <rFont val="Noto Sans CJK SC"/>
        <family val="2"/>
      </rPr>
      <t xml:space="preserve">）「於往績記錄期，人民幣 </t>
    </r>
    <r>
      <rPr>
        <sz val="10"/>
        <color rgb="FF000000"/>
        <rFont val="Arial"/>
        <family val="0"/>
        <charset val="1"/>
      </rPr>
      <t xml:space="preserve">2.9 </t>
    </r>
    <r>
      <rPr>
        <sz val="10"/>
        <color rgb="FF000000"/>
        <rFont val="Noto Sans CJK SC"/>
        <family val="2"/>
      </rPr>
      <t xml:space="preserve">百萬元、人民幣 </t>
    </r>
    <r>
      <rPr>
        <sz val="10"/>
        <color rgb="FF000000"/>
        <rFont val="Arial"/>
        <family val="0"/>
        <charset val="1"/>
      </rPr>
      <t xml:space="preserve">11.2 </t>
    </r>
    <r>
      <rPr>
        <sz val="10"/>
        <color rgb="FF000000"/>
        <rFont val="Noto Sans CJK SC"/>
        <family val="2"/>
      </rPr>
      <t xml:space="preserve">百萬元、人民幣 </t>
    </r>
    <r>
      <rPr>
        <sz val="10"/>
        <color rgb="FF000000"/>
        <rFont val="Arial"/>
        <family val="0"/>
        <charset val="1"/>
      </rPr>
      <t xml:space="preserve">36.3 </t>
    </r>
    <r>
      <rPr>
        <sz val="10"/>
        <color rgb="FF000000"/>
        <rFont val="Noto Sans CJK SC"/>
        <family val="2"/>
      </rPr>
      <t xml:space="preserve">百萬元及人民幣 </t>
    </r>
    <r>
      <rPr>
        <sz val="10"/>
        <color rgb="FF000000"/>
        <rFont val="Arial"/>
        <family val="0"/>
        <charset val="1"/>
      </rPr>
      <t xml:space="preserve">5.7 </t>
    </r>
    <r>
      <rPr>
        <sz val="10"/>
        <color rgb="FF000000"/>
        <rFont val="Noto Sans CJK SC"/>
        <family val="2"/>
      </rPr>
      <t xml:space="preserve">百萬元自損益扣除」；會計政策（第 </t>
    </r>
    <r>
      <rPr>
        <sz val="10"/>
        <color rgb="FF000000"/>
        <rFont val="Arial"/>
        <family val="0"/>
        <charset val="1"/>
      </rPr>
      <t xml:space="preserve">258 </t>
    </r>
    <r>
      <rPr>
        <sz val="10"/>
        <color rgb="FF000000"/>
        <rFont val="Noto Sans CJK SC"/>
        <family val="2"/>
      </rPr>
      <t xml:space="preserve">頁）「於損益中確認為與補助有關的開支的減少」——即沖減開支（主要研發），不在「其他收入」；原文用語「自損益扣除」語意不清，依政策判讀為由遞延收入撥入損益；本值 </t>
    </r>
    <r>
      <rPr>
        <sz val="10"/>
        <color rgb="FF000000"/>
        <rFont val="Arial"/>
        <family val="0"/>
        <charset val="1"/>
      </rPr>
      <t xml:space="preserve">36.3 </t>
    </r>
    <r>
      <rPr>
        <sz val="10"/>
        <color rgb="FF000000"/>
        <rFont val="Noto Sans CJK SC"/>
        <family val="2"/>
      </rPr>
      <t xml:space="preserve">百萬；補 </t>
    </r>
    <r>
      <rPr>
        <sz val="10"/>
        <color rgb="FF000000"/>
        <rFont val="Arial"/>
        <family val="0"/>
        <charset val="1"/>
      </rPr>
      <t xml:space="preserve">not_found</t>
    </r>
    <r>
      <rPr>
        <sz val="10"/>
        <color rgb="FF000000"/>
        <rFont val="Noto Sans CJK SC"/>
        <family val="2"/>
      </rPr>
      <t xml:space="preserve">「政府補助金額」</t>
    </r>
  </si>
  <si>
    <t xml:space="preserve">SRC_ZP_1036</t>
  </si>
  <si>
    <t xml:space="preserve">grant_released_1h25</t>
  </si>
  <si>
    <r>
      <rPr>
        <sz val="10"/>
        <color rgb="FF000000"/>
        <rFont val="Noto Sans CJK SC"/>
        <family val="2"/>
      </rPr>
      <t xml:space="preserve">原文（第 </t>
    </r>
    <r>
      <rPr>
        <sz val="10"/>
        <color rgb="FF000000"/>
        <rFont val="Arial"/>
        <family val="0"/>
        <charset val="1"/>
      </rPr>
      <t xml:space="preserve">288 </t>
    </r>
    <r>
      <rPr>
        <sz val="10"/>
        <color rgb="FF000000"/>
        <rFont val="Noto Sans CJK SC"/>
        <family val="2"/>
      </rPr>
      <t xml:space="preserve">頁＝印 </t>
    </r>
    <r>
      <rPr>
        <sz val="10"/>
        <color rgb="FF000000"/>
        <rFont val="Arial"/>
        <family val="0"/>
        <charset val="1"/>
      </rPr>
      <t xml:space="preserve">279</t>
    </r>
    <r>
      <rPr>
        <sz val="10"/>
        <color rgb="FF000000"/>
        <rFont val="Noto Sans CJK SC"/>
        <family val="2"/>
      </rPr>
      <t xml:space="preserve">）「於往績記錄期，人民幣 </t>
    </r>
    <r>
      <rPr>
        <sz val="10"/>
        <color rgb="FF000000"/>
        <rFont val="Arial"/>
        <family val="0"/>
        <charset val="1"/>
      </rPr>
      <t xml:space="preserve">2.9 </t>
    </r>
    <r>
      <rPr>
        <sz val="10"/>
        <color rgb="FF000000"/>
        <rFont val="Noto Sans CJK SC"/>
        <family val="2"/>
      </rPr>
      <t xml:space="preserve">百萬元、人民幣 </t>
    </r>
    <r>
      <rPr>
        <sz val="10"/>
        <color rgb="FF000000"/>
        <rFont val="Arial"/>
        <family val="0"/>
        <charset val="1"/>
      </rPr>
      <t xml:space="preserve">11.2 </t>
    </r>
    <r>
      <rPr>
        <sz val="10"/>
        <color rgb="FF000000"/>
        <rFont val="Noto Sans CJK SC"/>
        <family val="2"/>
      </rPr>
      <t xml:space="preserve">百萬元、人民幣 </t>
    </r>
    <r>
      <rPr>
        <sz val="10"/>
        <color rgb="FF000000"/>
        <rFont val="Arial"/>
        <family val="0"/>
        <charset val="1"/>
      </rPr>
      <t xml:space="preserve">36.3 </t>
    </r>
    <r>
      <rPr>
        <sz val="10"/>
        <color rgb="FF000000"/>
        <rFont val="Noto Sans CJK SC"/>
        <family val="2"/>
      </rPr>
      <t xml:space="preserve">百萬元及人民幣 </t>
    </r>
    <r>
      <rPr>
        <sz val="10"/>
        <color rgb="FF000000"/>
        <rFont val="Arial"/>
        <family val="0"/>
        <charset val="1"/>
      </rPr>
      <t xml:space="preserve">5.7 </t>
    </r>
    <r>
      <rPr>
        <sz val="10"/>
        <color rgb="FF000000"/>
        <rFont val="Noto Sans CJK SC"/>
        <family val="2"/>
      </rPr>
      <t xml:space="preserve">百萬元自損益扣除」；會計政策（第 </t>
    </r>
    <r>
      <rPr>
        <sz val="10"/>
        <color rgb="FF000000"/>
        <rFont val="Arial"/>
        <family val="0"/>
        <charset val="1"/>
      </rPr>
      <t xml:space="preserve">258 </t>
    </r>
    <r>
      <rPr>
        <sz val="10"/>
        <color rgb="FF000000"/>
        <rFont val="Noto Sans CJK SC"/>
        <family val="2"/>
      </rPr>
      <t xml:space="preserve">頁）「於損益中確認為與補助有關的開支的減少」——即沖減開支（主要研發），不在「其他收入」；原文用語「自損益扣除」語意不清，依政策判讀為由遞延收入撥入損益；本值 </t>
    </r>
    <r>
      <rPr>
        <sz val="10"/>
        <color rgb="FF000000"/>
        <rFont val="Arial"/>
        <family val="0"/>
        <charset val="1"/>
      </rPr>
      <t xml:space="preserve">5.7 </t>
    </r>
    <r>
      <rPr>
        <sz val="10"/>
        <color rgb="FF000000"/>
        <rFont val="Noto Sans CJK SC"/>
        <family val="2"/>
      </rPr>
      <t xml:space="preserve">百萬；補 </t>
    </r>
    <r>
      <rPr>
        <sz val="10"/>
        <color rgb="FF000000"/>
        <rFont val="Arial"/>
        <family val="0"/>
        <charset val="1"/>
      </rPr>
      <t xml:space="preserve">not_found</t>
    </r>
    <r>
      <rPr>
        <sz val="10"/>
        <color rgb="FF000000"/>
        <rFont val="Noto Sans CJK SC"/>
        <family val="2"/>
      </rPr>
      <t xml:space="preserve">「政府補助金額」</t>
    </r>
  </si>
  <si>
    <t xml:space="preserve">SRC_ZP_1037</t>
  </si>
  <si>
    <t xml:space="preserve">deferred_income_grant_fy22</t>
  </si>
  <si>
    <t xml:space="preserve">遞延收入（政府補助）餘額</t>
  </si>
  <si>
    <r>
      <rPr>
        <sz val="10"/>
        <color rgb="FF000000"/>
        <rFont val="Noto Sans CJK SC"/>
        <family val="2"/>
      </rPr>
      <t xml:space="preserve">原文「遞延收入指政府補助…主要作為與人工智能及相關技術有關之研發項目的激勵」；綜合財務狀況表非流動負債；千元值 </t>
    </r>
    <r>
      <rPr>
        <sz val="10"/>
        <color rgb="FF000000"/>
        <rFont val="Arial"/>
        <family val="0"/>
        <charset val="1"/>
      </rPr>
      <t xml:space="preserve">10,309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</si>
  <si>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SRC_ZP_1038</t>
  </si>
  <si>
    <t xml:space="preserve">deferred_income_grant_fy23</t>
  </si>
  <si>
    <r>
      <rPr>
        <sz val="10"/>
        <color rgb="FF000000"/>
        <rFont val="Noto Sans CJK SC"/>
        <family val="2"/>
      </rPr>
      <t xml:space="preserve">原文「遞延收入指政府補助…主要作為與人工智能及相關技術有關之研發項目的激勵」；綜合財務狀況表非流動負債；千元值 </t>
    </r>
    <r>
      <rPr>
        <sz val="10"/>
        <color rgb="FF000000"/>
        <rFont val="Arial"/>
        <family val="0"/>
        <charset val="1"/>
      </rPr>
      <t xml:space="preserve">29,741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</si>
  <si>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SRC_ZP_1039</t>
  </si>
  <si>
    <t xml:space="preserve">deferred_income_grant_fy24</t>
  </si>
  <si>
    <r>
      <rPr>
        <sz val="10"/>
        <color rgb="FF000000"/>
        <rFont val="Noto Sans CJK SC"/>
        <family val="2"/>
      </rPr>
      <t xml:space="preserve">原文「遞延收入指政府補助…主要作為與人工智能及相關技術有關之研發項目的激勵」；綜合財務狀況表非流動負債；千元值 </t>
    </r>
    <r>
      <rPr>
        <sz val="10"/>
        <color rgb="FF000000"/>
        <rFont val="Arial"/>
        <family val="0"/>
        <charset val="1"/>
      </rPr>
      <t xml:space="preserve">34,752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</si>
  <si>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SRC_ZP_1040</t>
  </si>
  <si>
    <t xml:space="preserve">deferred_income_grant_1h25</t>
  </si>
  <si>
    <r>
      <rPr>
        <sz val="10"/>
        <color rgb="FF000000"/>
        <rFont val="Noto Sans CJK SC"/>
        <family val="2"/>
      </rPr>
      <t xml:space="preserve">原文「遞延收入指政府補助…主要作為與人工智能及相關技術有關之研發項目的激勵」；綜合財務狀況表非流動負債；千元值 </t>
    </r>
    <r>
      <rPr>
        <sz val="10"/>
        <color rgb="FF000000"/>
        <rFont val="Arial"/>
        <family val="0"/>
        <charset val="1"/>
      </rPr>
      <t xml:space="preserve">36,204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</si>
  <si>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SRC_ZP_1041</t>
  </si>
  <si>
    <t xml:space="preserve">grant_received_fy22</t>
  </si>
  <si>
    <t xml:space="preserve">政府補助收取額（推算）</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</si>
  <si>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288</t>
    </r>
    <r>
      <rPr>
        <sz val="10"/>
        <color rgb="FF000000"/>
        <rFont val="Noto Sans CJK SC"/>
        <family val="2"/>
      </rPr>
      <t xml:space="preserve">、</t>
    </r>
    <r>
      <rPr>
        <sz val="10"/>
        <color rgb="FF000000"/>
        <rFont val="Arial"/>
        <family val="0"/>
        <charset val="1"/>
      </rPr>
      <t xml:space="preserve">357 </t>
    </r>
    <r>
      <rPr>
        <sz val="10"/>
        <color rgb="FF000000"/>
        <rFont val="Noto Sans CJK SC"/>
        <family val="2"/>
      </rPr>
      <t xml:space="preserve">頁</t>
    </r>
  </si>
  <si>
    <r>
      <rPr>
        <sz val="10"/>
        <color rgb="FF000000"/>
        <rFont val="Arial"/>
        <family val="0"/>
        <charset val="1"/>
      </rPr>
      <t xml:space="preserve">Derived</t>
    </r>
    <r>
      <rPr>
        <sz val="10"/>
        <color rgb="FF000000"/>
        <rFont val="Noto Sans CJK SC"/>
        <family val="2"/>
      </rPr>
      <t xml:space="preserve">：遞延收入增加（現金流量表 </t>
    </r>
    <r>
      <rPr>
        <sz val="10"/>
        <color rgb="FF000000"/>
        <rFont val="Arial"/>
        <family val="0"/>
        <charset val="1"/>
      </rPr>
      <t xml:space="preserve">6,888 </t>
    </r>
    <r>
      <rPr>
        <sz val="10"/>
        <color rgb="FF000000"/>
        <rFont val="Noto Sans CJK SC"/>
        <family val="2"/>
      </rPr>
      <t xml:space="preserve">千元）＋撥入損益 </t>
    </r>
    <r>
      <rPr>
        <sz val="10"/>
        <color rgb="FF000000"/>
        <rFont val="Arial"/>
        <family val="0"/>
        <charset val="1"/>
      </rPr>
      <t xml:space="preserve">2.9 </t>
    </r>
    <r>
      <rPr>
        <sz val="10"/>
        <color rgb="FF000000"/>
        <rFont val="Noto Sans CJK SC"/>
        <family val="2"/>
      </rPr>
      <t xml:space="preserve">百萬＝</t>
    </r>
    <r>
      <rPr>
        <sz val="10"/>
        <color rgb="FF000000"/>
        <rFont val="Arial"/>
        <family val="0"/>
        <charset val="1"/>
      </rPr>
      <t xml:space="preserve">9.8 </t>
    </r>
    <r>
      <rPr>
        <sz val="10"/>
        <color rgb="FF000000"/>
        <rFont val="Noto Sans CJK SC"/>
        <family val="2"/>
      </rPr>
      <t xml:space="preserve">百萬元；假設遞延收入變動僅來自補助收取與撥轉</t>
    </r>
  </si>
  <si>
    <t xml:space="preserve">SRC_ZP_1042</t>
  </si>
  <si>
    <t xml:space="preserve">grant_received_fy23</t>
  </si>
  <si>
    <r>
      <rPr>
        <sz val="10"/>
        <color rgb="FF000000"/>
        <rFont val="Arial"/>
        <family val="0"/>
        <charset val="1"/>
      </rPr>
      <t xml:space="preserve">Derived</t>
    </r>
    <r>
      <rPr>
        <sz val="10"/>
        <color rgb="FF000000"/>
        <rFont val="Noto Sans CJK SC"/>
        <family val="2"/>
      </rPr>
      <t xml:space="preserve">：遞延收入增加（現金流量表 </t>
    </r>
    <r>
      <rPr>
        <sz val="10"/>
        <color rgb="FF000000"/>
        <rFont val="Arial"/>
        <family val="0"/>
        <charset val="1"/>
      </rPr>
      <t xml:space="preserve">19,432 </t>
    </r>
    <r>
      <rPr>
        <sz val="10"/>
        <color rgb="FF000000"/>
        <rFont val="Noto Sans CJK SC"/>
        <family val="2"/>
      </rPr>
      <t xml:space="preserve">千元）＋撥入損益 </t>
    </r>
    <r>
      <rPr>
        <sz val="10"/>
        <color rgb="FF000000"/>
        <rFont val="Arial"/>
        <family val="0"/>
        <charset val="1"/>
      </rPr>
      <t xml:space="preserve">11.2 </t>
    </r>
    <r>
      <rPr>
        <sz val="10"/>
        <color rgb="FF000000"/>
        <rFont val="Noto Sans CJK SC"/>
        <family val="2"/>
      </rPr>
      <t xml:space="preserve">百萬＝</t>
    </r>
    <r>
      <rPr>
        <sz val="10"/>
        <color rgb="FF000000"/>
        <rFont val="Arial"/>
        <family val="0"/>
        <charset val="1"/>
      </rPr>
      <t xml:space="preserve">30.6 </t>
    </r>
    <r>
      <rPr>
        <sz val="10"/>
        <color rgb="FF000000"/>
        <rFont val="Noto Sans CJK SC"/>
        <family val="2"/>
      </rPr>
      <t xml:space="preserve">百萬元；假設遞延收入變動僅來自補助收取與撥轉</t>
    </r>
  </si>
  <si>
    <t xml:space="preserve">SRC_ZP_1043</t>
  </si>
  <si>
    <t xml:space="preserve">grant_received_fy24</t>
  </si>
  <si>
    <r>
      <rPr>
        <sz val="10"/>
        <color rgb="FF000000"/>
        <rFont val="Arial"/>
        <family val="0"/>
        <charset val="1"/>
      </rPr>
      <t xml:space="preserve">Derived</t>
    </r>
    <r>
      <rPr>
        <sz val="10"/>
        <color rgb="FF000000"/>
        <rFont val="Noto Sans CJK SC"/>
        <family val="2"/>
      </rPr>
      <t xml:space="preserve">：遞延收入增加（現金流量表 </t>
    </r>
    <r>
      <rPr>
        <sz val="10"/>
        <color rgb="FF000000"/>
        <rFont val="Arial"/>
        <family val="0"/>
        <charset val="1"/>
      </rPr>
      <t xml:space="preserve">5,011 </t>
    </r>
    <r>
      <rPr>
        <sz val="10"/>
        <color rgb="FF000000"/>
        <rFont val="Noto Sans CJK SC"/>
        <family val="2"/>
      </rPr>
      <t xml:space="preserve">千元）＋撥入損益 </t>
    </r>
    <r>
      <rPr>
        <sz val="10"/>
        <color rgb="FF000000"/>
        <rFont val="Arial"/>
        <family val="0"/>
        <charset val="1"/>
      </rPr>
      <t xml:space="preserve">36.3 </t>
    </r>
    <r>
      <rPr>
        <sz val="10"/>
        <color rgb="FF000000"/>
        <rFont val="Noto Sans CJK SC"/>
        <family val="2"/>
      </rPr>
      <t xml:space="preserve">百萬＝</t>
    </r>
    <r>
      <rPr>
        <sz val="10"/>
        <color rgb="FF000000"/>
        <rFont val="Arial"/>
        <family val="0"/>
        <charset val="1"/>
      </rPr>
      <t xml:space="preserve">41.3 </t>
    </r>
    <r>
      <rPr>
        <sz val="10"/>
        <color rgb="FF000000"/>
        <rFont val="Noto Sans CJK SC"/>
        <family val="2"/>
      </rPr>
      <t xml:space="preserve">百萬元；假設遞延收入變動僅來自補助收取與撥轉</t>
    </r>
  </si>
  <si>
    <t xml:space="preserve">SRC_ZP_1044</t>
  </si>
  <si>
    <t xml:space="preserve">grant_received_1h25</t>
  </si>
  <si>
    <r>
      <rPr>
        <sz val="10"/>
        <color rgb="FF000000"/>
        <rFont val="Arial"/>
        <family val="0"/>
        <charset val="1"/>
      </rPr>
      <t xml:space="preserve">Derived</t>
    </r>
    <r>
      <rPr>
        <sz val="10"/>
        <color rgb="FF000000"/>
        <rFont val="Noto Sans CJK SC"/>
        <family val="2"/>
      </rPr>
      <t xml:space="preserve">：遞延收入增加（現金流量表 </t>
    </r>
    <r>
      <rPr>
        <sz val="10"/>
        <color rgb="FF000000"/>
        <rFont val="Arial"/>
        <family val="0"/>
        <charset val="1"/>
      </rPr>
      <t xml:space="preserve">1,452 </t>
    </r>
    <r>
      <rPr>
        <sz val="10"/>
        <color rgb="FF000000"/>
        <rFont val="Noto Sans CJK SC"/>
        <family val="2"/>
      </rPr>
      <t xml:space="preserve">千元）＋撥入損益 </t>
    </r>
    <r>
      <rPr>
        <sz val="10"/>
        <color rgb="FF000000"/>
        <rFont val="Arial"/>
        <family val="0"/>
        <charset val="1"/>
      </rPr>
      <t xml:space="preserve">5.7 </t>
    </r>
    <r>
      <rPr>
        <sz val="10"/>
        <color rgb="FF000000"/>
        <rFont val="Noto Sans CJK SC"/>
        <family val="2"/>
      </rPr>
      <t xml:space="preserve">百萬＝</t>
    </r>
    <r>
      <rPr>
        <sz val="10"/>
        <color rgb="FF000000"/>
        <rFont val="Arial"/>
        <family val="0"/>
        <charset val="1"/>
      </rPr>
      <t xml:space="preserve">7.2 </t>
    </r>
    <r>
      <rPr>
        <sz val="10"/>
        <color rgb="FF000000"/>
        <rFont val="Noto Sans CJK SC"/>
        <family val="2"/>
      </rPr>
      <t xml:space="preserve">百萬元；假設遞延收入變動僅來自補助收取與撥轉</t>
    </r>
  </si>
  <si>
    <t xml:space="preserve">SRC_ZP_1045</t>
  </si>
  <si>
    <t xml:space="preserve">other_income_interest_fy22</t>
  </si>
  <si>
    <t xml:space="preserve">其他收入：利息收入</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</si>
  <si>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266 </t>
    </r>
    <r>
      <rPr>
        <sz val="10"/>
        <color rgb="FF000000"/>
        <rFont val="Noto Sans CJK SC"/>
        <family val="2"/>
      </rPr>
      <t xml:space="preserve">頁</t>
    </r>
  </si>
  <si>
    <r>
      <rPr>
        <sz val="10"/>
        <color rgb="FF000000"/>
        <rFont val="Noto Sans CJK SC"/>
        <family val="2"/>
      </rPr>
      <t xml:space="preserve">其他收入明細表（第 </t>
    </r>
    <r>
      <rPr>
        <sz val="10"/>
        <color rgb="FF000000"/>
        <rFont val="Arial"/>
        <family val="0"/>
        <charset val="1"/>
      </rPr>
      <t xml:space="preserve">266 </t>
    </r>
    <r>
      <rPr>
        <sz val="10"/>
        <color rgb="FF000000"/>
        <rFont val="Noto Sans CJK SC"/>
        <family val="2"/>
      </rPr>
      <t xml:space="preserve">頁）；其他收入不含政府補助；千元值 </t>
    </r>
    <r>
      <rPr>
        <sz val="10"/>
        <color rgb="FF000000"/>
        <rFont val="Arial"/>
        <family val="0"/>
        <charset val="1"/>
      </rPr>
      <t xml:space="preserve">1,426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</si>
  <si>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SRC_ZP_1046</t>
  </si>
  <si>
    <t xml:space="preserve">other_income_interest_fy23</t>
  </si>
  <si>
    <r>
      <rPr>
        <sz val="10"/>
        <color rgb="FF000000"/>
        <rFont val="Noto Sans CJK SC"/>
        <family val="2"/>
      </rPr>
      <t xml:space="preserve">其他收入明細表（第 </t>
    </r>
    <r>
      <rPr>
        <sz val="10"/>
        <color rgb="FF000000"/>
        <rFont val="Arial"/>
        <family val="0"/>
        <charset val="1"/>
      </rPr>
      <t xml:space="preserve">266 </t>
    </r>
    <r>
      <rPr>
        <sz val="10"/>
        <color rgb="FF000000"/>
        <rFont val="Noto Sans CJK SC"/>
        <family val="2"/>
      </rPr>
      <t xml:space="preserve">頁）；其他收入不含政府補助；千元值 </t>
    </r>
    <r>
      <rPr>
        <sz val="10"/>
        <color rgb="FF000000"/>
        <rFont val="Arial"/>
        <family val="0"/>
        <charset val="1"/>
      </rPr>
      <t xml:space="preserve">11,236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</si>
  <si>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SRC_ZP_1047</t>
  </si>
  <si>
    <t xml:space="preserve">other_income_interest_fy24</t>
  </si>
  <si>
    <r>
      <rPr>
        <sz val="10"/>
        <color rgb="FF000000"/>
        <rFont val="Noto Sans CJK SC"/>
        <family val="2"/>
      </rPr>
      <t xml:space="preserve">其他收入明細表（第 </t>
    </r>
    <r>
      <rPr>
        <sz val="10"/>
        <color rgb="FF000000"/>
        <rFont val="Arial"/>
        <family val="0"/>
        <charset val="1"/>
      </rPr>
      <t xml:space="preserve">266 </t>
    </r>
    <r>
      <rPr>
        <sz val="10"/>
        <color rgb="FF000000"/>
        <rFont val="Noto Sans CJK SC"/>
        <family val="2"/>
      </rPr>
      <t xml:space="preserve">頁）；其他收入不含政府補助；千元值 </t>
    </r>
    <r>
      <rPr>
        <sz val="10"/>
        <color rgb="FF000000"/>
        <rFont val="Arial"/>
        <family val="0"/>
        <charset val="1"/>
      </rPr>
      <t xml:space="preserve">13,406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</si>
  <si>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SRC_ZP_1048</t>
  </si>
  <si>
    <t xml:space="preserve">other_income_interest_1h24</t>
  </si>
  <si>
    <r>
      <rPr>
        <sz val="10"/>
        <color rgb="FF000000"/>
        <rFont val="Noto Sans CJK SC"/>
        <family val="2"/>
      </rPr>
      <t xml:space="preserve">其他收入明細表（第 </t>
    </r>
    <r>
      <rPr>
        <sz val="10"/>
        <color rgb="FF000000"/>
        <rFont val="Arial"/>
        <family val="0"/>
        <charset val="1"/>
      </rPr>
      <t xml:space="preserve">266 </t>
    </r>
    <r>
      <rPr>
        <sz val="10"/>
        <color rgb="FF000000"/>
        <rFont val="Noto Sans CJK SC"/>
        <family val="2"/>
      </rPr>
      <t xml:space="preserve">頁）；其他收入不含政府補助；千元值 </t>
    </r>
    <r>
      <rPr>
        <sz val="10"/>
        <color rgb="FF000000"/>
        <rFont val="Arial"/>
        <family val="0"/>
        <charset val="1"/>
      </rPr>
      <t xml:space="preserve">4,163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</si>
  <si>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SRC_ZP_1049</t>
  </si>
  <si>
    <t xml:space="preserve">other_income_interest_1h25</t>
  </si>
  <si>
    <r>
      <rPr>
        <sz val="10"/>
        <color rgb="FF000000"/>
        <rFont val="Noto Sans CJK SC"/>
        <family val="2"/>
      </rPr>
      <t xml:space="preserve">其他收入明細表（第 </t>
    </r>
    <r>
      <rPr>
        <sz val="10"/>
        <color rgb="FF000000"/>
        <rFont val="Arial"/>
        <family val="0"/>
        <charset val="1"/>
      </rPr>
      <t xml:space="preserve">266 </t>
    </r>
    <r>
      <rPr>
        <sz val="10"/>
        <color rgb="FF000000"/>
        <rFont val="Noto Sans CJK SC"/>
        <family val="2"/>
      </rPr>
      <t xml:space="preserve">頁）；其他收入不含政府補助；千元值 </t>
    </r>
    <r>
      <rPr>
        <sz val="10"/>
        <color rgb="FF000000"/>
        <rFont val="Arial"/>
        <family val="0"/>
        <charset val="1"/>
      </rPr>
      <t xml:space="preserve">4,607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</si>
  <si>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SRC_ZP_1050</t>
  </si>
  <si>
    <t xml:space="preserve">chip_us_purchase_stop</t>
  </si>
  <si>
    <r>
      <rPr>
        <sz val="10"/>
        <color rgb="FF000000"/>
        <rFont val="Noto Sans CJK SC"/>
        <family val="2"/>
      </rPr>
      <t xml:space="preserve">最後一次採購受 </t>
    </r>
    <r>
      <rPr>
        <sz val="10"/>
        <color rgb="FF000000"/>
        <rFont val="Arial"/>
        <family val="0"/>
        <charset val="1"/>
      </rPr>
      <t xml:space="preserve">EAR </t>
    </r>
    <r>
      <rPr>
        <sz val="10"/>
        <color rgb="FF000000"/>
        <rFont val="Noto Sans CJK SC"/>
        <family val="2"/>
      </rPr>
      <t xml:space="preserve">管制物項（含美國原產 </t>
    </r>
    <r>
      <rPr>
        <sz val="10"/>
        <color rgb="FF000000"/>
        <rFont val="Arial"/>
        <family val="0"/>
        <charset val="1"/>
      </rPr>
      <t xml:space="preserve">AI </t>
    </r>
    <r>
      <rPr>
        <sz val="10"/>
        <color rgb="FF000000"/>
        <rFont val="Noto Sans CJK SC"/>
        <family val="2"/>
      </rPr>
      <t xml:space="preserve">晶片的算力硬件）</t>
    </r>
  </si>
  <si>
    <t xml:space="preserve">2023-08</t>
  </si>
  <si>
    <r>
      <rPr>
        <sz val="10"/>
        <color rgb="FF000000"/>
        <rFont val="Noto Sans CJK SC"/>
        <family val="2"/>
      </rPr>
      <t xml:space="preserve">原文（第 </t>
    </r>
    <r>
      <rPr>
        <sz val="10"/>
        <color rgb="FF000000"/>
        <rFont val="Arial"/>
        <family val="0"/>
        <charset val="1"/>
      </rPr>
      <t xml:space="preserve">223 </t>
    </r>
    <r>
      <rPr>
        <sz val="10"/>
        <color rgb="FF000000"/>
        <rFont val="Noto Sans CJK SC"/>
        <family val="2"/>
      </rPr>
      <t xml:space="preserve">頁＝印 </t>
    </r>
    <r>
      <rPr>
        <sz val="10"/>
        <color rgb="FF000000"/>
        <rFont val="Arial"/>
        <family val="0"/>
        <charset val="1"/>
      </rPr>
      <t xml:space="preserve">214</t>
    </r>
    <r>
      <rPr>
        <sz val="10"/>
        <color rgb="FF000000"/>
        <rFont val="Noto Sans CJK SC"/>
        <family val="2"/>
      </rPr>
      <t xml:space="preserve">）「於往績記錄期及列入實體清單前…購買了受出口管制條例規限的若干含有美國原產</t>
    </r>
    <r>
      <rPr>
        <sz val="10"/>
        <color rgb="FF000000"/>
        <rFont val="Arial"/>
        <family val="0"/>
        <charset val="1"/>
      </rPr>
      <t xml:space="preserve">AI</t>
    </r>
    <r>
      <rPr>
        <sz val="10"/>
        <color rgb="FF000000"/>
        <rFont val="Noto Sans CJK SC"/>
        <family val="2"/>
      </rPr>
      <t xml:space="preserve">芯片的計算硬件，自 </t>
    </r>
    <r>
      <rPr>
        <sz val="10"/>
        <color rgb="FF000000"/>
        <rFont val="Arial"/>
        <family val="0"/>
        <charset val="1"/>
      </rPr>
      <t xml:space="preserve">2023 </t>
    </r>
    <r>
      <rPr>
        <sz val="10"/>
        <color rgb="FF000000"/>
        <rFont val="Noto Sans CJK SC"/>
        <family val="2"/>
      </rPr>
      <t xml:space="preserve">年 </t>
    </r>
    <r>
      <rPr>
        <sz val="10"/>
        <color rgb="FF000000"/>
        <rFont val="Arial"/>
        <family val="0"/>
        <charset val="1"/>
      </rPr>
      <t xml:space="preserve">8 </t>
    </r>
    <r>
      <rPr>
        <sz val="10"/>
        <color rgb="FF000000"/>
        <rFont val="Noto Sans CJK SC"/>
        <family val="2"/>
      </rPr>
      <t xml:space="preserve">月起，我們並無採購任何受出口管制條例規限的物項」；未揭露 </t>
    </r>
    <r>
      <rPr>
        <sz val="10"/>
        <color rgb="FF000000"/>
        <rFont val="Arial"/>
        <family val="0"/>
        <charset val="1"/>
      </rPr>
      <t xml:space="preserve">GPU </t>
    </r>
    <r>
      <rPr>
        <sz val="10"/>
        <color rgb="FF000000"/>
        <rFont val="Noto Sans CJK SC"/>
        <family val="2"/>
      </rPr>
      <t xml:space="preserve">型號與數量</t>
    </r>
  </si>
  <si>
    <t xml:space="preserve">SRC_ZP_1051</t>
  </si>
  <si>
    <t xml:space="preserve">chip_no_purchase_since_el</t>
  </si>
  <si>
    <r>
      <rPr>
        <sz val="10"/>
        <color rgb="FF000000"/>
        <rFont val="Noto Sans CJK SC"/>
        <family val="2"/>
      </rPr>
      <t xml:space="preserve">列入實體清單後 </t>
    </r>
    <r>
      <rPr>
        <sz val="10"/>
        <color rgb="FF000000"/>
        <rFont val="Arial"/>
        <family val="0"/>
        <charset val="1"/>
      </rPr>
      <t xml:space="preserve">AI </t>
    </r>
    <r>
      <rPr>
        <sz val="10"/>
        <color rgb="FF000000"/>
        <rFont val="Noto Sans CJK SC"/>
        <family val="2"/>
      </rPr>
      <t xml:space="preserve">晶片採購</t>
    </r>
  </si>
  <si>
    <t xml:space="preserve">顆</t>
  </si>
  <si>
    <r>
      <rPr>
        <sz val="10"/>
        <color rgb="FF000000"/>
        <rFont val="Arial"/>
        <family val="0"/>
        <charset val="1"/>
      </rPr>
      <t xml:space="preserve">2025-01-16</t>
    </r>
    <r>
      <rPr>
        <sz val="10"/>
        <color rgb="FF000000"/>
        <rFont val="Noto Sans CJK SC"/>
        <family val="2"/>
      </rPr>
      <t xml:space="preserve">～最後實際可行日期</t>
    </r>
  </si>
  <si>
    <r>
      <rPr>
        <sz val="10"/>
        <color rgb="FF000000"/>
        <rFont val="Noto Sans CJK SC"/>
        <family val="2"/>
      </rPr>
      <t xml:space="preserve">原文「自列入實體清單以來，我們並未採購任何</t>
    </r>
    <r>
      <rPr>
        <sz val="10"/>
        <color rgb="FF000000"/>
        <rFont val="Arial"/>
        <family val="0"/>
        <charset val="1"/>
      </rPr>
      <t xml:space="preserve">AI</t>
    </r>
    <r>
      <rPr>
        <sz val="10"/>
        <color rgb="FF000000"/>
        <rFont val="Noto Sans CJK SC"/>
        <family val="2"/>
      </rPr>
      <t xml:space="preserve">芯片，無論其是否受出口管制條例規限。相反，我們從中國聲譽良好的雲計算服務提供商採購算力資源」；未提及國產晶片品牌或自有國產算力</t>
    </r>
  </si>
  <si>
    <t xml:space="preserve">SRC_ZP_1052</t>
  </si>
  <si>
    <t xml:space="preserve">chip_platforms_compat</t>
  </si>
  <si>
    <t xml:space="preserve">模型相容晶片平台數</t>
  </si>
  <si>
    <t xml:space="preserve">款（以上）</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</si>
  <si>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157 </t>
    </r>
    <r>
      <rPr>
        <sz val="10"/>
        <color rgb="FF000000"/>
        <rFont val="Noto Sans CJK SC"/>
        <family val="2"/>
      </rPr>
      <t xml:space="preserve">頁</t>
    </r>
  </si>
  <si>
    <r>
      <rPr>
        <sz val="10"/>
        <color rgb="FF000000"/>
        <rFont val="Noto Sans CJK SC"/>
        <family val="2"/>
      </rPr>
      <t xml:space="preserve">原文「截至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 </t>
    </r>
    <r>
      <rPr>
        <sz val="10"/>
        <color rgb="FF000000"/>
        <rFont val="Arial"/>
        <family val="0"/>
        <charset val="1"/>
      </rPr>
      <t xml:space="preserve">30 </t>
    </r>
    <r>
      <rPr>
        <sz val="10"/>
        <color rgb="FF000000"/>
        <rFont val="Noto Sans CJK SC"/>
        <family val="2"/>
      </rPr>
      <t xml:space="preserve">日，我們的模型與全球 </t>
    </r>
    <r>
      <rPr>
        <sz val="10"/>
        <color rgb="FF000000"/>
        <rFont val="Arial"/>
        <family val="0"/>
        <charset val="1"/>
      </rPr>
      <t xml:space="preserve">40 </t>
    </r>
    <r>
      <rPr>
        <sz val="10"/>
        <color rgb="FF000000"/>
        <rFont val="Noto Sans CJK SC"/>
        <family val="2"/>
      </rPr>
      <t xml:space="preserve">多個主要芯片平台兼容」（第 </t>
    </r>
    <r>
      <rPr>
        <sz val="10"/>
        <color rgb="FF000000"/>
        <rFont val="Arial"/>
        <family val="0"/>
        <charset val="1"/>
      </rPr>
      <t xml:space="preserve">54</t>
    </r>
    <r>
      <rPr>
        <sz val="10"/>
        <color rgb="FF000000"/>
        <rFont val="Noto Sans CJK SC"/>
        <family val="2"/>
      </rPr>
      <t xml:space="preserve">、</t>
    </r>
    <r>
      <rPr>
        <sz val="10"/>
        <color rgb="FF000000"/>
        <rFont val="Arial"/>
        <family val="0"/>
        <charset val="1"/>
      </rPr>
      <t xml:space="preserve">157</t>
    </r>
    <r>
      <rPr>
        <sz val="10"/>
        <color rgb="FF000000"/>
        <rFont val="Noto Sans CJK SC"/>
        <family val="2"/>
      </rPr>
      <t xml:space="preserve">、</t>
    </r>
    <r>
      <rPr>
        <sz val="10"/>
        <color rgb="FF000000"/>
        <rFont val="Arial"/>
        <family val="0"/>
        <charset val="1"/>
      </rPr>
      <t xml:space="preserve">162 </t>
    </r>
    <r>
      <rPr>
        <sz val="10"/>
        <color rgb="FF000000"/>
        <rFont val="Noto Sans CJK SC"/>
        <family val="2"/>
      </rPr>
      <t xml:space="preserve">頁）；未列名</t>
    </r>
  </si>
  <si>
    <t xml:space="preserve">SRC_ZP_1053</t>
  </si>
  <si>
    <t xml:space="preserve">chip_owned_hw_desc</t>
  </si>
  <si>
    <t xml:space="preserve">自有算力硬件描述</t>
  </si>
  <si>
    <r>
      <rPr>
        <sz val="10"/>
        <color rgb="FF000000"/>
        <rFont val="Noto Sans CJK SC"/>
        <family val="2"/>
      </rPr>
      <t xml:space="preserve">電子設備及其他賬面值 </t>
    </r>
    <r>
      <rPr>
        <sz val="10"/>
        <color rgb="FF000000"/>
        <rFont val="Arial"/>
        <family val="0"/>
        <charset val="1"/>
      </rPr>
      <t xml:space="preserve">202,690 </t>
    </r>
    <r>
      <rPr>
        <sz val="10"/>
        <color rgb="FF000000"/>
        <rFont val="Noto Sans CJK SC"/>
        <family val="2"/>
      </rPr>
      <t xml:space="preserve">千元；第 </t>
    </r>
    <r>
      <rPr>
        <sz val="10"/>
        <color rgb="FF000000"/>
        <rFont val="Arial"/>
        <family val="0"/>
        <charset val="1"/>
      </rPr>
      <t xml:space="preserve">279 </t>
    </r>
    <r>
      <rPr>
        <sz val="10"/>
        <color rgb="FF000000"/>
        <rFont val="Noto Sans CJK SC"/>
        <family val="2"/>
      </rPr>
      <t xml:space="preserve">頁稱 </t>
    </r>
    <r>
      <rPr>
        <sz val="10"/>
        <color rgb="FF000000"/>
        <rFont val="Arial"/>
        <family val="0"/>
        <charset val="1"/>
      </rPr>
      <t xml:space="preserve">FY23 </t>
    </r>
    <r>
      <rPr>
        <sz val="10"/>
        <color rgb="FF000000"/>
        <rFont val="Noto Sans CJK SC"/>
        <family val="2"/>
      </rPr>
      <t xml:space="preserve">電子設備增加「主要由可為我們提供額外算力的算力硬件組成」，</t>
    </r>
    <r>
      <rPr>
        <sz val="10"/>
        <color rgb="FF000000"/>
        <rFont val="Arial"/>
        <family val="0"/>
        <charset val="1"/>
      </rPr>
      <t xml:space="preserve">FY24</t>
    </r>
    <r>
      <rPr>
        <sz val="10"/>
        <color rgb="FF000000"/>
        <rFont val="Noto Sans CJK SC"/>
        <family val="2"/>
      </rPr>
      <t xml:space="preserve">「處置算力硬件等部分電子設備…從自有轉向租賃」；</t>
    </r>
    <r>
      <rPr>
        <sz val="10"/>
        <color rgb="FF000000"/>
        <rFont val="Arial"/>
        <family val="0"/>
        <charset val="1"/>
      </rPr>
      <t xml:space="preserve">GPU </t>
    </r>
    <r>
      <rPr>
        <sz val="10"/>
        <color rgb="FF000000"/>
        <rFont val="Noto Sans CJK SC"/>
        <family val="2"/>
      </rPr>
      <t xml:space="preserve">型號、數量未揭露</t>
    </r>
  </si>
  <si>
    <t xml:space="preserve">SRC_ZP_1054</t>
  </si>
  <si>
    <t xml:space="preserve">h100_cost_industry</t>
  </si>
  <si>
    <r>
      <rPr>
        <sz val="10"/>
        <color rgb="FF000000"/>
        <rFont val="Noto Sans CJK SC"/>
        <family val="2"/>
      </rPr>
      <t xml:space="preserve">單張 </t>
    </r>
    <r>
      <rPr>
        <sz val="10"/>
        <color rgb="FF000000"/>
        <rFont val="Arial"/>
        <family val="0"/>
        <charset val="1"/>
      </rPr>
      <t xml:space="preserve">H100 GPU </t>
    </r>
    <r>
      <rPr>
        <sz val="10"/>
        <color rgb="FF000000"/>
        <rFont val="Noto Sans CJK SC"/>
        <family val="2"/>
      </rPr>
      <t xml:space="preserve">成本（行業概覽舉例）</t>
    </r>
  </si>
  <si>
    <t xml:space="preserve">USD</t>
  </si>
  <si>
    <t xml:space="preserve">2025</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</si>
  <si>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98 </t>
    </r>
    <r>
      <rPr>
        <sz val="10"/>
        <color rgb="FF000000"/>
        <rFont val="Noto Sans CJK SC"/>
        <family val="2"/>
      </rPr>
      <t xml:space="preserve">頁</t>
    </r>
  </si>
  <si>
    <t xml:space="preserve">弗若斯特沙利文（受公司委託之行業顧問）</t>
  </si>
  <si>
    <t xml:space="preserve">第三方行業顧問口徑</t>
  </si>
  <si>
    <r>
      <rPr>
        <sz val="10"/>
        <color rgb="FF000000"/>
        <rFont val="Noto Sans CJK SC"/>
        <family val="2"/>
      </rPr>
      <t xml:space="preserve">原文（第 </t>
    </r>
    <r>
      <rPr>
        <sz val="10"/>
        <color rgb="FF000000"/>
        <rFont val="Arial"/>
        <family val="0"/>
        <charset val="1"/>
      </rPr>
      <t xml:space="preserve">98 </t>
    </r>
    <r>
      <rPr>
        <sz val="10"/>
        <color rgb="FF000000"/>
        <rFont val="Noto Sans CJK SC"/>
        <family val="2"/>
      </rPr>
      <t xml:space="preserve">頁，弗若斯特沙利文行業概覽）「單個</t>
    </r>
    <r>
      <rPr>
        <sz val="10"/>
        <color rgb="FF000000"/>
        <rFont val="Arial"/>
        <family val="0"/>
        <charset val="1"/>
      </rPr>
      <t xml:space="preserve">H100 GPU</t>
    </r>
    <r>
      <rPr>
        <sz val="10"/>
        <color rgb="FF000000"/>
        <rFont val="Noto Sans CJK SC"/>
        <family val="2"/>
      </rPr>
      <t xml:space="preserve">的成本約為</t>
    </r>
    <r>
      <rPr>
        <sz val="10"/>
        <color rgb="FF000000"/>
        <rFont val="Arial"/>
        <family val="0"/>
        <charset val="1"/>
      </rPr>
      <t xml:space="preserve">25,000</t>
    </r>
    <r>
      <rPr>
        <sz val="10"/>
        <color rgb="FF000000"/>
        <rFont val="Noto Sans CJK SC"/>
        <family val="2"/>
      </rPr>
      <t xml:space="preserve">美元」；非智譜採購價</t>
    </r>
  </si>
  <si>
    <r>
      <rPr>
        <b val="true"/>
        <sz val="13"/>
        <rFont val="Arial"/>
        <family val="0"/>
        <charset val="1"/>
      </rPr>
      <t xml:space="preserve">TK_Link — Tokenomics </t>
    </r>
    <r>
      <rPr>
        <b val="true"/>
        <sz val="13"/>
        <rFont val="Noto Sans CJK SC"/>
        <family val="2"/>
      </rPr>
      <t xml:space="preserve">快照（第 </t>
    </r>
    <r>
      <rPr>
        <b val="true"/>
        <sz val="13"/>
        <rFont val="Arial"/>
        <family val="0"/>
        <charset val="1"/>
      </rPr>
      <t xml:space="preserve">0 </t>
    </r>
    <r>
      <rPr>
        <b val="true"/>
        <sz val="13"/>
        <rFont val="Noto Sans CJK SC"/>
        <family val="2"/>
      </rPr>
      <t xml:space="preserve">層連結；不用 </t>
    </r>
    <r>
      <rPr>
        <b val="true"/>
        <sz val="13"/>
        <rFont val="Arial"/>
        <family val="0"/>
        <charset val="1"/>
      </rPr>
      <t xml:space="preserve">Excel </t>
    </r>
    <r>
      <rPr>
        <b val="true"/>
        <sz val="13"/>
        <rFont val="Noto Sans CJK SC"/>
        <family val="2"/>
      </rPr>
      <t xml:space="preserve">外部連結）</t>
    </r>
  </si>
  <si>
    <r>
      <rPr>
        <sz val="9"/>
        <color rgb="FF595959"/>
        <rFont val="Noto Sans CJK SC"/>
        <family val="2"/>
      </rPr>
      <t xml:space="preserve">具名區（</t>
    </r>
    <r>
      <rPr>
        <sz val="9"/>
        <color rgb="FF595959"/>
        <rFont val="Arial"/>
        <family val="0"/>
        <charset val="1"/>
      </rPr>
      <t xml:space="preserve">OpenAI v0.6 </t>
    </r>
    <r>
      <rPr>
        <sz val="9"/>
        <color rgb="FF595959"/>
        <rFont val="Noto Sans CJK SC"/>
        <family val="2"/>
      </rPr>
      <t xml:space="preserve">的 </t>
    </r>
    <r>
      <rPr>
        <sz val="9"/>
        <color rgb="FF595959"/>
        <rFont val="Arial"/>
        <family val="0"/>
        <charset val="1"/>
      </rPr>
      <t xml:space="preserve">63 </t>
    </r>
    <r>
      <rPr>
        <sz val="9"/>
        <color rgb="FF595959"/>
        <rFont val="Noto Sans CJK SC"/>
        <family val="2"/>
      </rPr>
      <t xml:space="preserve">名：</t>
    </r>
    <r>
      <rPr>
        <sz val="9"/>
        <color rgb="FF595959"/>
        <rFont val="Arial"/>
        <family val="0"/>
        <charset val="1"/>
      </rPr>
      <t xml:space="preserve">IF_</t>
    </r>
    <r>
      <rPr>
        <sz val="9"/>
        <color rgb="FF595959"/>
        <rFont val="Noto Sans CJK SC"/>
        <family val="2"/>
      </rPr>
      <t xml:space="preserve">／</t>
    </r>
    <r>
      <rPr>
        <sz val="9"/>
        <color rgb="FF595959"/>
        <rFont val="Arial"/>
        <family val="0"/>
        <charset val="1"/>
      </rPr>
      <t xml:space="preserve">SRC_DEM_</t>
    </r>
    <r>
      <rPr>
        <sz val="9"/>
        <color rgb="FF595959"/>
        <rFont val="Noto Sans CJK SC"/>
        <family val="2"/>
      </rPr>
      <t xml:space="preserve">／</t>
    </r>
    <r>
      <rPr>
        <sz val="9"/>
        <color rgb="FF595959"/>
        <rFont val="Arial"/>
        <family val="0"/>
        <charset val="1"/>
      </rPr>
      <t xml:space="preserve">L1_</t>
    </r>
    <r>
      <rPr>
        <sz val="9"/>
        <color rgb="FF595959"/>
        <rFont val="Noto Sans CJK SC"/>
        <family val="2"/>
      </rPr>
      <t xml:space="preserve">；</t>
    </r>
    <r>
      <rPr>
        <sz val="9"/>
        <color rgb="FF595959"/>
        <rFont val="Arial"/>
        <family val="0"/>
        <charset val="1"/>
      </rPr>
      <t xml:space="preserve">Z3b </t>
    </r>
    <r>
      <rPr>
        <sz val="9"/>
        <color rgb="FF595959"/>
        <rFont val="Noto Sans CJK SC"/>
        <family val="2"/>
      </rPr>
      <t xml:space="preserve">加 </t>
    </r>
    <r>
      <rPr>
        <sz val="9"/>
        <color rgb="FF595959"/>
        <rFont val="Arial"/>
        <family val="0"/>
        <charset val="1"/>
      </rPr>
      <t xml:space="preserve">IF_CostPre</t>
    </r>
    <r>
      <rPr>
        <sz val="9"/>
        <color rgb="FF595959"/>
        <rFont val="Noto Sans CJK SC"/>
        <family val="2"/>
      </rPr>
      <t xml:space="preserve">／</t>
    </r>
    <r>
      <rPr>
        <sz val="9"/>
        <color rgb="FF595959"/>
        <rFont val="Arial"/>
        <family val="0"/>
        <charset val="1"/>
      </rPr>
      <t xml:space="preserve">Cache</t>
    </r>
    <r>
      <rPr>
        <sz val="9"/>
        <color rgb="FF595959"/>
        <rFont val="Noto Sans CJK SC"/>
        <family val="2"/>
      </rPr>
      <t xml:space="preserve">／</t>
    </r>
    <r>
      <rPr>
        <sz val="9"/>
        <color rgb="FF595959"/>
        <rFont val="Arial"/>
        <family val="0"/>
        <charset val="1"/>
      </rPr>
      <t xml:space="preserve">Dec_* 9 </t>
    </r>
    <r>
      <rPr>
        <sz val="9"/>
        <color rgb="FF595959"/>
        <rFont val="Noto Sans CJK SC"/>
        <family val="2"/>
      </rPr>
      <t xml:space="preserve">名）：值（藍字）由 </t>
    </r>
    <r>
      <rPr>
        <sz val="9"/>
        <color rgb="FF595959"/>
        <rFont val="Arial"/>
        <family val="0"/>
        <charset val="1"/>
      </rPr>
      <t xml:space="preserve">builder </t>
    </r>
    <r>
      <rPr>
        <sz val="9"/>
        <color rgb="FF595959"/>
        <rFont val="Noto Sans CJK SC"/>
        <family val="2"/>
      </rPr>
      <t xml:space="preserve">從 </t>
    </r>
    <r>
      <rPr>
        <sz val="9"/>
        <color rgb="FF595959"/>
        <rFont val="Arial"/>
        <family val="0"/>
        <charset val="1"/>
      </rPr>
      <t xml:space="preserve">Tokenomics master </t>
    </r>
    <r>
      <rPr>
        <sz val="9"/>
        <color rgb="FF595959"/>
        <rFont val="Noto Sans CJK SC"/>
        <family val="2"/>
      </rPr>
      <t xml:space="preserve">的 </t>
    </r>
    <r>
      <rPr>
        <sz val="9"/>
        <color rgb="FF595959"/>
        <rFont val="Arial"/>
        <family val="0"/>
        <charset val="1"/>
      </rPr>
      <t xml:space="preserve">model/CURRENT </t>
    </r>
    <r>
      <rPr>
        <sz val="9"/>
        <color rgb="FF595959"/>
        <rFont val="Noto Sans CJK SC"/>
        <family val="2"/>
      </rPr>
      <t xml:space="preserve">讀出寫入。本模型公式只引用 </t>
    </r>
    <r>
      <rPr>
        <sz val="9"/>
        <color rgb="FF595959"/>
        <rFont val="Arial"/>
        <family val="0"/>
        <charset val="1"/>
      </rPr>
      <t xml:space="preserve">TK_ </t>
    </r>
    <r>
      <rPr>
        <sz val="9"/>
        <color rgb="FF595959"/>
        <rFont val="Noto Sans CJK SC"/>
        <family val="2"/>
      </rPr>
      <t xml:space="preserve">名稱或本頁儲存格。</t>
    </r>
  </si>
  <si>
    <r>
      <rPr>
        <b val="true"/>
        <sz val="10"/>
        <rFont val="Arial"/>
        <family val="0"/>
        <charset val="1"/>
      </rPr>
      <t xml:space="preserve">Tokenomics </t>
    </r>
    <r>
      <rPr>
        <b val="true"/>
        <sz val="10"/>
        <rFont val="Noto Sans CJK SC"/>
        <family val="2"/>
      </rPr>
      <t xml:space="preserve">檔案</t>
    </r>
  </si>
  <si>
    <t xml:space="preserve">20261022_Tokenomics_v19.0.xlsx</t>
  </si>
  <si>
    <r>
      <rPr>
        <b val="true"/>
        <sz val="10"/>
        <rFont val="Arial"/>
        <family val="0"/>
        <charset val="1"/>
      </rPr>
      <t xml:space="preserve">Tokenomics </t>
    </r>
    <r>
      <rPr>
        <b val="true"/>
        <sz val="10"/>
        <rFont val="Noto Sans CJK SC"/>
        <family val="2"/>
      </rPr>
      <t xml:space="preserve">版本</t>
    </r>
  </si>
  <si>
    <t xml:space="preserve">v19.0</t>
  </si>
  <si>
    <r>
      <rPr>
        <b val="true"/>
        <sz val="10"/>
        <rFont val="Arial"/>
        <family val="0"/>
        <charset val="1"/>
      </rPr>
      <t xml:space="preserve">Tokenomics </t>
    </r>
    <r>
      <rPr>
        <b val="true"/>
        <sz val="10"/>
        <rFont val="Noto Sans CJK SC"/>
        <family val="2"/>
      </rPr>
      <t xml:space="preserve">提交 </t>
    </r>
    <r>
      <rPr>
        <b val="true"/>
        <sz val="10"/>
        <rFont val="Arial"/>
        <family val="0"/>
        <charset val="1"/>
      </rPr>
      <t xml:space="preserve">SHA</t>
    </r>
    <r>
      <rPr>
        <b val="true"/>
        <sz val="10"/>
        <rFont val="Noto Sans CJK SC"/>
        <family val="2"/>
      </rPr>
      <t xml:space="preserve">（</t>
    </r>
    <r>
      <rPr>
        <b val="true"/>
        <sz val="10"/>
        <rFont val="Arial"/>
        <family val="0"/>
        <charset val="1"/>
      </rPr>
      <t xml:space="preserve">master</t>
    </r>
    <r>
      <rPr>
        <b val="true"/>
        <sz val="10"/>
        <rFont val="Noto Sans CJK SC"/>
        <family val="2"/>
      </rPr>
      <t xml:space="preserve">）</t>
    </r>
  </si>
  <si>
    <t xml:space="preserve">1916a06465bb0c7efed21383075f2ae098508e24</t>
  </si>
  <si>
    <t xml:space="preserve">讀取日期</t>
  </si>
  <si>
    <t xml:space="preserve">2026-10-22</t>
  </si>
  <si>
    <t xml:space="preserve">世代</t>
  </si>
  <si>
    <t xml:space="preserve">Hopper H100</t>
  </si>
  <si>
    <t xml:space="preserve">GB200 NVL72</t>
  </si>
  <si>
    <t xml:space="preserve">GB300 NVL72</t>
  </si>
  <si>
    <t xml:space="preserve">VR200 NVL72</t>
  </si>
  <si>
    <r>
      <rPr>
        <sz val="10"/>
        <color rgb="FF000000"/>
        <rFont val="Arial"/>
        <family val="0"/>
        <charset val="1"/>
      </rPr>
      <t xml:space="preserve">Rubin Ultra</t>
    </r>
    <r>
      <rPr>
        <sz val="10"/>
        <color rgb="FF000000"/>
        <rFont val="Noto Sans CJK SC"/>
        <family val="2"/>
      </rPr>
      <t xml:space="preserve">（</t>
    </r>
    <r>
      <rPr>
        <sz val="10"/>
        <color rgb="FF000000"/>
        <rFont val="Arial"/>
        <family val="0"/>
        <charset val="1"/>
      </rPr>
      <t xml:space="preserve">MGX NVL </t>
    </r>
    <r>
      <rPr>
        <sz val="10"/>
        <color rgb="FF000000"/>
        <rFont val="Noto Sans CJK SC"/>
        <family val="2"/>
      </rPr>
      <t xml:space="preserve">單架，</t>
    </r>
    <r>
      <rPr>
        <sz val="10"/>
        <color rgb="FF000000"/>
        <rFont val="Arial"/>
        <family val="0"/>
        <charset val="1"/>
      </rPr>
      <t xml:space="preserve">72 GPU</t>
    </r>
    <r>
      <rPr>
        <sz val="10"/>
        <color rgb="FF000000"/>
        <rFont val="Noto Sans CJK SC"/>
        <family val="2"/>
      </rPr>
      <t xml:space="preserve">）</t>
    </r>
  </si>
  <si>
    <t xml:space="preserve">成本情境</t>
  </si>
  <si>
    <t xml:space="preserve">低成本</t>
  </si>
  <si>
    <t xml:space="preserve">基準</t>
  </si>
  <si>
    <t xml:space="preserve">高成本</t>
  </si>
  <si>
    <r>
      <rPr>
        <b val="true"/>
        <sz val="10"/>
        <rFont val="Arial"/>
        <family val="0"/>
        <charset val="1"/>
      </rPr>
      <t xml:space="preserve">Tokenomics </t>
    </r>
    <r>
      <rPr>
        <b val="true"/>
        <sz val="10"/>
        <rFont val="Noto Sans CJK SC"/>
        <family val="2"/>
      </rPr>
      <t xml:space="preserve">名稱</t>
    </r>
  </si>
  <si>
    <t xml:space="preserve">本模型名稱</t>
  </si>
  <si>
    <t xml:space="preserve">說明</t>
  </si>
  <si>
    <t xml:space="preserve">欄數</t>
  </si>
  <si>
    <t xml:space="preserve">狀態</t>
  </si>
  <si>
    <r>
      <rPr>
        <b val="true"/>
        <sz val="10"/>
        <rFont val="Noto Sans CJK SC"/>
        <family val="2"/>
      </rPr>
      <t xml:space="preserve">提交 </t>
    </r>
    <r>
      <rPr>
        <b val="true"/>
        <sz val="10"/>
        <rFont val="Arial"/>
        <family val="0"/>
        <charset val="1"/>
      </rPr>
      <t xml:space="preserve">SHA</t>
    </r>
  </si>
  <si>
    <r>
      <rPr>
        <b val="true"/>
        <sz val="10"/>
        <rFont val="Noto Sans CJK SC"/>
        <family val="2"/>
      </rPr>
      <t xml:space="preserve">值</t>
    </r>
    <r>
      <rPr>
        <b val="true"/>
        <sz val="10"/>
        <rFont val="Arial"/>
        <family val="0"/>
        <charset val="1"/>
      </rPr>
      <t xml:space="preserve">1</t>
    </r>
  </si>
  <si>
    <r>
      <rPr>
        <b val="true"/>
        <sz val="10"/>
        <rFont val="Noto Sans CJK SC"/>
        <family val="2"/>
      </rPr>
      <t xml:space="preserve">值</t>
    </r>
    <r>
      <rPr>
        <b val="true"/>
        <sz val="10"/>
        <rFont val="Arial"/>
        <family val="0"/>
        <charset val="1"/>
      </rPr>
      <t xml:space="preserve">2</t>
    </r>
  </si>
  <si>
    <r>
      <rPr>
        <b val="true"/>
        <sz val="10"/>
        <rFont val="Noto Sans CJK SC"/>
        <family val="2"/>
      </rPr>
      <t xml:space="preserve">值</t>
    </r>
    <r>
      <rPr>
        <b val="true"/>
        <sz val="10"/>
        <rFont val="Arial"/>
        <family val="0"/>
        <charset val="1"/>
      </rPr>
      <t xml:space="preserve">3</t>
    </r>
  </si>
  <si>
    <r>
      <rPr>
        <b val="true"/>
        <sz val="10"/>
        <rFont val="Noto Sans CJK SC"/>
        <family val="2"/>
      </rPr>
      <t xml:space="preserve">值</t>
    </r>
    <r>
      <rPr>
        <b val="true"/>
        <sz val="10"/>
        <rFont val="Arial"/>
        <family val="0"/>
        <charset val="1"/>
      </rPr>
      <t xml:space="preserve">4</t>
    </r>
  </si>
  <si>
    <r>
      <rPr>
        <b val="true"/>
        <sz val="10"/>
        <rFont val="Noto Sans CJK SC"/>
        <family val="2"/>
      </rPr>
      <t xml:space="preserve">值</t>
    </r>
    <r>
      <rPr>
        <b val="true"/>
        <sz val="10"/>
        <rFont val="Arial"/>
        <family val="0"/>
        <charset val="1"/>
      </rPr>
      <t xml:space="preserve">5</t>
    </r>
  </si>
  <si>
    <r>
      <rPr>
        <b val="true"/>
        <sz val="10"/>
        <rFont val="Noto Sans CJK SC"/>
        <family val="2"/>
      </rPr>
      <t xml:space="preserve">值</t>
    </r>
    <r>
      <rPr>
        <b val="true"/>
        <sz val="10"/>
        <rFont val="Arial"/>
        <family val="0"/>
        <charset val="1"/>
      </rPr>
      <t xml:space="preserve">6</t>
    </r>
  </si>
  <si>
    <r>
      <rPr>
        <b val="true"/>
        <sz val="10"/>
        <rFont val="Noto Sans CJK SC"/>
        <family val="2"/>
      </rPr>
      <t xml:space="preserve">值</t>
    </r>
    <r>
      <rPr>
        <b val="true"/>
        <sz val="10"/>
        <rFont val="Arial"/>
        <family val="0"/>
        <charset val="1"/>
      </rPr>
      <t xml:space="preserve">7</t>
    </r>
  </si>
  <si>
    <r>
      <rPr>
        <b val="true"/>
        <sz val="10"/>
        <rFont val="Noto Sans CJK SC"/>
        <family val="2"/>
      </rPr>
      <t xml:space="preserve">值</t>
    </r>
    <r>
      <rPr>
        <b val="true"/>
        <sz val="10"/>
        <rFont val="Arial"/>
        <family val="0"/>
        <charset val="1"/>
      </rPr>
      <t xml:space="preserve">8</t>
    </r>
  </si>
  <si>
    <r>
      <rPr>
        <b val="true"/>
        <sz val="10"/>
        <rFont val="Noto Sans CJK SC"/>
        <family val="2"/>
      </rPr>
      <t xml:space="preserve">值</t>
    </r>
    <r>
      <rPr>
        <b val="true"/>
        <sz val="10"/>
        <rFont val="Arial"/>
        <family val="0"/>
        <charset val="1"/>
      </rPr>
      <t xml:space="preserve">9</t>
    </r>
  </si>
  <si>
    <r>
      <rPr>
        <b val="true"/>
        <sz val="10"/>
        <rFont val="Noto Sans CJK SC"/>
        <family val="2"/>
      </rPr>
      <t xml:space="preserve">值</t>
    </r>
    <r>
      <rPr>
        <b val="true"/>
        <sz val="10"/>
        <rFont val="Arial"/>
        <family val="0"/>
        <charset val="1"/>
      </rPr>
      <t xml:space="preserve">10</t>
    </r>
  </si>
  <si>
    <r>
      <rPr>
        <b val="true"/>
        <sz val="10"/>
        <rFont val="Noto Sans CJK SC"/>
        <family val="2"/>
      </rPr>
      <t xml:space="preserve">值</t>
    </r>
    <r>
      <rPr>
        <b val="true"/>
        <sz val="10"/>
        <rFont val="Arial"/>
        <family val="0"/>
        <charset val="1"/>
      </rPr>
      <t xml:space="preserve">11</t>
    </r>
  </si>
  <si>
    <r>
      <rPr>
        <b val="true"/>
        <sz val="10"/>
        <rFont val="Noto Sans CJK SC"/>
        <family val="2"/>
      </rPr>
      <t xml:space="preserve">值</t>
    </r>
    <r>
      <rPr>
        <b val="true"/>
        <sz val="10"/>
        <rFont val="Arial"/>
        <family val="0"/>
        <charset val="1"/>
      </rPr>
      <t xml:space="preserve">12</t>
    </r>
  </si>
  <si>
    <r>
      <rPr>
        <b val="true"/>
        <sz val="10"/>
        <rFont val="Noto Sans CJK SC"/>
        <family val="2"/>
      </rPr>
      <t xml:space="preserve">值</t>
    </r>
    <r>
      <rPr>
        <b val="true"/>
        <sz val="10"/>
        <rFont val="Arial"/>
        <family val="0"/>
        <charset val="1"/>
      </rPr>
      <t xml:space="preserve">13</t>
    </r>
  </si>
  <si>
    <r>
      <rPr>
        <b val="true"/>
        <sz val="10"/>
        <rFont val="Noto Sans CJK SC"/>
        <family val="2"/>
      </rPr>
      <t xml:space="preserve">值</t>
    </r>
    <r>
      <rPr>
        <b val="true"/>
        <sz val="10"/>
        <rFont val="Arial"/>
        <family val="0"/>
        <charset val="1"/>
      </rPr>
      <t xml:space="preserve">14</t>
    </r>
  </si>
  <si>
    <r>
      <rPr>
        <b val="true"/>
        <sz val="10"/>
        <rFont val="Noto Sans CJK SC"/>
        <family val="2"/>
      </rPr>
      <t xml:space="preserve">值</t>
    </r>
    <r>
      <rPr>
        <b val="true"/>
        <sz val="10"/>
        <rFont val="Arial"/>
        <family val="0"/>
        <charset val="1"/>
      </rPr>
      <t xml:space="preserve">15</t>
    </r>
  </si>
  <si>
    <t xml:space="preserve">IF_TokGW_Astra</t>
  </si>
  <si>
    <t xml:space="preserve">TK_IF_TokGW_Astra</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</si>
  <si>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t>
    </r>
    <r>
      <rPr>
        <sz val="10"/>
        <color rgb="FF000000"/>
        <rFont val="Arial"/>
        <family val="0"/>
        <charset val="1"/>
      </rPr>
      <t xml:space="preserve">100%</t>
    </r>
    <r>
      <rPr>
        <sz val="10"/>
        <color rgb="FF000000"/>
        <rFont val="Noto Sans CJK SC"/>
        <family val="2"/>
      </rPr>
      <t xml:space="preserve">）</t>
    </r>
  </si>
  <si>
    <r>
      <rPr>
        <sz val="10"/>
        <color rgb="FF000000"/>
        <rFont val="Arial"/>
        <family val="0"/>
        <charset val="1"/>
      </rPr>
      <t xml:space="preserve">M tok/</t>
    </r>
    <r>
      <rPr>
        <sz val="10"/>
        <color rgb="FF000000"/>
        <rFont val="Noto Sans CJK SC"/>
        <family val="2"/>
      </rPr>
      <t xml:space="preserve">年</t>
    </r>
  </si>
  <si>
    <t xml:space="preserve">OK</t>
  </si>
  <si>
    <t xml:space="preserve">1916a06</t>
  </si>
  <si>
    <t xml:space="preserve">IF_TokGW_Luna</t>
  </si>
  <si>
    <t xml:space="preserve">TK_IF_TokGW_Luna</t>
  </si>
  <si>
    <t xml:space="preserve">IF_TokGW_Sol</t>
  </si>
  <si>
    <t xml:space="preserve">TK_IF_TokGW_Sol</t>
  </si>
  <si>
    <t xml:space="preserve">IF_Util</t>
  </si>
  <si>
    <t xml:space="preserve">TK_IF_Util</t>
  </si>
  <si>
    <r>
      <rPr>
        <sz val="10"/>
        <color rgb="FF000000"/>
        <rFont val="Noto Sans CJK SC"/>
        <family val="2"/>
      </rPr>
      <t xml:space="preserve">基準利用率（第 </t>
    </r>
    <r>
      <rPr>
        <sz val="10"/>
        <color rgb="FF000000"/>
        <rFont val="Arial"/>
        <family val="0"/>
        <charset val="1"/>
      </rPr>
      <t xml:space="preserve">0 </t>
    </r>
    <r>
      <rPr>
        <sz val="10"/>
        <color rgb="FF000000"/>
        <rFont val="Noto Sans CJK SC"/>
        <family val="2"/>
      </rPr>
      <t xml:space="preserve">層；下游可覆寫）</t>
    </r>
  </si>
  <si>
    <t xml:space="preserve">IF_HoldEcon</t>
  </si>
  <si>
    <t xml:space="preserve">TK_IF_HoldEcon</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</si>
  <si>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年持有成本 — 經濟口徑</t>
    </r>
  </si>
  <si>
    <r>
      <rPr>
        <sz val="10"/>
        <color rgb="FF000000"/>
        <rFont val="Arial"/>
        <family val="0"/>
        <charset val="1"/>
      </rPr>
      <t xml:space="preserve">$B/</t>
    </r>
    <r>
      <rPr>
        <sz val="10"/>
        <color rgb="FF000000"/>
        <rFont val="Noto Sans CJK SC"/>
        <family val="2"/>
      </rPr>
      <t xml:space="preserve">年</t>
    </r>
  </si>
  <si>
    <t xml:space="preserve">IF_FullCost_Astra</t>
  </si>
  <si>
    <t xml:space="preserve">TK_IF_FullCost_Astra</t>
  </si>
  <si>
    <r>
      <rPr>
        <sz val="10"/>
        <color rgb="FF000000"/>
        <rFont val="Noto Sans CJK SC"/>
        <family val="2"/>
      </rPr>
      <t xml:space="preserve">全成本 </t>
    </r>
    <r>
      <rPr>
        <sz val="10"/>
        <color rgb="FF000000"/>
        <rFont val="Arial"/>
        <family val="0"/>
        <charset val="1"/>
      </rPr>
      <t xml:space="preserve">$/M</t>
    </r>
    <r>
      <rPr>
        <sz val="10"/>
        <color rgb="FF000000"/>
        <rFont val="Noto Sans CJK SC"/>
        <family val="2"/>
      </rPr>
      <t xml:space="preserve">（服務＋快取儲存＋自下而上攤提；基準利用率）</t>
    </r>
  </si>
  <si>
    <t xml:space="preserve">$/M</t>
  </si>
  <si>
    <t xml:space="preserve">IF_FullCost_Luna</t>
  </si>
  <si>
    <t xml:space="preserve">TK_IF_FullCost_Luna</t>
  </si>
  <si>
    <t xml:space="preserve">IF_FullCost_Sol</t>
  </si>
  <si>
    <t xml:space="preserve">TK_IF_FullCost_Sol</t>
  </si>
  <si>
    <t xml:space="preserve">IF_PriceCached_Astra</t>
  </si>
  <si>
    <t xml:space="preserve">TK_IF_PriceCached_Astra</t>
  </si>
  <si>
    <r>
      <rPr>
        <sz val="10"/>
        <color rgb="FF000000"/>
        <rFont val="Noto Sans CJK SC"/>
        <family val="2"/>
      </rPr>
      <t xml:space="preserve">快取輸入 </t>
    </r>
    <r>
      <rPr>
        <sz val="10"/>
        <color rgb="FF000000"/>
        <rFont val="Arial"/>
        <family val="0"/>
        <charset val="1"/>
      </rPr>
      <t xml:space="preserve">$/M — OpenAI </t>
    </r>
    <r>
      <rPr>
        <sz val="10"/>
        <color rgb="FF000000"/>
        <rFont val="Noto Sans CJK SC"/>
        <family val="2"/>
      </rPr>
      <t xml:space="preserve">有效</t>
    </r>
  </si>
  <si>
    <t xml:space="preserve">IF_PriceCached_Luna</t>
  </si>
  <si>
    <t xml:space="preserve">TK_IF_PriceCached_Luna</t>
  </si>
  <si>
    <t xml:space="preserve">IF_PriceCached_Sol</t>
  </si>
  <si>
    <t xml:space="preserve">TK_IF_PriceCached_Sol</t>
  </si>
  <si>
    <t xml:space="preserve">IF_PriceFresh_Astra</t>
  </si>
  <si>
    <t xml:space="preserve">TK_IF_PriceFresh_Astra</t>
  </si>
  <si>
    <r>
      <rPr>
        <sz val="10"/>
        <color rgb="FF000000"/>
        <rFont val="Noto Sans CJK SC"/>
        <family val="2"/>
      </rPr>
      <t xml:space="preserve">新鮮輸入 </t>
    </r>
    <r>
      <rPr>
        <sz val="10"/>
        <color rgb="FF000000"/>
        <rFont val="Arial"/>
        <family val="0"/>
        <charset val="1"/>
      </rPr>
      <t xml:space="preserve">$/M — OpenAI </t>
    </r>
    <r>
      <rPr>
        <sz val="10"/>
        <color rgb="FF000000"/>
        <rFont val="Noto Sans CJK SC"/>
        <family val="2"/>
      </rPr>
      <t xml:space="preserve">有效</t>
    </r>
  </si>
  <si>
    <t xml:space="preserve">IF_PriceFresh_Luna</t>
  </si>
  <si>
    <t xml:space="preserve">TK_IF_PriceFresh_Luna</t>
  </si>
  <si>
    <t xml:space="preserve">IF_PriceFresh_Sol</t>
  </si>
  <si>
    <t xml:space="preserve">TK_IF_PriceFresh_Sol</t>
  </si>
  <si>
    <t xml:space="preserve">IF_PriceOut_Astra</t>
  </si>
  <si>
    <t xml:space="preserve">TK_IF_PriceOut_Astra</t>
  </si>
  <si>
    <r>
      <rPr>
        <sz val="10"/>
        <color rgb="FF000000"/>
        <rFont val="Noto Sans CJK SC"/>
        <family val="2"/>
      </rPr>
      <t xml:space="preserve">可見輸出 </t>
    </r>
    <r>
      <rPr>
        <sz val="10"/>
        <color rgb="FF000000"/>
        <rFont val="Arial"/>
        <family val="0"/>
        <charset val="1"/>
      </rPr>
      <t xml:space="preserve">$/M — OpenAI </t>
    </r>
    <r>
      <rPr>
        <sz val="10"/>
        <color rgb="FF000000"/>
        <rFont val="Noto Sans CJK SC"/>
        <family val="2"/>
      </rPr>
      <t xml:space="preserve">有效</t>
    </r>
  </si>
  <si>
    <t xml:space="preserve">IF_PriceOut_Luna</t>
  </si>
  <si>
    <t xml:space="preserve">TK_IF_PriceOut_Luna</t>
  </si>
  <si>
    <t xml:space="preserve">IF_PriceOut_Sol</t>
  </si>
  <si>
    <t xml:space="preserve">TK_IF_PriceOut_Sol</t>
  </si>
  <si>
    <t xml:space="preserve">IF_PriceRef_Astra</t>
  </si>
  <si>
    <t xml:space="preserve">TK_IF_PriceRef_Astra</t>
  </si>
  <si>
    <r>
      <rPr>
        <sz val="10"/>
        <color rgb="FF000000"/>
        <rFont val="Noto Sans CJK SC"/>
        <family val="2"/>
      </rPr>
      <t xml:space="preserve">參考請求混合 </t>
    </r>
    <r>
      <rPr>
        <sz val="10"/>
        <color rgb="FF000000"/>
        <rFont val="Arial"/>
        <family val="0"/>
        <charset val="1"/>
      </rPr>
      <t xml:space="preserve">$/M — OpenAI </t>
    </r>
    <r>
      <rPr>
        <sz val="10"/>
        <color rgb="FF000000"/>
        <rFont val="Noto Sans CJK SC"/>
        <family val="2"/>
      </rPr>
      <t xml:space="preserve">有效</t>
    </r>
  </si>
  <si>
    <t xml:space="preserve">IF_PriceRef_Luna</t>
  </si>
  <si>
    <t xml:space="preserve">TK_IF_PriceRef_Luna</t>
  </si>
  <si>
    <t xml:space="preserve">IF_PriceRef_Sol</t>
  </si>
  <si>
    <t xml:space="preserve">TK_IF_PriceRef_Sol</t>
  </si>
  <si>
    <t xml:space="preserve">IF_PriceThink_Astra</t>
  </si>
  <si>
    <t xml:space="preserve">TK_IF_PriceThink_Astra</t>
  </si>
  <si>
    <r>
      <rPr>
        <sz val="10"/>
        <color rgb="FF000000"/>
        <rFont val="Noto Sans CJK SC"/>
        <family val="2"/>
      </rPr>
      <t xml:space="preserve">思考 </t>
    </r>
    <r>
      <rPr>
        <sz val="10"/>
        <color rgb="FF000000"/>
        <rFont val="Arial"/>
        <family val="0"/>
        <charset val="1"/>
      </rPr>
      <t xml:space="preserve">$/M — OpenAI </t>
    </r>
    <r>
      <rPr>
        <sz val="10"/>
        <color rgb="FF000000"/>
        <rFont val="Noto Sans CJK SC"/>
        <family val="2"/>
      </rPr>
      <t xml:space="preserve">有效（依輸出計費）</t>
    </r>
  </si>
  <si>
    <t xml:space="preserve">IF_PriceThink_Luna</t>
  </si>
  <si>
    <t xml:space="preserve">TK_IF_PriceThink_Luna</t>
  </si>
  <si>
    <t xml:space="preserve">IF_PriceThink_Sol</t>
  </si>
  <si>
    <t xml:space="preserve">TK_IF_PriceThink_Sol</t>
  </si>
  <si>
    <t xml:space="preserve">IF_FrontRef_Astra</t>
  </si>
  <si>
    <t xml:space="preserve">TK_IF_FrontRef_Astra</t>
  </si>
  <si>
    <r>
      <rPr>
        <sz val="10"/>
        <color rgb="FF000000"/>
        <rFont val="Noto Sans CJK SC"/>
        <family val="2"/>
      </rPr>
      <t xml:space="preserve">參考請求混合 </t>
    </r>
    <r>
      <rPr>
        <sz val="10"/>
        <color rgb="FF000000"/>
        <rFont val="Arial"/>
        <family val="0"/>
        <charset val="1"/>
      </rPr>
      <t xml:space="preserve">$/M — </t>
    </r>
    <r>
      <rPr>
        <sz val="10"/>
        <color rgb="FF000000"/>
        <rFont val="Noto Sans CJK SC"/>
        <family val="2"/>
      </rPr>
      <t xml:space="preserve">前緣有效</t>
    </r>
  </si>
  <si>
    <t xml:space="preserve">IF_FrontRef_Luna</t>
  </si>
  <si>
    <t xml:space="preserve">TK_IF_FrontRef_Luna</t>
  </si>
  <si>
    <t xml:space="preserve">IF_FrontRef_Sol</t>
  </si>
  <si>
    <t xml:space="preserve">TK_IF_FrontRef_Sol</t>
  </si>
  <si>
    <t xml:space="preserve">IF_ProgGWyr_Astra</t>
  </si>
  <si>
    <t xml:space="preserve">TK_IF_ProgGWyr_Astra</t>
  </si>
  <si>
    <r>
      <rPr>
        <sz val="10"/>
        <color rgb="FF000000"/>
        <rFont val="Noto Sans CJK SC"/>
        <family val="2"/>
      </rPr>
      <t xml:space="preserve">研發計畫占 </t>
    </r>
    <r>
      <rPr>
        <sz val="10"/>
        <color rgb="FF000000"/>
        <rFont val="Arial"/>
        <family val="0"/>
        <charset val="1"/>
      </rPr>
      <t xml:space="preserve">1 GW </t>
    </r>
    <r>
      <rPr>
        <sz val="10"/>
        <color rgb="FF000000"/>
        <rFont val="Noto Sans CJK SC"/>
        <family val="2"/>
      </rPr>
      <t xml:space="preserve">一年</t>
    </r>
  </si>
  <si>
    <t xml:space="preserve">IF_ProgGWyr_Luna</t>
  </si>
  <si>
    <t xml:space="preserve">TK_IF_ProgGWyr_Luna</t>
  </si>
  <si>
    <t xml:space="preserve">IF_ProgGWyr_Sol</t>
  </si>
  <si>
    <t xml:space="preserve">TK_IF_ProgGWyr_Sol</t>
  </si>
  <si>
    <t xml:space="preserve">IF_RDMult</t>
  </si>
  <si>
    <t xml:space="preserve">TK_IF_RDMult</t>
  </si>
  <si>
    <r>
      <rPr>
        <sz val="10"/>
        <color rgb="FF000000"/>
        <rFont val="Noto Sans CJK SC"/>
        <family val="2"/>
      </rPr>
      <t xml:space="preserve">研發倍數（第 </t>
    </r>
    <r>
      <rPr>
        <sz val="10"/>
        <color rgb="FF000000"/>
        <rFont val="Arial"/>
        <family val="0"/>
        <charset val="1"/>
      </rPr>
      <t xml:space="preserve">0 </t>
    </r>
    <r>
      <rPr>
        <sz val="10"/>
        <color rgb="FF000000"/>
        <rFont val="Noto Sans CJK SC"/>
        <family val="2"/>
      </rPr>
      <t xml:space="preserve">層基準；下游可覆寫）</t>
    </r>
  </si>
  <si>
    <t xml:space="preserve">x</t>
  </si>
  <si>
    <t xml:space="preserve">IF_TrainGenDefault</t>
  </si>
  <si>
    <t xml:space="preserve">TK_IF_TrainGenDefault</t>
  </si>
  <si>
    <r>
      <rPr>
        <sz val="10"/>
        <color rgb="FF000000"/>
        <rFont val="Noto Sans CJK SC"/>
        <family val="2"/>
      </rPr>
      <t xml:space="preserve">下游預設訓練世代（索引；</t>
    </r>
    <r>
      <rPr>
        <sz val="10"/>
        <color rgb="FF000000"/>
        <rFont val="Arial"/>
        <family val="0"/>
        <charset val="1"/>
      </rPr>
      <t xml:space="preserve">J13</t>
    </r>
    <r>
      <rPr>
        <sz val="10"/>
        <color rgb="FF000000"/>
        <rFont val="Noto Sans CJK SC"/>
        <family val="2"/>
      </rPr>
      <t xml:space="preserve">）</t>
    </r>
  </si>
  <si>
    <t xml:space="preserve">索引</t>
  </si>
  <si>
    <t xml:space="preserve">SRC_DEM_004</t>
  </si>
  <si>
    <t xml:space="preserve">TK_SRC_DEM_004</t>
  </si>
  <si>
    <r>
      <rPr>
        <sz val="10"/>
        <color rgb="FF000000"/>
        <rFont val="Arial"/>
        <family val="0"/>
        <charset val="1"/>
      </rPr>
      <t xml:space="preserve">OpenAI 2025 </t>
    </r>
    <r>
      <rPr>
        <sz val="10"/>
        <color rgb="FF000000"/>
        <rFont val="Noto Sans CJK SC"/>
        <family val="2"/>
      </rPr>
      <t xml:space="preserve">推論支出（年度；</t>
    </r>
    <r>
      <rPr>
        <sz val="10"/>
        <color rgb="FF000000"/>
        <rFont val="Arial"/>
        <family val="0"/>
        <charset val="1"/>
      </rPr>
      <t xml:space="preserve">json </t>
    </r>
    <r>
      <rPr>
        <sz val="10"/>
        <color rgb="FF000000"/>
        <rFont val="Noto Sans CJK SC"/>
        <family val="2"/>
      </rPr>
      <t xml:space="preserve">一致集（與 </t>
    </r>
    <r>
      <rPr>
        <sz val="10"/>
        <color rgb="FF000000"/>
        <rFont val="Arial"/>
        <family val="0"/>
        <charset val="1"/>
      </rPr>
      <t xml:space="preserve">005</t>
    </r>
    <r>
      <rPr>
        <sz val="10"/>
        <color rgb="FF000000"/>
        <rFont val="Noto Sans CJK SC"/>
        <family val="2"/>
      </rPr>
      <t xml:space="preserve">／</t>
    </r>
    <r>
      <rPr>
        <sz val="10"/>
        <color rgb="FF000000"/>
        <rFont val="Arial"/>
        <family val="0"/>
        <charset val="1"/>
      </rPr>
      <t xml:space="preserve">006</t>
    </r>
    <r>
      <rPr>
        <sz val="10"/>
        <color rgb="FF000000"/>
        <rFont val="Noto Sans CJK SC"/>
        <family val="2"/>
      </rPr>
      <t xml:space="preserve">／</t>
    </r>
    <r>
      <rPr>
        <sz val="10"/>
        <color rgb="FF000000"/>
        <rFont val="Arial"/>
        <family val="0"/>
        <charset val="1"/>
      </rPr>
      <t xml:space="preserve">007 </t>
    </r>
    <r>
      <rPr>
        <sz val="10"/>
        <color rgb="FF000000"/>
        <rFont val="Noto Sans CJK SC"/>
        <family val="2"/>
      </rPr>
      <t xml:space="preserve">同源））</t>
    </r>
  </si>
  <si>
    <t xml:space="preserve">$B</t>
  </si>
  <si>
    <t xml:space="preserve">SRC_DEM_005</t>
  </si>
  <si>
    <t xml:space="preserve">TK_SRC_DEM_005</t>
  </si>
  <si>
    <r>
      <rPr>
        <sz val="10"/>
        <color rgb="FF000000"/>
        <rFont val="Arial"/>
        <family val="0"/>
        <charset val="1"/>
      </rPr>
      <t xml:space="preserve">OpenAI 2025 </t>
    </r>
    <r>
      <rPr>
        <sz val="10"/>
        <color rgb="FF000000"/>
        <rFont val="Noto Sans CJK SC"/>
        <family val="2"/>
      </rPr>
      <t xml:space="preserve">非付費用戶推論支出（年度）</t>
    </r>
  </si>
  <si>
    <t xml:space="preserve">SRC_DEM_006</t>
  </si>
  <si>
    <t xml:space="preserve">TK_SRC_DEM_006</t>
  </si>
  <si>
    <r>
      <rPr>
        <sz val="10"/>
        <color rgb="FF000000"/>
        <rFont val="Arial"/>
        <family val="0"/>
        <charset val="1"/>
      </rPr>
      <t xml:space="preserve">OpenAI 2025 </t>
    </r>
    <r>
      <rPr>
        <sz val="10"/>
        <color rgb="FF000000"/>
        <rFont val="Noto Sans CJK SC"/>
        <family val="2"/>
      </rPr>
      <t xml:space="preserve">訓練支出（年度；約值）</t>
    </r>
  </si>
  <si>
    <t xml:space="preserve">SRC_DEM_007</t>
  </si>
  <si>
    <t xml:space="preserve">TK_SRC_DEM_007</t>
  </si>
  <si>
    <r>
      <rPr>
        <sz val="10"/>
        <color rgb="FF000000"/>
        <rFont val="Arial"/>
        <family val="0"/>
        <charset val="1"/>
      </rPr>
      <t xml:space="preserve">OpenAI 2025 </t>
    </r>
    <r>
      <rPr>
        <sz val="10"/>
        <color rgb="FF000000"/>
        <rFont val="Noto Sans CJK SC"/>
        <family val="2"/>
      </rPr>
      <t xml:space="preserve">營收（年度）</t>
    </r>
  </si>
  <si>
    <t xml:space="preserve">SRC_DEM_008</t>
  </si>
  <si>
    <t xml:space="preserve">TK_SRC_DEM_008</t>
  </si>
  <si>
    <r>
      <rPr>
        <sz val="10"/>
        <color rgb="FF000000"/>
        <rFont val="Arial"/>
        <family val="0"/>
        <charset val="1"/>
      </rPr>
      <t xml:space="preserve">OpenAI </t>
    </r>
    <r>
      <rPr>
        <sz val="10"/>
        <color rgb="FF000000"/>
        <rFont val="Noto Sans CJK SC"/>
        <family val="2"/>
      </rPr>
      <t xml:space="preserve">算力規模 </t>
    </r>
    <r>
      <rPr>
        <sz val="10"/>
        <color rgb="FF000000"/>
        <rFont val="Arial"/>
        <family val="0"/>
        <charset val="1"/>
      </rPr>
      <t xml:space="preserve">2024 </t>
    </r>
    <r>
      <rPr>
        <sz val="10"/>
        <color rgb="FF000000"/>
        <rFont val="Noto Sans CJK SC"/>
        <family val="2"/>
      </rPr>
      <t xml:space="preserve">年底（</t>
    </r>
    <r>
      <rPr>
        <sz val="10"/>
        <color rgb="FF000000"/>
        <rFont val="Arial"/>
        <family val="0"/>
        <charset val="1"/>
      </rPr>
      <t xml:space="preserve">GW </t>
    </r>
    <r>
      <rPr>
        <sz val="10"/>
        <color rgb="FF000000"/>
        <rFont val="Noto Sans CJK SC"/>
        <family val="2"/>
      </rPr>
      <t xml:space="preserve">口徑未明（</t>
    </r>
    <r>
      <rPr>
        <sz val="10"/>
        <color rgb="FF000000"/>
        <rFont val="Arial"/>
        <family val="0"/>
        <charset val="1"/>
      </rPr>
      <t xml:space="preserve">D1</t>
    </r>
    <r>
      <rPr>
        <sz val="10"/>
        <color rgb="FF000000"/>
        <rFont val="Noto Sans CJK SC"/>
        <family val="2"/>
      </rPr>
      <t xml:space="preserve">））</t>
    </r>
  </si>
  <si>
    <t xml:space="preserve">GW</t>
  </si>
  <si>
    <t xml:space="preserve">SRC_DEM_009</t>
  </si>
  <si>
    <t xml:space="preserve">TK_SRC_DEM_009</t>
  </si>
  <si>
    <r>
      <rPr>
        <sz val="10"/>
        <color rgb="FF000000"/>
        <rFont val="Arial"/>
        <family val="0"/>
        <charset val="1"/>
      </rPr>
      <t xml:space="preserve">OpenAI </t>
    </r>
    <r>
      <rPr>
        <sz val="10"/>
        <color rgb="FF000000"/>
        <rFont val="Noto Sans CJK SC"/>
        <family val="2"/>
      </rPr>
      <t xml:space="preserve">算力規模 </t>
    </r>
    <r>
      <rPr>
        <sz val="10"/>
        <color rgb="FF000000"/>
        <rFont val="Arial"/>
        <family val="0"/>
        <charset val="1"/>
      </rPr>
      <t xml:space="preserve">2025 </t>
    </r>
    <r>
      <rPr>
        <sz val="10"/>
        <color rgb="FF000000"/>
        <rFont val="Noto Sans CJK SC"/>
        <family val="2"/>
      </rPr>
      <t xml:space="preserve">年底（約值；口徑未明）</t>
    </r>
  </si>
  <si>
    <t xml:space="preserve">SRC_DEM_010</t>
  </si>
  <si>
    <t xml:space="preserve">TK_SRC_DEM_010</t>
  </si>
  <si>
    <r>
      <rPr>
        <sz val="10"/>
        <color rgb="FF000000"/>
        <rFont val="Arial"/>
        <family val="0"/>
        <charset val="1"/>
      </rPr>
      <t xml:space="preserve">OpenAI API </t>
    </r>
    <r>
      <rPr>
        <sz val="10"/>
        <color rgb="FF000000"/>
        <rFont val="Noto Sans CJK SC"/>
        <family val="2"/>
      </rPr>
      <t xml:space="preserve">處理量（時點值；</t>
    </r>
    <r>
      <rPr>
        <sz val="10"/>
        <color rgb="FF000000"/>
        <rFont val="Arial"/>
        <family val="0"/>
        <charset val="1"/>
      </rPr>
      <t xml:space="preserve">API </t>
    </r>
    <r>
      <rPr>
        <sz val="10"/>
        <color rgb="FF000000"/>
        <rFont val="Noto Sans CJK SC"/>
        <family val="2"/>
      </rPr>
      <t xml:space="preserve">全部）</t>
    </r>
  </si>
  <si>
    <t xml:space="preserve">B tok/min</t>
  </si>
  <si>
    <t xml:space="preserve">SRC_DEM_011</t>
  </si>
  <si>
    <t xml:space="preserve">TK_SRC_DEM_011</t>
  </si>
  <si>
    <r>
      <rPr>
        <sz val="10"/>
        <color rgb="FF000000"/>
        <rFont val="Arial"/>
        <family val="0"/>
        <charset val="1"/>
      </rPr>
      <t xml:space="preserve">OpenAI API </t>
    </r>
    <r>
      <rPr>
        <sz val="10"/>
        <color rgb="FF000000"/>
        <rFont val="Noto Sans CJK SC"/>
        <family val="2"/>
      </rPr>
      <t xml:space="preserve">處理量（時點值；「超過」；</t>
    </r>
    <r>
      <rPr>
        <sz val="10"/>
        <color rgb="FF000000"/>
        <rFont val="Arial"/>
        <family val="0"/>
        <charset val="1"/>
      </rPr>
      <t xml:space="preserve">API </t>
    </r>
    <r>
      <rPr>
        <sz val="10"/>
        <color rgb="FF000000"/>
        <rFont val="Noto Sans CJK SC"/>
        <family val="2"/>
      </rPr>
      <t xml:space="preserve">全部）</t>
    </r>
  </si>
  <si>
    <t xml:space="preserve">SRC_DEM_012</t>
  </si>
  <si>
    <t xml:space="preserve">TK_SRC_DEM_012</t>
  </si>
  <si>
    <r>
      <rPr>
        <sz val="10"/>
        <color rgb="FF000000"/>
        <rFont val="Arial"/>
        <family val="0"/>
        <charset val="1"/>
      </rPr>
      <t xml:space="preserve">ChatGPT </t>
    </r>
    <r>
      <rPr>
        <sz val="10"/>
        <color rgb="FF000000"/>
        <rFont val="Noto Sans CJK SC"/>
        <family val="2"/>
      </rPr>
      <t xml:space="preserve">每日提示數（全球；其中美國約 </t>
    </r>
    <r>
      <rPr>
        <sz val="10"/>
        <color rgb="FF000000"/>
        <rFont val="Arial"/>
        <family val="0"/>
        <charset val="1"/>
      </rPr>
      <t xml:space="preserve">0.33B</t>
    </r>
    <r>
      <rPr>
        <sz val="10"/>
        <color rgb="FF000000"/>
        <rFont val="Noto Sans CJK SC"/>
        <family val="2"/>
      </rPr>
      <t xml:space="preserve">）</t>
    </r>
  </si>
  <si>
    <r>
      <rPr>
        <sz val="10"/>
        <color rgb="FF000000"/>
        <rFont val="Arial"/>
        <family val="0"/>
        <charset val="1"/>
      </rPr>
      <t xml:space="preserve">B </t>
    </r>
    <r>
      <rPr>
        <sz val="10"/>
        <color rgb="FF000000"/>
        <rFont val="Noto Sans CJK SC"/>
        <family val="2"/>
      </rPr>
      <t xml:space="preserve">則</t>
    </r>
    <r>
      <rPr>
        <sz val="10"/>
        <color rgb="FF000000"/>
        <rFont val="Arial"/>
        <family val="0"/>
        <charset val="1"/>
      </rPr>
      <t xml:space="preserve">/</t>
    </r>
    <r>
      <rPr>
        <sz val="10"/>
        <color rgb="FF000000"/>
        <rFont val="Noto Sans CJK SC"/>
        <family val="2"/>
      </rPr>
      <t xml:space="preserve">日</t>
    </r>
  </si>
  <si>
    <t xml:space="preserve">SRC_DEM_013</t>
  </si>
  <si>
    <t xml:space="preserve">TK_SRC_DEM_013</t>
  </si>
  <si>
    <r>
      <rPr>
        <sz val="10"/>
        <color rgb="FF000000"/>
        <rFont val="Noto Sans CJK SC"/>
        <family val="2"/>
      </rPr>
      <t xml:space="preserve">前沿實驗室（</t>
    </r>
    <r>
      <rPr>
        <sz val="10"/>
        <color rgb="FF000000"/>
        <rFont val="Arial"/>
        <family val="0"/>
        <charset val="1"/>
      </rPr>
      <t xml:space="preserve">OpenAI</t>
    </r>
    <r>
      <rPr>
        <sz val="10"/>
        <color rgb="FF000000"/>
        <rFont val="Noto Sans CJK SC"/>
        <family val="2"/>
      </rPr>
      <t xml:space="preserve">）每日 </t>
    </r>
    <r>
      <rPr>
        <sz val="10"/>
        <color rgb="FF000000"/>
        <rFont val="Arial"/>
        <family val="0"/>
        <charset val="1"/>
      </rPr>
      <t xml:space="preserve">token</t>
    </r>
    <r>
      <rPr>
        <sz val="10"/>
        <color rgb="FF000000"/>
        <rFont val="Noto Sans CJK SC"/>
        <family val="2"/>
      </rPr>
      <t xml:space="preserve">（由算力推估）</t>
    </r>
  </si>
  <si>
    <r>
      <rPr>
        <sz val="10"/>
        <color rgb="FF000000"/>
        <rFont val="Arial"/>
        <family val="0"/>
        <charset val="1"/>
      </rPr>
      <t xml:space="preserve">T tok/</t>
    </r>
    <r>
      <rPr>
        <sz val="10"/>
        <color rgb="FF000000"/>
        <rFont val="Noto Sans CJK SC"/>
        <family val="2"/>
      </rPr>
      <t xml:space="preserve">日</t>
    </r>
  </si>
  <si>
    <t xml:space="preserve">SRC_DEM_013_Lo</t>
  </si>
  <si>
    <t xml:space="preserve">TK_SRC_DEM_013_Lo</t>
  </si>
  <si>
    <t xml:space="preserve">SRC_DEM_013_Hi</t>
  </si>
  <si>
    <t xml:space="preserve">TK_SRC_DEM_013_Hi</t>
  </si>
  <si>
    <t xml:space="preserve">IF_AllocQ1</t>
  </si>
  <si>
    <t xml:space="preserve">TK_IF_AllocQ1</t>
  </si>
  <si>
    <r>
      <rPr>
        <sz val="10"/>
        <color rgb="FF000000"/>
        <rFont val="Noto Sans CJK SC"/>
        <family val="2"/>
      </rPr>
      <t xml:space="preserve">研發算力占比 </t>
    </r>
    <r>
      <rPr>
        <sz val="10"/>
        <color rgb="FF000000"/>
        <rFont val="Arial"/>
        <family val="0"/>
        <charset val="1"/>
      </rPr>
      <t xml:space="preserve">Q1</t>
    </r>
    <r>
      <rPr>
        <sz val="10"/>
        <color rgb="FF000000"/>
        <rFont val="Noto Sans CJK SC"/>
        <family val="2"/>
      </rPr>
      <t xml:space="preserve">（</t>
    </r>
    <r>
      <rPr>
        <sz val="10"/>
        <color rgb="FF000000"/>
        <rFont val="Arial"/>
        <family val="0"/>
        <charset val="1"/>
      </rPr>
      <t xml:space="preserve">R1</t>
    </r>
    <r>
      <rPr>
        <sz val="10"/>
        <color rgb="FF000000"/>
        <rFont val="Noto Sans CJK SC"/>
        <family val="2"/>
      </rPr>
      <t xml:space="preserve">：研發 </t>
    </r>
    <r>
      <rPr>
        <sz val="10"/>
        <color rgb="FF000000"/>
        <rFont val="Arial"/>
        <family val="0"/>
        <charset val="1"/>
      </rPr>
      <t xml:space="preserve">GW ÷ </t>
    </r>
    <r>
      <rPr>
        <sz val="10"/>
        <color rgb="FF000000"/>
        <rFont val="Noto Sans CJK SC"/>
        <family val="2"/>
      </rPr>
      <t xml:space="preserve">研發＋服務 </t>
    </r>
    <r>
      <rPr>
        <sz val="10"/>
        <color rgb="FF000000"/>
        <rFont val="Arial"/>
        <family val="0"/>
        <charset val="1"/>
      </rPr>
      <t xml:space="preserve">GW</t>
    </r>
    <r>
      <rPr>
        <sz val="10"/>
        <color rgb="FF000000"/>
        <rFont val="Noto Sans CJK SC"/>
        <family val="2"/>
      </rPr>
      <t xml:space="preserve">；服務 </t>
    </r>
    <r>
      <rPr>
        <sz val="10"/>
        <color rgb="FF000000"/>
        <rFont val="Arial"/>
        <family val="0"/>
        <charset val="1"/>
      </rPr>
      <t xml:space="preserve">GW</t>
    </r>
    <r>
      <rPr>
        <sz val="10"/>
        <color rgb="FF000000"/>
        <rFont val="Noto Sans CJK SC"/>
        <family val="2"/>
      </rPr>
      <t xml:space="preserve">＝支出路線，</t>
    </r>
    <r>
      <rPr>
        <sz val="10"/>
        <color rgb="FF000000"/>
        <rFont val="Arial"/>
        <family val="0"/>
        <charset val="1"/>
      </rPr>
      <t xml:space="preserve">v8.0 D14 </t>
    </r>
    <r>
      <rPr>
        <sz val="10"/>
        <color rgb="FF000000"/>
        <rFont val="Noto Sans CJK SC"/>
        <family val="2"/>
      </rPr>
      <t xml:space="preserve">主口徑）</t>
    </r>
  </si>
  <si>
    <t xml:space="preserve">IF_AllocQ1_R2</t>
  </si>
  <si>
    <t xml:space="preserve">TK_IF_AllocQ1_R2</t>
  </si>
  <si>
    <r>
      <rPr>
        <sz val="10"/>
        <color rgb="FF000000"/>
        <rFont val="Noto Sans CJK SC"/>
        <family val="2"/>
      </rPr>
      <t xml:space="preserve">研發算力占比 </t>
    </r>
    <r>
      <rPr>
        <sz val="10"/>
        <color rgb="FF000000"/>
        <rFont val="Arial"/>
        <family val="0"/>
        <charset val="1"/>
      </rPr>
      <t xml:space="preserve">Q1</t>
    </r>
    <r>
      <rPr>
        <sz val="10"/>
        <color rgb="FF000000"/>
        <rFont val="Noto Sans CJK SC"/>
        <family val="2"/>
      </rPr>
      <t xml:space="preserve">（</t>
    </r>
    <r>
      <rPr>
        <sz val="10"/>
        <color rgb="FF000000"/>
        <rFont val="Arial"/>
        <family val="0"/>
        <charset val="1"/>
      </rPr>
      <t xml:space="preserve">R2</t>
    </r>
    <r>
      <rPr>
        <sz val="10"/>
        <color rgb="FF000000"/>
        <rFont val="Noto Sans CJK SC"/>
        <family val="2"/>
      </rPr>
      <t xml:space="preserve">：免費服務算作產品改良；服務 </t>
    </r>
    <r>
      <rPr>
        <sz val="10"/>
        <color rgb="FF000000"/>
        <rFont val="Arial"/>
        <family val="0"/>
        <charset val="1"/>
      </rPr>
      <t xml:space="preserve">GW</t>
    </r>
    <r>
      <rPr>
        <sz val="10"/>
        <color rgb="FF000000"/>
        <rFont val="Noto Sans CJK SC"/>
        <family val="2"/>
      </rPr>
      <t xml:space="preserve">＝支出路線，免費服務 </t>
    </r>
    <r>
      <rPr>
        <sz val="10"/>
        <color rgb="FF000000"/>
        <rFont val="Arial"/>
        <family val="0"/>
        <charset val="1"/>
      </rPr>
      <t xml:space="preserve">GW</t>
    </r>
    <r>
      <rPr>
        <sz val="10"/>
        <color rgb="FF000000"/>
        <rFont val="Noto Sans CJK SC"/>
        <family val="2"/>
      </rPr>
      <t xml:space="preserve">＝服務 </t>
    </r>
    <r>
      <rPr>
        <sz val="10"/>
        <color rgb="FF000000"/>
        <rFont val="Arial"/>
        <family val="0"/>
        <charset val="1"/>
      </rPr>
      <t xml:space="preserve">GW × AL_FreeSpendShare</t>
    </r>
    <r>
      <rPr>
        <sz val="10"/>
        <color rgb="FF000000"/>
        <rFont val="Noto Sans CJK SC"/>
        <family val="2"/>
      </rPr>
      <t xml:space="preserve">；</t>
    </r>
    <r>
      <rPr>
        <sz val="10"/>
        <color rgb="FF000000"/>
        <rFont val="Arial"/>
        <family val="0"/>
        <charset val="1"/>
      </rPr>
      <t xml:space="preserve">v9.0 M6</t>
    </r>
    <r>
      <rPr>
        <sz val="10"/>
        <color rgb="FF000000"/>
        <rFont val="Noto Sans CJK SC"/>
        <family val="2"/>
      </rPr>
      <t xml:space="preserve">）</t>
    </r>
  </si>
  <si>
    <t xml:space="preserve">IF_AllocQ2</t>
  </si>
  <si>
    <t xml:space="preserve">TK_IF_AllocQ2</t>
  </si>
  <si>
    <r>
      <rPr>
        <sz val="10"/>
        <color rgb="FF000000"/>
        <rFont val="Noto Sans CJK SC"/>
        <family val="2"/>
      </rPr>
      <t xml:space="preserve">研發算力成本占比 </t>
    </r>
    <r>
      <rPr>
        <sz val="10"/>
        <color rgb="FF000000"/>
        <rFont val="Arial"/>
        <family val="0"/>
        <charset val="1"/>
      </rPr>
      <t xml:space="preserve">Q2</t>
    </r>
    <r>
      <rPr>
        <sz val="10"/>
        <color rgb="FF000000"/>
        <rFont val="Noto Sans CJK SC"/>
        <family val="2"/>
      </rPr>
      <t xml:space="preserve">（研發 </t>
    </r>
    <r>
      <rPr>
        <sz val="10"/>
        <color rgb="FF000000"/>
        <rFont val="Arial"/>
        <family val="0"/>
        <charset val="1"/>
      </rPr>
      <t xml:space="preserve">GW × </t>
    </r>
    <r>
      <rPr>
        <sz val="10"/>
        <color rgb="FF000000"/>
        <rFont val="Noto Sans CJK SC"/>
        <family val="2"/>
      </rPr>
      <t xml:space="preserve">持有成本 </t>
    </r>
    <r>
      <rPr>
        <sz val="10"/>
        <color rgb="FF000000"/>
        <rFont val="Arial"/>
        <family val="0"/>
        <charset val="1"/>
      </rPr>
      <t xml:space="preserve">÷</t>
    </r>
    <r>
      <rPr>
        <sz val="10"/>
        <color rgb="FF000000"/>
        <rFont val="Noto Sans CJK SC"/>
        <family val="2"/>
      </rPr>
      <t xml:space="preserve">（＋服務持有成本＝</t>
    </r>
    <r>
      <rPr>
        <sz val="10"/>
        <color rgb="FF000000"/>
        <rFont val="Arial"/>
        <family val="0"/>
        <charset val="1"/>
      </rPr>
      <t xml:space="preserve">SRC_DEM_004</t>
    </r>
    <r>
      <rPr>
        <sz val="10"/>
        <color rgb="FF000000"/>
        <rFont val="Noto Sans CJK SC"/>
        <family val="2"/>
      </rPr>
      <t xml:space="preserve">，支出路線，</t>
    </r>
    <r>
      <rPr>
        <sz val="10"/>
        <color rgb="FF000000"/>
        <rFont val="Arial"/>
        <family val="0"/>
        <charset val="1"/>
      </rPr>
      <t xml:space="preserve">v8.0 D14</t>
    </r>
    <r>
      <rPr>
        <sz val="10"/>
        <color rgb="FF000000"/>
        <rFont val="Noto Sans CJK SC"/>
        <family val="2"/>
      </rPr>
      <t xml:space="preserve">）；利用率不進入）</t>
    </r>
  </si>
  <si>
    <t xml:space="preserve">IF_AllocServeGW</t>
  </si>
  <si>
    <t xml:space="preserve">TK_IF_AllocServeGW</t>
  </si>
  <si>
    <r>
      <rPr>
        <sz val="10"/>
        <color rgb="FF000000"/>
        <rFont val="Noto Sans CJK SC"/>
        <family val="2"/>
      </rPr>
      <t xml:space="preserve">服務 </t>
    </r>
    <r>
      <rPr>
        <sz val="10"/>
        <color rgb="FF000000"/>
        <rFont val="Arial"/>
        <family val="0"/>
        <charset val="1"/>
      </rPr>
      <t xml:space="preserve">GW </t>
    </r>
    <r>
      <rPr>
        <sz val="10"/>
        <color rgb="FF000000"/>
        <rFont val="Noto Sans CJK SC"/>
        <family val="2"/>
      </rPr>
      <t xml:space="preserve">合計（支出路線＝</t>
    </r>
    <r>
      <rPr>
        <sz val="10"/>
        <color rgb="FF000000"/>
        <rFont val="Arial"/>
        <family val="0"/>
        <charset val="1"/>
      </rPr>
      <t xml:space="preserve">SRC_DEM_004 ÷ Σ </t>
    </r>
    <r>
      <rPr>
        <sz val="10"/>
        <color rgb="FF000000"/>
        <rFont val="Noto Sans CJK SC"/>
        <family val="2"/>
      </rPr>
      <t xml:space="preserve">世代占比 </t>
    </r>
    <r>
      <rPr>
        <sz val="10"/>
        <color rgb="FF000000"/>
        <rFont val="Arial"/>
        <family val="0"/>
        <charset val="1"/>
      </rPr>
      <t xml:space="preserve">× </t>
    </r>
    <r>
      <rPr>
        <sz val="10"/>
        <color rgb="FF000000"/>
        <rFont val="Noto Sans CJK SC"/>
        <family val="2"/>
      </rPr>
      <t xml:space="preserve">持有成本；</t>
    </r>
    <r>
      <rPr>
        <sz val="10"/>
        <color rgb="FF000000"/>
        <rFont val="Arial"/>
        <family val="0"/>
        <charset val="1"/>
      </rPr>
      <t xml:space="preserve">v8.0 D14 </t>
    </r>
    <r>
      <rPr>
        <sz val="10"/>
        <color rgb="FF000000"/>
        <rFont val="Noto Sans CJK SC"/>
        <family val="2"/>
      </rPr>
      <t xml:space="preserve">主口徑；</t>
    </r>
    <r>
      <rPr>
        <sz val="10"/>
        <color rgb="FF000000"/>
        <rFont val="Arial"/>
        <family val="0"/>
        <charset val="1"/>
      </rPr>
      <t xml:space="preserve">IT </t>
    </r>
    <r>
      <rPr>
        <sz val="10"/>
        <color rgb="FF000000"/>
        <rFont val="Noto Sans CJK SC"/>
        <family val="2"/>
      </rPr>
      <t xml:space="preserve">關鍵電力）</t>
    </r>
  </si>
  <si>
    <t xml:space="preserve">IF_AllocRDGW</t>
  </si>
  <si>
    <t xml:space="preserve">TK_IF_AllocRDGW</t>
  </si>
  <si>
    <r>
      <rPr>
        <sz val="10"/>
        <color rgb="FF000000"/>
        <rFont val="Noto Sans CJK SC"/>
        <family val="2"/>
      </rPr>
      <t xml:space="preserve">研發 </t>
    </r>
    <r>
      <rPr>
        <sz val="10"/>
        <color rgb="FF000000"/>
        <rFont val="Arial"/>
        <family val="0"/>
        <charset val="1"/>
      </rPr>
      <t xml:space="preserve">GW </t>
    </r>
    <r>
      <rPr>
        <sz val="10"/>
        <color rgb="FF000000"/>
        <rFont val="Noto Sans CJK SC"/>
        <family val="2"/>
      </rPr>
      <t xml:space="preserve">年（</t>
    </r>
    <r>
      <rPr>
        <sz val="10"/>
        <color rgb="FF000000"/>
        <rFont val="Arial"/>
        <family val="0"/>
        <charset val="1"/>
      </rPr>
      <t xml:space="preserve">k ×</t>
    </r>
    <r>
      <rPr>
        <sz val="10"/>
        <color rgb="FF000000"/>
        <rFont val="Noto Sans CJK SC"/>
        <family val="2"/>
      </rPr>
      <t xml:space="preserve">（</t>
    </r>
    <r>
      <rPr>
        <sz val="10"/>
        <color rgb="FF000000"/>
        <rFont val="Arial"/>
        <family val="0"/>
        <charset val="1"/>
      </rPr>
      <t xml:space="preserve">N_major × </t>
    </r>
    <r>
      <rPr>
        <sz val="10"/>
        <color rgb="FF000000"/>
        <rFont val="Noto Sans CJK SC"/>
        <family val="2"/>
      </rPr>
      <t xml:space="preserve">家族＋</t>
    </r>
    <r>
      <rPr>
        <sz val="10"/>
        <color rgb="FF000000"/>
        <rFont val="Arial"/>
        <family val="0"/>
        <charset val="1"/>
      </rPr>
      <t xml:space="preserve">N_refresh × </t>
    </r>
    <r>
      <rPr>
        <sz val="10"/>
        <color rgb="FF000000"/>
        <rFont val="Noto Sans CJK SC"/>
        <family val="2"/>
      </rPr>
      <t xml:space="preserve">改版）；</t>
    </r>
    <r>
      <rPr>
        <sz val="10"/>
        <color rgb="FF000000"/>
        <rFont val="Arial"/>
        <family val="0"/>
        <charset val="1"/>
      </rPr>
      <t xml:space="preserve">v8.0 L3</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研發世代組合加權，</t>
    </r>
    <r>
      <rPr>
        <sz val="10"/>
        <color rgb="FF000000"/>
        <rFont val="Arial"/>
        <family val="0"/>
        <charset val="1"/>
      </rPr>
      <t xml:space="preserve">Alloc J </t>
    </r>
    <r>
      <rPr>
        <sz val="10"/>
        <color rgb="FF000000"/>
        <rFont val="Noto Sans CJK SC"/>
        <family val="2"/>
      </rPr>
      <t xml:space="preserve">節）</t>
    </r>
  </si>
  <si>
    <r>
      <rPr>
        <sz val="10"/>
        <color rgb="FF000000"/>
        <rFont val="Arial"/>
        <family val="0"/>
        <charset val="1"/>
      </rPr>
      <t xml:space="preserve">GW·</t>
    </r>
    <r>
      <rPr>
        <sz val="10"/>
        <color rgb="FF000000"/>
        <rFont val="Noto Sans CJK SC"/>
        <family val="2"/>
      </rPr>
      <t xml:space="preserve">年</t>
    </r>
  </si>
  <si>
    <t xml:space="preserve">IF_AllocDemand</t>
  </si>
  <si>
    <t xml:space="preserve">TK_IF_AllocDemand</t>
  </si>
  <si>
    <r>
      <rPr>
        <sz val="10"/>
        <color rgb="FF000000"/>
        <rFont val="Noto Sans CJK SC"/>
        <family val="2"/>
      </rPr>
      <t xml:space="preserve">需求 </t>
    </r>
    <r>
      <rPr>
        <sz val="10"/>
        <color rgb="FF000000"/>
        <rFont val="Arial"/>
        <family val="0"/>
        <charset val="1"/>
      </rPr>
      <t xml:space="preserve">D </t>
    </r>
    <r>
      <rPr>
        <sz val="10"/>
        <color rgb="FF000000"/>
        <rFont val="Noto Sans CJK SC"/>
        <family val="2"/>
      </rPr>
      <t xml:space="preserve">合計（</t>
    </r>
    <r>
      <rPr>
        <sz val="10"/>
        <color rgb="FF000000"/>
        <rFont val="Arial"/>
        <family val="0"/>
        <charset val="1"/>
      </rPr>
      <t xml:space="preserve">API</t>
    </r>
    <r>
      <rPr>
        <sz val="10"/>
        <color rgb="FF000000"/>
        <rFont val="Noto Sans CJK SC"/>
        <family val="2"/>
      </rPr>
      <t xml:space="preserve">＋</t>
    </r>
    <r>
      <rPr>
        <sz val="10"/>
        <color rgb="FF000000"/>
        <rFont val="Arial"/>
        <family val="0"/>
        <charset val="1"/>
      </rPr>
      <t xml:space="preserve">ChatGPT</t>
    </r>
    <r>
      <rPr>
        <sz val="10"/>
        <color rgb="FF000000"/>
        <rFont val="Noto Sans CJK SC"/>
        <family val="2"/>
      </rPr>
      <t xml:space="preserve">；付費＋免費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2025</t>
    </r>
    <r>
      <rPr>
        <sz val="10"/>
        <color rgb="FF000000"/>
        <rFont val="Noto Sans CJK SC"/>
        <family val="2"/>
      </rPr>
      <t xml:space="preserve">）</t>
    </r>
  </si>
  <si>
    <t xml:space="preserve">IF_AllocImpliedNk</t>
  </si>
  <si>
    <t xml:space="preserve">TK_IF_AllocImpliedNk</t>
  </si>
  <si>
    <r>
      <rPr>
        <sz val="10"/>
        <color rgb="FF000000"/>
        <rFont val="Noto Sans CJK SC"/>
        <family val="2"/>
      </rPr>
      <t xml:space="preserve">隱含 </t>
    </r>
    <r>
      <rPr>
        <sz val="10"/>
        <color rgb="FF000000"/>
        <rFont val="Arial"/>
        <family val="0"/>
        <charset val="1"/>
      </rPr>
      <t xml:space="preserve">N × k</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支出比反推；以家族計畫當量；</t>
    </r>
    <r>
      <rPr>
        <sz val="10"/>
        <color rgb="FF000000"/>
        <rFont val="Arial"/>
        <family val="0"/>
        <charset val="1"/>
      </rPr>
      <t xml:space="preserve">A3</t>
    </r>
    <r>
      <rPr>
        <sz val="10"/>
        <color rgb="FF000000"/>
        <rFont val="Noto Sans CJK SC"/>
        <family val="2"/>
      </rPr>
      <t xml:space="preserve">）　</t>
    </r>
    <r>
      <rPr>
        <sz val="10"/>
        <color rgb="FF000000"/>
        <rFont val="Arial"/>
        <family val="0"/>
        <charset val="1"/>
      </rPr>
      <t xml:space="preserve">[IF_AllocImpliedNk] </t>
    </r>
    <r>
      <rPr>
        <sz val="10"/>
        <color rgb="FF000000"/>
        <rFont val="Noto Sans CJK SC"/>
        <family val="2"/>
      </rPr>
      <t xml:space="preserve">｜</t>
    </r>
    <r>
      <rPr>
        <sz val="10"/>
        <color rgb="FF000000"/>
        <rFont val="Arial"/>
        <family val="0"/>
        <charset val="1"/>
      </rPr>
      <t xml:space="preserve">v10.0 N2</t>
    </r>
    <r>
      <rPr>
        <sz val="10"/>
        <color rgb="FF000000"/>
        <rFont val="Noto Sans CJK SC"/>
        <family val="2"/>
      </rPr>
      <t xml:space="preserve">（</t>
    </r>
    <r>
      <rPr>
        <sz val="10"/>
        <color rgb="FF000000"/>
        <rFont val="Arial"/>
        <family val="0"/>
        <charset val="1"/>
      </rPr>
      <t xml:space="preserve">D4</t>
    </r>
    <r>
      <rPr>
        <sz val="10"/>
        <color rgb="FF000000"/>
        <rFont val="Noto Sans CJK SC"/>
        <family val="2"/>
      </rPr>
      <t xml:space="preserve">）：性質＝倒推（隱含 </t>
    </r>
    <r>
      <rPr>
        <sz val="10"/>
        <color rgb="FF000000"/>
        <rFont val="Arial"/>
        <family val="0"/>
        <charset val="1"/>
      </rPr>
      <t xml:space="preserve">N × k</t>
    </r>
    <r>
      <rPr>
        <sz val="10"/>
        <color rgb="FF000000"/>
        <rFont val="Noto Sans CJK SC"/>
        <family val="2"/>
      </rPr>
      <t xml:space="preserve">／</t>
    </r>
    <r>
      <rPr>
        <sz val="10"/>
        <color rgb="FF000000"/>
        <rFont val="Arial"/>
        <family val="0"/>
        <charset val="1"/>
      </rPr>
      <t xml:space="preserve">J8 </t>
    </r>
    <r>
      <rPr>
        <sz val="10"/>
        <color rgb="FF000000"/>
        <rFont val="Noto Sans CJK SC"/>
        <family val="2"/>
      </rPr>
      <t xml:space="preserve">落差由 </t>
    </r>
    <r>
      <rPr>
        <sz val="10"/>
        <color rgb="FF000000"/>
        <rFont val="Arial"/>
        <family val="0"/>
        <charset val="1"/>
      </rPr>
      <t xml:space="preserve">2025 </t>
    </r>
    <r>
      <rPr>
        <sz val="10"/>
        <color rgb="FF000000"/>
        <rFont val="Noto Sans CJK SC"/>
        <family val="2"/>
      </rPr>
      <t xml:space="preserve">支出反推研發 </t>
    </r>
    <r>
      <rPr>
        <sz val="10"/>
        <color rgb="FF000000"/>
        <rFont val="Arial"/>
        <family val="0"/>
        <charset val="1"/>
      </rPr>
      <t xml:space="preserve">GW</t>
    </r>
    <r>
      <rPr>
        <sz val="10"/>
        <color rgb="FF000000"/>
        <rFont val="Noto Sans CJK SC"/>
        <family val="2"/>
      </rPr>
      <t xml:space="preserve">，再除以計畫當量；不是觀測值）</t>
    </r>
  </si>
  <si>
    <t xml:space="preserve">IF_TrainCost_Astra</t>
  </si>
  <si>
    <t xml:space="preserve">TK_IF_TrainCost_Astra</t>
  </si>
  <si>
    <r>
      <rPr>
        <sz val="10"/>
        <color rgb="FF000000"/>
        <rFont val="Noto Sans CJK SC"/>
        <family val="2"/>
      </rPr>
      <t xml:space="preserve">最終訓練成本 — 經濟（依成本情境）　</t>
    </r>
    <r>
      <rPr>
        <sz val="10"/>
        <color rgb="FF000000"/>
        <rFont val="Arial"/>
        <family val="0"/>
        <charset val="1"/>
      </rPr>
      <t xml:space="preserve">[IF_TrainCost_Astra]</t>
    </r>
    <r>
      <rPr>
        <sz val="10"/>
        <color rgb="FF000000"/>
        <rFont val="Noto Sans CJK SC"/>
        <family val="2"/>
      </rPr>
      <t xml:space="preserve">｜</t>
    </r>
    <r>
      <rPr>
        <sz val="10"/>
        <color rgb="FF000000"/>
        <rFont val="Arial"/>
        <family val="0"/>
        <charset val="1"/>
      </rPr>
      <t xml:space="preserve">v15.0 O12 </t>
    </r>
    <r>
      <rPr>
        <sz val="10"/>
        <color rgb="FF000000"/>
        <rFont val="Noto Sans CJK SC"/>
        <family val="2"/>
      </rPr>
      <t xml:space="preserve">口徑：機隊占比取 </t>
    </r>
    <r>
      <rPr>
        <sz val="10"/>
        <color rgb="FF000000"/>
        <rFont val="Arial"/>
        <family val="0"/>
        <charset val="1"/>
      </rPr>
      <t xml:space="preserve">2025 OpenAI </t>
    </r>
    <r>
      <rPr>
        <sz val="10"/>
        <color rgb="FF000000"/>
        <rFont val="Noto Sans CJK SC"/>
        <family val="2"/>
      </rPr>
      <t xml:space="preserve">推論 </t>
    </r>
    <r>
      <rPr>
        <sz val="10"/>
        <color rgb="FF000000"/>
        <rFont val="Arial"/>
        <family val="0"/>
        <charset val="1"/>
      </rPr>
      <t xml:space="preserve">÷</t>
    </r>
    <r>
      <rPr>
        <sz val="10"/>
        <color rgb="FF000000"/>
        <rFont val="Noto Sans CJK SC"/>
        <family val="2"/>
      </rPr>
      <t xml:space="preserve">（推論＋訓練）支出比（</t>
    </r>
    <r>
      <rPr>
        <sz val="10"/>
        <color rgb="FF000000"/>
        <rFont val="Arial"/>
        <family val="0"/>
        <charset val="1"/>
      </rPr>
      <t xml:space="preserve">B4_Serve×(1−B4_Free)</t>
    </r>
    <r>
      <rPr>
        <sz val="10"/>
        <color rgb="FF000000"/>
        <rFont val="Noto Sans CJK SC"/>
        <family val="2"/>
      </rPr>
      <t xml:space="preserve">，全部世代同值，</t>
    </r>
    <r>
      <rPr>
        <sz val="10"/>
        <color rgb="FF000000"/>
        <rFont val="Arial"/>
        <family val="0"/>
        <charset val="1"/>
      </rPr>
      <t xml:space="preserve">Assumed</t>
    </r>
    <r>
      <rPr>
        <sz val="10"/>
        <color rgb="FF000000"/>
        <rFont val="Noto Sans CJK SC"/>
        <family val="2"/>
      </rPr>
      <t xml:space="preserve">）；訓練成本以 </t>
    </r>
    <r>
      <rPr>
        <sz val="10"/>
        <color rgb="FF000000"/>
        <rFont val="Arial"/>
        <family val="0"/>
        <charset val="1"/>
      </rPr>
      <t xml:space="preserve">100% </t>
    </r>
    <r>
      <rPr>
        <sz val="10"/>
        <color rgb="FF000000"/>
        <rFont val="Noto Sans CJK SC"/>
        <family val="2"/>
      </rPr>
      <t xml:space="preserve">利用率計、服務以 </t>
    </r>
    <r>
      <rPr>
        <sz val="10"/>
        <color rgb="FF000000"/>
        <rFont val="Arial"/>
        <family val="0"/>
        <charset val="1"/>
      </rPr>
      <t xml:space="preserve">÷IF_Util </t>
    </r>
    <r>
      <rPr>
        <sz val="10"/>
        <color rgb="FF000000"/>
        <rFont val="Noto Sans CJK SC"/>
        <family val="2"/>
      </rPr>
      <t xml:space="preserve">計；縮放倍數與隱含家族計畫數為 </t>
    </r>
    <r>
      <rPr>
        <sz val="10"/>
        <color rgb="FF000000"/>
        <rFont val="Arial"/>
        <family val="0"/>
        <charset val="1"/>
      </rPr>
      <t xml:space="preserve">Assumed</t>
    </r>
    <r>
      <rPr>
        <sz val="10"/>
        <color rgb="FF000000"/>
        <rFont val="Noto Sans CJK SC"/>
        <family val="2"/>
      </rPr>
      <t xml:space="preserve">，接受為決策（</t>
    </r>
    <r>
      <rPr>
        <sz val="10"/>
        <color rgb="FF000000"/>
        <rFont val="Arial"/>
        <family val="0"/>
        <charset val="1"/>
      </rPr>
      <t xml:space="preserve">Decisions SL46-16</t>
    </r>
    <r>
      <rPr>
        <sz val="10"/>
        <color rgb="FF000000"/>
        <rFont val="Noto Sans CJK SC"/>
        <family val="2"/>
      </rPr>
      <t xml:space="preserve">）</t>
    </r>
  </si>
  <si>
    <t xml:space="preserve">$M</t>
  </si>
  <si>
    <t xml:space="preserve">IF_TrainCost_Luna</t>
  </si>
  <si>
    <t xml:space="preserve">TK_IF_TrainCost_Luna</t>
  </si>
  <si>
    <r>
      <rPr>
        <sz val="10"/>
        <color rgb="FF000000"/>
        <rFont val="Noto Sans CJK SC"/>
        <family val="2"/>
      </rPr>
      <t xml:space="preserve">最終訓練成本 — 經濟（依成本情境）　</t>
    </r>
    <r>
      <rPr>
        <sz val="10"/>
        <color rgb="FF000000"/>
        <rFont val="Arial"/>
        <family val="0"/>
        <charset val="1"/>
      </rPr>
      <t xml:space="preserve">[IF_TrainCost_Luna]</t>
    </r>
    <r>
      <rPr>
        <sz val="10"/>
        <color rgb="FF000000"/>
        <rFont val="Noto Sans CJK SC"/>
        <family val="2"/>
      </rPr>
      <t xml:space="preserve">｜</t>
    </r>
    <r>
      <rPr>
        <sz val="10"/>
        <color rgb="FF000000"/>
        <rFont val="Arial"/>
        <family val="0"/>
        <charset val="1"/>
      </rPr>
      <t xml:space="preserve">v15.0 O12 </t>
    </r>
    <r>
      <rPr>
        <sz val="10"/>
        <color rgb="FF000000"/>
        <rFont val="Noto Sans CJK SC"/>
        <family val="2"/>
      </rPr>
      <t xml:space="preserve">口徑：機隊占比取 </t>
    </r>
    <r>
      <rPr>
        <sz val="10"/>
        <color rgb="FF000000"/>
        <rFont val="Arial"/>
        <family val="0"/>
        <charset val="1"/>
      </rPr>
      <t xml:space="preserve">2025 OpenAI </t>
    </r>
    <r>
      <rPr>
        <sz val="10"/>
        <color rgb="FF000000"/>
        <rFont val="Noto Sans CJK SC"/>
        <family val="2"/>
      </rPr>
      <t xml:space="preserve">推論 </t>
    </r>
    <r>
      <rPr>
        <sz val="10"/>
        <color rgb="FF000000"/>
        <rFont val="Arial"/>
        <family val="0"/>
        <charset val="1"/>
      </rPr>
      <t xml:space="preserve">÷</t>
    </r>
    <r>
      <rPr>
        <sz val="10"/>
        <color rgb="FF000000"/>
        <rFont val="Noto Sans CJK SC"/>
        <family val="2"/>
      </rPr>
      <t xml:space="preserve">（推論＋訓練）支出比（</t>
    </r>
    <r>
      <rPr>
        <sz val="10"/>
        <color rgb="FF000000"/>
        <rFont val="Arial"/>
        <family val="0"/>
        <charset val="1"/>
      </rPr>
      <t xml:space="preserve">B4_Serve×(1−B4_Free)</t>
    </r>
    <r>
      <rPr>
        <sz val="10"/>
        <color rgb="FF000000"/>
        <rFont val="Noto Sans CJK SC"/>
        <family val="2"/>
      </rPr>
      <t xml:space="preserve">，全部世代同值，</t>
    </r>
    <r>
      <rPr>
        <sz val="10"/>
        <color rgb="FF000000"/>
        <rFont val="Arial"/>
        <family val="0"/>
        <charset val="1"/>
      </rPr>
      <t xml:space="preserve">Assumed</t>
    </r>
    <r>
      <rPr>
        <sz val="10"/>
        <color rgb="FF000000"/>
        <rFont val="Noto Sans CJK SC"/>
        <family val="2"/>
      </rPr>
      <t xml:space="preserve">）；訓練成本以 </t>
    </r>
    <r>
      <rPr>
        <sz val="10"/>
        <color rgb="FF000000"/>
        <rFont val="Arial"/>
        <family val="0"/>
        <charset val="1"/>
      </rPr>
      <t xml:space="preserve">100% </t>
    </r>
    <r>
      <rPr>
        <sz val="10"/>
        <color rgb="FF000000"/>
        <rFont val="Noto Sans CJK SC"/>
        <family val="2"/>
      </rPr>
      <t xml:space="preserve">利用率計、服務以 </t>
    </r>
    <r>
      <rPr>
        <sz val="10"/>
        <color rgb="FF000000"/>
        <rFont val="Arial"/>
        <family val="0"/>
        <charset val="1"/>
      </rPr>
      <t xml:space="preserve">÷IF_Util </t>
    </r>
    <r>
      <rPr>
        <sz val="10"/>
        <color rgb="FF000000"/>
        <rFont val="Noto Sans CJK SC"/>
        <family val="2"/>
      </rPr>
      <t xml:space="preserve">計；縮放倍數與隱含家族計畫數為 </t>
    </r>
    <r>
      <rPr>
        <sz val="10"/>
        <color rgb="FF000000"/>
        <rFont val="Arial"/>
        <family val="0"/>
        <charset val="1"/>
      </rPr>
      <t xml:space="preserve">Assumed</t>
    </r>
    <r>
      <rPr>
        <sz val="10"/>
        <color rgb="FF000000"/>
        <rFont val="Noto Sans CJK SC"/>
        <family val="2"/>
      </rPr>
      <t xml:space="preserve">，接受為決策（</t>
    </r>
    <r>
      <rPr>
        <sz val="10"/>
        <color rgb="FF000000"/>
        <rFont val="Arial"/>
        <family val="0"/>
        <charset val="1"/>
      </rPr>
      <t xml:space="preserve">Decisions SL46-16</t>
    </r>
    <r>
      <rPr>
        <sz val="10"/>
        <color rgb="FF000000"/>
        <rFont val="Noto Sans CJK SC"/>
        <family val="2"/>
      </rPr>
      <t xml:space="preserve">）</t>
    </r>
  </si>
  <si>
    <t xml:space="preserve">IF_TrainCost_Sol</t>
  </si>
  <si>
    <t xml:space="preserve">TK_IF_TrainCost_Sol</t>
  </si>
  <si>
    <r>
      <rPr>
        <sz val="10"/>
        <color rgb="FF000000"/>
        <rFont val="Noto Sans CJK SC"/>
        <family val="2"/>
      </rPr>
      <t xml:space="preserve">最終訓練成本 — 經濟（依成本情境）　</t>
    </r>
    <r>
      <rPr>
        <sz val="10"/>
        <color rgb="FF000000"/>
        <rFont val="Arial"/>
        <family val="0"/>
        <charset val="1"/>
      </rPr>
      <t xml:space="preserve">[IF_TrainCost_Sol]</t>
    </r>
    <r>
      <rPr>
        <sz val="10"/>
        <color rgb="FF000000"/>
        <rFont val="Noto Sans CJK SC"/>
        <family val="2"/>
      </rPr>
      <t xml:space="preserve">｜</t>
    </r>
    <r>
      <rPr>
        <sz val="10"/>
        <color rgb="FF000000"/>
        <rFont val="Arial"/>
        <family val="0"/>
        <charset val="1"/>
      </rPr>
      <t xml:space="preserve">v15.0 O12 </t>
    </r>
    <r>
      <rPr>
        <sz val="10"/>
        <color rgb="FF000000"/>
        <rFont val="Noto Sans CJK SC"/>
        <family val="2"/>
      </rPr>
      <t xml:space="preserve">口徑：機隊占比取 </t>
    </r>
    <r>
      <rPr>
        <sz val="10"/>
        <color rgb="FF000000"/>
        <rFont val="Arial"/>
        <family val="0"/>
        <charset val="1"/>
      </rPr>
      <t xml:space="preserve">2025 OpenAI </t>
    </r>
    <r>
      <rPr>
        <sz val="10"/>
        <color rgb="FF000000"/>
        <rFont val="Noto Sans CJK SC"/>
        <family val="2"/>
      </rPr>
      <t xml:space="preserve">推論 </t>
    </r>
    <r>
      <rPr>
        <sz val="10"/>
        <color rgb="FF000000"/>
        <rFont val="Arial"/>
        <family val="0"/>
        <charset val="1"/>
      </rPr>
      <t xml:space="preserve">÷</t>
    </r>
    <r>
      <rPr>
        <sz val="10"/>
        <color rgb="FF000000"/>
        <rFont val="Noto Sans CJK SC"/>
        <family val="2"/>
      </rPr>
      <t xml:space="preserve">（推論＋訓練）支出比（</t>
    </r>
    <r>
      <rPr>
        <sz val="10"/>
        <color rgb="FF000000"/>
        <rFont val="Arial"/>
        <family val="0"/>
        <charset val="1"/>
      </rPr>
      <t xml:space="preserve">B4_Serve×(1−B4_Free)</t>
    </r>
    <r>
      <rPr>
        <sz val="10"/>
        <color rgb="FF000000"/>
        <rFont val="Noto Sans CJK SC"/>
        <family val="2"/>
      </rPr>
      <t xml:space="preserve">，全部世代同值，</t>
    </r>
    <r>
      <rPr>
        <sz val="10"/>
        <color rgb="FF000000"/>
        <rFont val="Arial"/>
        <family val="0"/>
        <charset val="1"/>
      </rPr>
      <t xml:space="preserve">Assumed</t>
    </r>
    <r>
      <rPr>
        <sz val="10"/>
        <color rgb="FF000000"/>
        <rFont val="Noto Sans CJK SC"/>
        <family val="2"/>
      </rPr>
      <t xml:space="preserve">）；訓練成本以 </t>
    </r>
    <r>
      <rPr>
        <sz val="10"/>
        <color rgb="FF000000"/>
        <rFont val="Arial"/>
        <family val="0"/>
        <charset val="1"/>
      </rPr>
      <t xml:space="preserve">100% </t>
    </r>
    <r>
      <rPr>
        <sz val="10"/>
        <color rgb="FF000000"/>
        <rFont val="Noto Sans CJK SC"/>
        <family val="2"/>
      </rPr>
      <t xml:space="preserve">利用率計、服務以 </t>
    </r>
    <r>
      <rPr>
        <sz val="10"/>
        <color rgb="FF000000"/>
        <rFont val="Arial"/>
        <family val="0"/>
        <charset val="1"/>
      </rPr>
      <t xml:space="preserve">÷IF_Util </t>
    </r>
    <r>
      <rPr>
        <sz val="10"/>
        <color rgb="FF000000"/>
        <rFont val="Noto Sans CJK SC"/>
        <family val="2"/>
      </rPr>
      <t xml:space="preserve">計；縮放倍數與隱含家族計畫數為 </t>
    </r>
    <r>
      <rPr>
        <sz val="10"/>
        <color rgb="FF000000"/>
        <rFont val="Arial"/>
        <family val="0"/>
        <charset val="1"/>
      </rPr>
      <t xml:space="preserve">Assumed</t>
    </r>
    <r>
      <rPr>
        <sz val="10"/>
        <color rgb="FF000000"/>
        <rFont val="Noto Sans CJK SC"/>
        <family val="2"/>
      </rPr>
      <t xml:space="preserve">，接受為決策（</t>
    </r>
    <r>
      <rPr>
        <sz val="10"/>
        <color rgb="FF000000"/>
        <rFont val="Arial"/>
        <family val="0"/>
        <charset val="1"/>
      </rPr>
      <t xml:space="preserve">Decisions SL46-16</t>
    </r>
    <r>
      <rPr>
        <sz val="10"/>
        <color rgb="FF000000"/>
        <rFont val="Noto Sans CJK SC"/>
        <family val="2"/>
      </rPr>
      <t xml:space="preserve">）</t>
    </r>
  </si>
  <si>
    <t xml:space="preserve">IF_RevGW_Astra</t>
  </si>
  <si>
    <t xml:space="preserve">TK_IF_RevGW_Astra</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</si>
  <si>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理論營收 — </t>
    </r>
    <r>
      <rPr>
        <sz val="10"/>
        <color rgb="FF000000"/>
        <rFont val="Arial"/>
        <family val="0"/>
        <charset val="1"/>
      </rPr>
      <t xml:space="preserve">OpenAI </t>
    </r>
    <r>
      <rPr>
        <sz val="10"/>
        <color rgb="FF000000"/>
        <rFont val="Noto Sans CJK SC"/>
        <family val="2"/>
      </rPr>
      <t xml:space="preserve">有效單價（理想上限）</t>
    </r>
  </si>
  <si>
    <t xml:space="preserve">IF_RevGW_Luna</t>
  </si>
  <si>
    <t xml:space="preserve">TK_IF_RevGW_Luna</t>
  </si>
  <si>
    <t xml:space="preserve">IF_RevGW_Sol</t>
  </si>
  <si>
    <t xml:space="preserve">TK_IF_RevGW_Sol</t>
  </si>
  <si>
    <t xml:space="preserve">IF_FullCostDefault_Astra</t>
  </si>
  <si>
    <t xml:space="preserve">TK_IF_FullCostDefault_Astra</t>
  </si>
  <si>
    <r>
      <rPr>
        <sz val="10"/>
        <color rgb="FF000000"/>
        <rFont val="Noto Sans CJK SC"/>
        <family val="2"/>
      </rPr>
      <t xml:space="preserve">全成本 </t>
    </r>
    <r>
      <rPr>
        <sz val="10"/>
        <color rgb="FF000000"/>
        <rFont val="Arial"/>
        <family val="0"/>
        <charset val="1"/>
      </rPr>
      <t xml:space="preserve">$/M</t>
    </r>
    <r>
      <rPr>
        <sz val="10"/>
        <color rgb="FF000000"/>
        <rFont val="Noto Sans CJK SC"/>
        <family val="2"/>
      </rPr>
      <t xml:space="preserve">（服務＋快取儲存＋</t>
    </r>
    <r>
      <rPr>
        <sz val="10"/>
        <color rgb="FF000000"/>
        <rFont val="Arial"/>
        <family val="0"/>
        <charset val="1"/>
      </rPr>
      <t xml:space="preserve">K6 </t>
    </r>
    <r>
      <rPr>
        <sz val="10"/>
        <color rgb="FF000000"/>
        <rFont val="Noto Sans CJK SC"/>
        <family val="2"/>
      </rPr>
      <t xml:space="preserve">預設攤提；基準利用率；下游預設）　</t>
    </r>
    <r>
      <rPr>
        <sz val="10"/>
        <color rgb="FF000000"/>
        <rFont val="Arial"/>
        <family val="0"/>
        <charset val="1"/>
      </rPr>
      <t xml:space="preserve">[IF_FullCostDefault_Astra]</t>
    </r>
    <r>
      <rPr>
        <sz val="10"/>
        <color rgb="FF000000"/>
        <rFont val="Noto Sans CJK SC"/>
        <family val="2"/>
      </rPr>
      <t xml:space="preserve">｜</t>
    </r>
    <r>
      <rPr>
        <sz val="10"/>
        <color rgb="FF000000"/>
        <rFont val="Arial"/>
        <family val="0"/>
        <charset val="1"/>
      </rPr>
      <t xml:space="preserve">v15.0 O12 </t>
    </r>
    <r>
      <rPr>
        <sz val="10"/>
        <color rgb="FF000000"/>
        <rFont val="Noto Sans CJK SC"/>
        <family val="2"/>
      </rPr>
      <t xml:space="preserve">口徑：機隊占比取 </t>
    </r>
    <r>
      <rPr>
        <sz val="10"/>
        <color rgb="FF000000"/>
        <rFont val="Arial"/>
        <family val="0"/>
        <charset val="1"/>
      </rPr>
      <t xml:space="preserve">2025 OpenAI </t>
    </r>
    <r>
      <rPr>
        <sz val="10"/>
        <color rgb="FF000000"/>
        <rFont val="Noto Sans CJK SC"/>
        <family val="2"/>
      </rPr>
      <t xml:space="preserve">推論 </t>
    </r>
    <r>
      <rPr>
        <sz val="10"/>
        <color rgb="FF000000"/>
        <rFont val="Arial"/>
        <family val="0"/>
        <charset val="1"/>
      </rPr>
      <t xml:space="preserve">÷</t>
    </r>
    <r>
      <rPr>
        <sz val="10"/>
        <color rgb="FF000000"/>
        <rFont val="Noto Sans CJK SC"/>
        <family val="2"/>
      </rPr>
      <t xml:space="preserve">（推論＋訓練）支出比（</t>
    </r>
    <r>
      <rPr>
        <sz val="10"/>
        <color rgb="FF000000"/>
        <rFont val="Arial"/>
        <family val="0"/>
        <charset val="1"/>
      </rPr>
      <t xml:space="preserve">B4_Serve×(1−B4_Free)</t>
    </r>
    <r>
      <rPr>
        <sz val="10"/>
        <color rgb="FF000000"/>
        <rFont val="Noto Sans CJK SC"/>
        <family val="2"/>
      </rPr>
      <t xml:space="preserve">，全部世代同值，</t>
    </r>
    <r>
      <rPr>
        <sz val="10"/>
        <color rgb="FF000000"/>
        <rFont val="Arial"/>
        <family val="0"/>
        <charset val="1"/>
      </rPr>
      <t xml:space="preserve">Assumed</t>
    </r>
    <r>
      <rPr>
        <sz val="10"/>
        <color rgb="FF000000"/>
        <rFont val="Noto Sans CJK SC"/>
        <family val="2"/>
      </rPr>
      <t xml:space="preserve">）；訓練成本以 </t>
    </r>
    <r>
      <rPr>
        <sz val="10"/>
        <color rgb="FF000000"/>
        <rFont val="Arial"/>
        <family val="0"/>
        <charset val="1"/>
      </rPr>
      <t xml:space="preserve">100% </t>
    </r>
    <r>
      <rPr>
        <sz val="10"/>
        <color rgb="FF000000"/>
        <rFont val="Noto Sans CJK SC"/>
        <family val="2"/>
      </rPr>
      <t xml:space="preserve">利用率計、服務以 </t>
    </r>
    <r>
      <rPr>
        <sz val="10"/>
        <color rgb="FF000000"/>
        <rFont val="Arial"/>
        <family val="0"/>
        <charset val="1"/>
      </rPr>
      <t xml:space="preserve">÷IF_Util </t>
    </r>
    <r>
      <rPr>
        <sz val="10"/>
        <color rgb="FF000000"/>
        <rFont val="Noto Sans CJK SC"/>
        <family val="2"/>
      </rPr>
      <t xml:space="preserve">計；縮放倍數與隱含家族計畫數為 </t>
    </r>
    <r>
      <rPr>
        <sz val="10"/>
        <color rgb="FF000000"/>
        <rFont val="Arial"/>
        <family val="0"/>
        <charset val="1"/>
      </rPr>
      <t xml:space="preserve">Assumed</t>
    </r>
    <r>
      <rPr>
        <sz val="10"/>
        <color rgb="FF000000"/>
        <rFont val="Noto Sans CJK SC"/>
        <family val="2"/>
      </rPr>
      <t xml:space="preserve">，接受為決策（</t>
    </r>
    <r>
      <rPr>
        <sz val="10"/>
        <color rgb="FF000000"/>
        <rFont val="Arial"/>
        <family val="0"/>
        <charset val="1"/>
      </rPr>
      <t xml:space="preserve">Decisions SL46-16</t>
    </r>
    <r>
      <rPr>
        <sz val="10"/>
        <color rgb="FF000000"/>
        <rFont val="Noto Sans CJK SC"/>
        <family val="2"/>
      </rPr>
      <t xml:space="preserve">）</t>
    </r>
  </si>
  <si>
    <t xml:space="preserve">IF_FullCostDefault_Luna</t>
  </si>
  <si>
    <t xml:space="preserve">TK_IF_FullCostDefault_Luna</t>
  </si>
  <si>
    <r>
      <rPr>
        <sz val="10"/>
        <color rgb="FF000000"/>
        <rFont val="Noto Sans CJK SC"/>
        <family val="2"/>
      </rPr>
      <t xml:space="preserve">全成本 </t>
    </r>
    <r>
      <rPr>
        <sz val="10"/>
        <color rgb="FF000000"/>
        <rFont val="Arial"/>
        <family val="0"/>
        <charset val="1"/>
      </rPr>
      <t xml:space="preserve">$/M</t>
    </r>
    <r>
      <rPr>
        <sz val="10"/>
        <color rgb="FF000000"/>
        <rFont val="Noto Sans CJK SC"/>
        <family val="2"/>
      </rPr>
      <t xml:space="preserve">（服務＋快取儲存＋</t>
    </r>
    <r>
      <rPr>
        <sz val="10"/>
        <color rgb="FF000000"/>
        <rFont val="Arial"/>
        <family val="0"/>
        <charset val="1"/>
      </rPr>
      <t xml:space="preserve">K6 </t>
    </r>
    <r>
      <rPr>
        <sz val="10"/>
        <color rgb="FF000000"/>
        <rFont val="Noto Sans CJK SC"/>
        <family val="2"/>
      </rPr>
      <t xml:space="preserve">預設攤提；基準利用率；下游預設）　</t>
    </r>
    <r>
      <rPr>
        <sz val="10"/>
        <color rgb="FF000000"/>
        <rFont val="Arial"/>
        <family val="0"/>
        <charset val="1"/>
      </rPr>
      <t xml:space="preserve">[IF_FullCostDefault_Luna]</t>
    </r>
    <r>
      <rPr>
        <sz val="10"/>
        <color rgb="FF000000"/>
        <rFont val="Noto Sans CJK SC"/>
        <family val="2"/>
      </rPr>
      <t xml:space="preserve">｜</t>
    </r>
    <r>
      <rPr>
        <sz val="10"/>
        <color rgb="FF000000"/>
        <rFont val="Arial"/>
        <family val="0"/>
        <charset val="1"/>
      </rPr>
      <t xml:space="preserve">v15.0 O12 </t>
    </r>
    <r>
      <rPr>
        <sz val="10"/>
        <color rgb="FF000000"/>
        <rFont val="Noto Sans CJK SC"/>
        <family val="2"/>
      </rPr>
      <t xml:space="preserve">口徑：機隊占比取 </t>
    </r>
    <r>
      <rPr>
        <sz val="10"/>
        <color rgb="FF000000"/>
        <rFont val="Arial"/>
        <family val="0"/>
        <charset val="1"/>
      </rPr>
      <t xml:space="preserve">2025 OpenAI </t>
    </r>
    <r>
      <rPr>
        <sz val="10"/>
        <color rgb="FF000000"/>
        <rFont val="Noto Sans CJK SC"/>
        <family val="2"/>
      </rPr>
      <t xml:space="preserve">推論 </t>
    </r>
    <r>
      <rPr>
        <sz val="10"/>
        <color rgb="FF000000"/>
        <rFont val="Arial"/>
        <family val="0"/>
        <charset val="1"/>
      </rPr>
      <t xml:space="preserve">÷</t>
    </r>
    <r>
      <rPr>
        <sz val="10"/>
        <color rgb="FF000000"/>
        <rFont val="Noto Sans CJK SC"/>
        <family val="2"/>
      </rPr>
      <t xml:space="preserve">（推論＋訓練）支出比（</t>
    </r>
    <r>
      <rPr>
        <sz val="10"/>
        <color rgb="FF000000"/>
        <rFont val="Arial"/>
        <family val="0"/>
        <charset val="1"/>
      </rPr>
      <t xml:space="preserve">B4_Serve×(1−B4_Free)</t>
    </r>
    <r>
      <rPr>
        <sz val="10"/>
        <color rgb="FF000000"/>
        <rFont val="Noto Sans CJK SC"/>
        <family val="2"/>
      </rPr>
      <t xml:space="preserve">，全部世代同值，</t>
    </r>
    <r>
      <rPr>
        <sz val="10"/>
        <color rgb="FF000000"/>
        <rFont val="Arial"/>
        <family val="0"/>
        <charset val="1"/>
      </rPr>
      <t xml:space="preserve">Assumed</t>
    </r>
    <r>
      <rPr>
        <sz val="10"/>
        <color rgb="FF000000"/>
        <rFont val="Noto Sans CJK SC"/>
        <family val="2"/>
      </rPr>
      <t xml:space="preserve">）；訓練成本以 </t>
    </r>
    <r>
      <rPr>
        <sz val="10"/>
        <color rgb="FF000000"/>
        <rFont val="Arial"/>
        <family val="0"/>
        <charset val="1"/>
      </rPr>
      <t xml:space="preserve">100% </t>
    </r>
    <r>
      <rPr>
        <sz val="10"/>
        <color rgb="FF000000"/>
        <rFont val="Noto Sans CJK SC"/>
        <family val="2"/>
      </rPr>
      <t xml:space="preserve">利用率計、服務以 </t>
    </r>
    <r>
      <rPr>
        <sz val="10"/>
        <color rgb="FF000000"/>
        <rFont val="Arial"/>
        <family val="0"/>
        <charset val="1"/>
      </rPr>
      <t xml:space="preserve">÷IF_Util </t>
    </r>
    <r>
      <rPr>
        <sz val="10"/>
        <color rgb="FF000000"/>
        <rFont val="Noto Sans CJK SC"/>
        <family val="2"/>
      </rPr>
      <t xml:space="preserve">計；縮放倍數與隱含家族計畫數為 </t>
    </r>
    <r>
      <rPr>
        <sz val="10"/>
        <color rgb="FF000000"/>
        <rFont val="Arial"/>
        <family val="0"/>
        <charset val="1"/>
      </rPr>
      <t xml:space="preserve">Assumed</t>
    </r>
    <r>
      <rPr>
        <sz val="10"/>
        <color rgb="FF000000"/>
        <rFont val="Noto Sans CJK SC"/>
        <family val="2"/>
      </rPr>
      <t xml:space="preserve">，接受為決策（</t>
    </r>
    <r>
      <rPr>
        <sz val="10"/>
        <color rgb="FF000000"/>
        <rFont val="Arial"/>
        <family val="0"/>
        <charset val="1"/>
      </rPr>
      <t xml:space="preserve">Decisions SL46-16</t>
    </r>
    <r>
      <rPr>
        <sz val="10"/>
        <color rgb="FF000000"/>
        <rFont val="Noto Sans CJK SC"/>
        <family val="2"/>
      </rPr>
      <t xml:space="preserve">）</t>
    </r>
  </si>
  <si>
    <t xml:space="preserve">IF_FullCostDefault_Sol</t>
  </si>
  <si>
    <t xml:space="preserve">TK_IF_FullCostDefault_Sol</t>
  </si>
  <si>
    <r>
      <rPr>
        <sz val="10"/>
        <color rgb="FF000000"/>
        <rFont val="Noto Sans CJK SC"/>
        <family val="2"/>
      </rPr>
      <t xml:space="preserve">全成本 </t>
    </r>
    <r>
      <rPr>
        <sz val="10"/>
        <color rgb="FF000000"/>
        <rFont val="Arial"/>
        <family val="0"/>
        <charset val="1"/>
      </rPr>
      <t xml:space="preserve">$/M</t>
    </r>
    <r>
      <rPr>
        <sz val="10"/>
        <color rgb="FF000000"/>
        <rFont val="Noto Sans CJK SC"/>
        <family val="2"/>
      </rPr>
      <t xml:space="preserve">（服務＋快取儲存＋</t>
    </r>
    <r>
      <rPr>
        <sz val="10"/>
        <color rgb="FF000000"/>
        <rFont val="Arial"/>
        <family val="0"/>
        <charset val="1"/>
      </rPr>
      <t xml:space="preserve">K6 </t>
    </r>
    <r>
      <rPr>
        <sz val="10"/>
        <color rgb="FF000000"/>
        <rFont val="Noto Sans CJK SC"/>
        <family val="2"/>
      </rPr>
      <t xml:space="preserve">預設攤提；基準利用率；下游預設）　</t>
    </r>
    <r>
      <rPr>
        <sz val="10"/>
        <color rgb="FF000000"/>
        <rFont val="Arial"/>
        <family val="0"/>
        <charset val="1"/>
      </rPr>
      <t xml:space="preserve">[IF_FullCostDefault_Sol]</t>
    </r>
    <r>
      <rPr>
        <sz val="10"/>
        <color rgb="FF000000"/>
        <rFont val="Noto Sans CJK SC"/>
        <family val="2"/>
      </rPr>
      <t xml:space="preserve">｜</t>
    </r>
    <r>
      <rPr>
        <sz val="10"/>
        <color rgb="FF000000"/>
        <rFont val="Arial"/>
        <family val="0"/>
        <charset val="1"/>
      </rPr>
      <t xml:space="preserve">v15.0 O12 </t>
    </r>
    <r>
      <rPr>
        <sz val="10"/>
        <color rgb="FF000000"/>
        <rFont val="Noto Sans CJK SC"/>
        <family val="2"/>
      </rPr>
      <t xml:space="preserve">口徑：機隊占比取 </t>
    </r>
    <r>
      <rPr>
        <sz val="10"/>
        <color rgb="FF000000"/>
        <rFont val="Arial"/>
        <family val="0"/>
        <charset val="1"/>
      </rPr>
      <t xml:space="preserve">2025 OpenAI </t>
    </r>
    <r>
      <rPr>
        <sz val="10"/>
        <color rgb="FF000000"/>
        <rFont val="Noto Sans CJK SC"/>
        <family val="2"/>
      </rPr>
      <t xml:space="preserve">推論 </t>
    </r>
    <r>
      <rPr>
        <sz val="10"/>
        <color rgb="FF000000"/>
        <rFont val="Arial"/>
        <family val="0"/>
        <charset val="1"/>
      </rPr>
      <t xml:space="preserve">÷</t>
    </r>
    <r>
      <rPr>
        <sz val="10"/>
        <color rgb="FF000000"/>
        <rFont val="Noto Sans CJK SC"/>
        <family val="2"/>
      </rPr>
      <t xml:space="preserve">（推論＋訓練）支出比（</t>
    </r>
    <r>
      <rPr>
        <sz val="10"/>
        <color rgb="FF000000"/>
        <rFont val="Arial"/>
        <family val="0"/>
        <charset val="1"/>
      </rPr>
      <t xml:space="preserve">B4_Serve×(1−B4_Free)</t>
    </r>
    <r>
      <rPr>
        <sz val="10"/>
        <color rgb="FF000000"/>
        <rFont val="Noto Sans CJK SC"/>
        <family val="2"/>
      </rPr>
      <t xml:space="preserve">，全部世代同值，</t>
    </r>
    <r>
      <rPr>
        <sz val="10"/>
        <color rgb="FF000000"/>
        <rFont val="Arial"/>
        <family val="0"/>
        <charset val="1"/>
      </rPr>
      <t xml:space="preserve">Assumed</t>
    </r>
    <r>
      <rPr>
        <sz val="10"/>
        <color rgb="FF000000"/>
        <rFont val="Noto Sans CJK SC"/>
        <family val="2"/>
      </rPr>
      <t xml:space="preserve">）；訓練成本以 </t>
    </r>
    <r>
      <rPr>
        <sz val="10"/>
        <color rgb="FF000000"/>
        <rFont val="Arial"/>
        <family val="0"/>
        <charset val="1"/>
      </rPr>
      <t xml:space="preserve">100% </t>
    </r>
    <r>
      <rPr>
        <sz val="10"/>
        <color rgb="FF000000"/>
        <rFont val="Noto Sans CJK SC"/>
        <family val="2"/>
      </rPr>
      <t xml:space="preserve">利用率計、服務以 </t>
    </r>
    <r>
      <rPr>
        <sz val="10"/>
        <color rgb="FF000000"/>
        <rFont val="Arial"/>
        <family val="0"/>
        <charset val="1"/>
      </rPr>
      <t xml:space="preserve">÷IF_Util </t>
    </r>
    <r>
      <rPr>
        <sz val="10"/>
        <color rgb="FF000000"/>
        <rFont val="Noto Sans CJK SC"/>
        <family val="2"/>
      </rPr>
      <t xml:space="preserve">計；縮放倍數與隱含家族計畫數為 </t>
    </r>
    <r>
      <rPr>
        <sz val="10"/>
        <color rgb="FF000000"/>
        <rFont val="Arial"/>
        <family val="0"/>
        <charset val="1"/>
      </rPr>
      <t xml:space="preserve">Assumed</t>
    </r>
    <r>
      <rPr>
        <sz val="10"/>
        <color rgb="FF000000"/>
        <rFont val="Noto Sans CJK SC"/>
        <family val="2"/>
      </rPr>
      <t xml:space="preserve">，接受為決策（</t>
    </r>
    <r>
      <rPr>
        <sz val="10"/>
        <color rgb="FF000000"/>
        <rFont val="Arial"/>
        <family val="0"/>
        <charset val="1"/>
      </rPr>
      <t xml:space="preserve">Decisions SL46-16</t>
    </r>
    <r>
      <rPr>
        <sz val="10"/>
        <color rgb="FF000000"/>
        <rFont val="Noto Sans CJK SC"/>
        <family val="2"/>
      </rPr>
      <t xml:space="preserve">）</t>
    </r>
  </si>
  <si>
    <t xml:space="preserve">L1_Ans3</t>
  </si>
  <si>
    <t xml:space="preserve">TK_L1_Ans3</t>
  </si>
  <si>
    <r>
      <rPr>
        <sz val="10"/>
        <color rgb="FF000000"/>
        <rFont val="Noto Sans CJK SC"/>
        <family val="2"/>
      </rPr>
      <t xml:space="preserve">問 </t>
    </r>
    <r>
      <rPr>
        <sz val="10"/>
        <color rgb="FF000000"/>
        <rFont val="Arial"/>
        <family val="0"/>
        <charset val="1"/>
      </rPr>
      <t xml:space="preserve">3</t>
    </r>
    <r>
      <rPr>
        <sz val="10"/>
        <color rgb="FF000000"/>
        <rFont val="Noto Sans CJK SC"/>
        <family val="2"/>
      </rPr>
      <t xml:space="preserve">：研發占整體成本 </t>
    </r>
    <r>
      <rPr>
        <sz val="10"/>
        <color rgb="FF000000"/>
        <rFont val="Arial"/>
        <family val="0"/>
        <charset val="1"/>
      </rPr>
      <t xml:space="preserve">Q3</t>
    </r>
    <r>
      <rPr>
        <sz val="10"/>
        <color rgb="FF000000"/>
        <rFont val="Noto Sans CJK SC"/>
        <family val="2"/>
      </rPr>
      <t xml:space="preserve">（算力部分）（基準）</t>
    </r>
  </si>
  <si>
    <t xml:space="preserve">L1_Ans3_Lo</t>
  </si>
  <si>
    <t xml:space="preserve">TK_L1_Ans3_Lo</t>
  </si>
  <si>
    <r>
      <rPr>
        <sz val="10"/>
        <color rgb="FF000000"/>
        <rFont val="Noto Sans CJK SC"/>
        <family val="2"/>
      </rPr>
      <t xml:space="preserve">問 </t>
    </r>
    <r>
      <rPr>
        <sz val="10"/>
        <color rgb="FF000000"/>
        <rFont val="Arial"/>
        <family val="0"/>
        <charset val="1"/>
      </rPr>
      <t xml:space="preserve">3</t>
    </r>
    <r>
      <rPr>
        <sz val="10"/>
        <color rgb="FF000000"/>
        <rFont val="Noto Sans CJK SC"/>
        <family val="2"/>
      </rPr>
      <t xml:space="preserve">：研發占整體成本 </t>
    </r>
    <r>
      <rPr>
        <sz val="10"/>
        <color rgb="FF000000"/>
        <rFont val="Arial"/>
        <family val="0"/>
        <charset val="1"/>
      </rPr>
      <t xml:space="preserve">Q3</t>
    </r>
    <r>
      <rPr>
        <sz val="10"/>
        <color rgb="FF000000"/>
        <rFont val="Noto Sans CJK SC"/>
        <family val="2"/>
      </rPr>
      <t xml:space="preserve">（算力部分）（低）</t>
    </r>
  </si>
  <si>
    <t xml:space="preserve">L1_Ans3_Hi</t>
  </si>
  <si>
    <t xml:space="preserve">TK_L1_Ans3_Hi</t>
  </si>
  <si>
    <r>
      <rPr>
        <sz val="10"/>
        <color rgb="FF000000"/>
        <rFont val="Noto Sans CJK SC"/>
        <family val="2"/>
      </rPr>
      <t xml:space="preserve">問 </t>
    </r>
    <r>
      <rPr>
        <sz val="10"/>
        <color rgb="FF000000"/>
        <rFont val="Arial"/>
        <family val="0"/>
        <charset val="1"/>
      </rPr>
      <t xml:space="preserve">3</t>
    </r>
    <r>
      <rPr>
        <sz val="10"/>
        <color rgb="FF000000"/>
        <rFont val="Noto Sans CJK SC"/>
        <family val="2"/>
      </rPr>
      <t xml:space="preserve">：研發占整體成本 </t>
    </r>
    <r>
      <rPr>
        <sz val="10"/>
        <color rgb="FF000000"/>
        <rFont val="Arial"/>
        <family val="0"/>
        <charset val="1"/>
      </rPr>
      <t xml:space="preserve">Q3</t>
    </r>
    <r>
      <rPr>
        <sz val="10"/>
        <color rgb="FF000000"/>
        <rFont val="Noto Sans CJK SC"/>
        <family val="2"/>
      </rPr>
      <t xml:space="preserve">（算力部分）（高）</t>
    </r>
  </si>
  <si>
    <t xml:space="preserve">IF_CapexTotal</t>
  </si>
  <si>
    <t xml:space="preserve">TK_IF_CapexTotal</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</si>
  <si>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資本支出 — 合計</t>
    </r>
  </si>
  <si>
    <t xml:space="preserve">IF_CostCache_Astra</t>
  </si>
  <si>
    <t xml:space="preserve">TK_IF_CostCache_Astra</t>
  </si>
  <si>
    <r>
      <rPr>
        <sz val="10"/>
        <color rgb="FF000000"/>
        <rFont val="Noto Sans CJK SC"/>
        <family val="2"/>
      </rPr>
      <t xml:space="preserve">快取命中 </t>
    </r>
    <r>
      <rPr>
        <sz val="10"/>
        <color rgb="FF000000"/>
        <rFont val="Arial"/>
        <family val="0"/>
        <charset val="1"/>
      </rPr>
      <t xml:space="preserve">prefill $/M</t>
    </r>
    <r>
      <rPr>
        <sz val="10"/>
        <color rgb="FF000000"/>
        <rFont val="Noto Sans CJK SC"/>
        <family val="2"/>
      </rPr>
      <t xml:space="preserve">（經濟、</t>
    </r>
    <r>
      <rPr>
        <sz val="10"/>
        <color rgb="FF000000"/>
        <rFont val="Arial"/>
        <family val="0"/>
        <charset val="1"/>
      </rPr>
      <t xml:space="preserve">100%</t>
    </r>
    <r>
      <rPr>
        <sz val="10"/>
        <color rgb="FF000000"/>
        <rFont val="Noto Sans CJK SC"/>
        <family val="2"/>
      </rPr>
      <t xml:space="preserve">）</t>
    </r>
  </si>
  <si>
    <t xml:space="preserve">IF_CostCache_Luna</t>
  </si>
  <si>
    <t xml:space="preserve">TK_IF_CostCache_Luna</t>
  </si>
  <si>
    <t xml:space="preserve">IF_CostCache_Sol</t>
  </si>
  <si>
    <t xml:space="preserve">TK_IF_CostCache_Sol</t>
  </si>
  <si>
    <t xml:space="preserve">IF_CostDec_Astra</t>
  </si>
  <si>
    <t xml:space="preserve">TK_IF_CostDec_Astra</t>
  </si>
  <si>
    <r>
      <rPr>
        <sz val="10"/>
        <color rgb="FF000000"/>
        <rFont val="Arial"/>
        <family val="0"/>
        <charset val="1"/>
      </rPr>
      <t xml:space="preserve">decode</t>
    </r>
    <r>
      <rPr>
        <sz val="10"/>
        <color rgb="FF000000"/>
        <rFont val="Noto Sans CJK SC"/>
        <family val="2"/>
      </rPr>
      <t xml:space="preserve">（含思考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$/M</t>
    </r>
    <r>
      <rPr>
        <sz val="10"/>
        <color rgb="FF000000"/>
        <rFont val="Noto Sans CJK SC"/>
        <family val="2"/>
      </rPr>
      <t xml:space="preserve">（經濟、</t>
    </r>
    <r>
      <rPr>
        <sz val="10"/>
        <color rgb="FF000000"/>
        <rFont val="Arial"/>
        <family val="0"/>
        <charset val="1"/>
      </rPr>
      <t xml:space="preserve">100%</t>
    </r>
    <r>
      <rPr>
        <sz val="10"/>
        <color rgb="FF000000"/>
        <rFont val="Noto Sans CJK SC"/>
        <family val="2"/>
      </rPr>
      <t xml:space="preserve">）</t>
    </r>
  </si>
  <si>
    <t xml:space="preserve">IF_CostDec_Luna</t>
  </si>
  <si>
    <t xml:space="preserve">TK_IF_CostDec_Luna</t>
  </si>
  <si>
    <t xml:space="preserve">IF_CostDec_Sol</t>
  </si>
  <si>
    <t xml:space="preserve">TK_IF_CostDec_Sol</t>
  </si>
  <si>
    <t xml:space="preserve">IF_CostPre_Astra</t>
  </si>
  <si>
    <t xml:space="preserve">TK_IF_CostPre_Astra</t>
  </si>
  <si>
    <r>
      <rPr>
        <sz val="10"/>
        <color rgb="FF000000"/>
        <rFont val="Noto Sans CJK SC"/>
        <family val="2"/>
      </rPr>
      <t xml:space="preserve">新鮮 </t>
    </r>
    <r>
      <rPr>
        <sz val="10"/>
        <color rgb="FF000000"/>
        <rFont val="Arial"/>
        <family val="0"/>
        <charset val="1"/>
      </rPr>
      <t xml:space="preserve">prefill $/M</t>
    </r>
    <r>
      <rPr>
        <sz val="10"/>
        <color rgb="FF000000"/>
        <rFont val="Noto Sans CJK SC"/>
        <family val="2"/>
      </rPr>
      <t xml:space="preserve">（經濟、</t>
    </r>
    <r>
      <rPr>
        <sz val="10"/>
        <color rgb="FF000000"/>
        <rFont val="Arial"/>
        <family val="0"/>
        <charset val="1"/>
      </rPr>
      <t xml:space="preserve">100%</t>
    </r>
    <r>
      <rPr>
        <sz val="10"/>
        <color rgb="FF000000"/>
        <rFont val="Noto Sans CJK SC"/>
        <family val="2"/>
      </rPr>
      <t xml:space="preserve">）</t>
    </r>
  </si>
  <si>
    <t xml:space="preserve">IF_CostPre_Luna</t>
  </si>
  <si>
    <t xml:space="preserve">TK_IF_CostPre_Luna</t>
  </si>
  <si>
    <t xml:space="preserve">IF_CostPre_Sol</t>
  </si>
  <si>
    <t xml:space="preserve">TK_IF_CostPre_Sol</t>
  </si>
  <si>
    <t xml:space="preserve">IF_OpexGW</t>
  </si>
  <si>
    <t xml:space="preserve">TK_IF_OpexGW</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</si>
  <si>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營運費用小計（不含折舊；含電費）</t>
    </r>
  </si>
  <si>
    <t xml:space="preserve">IF_DeprLifeIT</t>
  </si>
  <si>
    <t xml:space="preserve">TK_IF_DeprLifeIT</t>
  </si>
  <si>
    <r>
      <rPr>
        <sz val="10"/>
        <color rgb="FF000000"/>
        <rFont val="Arial"/>
        <family val="0"/>
        <charset val="1"/>
      </rPr>
      <t xml:space="preserve">IT </t>
    </r>
    <r>
      <rPr>
        <sz val="10"/>
        <color rgb="FF000000"/>
        <rFont val="Noto Sans CJK SC"/>
        <family val="2"/>
      </rPr>
      <t xml:space="preserve">折舊年限</t>
    </r>
  </si>
  <si>
    <t xml:space="preserve">RNG_IF_AllocRDGW_Lo</t>
  </si>
  <si>
    <t xml:space="preserve">TK_RNG_IF_AllocRDGW_Lo</t>
  </si>
  <si>
    <r>
      <rPr>
        <sz val="10"/>
        <color rgb="FF000000"/>
        <rFont val="Arial"/>
        <family val="0"/>
        <charset val="1"/>
      </rPr>
      <t xml:space="preserve">IF_AllocRDGW </t>
    </r>
    <r>
      <rPr>
        <sz val="10"/>
        <color rgb="FF000000"/>
        <rFont val="Noto Sans CJK SC"/>
        <family val="2"/>
      </rPr>
      <t xml:space="preserve">下限 </t>
    </r>
    <r>
      <rPr>
        <sz val="10"/>
        <color rgb="FF000000"/>
        <rFont val="Arial"/>
        <family val="0"/>
        <charset val="1"/>
      </rPr>
      <t xml:space="preserve">Lo</t>
    </r>
  </si>
  <si>
    <t xml:space="preserve">RNG_IF_AllocRDGW_Hi</t>
  </si>
  <si>
    <t xml:space="preserve">TK_RNG_IF_AllocRDGW_Hi</t>
  </si>
  <si>
    <r>
      <rPr>
        <sz val="10"/>
        <color rgb="FF000000"/>
        <rFont val="Arial"/>
        <family val="0"/>
        <charset val="1"/>
      </rPr>
      <t xml:space="preserve">IF_AllocRDGW </t>
    </r>
    <r>
      <rPr>
        <sz val="10"/>
        <color rgb="FF000000"/>
        <rFont val="Noto Sans CJK SC"/>
        <family val="2"/>
      </rPr>
      <t xml:space="preserve">上限 </t>
    </r>
    <r>
      <rPr>
        <sz val="10"/>
        <color rgb="FF000000"/>
        <rFont val="Arial"/>
        <family val="0"/>
        <charset val="1"/>
      </rPr>
      <t xml:space="preserve">Hi</t>
    </r>
  </si>
  <si>
    <t xml:space="preserve">RNG_StaleFlag</t>
  </si>
  <si>
    <t xml:space="preserve">TK_RNG_StaleFlag</t>
  </si>
  <si>
    <t xml:space="preserve">區間時效旗標</t>
  </si>
  <si>
    <t xml:space="preserve">一致</t>
  </si>
  <si>
    <r>
      <rPr>
        <sz val="10"/>
        <color rgb="FF000000"/>
        <rFont val="Noto Sans CJK SC"/>
        <family val="2"/>
      </rPr>
      <t xml:space="preserve">（讀表）</t>
    </r>
    <r>
      <rPr>
        <sz val="10"/>
        <color rgb="FF000000"/>
        <rFont val="Arial"/>
        <family val="0"/>
        <charset val="1"/>
      </rPr>
      <t xml:space="preserve">Cap_In!54</t>
    </r>
  </si>
  <si>
    <t xml:space="preserve">TK_RD_CapIn_GLM53</t>
  </si>
  <si>
    <r>
      <rPr>
        <sz val="10"/>
        <color rgb="FF000000"/>
        <rFont val="Arial"/>
        <family val="0"/>
        <charset val="1"/>
      </rPr>
      <t xml:space="preserve">Cap_In F </t>
    </r>
    <r>
      <rPr>
        <sz val="10"/>
        <color rgb="FF000000"/>
        <rFont val="Noto Sans CJK SC"/>
        <family val="2"/>
      </rPr>
      <t xml:space="preserve">表 </t>
    </r>
    <r>
      <rPr>
        <sz val="10"/>
        <color rgb="FF000000"/>
        <rFont val="Arial"/>
        <family val="0"/>
        <charset val="1"/>
      </rPr>
      <t xml:space="preserve">GLM-5.3</t>
    </r>
    <r>
      <rPr>
        <sz val="10"/>
        <color rgb="FF000000"/>
        <rFont val="Noto Sans CJK SC"/>
        <family val="2"/>
      </rPr>
      <t xml:space="preserve">：新鮮輸入、快取輸入、輸出（國際站 </t>
    </r>
    <r>
      <rPr>
        <sz val="10"/>
        <color rgb="FF000000"/>
        <rFont val="Arial"/>
        <family val="0"/>
        <charset val="1"/>
      </rPr>
      <t xml:space="preserve">$/M</t>
    </r>
    <r>
      <rPr>
        <sz val="10"/>
        <color rgb="FF000000"/>
        <rFont val="Noto Sans CJK SC"/>
        <family val="2"/>
      </rPr>
      <t xml:space="preserve">）、尖峰離峰、能力指數（</t>
    </r>
    <r>
      <rPr>
        <sz val="10"/>
        <color rgb="FF000000"/>
        <rFont val="Arial"/>
        <family val="0"/>
        <charset val="1"/>
      </rPr>
      <t xml:space="preserve">Cap_In!E54</t>
    </r>
    <r>
      <rPr>
        <sz val="10"/>
        <color rgb="FF000000"/>
        <rFont val="Noto Sans CJK SC"/>
        <family val="2"/>
      </rPr>
      <t xml:space="preserve">，標籤『</t>
    </r>
    <r>
      <rPr>
        <sz val="10"/>
        <color rgb="FF000000"/>
        <rFont val="Arial"/>
        <family val="0"/>
        <charset val="1"/>
      </rPr>
      <t xml:space="preserve">GLM-5.3</t>
    </r>
    <r>
      <rPr>
        <sz val="10"/>
        <color rgb="FF000000"/>
        <rFont val="Noto Sans CJK SC"/>
        <family val="2"/>
      </rPr>
      <t xml:space="preserve">』）</t>
    </r>
  </si>
  <si>
    <r>
      <rPr>
        <sz val="10"/>
        <color rgb="FF000000"/>
        <rFont val="Arial"/>
        <family val="0"/>
        <charset val="1"/>
      </rPr>
      <t xml:space="preserve">$/M</t>
    </r>
    <r>
      <rPr>
        <sz val="10"/>
        <color rgb="FF000000"/>
        <rFont val="Noto Sans CJK SC"/>
        <family val="2"/>
      </rPr>
      <t xml:space="preserve">；指數</t>
    </r>
  </si>
  <si>
    <t xml:space="preserve">讀表（非具名）</t>
  </si>
  <si>
    <r>
      <rPr>
        <sz val="10"/>
        <color rgb="FF000000"/>
        <rFont val="Noto Sans CJK SC"/>
        <family val="2"/>
      </rPr>
      <t xml:space="preserve">（讀表）</t>
    </r>
    <r>
      <rPr>
        <sz val="10"/>
        <color rgb="FF000000"/>
        <rFont val="Arial"/>
        <family val="0"/>
        <charset val="1"/>
      </rPr>
      <t xml:space="preserve">Cap_In!55</t>
    </r>
  </si>
  <si>
    <t xml:space="preserve">TK_RD_CapIn_GLM53Flash</t>
  </si>
  <si>
    <r>
      <rPr>
        <sz val="10"/>
        <color rgb="FF000000"/>
        <rFont val="Arial"/>
        <family val="0"/>
        <charset val="1"/>
      </rPr>
      <t xml:space="preserve">Cap_In F </t>
    </r>
    <r>
      <rPr>
        <sz val="10"/>
        <color rgb="FF000000"/>
        <rFont val="Noto Sans CJK SC"/>
        <family val="2"/>
      </rPr>
      <t xml:space="preserve">表 </t>
    </r>
    <r>
      <rPr>
        <sz val="10"/>
        <color rgb="FF000000"/>
        <rFont val="Arial"/>
        <family val="0"/>
        <charset val="1"/>
      </rPr>
      <t xml:space="preserve">GLM-5.3-Flash</t>
    </r>
    <r>
      <rPr>
        <sz val="10"/>
        <color rgb="FF000000"/>
        <rFont val="Noto Sans CJK SC"/>
        <family val="2"/>
      </rPr>
      <t xml:space="preserve">：同上（</t>
    </r>
    <r>
      <rPr>
        <sz val="10"/>
        <color rgb="FF000000"/>
        <rFont val="Arial"/>
        <family val="0"/>
        <charset val="1"/>
      </rPr>
      <t xml:space="preserve">Cap_In!E55</t>
    </r>
    <r>
      <rPr>
        <sz val="10"/>
        <color rgb="FF000000"/>
        <rFont val="Noto Sans CJK SC"/>
        <family val="2"/>
      </rPr>
      <t xml:space="preserve">，標籤『</t>
    </r>
    <r>
      <rPr>
        <sz val="10"/>
        <color rgb="FF000000"/>
        <rFont val="Arial"/>
        <family val="0"/>
        <charset val="1"/>
      </rPr>
      <t xml:space="preserve">GLM-5.3-Flash</t>
    </r>
    <r>
      <rPr>
        <sz val="10"/>
        <color rgb="FF000000"/>
        <rFont val="Noto Sans CJK SC"/>
        <family val="2"/>
      </rPr>
      <t xml:space="preserve">』）</t>
    </r>
  </si>
  <si>
    <r>
      <rPr>
        <sz val="10"/>
        <color rgb="FF000000"/>
        <rFont val="Noto Sans CJK SC"/>
        <family val="2"/>
      </rPr>
      <t xml:space="preserve">（讀表）</t>
    </r>
    <r>
      <rPr>
        <sz val="10"/>
        <color rgb="FF000000"/>
        <rFont val="Arial"/>
        <family val="0"/>
        <charset val="1"/>
      </rPr>
      <t xml:space="preserve">Price_Frontier!14</t>
    </r>
  </si>
  <si>
    <t xml:space="preserve">TK_RD_PF_GLM53_Mix</t>
  </si>
  <si>
    <r>
      <rPr>
        <sz val="10"/>
        <color rgb="FF000000"/>
        <rFont val="Arial"/>
        <family val="0"/>
        <charset val="1"/>
      </rPr>
      <t xml:space="preserve">Price_Frontier A </t>
    </r>
    <r>
      <rPr>
        <sz val="10"/>
        <color rgb="FF000000"/>
        <rFont val="Noto Sans CJK SC"/>
        <family val="2"/>
      </rPr>
      <t xml:space="preserve">表 </t>
    </r>
    <r>
      <rPr>
        <sz val="10"/>
        <color rgb="FF000000"/>
        <rFont val="Arial"/>
        <family val="0"/>
        <charset val="1"/>
      </rPr>
      <t xml:space="preserve">GLM-5.3</t>
    </r>
    <r>
      <rPr>
        <sz val="10"/>
        <color rgb="FF000000"/>
        <rFont val="Noto Sans CJK SC"/>
        <family val="2"/>
      </rPr>
      <t xml:space="preserve">：參考請求混合單價（</t>
    </r>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Astra </t>
    </r>
    <r>
      <rPr>
        <sz val="10"/>
        <color rgb="FF000000"/>
        <rFont val="Noto Sans CJK SC"/>
        <family val="2"/>
      </rPr>
      <t xml:space="preserve">參考請求）（</t>
    </r>
    <r>
      <rPr>
        <sz val="10"/>
        <color rgb="FF000000"/>
        <rFont val="Arial"/>
        <family val="0"/>
        <charset val="1"/>
      </rPr>
      <t xml:space="preserve">Price_Frontier!H14</t>
    </r>
    <r>
      <rPr>
        <sz val="10"/>
        <color rgb="FF000000"/>
        <rFont val="Noto Sans CJK SC"/>
        <family val="2"/>
      </rPr>
      <t xml:space="preserve">，標籤『</t>
    </r>
    <r>
      <rPr>
        <sz val="10"/>
        <color rgb="FF000000"/>
        <rFont val="Arial"/>
        <family val="0"/>
        <charset val="1"/>
      </rPr>
      <t xml:space="preserve">GLM-5.3</t>
    </r>
    <r>
      <rPr>
        <sz val="10"/>
        <color rgb="FF000000"/>
        <rFont val="Noto Sans CJK SC"/>
        <family val="2"/>
      </rPr>
      <t xml:space="preserve">』）</t>
    </r>
  </si>
  <si>
    <r>
      <rPr>
        <sz val="10"/>
        <color rgb="FF000000"/>
        <rFont val="Noto Sans CJK SC"/>
        <family val="2"/>
      </rPr>
      <t xml:space="preserve">（讀表）</t>
    </r>
    <r>
      <rPr>
        <sz val="10"/>
        <color rgb="FF000000"/>
        <rFont val="Arial"/>
        <family val="0"/>
        <charset val="1"/>
      </rPr>
      <t xml:space="preserve">Price_Frontier!15</t>
    </r>
  </si>
  <si>
    <t xml:space="preserve">TK_RD_PF_GLM53Flash_Mix</t>
  </si>
  <si>
    <r>
      <rPr>
        <sz val="10"/>
        <color rgb="FF000000"/>
        <rFont val="Arial"/>
        <family val="0"/>
        <charset val="1"/>
      </rPr>
      <t xml:space="preserve">Price_Frontier A </t>
    </r>
    <r>
      <rPr>
        <sz val="10"/>
        <color rgb="FF000000"/>
        <rFont val="Noto Sans CJK SC"/>
        <family val="2"/>
      </rPr>
      <t xml:space="preserve">表 </t>
    </r>
    <r>
      <rPr>
        <sz val="10"/>
        <color rgb="FF000000"/>
        <rFont val="Arial"/>
        <family val="0"/>
        <charset val="1"/>
      </rPr>
      <t xml:space="preserve">GLM-5.3-Flash</t>
    </r>
    <r>
      <rPr>
        <sz val="10"/>
        <color rgb="FF000000"/>
        <rFont val="Noto Sans CJK SC"/>
        <family val="2"/>
      </rPr>
      <t xml:space="preserve">：同上（</t>
    </r>
    <r>
      <rPr>
        <sz val="10"/>
        <color rgb="FF000000"/>
        <rFont val="Arial"/>
        <family val="0"/>
        <charset val="1"/>
      </rPr>
      <t xml:space="preserve">Price_Frontier!H15</t>
    </r>
    <r>
      <rPr>
        <sz val="10"/>
        <color rgb="FF000000"/>
        <rFont val="Noto Sans CJK SC"/>
        <family val="2"/>
      </rPr>
      <t xml:space="preserve">，標籤『</t>
    </r>
    <r>
      <rPr>
        <sz val="10"/>
        <color rgb="FF000000"/>
        <rFont val="Arial"/>
        <family val="0"/>
        <charset val="1"/>
      </rPr>
      <t xml:space="preserve">GLM-5.3-Flash</t>
    </r>
    <r>
      <rPr>
        <sz val="10"/>
        <color rgb="FF000000"/>
        <rFont val="Noto Sans CJK SC"/>
        <family val="2"/>
      </rPr>
      <t xml:space="preserve">』）</t>
    </r>
  </si>
  <si>
    <r>
      <rPr>
        <sz val="10"/>
        <color rgb="FF000000"/>
        <rFont val="Noto Sans CJK SC"/>
        <family val="2"/>
      </rPr>
      <t xml:space="preserve">（讀表）</t>
    </r>
    <r>
      <rPr>
        <sz val="10"/>
        <color rgb="FF000000"/>
        <rFont val="Arial"/>
        <family val="0"/>
        <charset val="1"/>
      </rPr>
      <t xml:space="preserve">Price_Frontier!31</t>
    </r>
  </si>
  <si>
    <t xml:space="preserve">TK_RD_PF_ChinaFront</t>
  </si>
  <si>
    <r>
      <rPr>
        <sz val="10"/>
        <color rgb="FF000000"/>
        <rFont val="Arial"/>
        <family val="0"/>
        <charset val="1"/>
      </rPr>
      <t xml:space="preserve">Price_Frontier B </t>
    </r>
    <r>
      <rPr>
        <sz val="10"/>
        <color rgb="FF000000"/>
        <rFont val="Noto Sans CJK SC"/>
        <family val="2"/>
      </rPr>
      <t xml:space="preserve">表：中國合格前緣混合單價（</t>
    </r>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Astra</t>
    </r>
    <r>
      <rPr>
        <sz val="10"/>
        <color rgb="FF000000"/>
        <rFont val="Noto Sans CJK SC"/>
        <family val="2"/>
      </rPr>
      <t xml:space="preserve">；無合格者為文字）（</t>
    </r>
    <r>
      <rPr>
        <sz val="10"/>
        <color rgb="FF000000"/>
        <rFont val="Arial"/>
        <family val="0"/>
        <charset val="1"/>
      </rPr>
      <t xml:space="preserve">Price_Frontier!C31</t>
    </r>
    <r>
      <rPr>
        <sz val="10"/>
        <color rgb="FF000000"/>
        <rFont val="Noto Sans CJK SC"/>
        <family val="2"/>
      </rPr>
      <t xml:space="preserve">，標籤『中國廠商 合格者最低 混合單價』）</t>
    </r>
  </si>
  <si>
    <t xml:space="preserve">無合格</t>
  </si>
  <si>
    <r>
      <rPr>
        <sz val="10"/>
        <color rgb="FF000000"/>
        <rFont val="Noto Sans CJK SC"/>
        <family val="2"/>
      </rPr>
      <t xml:space="preserve">（讀表）</t>
    </r>
    <r>
      <rPr>
        <sz val="10"/>
        <color rgb="FF000000"/>
        <rFont val="Arial"/>
        <family val="0"/>
        <charset val="1"/>
      </rPr>
      <t xml:space="preserve">Price_Frontier!32</t>
    </r>
  </si>
  <si>
    <t xml:space="preserve">TK_RD_PF_ChinaFrontModel</t>
  </si>
  <si>
    <r>
      <rPr>
        <sz val="10"/>
        <color rgb="FF000000"/>
        <rFont val="Arial"/>
        <family val="0"/>
        <charset val="1"/>
      </rPr>
      <t xml:space="preserve">Price_Frontier B </t>
    </r>
    <r>
      <rPr>
        <sz val="10"/>
        <color rgb="FF000000"/>
        <rFont val="Noto Sans CJK SC"/>
        <family val="2"/>
      </rPr>
      <t xml:space="preserve">表：中國合格前緣模型名（</t>
    </r>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Astra</t>
    </r>
    <r>
      <rPr>
        <sz val="10"/>
        <color rgb="FF000000"/>
        <rFont val="Noto Sans CJK SC"/>
        <family val="2"/>
      </rPr>
      <t xml:space="preserve">）（</t>
    </r>
    <r>
      <rPr>
        <sz val="10"/>
        <color rgb="FF000000"/>
        <rFont val="Arial"/>
        <family val="0"/>
        <charset val="1"/>
      </rPr>
      <t xml:space="preserve">Price_Frontier!C32</t>
    </r>
    <r>
      <rPr>
        <sz val="10"/>
        <color rgb="FF000000"/>
        <rFont val="Noto Sans CJK SC"/>
        <family val="2"/>
      </rPr>
      <t xml:space="preserve">，標籤『中國廠商 合格者最低 模型』）</t>
    </r>
  </si>
  <si>
    <t xml:space="preserve">GLM-5.3-Flash</t>
  </si>
  <si>
    <r>
      <rPr>
        <sz val="10"/>
        <color rgb="FF000000"/>
        <rFont val="Noto Sans CJK SC"/>
        <family val="2"/>
      </rPr>
      <t xml:space="preserve">（讀表）</t>
    </r>
    <r>
      <rPr>
        <sz val="10"/>
        <color rgb="FF000000"/>
        <rFont val="Arial"/>
        <family val="0"/>
        <charset val="1"/>
      </rPr>
      <t xml:space="preserve">Price_Frontier!33</t>
    </r>
  </si>
  <si>
    <t xml:space="preserve">TK_RD_PF_ChinaVsOAI</t>
  </si>
  <si>
    <r>
      <rPr>
        <sz val="10"/>
        <color rgb="FF000000"/>
        <rFont val="Arial"/>
        <family val="0"/>
        <charset val="1"/>
      </rPr>
      <t xml:space="preserve">Price_Frontier B </t>
    </r>
    <r>
      <rPr>
        <sz val="10"/>
        <color rgb="FF000000"/>
        <rFont val="Noto Sans CJK SC"/>
        <family val="2"/>
      </rPr>
      <t xml:space="preserve">表：中國合格前緣 </t>
    </r>
    <r>
      <rPr>
        <sz val="10"/>
        <color rgb="FF000000"/>
        <rFont val="Arial"/>
        <family val="0"/>
        <charset val="1"/>
      </rPr>
      <t xml:space="preserve">÷ OpenAI </t>
    </r>
    <r>
      <rPr>
        <sz val="10"/>
        <color rgb="FF000000"/>
        <rFont val="Noto Sans CJK SC"/>
        <family val="2"/>
      </rPr>
      <t xml:space="preserve">層級模型（</t>
    </r>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Astra</t>
    </r>
    <r>
      <rPr>
        <sz val="10"/>
        <color rgb="FF000000"/>
        <rFont val="Noto Sans CJK SC"/>
        <family val="2"/>
      </rPr>
      <t xml:space="preserve">）（</t>
    </r>
    <r>
      <rPr>
        <sz val="10"/>
        <color rgb="FF000000"/>
        <rFont val="Arial"/>
        <family val="0"/>
        <charset val="1"/>
      </rPr>
      <t xml:space="preserve">Price_Frontier!C33</t>
    </r>
    <r>
      <rPr>
        <sz val="10"/>
        <color rgb="FF000000"/>
        <rFont val="Noto Sans CJK SC"/>
        <family val="2"/>
      </rPr>
      <t xml:space="preserve">，標籤『中國合格者最低 </t>
    </r>
    <r>
      <rPr>
        <sz val="10"/>
        <color rgb="FF000000"/>
        <rFont val="Arial"/>
        <family val="0"/>
        <charset val="1"/>
      </rPr>
      <t xml:space="preserve">÷ OpenAI </t>
    </r>
    <r>
      <rPr>
        <sz val="10"/>
        <color rgb="FF000000"/>
        <rFont val="Noto Sans CJK SC"/>
        <family val="2"/>
      </rPr>
      <t xml:space="preserve">層級模型』）</t>
    </r>
  </si>
  <si>
    <r>
      <rPr>
        <b val="true"/>
        <sz val="13"/>
        <rFont val="Arial"/>
        <family val="0"/>
        <charset val="1"/>
      </rPr>
      <t xml:space="preserve">OAI_Link — OpenAI </t>
    </r>
    <r>
      <rPr>
        <b val="true"/>
        <sz val="13"/>
        <rFont val="Noto Sans CJK SC"/>
        <family val="2"/>
      </rPr>
      <t xml:space="preserve">命題輸出快照（版本見檔名列）（美元；只被 </t>
    </r>
    <r>
      <rPr>
        <b val="true"/>
        <sz val="13"/>
        <rFont val="Arial"/>
        <family val="0"/>
        <charset val="1"/>
      </rPr>
      <t xml:space="preserve">Checks </t>
    </r>
    <r>
      <rPr>
        <b val="true"/>
        <sz val="13"/>
        <rFont val="Noto Sans CJK SC"/>
        <family val="2"/>
      </rPr>
      <t xml:space="preserve">與 </t>
    </r>
    <r>
      <rPr>
        <b val="true"/>
        <sz val="13"/>
        <rFont val="Arial"/>
        <family val="0"/>
        <charset val="1"/>
      </rPr>
      <t xml:space="preserve">HTML </t>
    </r>
    <r>
      <rPr>
        <b val="true"/>
        <sz val="13"/>
        <rFont val="Noto Sans CJK SC"/>
        <family val="2"/>
      </rPr>
      <t xml:space="preserve">引用，規格 </t>
    </r>
    <r>
      <rPr>
        <b val="true"/>
        <sz val="13"/>
        <rFont val="Arial"/>
        <family val="0"/>
        <charset val="1"/>
      </rPr>
      <t xml:space="preserve">D26</t>
    </r>
    <r>
      <rPr>
        <b val="true"/>
        <sz val="13"/>
        <rFont val="Noto Sans CJK SC"/>
        <family val="2"/>
      </rPr>
      <t xml:space="preserve">）</t>
    </r>
  </si>
  <si>
    <r>
      <rPr>
        <sz val="9"/>
        <color rgb="FF595959"/>
        <rFont val="Noto Sans CJK SC"/>
        <family val="2"/>
      </rPr>
      <t xml:space="preserve">值（藍字）由 </t>
    </r>
    <r>
      <rPr>
        <sz val="9"/>
        <color rgb="FF595959"/>
        <rFont val="Arial"/>
        <family val="0"/>
        <charset val="1"/>
      </rPr>
      <t xml:space="preserve">builder </t>
    </r>
    <r>
      <rPr>
        <sz val="9"/>
        <color rgb="FF595959"/>
        <rFont val="Noto Sans CJK SC"/>
        <family val="2"/>
      </rPr>
      <t xml:space="preserve">從 </t>
    </r>
    <r>
      <rPr>
        <sz val="9"/>
        <color rgb="FF595959"/>
        <rFont val="Arial"/>
        <family val="0"/>
        <charset val="1"/>
      </rPr>
      <t xml:space="preserve">OpenAI Excel</t>
    </r>
    <r>
      <rPr>
        <sz val="9"/>
        <color rgb="FF595959"/>
        <rFont val="Noto Sans CJK SC"/>
        <family val="2"/>
      </rPr>
      <t xml:space="preserve">（</t>
    </r>
    <r>
      <rPr>
        <sz val="9"/>
        <color rgb="FF595959"/>
        <rFont val="Arial"/>
        <family val="0"/>
        <charset val="1"/>
      </rPr>
      <t xml:space="preserve">main </t>
    </r>
    <r>
      <rPr>
        <sz val="9"/>
        <color rgb="FF595959"/>
        <rFont val="Noto Sans CJK SC"/>
        <family val="2"/>
      </rPr>
      <t xml:space="preserve">上 </t>
    </r>
    <r>
      <rPr>
        <sz val="9"/>
        <color rgb="FF595959"/>
        <rFont val="Arial"/>
        <family val="0"/>
        <charset val="1"/>
      </rPr>
      <t xml:space="preserve">openai/model/CURRENT</t>
    </r>
    <r>
      <rPr>
        <sz val="9"/>
        <color rgb="FF595959"/>
        <rFont val="Noto Sans CJK SC"/>
        <family val="2"/>
      </rPr>
      <t xml:space="preserve">）的具名範圍讀出（</t>
    </r>
    <r>
      <rPr>
        <sz val="9"/>
        <color rgb="FF595959"/>
        <rFont val="Arial"/>
        <family val="0"/>
        <charset val="1"/>
      </rPr>
      <t xml:space="preserve">LibreOffice </t>
    </r>
    <r>
      <rPr>
        <sz val="9"/>
        <color rgb="FF595959"/>
        <rFont val="Noto Sans CJK SC"/>
        <family val="2"/>
      </rPr>
      <t xml:space="preserve">重算後快取值）。本頁不參與任何計算；</t>
    </r>
    <r>
      <rPr>
        <sz val="9"/>
        <color rgb="FF595959"/>
        <rFont val="Arial"/>
        <family val="0"/>
        <charset val="1"/>
      </rPr>
      <t xml:space="preserve">test_builder </t>
    </r>
    <r>
      <rPr>
        <sz val="9"/>
        <color rgb="FF595959"/>
        <rFont val="Noto Sans CJK SC"/>
        <family val="2"/>
      </rPr>
      <t xml:space="preserve">掃描其他頁公式不得含 </t>
    </r>
    <r>
      <rPr>
        <sz val="9"/>
        <color rgb="FF595959"/>
        <rFont val="Arial"/>
        <family val="0"/>
        <charset val="1"/>
      </rPr>
      <t xml:space="preserve">OAI_</t>
    </r>
    <r>
      <rPr>
        <sz val="9"/>
        <color rgb="FF595959"/>
        <rFont val="Noto Sans CJK SC"/>
        <family val="2"/>
      </rPr>
      <t xml:space="preserve">。</t>
    </r>
  </si>
  <si>
    <r>
      <rPr>
        <b val="true"/>
        <sz val="10"/>
        <rFont val="Arial"/>
        <family val="0"/>
        <charset val="1"/>
      </rPr>
      <t xml:space="preserve">OpenAI Excel </t>
    </r>
    <r>
      <rPr>
        <b val="true"/>
        <sz val="10"/>
        <rFont val="Noto Sans CJK SC"/>
        <family val="2"/>
      </rPr>
      <t xml:space="preserve">檔案</t>
    </r>
  </si>
  <si>
    <t xml:space="preserve">20261022_OpenAI_v0.6.2.xlsx</t>
  </si>
  <si>
    <t xml:space="preserve">SHA-256</t>
  </si>
  <si>
    <t xml:space="preserve">7f023c084f2f6f3f0bf2ffba23015a36d2206509e66bcd422223f40b614cf9f3</t>
  </si>
  <si>
    <t xml:space="preserve">來源分支與提交</t>
  </si>
  <si>
    <t xml:space="preserve">main@f645e19</t>
  </si>
  <si>
    <r>
      <rPr>
        <b val="true"/>
        <sz val="10"/>
        <rFont val="Arial"/>
        <family val="0"/>
        <charset val="1"/>
      </rPr>
      <t xml:space="preserve">OpenAI </t>
    </r>
    <r>
      <rPr>
        <b val="true"/>
        <sz val="10"/>
        <rFont val="Noto Sans CJK SC"/>
        <family val="2"/>
      </rPr>
      <t xml:space="preserve">名稱</t>
    </r>
  </si>
  <si>
    <t xml:space="preserve">2027</t>
  </si>
  <si>
    <t xml:space="preserve">2028</t>
  </si>
  <si>
    <t xml:space="preserve">2029</t>
  </si>
  <si>
    <t xml:space="preserve">2030</t>
  </si>
  <si>
    <t xml:space="preserve">REV_Gross</t>
  </si>
  <si>
    <t xml:space="preserve">OAI_REV_Gross</t>
  </si>
  <si>
    <t xml:space="preserve">營收總額（未截頂）</t>
  </si>
  <si>
    <t xml:space="preserve">REV_NetCapped</t>
  </si>
  <si>
    <t xml:space="preserve">OAI_REV_NetCapped</t>
  </si>
  <si>
    <t xml:space="preserve">營收淨額（容量截頂後）</t>
  </si>
  <si>
    <t xml:space="preserve">DEM_Tok_Total</t>
  </si>
  <si>
    <t xml:space="preserve">OAI_DEM_Tok_Total</t>
  </si>
  <si>
    <r>
      <rPr>
        <sz val="10"/>
        <color rgb="FF000000"/>
        <rFont val="Arial"/>
        <family val="0"/>
        <charset val="1"/>
      </rPr>
      <t xml:space="preserve">token </t>
    </r>
    <r>
      <rPr>
        <sz val="10"/>
        <color rgb="FF000000"/>
        <rFont val="Noto Sans CJK SC"/>
        <family val="2"/>
      </rPr>
      <t xml:space="preserve">合計（付費＋免費）</t>
    </r>
  </si>
  <si>
    <t xml:space="preserve">T</t>
  </si>
  <si>
    <t xml:space="preserve">CMP_InfGW_Eff</t>
  </si>
  <si>
    <t xml:space="preserve">OAI_CMP_InfGW_Eff</t>
  </si>
  <si>
    <r>
      <rPr>
        <sz val="10"/>
        <color rgb="FF000000"/>
        <rFont val="Noto Sans CJK SC"/>
        <family val="2"/>
      </rPr>
      <t xml:space="preserve">有效推論 </t>
    </r>
    <r>
      <rPr>
        <sz val="10"/>
        <color rgb="FF000000"/>
        <rFont val="Arial"/>
        <family val="0"/>
        <charset val="1"/>
      </rPr>
      <t xml:space="preserve">GW</t>
    </r>
  </si>
  <si>
    <t xml:space="preserve">CMP_Supply_VReq</t>
  </si>
  <si>
    <t xml:space="preserve">OAI_CMP_Supply_VReq</t>
  </si>
  <si>
    <r>
      <rPr>
        <sz val="10"/>
        <color rgb="FF000000"/>
        <rFont val="Noto Sans CJK SC"/>
        <family val="2"/>
      </rPr>
      <t xml:space="preserve">供給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</si>
  <si>
    <t xml:space="preserve">COST_Compute</t>
  </si>
  <si>
    <t xml:space="preserve">OAI_COST_Compute</t>
  </si>
  <si>
    <t xml:space="preserve">算力成本（現金）</t>
  </si>
  <si>
    <t xml:space="preserve">COST_FullCash</t>
  </si>
  <si>
    <t xml:space="preserve">OAI_COST_FullCash</t>
  </si>
  <si>
    <t xml:space="preserve">全成本（現金，含股權報酬）</t>
  </si>
  <si>
    <t xml:space="preserve">COST_PropRev_VR</t>
  </si>
  <si>
    <t xml:space="preserve">OAI_COST_PropRev_VR</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</si>
  <si>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t>
    </r>
    <r>
      <rPr>
        <sz val="10"/>
        <color rgb="FF000000"/>
        <rFont val="Noto Sans CJK SC"/>
        <family val="2"/>
      </rPr>
      <t xml:space="preserve">營收淨額</t>
    </r>
  </si>
  <si>
    <t xml:space="preserve">$B/GW</t>
  </si>
  <si>
    <t xml:space="preserve">COST_PropFull_VR</t>
  </si>
  <si>
    <t xml:space="preserve">OAI_COST_PropFull_VR</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</si>
  <si>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t>
    </r>
    <r>
      <rPr>
        <sz val="10"/>
        <color rgb="FF000000"/>
        <rFont val="Noto Sans CJK SC"/>
        <family val="2"/>
      </rPr>
      <t xml:space="preserve">全成本</t>
    </r>
  </si>
  <si>
    <t xml:space="preserve">COST_PropGap_VR</t>
  </si>
  <si>
    <t xml:space="preserve">OAI_COST_PropGap_VR</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</si>
  <si>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t>
    </r>
    <r>
      <rPr>
        <sz val="10"/>
        <color rgb="FF000000"/>
        <rFont val="Noto Sans CJK SC"/>
        <family val="2"/>
      </rPr>
      <t xml:space="preserve">差額（命題 </t>
    </r>
    <r>
      <rPr>
        <sz val="10"/>
        <color rgb="FF000000"/>
        <rFont val="Arial"/>
        <family val="0"/>
        <charset val="1"/>
      </rPr>
      <t xml:space="preserve">1</t>
    </r>
    <r>
      <rPr>
        <sz val="10"/>
        <color rgb="FF000000"/>
        <rFont val="Noto Sans CJK SC"/>
        <family val="2"/>
      </rPr>
      <t xml:space="preserve">）</t>
    </r>
  </si>
  <si>
    <t xml:space="preserve">COST_Coverage</t>
  </si>
  <si>
    <t xml:space="preserve">OAI_COST_Coverage</t>
  </si>
  <si>
    <r>
      <rPr>
        <sz val="10"/>
        <color rgb="FF000000"/>
        <rFont val="Noto Sans CJK SC"/>
        <family val="2"/>
      </rPr>
      <t xml:space="preserve">覆蓋率（營收 </t>
    </r>
    <r>
      <rPr>
        <sz val="10"/>
        <color rgb="FF000000"/>
        <rFont val="Arial"/>
        <family val="0"/>
        <charset val="1"/>
      </rPr>
      <t xml:space="preserve">÷ </t>
    </r>
    <r>
      <rPr>
        <sz val="10"/>
        <color rgb="FF000000"/>
        <rFont val="Noto Sans CJK SC"/>
        <family val="2"/>
      </rPr>
      <t xml:space="preserve">全成本）</t>
    </r>
  </si>
  <si>
    <t xml:space="preserve">比例</t>
  </si>
  <si>
    <t xml:space="preserve">FND_FCF</t>
  </si>
  <si>
    <t xml:space="preserve">OAI_FND_FCF</t>
  </si>
  <si>
    <t xml:space="preserve">自由現金流</t>
  </si>
  <si>
    <t xml:space="preserve">FND_ExtNeed</t>
  </si>
  <si>
    <t xml:space="preserve">OAI_FND_ExtNeed</t>
  </si>
  <si>
    <t xml:space="preserve">外部資金需求（單年）</t>
  </si>
  <si>
    <t xml:space="preserve">FND_ExtNeedCum</t>
  </si>
  <si>
    <t xml:space="preserve">OAI_FND_ExtNeedCum</t>
  </si>
  <si>
    <r>
      <rPr>
        <sz val="10"/>
        <color rgb="FF000000"/>
        <rFont val="Noto Sans CJK SC"/>
        <family val="2"/>
      </rPr>
      <t xml:space="preserve">累計外部資金需求（命題 </t>
    </r>
    <r>
      <rPr>
        <sz val="10"/>
        <color rgb="FF000000"/>
        <rFont val="Arial"/>
        <family val="0"/>
        <charset val="1"/>
      </rPr>
      <t xml:space="preserve">2</t>
    </r>
    <r>
      <rPr>
        <sz val="10"/>
        <color rgb="FF000000"/>
        <rFont val="Noto Sans CJK SC"/>
        <family val="2"/>
      </rPr>
      <t xml:space="preserve">）</t>
    </r>
  </si>
  <si>
    <t xml:space="preserve">FND_CashEnd</t>
  </si>
  <si>
    <t xml:space="preserve">OAI_FND_CashEnd</t>
  </si>
  <si>
    <t xml:space="preserve">年底現金</t>
  </si>
  <si>
    <t xml:space="preserve">FND_Committed</t>
  </si>
  <si>
    <t xml:space="preserve">OAI_FND_Committed</t>
  </si>
  <si>
    <t xml:space="preserve">已到位融資</t>
  </si>
  <si>
    <t xml:space="preserve">RVS_ExtNeedCum</t>
  </si>
  <si>
    <t xml:space="preserve">OAI_RVS_ExtNeedCum</t>
  </si>
  <si>
    <t xml:space="preserve">反向累計外部資金需求（管理層目標）</t>
  </si>
  <si>
    <r>
      <rPr>
        <b val="true"/>
        <sz val="13"/>
        <rFont val="Arial"/>
        <family val="0"/>
        <charset val="1"/>
      </rPr>
      <t xml:space="preserve">Inputs — </t>
    </r>
    <r>
      <rPr>
        <b val="true"/>
        <sz val="13"/>
        <rFont val="Noto Sans CJK SC"/>
        <family val="2"/>
      </rPr>
      <t xml:space="preserve">假設輸入（藍字）：值、低、高、標記、依據、區間理由；匯率與單位換算定義常數（</t>
    </r>
    <r>
      <rPr>
        <b val="true"/>
        <sz val="13"/>
        <rFont val="Arial"/>
        <family val="0"/>
        <charset val="1"/>
      </rPr>
      <t xml:space="preserve">D23</t>
    </r>
    <r>
      <rPr>
        <b val="true"/>
        <sz val="13"/>
        <rFont val="Noto Sans CJK SC"/>
        <family val="2"/>
      </rPr>
      <t xml:space="preserve">、</t>
    </r>
    <r>
      <rPr>
        <b val="true"/>
        <sz val="13"/>
        <rFont val="Arial"/>
        <family val="0"/>
        <charset val="1"/>
      </rPr>
      <t xml:space="preserve">E6</t>
    </r>
    <r>
      <rPr>
        <b val="true"/>
        <sz val="13"/>
        <rFont val="Noto Sans CJK SC"/>
        <family val="2"/>
      </rPr>
      <t xml:space="preserve">）</t>
    </r>
  </si>
  <si>
    <r>
      <rPr>
        <sz val="9"/>
        <color rgb="FF595959"/>
        <rFont val="Noto Sans CJK SC"/>
        <family val="2"/>
      </rPr>
      <t xml:space="preserve">長表格式：一列一個參數（</t>
    </r>
    <r>
      <rPr>
        <sz val="9"/>
        <color rgb="FF595959"/>
        <rFont val="Arial"/>
        <family val="0"/>
        <charset val="1"/>
      </rPr>
      <t xml:space="preserve">× </t>
    </r>
    <r>
      <rPr>
        <sz val="9"/>
        <color rgb="FF595959"/>
        <rFont val="Noto Sans CJK SC"/>
        <family val="2"/>
      </rPr>
      <t xml:space="preserve">索引）。來源 </t>
    </r>
    <r>
      <rPr>
        <sz val="9"/>
        <color rgb="FF595959"/>
        <rFont val="Arial"/>
        <family val="0"/>
        <charset val="1"/>
      </rPr>
      <t xml:space="preserve">data/zhipu_inputs.yaml</t>
    </r>
    <r>
      <rPr>
        <sz val="9"/>
        <color rgb="FF595959"/>
        <rFont val="Noto Sans CJK SC"/>
        <family val="2"/>
      </rPr>
      <t xml:space="preserve">；</t>
    </r>
    <r>
      <rPr>
        <sz val="9"/>
        <color rgb="FF595959"/>
        <rFont val="Arial"/>
        <family val="0"/>
        <charset val="1"/>
      </rPr>
      <t xml:space="preserve">INP_nnn </t>
    </r>
    <r>
      <rPr>
        <sz val="9"/>
        <color rgb="FF595959"/>
        <rFont val="Noto Sans CJK SC"/>
        <family val="2"/>
      </rPr>
      <t xml:space="preserve">由 </t>
    </r>
    <r>
      <rPr>
        <sz val="9"/>
        <color rgb="FF595959"/>
        <rFont val="Arial"/>
        <family val="0"/>
        <charset val="1"/>
      </rPr>
      <t xml:space="preserve">builder/id_registry.json </t>
    </r>
    <r>
      <rPr>
        <sz val="9"/>
        <color rgb="FF595959"/>
        <rFont val="Noto Sans CJK SC"/>
        <family val="2"/>
      </rPr>
      <t xml:space="preserve">依鍵發出，穩定不重用。</t>
    </r>
  </si>
  <si>
    <r>
      <rPr>
        <sz val="9"/>
        <color rgb="FF595959"/>
        <rFont val="Arial"/>
        <family val="0"/>
        <charset val="1"/>
      </rPr>
      <t xml:space="preserve">Analogy </t>
    </r>
    <r>
      <rPr>
        <sz val="9"/>
        <color rgb="FF595959"/>
        <rFont val="Noto Sans CJK SC"/>
        <family val="2"/>
      </rPr>
      <t xml:space="preserve">寫明參照（如『</t>
    </r>
    <r>
      <rPr>
        <sz val="9"/>
        <color rgb="FF595959"/>
        <rFont val="Arial"/>
        <family val="0"/>
        <charset val="1"/>
      </rPr>
      <t xml:space="preserve">OpenAI v0.6 INP_nnn</t>
    </r>
    <r>
      <rPr>
        <sz val="9"/>
        <color rgb="FF595959"/>
        <rFont val="Noto Sans CJK SC"/>
        <family val="2"/>
      </rPr>
      <t xml:space="preserve">』）與差異；</t>
    </r>
    <r>
      <rPr>
        <sz val="9"/>
        <color rgb="FF595959"/>
        <rFont val="Arial"/>
        <family val="0"/>
        <charset val="1"/>
      </rPr>
      <t xml:space="preserve">Assumed </t>
    </r>
    <r>
      <rPr>
        <sz val="9"/>
        <color rgb="FF595959"/>
        <rFont val="Noto Sans CJK SC"/>
        <family val="2"/>
      </rPr>
      <t xml:space="preserve">寫明依據；兩者一律給區間。</t>
    </r>
    <r>
      <rPr>
        <sz val="9"/>
        <color rgb="FF595959"/>
        <rFont val="Arial"/>
        <family val="0"/>
        <charset val="1"/>
      </rPr>
      <t xml:space="preserve">Decision</t>
    </r>
    <r>
      <rPr>
        <sz val="9"/>
        <color rgb="FF595959"/>
        <rFont val="Noto Sans CJK SC"/>
        <family val="2"/>
      </rPr>
      <t xml:space="preserve">＝定義常數或規格決策（低＝值＝高）。</t>
    </r>
  </si>
  <si>
    <t xml:space="preserve">INP_ID</t>
  </si>
  <si>
    <t xml:space="preserve">參數</t>
  </si>
  <si>
    <t xml:space="preserve">依據</t>
  </si>
  <si>
    <t xml:space="preserve">區間理由</t>
  </si>
  <si>
    <r>
      <rPr>
        <b val="true"/>
        <sz val="10"/>
        <rFont val="Arial"/>
        <family val="0"/>
        <charset val="1"/>
      </rPr>
      <t xml:space="preserve">Analogy</t>
    </r>
    <r>
      <rPr>
        <b val="true"/>
        <sz val="10"/>
        <rFont val="Noto Sans CJK SC"/>
        <family val="2"/>
      </rPr>
      <t xml:space="preserve">／</t>
    </r>
    <r>
      <rPr>
        <b val="true"/>
        <sz val="10"/>
        <rFont val="Arial"/>
        <family val="0"/>
        <charset val="1"/>
      </rPr>
      <t xml:space="preserve">Assumed </t>
    </r>
    <r>
      <rPr>
        <b val="true"/>
        <sz val="10"/>
        <rFont val="Noto Sans CJK SC"/>
        <family val="2"/>
      </rPr>
      <t xml:space="preserve">缺區間（公式）</t>
    </r>
  </si>
  <si>
    <t xml:space="preserve">INP_001</t>
  </si>
  <si>
    <t xml:space="preserve">year_2025</t>
  </si>
  <si>
    <t xml:space="preserve">模型年度</t>
  </si>
  <si>
    <r>
      <rPr>
        <sz val="10"/>
        <color rgb="FF000000"/>
        <rFont val="Noto Sans CJK SC"/>
        <family val="2"/>
      </rPr>
      <t xml:space="preserve">第 </t>
    </r>
    <r>
      <rPr>
        <sz val="10"/>
        <color rgb="FF000000"/>
        <rFont val="Arial"/>
        <family val="0"/>
        <charset val="1"/>
      </rPr>
      <t xml:space="preserve">1 </t>
    </r>
    <r>
      <rPr>
        <sz val="10"/>
        <color rgb="FF000000"/>
        <rFont val="Noto Sans CJK SC"/>
        <family val="2"/>
      </rPr>
      <t xml:space="preserve">年</t>
    </r>
  </si>
  <si>
    <t xml:space="preserve">Decision</t>
  </si>
  <si>
    <r>
      <rPr>
        <sz val="10"/>
        <color rgb="FF000000"/>
        <rFont val="Noto Sans CJK SC"/>
        <family val="2"/>
      </rPr>
      <t xml:space="preserve">曆年制，</t>
    </r>
    <r>
      <rPr>
        <sz val="10"/>
        <color rgb="FF000000"/>
        <rFont val="Arial"/>
        <family val="0"/>
        <charset val="1"/>
      </rPr>
      <t xml:space="preserve">2025 </t>
    </r>
    <r>
      <rPr>
        <sz val="10"/>
        <color rgb="FF000000"/>
        <rFont val="Noto Sans CJK SC"/>
        <family val="2"/>
      </rPr>
      <t xml:space="preserve">為實際校準年（規格 </t>
    </r>
    <r>
      <rPr>
        <sz val="10"/>
        <color rgb="FF000000"/>
        <rFont val="Arial"/>
        <family val="0"/>
        <charset val="1"/>
      </rPr>
      <t xml:space="preserve">D1</t>
    </r>
    <r>
      <rPr>
        <sz val="10"/>
        <color rgb="FF000000"/>
        <rFont val="Noto Sans CJK SC"/>
        <family val="2"/>
      </rPr>
      <t xml:space="preserve">、</t>
    </r>
    <r>
      <rPr>
        <sz val="10"/>
        <color rgb="FF000000"/>
        <rFont val="Arial"/>
        <family val="0"/>
        <charset val="1"/>
      </rPr>
      <t xml:space="preserve">D14</t>
    </r>
    <r>
      <rPr>
        <sz val="10"/>
        <color rgb="FF000000"/>
        <rFont val="Noto Sans CJK SC"/>
        <family val="2"/>
      </rPr>
      <t xml:space="preserve">）</t>
    </r>
  </si>
  <si>
    <t xml:space="preserve">定義</t>
  </si>
  <si>
    <t xml:space="preserve">INP_002</t>
  </si>
  <si>
    <t xml:space="preserve">year_2026</t>
  </si>
  <si>
    <r>
      <rPr>
        <sz val="10"/>
        <color rgb="FF000000"/>
        <rFont val="Noto Sans CJK SC"/>
        <family val="2"/>
      </rPr>
      <t xml:space="preserve">第 </t>
    </r>
    <r>
      <rPr>
        <sz val="10"/>
        <color rgb="FF000000"/>
        <rFont val="Arial"/>
        <family val="0"/>
        <charset val="1"/>
      </rPr>
      <t xml:space="preserve">2 </t>
    </r>
    <r>
      <rPr>
        <sz val="10"/>
        <color rgb="FF000000"/>
        <rFont val="Noto Sans CJK SC"/>
        <family val="2"/>
      </rPr>
      <t xml:space="preserve">年</t>
    </r>
  </si>
  <si>
    <r>
      <rPr>
        <sz val="10"/>
        <color rgb="FF000000"/>
        <rFont val="Arial"/>
        <family val="0"/>
        <charset val="1"/>
      </rPr>
      <t xml:space="preserve">2026</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實際＋</t>
    </r>
    <r>
      <rPr>
        <sz val="10"/>
        <color rgb="FF000000"/>
        <rFont val="Arial"/>
        <family val="0"/>
        <charset val="1"/>
      </rPr>
      <t xml:space="preserve">2H26 </t>
    </r>
    <r>
      <rPr>
        <sz val="10"/>
        <color rgb="FF000000"/>
        <rFont val="Noto Sans CJK SC"/>
        <family val="2"/>
      </rPr>
      <t xml:space="preserve">驅動（</t>
    </r>
    <r>
      <rPr>
        <sz val="10"/>
        <color rgb="FF000000"/>
        <rFont val="Arial"/>
        <family val="0"/>
        <charset val="1"/>
      </rPr>
      <t xml:space="preserve">D14</t>
    </r>
    <r>
      <rPr>
        <sz val="10"/>
        <color rgb="FF000000"/>
        <rFont val="Noto Sans CJK SC"/>
        <family val="2"/>
      </rPr>
      <t xml:space="preserve">）</t>
    </r>
  </si>
  <si>
    <t xml:space="preserve">INP_003</t>
  </si>
  <si>
    <t xml:space="preserve">year_2027</t>
  </si>
  <si>
    <r>
      <rPr>
        <sz val="10"/>
        <color rgb="FF000000"/>
        <rFont val="Noto Sans CJK SC"/>
        <family val="2"/>
      </rPr>
      <t xml:space="preserve">第 </t>
    </r>
    <r>
      <rPr>
        <sz val="10"/>
        <color rgb="FF000000"/>
        <rFont val="Arial"/>
        <family val="0"/>
        <charset val="1"/>
      </rPr>
      <t xml:space="preserve">3 </t>
    </r>
    <r>
      <rPr>
        <sz val="10"/>
        <color rgb="FF000000"/>
        <rFont val="Noto Sans CJK SC"/>
        <family val="2"/>
      </rPr>
      <t xml:space="preserve">年</t>
    </r>
  </si>
  <si>
    <t xml:space="preserve">INP_004</t>
  </si>
  <si>
    <t xml:space="preserve">year_2028</t>
  </si>
  <si>
    <r>
      <rPr>
        <sz val="10"/>
        <color rgb="FF000000"/>
        <rFont val="Noto Sans CJK SC"/>
        <family val="2"/>
      </rPr>
      <t xml:space="preserve">第 </t>
    </r>
    <r>
      <rPr>
        <sz val="10"/>
        <color rgb="FF000000"/>
        <rFont val="Arial"/>
        <family val="0"/>
        <charset val="1"/>
      </rPr>
      <t xml:space="preserve">4 </t>
    </r>
    <r>
      <rPr>
        <sz val="10"/>
        <color rgb="FF000000"/>
        <rFont val="Noto Sans CJK SC"/>
        <family val="2"/>
      </rPr>
      <t xml:space="preserve">年</t>
    </r>
  </si>
  <si>
    <t xml:space="preserve">INP_005</t>
  </si>
  <si>
    <t xml:space="preserve">year_2029</t>
  </si>
  <si>
    <r>
      <rPr>
        <sz val="10"/>
        <color rgb="FF000000"/>
        <rFont val="Noto Sans CJK SC"/>
        <family val="2"/>
      </rPr>
      <t xml:space="preserve">第 </t>
    </r>
    <r>
      <rPr>
        <sz val="10"/>
        <color rgb="FF000000"/>
        <rFont val="Arial"/>
        <family val="0"/>
        <charset val="1"/>
      </rPr>
      <t xml:space="preserve">5 </t>
    </r>
    <r>
      <rPr>
        <sz val="10"/>
        <color rgb="FF000000"/>
        <rFont val="Noto Sans CJK SC"/>
        <family val="2"/>
      </rPr>
      <t xml:space="preserve">年</t>
    </r>
  </si>
  <si>
    <t xml:space="preserve">INP_006</t>
  </si>
  <si>
    <t xml:space="preserve">year_2030</t>
  </si>
  <si>
    <r>
      <rPr>
        <sz val="10"/>
        <color rgb="FF000000"/>
        <rFont val="Noto Sans CJK SC"/>
        <family val="2"/>
      </rPr>
      <t xml:space="preserve">第 </t>
    </r>
    <r>
      <rPr>
        <sz val="10"/>
        <color rgb="FF000000"/>
        <rFont val="Arial"/>
        <family val="0"/>
        <charset val="1"/>
      </rPr>
      <t xml:space="preserve">6 </t>
    </r>
    <r>
      <rPr>
        <sz val="10"/>
        <color rgb="FF000000"/>
        <rFont val="Noto Sans CJK SC"/>
        <family val="2"/>
      </rPr>
      <t xml:space="preserve">年</t>
    </r>
  </si>
  <si>
    <t xml:space="preserve">INP_007</t>
  </si>
  <si>
    <t xml:space="preserve">days_year</t>
  </si>
  <si>
    <t xml:space="preserve">每年天數（定義常數）</t>
  </si>
  <si>
    <t xml:space="preserve">天</t>
  </si>
  <si>
    <r>
      <rPr>
        <sz val="10"/>
        <color rgb="FF000000"/>
        <rFont val="Noto Sans CJK SC"/>
        <family val="2"/>
      </rPr>
      <t xml:space="preserve">同 </t>
    </r>
    <r>
      <rPr>
        <sz val="10"/>
        <color rgb="FF000000"/>
        <rFont val="Arial"/>
        <family val="0"/>
        <charset val="1"/>
      </rPr>
      <t xml:space="preserve">OpenAI v0.6 INP_251</t>
    </r>
  </si>
  <si>
    <t xml:space="preserve">INP_008</t>
  </si>
  <si>
    <t xml:space="preserve">days_1h26</t>
  </si>
  <si>
    <r>
      <rPr>
        <sz val="10"/>
        <color rgb="FF000000"/>
        <rFont val="Arial"/>
        <family val="0"/>
        <charset val="1"/>
      </rPr>
      <t xml:space="preserve">2026 </t>
    </r>
    <r>
      <rPr>
        <sz val="10"/>
        <color rgb="FF000000"/>
        <rFont val="Noto Sans CJK SC"/>
        <family val="2"/>
      </rPr>
      <t xml:space="preserve">上半年天數（定義常數）</t>
    </r>
  </si>
  <si>
    <r>
      <rPr>
        <sz val="10"/>
        <color rgb="FF000000"/>
        <rFont val="Arial"/>
        <family val="0"/>
        <charset val="1"/>
      </rPr>
      <t xml:space="preserve">2026-01-01</t>
    </r>
    <r>
      <rPr>
        <sz val="10"/>
        <color rgb="FF000000"/>
        <rFont val="Noto Sans CJK SC"/>
        <family val="2"/>
      </rPr>
      <t xml:space="preserve">～</t>
    </r>
    <r>
      <rPr>
        <sz val="10"/>
        <color rgb="FF000000"/>
        <rFont val="Arial"/>
        <family val="0"/>
        <charset val="1"/>
      </rPr>
      <t xml:space="preserve">06-30</t>
    </r>
  </si>
  <si>
    <t xml:space="preserve">INP_009</t>
  </si>
  <si>
    <t xml:space="preserve">days_2h26</t>
  </si>
  <si>
    <r>
      <rPr>
        <sz val="10"/>
        <color rgb="FF000000"/>
        <rFont val="Arial"/>
        <family val="0"/>
        <charset val="1"/>
      </rPr>
      <t xml:space="preserve">2026 </t>
    </r>
    <r>
      <rPr>
        <sz val="10"/>
        <color rgb="FF000000"/>
        <rFont val="Noto Sans CJK SC"/>
        <family val="2"/>
      </rPr>
      <t xml:space="preserve">下半年天數（定義常數）</t>
    </r>
  </si>
  <si>
    <t xml:space="preserve">2H2026</t>
  </si>
  <si>
    <r>
      <rPr>
        <sz val="10"/>
        <color rgb="FF000000"/>
        <rFont val="Arial"/>
        <family val="0"/>
        <charset val="1"/>
      </rPr>
      <t xml:space="preserve">2026-07-01</t>
    </r>
    <r>
      <rPr>
        <sz val="10"/>
        <color rgb="FF000000"/>
        <rFont val="Noto Sans CJK SC"/>
        <family val="2"/>
      </rPr>
      <t xml:space="preserve">～</t>
    </r>
    <r>
      <rPr>
        <sz val="10"/>
        <color rgb="FF000000"/>
        <rFont val="Arial"/>
        <family val="0"/>
        <charset val="1"/>
      </rPr>
      <t xml:space="preserve">12-31</t>
    </r>
  </si>
  <si>
    <t xml:space="preserve">INP_010</t>
  </si>
  <si>
    <t xml:space="preserve">months_year</t>
  </si>
  <si>
    <t xml:space="preserve">每年月數（定義常數）</t>
  </si>
  <si>
    <r>
      <rPr>
        <sz val="10"/>
        <color rgb="FF000000"/>
        <rFont val="Noto Sans CJK SC"/>
        <family val="2"/>
      </rPr>
      <t xml:space="preserve">同 </t>
    </r>
    <r>
      <rPr>
        <sz val="10"/>
        <color rgb="FF000000"/>
        <rFont val="Arial"/>
        <family val="0"/>
        <charset val="1"/>
      </rPr>
      <t xml:space="preserve">OpenAI v0.6 INP_252</t>
    </r>
  </si>
  <si>
    <t xml:space="preserve">INP_011</t>
  </si>
  <si>
    <t xml:space="preserve">months_half</t>
  </si>
  <si>
    <t xml:space="preserve">每半年月數（定義常數）</t>
  </si>
  <si>
    <t xml:space="preserve">INP_012</t>
  </si>
  <si>
    <t xml:space="preserve">months_qtr</t>
  </si>
  <si>
    <t xml:space="preserve">每季月數（定義常數）</t>
  </si>
  <si>
    <r>
      <rPr>
        <sz val="10"/>
        <color rgb="FF000000"/>
        <rFont val="Noto Sans CJK SC"/>
        <family val="2"/>
      </rPr>
      <t xml:space="preserve">國際站 </t>
    </r>
    <r>
      <rPr>
        <sz val="10"/>
        <color rgb="FF000000"/>
        <rFont val="Arial"/>
        <family val="0"/>
        <charset val="1"/>
      </rPr>
      <t xml:space="preserve">Coding Plan </t>
    </r>
    <r>
      <rPr>
        <sz val="10"/>
        <color rgb="FF000000"/>
        <rFont val="Noto Sans CJK SC"/>
        <family val="2"/>
      </rPr>
      <t xml:space="preserve">季付價換算每月</t>
    </r>
  </si>
  <si>
    <t xml:space="preserve">INP_013</t>
  </si>
  <si>
    <t xml:space="preserve">halves_year</t>
  </si>
  <si>
    <t xml:space="preserve">每年半年數（定義常數）</t>
  </si>
  <si>
    <t xml:space="preserve">半年值年化、半年平均</t>
  </si>
  <si>
    <t xml:space="preserve">INP_014</t>
  </si>
  <si>
    <t xml:space="preserve">pct</t>
  </si>
  <si>
    <t xml:space="preserve">百分比換算除數（定義常數）</t>
  </si>
  <si>
    <r>
      <rPr>
        <sz val="10"/>
        <color rgb="FF000000"/>
        <rFont val="Arial"/>
        <family val="0"/>
        <charset val="1"/>
      </rPr>
      <t xml:space="preserve">%</t>
    </r>
    <r>
      <rPr>
        <sz val="10"/>
        <color rgb="FF000000"/>
        <rFont val="Noto Sans CJK SC"/>
        <family val="2"/>
      </rPr>
      <t xml:space="preserve">／比例</t>
    </r>
  </si>
  <si>
    <r>
      <rPr>
        <sz val="10"/>
        <color rgb="FF000000"/>
        <rFont val="Arial"/>
        <family val="0"/>
        <charset val="1"/>
      </rPr>
      <t xml:space="preserve">SRC </t>
    </r>
    <r>
      <rPr>
        <sz val="10"/>
        <color rgb="FF000000"/>
        <rFont val="Noto Sans CJK SC"/>
        <family val="2"/>
      </rPr>
      <t xml:space="preserve">以 </t>
    </r>
    <r>
      <rPr>
        <sz val="10"/>
        <color rgb="FF000000"/>
        <rFont val="Arial"/>
        <family val="0"/>
        <charset val="1"/>
      </rPr>
      <t xml:space="preserve">% </t>
    </r>
    <r>
      <rPr>
        <sz val="10"/>
        <color rgb="FF000000"/>
        <rFont val="Noto Sans CJK SC"/>
        <family val="2"/>
      </rPr>
      <t xml:space="preserve">登錄者換成比例</t>
    </r>
  </si>
  <si>
    <t xml:space="preserve">INP_015</t>
  </si>
  <si>
    <t xml:space="preserve">div_rev</t>
  </si>
  <si>
    <r>
      <rPr>
        <sz val="10"/>
        <color rgb="FF000000"/>
        <rFont val="Noto Sans CJK SC"/>
        <family val="2"/>
      </rPr>
      <t xml:space="preserve">單位換算：兆 </t>
    </r>
    <r>
      <rPr>
        <sz val="10"/>
        <color rgb="FF000000"/>
        <rFont val="Arial"/>
        <family val="0"/>
        <charset val="1"/>
      </rPr>
      <t xml:space="preserve">token × </t>
    </r>
    <r>
      <rPr>
        <sz val="10"/>
        <color rgb="FF000000"/>
        <rFont val="Noto Sans CJK SC"/>
        <family val="2"/>
      </rPr>
      <t xml:space="preserve">元／百萬 </t>
    </r>
    <r>
      <rPr>
        <sz val="10"/>
        <color rgb="FF000000"/>
        <rFont val="Arial"/>
        <family val="0"/>
        <charset val="1"/>
      </rPr>
      <t xml:space="preserve">token → </t>
    </r>
    <r>
      <rPr>
        <sz val="10"/>
        <color rgb="FF000000"/>
        <rFont val="Noto Sans CJK SC"/>
        <family val="2"/>
      </rPr>
      <t xml:space="preserve">億元 的除數（定義常數）</t>
    </r>
  </si>
  <si>
    <r>
      <rPr>
        <sz val="10"/>
        <color rgb="FF000000"/>
        <rFont val="Arial"/>
        <family val="0"/>
        <charset val="1"/>
      </rPr>
      <t xml:space="preserve">1T × 1 </t>
    </r>
    <r>
      <rPr>
        <sz val="10"/>
        <color rgb="FF000000"/>
        <rFont val="Noto Sans CJK SC"/>
        <family val="2"/>
      </rPr>
      <t xml:space="preserve">元</t>
    </r>
    <r>
      <rPr>
        <sz val="10"/>
        <color rgb="FF000000"/>
        <rFont val="Arial"/>
        <family val="0"/>
        <charset val="1"/>
      </rPr>
      <t xml:space="preserve">/M</t>
    </r>
    <r>
      <rPr>
        <sz val="10"/>
        <color rgb="FF000000"/>
        <rFont val="Noto Sans CJK SC"/>
        <family val="2"/>
      </rPr>
      <t xml:space="preserve">＝</t>
    </r>
    <r>
      <rPr>
        <sz val="10"/>
        <color rgb="FF000000"/>
        <rFont val="Arial"/>
        <family val="0"/>
        <charset val="1"/>
      </rPr>
      <t xml:space="preserve">10^6 </t>
    </r>
    <r>
      <rPr>
        <sz val="10"/>
        <color rgb="FF000000"/>
        <rFont val="Noto Sans CJK SC"/>
        <family val="2"/>
      </rPr>
      <t xml:space="preserve">元＝</t>
    </r>
    <r>
      <rPr>
        <sz val="10"/>
        <color rgb="FF000000"/>
        <rFont val="Arial"/>
        <family val="0"/>
        <charset val="1"/>
      </rPr>
      <t xml:space="preserve">0.01 </t>
    </r>
    <r>
      <rPr>
        <sz val="10"/>
        <color rgb="FF000000"/>
        <rFont val="Noto Sans CJK SC"/>
        <family val="2"/>
      </rPr>
      <t xml:space="preserve">億元</t>
    </r>
  </si>
  <si>
    <t xml:space="preserve">INP_016</t>
  </si>
  <si>
    <t xml:space="preserve">div_wan_m_t</t>
  </si>
  <si>
    <r>
      <rPr>
        <sz val="10"/>
        <color rgb="FF000000"/>
        <rFont val="Noto Sans CJK SC"/>
        <family val="2"/>
      </rPr>
      <t xml:space="preserve">單位換算：萬人 </t>
    </r>
    <r>
      <rPr>
        <sz val="10"/>
        <color rgb="FF000000"/>
        <rFont val="Arial"/>
        <family val="0"/>
        <charset val="1"/>
      </rPr>
      <t xml:space="preserve">× </t>
    </r>
    <r>
      <rPr>
        <sz val="10"/>
        <color rgb="FF000000"/>
        <rFont val="Noto Sans CJK SC"/>
        <family val="2"/>
      </rPr>
      <t xml:space="preserve">百萬 </t>
    </r>
    <r>
      <rPr>
        <sz val="10"/>
        <color rgb="FF000000"/>
        <rFont val="Arial"/>
        <family val="0"/>
        <charset val="1"/>
      </rPr>
      <t xml:space="preserve">token → </t>
    </r>
    <r>
      <rPr>
        <sz val="10"/>
        <color rgb="FF000000"/>
        <rFont val="Noto Sans CJK SC"/>
        <family val="2"/>
      </rPr>
      <t xml:space="preserve">兆 </t>
    </r>
    <r>
      <rPr>
        <sz val="10"/>
        <color rgb="FF000000"/>
        <rFont val="Arial"/>
        <family val="0"/>
        <charset val="1"/>
      </rPr>
      <t xml:space="preserve">token </t>
    </r>
    <r>
      <rPr>
        <sz val="10"/>
        <color rgb="FF000000"/>
        <rFont val="Noto Sans CJK SC"/>
        <family val="2"/>
      </rPr>
      <t xml:space="preserve">的除數（定義常數）</t>
    </r>
  </si>
  <si>
    <t xml:space="preserve">10^4 × 10^6 ÷ 10^12</t>
  </si>
  <si>
    <t xml:space="preserve">INP_017</t>
  </si>
  <si>
    <t xml:space="preserve">div_wan_yuan_yi</t>
  </si>
  <si>
    <r>
      <rPr>
        <sz val="10"/>
        <color rgb="FF000000"/>
        <rFont val="Noto Sans CJK SC"/>
        <family val="2"/>
      </rPr>
      <t xml:space="preserve">單位換算：萬人 </t>
    </r>
    <r>
      <rPr>
        <sz val="10"/>
        <color rgb="FF000000"/>
        <rFont val="Arial"/>
        <family val="0"/>
        <charset val="1"/>
      </rPr>
      <t xml:space="preserve">× </t>
    </r>
    <r>
      <rPr>
        <sz val="10"/>
        <color rgb="FF000000"/>
        <rFont val="Noto Sans CJK SC"/>
        <family val="2"/>
      </rPr>
      <t xml:space="preserve">元 → 億元 的除數（定義常數）</t>
    </r>
  </si>
  <si>
    <t xml:space="preserve">10^4 × 1 ÷ 10^8</t>
  </si>
  <si>
    <t xml:space="preserve">INP_018</t>
  </si>
  <si>
    <t xml:space="preserve">div_m_k_t</t>
  </si>
  <si>
    <r>
      <rPr>
        <sz val="10"/>
        <color rgb="FF000000"/>
        <rFont val="Noto Sans CJK SC"/>
        <family val="2"/>
      </rPr>
      <t xml:space="preserve">單位換算：百萬人 </t>
    </r>
    <r>
      <rPr>
        <sz val="10"/>
        <color rgb="FF000000"/>
        <rFont val="Arial"/>
        <family val="0"/>
        <charset val="1"/>
      </rPr>
      <t xml:space="preserve">× </t>
    </r>
    <r>
      <rPr>
        <sz val="10"/>
        <color rgb="FF000000"/>
        <rFont val="Noto Sans CJK SC"/>
        <family val="2"/>
      </rPr>
      <t xml:space="preserve">千 </t>
    </r>
    <r>
      <rPr>
        <sz val="10"/>
        <color rgb="FF000000"/>
        <rFont val="Arial"/>
        <family val="0"/>
        <charset val="1"/>
      </rPr>
      <t xml:space="preserve">token → </t>
    </r>
    <r>
      <rPr>
        <sz val="10"/>
        <color rgb="FF000000"/>
        <rFont val="Noto Sans CJK SC"/>
        <family val="2"/>
      </rPr>
      <t xml:space="preserve">兆 </t>
    </r>
    <r>
      <rPr>
        <sz val="10"/>
        <color rgb="FF000000"/>
        <rFont val="Arial"/>
        <family val="0"/>
        <charset val="1"/>
      </rPr>
      <t xml:space="preserve">token </t>
    </r>
    <r>
      <rPr>
        <sz val="10"/>
        <color rgb="FF000000"/>
        <rFont val="Noto Sans CJK SC"/>
        <family val="2"/>
      </rPr>
      <t xml:space="preserve">的除數（定義常數）</t>
    </r>
  </si>
  <si>
    <r>
      <rPr>
        <sz val="10"/>
        <color rgb="FF000000"/>
        <rFont val="Arial"/>
        <family val="0"/>
        <charset val="1"/>
      </rPr>
      <t xml:space="preserve">10^6 × 10^3 ÷ 10^12</t>
    </r>
    <r>
      <rPr>
        <sz val="10"/>
        <color rgb="FF000000"/>
        <rFont val="Noto Sans CJK SC"/>
        <family val="2"/>
      </rPr>
      <t xml:space="preserve">（同 </t>
    </r>
    <r>
      <rPr>
        <sz val="10"/>
        <color rgb="FF000000"/>
        <rFont val="Arial"/>
        <family val="0"/>
        <charset val="1"/>
      </rPr>
      <t xml:space="preserve">OpenAI v0.6 INP_239 B→T</t>
    </r>
    <r>
      <rPr>
        <sz val="10"/>
        <color rgb="FF000000"/>
        <rFont val="Noto Sans CJK SC"/>
        <family val="2"/>
      </rPr>
      <t xml:space="preserve">）</t>
    </r>
  </si>
  <si>
    <t xml:space="preserve">INP_019</t>
  </si>
  <si>
    <t xml:space="preserve">div_k_m</t>
  </si>
  <si>
    <r>
      <rPr>
        <sz val="10"/>
        <color rgb="FF000000"/>
        <rFont val="Noto Sans CJK SC"/>
        <family val="2"/>
      </rPr>
      <t xml:space="preserve">單位換算：千 </t>
    </r>
    <r>
      <rPr>
        <sz val="10"/>
        <color rgb="FF000000"/>
        <rFont val="Arial"/>
        <family val="0"/>
        <charset val="1"/>
      </rPr>
      <t xml:space="preserve">token → </t>
    </r>
    <r>
      <rPr>
        <sz val="10"/>
        <color rgb="FF000000"/>
        <rFont val="Noto Sans CJK SC"/>
        <family val="2"/>
      </rPr>
      <t xml:space="preserve">百萬 </t>
    </r>
    <r>
      <rPr>
        <sz val="10"/>
        <color rgb="FF000000"/>
        <rFont val="Arial"/>
        <family val="0"/>
        <charset val="1"/>
      </rPr>
      <t xml:space="preserve">token </t>
    </r>
    <r>
      <rPr>
        <sz val="10"/>
        <color rgb="FF000000"/>
        <rFont val="Noto Sans CJK SC"/>
        <family val="2"/>
      </rPr>
      <t xml:space="preserve">的除數（定義常數）</t>
    </r>
  </si>
  <si>
    <t xml:space="preserve">INP_020</t>
  </si>
  <si>
    <t xml:space="preserve">div_mn_yi</t>
  </si>
  <si>
    <t xml:space="preserve">單位換算：百萬元 → 億元 的除數（定義常數）</t>
  </si>
  <si>
    <t xml:space="preserve">券商與公告以百萬元登錄者</t>
  </si>
  <si>
    <t xml:space="preserve">INP_021</t>
  </si>
  <si>
    <t xml:space="preserve">mul_bn_yi</t>
  </si>
  <si>
    <t xml:space="preserve">單位換算：十億 → 億 的乘數（定義常數）</t>
  </si>
  <si>
    <r>
      <rPr>
        <sz val="10"/>
        <color rgb="FF000000"/>
        <rFont val="Noto Sans CJK SC"/>
        <family val="2"/>
      </rPr>
      <t xml:space="preserve">美元十億登錄者（管理層 </t>
    </r>
    <r>
      <rPr>
        <sz val="10"/>
        <color rgb="FF000000"/>
        <rFont val="Arial"/>
        <family val="0"/>
        <charset val="1"/>
      </rPr>
      <t xml:space="preserve">ARR</t>
    </r>
    <r>
      <rPr>
        <sz val="10"/>
        <color rgb="FF000000"/>
        <rFont val="Noto Sans CJK SC"/>
        <family val="2"/>
      </rPr>
      <t xml:space="preserve">）</t>
    </r>
  </si>
  <si>
    <t xml:space="preserve">INP_022</t>
  </si>
  <si>
    <t xml:space="preserve">windows_day</t>
  </si>
  <si>
    <r>
      <rPr>
        <sz val="10"/>
        <color rgb="FF000000"/>
        <rFont val="Noto Sans CJK SC"/>
        <family val="2"/>
      </rPr>
      <t xml:space="preserve">每日 </t>
    </r>
    <r>
      <rPr>
        <sz val="10"/>
        <color rgb="FF000000"/>
        <rFont val="Arial"/>
        <family val="0"/>
        <charset val="1"/>
      </rPr>
      <t xml:space="preserve">5 </t>
    </r>
    <r>
      <rPr>
        <sz val="10"/>
        <color rgb="FF000000"/>
        <rFont val="Noto Sans CJK SC"/>
        <family val="2"/>
      </rPr>
      <t xml:space="preserve">小時額度窗口數（定義常數）</t>
    </r>
  </si>
  <si>
    <t xml:space="preserve">個／日</t>
  </si>
  <si>
    <r>
      <rPr>
        <sz val="10"/>
        <color rgb="FF000000"/>
        <rFont val="Arial"/>
        <family val="0"/>
        <charset val="1"/>
      </rPr>
      <t xml:space="preserve">24 </t>
    </r>
    <r>
      <rPr>
        <sz val="10"/>
        <color rgb="FF000000"/>
        <rFont val="Noto Sans CJK SC"/>
        <family val="2"/>
      </rPr>
      <t xml:space="preserve">小時 </t>
    </r>
    <r>
      <rPr>
        <sz val="10"/>
        <color rgb="FF000000"/>
        <rFont val="Arial"/>
        <family val="0"/>
        <charset val="1"/>
      </rPr>
      <t xml:space="preserve">÷ 5 </t>
    </r>
    <r>
      <rPr>
        <sz val="10"/>
        <color rgb="FF000000"/>
        <rFont val="Noto Sans CJK SC"/>
        <family val="2"/>
      </rPr>
      <t xml:space="preserve">小時（</t>
    </r>
    <r>
      <rPr>
        <sz val="10"/>
        <color rgb="FF000000"/>
        <rFont val="Arial"/>
        <family val="0"/>
        <charset val="1"/>
      </rPr>
      <t xml:space="preserve">Coding Plan </t>
    </r>
    <r>
      <rPr>
        <sz val="10"/>
        <color rgb="FF000000"/>
        <rFont val="Noto Sans CJK SC"/>
        <family val="2"/>
      </rPr>
      <t xml:space="preserve">額度以每 </t>
    </r>
    <r>
      <rPr>
        <sz val="10"/>
        <color rgb="FF000000"/>
        <rFont val="Arial"/>
        <family val="0"/>
        <charset val="1"/>
      </rPr>
      <t xml:space="preserve">5 </t>
    </r>
    <r>
      <rPr>
        <sz val="10"/>
        <color rgb="FF000000"/>
        <rFont val="Noto Sans CJK SC"/>
        <family val="2"/>
      </rPr>
      <t xml:space="preserve">小時計，</t>
    </r>
    <r>
      <rPr>
        <sz val="10"/>
        <color rgb="FF000000"/>
        <rFont val="Arial"/>
        <family val="0"/>
        <charset val="1"/>
      </rPr>
      <t xml:space="preserve">SRC_ZP_376–378</t>
    </r>
    <r>
      <rPr>
        <sz val="10"/>
        <color rgb="FF000000"/>
        <rFont val="Noto Sans CJK SC"/>
        <family val="2"/>
      </rPr>
      <t xml:space="preserve">）</t>
    </r>
  </si>
  <si>
    <t xml:space="preserve">INP_023</t>
  </si>
  <si>
    <t xml:space="preserve">fx_usdcny</t>
  </si>
  <si>
    <r>
      <rPr>
        <sz val="10"/>
        <color rgb="FF000000"/>
        <rFont val="Noto Sans CJK SC"/>
        <family val="2"/>
      </rPr>
      <t xml:space="preserve">匯率：</t>
    </r>
    <r>
      <rPr>
        <sz val="10"/>
        <color rgb="FF000000"/>
        <rFont val="Arial"/>
        <family val="0"/>
        <charset val="1"/>
      </rPr>
      <t xml:space="preserve">USD/CNY</t>
    </r>
    <r>
      <rPr>
        <sz val="10"/>
        <color rgb="FF000000"/>
        <rFont val="Noto Sans CJK SC"/>
        <family val="2"/>
      </rPr>
      <t xml:space="preserve">（人民幣中間價）</t>
    </r>
  </si>
  <si>
    <t xml:space="preserve">元／美元</t>
  </si>
  <si>
    <r>
      <rPr>
        <sz val="10"/>
        <color rgb="FF000000"/>
        <rFont val="Noto Sans CJK SC"/>
        <family val="2"/>
      </rPr>
      <t xml:space="preserve">中國外匯交易中心 </t>
    </r>
    <r>
      <rPr>
        <sz val="10"/>
        <color rgb="FF000000"/>
        <rFont val="Arial"/>
        <family val="0"/>
        <charset val="1"/>
      </rPr>
      <t xml:space="preserve">2026-09-28 </t>
    </r>
    <r>
      <rPr>
        <sz val="10"/>
        <color rgb="FF000000"/>
        <rFont val="Noto Sans CJK SC"/>
        <family val="2"/>
      </rPr>
      <t xml:space="preserve">中間價 </t>
    </r>
    <r>
      <rPr>
        <sz val="10"/>
        <color rgb="FF000000"/>
        <rFont val="Arial"/>
        <family val="0"/>
        <charset val="1"/>
      </rPr>
      <t xml:space="preserve">6.7399</t>
    </r>
    <r>
      <rPr>
        <sz val="10"/>
        <color rgb="FF000000"/>
        <rFont val="Noto Sans CJK SC"/>
        <family val="2"/>
      </rPr>
      <t xml:space="preserve">（</t>
    </r>
    <r>
      <rPr>
        <sz val="10"/>
        <color rgb="FF000000"/>
        <rFont val="Arial"/>
        <family val="0"/>
        <charset val="1"/>
      </rPr>
      <t xml:space="preserve">FX168</t>
    </r>
    <r>
      <rPr>
        <sz val="10"/>
        <color rgb="FF000000"/>
        <rFont val="Noto Sans CJK SC"/>
        <family val="2"/>
      </rPr>
      <t xml:space="preserve">〈</t>
    </r>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09</t>
    </r>
    <r>
      <rPr>
        <sz val="10"/>
        <color rgb="FF000000"/>
        <rFont val="Noto Sans CJK SC"/>
        <family val="2"/>
      </rPr>
      <t xml:space="preserve">月</t>
    </r>
    <r>
      <rPr>
        <sz val="10"/>
        <color rgb="FF000000"/>
        <rFont val="Arial"/>
        <family val="0"/>
        <charset val="1"/>
      </rPr>
      <t xml:space="preserve">28</t>
    </r>
    <r>
      <rPr>
        <sz val="10"/>
        <color rgb="FF000000"/>
        <rFont val="Noto Sans CJK SC"/>
        <family val="2"/>
      </rPr>
      <t xml:space="preserve">日人民幣中間價列表〉，</t>
    </r>
    <r>
      <rPr>
        <sz val="10"/>
        <color rgb="FF000000"/>
        <rFont val="Arial"/>
        <family val="0"/>
        <charset val="1"/>
      </rPr>
      <t xml:space="preserve">hk.investing.com/news/forex-news/article-1676979</t>
    </r>
    <r>
      <rPr>
        <sz val="10"/>
        <color rgb="FF000000"/>
        <rFont val="Noto Sans CJK SC"/>
        <family val="2"/>
      </rPr>
      <t xml:space="preserve">；擷取 </t>
    </r>
    <r>
      <rPr>
        <sz val="10"/>
        <color rgb="FF000000"/>
        <rFont val="Arial"/>
        <family val="0"/>
        <charset val="1"/>
      </rPr>
      <t xml:space="preserve">2026-10-08</t>
    </r>
    <r>
      <rPr>
        <sz val="10"/>
        <color rgb="FF000000"/>
        <rFont val="Noto Sans CJK SC"/>
        <family val="2"/>
      </rPr>
      <t xml:space="preserve">；</t>
    </r>
    <r>
      <rPr>
        <sz val="10"/>
        <color rgb="FF000000"/>
        <rFont val="Arial"/>
        <family val="0"/>
        <charset val="1"/>
      </rPr>
      <t xml:space="preserve">10-01</t>
    </r>
    <r>
      <rPr>
        <sz val="10"/>
        <color rgb="FF000000"/>
        <rFont val="Noto Sans CJK SC"/>
        <family val="2"/>
      </rPr>
      <t xml:space="preserve">～</t>
    </r>
    <r>
      <rPr>
        <sz val="10"/>
        <color rgb="FF000000"/>
        <rFont val="Arial"/>
        <family val="0"/>
        <charset val="1"/>
      </rPr>
      <t xml:space="preserve">07 </t>
    </r>
    <r>
      <rPr>
        <sz val="10"/>
        <color rgb="FF000000"/>
        <rFont val="Noto Sans CJK SC"/>
        <family val="2"/>
      </rPr>
      <t xml:space="preserve">國慶休市）；基準固定不外推</t>
    </r>
  </si>
  <si>
    <r>
      <rPr>
        <sz val="10"/>
        <color rgb="FF000000"/>
        <rFont val="Arial"/>
        <family val="0"/>
        <charset val="1"/>
      </rPr>
      <t xml:space="preserve">±5%</t>
    </r>
    <r>
      <rPr>
        <sz val="10"/>
        <color rgb="FF000000"/>
        <rFont val="Noto Sans CJK SC"/>
        <family val="2"/>
      </rPr>
      <t xml:space="preserve">（規格 </t>
    </r>
    <r>
      <rPr>
        <sz val="10"/>
        <color rgb="FF000000"/>
        <rFont val="Arial"/>
        <family val="0"/>
        <charset val="1"/>
      </rPr>
      <t xml:space="preserve">D23</t>
    </r>
    <r>
      <rPr>
        <sz val="10"/>
        <color rgb="FF000000"/>
        <rFont val="Noto Sans CJK SC"/>
        <family val="2"/>
      </rPr>
      <t xml:space="preserve">）</t>
    </r>
  </si>
  <si>
    <t xml:space="preserve">INP_024</t>
  </si>
  <si>
    <t xml:space="preserve">fx_hkdcny</t>
  </si>
  <si>
    <r>
      <rPr>
        <sz val="10"/>
        <color rgb="FF000000"/>
        <rFont val="Noto Sans CJK SC"/>
        <family val="2"/>
      </rPr>
      <t xml:space="preserve">匯率：</t>
    </r>
    <r>
      <rPr>
        <sz val="10"/>
        <color rgb="FF000000"/>
        <rFont val="Arial"/>
        <family val="0"/>
        <charset val="1"/>
      </rPr>
      <t xml:space="preserve">HKD/CNY</t>
    </r>
    <r>
      <rPr>
        <sz val="10"/>
        <color rgb="FF000000"/>
        <rFont val="Noto Sans CJK SC"/>
        <family val="2"/>
      </rPr>
      <t xml:space="preserve">（人民幣中間價）</t>
    </r>
  </si>
  <si>
    <t xml:space="preserve">元／港元</t>
  </si>
  <si>
    <r>
      <rPr>
        <sz val="10"/>
        <color rgb="FF000000"/>
        <rFont val="Noto Sans CJK SC"/>
        <family val="2"/>
      </rPr>
      <t xml:space="preserve">同上，港元中間價 </t>
    </r>
    <r>
      <rPr>
        <sz val="10"/>
        <color rgb="FF000000"/>
        <rFont val="Arial"/>
        <family val="0"/>
        <charset val="1"/>
      </rPr>
      <t xml:space="preserve">0.85923</t>
    </r>
  </si>
  <si>
    <t xml:space="preserve">INP_025</t>
  </si>
  <si>
    <t xml:space="preserve">long_ctx_share</t>
  </si>
  <si>
    <r>
      <rPr>
        <sz val="10"/>
        <color rgb="FF000000"/>
        <rFont val="Arial"/>
        <family val="0"/>
        <charset val="1"/>
      </rPr>
      <t xml:space="preserve">API </t>
    </r>
    <r>
      <rPr>
        <sz val="10"/>
        <color rgb="FF000000"/>
        <rFont val="Noto Sans CJK SC"/>
        <family val="2"/>
      </rPr>
      <t xml:space="preserve">長上下文（輸入 ≥</t>
    </r>
    <r>
      <rPr>
        <sz val="10"/>
        <color rgb="FF000000"/>
        <rFont val="Arial"/>
        <family val="0"/>
        <charset val="1"/>
      </rPr>
      <t xml:space="preserve">32K</t>
    </r>
    <r>
      <rPr>
        <sz val="10"/>
        <color rgb="FF000000"/>
        <rFont val="Noto Sans CJK SC"/>
        <family val="2"/>
      </rPr>
      <t xml:space="preserve">）</t>
    </r>
    <r>
      <rPr>
        <sz val="10"/>
        <color rgb="FF000000"/>
        <rFont val="Arial"/>
        <family val="0"/>
        <charset val="1"/>
      </rPr>
      <t xml:space="preserve">token </t>
    </r>
    <r>
      <rPr>
        <sz val="10"/>
        <color rgb="FF000000"/>
        <rFont val="Noto Sans CJK SC"/>
        <family val="2"/>
      </rPr>
      <t xml:space="preserve">占比</t>
    </r>
  </si>
  <si>
    <t xml:space="preserve">Assumed</t>
  </si>
  <si>
    <r>
      <rPr>
        <sz val="10"/>
        <color rgb="FF000000"/>
        <rFont val="Noto Sans CJK SC"/>
        <family val="2"/>
      </rPr>
      <t xml:space="preserve">牌價依輸入長度分檔（</t>
    </r>
    <r>
      <rPr>
        <sz val="10"/>
        <color rgb="FF000000"/>
        <rFont val="Arial"/>
        <family val="0"/>
        <charset val="1"/>
      </rPr>
      <t xml:space="preserve">SRC_ZP_290–316</t>
    </r>
    <r>
      <rPr>
        <sz val="10"/>
        <color rgb="FF000000"/>
        <rFont val="Noto Sans CJK SC"/>
        <family val="2"/>
      </rPr>
      <t xml:space="preserve">、</t>
    </r>
    <r>
      <rPr>
        <sz val="10"/>
        <color rgb="FF000000"/>
        <rFont val="Arial"/>
        <family val="0"/>
        <charset val="1"/>
      </rPr>
      <t xml:space="preserve">317–325</t>
    </r>
    <r>
      <rPr>
        <sz val="10"/>
        <color rgb="FF000000"/>
        <rFont val="Noto Sans CJK SC"/>
        <family val="2"/>
      </rPr>
      <t xml:space="preserve">）；</t>
    </r>
    <r>
      <rPr>
        <sz val="10"/>
        <color rgb="FF000000"/>
        <rFont val="Arial"/>
        <family val="0"/>
        <charset val="1"/>
      </rPr>
      <t xml:space="preserve">Coding Plan </t>
    </r>
    <r>
      <rPr>
        <sz val="10"/>
        <color rgb="FF000000"/>
        <rFont val="Noto Sans CJK SC"/>
        <family val="2"/>
      </rPr>
      <t xml:space="preserve">以外的開發者流量以代理與程式碼為大宗、上下文長；公司未揭露</t>
    </r>
  </si>
  <si>
    <r>
      <rPr>
        <sz val="10"/>
        <color rgb="FF000000"/>
        <rFont val="Arial"/>
        <family val="0"/>
        <charset val="1"/>
      </rPr>
      <t xml:space="preserve">0.3</t>
    </r>
    <r>
      <rPr>
        <sz val="10"/>
        <color rgb="FF000000"/>
        <rFont val="Noto Sans CJK SC"/>
        <family val="2"/>
      </rPr>
      <t xml:space="preserve">（以對話為主）～</t>
    </r>
    <r>
      <rPr>
        <sz val="10"/>
        <color rgb="FF000000"/>
        <rFont val="Arial"/>
        <family val="0"/>
        <charset val="1"/>
      </rPr>
      <t xml:space="preserve">0.9</t>
    </r>
    <r>
      <rPr>
        <sz val="10"/>
        <color rgb="FF000000"/>
        <rFont val="Noto Sans CJK SC"/>
        <family val="2"/>
      </rPr>
      <t xml:space="preserve">（幾乎全為代理）</t>
    </r>
  </si>
  <si>
    <t xml:space="preserve">INP_026</t>
  </si>
  <si>
    <t xml:space="preserve">days_era47_1h26</t>
  </si>
  <si>
    <r>
      <rPr>
        <sz val="10"/>
        <color rgb="FF000000"/>
        <rFont val="Arial"/>
        <family val="0"/>
        <charset val="1"/>
      </rPr>
      <t xml:space="preserve">1H26 GLM-4.7 </t>
    </r>
    <r>
      <rPr>
        <sz val="10"/>
        <color rgb="FF000000"/>
        <rFont val="Noto Sans CJK SC"/>
        <family val="2"/>
      </rPr>
      <t xml:space="preserve">期間天數（</t>
    </r>
    <r>
      <rPr>
        <sz val="10"/>
        <color rgb="FF000000"/>
        <rFont val="Arial"/>
        <family val="0"/>
        <charset val="1"/>
      </rPr>
      <t xml:space="preserve">2026-01-01</t>
    </r>
    <r>
      <rPr>
        <sz val="10"/>
        <color rgb="FF000000"/>
        <rFont val="Noto Sans CJK SC"/>
        <family val="2"/>
      </rPr>
      <t xml:space="preserve">～</t>
    </r>
    <r>
      <rPr>
        <sz val="10"/>
        <color rgb="FF000000"/>
        <rFont val="Arial"/>
        <family val="0"/>
        <charset val="1"/>
      </rPr>
      <t xml:space="preserve">02-11</t>
    </r>
    <r>
      <rPr>
        <sz val="10"/>
        <color rgb="FF000000"/>
        <rFont val="Noto Sans CJK SC"/>
        <family val="2"/>
      </rPr>
      <t xml:space="preserve">）</t>
    </r>
  </si>
  <si>
    <r>
      <rPr>
        <sz val="10"/>
        <color rgb="FF000000"/>
        <rFont val="Arial"/>
        <family val="0"/>
        <charset val="1"/>
      </rPr>
      <t xml:space="preserve">GLM-5 </t>
    </r>
    <r>
      <rPr>
        <sz val="10"/>
        <color rgb="FF000000"/>
        <rFont val="Noto Sans CJK SC"/>
        <family val="2"/>
      </rPr>
      <t xml:space="preserve">發布日 </t>
    </r>
    <r>
      <rPr>
        <sz val="10"/>
        <color rgb="FF000000"/>
        <rFont val="Arial"/>
        <family val="0"/>
        <charset val="1"/>
      </rPr>
      <t xml:space="preserve">2026-02-12</t>
    </r>
    <r>
      <rPr>
        <sz val="10"/>
        <color rgb="FF000000"/>
        <rFont val="Noto Sans CJK SC"/>
        <family val="2"/>
      </rPr>
      <t xml:space="preserve">（</t>
    </r>
    <r>
      <rPr>
        <sz val="10"/>
        <color rgb="FF000000"/>
        <rFont val="Arial"/>
        <family val="0"/>
        <charset val="1"/>
      </rPr>
      <t xml:space="preserve">SRC_ZP_390</t>
    </r>
    <r>
      <rPr>
        <sz val="10"/>
        <color rgb="FF000000"/>
        <rFont val="Noto Sans CJK SC"/>
        <family val="2"/>
      </rPr>
      <t xml:space="preserve">）前的 </t>
    </r>
    <r>
      <rPr>
        <sz val="10"/>
        <color rgb="FF000000"/>
        <rFont val="Arial"/>
        <family val="0"/>
        <charset val="1"/>
      </rPr>
      <t xml:space="preserve">1H26 </t>
    </r>
    <r>
      <rPr>
        <sz val="10"/>
        <color rgb="FF000000"/>
        <rFont val="Noto Sans CJK SC"/>
        <family val="2"/>
      </rPr>
      <t xml:space="preserve">天數</t>
    </r>
  </si>
  <si>
    <t xml:space="preserve">由發布日推得</t>
  </si>
  <si>
    <t xml:space="preserve">INP_027</t>
  </si>
  <si>
    <t xml:space="preserve">days_era5_1h26</t>
  </si>
  <si>
    <r>
      <rPr>
        <sz val="10"/>
        <color rgb="FF000000"/>
        <rFont val="Arial"/>
        <family val="0"/>
        <charset val="1"/>
      </rPr>
      <t xml:space="preserve">1H26 GLM-5 </t>
    </r>
    <r>
      <rPr>
        <sz val="10"/>
        <color rgb="FF000000"/>
        <rFont val="Noto Sans CJK SC"/>
        <family val="2"/>
      </rPr>
      <t xml:space="preserve">期間天數（</t>
    </r>
    <r>
      <rPr>
        <sz val="10"/>
        <color rgb="FF000000"/>
        <rFont val="Arial"/>
        <family val="0"/>
        <charset val="1"/>
      </rPr>
      <t xml:space="preserve">2026-02-12</t>
    </r>
    <r>
      <rPr>
        <sz val="10"/>
        <color rgb="FF000000"/>
        <rFont val="Noto Sans CJK SC"/>
        <family val="2"/>
      </rPr>
      <t xml:space="preserve">～</t>
    </r>
    <r>
      <rPr>
        <sz val="10"/>
        <color rgb="FF000000"/>
        <rFont val="Arial"/>
        <family val="0"/>
        <charset val="1"/>
      </rPr>
      <t xml:space="preserve">04-06</t>
    </r>
    <r>
      <rPr>
        <sz val="10"/>
        <color rgb="FF000000"/>
        <rFont val="Noto Sans CJK SC"/>
        <family val="2"/>
      </rPr>
      <t xml:space="preserve">）</t>
    </r>
  </si>
  <si>
    <r>
      <rPr>
        <sz val="10"/>
        <color rgb="FF000000"/>
        <rFont val="Arial"/>
        <family val="0"/>
        <charset val="1"/>
      </rPr>
      <t xml:space="preserve">GLM-5 </t>
    </r>
    <r>
      <rPr>
        <sz val="10"/>
        <color rgb="FF000000"/>
        <rFont val="Noto Sans CJK SC"/>
        <family val="2"/>
      </rPr>
      <t xml:space="preserve">發布日 </t>
    </r>
    <r>
      <rPr>
        <sz val="10"/>
        <color rgb="FF000000"/>
        <rFont val="Arial"/>
        <family val="0"/>
        <charset val="1"/>
      </rPr>
      <t xml:space="preserve">2026-02-12</t>
    </r>
    <r>
      <rPr>
        <sz val="10"/>
        <color rgb="FF000000"/>
        <rFont val="Noto Sans CJK SC"/>
        <family val="2"/>
      </rPr>
      <t xml:space="preserve">（</t>
    </r>
    <r>
      <rPr>
        <sz val="10"/>
        <color rgb="FF000000"/>
        <rFont val="Arial"/>
        <family val="0"/>
        <charset val="1"/>
      </rPr>
      <t xml:space="preserve">SRC_ZP_390</t>
    </r>
    <r>
      <rPr>
        <sz val="10"/>
        <color rgb="FF000000"/>
        <rFont val="Noto Sans CJK SC"/>
        <family val="2"/>
      </rPr>
      <t xml:space="preserve">）至 </t>
    </r>
    <r>
      <rPr>
        <sz val="10"/>
        <color rgb="FF000000"/>
        <rFont val="Arial"/>
        <family val="0"/>
        <charset val="1"/>
      </rPr>
      <t xml:space="preserve">GLM-5.1 </t>
    </r>
    <r>
      <rPr>
        <sz val="10"/>
        <color rgb="FF000000"/>
        <rFont val="Noto Sans CJK SC"/>
        <family val="2"/>
      </rPr>
      <t xml:space="preserve">發布日 </t>
    </r>
    <r>
      <rPr>
        <sz val="10"/>
        <color rgb="FF000000"/>
        <rFont val="Arial"/>
        <family val="0"/>
        <charset val="1"/>
      </rPr>
      <t xml:space="preserve">2026-04-07</t>
    </r>
    <r>
      <rPr>
        <sz val="10"/>
        <color rgb="FF000000"/>
        <rFont val="Noto Sans CJK SC"/>
        <family val="2"/>
      </rPr>
      <t xml:space="preserve">（</t>
    </r>
    <r>
      <rPr>
        <sz val="10"/>
        <color rgb="FF000000"/>
        <rFont val="Arial"/>
        <family val="0"/>
        <charset val="1"/>
      </rPr>
      <t xml:space="preserve">SRC_ZP_392</t>
    </r>
    <r>
      <rPr>
        <sz val="10"/>
        <color rgb="FF000000"/>
        <rFont val="Noto Sans CJK SC"/>
        <family val="2"/>
      </rPr>
      <t xml:space="preserve">）</t>
    </r>
  </si>
  <si>
    <t xml:space="preserve">INP_028</t>
  </si>
  <si>
    <t xml:space="preserve">days_flash_2h26</t>
  </si>
  <si>
    <r>
      <rPr>
        <sz val="10"/>
        <color rgb="FF000000"/>
        <rFont val="Arial"/>
        <family val="0"/>
        <charset val="1"/>
      </rPr>
      <t xml:space="preserve">2H26 GLM-5.3-Flash </t>
    </r>
    <r>
      <rPr>
        <sz val="10"/>
        <color rgb="FF000000"/>
        <rFont val="Noto Sans CJK SC"/>
        <family val="2"/>
      </rPr>
      <t xml:space="preserve">期間天數（</t>
    </r>
    <r>
      <rPr>
        <sz val="10"/>
        <color rgb="FF000000"/>
        <rFont val="Arial"/>
        <family val="0"/>
        <charset val="1"/>
      </rPr>
      <t xml:space="preserve">2026-08-26</t>
    </r>
    <r>
      <rPr>
        <sz val="10"/>
        <color rgb="FF000000"/>
        <rFont val="Noto Sans CJK SC"/>
        <family val="2"/>
      </rPr>
      <t xml:space="preserve">～</t>
    </r>
    <r>
      <rPr>
        <sz val="10"/>
        <color rgb="FF000000"/>
        <rFont val="Arial"/>
        <family val="0"/>
        <charset val="1"/>
      </rPr>
      <t xml:space="preserve">12-31</t>
    </r>
    <r>
      <rPr>
        <sz val="10"/>
        <color rgb="FF000000"/>
        <rFont val="Noto Sans CJK SC"/>
        <family val="2"/>
      </rPr>
      <t xml:space="preserve">）</t>
    </r>
  </si>
  <si>
    <r>
      <rPr>
        <sz val="10"/>
        <color rgb="FF000000"/>
        <rFont val="Arial"/>
        <family val="0"/>
        <charset val="1"/>
      </rPr>
      <t xml:space="preserve">GLM-5.3-Flash </t>
    </r>
    <r>
      <rPr>
        <sz val="10"/>
        <color rgb="FF000000"/>
        <rFont val="Noto Sans CJK SC"/>
        <family val="2"/>
      </rPr>
      <t xml:space="preserve">發布日 </t>
    </r>
    <r>
      <rPr>
        <sz val="10"/>
        <color rgb="FF000000"/>
        <rFont val="Arial"/>
        <family val="0"/>
        <charset val="1"/>
      </rPr>
      <t xml:space="preserve">2026-08-26</t>
    </r>
    <r>
      <rPr>
        <sz val="10"/>
        <color rgb="FF000000"/>
        <rFont val="Noto Sans CJK SC"/>
        <family val="2"/>
      </rPr>
      <t xml:space="preserve">（</t>
    </r>
    <r>
      <rPr>
        <sz val="10"/>
        <color rgb="FF000000"/>
        <rFont val="Arial"/>
        <family val="0"/>
        <charset val="1"/>
      </rPr>
      <t xml:space="preserve">SRC_ZP_396</t>
    </r>
    <r>
      <rPr>
        <sz val="10"/>
        <color rgb="FF000000"/>
        <rFont val="Noto Sans CJK SC"/>
        <family val="2"/>
      </rPr>
      <t xml:space="preserve">）起；之前 </t>
    </r>
    <r>
      <rPr>
        <sz val="10"/>
        <color rgb="FF000000"/>
        <rFont val="Arial"/>
        <family val="0"/>
        <charset val="1"/>
      </rPr>
      <t xml:space="preserve">Luna </t>
    </r>
    <r>
      <rPr>
        <sz val="10"/>
        <color rgb="FF000000"/>
        <rFont val="Noto Sans CJK SC"/>
        <family val="2"/>
      </rPr>
      <t xml:space="preserve">以 </t>
    </r>
    <r>
      <rPr>
        <sz val="10"/>
        <color rgb="FF000000"/>
        <rFont val="Arial"/>
        <family val="0"/>
        <charset val="1"/>
      </rPr>
      <t xml:space="preserve">GLM-4.5-Air </t>
    </r>
    <r>
      <rPr>
        <sz val="10"/>
        <color rgb="FF000000"/>
        <rFont val="Noto Sans CJK SC"/>
        <family val="2"/>
      </rPr>
      <t xml:space="preserve">牌價計</t>
    </r>
  </si>
  <si>
    <t xml:space="preserve">INP_029</t>
  </si>
  <si>
    <t xml:space="preserve">out_share</t>
  </si>
  <si>
    <r>
      <rPr>
        <sz val="10"/>
        <color rgb="FF000000"/>
        <rFont val="Arial"/>
        <family val="0"/>
        <charset val="1"/>
      </rPr>
      <t xml:space="preserve">API </t>
    </r>
    <r>
      <rPr>
        <sz val="10"/>
        <color rgb="FF000000"/>
        <rFont val="Noto Sans CJK SC"/>
        <family val="2"/>
      </rPr>
      <t xml:space="preserve">輸出 </t>
    </r>
    <r>
      <rPr>
        <sz val="10"/>
        <color rgb="FF000000"/>
        <rFont val="Arial"/>
        <family val="0"/>
        <charset val="1"/>
      </rPr>
      <t xml:space="preserve">token </t>
    </r>
    <r>
      <rPr>
        <sz val="10"/>
        <color rgb="FF000000"/>
        <rFont val="Noto Sans CJK SC"/>
        <family val="2"/>
      </rPr>
      <t xml:space="preserve">占比</t>
    </r>
  </si>
  <si>
    <r>
      <rPr>
        <sz val="10"/>
        <color rgb="FF000000"/>
        <rFont val="Arial"/>
        <family val="0"/>
        <charset val="1"/>
      </rPr>
      <t xml:space="preserve">OpenAI v0.6 INP_028</t>
    </r>
    <r>
      <rPr>
        <sz val="10"/>
        <color rgb="FF000000"/>
        <rFont val="Noto Sans CJK SC"/>
        <family val="2"/>
      </rPr>
      <t xml:space="preserve">（</t>
    </r>
    <r>
      <rPr>
        <sz val="10"/>
        <color rgb="FF000000"/>
        <rFont val="Arial"/>
        <family val="0"/>
        <charset val="1"/>
      </rPr>
      <t xml:space="preserve">0.2</t>
    </r>
    <r>
      <rPr>
        <sz val="10"/>
        <color rgb="FF000000"/>
        <rFont val="Noto Sans CJK SC"/>
        <family val="2"/>
      </rPr>
      <t xml:space="preserve">，</t>
    </r>
    <r>
      <rPr>
        <sz val="10"/>
        <color rgb="FF000000"/>
        <rFont val="Arial"/>
        <family val="0"/>
        <charset val="1"/>
      </rPr>
      <t xml:space="preserve">0.1–0.35</t>
    </r>
    <r>
      <rPr>
        <sz val="10"/>
        <color rgb="FF000000"/>
        <rFont val="Noto Sans CJK SC"/>
        <family val="2"/>
      </rPr>
      <t xml:space="preserve">）；差異：智譜 </t>
    </r>
    <r>
      <rPr>
        <sz val="10"/>
        <color rgb="FF000000"/>
        <rFont val="Arial"/>
        <family val="0"/>
        <charset val="1"/>
      </rPr>
      <t xml:space="preserve">API </t>
    </r>
    <r>
      <rPr>
        <sz val="10"/>
        <color rgb="FF000000"/>
        <rFont val="Noto Sans CJK SC"/>
        <family val="2"/>
      </rPr>
      <t xml:space="preserve">以程式碼代理為主，輸入（含快取）占比較高，取較低值</t>
    </r>
  </si>
  <si>
    <r>
      <rPr>
        <sz val="10"/>
        <color rgb="FF000000"/>
        <rFont val="Arial"/>
        <family val="0"/>
        <charset val="1"/>
      </rPr>
      <t xml:space="preserve">0.05</t>
    </r>
    <r>
      <rPr>
        <sz val="10"/>
        <color rgb="FF000000"/>
        <rFont val="Noto Sans CJK SC"/>
        <family val="2"/>
      </rPr>
      <t xml:space="preserve">（長上下文代理）～</t>
    </r>
    <r>
      <rPr>
        <sz val="10"/>
        <color rgb="FF000000"/>
        <rFont val="Arial"/>
        <family val="0"/>
        <charset val="1"/>
      </rPr>
      <t xml:space="preserve">0.3</t>
    </r>
    <r>
      <rPr>
        <sz val="10"/>
        <color rgb="FF000000"/>
        <rFont val="Noto Sans CJK SC"/>
        <family val="2"/>
      </rPr>
      <t xml:space="preserve">（對話與生成）</t>
    </r>
  </si>
  <si>
    <t xml:space="preserve">INP_030</t>
  </si>
  <si>
    <t xml:space="preserve">cache_hit</t>
  </si>
  <si>
    <r>
      <rPr>
        <sz val="10"/>
        <color rgb="FF000000"/>
        <rFont val="Arial"/>
        <family val="0"/>
        <charset val="1"/>
      </rPr>
      <t xml:space="preserve">API </t>
    </r>
    <r>
      <rPr>
        <sz val="10"/>
        <color rgb="FF000000"/>
        <rFont val="Noto Sans CJK SC"/>
        <family val="2"/>
      </rPr>
      <t xml:space="preserve">快取命中率（輸入 </t>
    </r>
    <r>
      <rPr>
        <sz val="10"/>
        <color rgb="FF000000"/>
        <rFont val="Arial"/>
        <family val="0"/>
        <charset val="1"/>
      </rPr>
      <t xml:space="preserve">token</t>
    </r>
    <r>
      <rPr>
        <sz val="10"/>
        <color rgb="FF000000"/>
        <rFont val="Noto Sans CJK SC"/>
        <family val="2"/>
      </rPr>
      <t xml:space="preserve">）</t>
    </r>
  </si>
  <si>
    <r>
      <rPr>
        <sz val="10"/>
        <color rgb="FF000000"/>
        <rFont val="Arial"/>
        <family val="0"/>
        <charset val="1"/>
      </rPr>
      <t xml:space="preserve">OpenAI v0.6 INP_029</t>
    </r>
    <r>
      <rPr>
        <sz val="10"/>
        <color rgb="FF000000"/>
        <rFont val="Noto Sans CJK SC"/>
        <family val="2"/>
      </rPr>
      <t xml:space="preserve">（</t>
    </r>
    <r>
      <rPr>
        <sz val="10"/>
        <color rgb="FF000000"/>
        <rFont val="Arial"/>
        <family val="0"/>
        <charset val="1"/>
      </rPr>
      <t xml:space="preserve">0.55</t>
    </r>
    <r>
      <rPr>
        <sz val="10"/>
        <color rgb="FF000000"/>
        <rFont val="Noto Sans CJK SC"/>
        <family val="2"/>
      </rPr>
      <t xml:space="preserve">，</t>
    </r>
    <r>
      <rPr>
        <sz val="10"/>
        <color rgb="FF000000"/>
        <rFont val="Arial"/>
        <family val="0"/>
        <charset val="1"/>
      </rPr>
      <t xml:space="preserve">0.3–0.75</t>
    </r>
    <r>
      <rPr>
        <sz val="10"/>
        <color rgb="FF000000"/>
        <rFont val="Noto Sans CJK SC"/>
        <family val="2"/>
      </rPr>
      <t xml:space="preserve">）；智譜快取價約輸入價 </t>
    </r>
    <r>
      <rPr>
        <sz val="10"/>
        <color rgb="FF000000"/>
        <rFont val="Arial"/>
        <family val="0"/>
        <charset val="1"/>
      </rPr>
      <t xml:space="preserve">20–25%</t>
    </r>
    <r>
      <rPr>
        <sz val="10"/>
        <color rgb="FF000000"/>
        <rFont val="Noto Sans CJK SC"/>
        <family val="2"/>
      </rPr>
      <t xml:space="preserve">（</t>
    </r>
    <r>
      <rPr>
        <sz val="10"/>
        <color rgb="FF000000"/>
        <rFont val="Arial"/>
        <family val="0"/>
        <charset val="1"/>
      </rPr>
      <t xml:space="preserve">SRC_ZP_284–331</t>
    </r>
    <r>
      <rPr>
        <sz val="10"/>
        <color rgb="FF000000"/>
        <rFont val="Noto Sans CJK SC"/>
        <family val="2"/>
      </rPr>
      <t xml:space="preserve">）</t>
    </r>
  </si>
  <si>
    <r>
      <rPr>
        <sz val="10"/>
        <color rgb="FF000000"/>
        <rFont val="Noto Sans CJK SC"/>
        <family val="2"/>
      </rPr>
      <t xml:space="preserve">同 </t>
    </r>
    <r>
      <rPr>
        <sz val="10"/>
        <color rgb="FF000000"/>
        <rFont val="Arial"/>
        <family val="0"/>
        <charset val="1"/>
      </rPr>
      <t xml:space="preserve">OpenAI</t>
    </r>
  </si>
  <si>
    <t xml:space="preserve">INP_031</t>
  </si>
  <si>
    <t xml:space="preserve">discount_free</t>
  </si>
  <si>
    <r>
      <rPr>
        <sz val="10"/>
        <color rgb="FF000000"/>
        <rFont val="Arial"/>
        <family val="0"/>
        <charset val="1"/>
      </rPr>
      <t xml:space="preserve">API </t>
    </r>
    <r>
      <rPr>
        <sz val="10"/>
        <color rgb="FF000000"/>
        <rFont val="Noto Sans CJK SC"/>
        <family val="2"/>
      </rPr>
      <t xml:space="preserve">折扣與免費額度比例（牌價→實收）</t>
    </r>
  </si>
  <si>
    <r>
      <rPr>
        <sz val="10"/>
        <color rgb="FF000000"/>
        <rFont val="Arial"/>
        <family val="0"/>
        <charset val="1"/>
      </rPr>
      <t xml:space="preserve">OpenAI v0.6 INP_030</t>
    </r>
    <r>
      <rPr>
        <sz val="10"/>
        <color rgb="FF000000"/>
        <rFont val="Noto Sans CJK SC"/>
        <family val="2"/>
      </rPr>
      <t xml:space="preserve">（</t>
    </r>
    <r>
      <rPr>
        <sz val="10"/>
        <color rgb="FF000000"/>
        <rFont val="Arial"/>
        <family val="0"/>
        <charset val="1"/>
      </rPr>
      <t xml:space="preserve">0.2</t>
    </r>
    <r>
      <rPr>
        <sz val="10"/>
        <color rgb="FF000000"/>
        <rFont val="Noto Sans CJK SC"/>
        <family val="2"/>
      </rPr>
      <t xml:space="preserve">，</t>
    </r>
    <r>
      <rPr>
        <sz val="10"/>
        <color rgb="FF000000"/>
        <rFont val="Arial"/>
        <family val="0"/>
        <charset val="1"/>
      </rPr>
      <t xml:space="preserve">0.1–0.3</t>
    </r>
    <r>
      <rPr>
        <sz val="10"/>
        <color rgb="FF000000"/>
        <rFont val="Noto Sans CJK SC"/>
        <family val="2"/>
      </rPr>
      <t xml:space="preserve">）為 </t>
    </r>
    <r>
      <rPr>
        <sz val="10"/>
        <color rgb="FF000000"/>
        <rFont val="Arial"/>
        <family val="0"/>
        <charset val="1"/>
      </rPr>
      <t xml:space="preserve">Analogy</t>
    </r>
    <r>
      <rPr>
        <sz val="10"/>
        <color rgb="FF000000"/>
        <rFont val="Noto Sans CJK SC"/>
        <family val="2"/>
      </rPr>
      <t xml:space="preserve">；智譜另有 </t>
    </r>
    <r>
      <rPr>
        <sz val="10"/>
        <color rgb="FF000000"/>
        <rFont val="Arial"/>
        <family val="0"/>
        <charset val="1"/>
      </rPr>
      <t xml:space="preserve">Batch </t>
    </r>
    <r>
      <rPr>
        <sz val="10"/>
        <color rgb="FF000000"/>
        <rFont val="Noto Sans CJK SC"/>
        <family val="2"/>
      </rPr>
      <t xml:space="preserve">五折（</t>
    </r>
    <r>
      <rPr>
        <sz val="10"/>
        <color rgb="FF000000"/>
        <rFont val="Arial"/>
        <family val="0"/>
        <charset val="1"/>
      </rPr>
      <t xml:space="preserve">SRC_ZP_332</t>
    </r>
    <r>
      <rPr>
        <sz val="10"/>
        <color rgb="FF000000"/>
        <rFont val="Noto Sans CJK SC"/>
        <family val="2"/>
      </rPr>
      <t xml:space="preserve">）、新用戶贈送額度、</t>
    </r>
    <r>
      <rPr>
        <sz val="10"/>
        <color rgb="FF000000"/>
        <rFont val="Arial"/>
        <family val="0"/>
        <charset val="1"/>
      </rPr>
      <t xml:space="preserve">GLM-5.3-Flash </t>
    </r>
    <r>
      <rPr>
        <sz val="10"/>
        <color rgb="FF000000"/>
        <rFont val="Noto Sans CJK SC"/>
        <family val="2"/>
      </rPr>
      <t xml:space="preserve">限時五折、企業協議價，取較高值</t>
    </r>
  </si>
  <si>
    <r>
      <rPr>
        <sz val="10"/>
        <color rgb="FF000000"/>
        <rFont val="Arial"/>
        <family val="0"/>
        <charset val="1"/>
      </rPr>
      <t xml:space="preserve">0.1</t>
    </r>
    <r>
      <rPr>
        <sz val="10"/>
        <color rgb="FF000000"/>
        <rFont val="Noto Sans CJK SC"/>
        <family val="2"/>
      </rPr>
      <t xml:space="preserve">～</t>
    </r>
    <r>
      <rPr>
        <sz val="10"/>
        <color rgb="FF000000"/>
        <rFont val="Arial"/>
        <family val="0"/>
        <charset val="1"/>
      </rPr>
      <t xml:space="preserve">0.4</t>
    </r>
  </si>
  <si>
    <t xml:space="preserve">INP_032</t>
  </si>
  <si>
    <t xml:space="preserve">sol_share_2025</t>
  </si>
  <si>
    <r>
      <rPr>
        <sz val="10"/>
        <color rgb="FF000000"/>
        <rFont val="Noto Sans CJK SC"/>
        <family val="2"/>
      </rPr>
      <t xml:space="preserve">付費 </t>
    </r>
    <r>
      <rPr>
        <sz val="10"/>
        <color rgb="FF000000"/>
        <rFont val="Arial"/>
        <family val="0"/>
        <charset val="1"/>
      </rPr>
      <t xml:space="preserve">API token </t>
    </r>
    <r>
      <rPr>
        <sz val="10"/>
        <color rgb="FF000000"/>
        <rFont val="Noto Sans CJK SC"/>
        <family val="2"/>
      </rPr>
      <t xml:space="preserve">層級組合：</t>
    </r>
    <r>
      <rPr>
        <sz val="10"/>
        <color rgb="FF000000"/>
        <rFont val="Arial"/>
        <family val="0"/>
        <charset val="1"/>
      </rPr>
      <t xml:space="preserve">Sol </t>
    </r>
    <r>
      <rPr>
        <sz val="10"/>
        <color rgb="FF000000"/>
        <rFont val="Noto Sans CJK SC"/>
        <family val="2"/>
      </rPr>
      <t xml:space="preserve">占比</t>
    </r>
  </si>
  <si>
    <r>
      <rPr>
        <sz val="10"/>
        <color rgb="FF000000"/>
        <rFont val="Arial"/>
        <family val="0"/>
        <charset val="1"/>
      </rPr>
      <t xml:space="preserve">2025 </t>
    </r>
    <r>
      <rPr>
        <sz val="10"/>
        <color rgb="FF000000"/>
        <rFont val="Noto Sans CJK SC"/>
        <family val="2"/>
      </rPr>
      <t xml:space="preserve">主力旗艦 </t>
    </r>
    <r>
      <rPr>
        <sz val="10"/>
        <color rgb="FF000000"/>
        <rFont val="Arial"/>
        <family val="0"/>
        <charset val="1"/>
      </rPr>
      <t xml:space="preserve">GLM-4.5</t>
    </r>
    <r>
      <rPr>
        <sz val="10"/>
        <color rgb="FF000000"/>
        <rFont val="Noto Sans CJK SC"/>
        <family val="2"/>
      </rPr>
      <t xml:space="preserve">／</t>
    </r>
    <r>
      <rPr>
        <sz val="10"/>
        <color rgb="FF000000"/>
        <rFont val="Arial"/>
        <family val="0"/>
        <charset val="1"/>
      </rPr>
      <t xml:space="preserve">4.6</t>
    </r>
    <r>
      <rPr>
        <sz val="10"/>
        <color rgb="FF000000"/>
        <rFont val="Noto Sans CJK SC"/>
        <family val="2"/>
      </rPr>
      <t xml:space="preserve">／</t>
    </r>
    <r>
      <rPr>
        <sz val="10"/>
        <color rgb="FF000000"/>
        <rFont val="Arial"/>
        <family val="0"/>
        <charset val="1"/>
      </rPr>
      <t xml:space="preserve">4.7</t>
    </r>
    <r>
      <rPr>
        <sz val="10"/>
        <color rgb="FF000000"/>
        <rFont val="Noto Sans CJK SC"/>
        <family val="2"/>
      </rPr>
      <t xml:space="preserve">（</t>
    </r>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D24r</t>
    </r>
    <r>
      <rPr>
        <sz val="10"/>
        <color rgb="FF000000"/>
        <rFont val="Noto Sans CJK SC"/>
        <family val="2"/>
      </rPr>
      <t xml:space="preserve">），</t>
    </r>
    <r>
      <rPr>
        <sz val="10"/>
        <color rgb="FF000000"/>
        <rFont val="Arial"/>
        <family val="0"/>
        <charset val="1"/>
      </rPr>
      <t xml:space="preserve">Air </t>
    </r>
    <r>
      <rPr>
        <sz val="10"/>
        <color rgb="FF000000"/>
        <rFont val="Noto Sans CJK SC"/>
        <family val="2"/>
      </rPr>
      <t xml:space="preserve">系列（</t>
    </r>
    <r>
      <rPr>
        <sz val="10"/>
        <color rgb="FF000000"/>
        <rFont val="Arial"/>
        <family val="0"/>
        <charset val="1"/>
      </rPr>
      <t xml:space="preserve">Luna</t>
    </r>
    <r>
      <rPr>
        <sz val="10"/>
        <color rgb="FF000000"/>
        <rFont val="Noto Sans CJK SC"/>
        <family val="2"/>
      </rPr>
      <t xml:space="preserve">）價格低一個數量級；</t>
    </r>
    <r>
      <rPr>
        <sz val="10"/>
        <color rgb="FF000000"/>
        <rFont val="Arial"/>
        <family val="0"/>
        <charset val="1"/>
      </rPr>
      <t xml:space="preserve">Analogy</t>
    </r>
    <r>
      <rPr>
        <sz val="10"/>
        <color rgb="FF000000"/>
        <rFont val="Noto Sans CJK SC"/>
        <family val="2"/>
      </rPr>
      <t xml:space="preserve">：</t>
    </r>
    <r>
      <rPr>
        <sz val="10"/>
        <color rgb="FF000000"/>
        <rFont val="Arial"/>
        <family val="0"/>
        <charset val="1"/>
      </rPr>
      <t xml:space="preserve">OpenRouter GLM-5.2 </t>
    </r>
    <r>
      <rPr>
        <sz val="10"/>
        <color rgb="FF000000"/>
        <rFont val="Noto Sans CJK SC"/>
        <family val="2"/>
      </rPr>
      <t xml:space="preserve">單一型號占全平台 </t>
    </r>
    <r>
      <rPr>
        <sz val="10"/>
        <color rgb="FF000000"/>
        <rFont val="Arial"/>
        <family val="0"/>
        <charset val="1"/>
      </rPr>
      <t xml:space="preserve">5.5%</t>
    </r>
    <r>
      <rPr>
        <sz val="10"/>
        <color rgb="FF000000"/>
        <rFont val="Noto Sans CJK SC"/>
        <family val="2"/>
      </rPr>
      <t xml:space="preserve">（</t>
    </r>
    <r>
      <rPr>
        <sz val="10"/>
        <color rgb="FF000000"/>
        <rFont val="Arial"/>
        <family val="0"/>
        <charset val="1"/>
      </rPr>
      <t xml:space="preserve">SRC_ZP_437</t>
    </r>
    <r>
      <rPr>
        <sz val="10"/>
        <color rgb="FF000000"/>
        <rFont val="Noto Sans CJK SC"/>
        <family val="2"/>
      </rPr>
      <t xml:space="preserve">），</t>
    </r>
    <r>
      <rPr>
        <sz val="10"/>
        <color rgb="FF000000"/>
        <rFont val="Arial"/>
        <family val="0"/>
        <charset val="1"/>
      </rPr>
      <t xml:space="preserve">Luna </t>
    </r>
    <r>
      <rPr>
        <sz val="10"/>
        <color rgb="FF000000"/>
        <rFont val="Noto Sans CJK SC"/>
        <family val="2"/>
      </rPr>
      <t xml:space="preserve">份額找不到</t>
    </r>
  </si>
  <si>
    <r>
      <rPr>
        <sz val="10"/>
        <color rgb="FF000000"/>
        <rFont val="Arial"/>
        <family val="0"/>
        <charset val="1"/>
      </rPr>
      <t xml:space="preserve">0.4</t>
    </r>
    <r>
      <rPr>
        <sz val="10"/>
        <color rgb="FF000000"/>
        <rFont val="Noto Sans CJK SC"/>
        <family val="2"/>
      </rPr>
      <t xml:space="preserve">～</t>
    </r>
    <r>
      <rPr>
        <sz val="10"/>
        <color rgb="FF000000"/>
        <rFont val="Arial"/>
        <family val="0"/>
        <charset val="1"/>
      </rPr>
      <t xml:space="preserve">0.8</t>
    </r>
  </si>
  <si>
    <t xml:space="preserve">INP_033</t>
  </si>
  <si>
    <t xml:space="preserve">sol_share_2026</t>
  </si>
  <si>
    <r>
      <rPr>
        <sz val="10"/>
        <color rgb="FF000000"/>
        <rFont val="Arial"/>
        <family val="0"/>
        <charset val="1"/>
      </rPr>
      <t xml:space="preserve">GLM-5.x </t>
    </r>
    <r>
      <rPr>
        <sz val="10"/>
        <color rgb="FF000000"/>
        <rFont val="Noto Sans CJK SC"/>
        <family val="2"/>
      </rPr>
      <t xml:space="preserve">推出後旗艦占比上升（呼叫需求 </t>
    </r>
    <r>
      <rPr>
        <sz val="10"/>
        <color rgb="FF000000"/>
        <rFont val="Arial"/>
        <family val="0"/>
        <charset val="1"/>
      </rPr>
      <t xml:space="preserve">10 </t>
    </r>
    <r>
      <rPr>
        <sz val="10"/>
        <color rgb="FF000000"/>
        <rFont val="Noto Sans CJK SC"/>
        <family val="2"/>
      </rPr>
      <t xml:space="preserve">倍，</t>
    </r>
    <r>
      <rPr>
        <sz val="10"/>
        <color rgb="FF000000"/>
        <rFont val="Arial"/>
        <family val="0"/>
        <charset val="1"/>
      </rPr>
      <t xml:space="preserve">SRC_ZP_421 </t>
    </r>
    <r>
      <rPr>
        <sz val="10"/>
        <color rgb="FF000000"/>
        <rFont val="Noto Sans CJK SC"/>
        <family val="2"/>
      </rPr>
      <t xml:space="preserve">只作方向）</t>
    </r>
  </si>
  <si>
    <r>
      <rPr>
        <sz val="10"/>
        <color rgb="FF000000"/>
        <rFont val="Arial"/>
        <family val="0"/>
        <charset val="1"/>
      </rPr>
      <t xml:space="preserve">0.5</t>
    </r>
    <r>
      <rPr>
        <sz val="10"/>
        <color rgb="FF000000"/>
        <rFont val="Noto Sans CJK SC"/>
        <family val="2"/>
      </rPr>
      <t xml:space="preserve">～</t>
    </r>
    <r>
      <rPr>
        <sz val="10"/>
        <color rgb="FF000000"/>
        <rFont val="Arial"/>
        <family val="0"/>
        <charset val="1"/>
      </rPr>
      <t xml:space="preserve">0.85</t>
    </r>
  </si>
  <si>
    <t xml:space="preserve">INP_034</t>
  </si>
  <si>
    <t xml:space="preserve">sol_share_2027</t>
  </si>
  <si>
    <r>
      <rPr>
        <sz val="10"/>
        <color rgb="FF000000"/>
        <rFont val="Arial"/>
        <family val="0"/>
        <charset val="1"/>
      </rPr>
      <t xml:space="preserve">2027 </t>
    </r>
    <r>
      <rPr>
        <sz val="10"/>
        <color rgb="FF000000"/>
        <rFont val="Noto Sans CJK SC"/>
        <family val="2"/>
      </rPr>
      <t xml:space="preserve">起</t>
    </r>
  </si>
  <si>
    <r>
      <rPr>
        <sz val="10"/>
        <color rgb="FF000000"/>
        <rFont val="Noto Sans CJK SC"/>
        <family val="2"/>
      </rPr>
      <t xml:space="preserve">沿用 </t>
    </r>
    <r>
      <rPr>
        <sz val="10"/>
        <color rgb="FF000000"/>
        <rFont val="Arial"/>
        <family val="0"/>
        <charset val="1"/>
      </rPr>
      <t xml:space="preserve">2026</t>
    </r>
    <r>
      <rPr>
        <sz val="10"/>
        <color rgb="FF000000"/>
        <rFont val="Noto Sans CJK SC"/>
        <family val="2"/>
      </rPr>
      <t xml:space="preserve">（</t>
    </r>
    <r>
      <rPr>
        <sz val="10"/>
        <color rgb="FF000000"/>
        <rFont val="Arial"/>
        <family val="0"/>
        <charset val="1"/>
      </rPr>
      <t xml:space="preserve">OpenAI v0.6 </t>
    </r>
    <r>
      <rPr>
        <sz val="10"/>
        <color rgb="FF000000"/>
        <rFont val="Noto Sans CJK SC"/>
        <family val="2"/>
      </rPr>
      <t xml:space="preserve">亦以最後一值延伸）</t>
    </r>
  </si>
  <si>
    <t xml:space="preserve">INP_035</t>
  </si>
  <si>
    <t xml:space="preserve">px_chg_sol</t>
  </si>
  <si>
    <r>
      <rPr>
        <sz val="10"/>
        <color rgb="FF000000"/>
        <rFont val="Arial"/>
        <family val="0"/>
        <charset val="1"/>
      </rPr>
      <t xml:space="preserve">API </t>
    </r>
    <r>
      <rPr>
        <sz val="10"/>
        <color rgb="FF000000"/>
        <rFont val="Noto Sans CJK SC"/>
        <family val="2"/>
      </rPr>
      <t xml:space="preserve">牌價年變動率：</t>
    </r>
    <r>
      <rPr>
        <sz val="10"/>
        <color rgb="FF000000"/>
        <rFont val="Arial"/>
        <family val="0"/>
        <charset val="1"/>
      </rPr>
      <t xml:space="preserve">Sol</t>
    </r>
  </si>
  <si>
    <t xml:space="preserve">比例／年</t>
  </si>
  <si>
    <r>
      <rPr>
        <sz val="10"/>
        <color rgb="FF000000"/>
        <rFont val="Noto Sans CJK SC"/>
        <family val="2"/>
      </rPr>
      <t xml:space="preserve">工作單 </t>
    </r>
    <r>
      <rPr>
        <sz val="10"/>
        <color rgb="FF000000"/>
        <rFont val="Arial"/>
        <family val="0"/>
        <charset val="1"/>
      </rPr>
      <t xml:space="preserve">Z2 </t>
    </r>
    <r>
      <rPr>
        <sz val="10"/>
        <color rgb="FF000000"/>
        <rFont val="Noto Sans CJK SC"/>
        <family val="2"/>
      </rPr>
      <t xml:space="preserve">預設（−</t>
    </r>
    <r>
      <rPr>
        <sz val="10"/>
        <color rgb="FF000000"/>
        <rFont val="Arial"/>
        <family val="0"/>
        <charset val="1"/>
      </rPr>
      <t xml:space="preserve">20%</t>
    </r>
    <r>
      <rPr>
        <sz val="10"/>
        <color rgb="FF000000"/>
        <rFont val="Noto Sans CJK SC"/>
        <family val="2"/>
      </rPr>
      <t xml:space="preserve">／年）；</t>
    </r>
    <r>
      <rPr>
        <sz val="10"/>
        <color rgb="FF000000"/>
        <rFont val="Arial"/>
        <family val="0"/>
        <charset val="1"/>
      </rPr>
      <t xml:space="preserve">Analogy</t>
    </r>
    <r>
      <rPr>
        <sz val="10"/>
        <color rgb="FF000000"/>
        <rFont val="Noto Sans CJK SC"/>
        <family val="2"/>
      </rPr>
      <t xml:space="preserve">：</t>
    </r>
    <r>
      <rPr>
        <sz val="10"/>
        <color rgb="FF000000"/>
        <rFont val="Arial"/>
        <family val="0"/>
        <charset val="1"/>
      </rPr>
      <t xml:space="preserve">OpenAI v0.6 INP_022 mid </t>
    </r>
    <r>
      <rPr>
        <sz val="10"/>
        <color rgb="FF000000"/>
        <rFont val="Noto Sans CJK SC"/>
        <family val="2"/>
      </rPr>
      <t xml:space="preserve">層 −</t>
    </r>
    <r>
      <rPr>
        <sz val="10"/>
        <color rgb="FF000000"/>
        <rFont val="Arial"/>
        <family val="0"/>
        <charset val="1"/>
      </rPr>
      <t xml:space="preserve">40%</t>
    </r>
    <r>
      <rPr>
        <sz val="10"/>
        <color rgb="FF000000"/>
        <rFont val="Noto Sans CJK SC"/>
        <family val="2"/>
      </rPr>
      <t xml:space="preserve">（−</t>
    </r>
    <r>
      <rPr>
        <sz val="10"/>
        <color rgb="FF000000"/>
        <rFont val="Arial"/>
        <family val="0"/>
        <charset val="1"/>
      </rPr>
      <t xml:space="preserve">60%</t>
    </r>
    <r>
      <rPr>
        <sz val="10"/>
        <color rgb="FF000000"/>
        <rFont val="Noto Sans CJK SC"/>
        <family val="2"/>
      </rPr>
      <t xml:space="preserve">～−</t>
    </r>
    <r>
      <rPr>
        <sz val="10"/>
        <color rgb="FF000000"/>
        <rFont val="Arial"/>
        <family val="0"/>
        <charset val="1"/>
      </rPr>
      <t xml:space="preserve">20%</t>
    </r>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實際漲價（</t>
    </r>
    <r>
      <rPr>
        <sz val="10"/>
        <color rgb="FF000000"/>
        <rFont val="Arial"/>
        <family val="0"/>
        <charset val="1"/>
      </rPr>
      <t xml:space="preserve">+83%</t>
    </r>
    <r>
      <rPr>
        <sz val="10"/>
        <color rgb="FF000000"/>
        <rFont val="Noto Sans CJK SC"/>
        <family val="2"/>
      </rPr>
      <t xml:space="preserve">、</t>
    </r>
    <r>
      <rPr>
        <sz val="10"/>
        <color rgb="FF000000"/>
        <rFont val="Arial"/>
        <family val="0"/>
        <charset val="1"/>
      </rPr>
      <t xml:space="preserve">+101%</t>
    </r>
    <r>
      <rPr>
        <sz val="10"/>
        <color rgb="FF000000"/>
        <rFont val="Noto Sans CJK SC"/>
        <family val="2"/>
      </rPr>
      <t xml:space="preserve">，</t>
    </r>
    <r>
      <rPr>
        <sz val="10"/>
        <color rgb="FF000000"/>
        <rFont val="Arial"/>
        <family val="0"/>
        <charset val="1"/>
      </rPr>
      <t xml:space="preserve">SRC_ZP_346</t>
    </r>
    <r>
      <rPr>
        <sz val="10"/>
        <color rgb="FF000000"/>
        <rFont val="Noto Sans CJK SC"/>
        <family val="2"/>
      </rPr>
      <t xml:space="preserve">、</t>
    </r>
    <r>
      <rPr>
        <sz val="10"/>
        <color rgb="FF000000"/>
        <rFont val="Arial"/>
        <family val="0"/>
        <charset val="1"/>
      </rPr>
      <t xml:space="preserve">347</t>
    </r>
    <r>
      <rPr>
        <sz val="10"/>
        <color rgb="FF000000"/>
        <rFont val="Noto Sans CJK SC"/>
        <family val="2"/>
      </rPr>
      <t xml:space="preserve">）故上緣放寬到 </t>
    </r>
    <r>
      <rPr>
        <sz val="10"/>
        <color rgb="FF000000"/>
        <rFont val="Arial"/>
        <family val="0"/>
        <charset val="1"/>
      </rPr>
      <t xml:space="preserve">+20%</t>
    </r>
  </si>
  <si>
    <r>
      <rPr>
        <sz val="10"/>
        <color rgb="FF000000"/>
        <rFont val="Arial"/>
        <family val="0"/>
        <charset val="1"/>
      </rPr>
      <t xml:space="preserve">−40%</t>
    </r>
    <r>
      <rPr>
        <sz val="10"/>
        <color rgb="FF000000"/>
        <rFont val="Noto Sans CJK SC"/>
        <family val="2"/>
      </rPr>
      <t xml:space="preserve">～</t>
    </r>
    <r>
      <rPr>
        <sz val="10"/>
        <color rgb="FF000000"/>
        <rFont val="Arial"/>
        <family val="0"/>
        <charset val="1"/>
      </rPr>
      <t xml:space="preserve">+20%</t>
    </r>
    <r>
      <rPr>
        <sz val="10"/>
        <color rgb="FF000000"/>
        <rFont val="Noto Sans CJK SC"/>
        <family val="2"/>
      </rPr>
      <t xml:space="preserve">（工作單）</t>
    </r>
  </si>
  <si>
    <t xml:space="preserve">INP_036</t>
  </si>
  <si>
    <t xml:space="preserve">px_chg_luna</t>
  </si>
  <si>
    <r>
      <rPr>
        <sz val="10"/>
        <color rgb="FF000000"/>
        <rFont val="Arial"/>
        <family val="0"/>
        <charset val="1"/>
      </rPr>
      <t xml:space="preserve">API </t>
    </r>
    <r>
      <rPr>
        <sz val="10"/>
        <color rgb="FF000000"/>
        <rFont val="Noto Sans CJK SC"/>
        <family val="2"/>
      </rPr>
      <t xml:space="preserve">牌價年變動率：</t>
    </r>
    <r>
      <rPr>
        <sz val="10"/>
        <color rgb="FF000000"/>
        <rFont val="Arial"/>
        <family val="0"/>
        <charset val="1"/>
      </rPr>
      <t xml:space="preserve">Luna</t>
    </r>
  </si>
  <si>
    <r>
      <rPr>
        <sz val="10"/>
        <color rgb="FF000000"/>
        <rFont val="Noto Sans CJK SC"/>
        <family val="2"/>
      </rPr>
      <t xml:space="preserve">同上；</t>
    </r>
    <r>
      <rPr>
        <sz val="10"/>
        <color rgb="FF000000"/>
        <rFont val="Arial"/>
        <family val="0"/>
        <charset val="1"/>
      </rPr>
      <t xml:space="preserve">Analogy</t>
    </r>
    <r>
      <rPr>
        <sz val="10"/>
        <color rgb="FF000000"/>
        <rFont val="Noto Sans CJK SC"/>
        <family val="2"/>
      </rPr>
      <t xml:space="preserve">：</t>
    </r>
    <r>
      <rPr>
        <sz val="10"/>
        <color rgb="FF000000"/>
        <rFont val="Arial"/>
        <family val="0"/>
        <charset val="1"/>
      </rPr>
      <t xml:space="preserve">OpenAI v0.6 INP_023 low </t>
    </r>
    <r>
      <rPr>
        <sz val="10"/>
        <color rgb="FF000000"/>
        <rFont val="Noto Sans CJK SC"/>
        <family val="2"/>
      </rPr>
      <t xml:space="preserve">層 −</t>
    </r>
    <r>
      <rPr>
        <sz val="10"/>
        <color rgb="FF000000"/>
        <rFont val="Arial"/>
        <family val="0"/>
        <charset val="1"/>
      </rPr>
      <t xml:space="preserve">40%</t>
    </r>
  </si>
  <si>
    <t xml:space="preserve">INP_037</t>
  </si>
  <si>
    <t xml:space="preserve">tpt_base</t>
  </si>
  <si>
    <r>
      <rPr>
        <sz val="10"/>
        <color rgb="FF000000"/>
        <rFont val="Arial"/>
        <family val="0"/>
        <charset val="1"/>
      </rPr>
      <t xml:space="preserve">API </t>
    </r>
    <r>
      <rPr>
        <sz val="10"/>
        <color rgb="FF000000"/>
        <rFont val="Noto Sans CJK SC"/>
        <family val="2"/>
      </rPr>
      <t xml:space="preserve">基準每任務 </t>
    </r>
    <r>
      <rPr>
        <sz val="10"/>
        <color rgb="FF000000"/>
        <rFont val="Arial"/>
        <family val="0"/>
        <charset val="1"/>
      </rPr>
      <t xml:space="preserve">token</t>
    </r>
    <r>
      <rPr>
        <sz val="10"/>
        <color rgb="FF000000"/>
        <rFont val="Noto Sans CJK SC"/>
        <family val="2"/>
      </rPr>
      <t xml:space="preserve">（層級正規化）</t>
    </r>
  </si>
  <si>
    <r>
      <rPr>
        <sz val="10"/>
        <color rgb="FF000000"/>
        <rFont val="Arial"/>
        <family val="0"/>
        <charset val="1"/>
      </rPr>
      <t xml:space="preserve">K tok</t>
    </r>
    <r>
      <rPr>
        <sz val="10"/>
        <color rgb="FF000000"/>
        <rFont val="Noto Sans CJK SC"/>
        <family val="2"/>
      </rPr>
      <t xml:space="preserve">／任務</t>
    </r>
  </si>
  <si>
    <r>
      <rPr>
        <sz val="10"/>
        <color rgb="FF000000"/>
        <rFont val="Arial"/>
        <family val="0"/>
        <charset val="1"/>
      </rPr>
      <t xml:space="preserve">OpenAI v0.6 INP_031</t>
    </r>
    <r>
      <rPr>
        <sz val="10"/>
        <color rgb="FF000000"/>
        <rFont val="Noto Sans CJK SC"/>
        <family val="2"/>
      </rPr>
      <t xml:space="preserve">（</t>
    </r>
    <r>
      <rPr>
        <sz val="10"/>
        <color rgb="FF000000"/>
        <rFont val="Arial"/>
        <family val="0"/>
        <charset val="1"/>
      </rPr>
      <t xml:space="preserve">10</t>
    </r>
    <r>
      <rPr>
        <sz val="10"/>
        <color rgb="FF000000"/>
        <rFont val="Noto Sans CJK SC"/>
        <family val="2"/>
      </rPr>
      <t xml:space="preserve">，</t>
    </r>
    <r>
      <rPr>
        <sz val="10"/>
        <color rgb="FF000000"/>
        <rFont val="Arial"/>
        <family val="0"/>
        <charset val="1"/>
      </rPr>
      <t xml:space="preserve">5–30</t>
    </r>
    <r>
      <rPr>
        <sz val="10"/>
        <color rgb="FF000000"/>
        <rFont val="Noto Sans CJK SC"/>
        <family val="2"/>
      </rPr>
      <t xml:space="preserve">）為 </t>
    </r>
    <r>
      <rPr>
        <sz val="10"/>
        <color rgb="FF000000"/>
        <rFont val="Arial"/>
        <family val="0"/>
        <charset val="1"/>
      </rPr>
      <t xml:space="preserve">Analogy</t>
    </r>
    <r>
      <rPr>
        <sz val="10"/>
        <color rgb="FF000000"/>
        <rFont val="Noto Sans CJK SC"/>
        <family val="2"/>
      </rPr>
      <t xml:space="preserve">；智譜 </t>
    </r>
    <r>
      <rPr>
        <sz val="10"/>
        <color rgb="FF000000"/>
        <rFont val="Arial"/>
        <family val="0"/>
        <charset val="1"/>
      </rPr>
      <t xml:space="preserve">API </t>
    </r>
    <r>
      <rPr>
        <sz val="10"/>
        <color rgb="FF000000"/>
        <rFont val="Noto Sans CJK SC"/>
        <family val="2"/>
      </rPr>
      <t xml:space="preserve">以程式碼代理為主，每任務上下文較長；只影響任務數與每任務 </t>
    </r>
    <r>
      <rPr>
        <sz val="10"/>
        <color rgb="FF000000"/>
        <rFont val="Arial"/>
        <family val="0"/>
        <charset val="1"/>
      </rPr>
      <t xml:space="preserve">token </t>
    </r>
    <r>
      <rPr>
        <sz val="10"/>
        <color rgb="FF000000"/>
        <rFont val="Noto Sans CJK SC"/>
        <family val="2"/>
      </rPr>
      <t xml:space="preserve">的水準拆分，不影響營收與 </t>
    </r>
    <r>
      <rPr>
        <sz val="10"/>
        <color rgb="FF000000"/>
        <rFont val="Arial"/>
        <family val="0"/>
        <charset val="1"/>
      </rPr>
      <t xml:space="preserve">token </t>
    </r>
    <r>
      <rPr>
        <sz val="10"/>
        <color rgb="FF000000"/>
        <rFont val="Noto Sans CJK SC"/>
        <family val="2"/>
      </rPr>
      <t xml:space="preserve">總量</t>
    </r>
  </si>
  <si>
    <r>
      <rPr>
        <sz val="10"/>
        <color rgb="FF000000"/>
        <rFont val="Arial"/>
        <family val="0"/>
        <charset val="1"/>
      </rPr>
      <t xml:space="preserve">5</t>
    </r>
    <r>
      <rPr>
        <sz val="10"/>
        <color rgb="FF000000"/>
        <rFont val="Noto Sans CJK SC"/>
        <family val="2"/>
      </rPr>
      <t xml:space="preserve">～</t>
    </r>
    <r>
      <rPr>
        <sz val="10"/>
        <color rgb="FF000000"/>
        <rFont val="Arial"/>
        <family val="0"/>
        <charset val="1"/>
      </rPr>
      <t xml:space="preserve">50</t>
    </r>
  </si>
  <si>
    <t xml:space="preserve">INP_038</t>
  </si>
  <si>
    <t xml:space="preserve">g_task_2h26</t>
  </si>
  <si>
    <r>
      <rPr>
        <sz val="10"/>
        <color rgb="FF000000"/>
        <rFont val="Arial"/>
        <family val="0"/>
        <charset val="1"/>
      </rPr>
      <t xml:space="preserve">API </t>
    </r>
    <r>
      <rPr>
        <sz val="10"/>
        <color rgb="FF000000"/>
        <rFont val="Noto Sans CJK SC"/>
        <family val="2"/>
      </rPr>
      <t xml:space="preserve">任務數成長率（不含價格）：</t>
    </r>
    <r>
      <rPr>
        <sz val="10"/>
        <color rgb="FF000000"/>
        <rFont val="Arial"/>
        <family val="0"/>
        <charset val="1"/>
      </rPr>
      <t xml:space="preserve">2H26 </t>
    </r>
    <r>
      <rPr>
        <sz val="10"/>
        <color rgb="FF000000"/>
        <rFont val="Noto Sans CJK SC"/>
        <family val="2"/>
      </rPr>
      <t xml:space="preserve">對 </t>
    </r>
    <r>
      <rPr>
        <sz val="10"/>
        <color rgb="FF000000"/>
        <rFont val="Arial"/>
        <family val="0"/>
        <charset val="1"/>
      </rPr>
      <t xml:space="preserve">1H26</t>
    </r>
  </si>
  <si>
    <t xml:space="preserve">比例／半年</t>
  </si>
  <si>
    <r>
      <rPr>
        <sz val="10"/>
        <color rgb="FF000000"/>
        <rFont val="Noto Sans CJK SC"/>
        <family val="2"/>
      </rPr>
      <t xml:space="preserve">經審計／審閱的實際動能延續（</t>
    </r>
    <r>
      <rPr>
        <sz val="10"/>
        <color rgb="FF000000"/>
        <rFont val="Arial"/>
        <family val="0"/>
        <charset val="1"/>
      </rPr>
      <t xml:space="preserve">chat </t>
    </r>
    <r>
      <rPr>
        <sz val="10"/>
        <color rgb="FF000000"/>
        <rFont val="Noto Sans CJK SC"/>
        <family val="2"/>
      </rPr>
      <t xml:space="preserve">端審查改動 </t>
    </r>
    <r>
      <rPr>
        <sz val="10"/>
        <color rgb="FF000000"/>
        <rFont val="Arial"/>
        <family val="0"/>
        <charset val="1"/>
      </rPr>
      <t xml:space="preserve">R1</t>
    </r>
    <r>
      <rPr>
        <sz val="10"/>
        <color rgb="FF000000"/>
        <rFont val="Noto Sans CJK SC"/>
        <family val="2"/>
      </rPr>
      <t xml:space="preserve">，</t>
    </r>
    <r>
      <rPr>
        <sz val="10"/>
        <color rgb="FF000000"/>
        <rFont val="Arial"/>
        <family val="0"/>
        <charset val="1"/>
      </rPr>
      <t xml:space="preserve">2026-10-08</t>
    </r>
    <r>
      <rPr>
        <sz val="10"/>
        <color rgb="FF000000"/>
        <rFont val="Noto Sans CJK SC"/>
        <family val="2"/>
      </rPr>
      <t xml:space="preserve">）：</t>
    </r>
    <r>
      <rPr>
        <sz val="10"/>
        <color rgb="FF000000"/>
        <rFont val="Arial"/>
        <family val="0"/>
        <charset val="1"/>
      </rPr>
      <t xml:space="preserve">Demand </t>
    </r>
    <r>
      <rPr>
        <sz val="10"/>
        <color rgb="FF000000"/>
        <rFont val="Noto Sans CJK SC"/>
        <family val="2"/>
      </rPr>
      <t xml:space="preserve">對照列 </t>
    </r>
    <r>
      <rPr>
        <sz val="10"/>
        <color rgb="FF000000"/>
        <rFont val="Arial"/>
        <family val="0"/>
        <charset val="1"/>
      </rPr>
      <t xml:space="preserve">D33</t>
    </r>
    <r>
      <rPr>
        <sz val="10"/>
        <color rgb="FF000000"/>
        <rFont val="Noto Sans CJK SC"/>
        <family val="2"/>
      </rPr>
      <t xml:space="preserve">＝</t>
    </r>
    <r>
      <rPr>
        <sz val="10"/>
        <color rgb="FF000000"/>
        <rFont val="Arial"/>
        <family val="0"/>
        <charset val="1"/>
      </rPr>
      <t xml:space="preserve">1H26 ÷ 2H25 </t>
    </r>
    <r>
      <rPr>
        <sz val="10"/>
        <color rgb="FF000000"/>
        <rFont val="Noto Sans CJK SC"/>
        <family val="2"/>
      </rPr>
      <t xml:space="preserve">開放平台及 </t>
    </r>
    <r>
      <rPr>
        <sz val="10"/>
        <color rgb="FF000000"/>
        <rFont val="Arial"/>
        <family val="0"/>
        <charset val="1"/>
      </rPr>
      <t xml:space="preserve">API </t>
    </r>
    <r>
      <rPr>
        <sz val="10"/>
        <color rgb="FF000000"/>
        <rFont val="Noto Sans CJK SC"/>
        <family val="2"/>
      </rPr>
      <t xml:space="preserve">實際營收 </t>
    </r>
    <r>
      <rPr>
        <sz val="10"/>
        <color rgb="FF000000"/>
        <rFont val="Arial"/>
        <family val="0"/>
        <charset val="1"/>
      </rPr>
      <t xml:space="preserve">5.1 </t>
    </r>
    <r>
      <rPr>
        <sz val="10"/>
        <color rgb="FF000000"/>
        <rFont val="Noto Sans CJK SC"/>
        <family val="2"/>
      </rPr>
      <t xml:space="preserve">倍，除以模型組合有效單價 </t>
    </r>
    <r>
      <rPr>
        <sz val="10"/>
        <color rgb="FF000000"/>
        <rFont val="Arial"/>
        <family val="0"/>
        <charset val="1"/>
      </rPr>
      <t xml:space="preserve">1.58 </t>
    </r>
    <r>
      <rPr>
        <sz val="10"/>
        <color rgb="FF000000"/>
        <rFont val="Noto Sans CJK SC"/>
        <family val="2"/>
      </rPr>
      <t xml:space="preserve">倍，實際量約 </t>
    </r>
    <r>
      <rPr>
        <sz val="10"/>
        <color rgb="FF000000"/>
        <rFont val="Arial"/>
        <family val="0"/>
        <charset val="1"/>
      </rPr>
      <t xml:space="preserve">3.2 </t>
    </r>
    <r>
      <rPr>
        <sz val="10"/>
        <color rgb="FF000000"/>
        <rFont val="Noto Sans CJK SC"/>
        <family val="2"/>
      </rPr>
      <t xml:space="preserve">倍（＋</t>
    </r>
    <r>
      <rPr>
        <sz val="10"/>
        <color rgb="FF000000"/>
        <rFont val="Arial"/>
        <family val="0"/>
        <charset val="1"/>
      </rPr>
      <t xml:space="preserve">224%</t>
    </r>
    <r>
      <rPr>
        <sz val="10"/>
        <color rgb="FF000000"/>
        <rFont val="Noto Sans CJK SC"/>
        <family val="2"/>
      </rPr>
      <t xml:space="preserve">）；</t>
    </r>
    <r>
      <rPr>
        <sz val="10"/>
        <color rgb="FF000000"/>
        <rFont val="Arial"/>
        <family val="0"/>
        <charset val="1"/>
      </rPr>
      <t xml:space="preserve">2H26 </t>
    </r>
    <r>
      <rPr>
        <sz val="10"/>
        <color rgb="FF000000"/>
        <rFont val="Noto Sans CJK SC"/>
        <family val="2"/>
      </rPr>
      <t xml:space="preserve">延續此實際動能。</t>
    </r>
    <r>
      <rPr>
        <sz val="10"/>
        <color rgb="FF000000"/>
        <rFont val="Arial"/>
        <family val="0"/>
        <charset val="1"/>
      </rPr>
      <t xml:space="preserve">1H26 </t>
    </r>
    <r>
      <rPr>
        <sz val="10"/>
        <color rgb="FF000000"/>
        <rFont val="Noto Sans CJK SC"/>
        <family val="2"/>
      </rPr>
      <t xml:space="preserve">為實際值，延續實際動能是正向推導；</t>
    </r>
    <r>
      <rPr>
        <sz val="10"/>
        <color rgb="FF000000"/>
        <rFont val="Arial"/>
        <family val="0"/>
        <charset val="1"/>
      </rPr>
      <t xml:space="preserve">ARR</t>
    </r>
    <r>
      <rPr>
        <sz val="10"/>
        <color rgb="FF000000"/>
        <rFont val="Noto Sans CJK SC"/>
        <family val="2"/>
      </rPr>
      <t xml:space="preserve">、『較年初 </t>
    </r>
    <r>
      <rPr>
        <sz val="10"/>
        <color rgb="FF000000"/>
        <rFont val="Arial"/>
        <family val="0"/>
        <charset val="1"/>
      </rPr>
      <t xml:space="preserve">40 </t>
    </r>
    <r>
      <rPr>
        <sz val="10"/>
        <color rgb="FF000000"/>
        <rFont val="Noto Sans CJK SC"/>
        <family val="2"/>
      </rPr>
      <t xml:space="preserve">倍』等公司說法仍只作對照（</t>
    </r>
    <r>
      <rPr>
        <sz val="10"/>
        <color rgb="FF000000"/>
        <rFont val="Arial"/>
        <family val="0"/>
        <charset val="1"/>
      </rPr>
      <t xml:space="preserve">D14r</t>
    </r>
    <r>
      <rPr>
        <sz val="10"/>
        <color rgb="FF000000"/>
        <rFont val="Noto Sans CJK SC"/>
        <family val="2"/>
      </rPr>
      <t xml:space="preserve">）</t>
    </r>
  </si>
  <si>
    <r>
      <rPr>
        <sz val="10"/>
        <color rgb="FF000000"/>
        <rFont val="Arial"/>
        <family val="0"/>
        <charset val="1"/>
      </rPr>
      <t xml:space="preserve">1.3</t>
    </r>
    <r>
      <rPr>
        <sz val="10"/>
        <color rgb="FF000000"/>
        <rFont val="Noto Sans CJK SC"/>
        <family val="2"/>
      </rPr>
      <t xml:space="preserve">（放緩至原 </t>
    </r>
    <r>
      <rPr>
        <sz val="10"/>
        <color rgb="FF000000"/>
        <rFont val="Arial"/>
        <family val="0"/>
        <charset val="1"/>
      </rPr>
      <t xml:space="preserve">Z2 </t>
    </r>
    <r>
      <rPr>
        <sz val="10"/>
        <color rgb="FF000000"/>
        <rFont val="Noto Sans CJK SC"/>
        <family val="2"/>
      </rPr>
      <t xml:space="preserve">預設）～</t>
    </r>
    <r>
      <rPr>
        <sz val="10"/>
        <color rgb="FF000000"/>
        <rFont val="Arial"/>
        <family val="0"/>
        <charset val="1"/>
      </rPr>
      <t xml:space="preserve">3.0</t>
    </r>
    <r>
      <rPr>
        <sz val="10"/>
        <color rgb="FF000000"/>
        <rFont val="Noto Sans CJK SC"/>
        <family val="2"/>
      </rPr>
      <t xml:space="preserve">（略高於實際動能）</t>
    </r>
  </si>
  <si>
    <t xml:space="preserve">INP_039</t>
  </si>
  <si>
    <t xml:space="preserve">g_tpt_2h26</t>
  </si>
  <si>
    <r>
      <rPr>
        <sz val="10"/>
        <color rgb="FF000000"/>
        <rFont val="Arial"/>
        <family val="0"/>
        <charset val="1"/>
      </rPr>
      <t xml:space="preserve">API </t>
    </r>
    <r>
      <rPr>
        <sz val="10"/>
        <color rgb="FF000000"/>
        <rFont val="Noto Sans CJK SC"/>
        <family val="2"/>
      </rPr>
      <t xml:space="preserve">每任務 </t>
    </r>
    <r>
      <rPr>
        <sz val="10"/>
        <color rgb="FF000000"/>
        <rFont val="Arial"/>
        <family val="0"/>
        <charset val="1"/>
      </rPr>
      <t xml:space="preserve">token </t>
    </r>
    <r>
      <rPr>
        <sz val="10"/>
        <color rgb="FF000000"/>
        <rFont val="Noto Sans CJK SC"/>
        <family val="2"/>
      </rPr>
      <t xml:space="preserve">成長率（不含價格）：</t>
    </r>
    <r>
      <rPr>
        <sz val="10"/>
        <color rgb="FF000000"/>
        <rFont val="Arial"/>
        <family val="0"/>
        <charset val="1"/>
      </rPr>
      <t xml:space="preserve">2H26 </t>
    </r>
    <r>
      <rPr>
        <sz val="10"/>
        <color rgb="FF000000"/>
        <rFont val="Noto Sans CJK SC"/>
        <family val="2"/>
      </rPr>
      <t xml:space="preserve">對 </t>
    </r>
    <r>
      <rPr>
        <sz val="10"/>
        <color rgb="FF000000"/>
        <rFont val="Arial"/>
        <family val="0"/>
        <charset val="1"/>
      </rPr>
      <t xml:space="preserve">1H26</t>
    </r>
  </si>
  <si>
    <r>
      <rPr>
        <sz val="10"/>
        <color rgb="FF000000"/>
        <rFont val="Arial"/>
        <family val="0"/>
        <charset val="1"/>
      </rPr>
      <t xml:space="preserve">OpenAI v0.6 INP_041</t>
    </r>
    <r>
      <rPr>
        <sz val="10"/>
        <color rgb="FF000000"/>
        <rFont val="Noto Sans CJK SC"/>
        <family val="2"/>
      </rPr>
      <t xml:space="preserve">（</t>
    </r>
    <r>
      <rPr>
        <sz val="10"/>
        <color rgb="FF000000"/>
        <rFont val="Arial"/>
        <family val="0"/>
        <charset val="1"/>
      </rPr>
      <t xml:space="preserve">2026 </t>
    </r>
    <r>
      <rPr>
        <sz val="10"/>
        <color rgb="FF000000"/>
        <rFont val="Noto Sans CJK SC"/>
        <family val="2"/>
      </rPr>
      <t xml:space="preserve">年 </t>
    </r>
    <r>
      <rPr>
        <sz val="10"/>
        <color rgb="FF000000"/>
        <rFont val="Arial"/>
        <family val="0"/>
        <charset val="1"/>
      </rPr>
      <t xml:space="preserve">+20%</t>
    </r>
    <r>
      <rPr>
        <sz val="10"/>
        <color rgb="FF000000"/>
        <rFont val="Noto Sans CJK SC"/>
        <family val="2"/>
      </rPr>
      <t xml:space="preserve">）的半年約當</t>
    </r>
  </si>
  <si>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0.3</t>
    </r>
  </si>
  <si>
    <t xml:space="preserve">INP_040</t>
  </si>
  <si>
    <t xml:space="preserve">g_task_2027</t>
  </si>
  <si>
    <r>
      <rPr>
        <sz val="10"/>
        <color rgb="FF000000"/>
        <rFont val="Arial"/>
        <family val="0"/>
        <charset val="1"/>
      </rPr>
      <t xml:space="preserve">API </t>
    </r>
    <r>
      <rPr>
        <sz val="10"/>
        <color rgb="FF000000"/>
        <rFont val="Noto Sans CJK SC"/>
        <family val="2"/>
      </rPr>
      <t xml:space="preserve">任務數成長率（不含價格）</t>
    </r>
  </si>
  <si>
    <r>
      <rPr>
        <sz val="10"/>
        <color rgb="FF000000"/>
        <rFont val="Arial"/>
        <family val="0"/>
        <charset val="1"/>
      </rPr>
      <t xml:space="preserve">OpenAI v0.6 INP_034</t>
    </r>
    <r>
      <rPr>
        <sz val="10"/>
        <color rgb="FF000000"/>
        <rFont val="Noto Sans CJK SC"/>
        <family val="2"/>
      </rPr>
      <t xml:space="preserve">（</t>
    </r>
    <r>
      <rPr>
        <sz val="10"/>
        <color rgb="FF000000"/>
        <rFont val="Arial"/>
        <family val="0"/>
        <charset val="1"/>
      </rPr>
      <t xml:space="preserve">2027 +45%</t>
    </r>
    <r>
      <rPr>
        <sz val="10"/>
        <color rgb="FF000000"/>
        <rFont val="Noto Sans CJK SC"/>
        <family val="2"/>
      </rPr>
      <t xml:space="preserve">）為 </t>
    </r>
    <r>
      <rPr>
        <sz val="10"/>
        <color rgb="FF000000"/>
        <rFont val="Arial"/>
        <family val="0"/>
        <charset val="1"/>
      </rPr>
      <t xml:space="preserve">Analogy</t>
    </r>
    <r>
      <rPr>
        <sz val="10"/>
        <color rgb="FF000000"/>
        <rFont val="Noto Sans CJK SC"/>
        <family val="2"/>
      </rPr>
      <t xml:space="preserve">；智譜基期小、</t>
    </r>
    <r>
      <rPr>
        <sz val="10"/>
        <color rgb="FF000000"/>
        <rFont val="Arial"/>
        <family val="0"/>
        <charset val="1"/>
      </rPr>
      <t xml:space="preserve">2026 </t>
    </r>
    <r>
      <rPr>
        <sz val="10"/>
        <color rgb="FF000000"/>
        <rFont val="Noto Sans CJK SC"/>
        <family val="2"/>
      </rPr>
      <t xml:space="preserve">成長極快，取較高值；年對年（</t>
    </r>
    <r>
      <rPr>
        <sz val="10"/>
        <color rgb="FF000000"/>
        <rFont val="Arial"/>
        <family val="0"/>
        <charset val="1"/>
      </rPr>
      <t xml:space="preserve">2026 </t>
    </r>
    <r>
      <rPr>
        <sz val="10"/>
        <color rgb="FF000000"/>
        <rFont val="Noto Sans CJK SC"/>
        <family val="2"/>
      </rPr>
      <t xml:space="preserve">全年基數）</t>
    </r>
  </si>
  <si>
    <r>
      <rPr>
        <sz val="10"/>
        <color rgb="FF000000"/>
        <rFont val="Noto Sans CJK SC"/>
        <family val="2"/>
      </rPr>
      <t xml:space="preserve">基準 </t>
    </r>
    <r>
      <rPr>
        <sz val="10"/>
        <color rgb="FF000000"/>
        <rFont val="Arial"/>
        <family val="0"/>
        <charset val="1"/>
      </rPr>
      <t xml:space="preserve">×0.5</t>
    </r>
    <r>
      <rPr>
        <sz val="10"/>
        <color rgb="FF000000"/>
        <rFont val="Noto Sans CJK SC"/>
        <family val="2"/>
      </rPr>
      <t xml:space="preserve">～</t>
    </r>
    <r>
      <rPr>
        <sz val="10"/>
        <color rgb="FF000000"/>
        <rFont val="Arial"/>
        <family val="0"/>
        <charset val="1"/>
      </rPr>
      <t xml:space="preserve">×2</t>
    </r>
  </si>
  <si>
    <t xml:space="preserve">INP_041</t>
  </si>
  <si>
    <t xml:space="preserve">g_task_2028</t>
  </si>
  <si>
    <r>
      <rPr>
        <sz val="10"/>
        <color rgb="FF000000"/>
        <rFont val="Arial"/>
        <family val="0"/>
        <charset val="1"/>
      </rPr>
      <t xml:space="preserve">OpenAI v0.6 INP_035</t>
    </r>
    <r>
      <rPr>
        <sz val="10"/>
        <color rgb="FF000000"/>
        <rFont val="Noto Sans CJK SC"/>
        <family val="2"/>
      </rPr>
      <t xml:space="preserve">（</t>
    </r>
    <r>
      <rPr>
        <sz val="10"/>
        <color rgb="FF000000"/>
        <rFont val="Arial"/>
        <family val="0"/>
        <charset val="1"/>
      </rPr>
      <t xml:space="preserve">+35%</t>
    </r>
    <r>
      <rPr>
        <sz val="10"/>
        <color rgb="FF000000"/>
        <rFont val="Noto Sans CJK SC"/>
        <family val="2"/>
      </rPr>
      <t xml:space="preserve">）；同上</t>
    </r>
  </si>
  <si>
    <t xml:space="preserve">INP_042</t>
  </si>
  <si>
    <t xml:space="preserve">g_task_2029</t>
  </si>
  <si>
    <r>
      <rPr>
        <sz val="10"/>
        <color rgb="FF000000"/>
        <rFont val="Arial"/>
        <family val="0"/>
        <charset val="1"/>
      </rPr>
      <t xml:space="preserve">OpenAI v0.6 INP_036</t>
    </r>
    <r>
      <rPr>
        <sz val="10"/>
        <color rgb="FF000000"/>
        <rFont val="Noto Sans CJK SC"/>
        <family val="2"/>
      </rPr>
      <t xml:space="preserve">（</t>
    </r>
    <r>
      <rPr>
        <sz val="10"/>
        <color rgb="FF000000"/>
        <rFont val="Arial"/>
        <family val="0"/>
        <charset val="1"/>
      </rPr>
      <t xml:space="preserve">+25%</t>
    </r>
    <r>
      <rPr>
        <sz val="10"/>
        <color rgb="FF000000"/>
        <rFont val="Noto Sans CJK SC"/>
        <family val="2"/>
      </rPr>
      <t xml:space="preserve">）；同上</t>
    </r>
  </si>
  <si>
    <t xml:space="preserve">INP_043</t>
  </si>
  <si>
    <t xml:space="preserve">g_task_2030</t>
  </si>
  <si>
    <r>
      <rPr>
        <sz val="10"/>
        <color rgb="FF000000"/>
        <rFont val="Arial"/>
        <family val="0"/>
        <charset val="1"/>
      </rPr>
      <t xml:space="preserve">OpenAI v0.6 INP_037</t>
    </r>
    <r>
      <rPr>
        <sz val="10"/>
        <color rgb="FF000000"/>
        <rFont val="Noto Sans CJK SC"/>
        <family val="2"/>
      </rPr>
      <t xml:space="preserve">（</t>
    </r>
    <r>
      <rPr>
        <sz val="10"/>
        <color rgb="FF000000"/>
        <rFont val="Arial"/>
        <family val="0"/>
        <charset val="1"/>
      </rPr>
      <t xml:space="preserve">+20%</t>
    </r>
    <r>
      <rPr>
        <sz val="10"/>
        <color rgb="FF000000"/>
        <rFont val="Noto Sans CJK SC"/>
        <family val="2"/>
      </rPr>
      <t xml:space="preserve">）；同上</t>
    </r>
  </si>
  <si>
    <t xml:space="preserve">INP_044</t>
  </si>
  <si>
    <t xml:space="preserve">g_tpt</t>
  </si>
  <si>
    <r>
      <rPr>
        <sz val="10"/>
        <color rgb="FF000000"/>
        <rFont val="Arial"/>
        <family val="0"/>
        <charset val="1"/>
      </rPr>
      <t xml:space="preserve">API </t>
    </r>
    <r>
      <rPr>
        <sz val="10"/>
        <color rgb="FF000000"/>
        <rFont val="Noto Sans CJK SC"/>
        <family val="2"/>
      </rPr>
      <t xml:space="preserve">每任務 </t>
    </r>
    <r>
      <rPr>
        <sz val="10"/>
        <color rgb="FF000000"/>
        <rFont val="Arial"/>
        <family val="0"/>
        <charset val="1"/>
      </rPr>
      <t xml:space="preserve">token </t>
    </r>
    <r>
      <rPr>
        <sz val="10"/>
        <color rgb="FF000000"/>
        <rFont val="Noto Sans CJK SC"/>
        <family val="2"/>
      </rPr>
      <t xml:space="preserve">年增率（不含價格）</t>
    </r>
  </si>
  <si>
    <r>
      <rPr>
        <sz val="10"/>
        <color rgb="FF000000"/>
        <rFont val="Arial"/>
        <family val="0"/>
        <charset val="1"/>
      </rPr>
      <t xml:space="preserve">OpenAI v0.6 INP_123</t>
    </r>
    <r>
      <rPr>
        <sz val="10"/>
        <color rgb="FF000000"/>
        <rFont val="Noto Sans CJK SC"/>
        <family val="2"/>
      </rPr>
      <t xml:space="preserve">（</t>
    </r>
    <r>
      <rPr>
        <sz val="10"/>
        <color rgb="FF000000"/>
        <rFont val="Arial"/>
        <family val="0"/>
        <charset val="1"/>
      </rPr>
      <t xml:space="preserve">0.15</t>
    </r>
    <r>
      <rPr>
        <sz val="10"/>
        <color rgb="FF000000"/>
        <rFont val="Noto Sans CJK SC"/>
        <family val="2"/>
      </rPr>
      <t xml:space="preserve">，</t>
    </r>
    <r>
      <rPr>
        <sz val="10"/>
        <color rgb="FF000000"/>
        <rFont val="Arial"/>
        <family val="0"/>
        <charset val="1"/>
      </rPr>
      <t xml:space="preserve">0.1–0.25</t>
    </r>
    <r>
      <rPr>
        <sz val="10"/>
        <color rgb="FF000000"/>
        <rFont val="Noto Sans CJK SC"/>
        <family val="2"/>
      </rPr>
      <t xml:space="preserve">）；下緣放寬到 </t>
    </r>
    <r>
      <rPr>
        <sz val="10"/>
        <color rgb="FF000000"/>
        <rFont val="Arial"/>
        <family val="0"/>
        <charset val="1"/>
      </rPr>
      <t xml:space="preserve">0.05</t>
    </r>
    <r>
      <rPr>
        <sz val="10"/>
        <color rgb="FF000000"/>
        <rFont val="Noto Sans CJK SC"/>
        <family val="2"/>
      </rPr>
      <t xml:space="preserve">（</t>
    </r>
    <r>
      <rPr>
        <sz val="10"/>
        <color rgb="FF000000"/>
        <rFont val="Arial"/>
        <family val="0"/>
        <charset val="1"/>
      </rPr>
      <t xml:space="preserve">Coding Plan </t>
    </r>
    <r>
      <rPr>
        <sz val="10"/>
        <color rgb="FF000000"/>
        <rFont val="Noto Sans CJK SC"/>
        <family val="2"/>
      </rPr>
      <t xml:space="preserve">額度已限制每任務用量）</t>
    </r>
  </si>
  <si>
    <r>
      <rPr>
        <sz val="10"/>
        <color rgb="FF000000"/>
        <rFont val="Arial"/>
        <family val="0"/>
        <charset val="1"/>
      </rPr>
      <t xml:space="preserve">0.05</t>
    </r>
    <r>
      <rPr>
        <sz val="10"/>
        <color rgb="FF000000"/>
        <rFont val="Noto Sans CJK SC"/>
        <family val="2"/>
      </rPr>
      <t xml:space="preserve">～</t>
    </r>
    <r>
      <rPr>
        <sz val="10"/>
        <color rgb="FF000000"/>
        <rFont val="Arial"/>
        <family val="0"/>
        <charset val="1"/>
      </rPr>
      <t xml:space="preserve">0.25</t>
    </r>
  </si>
  <si>
    <t xml:space="preserve">INP_045</t>
  </si>
  <si>
    <t xml:space="preserve">el_task</t>
  </si>
  <si>
    <t xml:space="preserve">價格彈性：任務數</t>
  </si>
  <si>
    <r>
      <rPr>
        <sz val="10"/>
        <color rgb="FF000000"/>
        <rFont val="Arial"/>
        <family val="0"/>
        <charset val="1"/>
      </rPr>
      <t xml:space="preserve">2H26 </t>
    </r>
    <r>
      <rPr>
        <sz val="10"/>
        <color rgb="FF000000"/>
        <rFont val="Noto Sans CJK SC"/>
        <family val="2"/>
      </rPr>
      <t xml:space="preserve">起</t>
    </r>
  </si>
  <si>
    <t xml:space="preserve">彈性</t>
  </si>
  <si>
    <r>
      <rPr>
        <sz val="10"/>
        <color rgb="FF000000"/>
        <rFont val="Arial"/>
        <family val="0"/>
        <charset val="1"/>
      </rPr>
      <t xml:space="preserve">OpenAI v0.6 INP_048</t>
    </r>
    <r>
      <rPr>
        <sz val="10"/>
        <color rgb="FF000000"/>
        <rFont val="Noto Sans CJK SC"/>
        <family val="2"/>
      </rPr>
      <t xml:space="preserve">（−</t>
    </r>
    <r>
      <rPr>
        <sz val="10"/>
        <color rgb="FF000000"/>
        <rFont val="Arial"/>
        <family val="0"/>
        <charset val="1"/>
      </rPr>
      <t xml:space="preserve">0.7</t>
    </r>
    <r>
      <rPr>
        <sz val="10"/>
        <color rgb="FF000000"/>
        <rFont val="Noto Sans CJK SC"/>
        <family val="2"/>
      </rPr>
      <t xml:space="preserve">，−</t>
    </r>
    <r>
      <rPr>
        <sz val="10"/>
        <color rgb="FF000000"/>
        <rFont val="Arial"/>
        <family val="0"/>
        <charset val="1"/>
      </rPr>
      <t xml:space="preserve">1.05</t>
    </r>
    <r>
      <rPr>
        <sz val="10"/>
        <color rgb="FF000000"/>
        <rFont val="Noto Sans CJK SC"/>
        <family val="2"/>
      </rPr>
      <t xml:space="preserve">～−</t>
    </r>
    <r>
      <rPr>
        <sz val="10"/>
        <color rgb="FF000000"/>
        <rFont val="Arial"/>
        <family val="0"/>
        <charset val="1"/>
      </rPr>
      <t xml:space="preserve">0.35</t>
    </r>
    <r>
      <rPr>
        <sz val="10"/>
        <color rgb="FF000000"/>
        <rFont val="Noto Sans CJK SC"/>
        <family val="2"/>
      </rPr>
      <t xml:space="preserve">）；智譜自 </t>
    </r>
    <r>
      <rPr>
        <sz val="10"/>
        <color rgb="FF000000"/>
        <rFont val="Arial"/>
        <family val="0"/>
        <charset val="1"/>
      </rPr>
      <t xml:space="preserve">2H26 </t>
    </r>
    <r>
      <rPr>
        <sz val="10"/>
        <color rgb="FF000000"/>
        <rFont val="Noto Sans CJK SC"/>
        <family val="2"/>
      </rPr>
      <t xml:space="preserve">起套用（</t>
    </r>
    <r>
      <rPr>
        <sz val="10"/>
        <color rgb="FF000000"/>
        <rFont val="Arial"/>
        <family val="0"/>
        <charset val="1"/>
      </rPr>
      <t xml:space="preserve">D15</t>
    </r>
    <r>
      <rPr>
        <sz val="10"/>
        <color rgb="FF000000"/>
        <rFont val="Noto Sans CJK SC"/>
        <family val="2"/>
      </rPr>
      <t xml:space="preserve">；</t>
    </r>
    <r>
      <rPr>
        <sz val="10"/>
        <color rgb="FF000000"/>
        <rFont val="Arial"/>
        <family val="0"/>
        <charset val="1"/>
      </rPr>
      <t xml:space="preserve">OpenAI </t>
    </r>
    <r>
      <rPr>
        <sz val="10"/>
        <color rgb="FF000000"/>
        <rFont val="Noto Sans CJK SC"/>
        <family val="2"/>
      </rPr>
      <t xml:space="preserve">自 </t>
    </r>
    <r>
      <rPr>
        <sz val="10"/>
        <color rgb="FF000000"/>
        <rFont val="Arial"/>
        <family val="0"/>
        <charset val="1"/>
      </rPr>
      <t xml:space="preserve">2027</t>
    </r>
    <r>
      <rPr>
        <sz val="10"/>
        <color rgb="FF000000"/>
        <rFont val="Noto Sans CJK SC"/>
        <family val="2"/>
      </rPr>
      <t xml:space="preserve">）</t>
    </r>
  </si>
  <si>
    <t xml:space="preserve">INP_046</t>
  </si>
  <si>
    <t xml:space="preserve">el_tpt</t>
  </si>
  <si>
    <r>
      <rPr>
        <sz val="10"/>
        <color rgb="FF000000"/>
        <rFont val="Noto Sans CJK SC"/>
        <family val="2"/>
      </rPr>
      <t xml:space="preserve">價格彈性：每任務 </t>
    </r>
    <r>
      <rPr>
        <sz val="10"/>
        <color rgb="FF000000"/>
        <rFont val="Arial"/>
        <family val="0"/>
        <charset val="1"/>
      </rPr>
      <t xml:space="preserve">token</t>
    </r>
  </si>
  <si>
    <t xml:space="preserve">OpenAI v0.6 INP_049</t>
  </si>
  <si>
    <t xml:space="preserve">INP_047</t>
  </si>
  <si>
    <t xml:space="preserve">free_api_ratio</t>
  </si>
  <si>
    <r>
      <rPr>
        <sz val="10"/>
        <color rgb="FF000000"/>
        <rFont val="Noto Sans CJK SC"/>
        <family val="2"/>
      </rPr>
      <t xml:space="preserve">免費 </t>
    </r>
    <r>
      <rPr>
        <sz val="10"/>
        <color rgb="FF000000"/>
        <rFont val="Arial"/>
        <family val="0"/>
        <charset val="1"/>
      </rPr>
      <t xml:space="preserve">API </t>
    </r>
    <r>
      <rPr>
        <sz val="10"/>
        <color rgb="FF000000"/>
        <rFont val="Noto Sans CJK SC"/>
        <family val="2"/>
      </rPr>
      <t xml:space="preserve">型號 </t>
    </r>
    <r>
      <rPr>
        <sz val="10"/>
        <color rgb="FF000000"/>
        <rFont val="Arial"/>
        <family val="0"/>
        <charset val="1"/>
      </rPr>
      <t xml:space="preserve">token ÷ </t>
    </r>
    <r>
      <rPr>
        <sz val="10"/>
        <color rgb="FF000000"/>
        <rFont val="Noto Sans CJK SC"/>
        <family val="2"/>
      </rPr>
      <t xml:space="preserve">付費 </t>
    </r>
    <r>
      <rPr>
        <sz val="10"/>
        <color rgb="FF000000"/>
        <rFont val="Arial"/>
        <family val="0"/>
        <charset val="1"/>
      </rPr>
      <t xml:space="preserve">API token</t>
    </r>
  </si>
  <si>
    <r>
      <rPr>
        <sz val="10"/>
        <color rgb="FF000000"/>
        <rFont val="Arial"/>
        <family val="0"/>
        <charset val="1"/>
      </rPr>
      <t xml:space="preserve">GLM-4.7-Flash </t>
    </r>
    <r>
      <rPr>
        <sz val="10"/>
        <color rgb="FF000000"/>
        <rFont val="Noto Sans CJK SC"/>
        <family val="2"/>
      </rPr>
      <t xml:space="preserve">長期免費（</t>
    </r>
    <r>
      <rPr>
        <sz val="10"/>
        <color rgb="FF000000"/>
        <rFont val="Arial"/>
        <family val="0"/>
        <charset val="1"/>
      </rPr>
      <t xml:space="preserve">SRC_ZP_333</t>
    </r>
    <r>
      <rPr>
        <sz val="10"/>
        <color rgb="FF000000"/>
        <rFont val="Noto Sans CJK SC"/>
        <family val="2"/>
      </rPr>
      <t xml:space="preserve">）；免費型號耗算力不產生營收（</t>
    </r>
    <r>
      <rPr>
        <sz val="10"/>
        <color rgb="FF000000"/>
        <rFont val="Arial"/>
        <family val="0"/>
        <charset val="1"/>
      </rPr>
      <t xml:space="preserve">D24r</t>
    </r>
    <r>
      <rPr>
        <sz val="10"/>
        <color rgb="FF000000"/>
        <rFont val="Noto Sans CJK SC"/>
        <family val="2"/>
      </rPr>
      <t xml:space="preserve">）；占比找不到</t>
    </r>
  </si>
  <si>
    <r>
      <rPr>
        <sz val="10"/>
        <color rgb="FF000000"/>
        <rFont val="Arial"/>
        <family val="0"/>
        <charset val="1"/>
      </rPr>
      <t xml:space="preserve">0.1</t>
    </r>
    <r>
      <rPr>
        <sz val="10"/>
        <color rgb="FF000000"/>
        <rFont val="Noto Sans CJK SC"/>
        <family val="2"/>
      </rPr>
      <t xml:space="preserve">～</t>
    </r>
    <r>
      <rPr>
        <sz val="10"/>
        <color rgb="FF000000"/>
        <rFont val="Arial"/>
        <family val="0"/>
        <charset val="1"/>
      </rPr>
      <t xml:space="preserve">1.0</t>
    </r>
  </si>
  <si>
    <t xml:space="preserve">INP_048</t>
  </si>
  <si>
    <t xml:space="preserve">cp_subs_r1h26</t>
  </si>
  <si>
    <r>
      <rPr>
        <sz val="10"/>
        <color rgb="FF000000"/>
        <rFont val="Arial"/>
        <family val="0"/>
        <charset val="1"/>
      </rPr>
      <t xml:space="preserve">Coding Plan 1H26 </t>
    </r>
    <r>
      <rPr>
        <sz val="10"/>
        <color rgb="FF000000"/>
        <rFont val="Noto Sans CJK SC"/>
        <family val="2"/>
      </rPr>
      <t xml:space="preserve">平均付費訂閱者 </t>
    </r>
    <r>
      <rPr>
        <sz val="10"/>
        <color rgb="FF000000"/>
        <rFont val="Arial"/>
        <family val="0"/>
        <charset val="1"/>
      </rPr>
      <t xml:space="preserve">÷ 2026-03 </t>
    </r>
    <r>
      <rPr>
        <sz val="10"/>
        <color rgb="FF000000"/>
        <rFont val="Noto Sans CJK SC"/>
        <family val="2"/>
      </rPr>
      <t xml:space="preserve">付費開發者數（</t>
    </r>
    <r>
      <rPr>
        <sz val="10"/>
        <color rgb="FF000000"/>
        <rFont val="Arial"/>
        <family val="0"/>
        <charset val="1"/>
      </rPr>
      <t xml:space="preserve">24.2 </t>
    </r>
    <r>
      <rPr>
        <sz val="10"/>
        <color rgb="FF000000"/>
        <rFont val="Noto Sans CJK SC"/>
        <family val="2"/>
      </rPr>
      <t xml:space="preserve">萬）</t>
    </r>
  </si>
  <si>
    <r>
      <rPr>
        <sz val="10"/>
        <color rgb="FF000000"/>
        <rFont val="Arial"/>
        <family val="0"/>
        <charset val="1"/>
      </rPr>
      <t xml:space="preserve">24.2 </t>
    </r>
    <r>
      <rPr>
        <sz val="10"/>
        <color rgb="FF000000"/>
        <rFont val="Noto Sans CJK SC"/>
        <family val="2"/>
      </rPr>
      <t xml:space="preserve">萬為 </t>
    </r>
    <r>
      <rPr>
        <sz val="10"/>
        <color rgb="FF000000"/>
        <rFont val="Arial"/>
        <family val="0"/>
        <charset val="1"/>
      </rPr>
      <t xml:space="preserve">2026-03 </t>
    </r>
    <r>
      <rPr>
        <sz val="10"/>
        <color rgb="FF000000"/>
        <rFont val="Noto Sans CJK SC"/>
        <family val="2"/>
      </rPr>
      <t xml:space="preserve">時點（</t>
    </r>
    <r>
      <rPr>
        <sz val="10"/>
        <color rgb="FF000000"/>
        <rFont val="Arial"/>
        <family val="0"/>
        <charset val="1"/>
      </rPr>
      <t xml:space="preserve">SRC_ZP_402</t>
    </r>
    <r>
      <rPr>
        <sz val="10"/>
        <color rgb="FF000000"/>
        <rFont val="Noto Sans CJK SC"/>
        <family val="2"/>
      </rPr>
      <t xml:space="preserve">，</t>
    </r>
    <r>
      <rPr>
        <sz val="10"/>
        <color rgb="FF000000"/>
        <rFont val="Arial"/>
        <family val="0"/>
        <charset val="1"/>
      </rPr>
      <t xml:space="preserve">Interested-party </t>
    </r>
    <r>
      <rPr>
        <sz val="10"/>
        <color rgb="FF000000"/>
        <rFont val="Noto Sans CJK SC"/>
        <family val="2"/>
      </rPr>
      <t xml:space="preserve">實際值，非目標），位於上半年中點；</t>
    </r>
    <r>
      <rPr>
        <sz val="10"/>
        <color rgb="FF000000"/>
        <rFont val="Arial"/>
        <family val="0"/>
        <charset val="1"/>
      </rPr>
      <t xml:space="preserve">Coding Plan </t>
    </r>
    <r>
      <rPr>
        <sz val="10"/>
        <color rgb="FF000000"/>
        <rFont val="Noto Sans CJK SC"/>
        <family val="2"/>
      </rPr>
      <t xml:space="preserve">收入未單列、無法由營收倒推（工作單：查無則給區間）</t>
    </r>
  </si>
  <si>
    <r>
      <rPr>
        <sz val="10"/>
        <color rgb="FF000000"/>
        <rFont val="Arial"/>
        <family val="0"/>
        <charset val="1"/>
      </rPr>
      <t xml:space="preserve">0.7</t>
    </r>
    <r>
      <rPr>
        <sz val="10"/>
        <color rgb="FF000000"/>
        <rFont val="Noto Sans CJK SC"/>
        <family val="2"/>
      </rPr>
      <t xml:space="preserve">（年初基數低）～</t>
    </r>
    <r>
      <rPr>
        <sz val="10"/>
        <color rgb="FF000000"/>
        <rFont val="Arial"/>
        <family val="0"/>
        <charset val="1"/>
      </rPr>
      <t xml:space="preserve">1.5</t>
    </r>
    <r>
      <rPr>
        <sz val="10"/>
        <color rgb="FF000000"/>
        <rFont val="Noto Sans CJK SC"/>
        <family val="2"/>
      </rPr>
      <t xml:space="preserve">（上半年後段快速成長；呼叫量 </t>
    </r>
    <r>
      <rPr>
        <sz val="10"/>
        <color rgb="FF000000"/>
        <rFont val="Arial"/>
        <family val="0"/>
        <charset val="1"/>
      </rPr>
      <t xml:space="preserve">23 </t>
    </r>
    <r>
      <rPr>
        <sz val="10"/>
        <color rgb="FF000000"/>
        <rFont val="Noto Sans CJK SC"/>
        <family val="2"/>
      </rPr>
      <t xml:space="preserve">倍說法只作方向）</t>
    </r>
  </si>
  <si>
    <t xml:space="preserve">INP_049</t>
  </si>
  <si>
    <t xml:space="preserve">cp_subs_r2025</t>
  </si>
  <si>
    <r>
      <rPr>
        <sz val="10"/>
        <color rgb="FF000000"/>
        <rFont val="Arial"/>
        <family val="0"/>
        <charset val="1"/>
      </rPr>
      <t xml:space="preserve">Coding Plan 2025 </t>
    </r>
    <r>
      <rPr>
        <sz val="10"/>
        <color rgb="FF000000"/>
        <rFont val="Noto Sans CJK SC"/>
        <family val="2"/>
      </rPr>
      <t xml:space="preserve">全年平均付費訂閱者 </t>
    </r>
    <r>
      <rPr>
        <sz val="10"/>
        <color rgb="FF000000"/>
        <rFont val="Arial"/>
        <family val="0"/>
        <charset val="1"/>
      </rPr>
      <t xml:space="preserve">÷ 2026-03 </t>
    </r>
    <r>
      <rPr>
        <sz val="10"/>
        <color rgb="FF000000"/>
        <rFont val="Noto Sans CJK SC"/>
        <family val="2"/>
      </rPr>
      <t xml:space="preserve">付費開發者數</t>
    </r>
  </si>
  <si>
    <r>
      <rPr>
        <sz val="10"/>
        <color rgb="FF000000"/>
        <rFont val="Arial"/>
        <family val="0"/>
        <charset val="1"/>
      </rPr>
      <t xml:space="preserve">2025-09-01 </t>
    </r>
    <r>
      <rPr>
        <sz val="10"/>
        <color rgb="FF000000"/>
        <rFont val="Noto Sans CJK SC"/>
        <family val="2"/>
      </rPr>
      <t xml:space="preserve">上市（</t>
    </r>
    <r>
      <rPr>
        <sz val="10"/>
        <color rgb="FF000000"/>
        <rFont val="Arial"/>
        <family val="0"/>
        <charset val="1"/>
      </rPr>
      <t xml:space="preserve">SRC_ZP_354</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只有四個月；全年平均＝四個月平均 </t>
    </r>
    <r>
      <rPr>
        <sz val="10"/>
        <color rgb="FF000000"/>
        <rFont val="Arial"/>
        <family val="0"/>
        <charset val="1"/>
      </rPr>
      <t xml:space="preserve">× 4</t>
    </r>
    <r>
      <rPr>
        <sz val="10"/>
        <color rgb="FF000000"/>
        <rFont val="Noto Sans CJK SC"/>
        <family val="2"/>
      </rPr>
      <t xml:space="preserve">／</t>
    </r>
    <r>
      <rPr>
        <sz val="10"/>
        <color rgb="FF000000"/>
        <rFont val="Arial"/>
        <family val="0"/>
        <charset val="1"/>
      </rPr>
      <t xml:space="preserve">12</t>
    </r>
  </si>
  <si>
    <r>
      <rPr>
        <sz val="10"/>
        <color rgb="FF000000"/>
        <rFont val="Arial"/>
        <family val="0"/>
        <charset val="1"/>
      </rPr>
      <t xml:space="preserve">0.05</t>
    </r>
    <r>
      <rPr>
        <sz val="10"/>
        <color rgb="FF000000"/>
        <rFont val="Noto Sans CJK SC"/>
        <family val="2"/>
      </rPr>
      <t xml:space="preserve">～</t>
    </r>
    <r>
      <rPr>
        <sz val="10"/>
        <color rgb="FF000000"/>
        <rFont val="Arial"/>
        <family val="0"/>
        <charset val="1"/>
      </rPr>
      <t xml:space="preserve">0.3</t>
    </r>
  </si>
  <si>
    <t xml:space="preserve">INP_050</t>
  </si>
  <si>
    <t xml:space="preserve">cp_g_2h26</t>
  </si>
  <si>
    <r>
      <rPr>
        <sz val="10"/>
        <color rgb="FF000000"/>
        <rFont val="Arial"/>
        <family val="0"/>
        <charset val="1"/>
      </rPr>
      <t xml:space="preserve">Coding Plan </t>
    </r>
    <r>
      <rPr>
        <sz val="10"/>
        <color rgb="FF000000"/>
        <rFont val="Noto Sans CJK SC"/>
        <family val="2"/>
      </rPr>
      <t xml:space="preserve">訂閱者成長率：</t>
    </r>
    <r>
      <rPr>
        <sz val="10"/>
        <color rgb="FF000000"/>
        <rFont val="Arial"/>
        <family val="0"/>
        <charset val="1"/>
      </rPr>
      <t xml:space="preserve">2H26 </t>
    </r>
    <r>
      <rPr>
        <sz val="10"/>
        <color rgb="FF000000"/>
        <rFont val="Noto Sans CJK SC"/>
        <family val="2"/>
      </rPr>
      <t xml:space="preserve">平均對 </t>
    </r>
    <r>
      <rPr>
        <sz val="10"/>
        <color rgb="FF000000"/>
        <rFont val="Arial"/>
        <family val="0"/>
        <charset val="1"/>
      </rPr>
      <t xml:space="preserve">1H26 </t>
    </r>
    <r>
      <rPr>
        <sz val="10"/>
        <color rgb="FF000000"/>
        <rFont val="Noto Sans CJK SC"/>
        <family val="2"/>
      </rPr>
      <t xml:space="preserve">平均</t>
    </r>
  </si>
  <si>
    <r>
      <rPr>
        <sz val="10"/>
        <color rgb="FF000000"/>
        <rFont val="Arial"/>
        <family val="0"/>
        <charset val="1"/>
      </rPr>
      <t xml:space="preserve">2026-04 </t>
    </r>
    <r>
      <rPr>
        <sz val="10"/>
        <color rgb="FF000000"/>
        <rFont val="Noto Sans CJK SC"/>
        <family val="2"/>
      </rPr>
      <t xml:space="preserve">起限額與舊套餐停續（</t>
    </r>
    <r>
      <rPr>
        <sz val="10"/>
        <color rgb="FF000000"/>
        <rFont val="Arial"/>
        <family val="0"/>
        <charset val="1"/>
      </rPr>
      <t xml:space="preserve">SRC_ZP_353</t>
    </r>
    <r>
      <rPr>
        <sz val="10"/>
        <color rgb="FF000000"/>
        <rFont val="Noto Sans CJK SC"/>
        <family val="2"/>
      </rPr>
      <t xml:space="preserve">、</t>
    </r>
    <r>
      <rPr>
        <sz val="10"/>
        <color rgb="FF000000"/>
        <rFont val="Arial"/>
        <family val="0"/>
        <charset val="1"/>
      </rPr>
      <t xml:space="preserve">376</t>
    </r>
    <r>
      <rPr>
        <sz val="10"/>
        <color rgb="FF000000"/>
        <rFont val="Noto Sans CJK SC"/>
        <family val="2"/>
      </rPr>
      <t xml:space="preserve">）抑制成長；</t>
    </r>
    <r>
      <rPr>
        <sz val="10"/>
        <color rgb="FF000000"/>
        <rFont val="Arial"/>
        <family val="0"/>
        <charset val="1"/>
      </rPr>
      <t xml:space="preserve">2026-07 </t>
    </r>
    <r>
      <rPr>
        <sz val="10"/>
        <color rgb="FF000000"/>
        <rFont val="Noto Sans CJK SC"/>
        <family val="2"/>
      </rPr>
      <t xml:space="preserve">國際站漲價</t>
    </r>
  </si>
  <si>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1.5</t>
    </r>
  </si>
  <si>
    <t xml:space="preserve">INP_051</t>
  </si>
  <si>
    <t xml:space="preserve">cp_g_2027</t>
  </si>
  <si>
    <r>
      <rPr>
        <sz val="10"/>
        <color rgb="FF000000"/>
        <rFont val="Arial"/>
        <family val="0"/>
        <charset val="1"/>
      </rPr>
      <t xml:space="preserve">Coding Plan </t>
    </r>
    <r>
      <rPr>
        <sz val="10"/>
        <color rgb="FF000000"/>
        <rFont val="Noto Sans CJK SC"/>
        <family val="2"/>
      </rPr>
      <t xml:space="preserve">訂閱者年增率</t>
    </r>
  </si>
  <si>
    <t xml:space="preserve">程式碼代理訂閱市場擴張；無可觀察資料</t>
  </si>
  <si>
    <r>
      <rPr>
        <sz val="10"/>
        <color rgb="FF000000"/>
        <rFont val="Arial"/>
        <family val="0"/>
        <charset val="1"/>
      </rPr>
      <t xml:space="preserve">0.2</t>
    </r>
    <r>
      <rPr>
        <sz val="10"/>
        <color rgb="FF000000"/>
        <rFont val="Noto Sans CJK SC"/>
        <family val="2"/>
      </rPr>
      <t xml:space="preserve">～</t>
    </r>
    <r>
      <rPr>
        <sz val="10"/>
        <color rgb="FF000000"/>
        <rFont val="Arial"/>
        <family val="0"/>
        <charset val="1"/>
      </rPr>
      <t xml:space="preserve">1.0</t>
    </r>
  </si>
  <si>
    <t xml:space="preserve">INP_052</t>
  </si>
  <si>
    <t xml:space="preserve">cp_g_2028</t>
  </si>
  <si>
    <r>
      <rPr>
        <sz val="10"/>
        <color rgb="FF000000"/>
        <rFont val="Arial"/>
        <family val="0"/>
        <charset val="1"/>
      </rPr>
      <t xml:space="preserve">0.1</t>
    </r>
    <r>
      <rPr>
        <sz val="10"/>
        <color rgb="FF000000"/>
        <rFont val="Noto Sans CJK SC"/>
        <family val="2"/>
      </rPr>
      <t xml:space="preserve">～</t>
    </r>
    <r>
      <rPr>
        <sz val="10"/>
        <color rgb="FF000000"/>
        <rFont val="Arial"/>
        <family val="0"/>
        <charset val="1"/>
      </rPr>
      <t xml:space="preserve">0.6</t>
    </r>
  </si>
  <si>
    <t xml:space="preserve">INP_053</t>
  </si>
  <si>
    <t xml:space="preserve">cp_g_2029</t>
  </si>
  <si>
    <r>
      <rPr>
        <sz val="10"/>
        <color rgb="FF000000"/>
        <rFont val="Arial"/>
        <family val="0"/>
        <charset val="1"/>
      </rPr>
      <t xml:space="preserve">0.05</t>
    </r>
    <r>
      <rPr>
        <sz val="10"/>
        <color rgb="FF000000"/>
        <rFont val="Noto Sans CJK SC"/>
        <family val="2"/>
      </rPr>
      <t xml:space="preserve">～</t>
    </r>
    <r>
      <rPr>
        <sz val="10"/>
        <color rgb="FF000000"/>
        <rFont val="Arial"/>
        <family val="0"/>
        <charset val="1"/>
      </rPr>
      <t xml:space="preserve">0.4</t>
    </r>
  </si>
  <si>
    <t xml:space="preserve">INP_054</t>
  </si>
  <si>
    <t xml:space="preserve">cp_g_2030</t>
  </si>
  <si>
    <t xml:space="preserve">INP_055</t>
  </si>
  <si>
    <t xml:space="preserve">cp_mix_lite</t>
  </si>
  <si>
    <r>
      <rPr>
        <sz val="10"/>
        <color rgb="FF000000"/>
        <rFont val="Arial"/>
        <family val="0"/>
        <charset val="1"/>
      </rPr>
      <t xml:space="preserve">Coding Plan </t>
    </r>
    <r>
      <rPr>
        <sz val="10"/>
        <color rgb="FF000000"/>
        <rFont val="Noto Sans CJK SC"/>
        <family val="2"/>
      </rPr>
      <t xml:space="preserve">方案組合：</t>
    </r>
    <r>
      <rPr>
        <sz val="10"/>
        <color rgb="FF000000"/>
        <rFont val="Arial"/>
        <family val="0"/>
        <charset val="1"/>
      </rPr>
      <t xml:space="preserve">Lite </t>
    </r>
    <r>
      <rPr>
        <sz val="10"/>
        <color rgb="FF000000"/>
        <rFont val="Noto Sans CJK SC"/>
        <family val="2"/>
      </rPr>
      <t xml:space="preserve">占訂閱者</t>
    </r>
  </si>
  <si>
    <t xml:space="preserve">入門方案通常占多數；公司未揭露</t>
  </si>
  <si>
    <t xml:space="preserve">INP_056</t>
  </si>
  <si>
    <t xml:space="preserve">cp_mix_pro</t>
  </si>
  <si>
    <r>
      <rPr>
        <sz val="10"/>
        <color rgb="FF000000"/>
        <rFont val="Arial"/>
        <family val="0"/>
        <charset val="1"/>
      </rPr>
      <t xml:space="preserve">Coding Plan </t>
    </r>
    <r>
      <rPr>
        <sz val="10"/>
        <color rgb="FF000000"/>
        <rFont val="Noto Sans CJK SC"/>
        <family val="2"/>
      </rPr>
      <t xml:space="preserve">方案組合：</t>
    </r>
    <r>
      <rPr>
        <sz val="10"/>
        <color rgb="FF000000"/>
        <rFont val="Arial"/>
        <family val="0"/>
        <charset val="1"/>
      </rPr>
      <t xml:space="preserve">Pro </t>
    </r>
    <r>
      <rPr>
        <sz val="10"/>
        <color rgb="FF000000"/>
        <rFont val="Noto Sans CJK SC"/>
        <family val="2"/>
      </rPr>
      <t xml:space="preserve">占訂閱者</t>
    </r>
  </si>
  <si>
    <r>
      <rPr>
        <sz val="10"/>
        <color rgb="FF000000"/>
        <rFont val="Arial"/>
        <family val="0"/>
        <charset val="1"/>
      </rPr>
      <t xml:space="preserve">Max</t>
    </r>
    <r>
      <rPr>
        <sz val="10"/>
        <color rgb="FF000000"/>
        <rFont val="Noto Sans CJK SC"/>
        <family val="2"/>
      </rPr>
      <t xml:space="preserve">＝</t>
    </r>
    <r>
      <rPr>
        <sz val="10"/>
        <color rgb="FF000000"/>
        <rFont val="Arial"/>
        <family val="0"/>
        <charset val="1"/>
      </rPr>
      <t xml:space="preserve">1 − Lite − Pro</t>
    </r>
    <r>
      <rPr>
        <sz val="10"/>
        <color rgb="FF000000"/>
        <rFont val="Noto Sans CJK SC"/>
        <family val="2"/>
      </rPr>
      <t xml:space="preserve">（不另輸入）</t>
    </r>
  </si>
  <si>
    <r>
      <rPr>
        <sz val="10"/>
        <color rgb="FF000000"/>
        <rFont val="Arial"/>
        <family val="0"/>
        <charset val="1"/>
      </rPr>
      <t xml:space="preserve">0.15</t>
    </r>
    <r>
      <rPr>
        <sz val="10"/>
        <color rgb="FF000000"/>
        <rFont val="Noto Sans CJK SC"/>
        <family val="2"/>
      </rPr>
      <t xml:space="preserve">～</t>
    </r>
    <r>
      <rPr>
        <sz val="10"/>
        <color rgb="FF000000"/>
        <rFont val="Arial"/>
        <family val="0"/>
        <charset val="1"/>
      </rPr>
      <t xml:space="preserve">0.45</t>
    </r>
  </si>
  <si>
    <t xml:space="preserve">INP_057</t>
  </si>
  <si>
    <t xml:space="preserve">cp_intl_share</t>
  </si>
  <si>
    <r>
      <rPr>
        <sz val="10"/>
        <color rgb="FF000000"/>
        <rFont val="Arial"/>
        <family val="0"/>
        <charset val="1"/>
      </rPr>
      <t xml:space="preserve">Coding Plan </t>
    </r>
    <r>
      <rPr>
        <sz val="10"/>
        <color rgb="FF000000"/>
        <rFont val="Noto Sans CJK SC"/>
        <family val="2"/>
      </rPr>
      <t xml:space="preserve">國際站訂閱者占比</t>
    </r>
  </si>
  <si>
    <r>
      <rPr>
        <sz val="10"/>
        <color rgb="FF000000"/>
        <rFont val="Noto Sans CJK SC"/>
        <family val="2"/>
      </rPr>
      <t xml:space="preserve">用戶覆蓋 </t>
    </r>
    <r>
      <rPr>
        <sz val="10"/>
        <color rgb="FF000000"/>
        <rFont val="Arial"/>
        <family val="0"/>
        <charset val="1"/>
      </rPr>
      <t xml:space="preserve">218 </t>
    </r>
    <r>
      <rPr>
        <sz val="10"/>
        <color rgb="FF000000"/>
        <rFont val="Noto Sans CJK SC"/>
        <family val="2"/>
      </rPr>
      <t xml:space="preserve">個國家與地區（</t>
    </r>
    <r>
      <rPr>
        <sz val="10"/>
        <color rgb="FF000000"/>
        <rFont val="Arial"/>
        <family val="0"/>
        <charset val="1"/>
      </rPr>
      <t xml:space="preserve">SRC_ZP_408</t>
    </r>
    <r>
      <rPr>
        <sz val="10"/>
        <color rgb="FF000000"/>
        <rFont val="Noto Sans CJK SC"/>
        <family val="2"/>
      </rPr>
      <t xml:space="preserve">）；海外營收占比未揭露</t>
    </r>
  </si>
  <si>
    <r>
      <rPr>
        <sz val="10"/>
        <color rgb="FF000000"/>
        <rFont val="Arial"/>
        <family val="0"/>
        <charset val="1"/>
      </rPr>
      <t xml:space="preserve">0.1</t>
    </r>
    <r>
      <rPr>
        <sz val="10"/>
        <color rgb="FF000000"/>
        <rFont val="Noto Sans CJK SC"/>
        <family val="2"/>
      </rPr>
      <t xml:space="preserve">～</t>
    </r>
    <r>
      <rPr>
        <sz val="10"/>
        <color rgb="FF000000"/>
        <rFont val="Arial"/>
        <family val="0"/>
        <charset val="1"/>
      </rPr>
      <t xml:space="preserve">0.5</t>
    </r>
  </si>
  <si>
    <t xml:space="preserve">INP_058</t>
  </si>
  <si>
    <t xml:space="preserve">cp_bill_disc</t>
  </si>
  <si>
    <r>
      <rPr>
        <sz val="10"/>
        <color rgb="FF000000"/>
        <rFont val="Arial"/>
        <family val="0"/>
        <charset val="1"/>
      </rPr>
      <t xml:space="preserve">Coding Plan </t>
    </r>
    <r>
      <rPr>
        <sz val="10"/>
        <color rgb="FF000000"/>
        <rFont val="Noto Sans CJK SC"/>
        <family val="2"/>
      </rPr>
      <t xml:space="preserve">季付／年付折扣加權（牌價月付→實收）</t>
    </r>
  </si>
  <si>
    <r>
      <rPr>
        <sz val="10"/>
        <color rgb="FF000000"/>
        <rFont val="Noto Sans CJK SC"/>
        <family val="2"/>
      </rPr>
      <t xml:space="preserve">包季 </t>
    </r>
    <r>
      <rPr>
        <sz val="10"/>
        <color rgb="FF000000"/>
        <rFont val="Arial"/>
        <family val="0"/>
        <charset val="1"/>
      </rPr>
      <t xml:space="preserve">9 </t>
    </r>
    <r>
      <rPr>
        <sz val="10"/>
        <color rgb="FF000000"/>
        <rFont val="Noto Sans CJK SC"/>
        <family val="2"/>
      </rPr>
      <t xml:space="preserve">折、包年 </t>
    </r>
    <r>
      <rPr>
        <sz val="10"/>
        <color rgb="FF000000"/>
        <rFont val="Arial"/>
        <family val="0"/>
        <charset val="1"/>
      </rPr>
      <t xml:space="preserve">7 </t>
    </r>
    <r>
      <rPr>
        <sz val="10"/>
        <color rgb="FF000000"/>
        <rFont val="Noto Sans CJK SC"/>
        <family val="2"/>
      </rPr>
      <t xml:space="preserve">折（</t>
    </r>
    <r>
      <rPr>
        <sz val="10"/>
        <color rgb="FF000000"/>
        <rFont val="Arial"/>
        <family val="0"/>
        <charset val="1"/>
      </rPr>
      <t xml:space="preserve">SRC_ZP_356–364</t>
    </r>
    <r>
      <rPr>
        <sz val="10"/>
        <color rgb="FF000000"/>
        <rFont val="Noto Sans CJK SC"/>
        <family val="2"/>
      </rPr>
      <t xml:space="preserve">）；國際站季付 −</t>
    </r>
    <r>
      <rPr>
        <sz val="10"/>
        <color rgb="FF000000"/>
        <rFont val="Arial"/>
        <family val="0"/>
        <charset val="1"/>
      </rPr>
      <t xml:space="preserve">20%</t>
    </r>
    <r>
      <rPr>
        <sz val="10"/>
        <color rgb="FF000000"/>
        <rFont val="Noto Sans CJK SC"/>
        <family val="2"/>
      </rPr>
      <t xml:space="preserve">、年付 −</t>
    </r>
    <r>
      <rPr>
        <sz val="10"/>
        <color rgb="FF000000"/>
        <rFont val="Arial"/>
        <family val="0"/>
        <charset val="1"/>
      </rPr>
      <t xml:space="preserve">30%</t>
    </r>
    <r>
      <rPr>
        <sz val="10"/>
        <color rgb="FF000000"/>
        <rFont val="Noto Sans CJK SC"/>
        <family val="2"/>
      </rPr>
      <t xml:space="preserve">（</t>
    </r>
    <r>
      <rPr>
        <sz val="10"/>
        <color rgb="FF000000"/>
        <rFont val="Arial"/>
        <family val="0"/>
        <charset val="1"/>
      </rPr>
      <t xml:space="preserve">SRC_ZP_367</t>
    </r>
    <r>
      <rPr>
        <sz val="10"/>
        <color rgb="FF000000"/>
        <rFont val="Noto Sans CJK SC"/>
        <family val="2"/>
      </rPr>
      <t xml:space="preserve">）</t>
    </r>
  </si>
  <si>
    <r>
      <rPr>
        <sz val="10"/>
        <color rgb="FF000000"/>
        <rFont val="Arial"/>
        <family val="0"/>
        <charset val="1"/>
      </rPr>
      <t xml:space="preserve">0.1</t>
    </r>
    <r>
      <rPr>
        <sz val="10"/>
        <color rgb="FF000000"/>
        <rFont val="Noto Sans CJK SC"/>
        <family val="2"/>
      </rPr>
      <t xml:space="preserve">（多為月付）～</t>
    </r>
    <r>
      <rPr>
        <sz val="10"/>
        <color rgb="FF000000"/>
        <rFont val="Arial"/>
        <family val="0"/>
        <charset val="1"/>
      </rPr>
      <t xml:space="preserve">0.3</t>
    </r>
    <r>
      <rPr>
        <sz val="10"/>
        <color rgb="FF000000"/>
        <rFont val="Noto Sans CJK SC"/>
        <family val="2"/>
      </rPr>
      <t xml:space="preserve">（多為年付）</t>
    </r>
  </si>
  <si>
    <t xml:space="preserve">INP_059</t>
  </si>
  <si>
    <t xml:space="preserve">cp_px_chg</t>
  </si>
  <si>
    <r>
      <rPr>
        <sz val="10"/>
        <color rgb="FF000000"/>
        <rFont val="Arial"/>
        <family val="0"/>
        <charset val="1"/>
      </rPr>
      <t xml:space="preserve">Coding Plan </t>
    </r>
    <r>
      <rPr>
        <sz val="10"/>
        <color rgb="FF000000"/>
        <rFont val="Noto Sans CJK SC"/>
        <family val="2"/>
      </rPr>
      <t xml:space="preserve">方案價格年變動率</t>
    </r>
  </si>
  <si>
    <r>
      <rPr>
        <sz val="10"/>
        <color rgb="FF000000"/>
        <rFont val="Arial"/>
        <family val="0"/>
        <charset val="1"/>
      </rPr>
      <t xml:space="preserve">2026 </t>
    </r>
    <r>
      <rPr>
        <sz val="10"/>
        <color rgb="FF000000"/>
        <rFont val="Noto Sans CJK SC"/>
        <family val="2"/>
      </rPr>
      <t xml:space="preserve">兩次漲價後維持；無資料</t>
    </r>
  </si>
  <si>
    <r>
      <rPr>
        <sz val="10"/>
        <color rgb="FF000000"/>
        <rFont val="Arial"/>
        <family val="0"/>
        <charset val="1"/>
      </rPr>
      <t xml:space="preserve">−20%</t>
    </r>
    <r>
      <rPr>
        <sz val="10"/>
        <color rgb="FF000000"/>
        <rFont val="Noto Sans CJK SC"/>
        <family val="2"/>
      </rPr>
      <t xml:space="preserve">～</t>
    </r>
    <r>
      <rPr>
        <sz val="10"/>
        <color rgb="FF000000"/>
        <rFont val="Arial"/>
        <family val="0"/>
        <charset val="1"/>
      </rPr>
      <t xml:space="preserve">+20%</t>
    </r>
  </si>
  <si>
    <t xml:space="preserve">INP_060</t>
  </si>
  <si>
    <t xml:space="preserve">cp_util</t>
  </si>
  <si>
    <r>
      <rPr>
        <sz val="10"/>
        <color rgb="FF000000"/>
        <rFont val="Arial"/>
        <family val="0"/>
        <charset val="1"/>
      </rPr>
      <t xml:space="preserve">Coding Plan </t>
    </r>
    <r>
      <rPr>
        <sz val="10"/>
        <color rgb="FF000000"/>
        <rFont val="Noto Sans CJK SC"/>
        <family val="2"/>
      </rPr>
      <t xml:space="preserve">額度使用率（平均每 </t>
    </r>
    <r>
      <rPr>
        <sz val="10"/>
        <color rgb="FF000000"/>
        <rFont val="Arial"/>
        <family val="0"/>
        <charset val="1"/>
      </rPr>
      <t xml:space="preserve">5 </t>
    </r>
    <r>
      <rPr>
        <sz val="10"/>
        <color rgb="FF000000"/>
        <rFont val="Noto Sans CJK SC"/>
        <family val="2"/>
      </rPr>
      <t xml:space="preserve">小時窗口用掉的額度比例）</t>
    </r>
  </si>
  <si>
    <r>
      <rPr>
        <sz val="10"/>
        <color rgb="FF000000"/>
        <rFont val="Noto Sans CJK SC"/>
        <family val="2"/>
      </rPr>
      <t xml:space="preserve">額度為上限（</t>
    </r>
    <r>
      <rPr>
        <sz val="10"/>
        <color rgb="FF000000"/>
        <rFont val="Arial"/>
        <family val="0"/>
        <charset val="1"/>
      </rPr>
      <t xml:space="preserve">SRC_ZP_376–378</t>
    </r>
    <r>
      <rPr>
        <sz val="10"/>
        <color rgb="FF000000"/>
        <rFont val="Noto Sans CJK SC"/>
        <family val="2"/>
      </rPr>
      <t xml:space="preserve">）；多數訂閱者不會每個窗口用滿</t>
    </r>
  </si>
  <si>
    <t xml:space="preserve">INP_061</t>
  </si>
  <si>
    <t xml:space="preserve">cp_calls_prompt</t>
  </si>
  <si>
    <r>
      <rPr>
        <sz val="10"/>
        <color rgb="FF000000"/>
        <rFont val="Arial"/>
        <family val="0"/>
        <charset val="1"/>
      </rPr>
      <t xml:space="preserve">Coding Plan </t>
    </r>
    <r>
      <rPr>
        <sz val="10"/>
        <color rgb="FF000000"/>
        <rFont val="Noto Sans CJK SC"/>
        <family val="2"/>
      </rPr>
      <t xml:space="preserve">每 </t>
    </r>
    <r>
      <rPr>
        <sz val="10"/>
        <color rgb="FF000000"/>
        <rFont val="Arial"/>
        <family val="0"/>
        <charset val="1"/>
      </rPr>
      <t xml:space="preserve">prompt </t>
    </r>
    <r>
      <rPr>
        <sz val="10"/>
        <color rgb="FF000000"/>
        <rFont val="Noto Sans CJK SC"/>
        <family val="2"/>
      </rPr>
      <t xml:space="preserve">模型呼叫次數</t>
    </r>
  </si>
  <si>
    <r>
      <rPr>
        <sz val="10"/>
        <color rgb="FF000000"/>
        <rFont val="Arial"/>
        <family val="0"/>
        <charset val="1"/>
      </rPr>
      <t xml:space="preserve">SRC_ZP_379 </t>
    </r>
    <r>
      <rPr>
        <sz val="10"/>
        <color rgb="FF000000"/>
        <rFont val="Noto Sans CJK SC"/>
        <family val="2"/>
      </rPr>
      <t xml:space="preserve">區間 </t>
    </r>
    <r>
      <rPr>
        <sz val="10"/>
        <color rgb="FF000000"/>
        <rFont val="Arial"/>
        <family val="0"/>
        <charset val="1"/>
      </rPr>
      <t xml:space="preserve">15–20 </t>
    </r>
    <r>
      <rPr>
        <sz val="10"/>
        <color rgb="FF000000"/>
        <rFont val="Noto Sans CJK SC"/>
        <family val="2"/>
      </rPr>
      <t xml:space="preserve">的中點（公司估計，</t>
    </r>
    <r>
      <rPr>
        <sz val="10"/>
        <color rgb="FF000000"/>
        <rFont val="Arial"/>
        <family val="0"/>
        <charset val="1"/>
      </rPr>
      <t xml:space="preserve">Interested-party</t>
    </r>
    <r>
      <rPr>
        <sz val="10"/>
        <color rgb="FF000000"/>
        <rFont val="Noto Sans CJK SC"/>
        <family val="2"/>
      </rPr>
      <t xml:space="preserve">）</t>
    </r>
  </si>
  <si>
    <r>
      <rPr>
        <sz val="10"/>
        <color rgb="FF000000"/>
        <rFont val="Arial"/>
        <family val="0"/>
        <charset val="1"/>
      </rPr>
      <t xml:space="preserve">SRC </t>
    </r>
    <r>
      <rPr>
        <sz val="10"/>
        <color rgb="FF000000"/>
        <rFont val="Noto Sans CJK SC"/>
        <family val="2"/>
      </rPr>
      <t xml:space="preserve">區間</t>
    </r>
  </si>
  <si>
    <t xml:space="preserve">INP_062</t>
  </si>
  <si>
    <t xml:space="preserve">cp_ktok_call</t>
  </si>
  <si>
    <r>
      <rPr>
        <sz val="10"/>
        <color rgb="FF000000"/>
        <rFont val="Arial"/>
        <family val="0"/>
        <charset val="1"/>
      </rPr>
      <t xml:space="preserve">Coding Plan </t>
    </r>
    <r>
      <rPr>
        <sz val="10"/>
        <color rgb="FF000000"/>
        <rFont val="Noto Sans CJK SC"/>
        <family val="2"/>
      </rPr>
      <t xml:space="preserve">每次模型呼叫 </t>
    </r>
    <r>
      <rPr>
        <sz val="10"/>
        <color rgb="FF000000"/>
        <rFont val="Arial"/>
        <family val="0"/>
        <charset val="1"/>
      </rPr>
      <t xml:space="preserve">token</t>
    </r>
    <r>
      <rPr>
        <sz val="10"/>
        <color rgb="FF000000"/>
        <rFont val="Noto Sans CJK SC"/>
        <family val="2"/>
      </rPr>
      <t xml:space="preserve">（含快取輸入）</t>
    </r>
  </si>
  <si>
    <r>
      <rPr>
        <sz val="10"/>
        <color rgb="FF000000"/>
        <rFont val="Arial"/>
        <family val="0"/>
        <charset val="1"/>
      </rPr>
      <t xml:space="preserve">K tok</t>
    </r>
    <r>
      <rPr>
        <sz val="10"/>
        <color rgb="FF000000"/>
        <rFont val="Noto Sans CJK SC"/>
        <family val="2"/>
      </rPr>
      <t xml:space="preserve">／次</t>
    </r>
  </si>
  <si>
    <t xml:space="preserve">程式碼代理每次呼叫攜帶專案上下文；找不到智譜數據</t>
  </si>
  <si>
    <r>
      <rPr>
        <sz val="10"/>
        <color rgb="FF000000"/>
        <rFont val="Arial"/>
        <family val="0"/>
        <charset val="1"/>
      </rPr>
      <t xml:space="preserve">10</t>
    </r>
    <r>
      <rPr>
        <sz val="10"/>
        <color rgb="FF000000"/>
        <rFont val="Noto Sans CJK SC"/>
        <family val="2"/>
      </rPr>
      <t xml:space="preserve">～</t>
    </r>
    <r>
      <rPr>
        <sz val="10"/>
        <color rgb="FF000000"/>
        <rFont val="Arial"/>
        <family val="0"/>
        <charset val="1"/>
      </rPr>
      <t xml:space="preserve">40</t>
    </r>
  </si>
  <si>
    <t xml:space="preserve">INP_063</t>
  </si>
  <si>
    <t xml:space="preserve">cp_sol_share</t>
  </si>
  <si>
    <r>
      <rPr>
        <sz val="10"/>
        <color rgb="FF000000"/>
        <rFont val="Arial"/>
        <family val="0"/>
        <charset val="1"/>
      </rPr>
      <t xml:space="preserve">Coding Plan token</t>
    </r>
    <r>
      <rPr>
        <sz val="10"/>
        <color rgb="FF000000"/>
        <rFont val="Noto Sans CJK SC"/>
        <family val="2"/>
      </rPr>
      <t xml:space="preserve">：</t>
    </r>
    <r>
      <rPr>
        <sz val="10"/>
        <color rgb="FF000000"/>
        <rFont val="Arial"/>
        <family val="0"/>
        <charset val="1"/>
      </rPr>
      <t xml:space="preserve">Sol </t>
    </r>
    <r>
      <rPr>
        <sz val="10"/>
        <color rgb="FF000000"/>
        <rFont val="Noto Sans CJK SC"/>
        <family val="2"/>
      </rPr>
      <t xml:space="preserve">占比</t>
    </r>
  </si>
  <si>
    <r>
      <rPr>
        <sz val="10"/>
        <color rgb="FF000000"/>
        <rFont val="Arial"/>
        <family val="0"/>
        <charset val="1"/>
      </rPr>
      <t xml:space="preserve">Coding Plan </t>
    </r>
    <r>
      <rPr>
        <sz val="10"/>
        <color rgb="FF000000"/>
        <rFont val="Noto Sans CJK SC"/>
        <family val="2"/>
      </rPr>
      <t xml:space="preserve">主要呼叫 </t>
    </r>
    <r>
      <rPr>
        <sz val="10"/>
        <color rgb="FF000000"/>
        <rFont val="Arial"/>
        <family val="0"/>
        <charset val="1"/>
      </rPr>
      <t xml:space="preserve">GLM-5.x </t>
    </r>
    <r>
      <rPr>
        <sz val="10"/>
        <color rgb="FF000000"/>
        <rFont val="Noto Sans CJK SC"/>
        <family val="2"/>
      </rPr>
      <t xml:space="preserve">旗艦（</t>
    </r>
    <r>
      <rPr>
        <sz val="10"/>
        <color rgb="FF000000"/>
        <rFont val="Arial"/>
        <family val="0"/>
        <charset val="1"/>
      </rPr>
      <t xml:space="preserve">D24r</t>
    </r>
    <r>
      <rPr>
        <sz val="10"/>
        <color rgb="FF000000"/>
        <rFont val="Noto Sans CJK SC"/>
        <family val="2"/>
      </rPr>
      <t xml:space="preserve">）</t>
    </r>
  </si>
  <si>
    <r>
      <rPr>
        <sz val="10"/>
        <color rgb="FF000000"/>
        <rFont val="Arial"/>
        <family val="0"/>
        <charset val="1"/>
      </rPr>
      <t xml:space="preserve">0.7</t>
    </r>
    <r>
      <rPr>
        <sz val="10"/>
        <color rgb="FF000000"/>
        <rFont val="Noto Sans CJK SC"/>
        <family val="2"/>
      </rPr>
      <t xml:space="preserve">～</t>
    </r>
    <r>
      <rPr>
        <sz val="10"/>
        <color rgb="FF000000"/>
        <rFont val="Arial"/>
        <family val="0"/>
        <charset val="1"/>
      </rPr>
      <t xml:space="preserve">1.0</t>
    </r>
  </si>
  <si>
    <t xml:space="preserve">INP_064</t>
  </si>
  <si>
    <t xml:space="preserve">qy_mau_2025</t>
  </si>
  <si>
    <t xml:space="preserve">智譜清言月活用戶</t>
  </si>
  <si>
    <t xml:space="preserve">百萬人</t>
  </si>
  <si>
    <r>
      <rPr>
        <sz val="10"/>
        <color rgb="FF000000"/>
        <rFont val="Arial"/>
        <family val="0"/>
        <charset val="1"/>
      </rPr>
      <t xml:space="preserve">QuestMobile 2026Q1 </t>
    </r>
    <r>
      <rPr>
        <sz val="10"/>
        <color rgb="FF000000"/>
        <rFont val="Noto Sans CJK SC"/>
        <family val="2"/>
      </rPr>
      <t xml:space="preserve">未進月活前 </t>
    </r>
    <r>
      <rPr>
        <sz val="10"/>
        <color rgb="FF000000"/>
        <rFont val="Arial"/>
        <family val="0"/>
        <charset val="1"/>
      </rPr>
      <t xml:space="preserve">20</t>
    </r>
    <r>
      <rPr>
        <sz val="10"/>
        <color rgb="FF000000"/>
        <rFont val="Noto Sans CJK SC"/>
        <family val="2"/>
      </rPr>
      <t xml:space="preserve">（</t>
    </r>
    <r>
      <rPr>
        <sz val="10"/>
        <color rgb="FF000000"/>
        <rFont val="Arial"/>
        <family val="0"/>
        <charset val="1"/>
      </rPr>
      <t xml:space="preserve">SRC_ZP_434</t>
    </r>
    <r>
      <rPr>
        <sz val="10"/>
        <color rgb="FF000000"/>
        <rFont val="Noto Sans CJK SC"/>
        <family val="2"/>
      </rPr>
      <t xml:space="preserve">），無絕對值；取低值</t>
    </r>
  </si>
  <si>
    <r>
      <rPr>
        <sz val="10"/>
        <color rgb="FF000000"/>
        <rFont val="Arial"/>
        <family val="0"/>
        <charset val="1"/>
      </rPr>
      <t xml:space="preserve">3</t>
    </r>
    <r>
      <rPr>
        <sz val="10"/>
        <color rgb="FF000000"/>
        <rFont val="Noto Sans CJK SC"/>
        <family val="2"/>
      </rPr>
      <t xml:space="preserve">～</t>
    </r>
    <r>
      <rPr>
        <sz val="10"/>
        <color rgb="FF000000"/>
        <rFont val="Arial"/>
        <family val="0"/>
        <charset val="1"/>
      </rPr>
      <t xml:space="preserve">30</t>
    </r>
  </si>
  <si>
    <t xml:space="preserve">INP_065</t>
  </si>
  <si>
    <t xml:space="preserve">qy_g</t>
  </si>
  <si>
    <t xml:space="preserve">智譜清言月活年增率</t>
  </si>
  <si>
    <r>
      <rPr>
        <sz val="10"/>
        <color rgb="FF000000"/>
        <rFont val="Arial"/>
        <family val="0"/>
        <charset val="1"/>
      </rPr>
      <t xml:space="preserve">2026 </t>
    </r>
    <r>
      <rPr>
        <sz val="10"/>
        <color rgb="FF000000"/>
        <rFont val="Noto Sans CJK SC"/>
        <family val="2"/>
      </rPr>
      <t xml:space="preserve">起</t>
    </r>
  </si>
  <si>
    <r>
      <rPr>
        <sz val="10"/>
        <color rgb="FF000000"/>
        <rFont val="Noto Sans CJK SC"/>
        <family val="2"/>
      </rPr>
      <t xml:space="preserve">公司重心轉向 </t>
    </r>
    <r>
      <rPr>
        <sz val="10"/>
        <color rgb="FF000000"/>
        <rFont val="Arial"/>
        <family val="0"/>
        <charset val="1"/>
      </rPr>
      <t xml:space="preserve">MaaS</t>
    </r>
    <r>
      <rPr>
        <sz val="10"/>
        <color rgb="FF000000"/>
        <rFont val="Noto Sans CJK SC"/>
        <family val="2"/>
      </rPr>
      <t xml:space="preserve">／</t>
    </r>
    <r>
      <rPr>
        <sz val="10"/>
        <color rgb="FF000000"/>
        <rFont val="Arial"/>
        <family val="0"/>
        <charset val="1"/>
      </rPr>
      <t xml:space="preserve">API</t>
    </r>
    <r>
      <rPr>
        <sz val="10"/>
        <color rgb="FF000000"/>
        <rFont val="Noto Sans CJK SC"/>
        <family val="2"/>
      </rPr>
      <t xml:space="preserve">；</t>
    </r>
    <r>
      <rPr>
        <sz val="10"/>
        <color rgb="FF000000"/>
        <rFont val="Arial"/>
        <family val="0"/>
        <charset val="1"/>
      </rPr>
      <t xml:space="preserve">C </t>
    </r>
    <r>
      <rPr>
        <sz val="10"/>
        <color rgb="FF000000"/>
        <rFont val="Noto Sans CJK SC"/>
        <family val="2"/>
      </rPr>
      <t xml:space="preserve">端規模小</t>
    </r>
  </si>
  <si>
    <r>
      <rPr>
        <sz val="10"/>
        <color rgb="FF000000"/>
        <rFont val="Arial"/>
        <family val="0"/>
        <charset val="1"/>
      </rPr>
      <t xml:space="preserve">−20%</t>
    </r>
    <r>
      <rPr>
        <sz val="10"/>
        <color rgb="FF000000"/>
        <rFont val="Noto Sans CJK SC"/>
        <family val="2"/>
      </rPr>
      <t xml:space="preserve">～</t>
    </r>
    <r>
      <rPr>
        <sz val="10"/>
        <color rgb="FF000000"/>
        <rFont val="Arial"/>
        <family val="0"/>
        <charset val="1"/>
      </rPr>
      <t xml:space="preserve">+50%</t>
    </r>
  </si>
  <si>
    <t xml:space="preserve">INP_066</t>
  </si>
  <si>
    <t xml:space="preserve">qy_tasks</t>
  </si>
  <si>
    <t xml:space="preserve">智譜清言每月活用戶每日任務數</t>
  </si>
  <si>
    <t xml:space="preserve">任務／日</t>
  </si>
  <si>
    <r>
      <rPr>
        <sz val="10"/>
        <color rgb="FF000000"/>
        <rFont val="Arial"/>
        <family val="0"/>
        <charset val="1"/>
      </rPr>
      <t xml:space="preserve">OpenAI v0.6 INP_102–103</t>
    </r>
    <r>
      <rPr>
        <sz val="10"/>
        <color rgb="FF000000"/>
        <rFont val="Noto Sans CJK SC"/>
        <family val="2"/>
      </rPr>
      <t xml:space="preserve">（</t>
    </r>
    <r>
      <rPr>
        <sz val="10"/>
        <color rgb="FF000000"/>
        <rFont val="Arial"/>
        <family val="0"/>
        <charset val="1"/>
      </rPr>
      <t xml:space="preserve">Free </t>
    </r>
    <r>
      <rPr>
        <sz val="10"/>
        <color rgb="FF000000"/>
        <rFont val="Noto Sans CJK SC"/>
        <family val="2"/>
      </rPr>
      <t xml:space="preserve">每日任務 </t>
    </r>
    <r>
      <rPr>
        <sz val="10"/>
        <color rgb="FF000000"/>
        <rFont val="Arial"/>
        <family val="0"/>
        <charset val="1"/>
      </rPr>
      <t xml:space="preserve">1.7</t>
    </r>
    <r>
      <rPr>
        <sz val="10"/>
        <color rgb="FF000000"/>
        <rFont val="Noto Sans CJK SC"/>
        <family val="2"/>
      </rPr>
      <t xml:space="preserve">，以週活為分母）；差異：清言以月活為分母、含低頻用戶，取較低值</t>
    </r>
  </si>
  <si>
    <r>
      <rPr>
        <sz val="10"/>
        <color rgb="FF000000"/>
        <rFont val="Arial"/>
        <family val="0"/>
        <charset val="1"/>
      </rPr>
      <t xml:space="preserve">0.3</t>
    </r>
    <r>
      <rPr>
        <sz val="10"/>
        <color rgb="FF000000"/>
        <rFont val="Noto Sans CJK SC"/>
        <family val="2"/>
      </rPr>
      <t xml:space="preserve">～</t>
    </r>
    <r>
      <rPr>
        <sz val="10"/>
        <color rgb="FF000000"/>
        <rFont val="Arial"/>
        <family val="0"/>
        <charset val="1"/>
      </rPr>
      <t xml:space="preserve">3</t>
    </r>
  </si>
  <si>
    <t xml:space="preserve">INP_067</t>
  </si>
  <si>
    <t xml:space="preserve">qy_ktok_task</t>
  </si>
  <si>
    <r>
      <rPr>
        <sz val="10"/>
        <color rgb="FF000000"/>
        <rFont val="Noto Sans CJK SC"/>
        <family val="2"/>
      </rPr>
      <t xml:space="preserve">智譜清言每任務 </t>
    </r>
    <r>
      <rPr>
        <sz val="10"/>
        <color rgb="FF000000"/>
        <rFont val="Arial"/>
        <family val="0"/>
        <charset val="1"/>
      </rPr>
      <t xml:space="preserve">token</t>
    </r>
  </si>
  <si>
    <r>
      <rPr>
        <sz val="10"/>
        <color rgb="FF000000"/>
        <rFont val="Arial"/>
        <family val="0"/>
        <charset val="1"/>
      </rPr>
      <t xml:space="preserve">OpenAI v0.6 INP_112–113</t>
    </r>
    <r>
      <rPr>
        <sz val="10"/>
        <color rgb="FF000000"/>
        <rFont val="Noto Sans CJK SC"/>
        <family val="2"/>
      </rPr>
      <t xml:space="preserve">（</t>
    </r>
    <r>
      <rPr>
        <sz val="10"/>
        <color rgb="FF000000"/>
        <rFont val="Arial"/>
        <family val="0"/>
        <charset val="1"/>
      </rPr>
      <t xml:space="preserve">Free 2–2.94 K</t>
    </r>
    <r>
      <rPr>
        <sz val="10"/>
        <color rgb="FF000000"/>
        <rFont val="Noto Sans CJK SC"/>
        <family val="2"/>
      </rPr>
      <t xml:space="preserve">）</t>
    </r>
  </si>
  <si>
    <r>
      <rPr>
        <sz val="10"/>
        <color rgb="FF000000"/>
        <rFont val="Arial"/>
        <family val="0"/>
        <charset val="1"/>
      </rPr>
      <t xml:space="preserve">1</t>
    </r>
    <r>
      <rPr>
        <sz val="10"/>
        <color rgb="FF000000"/>
        <rFont val="Noto Sans CJK SC"/>
        <family val="2"/>
      </rPr>
      <t xml:space="preserve">～</t>
    </r>
    <r>
      <rPr>
        <sz val="10"/>
        <color rgb="FF000000"/>
        <rFont val="Arial"/>
        <family val="0"/>
        <charset val="1"/>
      </rPr>
      <t xml:space="preserve">10</t>
    </r>
  </si>
  <si>
    <t xml:space="preserve">INP_068</t>
  </si>
  <si>
    <t xml:space="preserve">qy_sol_share</t>
  </si>
  <si>
    <r>
      <rPr>
        <sz val="10"/>
        <color rgb="FF000000"/>
        <rFont val="Noto Sans CJK SC"/>
        <family val="2"/>
      </rPr>
      <t xml:space="preserve">智譜清言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Sol </t>
    </r>
    <r>
      <rPr>
        <sz val="10"/>
        <color rgb="FF000000"/>
        <rFont val="Noto Sans CJK SC"/>
        <family val="2"/>
      </rPr>
      <t xml:space="preserve">占比</t>
    </r>
  </si>
  <si>
    <r>
      <rPr>
        <sz val="10"/>
        <color rgb="FF000000"/>
        <rFont val="Noto Sans CJK SC"/>
        <family val="2"/>
      </rPr>
      <t xml:space="preserve">免費 </t>
    </r>
    <r>
      <rPr>
        <sz val="10"/>
        <color rgb="FF000000"/>
        <rFont val="Arial"/>
        <family val="0"/>
        <charset val="1"/>
      </rPr>
      <t xml:space="preserve">C </t>
    </r>
    <r>
      <rPr>
        <sz val="10"/>
        <color rgb="FF000000"/>
        <rFont val="Noto Sans CJK SC"/>
        <family val="2"/>
      </rPr>
      <t xml:space="preserve">端多以輕量模型服務</t>
    </r>
  </si>
  <si>
    <t xml:space="preserve">INP_069</t>
  </si>
  <si>
    <t xml:space="preserve">onprem_k_2h26</t>
  </si>
  <si>
    <r>
      <rPr>
        <sz val="10"/>
        <color rgb="FF000000"/>
        <rFont val="Noto Sans CJK SC"/>
        <family val="2"/>
      </rPr>
      <t xml:space="preserve">本地化部署 </t>
    </r>
    <r>
      <rPr>
        <sz val="10"/>
        <color rgb="FF000000"/>
        <rFont val="Arial"/>
        <family val="0"/>
        <charset val="1"/>
      </rPr>
      <t xml:space="preserve">2H26 </t>
    </r>
    <r>
      <rPr>
        <sz val="10"/>
        <color rgb="FF000000"/>
        <rFont val="Noto Sans CJK SC"/>
        <family val="2"/>
      </rPr>
      <t xml:space="preserve">同比延續係數（</t>
    </r>
    <r>
      <rPr>
        <sz val="10"/>
        <color rgb="FF000000"/>
        <rFont val="Arial"/>
        <family val="0"/>
        <charset val="1"/>
      </rPr>
      <t xml:space="preserve">2H26</t>
    </r>
    <r>
      <rPr>
        <sz val="10"/>
        <color rgb="FF000000"/>
        <rFont val="Noto Sans CJK SC"/>
        <family val="2"/>
      </rPr>
      <t xml:space="preserve">＝</t>
    </r>
    <r>
      <rPr>
        <sz val="10"/>
        <color rgb="FF000000"/>
        <rFont val="Arial"/>
        <family val="0"/>
        <charset val="1"/>
      </rPr>
      <t xml:space="preserve">2H25 ×</t>
    </r>
    <r>
      <rPr>
        <sz val="10"/>
        <color rgb="FF000000"/>
        <rFont val="Noto Sans CJK SC"/>
        <family val="2"/>
      </rPr>
      <t xml:space="preserve">（</t>
    </r>
    <r>
      <rPr>
        <sz val="10"/>
        <color rgb="FF000000"/>
        <rFont val="Arial"/>
        <family val="0"/>
        <charset val="1"/>
      </rPr>
      <t xml:space="preserve">1</t>
    </r>
    <r>
      <rPr>
        <sz val="10"/>
        <color rgb="FF000000"/>
        <rFont val="Noto Sans CJK SC"/>
        <family val="2"/>
      </rPr>
      <t xml:space="preserve">＋係數 </t>
    </r>
    <r>
      <rPr>
        <sz val="10"/>
        <color rgb="FF000000"/>
        <rFont val="Arial"/>
        <family val="0"/>
        <charset val="1"/>
      </rPr>
      <t xml:space="preserve">× 1H26 </t>
    </r>
    <r>
      <rPr>
        <sz val="10"/>
        <color rgb="FF000000"/>
        <rFont val="Noto Sans CJK SC"/>
        <family val="2"/>
      </rPr>
      <t xml:space="preserve">同比））</t>
    </r>
  </si>
  <si>
    <r>
      <rPr>
        <sz val="10"/>
        <color rgb="FF000000"/>
        <rFont val="Arial"/>
        <family val="0"/>
        <charset val="1"/>
      </rPr>
      <t xml:space="preserve">chat </t>
    </r>
    <r>
      <rPr>
        <sz val="10"/>
        <color rgb="FF000000"/>
        <rFont val="Noto Sans CJK SC"/>
        <family val="2"/>
      </rPr>
      <t xml:space="preserve">端審查改動 </t>
    </r>
    <r>
      <rPr>
        <sz val="10"/>
        <color rgb="FF000000"/>
        <rFont val="Arial"/>
        <family val="0"/>
        <charset val="1"/>
      </rPr>
      <t xml:space="preserve">R2</t>
    </r>
    <r>
      <rPr>
        <sz val="10"/>
        <color rgb="FF000000"/>
        <rFont val="Noto Sans CJK SC"/>
        <family val="2"/>
      </rPr>
      <t xml:space="preserve">（</t>
    </r>
    <r>
      <rPr>
        <sz val="10"/>
        <color rgb="FF000000"/>
        <rFont val="Arial"/>
        <family val="0"/>
        <charset val="1"/>
      </rPr>
      <t xml:space="preserve">2026-10-08</t>
    </r>
    <r>
      <rPr>
        <sz val="10"/>
        <color rgb="FF000000"/>
        <rFont val="Noto Sans CJK SC"/>
        <family val="2"/>
      </rPr>
      <t xml:space="preserve">）：</t>
    </r>
    <r>
      <rPr>
        <sz val="10"/>
        <color rgb="FF000000"/>
        <rFont val="Arial"/>
        <family val="0"/>
        <charset val="1"/>
      </rPr>
      <t xml:space="preserve">2H26 </t>
    </r>
    <r>
      <rPr>
        <sz val="10"/>
        <color rgb="FF000000"/>
        <rFont val="Noto Sans CJK SC"/>
        <family val="2"/>
      </rPr>
      <t xml:space="preserve">持平於 </t>
    </r>
    <r>
      <rPr>
        <sz val="10"/>
        <color rgb="FF000000"/>
        <rFont val="Arial"/>
        <family val="0"/>
        <charset val="1"/>
      </rPr>
      <t xml:space="preserve">2H25</t>
    </r>
    <r>
      <rPr>
        <sz val="10"/>
        <color rgb="FF000000"/>
        <rFont val="Noto Sans CJK SC"/>
        <family val="2"/>
      </rPr>
      <t xml:space="preserve">（係數 </t>
    </r>
    <r>
      <rPr>
        <sz val="10"/>
        <color rgb="FF000000"/>
        <rFont val="Arial"/>
        <family val="0"/>
        <charset val="1"/>
      </rPr>
      <t xml:space="preserve">0</t>
    </r>
    <r>
      <rPr>
        <sz val="10"/>
        <color rgb="FF000000"/>
        <rFont val="Noto Sans CJK SC"/>
        <family val="2"/>
      </rPr>
      <t xml:space="preserve">）。分部整體 </t>
    </r>
    <r>
      <rPr>
        <sz val="10"/>
        <color rgb="FF000000"/>
        <rFont val="Arial"/>
        <family val="0"/>
        <charset val="1"/>
      </rPr>
      <t xml:space="preserve">1H26 </t>
    </r>
    <r>
      <rPr>
        <sz val="10"/>
        <color rgb="FF000000"/>
        <rFont val="Noto Sans CJK SC"/>
        <family val="2"/>
      </rPr>
      <t xml:space="preserve">同比 −</t>
    </r>
    <r>
      <rPr>
        <sz val="10"/>
        <color rgb="FF000000"/>
        <rFont val="Arial"/>
        <family val="0"/>
        <charset val="1"/>
      </rPr>
      <t xml:space="preserve">20%</t>
    </r>
    <r>
      <rPr>
        <sz val="10"/>
        <color rgb="FF000000"/>
        <rFont val="Noto Sans CJK SC"/>
        <family val="2"/>
      </rPr>
      <t xml:space="preserve">，逐線延續（係數 </t>
    </r>
    <r>
      <rPr>
        <sz val="10"/>
        <color rgb="FF000000"/>
        <rFont val="Arial"/>
        <family val="0"/>
        <charset val="1"/>
      </rPr>
      <t xml:space="preserve">1</t>
    </r>
    <r>
      <rPr>
        <sz val="10"/>
        <color rgb="FF000000"/>
        <rFont val="Noto Sans CJK SC"/>
        <family val="2"/>
      </rPr>
      <t xml:space="preserve">）會使 </t>
    </r>
    <r>
      <rPr>
        <sz val="10"/>
        <color rgb="FF000000"/>
        <rFont val="Arial"/>
        <family val="0"/>
        <charset val="1"/>
      </rPr>
      <t xml:space="preserve">2026 </t>
    </r>
    <r>
      <rPr>
        <sz val="10"/>
        <color rgb="FF000000"/>
        <rFont val="Noto Sans CJK SC"/>
        <family val="2"/>
      </rPr>
      <t xml:space="preserve">本地化 </t>
    </r>
    <r>
      <rPr>
        <sz val="10"/>
        <color rgb="FF000000"/>
        <rFont val="Arial"/>
        <family val="0"/>
        <charset val="1"/>
      </rPr>
      <t xml:space="preserve">+63%</t>
    </r>
    <r>
      <rPr>
        <sz val="10"/>
        <color rgb="FF000000"/>
        <rFont val="Noto Sans CJK SC"/>
        <family val="2"/>
      </rPr>
      <t xml:space="preserve">，與分部趨勢相反；專案制收入集中下半年，持平較中性；</t>
    </r>
    <r>
      <rPr>
        <sz val="10"/>
        <color rgb="FF000000"/>
        <rFont val="Arial"/>
        <family val="0"/>
        <charset val="1"/>
      </rPr>
      <t xml:space="preserve">1</t>
    </r>
    <r>
      <rPr>
        <sz val="10"/>
        <color rgb="FF000000"/>
        <rFont val="Noto Sans CJK SC"/>
        <family val="2"/>
      </rPr>
      <t xml:space="preserve">＝下半年延續上半年各線同比</t>
    </r>
  </si>
  <si>
    <r>
      <rPr>
        <sz val="10"/>
        <color rgb="FF000000"/>
        <rFont val="Arial"/>
        <family val="0"/>
        <charset val="1"/>
      </rPr>
      <t xml:space="preserve">0</t>
    </r>
    <r>
      <rPr>
        <sz val="10"/>
        <color rgb="FF000000"/>
        <rFont val="Noto Sans CJK SC"/>
        <family val="2"/>
      </rPr>
      <t xml:space="preserve">（持平）～</t>
    </r>
    <r>
      <rPr>
        <sz val="10"/>
        <color rgb="FF000000"/>
        <rFont val="Arial"/>
        <family val="0"/>
        <charset val="1"/>
      </rPr>
      <t xml:space="preserve">1</t>
    </r>
    <r>
      <rPr>
        <sz val="10"/>
        <color rgb="FF000000"/>
        <rFont val="Noto Sans CJK SC"/>
        <family val="2"/>
      </rPr>
      <t xml:space="preserve">（逐線延續上半年同比）</t>
    </r>
  </si>
  <si>
    <t xml:space="preserve">INP_070</t>
  </si>
  <si>
    <t xml:space="preserve">onprem_g</t>
  </si>
  <si>
    <t xml:space="preserve">本地化部署營收年增率</t>
  </si>
  <si>
    <r>
      <rPr>
        <sz val="10"/>
        <color rgb="FF000000"/>
        <rFont val="Noto Sans CJK SC"/>
        <family val="2"/>
      </rPr>
      <t xml:space="preserve">工作單 </t>
    </r>
    <r>
      <rPr>
        <sz val="10"/>
        <color rgb="FF000000"/>
        <rFont val="Arial"/>
        <family val="0"/>
        <charset val="1"/>
      </rPr>
      <t xml:space="preserve">Z2 </t>
    </r>
    <r>
      <rPr>
        <sz val="10"/>
        <color rgb="FF000000"/>
        <rFont val="Noto Sans CJK SC"/>
        <family val="2"/>
      </rPr>
      <t xml:space="preserve">預設（</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20%</t>
    </r>
    <r>
      <rPr>
        <sz val="10"/>
        <color rgb="FF000000"/>
        <rFont val="Noto Sans CJK SC"/>
        <family val="2"/>
      </rPr>
      <t xml:space="preserve">～</t>
    </r>
    <r>
      <rPr>
        <sz val="10"/>
        <color rgb="FF000000"/>
        <rFont val="Arial"/>
        <family val="0"/>
        <charset val="1"/>
      </rPr>
      <t xml:space="preserve">+20%</t>
    </r>
    <r>
      <rPr>
        <sz val="10"/>
        <color rgb="FF000000"/>
        <rFont val="Noto Sans CJK SC"/>
        <family val="2"/>
      </rPr>
      <t xml:space="preserve">）</t>
    </r>
  </si>
  <si>
    <t xml:space="preserve">工作單</t>
  </si>
  <si>
    <t xml:space="preserve">INP_071</t>
  </si>
  <si>
    <t xml:space="preserve">ads_rev</t>
  </si>
  <si>
    <t xml:space="preserve">廣告營收</t>
  </si>
  <si>
    <t xml:space="preserve">全期</t>
  </si>
  <si>
    <r>
      <rPr>
        <sz val="10"/>
        <color rgb="FF000000"/>
        <rFont val="Noto Sans CJK SC"/>
        <family val="2"/>
      </rPr>
      <t xml:space="preserve">規格 </t>
    </r>
    <r>
      <rPr>
        <sz val="10"/>
        <color rgb="FF000000"/>
        <rFont val="Arial"/>
        <family val="0"/>
        <charset val="1"/>
      </rPr>
      <t xml:space="preserve">D3</t>
    </r>
    <r>
      <rPr>
        <sz val="10"/>
        <color rgb="FF000000"/>
        <rFont val="Noto Sans CJK SC"/>
        <family val="2"/>
      </rPr>
      <t xml:space="preserve">：無廣告業務揭露</t>
    </r>
  </si>
  <si>
    <t xml:space="preserve">無業務</t>
  </si>
  <si>
    <t xml:space="preserve">INP_073</t>
  </si>
  <si>
    <t xml:space="preserve">arr_warn</t>
  </si>
  <si>
    <r>
      <rPr>
        <sz val="10"/>
        <color rgb="FF000000"/>
        <rFont val="Arial"/>
        <family val="0"/>
        <charset val="1"/>
      </rPr>
      <t xml:space="preserve">ARR </t>
    </r>
    <r>
      <rPr>
        <sz val="10"/>
        <color rgb="FF000000"/>
        <rFont val="Noto Sans CJK SC"/>
        <family val="2"/>
      </rPr>
      <t xml:space="preserve">對照 </t>
    </r>
    <r>
      <rPr>
        <sz val="10"/>
        <color rgb="FF000000"/>
        <rFont val="Arial"/>
        <family val="0"/>
        <charset val="1"/>
      </rPr>
      <t xml:space="preserve">WARN </t>
    </r>
    <r>
      <rPr>
        <sz val="10"/>
        <color rgb="FF000000"/>
        <rFont val="Noto Sans CJK SC"/>
        <family val="2"/>
      </rPr>
      <t xml:space="preserve">門檻（模型年化 </t>
    </r>
    <r>
      <rPr>
        <sz val="10"/>
        <color rgb="FF000000"/>
        <rFont val="Arial"/>
        <family val="0"/>
        <charset val="1"/>
      </rPr>
      <t xml:space="preserve">÷ </t>
    </r>
    <r>
      <rPr>
        <sz val="10"/>
        <color rgb="FF000000"/>
        <rFont val="Noto Sans CJK SC"/>
        <family val="2"/>
      </rPr>
      <t xml:space="preserve">公司 </t>
    </r>
    <r>
      <rPr>
        <sz val="10"/>
        <color rgb="FF000000"/>
        <rFont val="Arial"/>
        <family val="0"/>
        <charset val="1"/>
      </rPr>
      <t xml:space="preserve">ARR − 1 </t>
    </r>
    <r>
      <rPr>
        <sz val="10"/>
        <color rgb="FF000000"/>
        <rFont val="Noto Sans CJK SC"/>
        <family val="2"/>
      </rPr>
      <t xml:space="preserve">的絕對值）</t>
    </r>
  </si>
  <si>
    <r>
      <rPr>
        <sz val="10"/>
        <color rgb="FF000000"/>
        <rFont val="Noto Sans CJK SC"/>
        <family val="2"/>
      </rPr>
      <t xml:space="preserve">規格 </t>
    </r>
    <r>
      <rPr>
        <sz val="10"/>
        <color rgb="FF000000"/>
        <rFont val="Arial"/>
        <family val="0"/>
        <charset val="1"/>
      </rPr>
      <t xml:space="preserve">D14r</t>
    </r>
    <r>
      <rPr>
        <sz val="10"/>
        <color rgb="FF000000"/>
        <rFont val="Noto Sans CJK SC"/>
        <family val="2"/>
      </rPr>
      <t xml:space="preserve">（</t>
    </r>
    <r>
      <rPr>
        <sz val="10"/>
        <color rgb="FF000000"/>
        <rFont val="Arial"/>
        <family val="0"/>
        <charset val="1"/>
      </rPr>
      <t xml:space="preserve">WARN &gt;25%</t>
    </r>
    <r>
      <rPr>
        <sz val="10"/>
        <color rgb="FF000000"/>
        <rFont val="Noto Sans CJK SC"/>
        <family val="2"/>
      </rPr>
      <t xml:space="preserve">）</t>
    </r>
  </si>
  <si>
    <t xml:space="preserve">規格</t>
  </si>
  <si>
    <t xml:space="preserve">INP_074</t>
  </si>
  <si>
    <t xml:space="preserve">mul_t_m</t>
  </si>
  <si>
    <r>
      <rPr>
        <sz val="10"/>
        <color rgb="FF000000"/>
        <rFont val="Noto Sans CJK SC"/>
        <family val="2"/>
      </rPr>
      <t xml:space="preserve">單位換算：兆 </t>
    </r>
    <r>
      <rPr>
        <sz val="10"/>
        <color rgb="FF000000"/>
        <rFont val="Arial"/>
        <family val="0"/>
        <charset val="1"/>
      </rPr>
      <t xml:space="preserve">token → </t>
    </r>
    <r>
      <rPr>
        <sz val="10"/>
        <color rgb="FF000000"/>
        <rFont val="Noto Sans CJK SC"/>
        <family val="2"/>
      </rPr>
      <t xml:space="preserve">百萬 </t>
    </r>
    <r>
      <rPr>
        <sz val="10"/>
        <color rgb="FF000000"/>
        <rFont val="Arial"/>
        <family val="0"/>
        <charset val="1"/>
      </rPr>
      <t xml:space="preserve">token </t>
    </r>
    <r>
      <rPr>
        <sz val="10"/>
        <color rgb="FF000000"/>
        <rFont val="Noto Sans CJK SC"/>
        <family val="2"/>
      </rPr>
      <t xml:space="preserve">的乘數（定義常數）</t>
    </r>
  </si>
  <si>
    <r>
      <rPr>
        <sz val="10"/>
        <color rgb="FF000000"/>
        <rFont val="Arial"/>
        <family val="0"/>
        <charset val="1"/>
      </rPr>
      <t xml:space="preserve">10^12 ÷ 10^6</t>
    </r>
    <r>
      <rPr>
        <sz val="10"/>
        <color rgb="FF000000"/>
        <rFont val="Noto Sans CJK SC"/>
        <family val="2"/>
      </rPr>
      <t xml:space="preserve">（同 </t>
    </r>
    <r>
      <rPr>
        <sz val="10"/>
        <color rgb="FF000000"/>
        <rFont val="Arial"/>
        <family val="0"/>
        <charset val="1"/>
      </rPr>
      <t xml:space="preserve">OpenAI v0.6</t>
    </r>
    <r>
      <rPr>
        <sz val="10"/>
        <color rgb="FF000000"/>
        <rFont val="Noto Sans CJK SC"/>
        <family val="2"/>
      </rPr>
      <t xml:space="preserve">『單位換算：</t>
    </r>
    <r>
      <rPr>
        <sz val="10"/>
        <color rgb="FF000000"/>
        <rFont val="Arial"/>
        <family val="0"/>
        <charset val="1"/>
      </rPr>
      <t xml:space="preserve">T token → M token</t>
    </r>
    <r>
      <rPr>
        <sz val="10"/>
        <color rgb="FF000000"/>
        <rFont val="Noto Sans CJK SC"/>
        <family val="2"/>
      </rPr>
      <t xml:space="preserve">』）</t>
    </r>
  </si>
  <si>
    <t xml:space="preserve">INP_075</t>
  </si>
  <si>
    <t xml:space="preserve">kw_per_gw</t>
  </si>
  <si>
    <r>
      <rPr>
        <sz val="10"/>
        <color rgb="FF000000"/>
        <rFont val="Noto Sans CJK SC"/>
        <family val="2"/>
      </rPr>
      <t xml:space="preserve">單位換算：每 </t>
    </r>
    <r>
      <rPr>
        <sz val="10"/>
        <color rgb="FF000000"/>
        <rFont val="Arial"/>
        <family val="0"/>
        <charset val="1"/>
      </rPr>
      <t xml:space="preserve">GW </t>
    </r>
    <r>
      <rPr>
        <sz val="10"/>
        <color rgb="FF000000"/>
        <rFont val="Noto Sans CJK SC"/>
        <family val="2"/>
      </rPr>
      <t xml:space="preserve">的 </t>
    </r>
    <r>
      <rPr>
        <sz val="10"/>
        <color rgb="FF000000"/>
        <rFont val="Arial"/>
        <family val="0"/>
        <charset val="1"/>
      </rPr>
      <t xml:space="preserve">kW </t>
    </r>
    <r>
      <rPr>
        <sz val="10"/>
        <color rgb="FF000000"/>
        <rFont val="Noto Sans CJK SC"/>
        <family val="2"/>
      </rPr>
      <t xml:space="preserve">數（定義常數）</t>
    </r>
  </si>
  <si>
    <r>
      <rPr>
        <sz val="10"/>
        <color rgb="FF000000"/>
        <rFont val="Arial"/>
        <family val="0"/>
        <charset val="1"/>
      </rPr>
      <t xml:space="preserve">kW</t>
    </r>
    <r>
      <rPr>
        <sz val="10"/>
        <color rgb="FF000000"/>
        <rFont val="Noto Sans CJK SC"/>
        <family val="2"/>
      </rPr>
      <t xml:space="preserve">／</t>
    </r>
    <r>
      <rPr>
        <sz val="10"/>
        <color rgb="FF000000"/>
        <rFont val="Arial"/>
        <family val="0"/>
        <charset val="1"/>
      </rPr>
      <t xml:space="preserve">GW</t>
    </r>
  </si>
  <si>
    <t xml:space="preserve">INP_076</t>
  </si>
  <si>
    <t xml:space="preserve">hours_year</t>
  </si>
  <si>
    <t xml:space="preserve">每年小時數（定義常數）</t>
  </si>
  <si>
    <t xml:space="preserve">小時</t>
  </si>
  <si>
    <r>
      <rPr>
        <sz val="10"/>
        <color rgb="FF000000"/>
        <rFont val="Arial"/>
        <family val="0"/>
        <charset val="1"/>
      </rPr>
      <t xml:space="preserve">365 × 24</t>
    </r>
    <r>
      <rPr>
        <sz val="10"/>
        <color rgb="FF000000"/>
        <rFont val="Noto Sans CJK SC"/>
        <family val="2"/>
      </rPr>
      <t xml:space="preserve">（同 </t>
    </r>
    <r>
      <rPr>
        <sz val="10"/>
        <color rgb="FF000000"/>
        <rFont val="Arial"/>
        <family val="0"/>
        <charset val="1"/>
      </rPr>
      <t xml:space="preserve">Tokenomics </t>
    </r>
    <r>
      <rPr>
        <sz val="10"/>
        <color rgb="FF000000"/>
        <rFont val="Noto Sans CJK SC"/>
        <family val="2"/>
      </rPr>
      <t xml:space="preserve">的 </t>
    </r>
    <r>
      <rPr>
        <sz val="10"/>
        <color rgb="FF000000"/>
        <rFont val="Arial"/>
        <family val="0"/>
        <charset val="1"/>
      </rPr>
      <t xml:space="preserve">8</t>
    </r>
  </si>
  <si>
    <t xml:space="preserve">INP_077</t>
  </si>
  <si>
    <t xml:space="preserve">div_yuan_yi</t>
  </si>
  <si>
    <t xml:space="preserve">單位換算：元 → 億元 的除數（定義常數）</t>
  </si>
  <si>
    <t xml:space="preserve">INP_078</t>
  </si>
  <si>
    <t xml:space="preserve">div_usd_b</t>
  </si>
  <si>
    <t xml:space="preserve">單位換算：美元 → 十億美元 的除數（定義常數）</t>
  </si>
  <si>
    <r>
      <rPr>
        <sz val="10"/>
        <color rgb="FF000000"/>
        <rFont val="Arial"/>
        <family val="0"/>
        <charset val="1"/>
      </rPr>
      <t xml:space="preserve">TK $/M × M tok → $</t>
    </r>
    <r>
      <rPr>
        <sz val="10"/>
        <color rgb="FF000000"/>
        <rFont val="Noto Sans CJK SC"/>
        <family val="2"/>
      </rPr>
      <t xml:space="preserve">，再 </t>
    </r>
    <r>
      <rPr>
        <sz val="10"/>
        <color rgb="FF000000"/>
        <rFont val="Arial"/>
        <family val="0"/>
        <charset val="1"/>
      </rPr>
      <t xml:space="preserve">÷ 10^9 </t>
    </r>
    <r>
      <rPr>
        <sz val="10"/>
        <color rgb="FF000000"/>
        <rFont val="Noto Sans CJK SC"/>
        <family val="2"/>
      </rPr>
      <t xml:space="preserve">成 </t>
    </r>
    <r>
      <rPr>
        <sz val="10"/>
        <color rgb="FF000000"/>
        <rFont val="Arial"/>
        <family val="0"/>
        <charset val="1"/>
      </rPr>
      <t xml:space="preserve">$B</t>
    </r>
    <r>
      <rPr>
        <sz val="10"/>
        <color rgb="FF000000"/>
        <rFont val="Noto Sans CJK SC"/>
        <family val="2"/>
      </rPr>
      <t xml:space="preserve">（同 </t>
    </r>
    <r>
      <rPr>
        <sz val="10"/>
        <color rgb="FF000000"/>
        <rFont val="Arial"/>
        <family val="0"/>
        <charset val="1"/>
      </rPr>
      <t xml:space="preserve">OpenAI v0.6</t>
    </r>
    <r>
      <rPr>
        <sz val="10"/>
        <color rgb="FF000000"/>
        <rFont val="Noto Sans CJK SC"/>
        <family val="2"/>
      </rPr>
      <t xml:space="preserve">『單位換算：</t>
    </r>
    <r>
      <rPr>
        <sz val="10"/>
        <color rgb="FF000000"/>
        <rFont val="Arial"/>
        <family val="0"/>
        <charset val="1"/>
      </rPr>
      <t xml:space="preserve">$ → $B </t>
    </r>
    <r>
      <rPr>
        <sz val="10"/>
        <color rgb="FF000000"/>
        <rFont val="Noto Sans CJK SC"/>
        <family val="2"/>
      </rPr>
      <t xml:space="preserve">的除數』）</t>
    </r>
  </si>
  <si>
    <t xml:space="preserve">INP_079</t>
  </si>
  <si>
    <t xml:space="preserve">eta_warn_lo</t>
  </si>
  <si>
    <r>
      <rPr>
        <sz val="10"/>
        <color rgb="FF000000"/>
        <rFont val="Arial"/>
        <family val="0"/>
        <charset val="1"/>
      </rPr>
      <t xml:space="preserve">η </t>
    </r>
    <r>
      <rPr>
        <sz val="10"/>
        <color rgb="FF000000"/>
        <rFont val="Noto Sans CJK SC"/>
        <family val="2"/>
      </rPr>
      <t xml:space="preserve">合理範圍下限（</t>
    </r>
    <r>
      <rPr>
        <sz val="10"/>
        <color rgb="FF000000"/>
        <rFont val="Arial"/>
        <family val="0"/>
        <charset val="1"/>
      </rPr>
      <t xml:space="preserve">Checks WARN </t>
    </r>
    <r>
      <rPr>
        <sz val="10"/>
        <color rgb="FF000000"/>
        <rFont val="Noto Sans CJK SC"/>
        <family val="2"/>
      </rPr>
      <t xml:space="preserve">門檻）</t>
    </r>
  </si>
  <si>
    <r>
      <rPr>
        <sz val="10"/>
        <color rgb="FF000000"/>
        <rFont val="Noto Sans CJK SC"/>
        <family val="2"/>
      </rPr>
      <t xml:space="preserve">工作單 </t>
    </r>
    <r>
      <rPr>
        <sz val="10"/>
        <color rgb="FF000000"/>
        <rFont val="Arial"/>
        <family val="0"/>
        <charset val="1"/>
      </rPr>
      <t xml:space="preserve">Z3 </t>
    </r>
    <r>
      <rPr>
        <sz val="10"/>
        <color rgb="FF000000"/>
        <rFont val="Noto Sans CJK SC"/>
        <family val="2"/>
      </rPr>
      <t xml:space="preserve">第 </t>
    </r>
    <r>
      <rPr>
        <sz val="10"/>
        <color rgb="FF000000"/>
        <rFont val="Arial"/>
        <family val="0"/>
        <charset val="1"/>
      </rPr>
      <t xml:space="preserve">3 </t>
    </r>
    <r>
      <rPr>
        <sz val="10"/>
        <color rgb="FF000000"/>
        <rFont val="Noto Sans CJK SC"/>
        <family val="2"/>
      </rPr>
      <t xml:space="preserve">步『</t>
    </r>
    <r>
      <rPr>
        <sz val="10"/>
        <color rgb="FF000000"/>
        <rFont val="Arial"/>
        <family val="0"/>
        <charset val="1"/>
      </rPr>
      <t xml:space="preserve">η </t>
    </r>
    <r>
      <rPr>
        <sz val="10"/>
        <color rgb="FF000000"/>
        <rFont val="Noto Sans CJK SC"/>
        <family val="2"/>
      </rPr>
      <t xml:space="preserve">合理範圍 </t>
    </r>
    <r>
      <rPr>
        <sz val="10"/>
        <color rgb="FF000000"/>
        <rFont val="Arial"/>
        <family val="0"/>
        <charset val="1"/>
      </rPr>
      <t xml:space="preserve">WARN</t>
    </r>
    <r>
      <rPr>
        <sz val="10"/>
        <color rgb="FF000000"/>
        <rFont val="Noto Sans CJK SC"/>
        <family val="2"/>
      </rPr>
      <t xml:space="preserve">』；</t>
    </r>
    <r>
      <rPr>
        <sz val="10"/>
        <color rgb="FF000000"/>
        <rFont val="Arial"/>
        <family val="0"/>
        <charset val="1"/>
      </rPr>
      <t xml:space="preserve">OpenAI v0.6 S3 </t>
    </r>
    <r>
      <rPr>
        <sz val="10"/>
        <color rgb="FF000000"/>
        <rFont val="Noto Sans CJK SC"/>
        <family val="2"/>
      </rPr>
      <t xml:space="preserve">工作單以 </t>
    </r>
    <r>
      <rPr>
        <sz val="10"/>
        <color rgb="FF000000"/>
        <rFont val="Arial"/>
        <family val="0"/>
        <charset val="1"/>
      </rPr>
      <t xml:space="preserve">0.1–0.5 </t>
    </r>
    <r>
      <rPr>
        <sz val="10"/>
        <color rgb="FF000000"/>
        <rFont val="Noto Sans CJK SC"/>
        <family val="2"/>
      </rPr>
      <t xml:space="preserve">為合理範圍</t>
    </r>
  </si>
  <si>
    <t xml:space="preserve">INP_080</t>
  </si>
  <si>
    <t xml:space="preserve">eta_warn_hi</t>
  </si>
  <si>
    <r>
      <rPr>
        <sz val="10"/>
        <color rgb="FF000000"/>
        <rFont val="Arial"/>
        <family val="0"/>
        <charset val="1"/>
      </rPr>
      <t xml:space="preserve">η </t>
    </r>
    <r>
      <rPr>
        <sz val="10"/>
        <color rgb="FF000000"/>
        <rFont val="Noto Sans CJK SC"/>
        <family val="2"/>
      </rPr>
      <t xml:space="preserve">合理範圍上限（</t>
    </r>
    <r>
      <rPr>
        <sz val="10"/>
        <color rgb="FF000000"/>
        <rFont val="Arial"/>
        <family val="0"/>
        <charset val="1"/>
      </rPr>
      <t xml:space="preserve">Checks WARN </t>
    </r>
    <r>
      <rPr>
        <sz val="10"/>
        <color rgb="FF000000"/>
        <rFont val="Noto Sans CJK SC"/>
        <family val="2"/>
      </rPr>
      <t xml:space="preserve">門檻）</t>
    </r>
  </si>
  <si>
    <r>
      <rPr>
        <sz val="10"/>
        <color rgb="FF000000"/>
        <rFont val="Arial"/>
        <family val="0"/>
        <charset val="1"/>
      </rPr>
      <t xml:space="preserve">η</t>
    </r>
    <r>
      <rPr>
        <sz val="10"/>
        <color rgb="FF000000"/>
        <rFont val="Noto Sans CJK SC"/>
        <family val="2"/>
      </rPr>
      <t xml:space="preserve">＝</t>
    </r>
    <r>
      <rPr>
        <sz val="10"/>
        <color rgb="FF000000"/>
        <rFont val="Arial"/>
        <family val="0"/>
        <charset val="1"/>
      </rPr>
      <t xml:space="preserve">token </t>
    </r>
    <r>
      <rPr>
        <sz val="10"/>
        <color rgb="FF000000"/>
        <rFont val="Noto Sans CJK SC"/>
        <family val="2"/>
      </rPr>
      <t xml:space="preserve">換算 </t>
    </r>
    <r>
      <rPr>
        <sz val="10"/>
        <color rgb="FF000000"/>
        <rFont val="Arial"/>
        <family val="0"/>
        <charset val="1"/>
      </rPr>
      <t xml:space="preserve">GW ÷ </t>
    </r>
    <r>
      <rPr>
        <sz val="10"/>
        <color rgb="FF000000"/>
        <rFont val="Noto Sans CJK SC"/>
        <family val="2"/>
      </rPr>
      <t xml:space="preserve">支出換算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1 </t>
    </r>
    <r>
      <rPr>
        <sz val="10"/>
        <color rgb="FF000000"/>
        <rFont val="Noto Sans CJK SC"/>
        <family val="2"/>
      </rPr>
      <t xml:space="preserve">表示模型 </t>
    </r>
    <r>
      <rPr>
        <sz val="10"/>
        <color rgb="FF000000"/>
        <rFont val="Arial"/>
        <family val="0"/>
        <charset val="1"/>
      </rPr>
      <t xml:space="preserve">token </t>
    </r>
    <r>
      <rPr>
        <sz val="10"/>
        <color rgb="FF000000"/>
        <rFont val="Noto Sans CJK SC"/>
        <family val="2"/>
      </rPr>
      <t xml:space="preserve">量超過以 </t>
    </r>
    <r>
      <rPr>
        <sz val="10"/>
        <color rgb="FF000000"/>
        <rFont val="Arial"/>
        <family val="0"/>
        <charset val="1"/>
      </rPr>
      <t xml:space="preserve">Tokenomics </t>
    </r>
    <r>
      <rPr>
        <sz val="10"/>
        <color rgb="FF000000"/>
        <rFont val="Noto Sans CJK SC"/>
        <family val="2"/>
      </rPr>
      <t xml:space="preserve">產能與實付算力費買得到的量（物理上不可能，口徑必有一端偏差）</t>
    </r>
  </si>
  <si>
    <t xml:space="preserve">INP_081</t>
  </si>
  <si>
    <t xml:space="preserve">chip_gap_warn</t>
  </si>
  <si>
    <r>
      <rPr>
        <sz val="10"/>
        <color rgb="FF000000"/>
        <rFont val="Noto Sans CJK SC"/>
        <family val="2"/>
      </rPr>
      <t xml:space="preserve">國產晶片 </t>
    </r>
    <r>
      <rPr>
        <sz val="10"/>
        <color rgb="FF000000"/>
        <rFont val="Arial"/>
        <family val="0"/>
        <charset val="1"/>
      </rPr>
      <t xml:space="preserve">GW </t>
    </r>
    <r>
      <rPr>
        <sz val="10"/>
        <color rgb="FF000000"/>
        <rFont val="Noto Sans CJK SC"/>
        <family val="2"/>
      </rPr>
      <t xml:space="preserve">對照差距門檻（</t>
    </r>
    <r>
      <rPr>
        <sz val="10"/>
        <color rgb="FF000000"/>
        <rFont val="Arial"/>
        <family val="0"/>
        <charset val="1"/>
      </rPr>
      <t xml:space="preserve">Checks WARN</t>
    </r>
    <r>
      <rPr>
        <sz val="10"/>
        <color rgb="FF000000"/>
        <rFont val="Noto Sans CJK SC"/>
        <family val="2"/>
      </rPr>
      <t xml:space="preserve">）</t>
    </r>
  </si>
  <si>
    <r>
      <rPr>
        <sz val="10"/>
        <color rgb="FF000000"/>
        <rFont val="Noto Sans CJK SC"/>
        <family val="2"/>
      </rPr>
      <t xml:space="preserve">工作單 </t>
    </r>
    <r>
      <rPr>
        <sz val="10"/>
        <color rgb="FF000000"/>
        <rFont val="Arial"/>
        <family val="0"/>
        <charset val="1"/>
      </rPr>
      <t xml:space="preserve">Z3 </t>
    </r>
    <r>
      <rPr>
        <sz val="10"/>
        <color rgb="FF000000"/>
        <rFont val="Noto Sans CJK SC"/>
        <family val="2"/>
      </rPr>
      <t xml:space="preserve">第 </t>
    </r>
    <r>
      <rPr>
        <sz val="10"/>
        <color rgb="FF000000"/>
        <rFont val="Arial"/>
        <family val="0"/>
        <charset val="1"/>
      </rPr>
      <t xml:space="preserve">3 </t>
    </r>
    <r>
      <rPr>
        <sz val="10"/>
        <color rgb="FF000000"/>
        <rFont val="Noto Sans CJK SC"/>
        <family val="2"/>
      </rPr>
      <t xml:space="preserve">步：國產晶片 </t>
    </r>
    <r>
      <rPr>
        <sz val="10"/>
        <color rgb="FF000000"/>
        <rFont val="Arial"/>
        <family val="0"/>
        <charset val="1"/>
      </rPr>
      <t xml:space="preserve">GW </t>
    </r>
    <r>
      <rPr>
        <sz val="10"/>
        <color rgb="FF000000"/>
        <rFont val="Noto Sans CJK SC"/>
        <family val="2"/>
      </rPr>
      <t xml:space="preserve">對照差距 </t>
    </r>
    <r>
      <rPr>
        <sz val="10"/>
        <color rgb="FF000000"/>
        <rFont val="Arial"/>
        <family val="0"/>
        <charset val="1"/>
      </rPr>
      <t xml:space="preserve">&gt;50% WARN</t>
    </r>
  </si>
  <si>
    <t xml:space="preserve">INP_082</t>
  </si>
  <si>
    <t xml:space="preserve">h20_ratio</t>
  </si>
  <si>
    <r>
      <rPr>
        <sz val="10"/>
        <color rgb="FF000000"/>
        <rFont val="Arial"/>
        <family val="0"/>
        <charset val="1"/>
      </rPr>
      <t xml:space="preserve">H20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產出 </t>
    </r>
    <r>
      <rPr>
        <sz val="10"/>
        <color rgb="FF000000"/>
        <rFont val="Arial"/>
        <family val="0"/>
        <charset val="1"/>
      </rPr>
      <t xml:space="preserve">÷ Hopper</t>
    </r>
    <r>
      <rPr>
        <sz val="10"/>
        <color rgb="FF000000"/>
        <rFont val="Noto Sans CJK SC"/>
        <family val="2"/>
      </rPr>
      <t xml:space="preserve">（</t>
    </r>
    <r>
      <rPr>
        <sz val="10"/>
        <color rgb="FF000000"/>
        <rFont val="Arial"/>
        <family val="0"/>
        <charset val="1"/>
      </rPr>
      <t xml:space="preserve">H100</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產出</t>
    </r>
  </si>
  <si>
    <r>
      <rPr>
        <sz val="10"/>
        <color rgb="FF000000"/>
        <rFont val="Arial"/>
        <family val="0"/>
        <charset val="1"/>
      </rPr>
      <t xml:space="preserve">SRC_ZP_490</t>
    </r>
    <r>
      <rPr>
        <sz val="10"/>
        <color rgb="FF000000"/>
        <rFont val="Noto Sans CJK SC"/>
        <family val="2"/>
      </rPr>
      <t xml:space="preserve">（</t>
    </r>
    <r>
      <rPr>
        <sz val="10"/>
        <color rgb="FF000000"/>
        <rFont val="Arial"/>
        <family val="0"/>
        <charset val="1"/>
      </rPr>
      <t xml:space="preserve">DatabaseMart </t>
    </r>
    <r>
      <rPr>
        <sz val="10"/>
        <color rgb="FF000000"/>
        <rFont val="Noto Sans CJK SC"/>
        <family val="2"/>
      </rPr>
      <t xml:space="preserve">工程估計 </t>
    </r>
    <r>
      <rPr>
        <sz val="10"/>
        <color rgb="FF000000"/>
        <rFont val="Arial"/>
        <family val="0"/>
        <charset val="1"/>
      </rPr>
      <t xml:space="preserve">Llama2-70B </t>
    </r>
    <r>
      <rPr>
        <sz val="10"/>
        <color rgb="FF000000"/>
        <rFont val="Noto Sans CJK SC"/>
        <family val="2"/>
      </rPr>
      <t xml:space="preserve">推論吞吐 </t>
    </r>
    <r>
      <rPr>
        <sz val="10"/>
        <color rgb="FF000000"/>
        <rFont val="Arial"/>
        <family val="0"/>
        <charset val="1"/>
      </rPr>
      <t xml:space="preserve">H20÷H100 0.26–0.42</t>
    </r>
    <r>
      <rPr>
        <sz val="10"/>
        <color rgb="FF000000"/>
        <rFont val="Noto Sans CJK SC"/>
        <family val="2"/>
      </rPr>
      <t xml:space="preserve">，中點 </t>
    </r>
    <r>
      <rPr>
        <sz val="10"/>
        <color rgb="FF000000"/>
        <rFont val="Arial"/>
        <family val="0"/>
        <charset val="1"/>
      </rPr>
      <t xml:space="preserve">0.34</t>
    </r>
    <r>
      <rPr>
        <sz val="10"/>
        <color rgb="FF000000"/>
        <rFont val="Noto Sans CJK SC"/>
        <family val="2"/>
      </rPr>
      <t xml:space="preserve">）；規格 </t>
    </r>
    <r>
      <rPr>
        <sz val="10"/>
        <color rgb="FF000000"/>
        <rFont val="Arial"/>
        <family val="0"/>
        <charset val="1"/>
      </rPr>
      <t xml:space="preserve">D6</t>
    </r>
    <r>
      <rPr>
        <sz val="10"/>
        <color rgb="FF000000"/>
        <rFont val="Noto Sans CJK SC"/>
        <family val="2"/>
      </rPr>
      <t xml:space="preserve">：</t>
    </r>
    <r>
      <rPr>
        <sz val="10"/>
        <color rgb="FF000000"/>
        <rFont val="Arial"/>
        <family val="0"/>
        <charset val="1"/>
      </rPr>
      <t xml:space="preserve">H20 </t>
    </r>
    <r>
      <rPr>
        <sz val="10"/>
        <color rgb="FF000000"/>
        <rFont val="Noto Sans CJK SC"/>
        <family val="2"/>
      </rPr>
      <t xml:space="preserve">算力約 </t>
    </r>
    <r>
      <rPr>
        <sz val="10"/>
        <color rgb="FF000000"/>
        <rFont val="Arial"/>
        <family val="0"/>
        <charset val="1"/>
      </rPr>
      <t xml:space="preserve">H100 </t>
    </r>
    <r>
      <rPr>
        <sz val="10"/>
        <color rgb="FF000000"/>
        <rFont val="Noto Sans CJK SC"/>
        <family val="2"/>
      </rPr>
      <t xml:space="preserve">的 </t>
    </r>
    <r>
      <rPr>
        <sz val="10"/>
        <color rgb="FF000000"/>
        <rFont val="Arial"/>
        <family val="0"/>
        <charset val="1"/>
      </rPr>
      <t xml:space="preserve">15%</t>
    </r>
    <r>
      <rPr>
        <sz val="10"/>
        <color rgb="FF000000"/>
        <rFont val="Noto Sans CJK SC"/>
        <family val="2"/>
      </rPr>
      <t xml:space="preserve">（</t>
    </r>
    <r>
      <rPr>
        <sz val="10"/>
        <color rgb="FF000000"/>
        <rFont val="Arial"/>
        <family val="0"/>
        <charset val="1"/>
      </rPr>
      <t xml:space="preserve">SRC_ZP_489</t>
    </r>
    <r>
      <rPr>
        <sz val="10"/>
        <color rgb="FF000000"/>
        <rFont val="Noto Sans CJK SC"/>
        <family val="2"/>
      </rPr>
      <t xml:space="preserve">）但記憶體頻寬較高，</t>
    </r>
    <r>
      <rPr>
        <sz val="10"/>
        <color rgb="FF000000"/>
        <rFont val="Arial"/>
        <family val="0"/>
        <charset val="1"/>
      </rPr>
      <t xml:space="preserve">decode </t>
    </r>
    <r>
      <rPr>
        <sz val="10"/>
        <color rgb="FF000000"/>
        <rFont val="Noto Sans CJK SC"/>
        <family val="2"/>
      </rPr>
      <t xml:space="preserve">比例遠高於 </t>
    </r>
    <r>
      <rPr>
        <sz val="10"/>
        <color rgb="FF000000"/>
        <rFont val="Arial"/>
        <family val="0"/>
        <charset val="1"/>
      </rPr>
      <t xml:space="preserve">0.15</t>
    </r>
    <r>
      <rPr>
        <sz val="10"/>
        <color rgb="FF000000"/>
        <rFont val="Noto Sans CJK SC"/>
        <family val="2"/>
      </rPr>
      <t xml:space="preserve">；</t>
    </r>
    <r>
      <rPr>
        <sz val="10"/>
        <color rgb="FF000000"/>
        <rFont val="Arial"/>
        <family val="0"/>
        <charset val="1"/>
      </rPr>
      <t xml:space="preserve">SemiAnalysis</t>
    </r>
    <r>
      <rPr>
        <sz val="10"/>
        <color rgb="FF000000"/>
        <rFont val="Noto Sans CJK SC"/>
        <family val="2"/>
      </rPr>
      <t xml:space="preserve">『快 </t>
    </r>
    <r>
      <rPr>
        <sz val="10"/>
        <color rgb="FF000000"/>
        <rFont val="Arial"/>
        <family val="0"/>
        <charset val="1"/>
      </rPr>
      <t xml:space="preserve">20%</t>
    </r>
    <r>
      <rPr>
        <sz val="10"/>
        <color rgb="FF000000"/>
        <rFont val="Noto Sans CJK SC"/>
        <family val="2"/>
      </rPr>
      <t xml:space="preserve">』單一源不用（</t>
    </r>
    <r>
      <rPr>
        <sz val="10"/>
        <color rgb="FF000000"/>
        <rFont val="Arial"/>
        <family val="0"/>
        <charset val="1"/>
      </rPr>
      <t xml:space="preserve">SRC_ZP_491</t>
    </r>
    <r>
      <rPr>
        <sz val="10"/>
        <color rgb="FF000000"/>
        <rFont val="Noto Sans CJK SC"/>
        <family val="2"/>
      </rPr>
      <t xml:space="preserve">）；以每卡比代每 </t>
    </r>
    <r>
      <rPr>
        <sz val="10"/>
        <color rgb="FF000000"/>
        <rFont val="Arial"/>
        <family val="0"/>
        <charset val="1"/>
      </rPr>
      <t xml:space="preserve">GW </t>
    </r>
    <r>
      <rPr>
        <sz val="10"/>
        <color rgb="FF000000"/>
        <rFont val="Noto Sans CJK SC"/>
        <family val="2"/>
      </rPr>
      <t xml:space="preserve">比（每卡 </t>
    </r>
    <r>
      <rPr>
        <sz val="10"/>
        <color rgb="FF000000"/>
        <rFont val="Arial"/>
        <family val="0"/>
        <charset val="1"/>
      </rPr>
      <t xml:space="preserve">IT </t>
    </r>
    <r>
      <rPr>
        <sz val="10"/>
        <color rgb="FF000000"/>
        <rFont val="Noto Sans CJK SC"/>
        <family val="2"/>
      </rPr>
      <t xml:space="preserve">功耗差異見 </t>
    </r>
    <r>
      <rPr>
        <sz val="10"/>
        <color rgb="FF000000"/>
        <rFont val="Arial"/>
        <family val="0"/>
        <charset val="1"/>
      </rPr>
      <t xml:space="preserve">kw_h20</t>
    </r>
    <r>
      <rPr>
        <sz val="10"/>
        <color rgb="FF000000"/>
        <rFont val="Noto Sans CJK SC"/>
        <family val="2"/>
      </rPr>
      <t xml:space="preserve">，屬 </t>
    </r>
    <r>
      <rPr>
        <sz val="10"/>
        <color rgb="FF000000"/>
        <rFont val="Arial"/>
        <family val="0"/>
        <charset val="1"/>
      </rPr>
      <t xml:space="preserve">Tokenomics </t>
    </r>
    <r>
      <rPr>
        <sz val="10"/>
        <color rgb="FF000000"/>
        <rFont val="Noto Sans CJK SC"/>
        <family val="2"/>
      </rPr>
      <t xml:space="preserve">缺口）</t>
    </r>
  </si>
  <si>
    <t xml:space="preserve">INP_083</t>
  </si>
  <si>
    <t xml:space="preserve">dom_ratio</t>
  </si>
  <si>
    <r>
      <rPr>
        <sz val="10"/>
        <color rgb="FF000000"/>
        <rFont val="Noto Sans CJK SC"/>
        <family val="2"/>
      </rPr>
      <t xml:space="preserve">國產晶片（昇騰等）每 </t>
    </r>
    <r>
      <rPr>
        <sz val="10"/>
        <color rgb="FF000000"/>
        <rFont val="Arial"/>
        <family val="0"/>
        <charset val="1"/>
      </rPr>
      <t xml:space="preserve">GW </t>
    </r>
    <r>
      <rPr>
        <sz val="10"/>
        <color rgb="FF000000"/>
        <rFont val="Noto Sans CJK SC"/>
        <family val="2"/>
      </rPr>
      <t xml:space="preserve">產出 </t>
    </r>
    <r>
      <rPr>
        <sz val="10"/>
        <color rgb="FF000000"/>
        <rFont val="Arial"/>
        <family val="0"/>
        <charset val="1"/>
      </rPr>
      <t xml:space="preserve">÷ Hopper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產出（國產產出比）</t>
    </r>
  </si>
  <si>
    <r>
      <rPr>
        <sz val="10"/>
        <color rgb="FF000000"/>
        <rFont val="Noto Sans CJK SC"/>
        <family val="2"/>
      </rPr>
      <t xml:space="preserve">規格 </t>
    </r>
    <r>
      <rPr>
        <sz val="10"/>
        <color rgb="FF000000"/>
        <rFont val="Arial"/>
        <family val="0"/>
        <charset val="1"/>
      </rPr>
      <t xml:space="preserve">D6</t>
    </r>
    <r>
      <rPr>
        <sz val="10"/>
        <color rgb="FF000000"/>
        <rFont val="Noto Sans CJK SC"/>
        <family val="2"/>
      </rPr>
      <t xml:space="preserve">（基準 </t>
    </r>
    <r>
      <rPr>
        <sz val="10"/>
        <color rgb="FF000000"/>
        <rFont val="Arial"/>
        <family val="0"/>
        <charset val="1"/>
      </rPr>
      <t xml:space="preserve">0.6</t>
    </r>
    <r>
      <rPr>
        <sz val="10"/>
        <color rgb="FF000000"/>
        <rFont val="Noto Sans CJK SC"/>
        <family val="2"/>
      </rPr>
      <t xml:space="preserve">，</t>
    </r>
    <r>
      <rPr>
        <sz val="10"/>
        <color rgb="FF000000"/>
        <rFont val="Arial"/>
        <family val="0"/>
        <charset val="1"/>
      </rPr>
      <t xml:space="preserve">0.4–0.9</t>
    </r>
    <r>
      <rPr>
        <sz val="10"/>
        <color rgb="FF000000"/>
        <rFont val="Noto Sans CJK SC"/>
        <family val="2"/>
      </rPr>
      <t xml:space="preserve">）；昇騰 </t>
    </r>
    <r>
      <rPr>
        <sz val="10"/>
        <color rgb="FF000000"/>
        <rFont val="Arial"/>
        <family val="0"/>
        <charset val="1"/>
      </rPr>
      <t xml:space="preserve">910C </t>
    </r>
    <r>
      <rPr>
        <sz val="10"/>
        <color rgb="FF000000"/>
        <rFont val="Noto Sans CJK SC"/>
        <family val="2"/>
      </rPr>
      <t xml:space="preserve">推論約 </t>
    </r>
    <r>
      <rPr>
        <sz val="10"/>
        <color rgb="FF000000"/>
        <rFont val="Arial"/>
        <family val="0"/>
        <charset val="1"/>
      </rPr>
      <t xml:space="preserve">H100 </t>
    </r>
    <r>
      <rPr>
        <sz val="10"/>
        <color rgb="FF000000"/>
        <rFont val="Noto Sans CJK SC"/>
        <family val="2"/>
      </rPr>
      <t xml:space="preserve">的 </t>
    </r>
    <r>
      <rPr>
        <sz val="10"/>
        <color rgb="FF000000"/>
        <rFont val="Arial"/>
        <family val="0"/>
        <charset val="1"/>
      </rPr>
      <t xml:space="preserve">60%</t>
    </r>
    <r>
      <rPr>
        <sz val="10"/>
        <color rgb="FF000000"/>
        <rFont val="Noto Sans CJK SC"/>
        <family val="2"/>
      </rPr>
      <t xml:space="preserve">（</t>
    </r>
    <r>
      <rPr>
        <sz val="10"/>
        <color rgb="FF000000"/>
        <rFont val="Arial"/>
        <family val="0"/>
        <charset val="1"/>
      </rPr>
      <t xml:space="preserve">SRC_ZP_480</t>
    </r>
    <r>
      <rPr>
        <sz val="10"/>
        <color rgb="FF000000"/>
        <rFont val="Noto Sans CJK SC"/>
        <family val="2"/>
      </rPr>
      <t xml:space="preserve">，</t>
    </r>
    <r>
      <rPr>
        <sz val="10"/>
        <color rgb="FF000000"/>
        <rFont val="Arial"/>
        <family val="0"/>
        <charset val="1"/>
      </rPr>
      <t xml:space="preserve">0.6–0.8</t>
    </r>
    <r>
      <rPr>
        <sz val="10"/>
        <color rgb="FF000000"/>
        <rFont val="Noto Sans CJK SC"/>
        <family val="2"/>
      </rPr>
      <t xml:space="preserve">）；公司『同硬體端到端效能提升 </t>
    </r>
    <r>
      <rPr>
        <sz val="10"/>
        <color rgb="FF000000"/>
        <rFont val="Arial"/>
        <family val="0"/>
        <charset val="1"/>
      </rPr>
      <t xml:space="preserve">3 </t>
    </r>
    <r>
      <rPr>
        <sz val="10"/>
        <color rgb="FF000000"/>
        <rFont val="Noto Sans CJK SC"/>
        <family val="2"/>
      </rPr>
      <t xml:space="preserve">倍』（</t>
    </r>
    <r>
      <rPr>
        <sz val="10"/>
        <color rgb="FF000000"/>
        <rFont val="Arial"/>
        <family val="0"/>
        <charset val="1"/>
      </rPr>
      <t xml:space="preserve">SRC_ZP_455</t>
    </r>
    <r>
      <rPr>
        <sz val="10"/>
        <color rgb="FF000000"/>
        <rFont val="Noto Sans CJK SC"/>
        <family val="2"/>
      </rPr>
      <t xml:space="preserve">，</t>
    </r>
    <r>
      <rPr>
        <sz val="10"/>
        <color rgb="FF000000"/>
        <rFont val="Arial"/>
        <family val="0"/>
        <charset val="1"/>
      </rPr>
      <t xml:space="preserve">Interested-party</t>
    </r>
    <r>
      <rPr>
        <sz val="10"/>
        <color rgb="FF000000"/>
        <rFont val="Noto Sans CJK SC"/>
        <family val="2"/>
      </rPr>
      <t xml:space="preserve">）只說明區間上緣；</t>
    </r>
    <r>
      <rPr>
        <sz val="10"/>
        <color rgb="FF000000"/>
        <rFont val="Arial"/>
        <family val="0"/>
        <charset val="1"/>
      </rPr>
      <t xml:space="preserve">Tokenomics </t>
    </r>
    <r>
      <rPr>
        <sz val="10"/>
        <color rgb="FF000000"/>
        <rFont val="Noto Sans CJK SC"/>
        <family val="2"/>
      </rPr>
      <t xml:space="preserve">無昇騰列（缺口）</t>
    </r>
  </si>
  <si>
    <r>
      <rPr>
        <sz val="10"/>
        <color rgb="FF000000"/>
        <rFont val="Noto Sans CJK SC"/>
        <family val="2"/>
      </rPr>
      <t xml:space="preserve">規格 </t>
    </r>
    <r>
      <rPr>
        <sz val="10"/>
        <color rgb="FF000000"/>
        <rFont val="Arial"/>
        <family val="0"/>
        <charset val="1"/>
      </rPr>
      <t xml:space="preserve">D6</t>
    </r>
  </si>
  <si>
    <t xml:space="preserve">INP_084</t>
  </si>
  <si>
    <t xml:space="preserve">share_dom_2025</t>
  </si>
  <si>
    <r>
      <rPr>
        <sz val="10"/>
        <color rgb="FF000000"/>
        <rFont val="Noto Sans CJK SC"/>
        <family val="2"/>
      </rPr>
      <t xml:space="preserve">國產晶片占算力 </t>
    </r>
    <r>
      <rPr>
        <sz val="10"/>
        <color rgb="FF000000"/>
        <rFont val="Arial"/>
        <family val="0"/>
        <charset val="1"/>
      </rPr>
      <t xml:space="preserve">GW </t>
    </r>
    <r>
      <rPr>
        <sz val="10"/>
        <color rgb="FF000000"/>
        <rFont val="Noto Sans CJK SC"/>
        <family val="2"/>
      </rPr>
      <t xml:space="preserve">比例</t>
    </r>
  </si>
  <si>
    <r>
      <rPr>
        <sz val="10"/>
        <color rgb="FF000000"/>
        <rFont val="Noto Sans CJK SC"/>
        <family val="2"/>
      </rPr>
      <t xml:space="preserve">規格 </t>
    </r>
    <r>
      <rPr>
        <sz val="10"/>
        <color rgb="FF000000"/>
        <rFont val="Arial"/>
        <family val="0"/>
        <charset val="1"/>
      </rPr>
      <t xml:space="preserve">D7</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以 </t>
    </r>
    <r>
      <rPr>
        <sz val="10"/>
        <color rgb="FF000000"/>
        <rFont val="Arial"/>
        <family val="0"/>
        <charset val="1"/>
      </rPr>
      <t xml:space="preserve">Hopper </t>
    </r>
    <r>
      <rPr>
        <sz val="10"/>
        <color rgb="FF000000"/>
        <rFont val="Noto Sans CJK SC"/>
        <family val="2"/>
      </rPr>
      <t xml:space="preserve">為主、國產漸增；</t>
    </r>
    <r>
      <rPr>
        <sz val="10"/>
        <color rgb="FF000000"/>
        <rFont val="Arial"/>
        <family val="0"/>
        <charset val="1"/>
      </rPr>
      <t xml:space="preserve">2025-01 </t>
    </r>
    <r>
      <rPr>
        <sz val="10"/>
        <color rgb="FF000000"/>
        <rFont val="Noto Sans CJK SC"/>
        <family val="2"/>
      </rPr>
      <t xml:space="preserve">列入實體清單（</t>
    </r>
    <r>
      <rPr>
        <sz val="10"/>
        <color rgb="FF000000"/>
        <rFont val="Arial"/>
        <family val="0"/>
        <charset val="1"/>
      </rPr>
      <t xml:space="preserve">SRC_ZP_459</t>
    </r>
    <r>
      <rPr>
        <sz val="10"/>
        <color rgb="FF000000"/>
        <rFont val="Noto Sans CJK SC"/>
        <family val="2"/>
      </rPr>
      <t xml:space="preserve">）；公司未揭露晶片組合</t>
    </r>
  </si>
  <si>
    <t xml:space="preserve">INP_085</t>
  </si>
  <si>
    <t xml:space="preserve">share_dom_2026</t>
  </si>
  <si>
    <r>
      <rPr>
        <sz val="10"/>
        <color rgb="FF000000"/>
        <rFont val="Noto Sans CJK SC"/>
        <family val="2"/>
      </rPr>
      <t xml:space="preserve">規格 </t>
    </r>
    <r>
      <rPr>
        <sz val="10"/>
        <color rgb="FF000000"/>
        <rFont val="Arial"/>
        <family val="0"/>
        <charset val="1"/>
      </rPr>
      <t xml:space="preserve">D7</t>
    </r>
    <r>
      <rPr>
        <sz val="10"/>
        <color rgb="FF000000"/>
        <rFont val="Noto Sans CJK SC"/>
        <family val="2"/>
      </rPr>
      <t xml:space="preserve">：</t>
    </r>
    <r>
      <rPr>
        <sz val="10"/>
        <color rgb="FF000000"/>
        <rFont val="Arial"/>
        <family val="0"/>
        <charset val="1"/>
      </rPr>
      <t xml:space="preserve">2026 </t>
    </r>
    <r>
      <rPr>
        <sz val="10"/>
        <color rgb="FF000000"/>
        <rFont val="Noto Sans CJK SC"/>
        <family val="2"/>
      </rPr>
      <t xml:space="preserve">公司稱『</t>
    </r>
    <r>
      <rPr>
        <sz val="10"/>
        <color rgb="FF000000"/>
        <rFont val="Arial"/>
        <family val="0"/>
        <charset val="1"/>
      </rPr>
      <t xml:space="preserve">10 </t>
    </r>
    <r>
      <rPr>
        <sz val="10"/>
        <color rgb="FF000000"/>
        <rFont val="Noto Sans CJK SC"/>
        <family val="2"/>
      </rPr>
      <t xml:space="preserve">萬級國產晶片用於推論』（</t>
    </r>
    <r>
      <rPr>
        <sz val="10"/>
        <color rgb="FF000000"/>
        <rFont val="Arial"/>
        <family val="0"/>
        <charset val="1"/>
      </rPr>
      <t xml:space="preserve">SRC_ZP_452</t>
    </r>
    <r>
      <rPr>
        <sz val="10"/>
        <color rgb="FF000000"/>
        <rFont val="Noto Sans CJK SC"/>
        <family val="2"/>
      </rPr>
      <t xml:space="preserve">，</t>
    </r>
    <r>
      <rPr>
        <sz val="10"/>
        <color rgb="FF000000"/>
        <rFont val="Arial"/>
        <family val="0"/>
        <charset val="1"/>
      </rPr>
      <t xml:space="preserve">Interested-party</t>
    </r>
    <r>
      <rPr>
        <sz val="10"/>
        <color rgb="FF000000"/>
        <rFont val="Noto Sans CJK SC"/>
        <family val="2"/>
      </rPr>
      <t xml:space="preserve">）；國產成為推論主力</t>
    </r>
  </si>
  <si>
    <t xml:space="preserve">INP_086</t>
  </si>
  <si>
    <t xml:space="preserve">share_dom_2027</t>
  </si>
  <si>
    <r>
      <rPr>
        <sz val="10"/>
        <color rgb="FF000000"/>
        <rFont val="Noto Sans CJK SC"/>
        <family val="2"/>
      </rPr>
      <t xml:space="preserve">無新 </t>
    </r>
    <r>
      <rPr>
        <sz val="10"/>
        <color rgb="FF000000"/>
        <rFont val="Arial"/>
        <family val="0"/>
        <charset val="1"/>
      </rPr>
      <t xml:space="preserve">NVIDIA </t>
    </r>
    <r>
      <rPr>
        <sz val="10"/>
        <color rgb="FF000000"/>
        <rFont val="Noto Sans CJK SC"/>
        <family val="2"/>
      </rPr>
      <t xml:space="preserve">採購（</t>
    </r>
    <r>
      <rPr>
        <sz val="10"/>
        <color rgb="FF000000"/>
        <rFont val="Arial"/>
        <family val="0"/>
        <charset val="1"/>
      </rPr>
      <t xml:space="preserve">D7 Decision</t>
    </r>
    <r>
      <rPr>
        <sz val="10"/>
        <color rgb="FF000000"/>
        <rFont val="Noto Sans CJK SC"/>
        <family val="2"/>
      </rPr>
      <t xml:space="preserve">），既有 </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H20 </t>
    </r>
    <r>
      <rPr>
        <sz val="10"/>
        <color rgb="FF000000"/>
        <rFont val="Noto Sans CJK SC"/>
        <family val="2"/>
      </rPr>
      <t xml:space="preserve">隨折舊與租約到期退出</t>
    </r>
  </si>
  <si>
    <r>
      <rPr>
        <sz val="10"/>
        <color rgb="FF000000"/>
        <rFont val="Arial"/>
        <family val="0"/>
        <charset val="1"/>
      </rPr>
      <t xml:space="preserve">0.5</t>
    </r>
    <r>
      <rPr>
        <sz val="10"/>
        <color rgb="FF000000"/>
        <rFont val="Noto Sans CJK SC"/>
        <family val="2"/>
      </rPr>
      <t xml:space="preserve">～</t>
    </r>
    <r>
      <rPr>
        <sz val="10"/>
        <color rgb="FF000000"/>
        <rFont val="Arial"/>
        <family val="0"/>
        <charset val="1"/>
      </rPr>
      <t xml:space="preserve">0.9</t>
    </r>
  </si>
  <si>
    <t xml:space="preserve">INP_087</t>
  </si>
  <si>
    <t xml:space="preserve">share_dom_2028</t>
  </si>
  <si>
    <r>
      <rPr>
        <sz val="10"/>
        <color rgb="FF000000"/>
        <rFont val="Arial"/>
        <family val="0"/>
        <charset val="1"/>
      </rPr>
      <t xml:space="preserve">0.6</t>
    </r>
    <r>
      <rPr>
        <sz val="10"/>
        <color rgb="FF000000"/>
        <rFont val="Noto Sans CJK SC"/>
        <family val="2"/>
      </rPr>
      <t xml:space="preserve">～</t>
    </r>
    <r>
      <rPr>
        <sz val="10"/>
        <color rgb="FF000000"/>
        <rFont val="Arial"/>
        <family val="0"/>
        <charset val="1"/>
      </rPr>
      <t xml:space="preserve">0.95</t>
    </r>
  </si>
  <si>
    <t xml:space="preserve">INP_088</t>
  </si>
  <si>
    <t xml:space="preserve">share_dom_2029</t>
  </si>
  <si>
    <t xml:space="preserve">INP_089</t>
  </si>
  <si>
    <t xml:space="preserve">share_dom_2030</t>
  </si>
  <si>
    <r>
      <rPr>
        <sz val="10"/>
        <color rgb="FF000000"/>
        <rFont val="Arial"/>
        <family val="0"/>
        <charset val="1"/>
      </rPr>
      <t xml:space="preserve">0.75</t>
    </r>
    <r>
      <rPr>
        <sz val="10"/>
        <color rgb="FF000000"/>
        <rFont val="Noto Sans CJK SC"/>
        <family val="2"/>
      </rPr>
      <t xml:space="preserve">～</t>
    </r>
    <r>
      <rPr>
        <sz val="10"/>
        <color rgb="FF000000"/>
        <rFont val="Arial"/>
        <family val="0"/>
        <charset val="1"/>
      </rPr>
      <t xml:space="preserve">1.0</t>
    </r>
  </si>
  <si>
    <t xml:space="preserve">INP_090</t>
  </si>
  <si>
    <t xml:space="preserve">share_h20_2025</t>
  </si>
  <si>
    <r>
      <rPr>
        <sz val="10"/>
        <color rgb="FF000000"/>
        <rFont val="Arial"/>
        <family val="0"/>
        <charset val="1"/>
      </rPr>
      <t xml:space="preserve">H20 </t>
    </r>
    <r>
      <rPr>
        <sz val="10"/>
        <color rgb="FF000000"/>
        <rFont val="Noto Sans CJK SC"/>
        <family val="2"/>
      </rPr>
      <t xml:space="preserve">占算力 </t>
    </r>
    <r>
      <rPr>
        <sz val="10"/>
        <color rgb="FF000000"/>
        <rFont val="Arial"/>
        <family val="0"/>
        <charset val="1"/>
      </rPr>
      <t xml:space="preserve">GW </t>
    </r>
    <r>
      <rPr>
        <sz val="10"/>
        <color rgb="FF000000"/>
        <rFont val="Noto Sans CJK SC"/>
        <family val="2"/>
      </rPr>
      <t xml:space="preserve">比例</t>
    </r>
  </si>
  <si>
    <r>
      <rPr>
        <sz val="10"/>
        <color rgb="FF000000"/>
        <rFont val="Arial"/>
        <family val="0"/>
        <charset val="1"/>
      </rPr>
      <t xml:space="preserve">H20 </t>
    </r>
    <r>
      <rPr>
        <sz val="10"/>
        <color rgb="FF000000"/>
        <rFont val="Noto Sans CJK SC"/>
        <family val="2"/>
      </rPr>
      <t xml:space="preserve">為 </t>
    </r>
    <r>
      <rPr>
        <sz val="10"/>
        <color rgb="FF000000"/>
        <rFont val="Arial"/>
        <family val="0"/>
        <charset val="1"/>
      </rPr>
      <t xml:space="preserve">2024–2025 </t>
    </r>
    <r>
      <rPr>
        <sz val="10"/>
        <color rgb="FF000000"/>
        <rFont val="Noto Sans CJK SC"/>
        <family val="2"/>
      </rPr>
      <t xml:space="preserve">中國可合法採購的 </t>
    </r>
    <r>
      <rPr>
        <sz val="10"/>
        <color rgb="FF000000"/>
        <rFont val="Arial"/>
        <family val="0"/>
        <charset val="1"/>
      </rPr>
      <t xml:space="preserve">NVIDIA </t>
    </r>
    <r>
      <rPr>
        <sz val="10"/>
        <color rgb="FF000000"/>
        <rFont val="Noto Sans CJK SC"/>
        <family val="2"/>
      </rPr>
      <t xml:space="preserve">推論卡；租價最活躍（</t>
    </r>
    <r>
      <rPr>
        <sz val="10"/>
        <color rgb="FF000000"/>
        <rFont val="Arial"/>
        <family val="0"/>
        <charset val="1"/>
      </rPr>
      <t xml:space="preserve">SRC_ZP_462–464</t>
    </r>
    <r>
      <rPr>
        <sz val="10"/>
        <color rgb="FF000000"/>
        <rFont val="Noto Sans CJK SC"/>
        <family val="2"/>
      </rPr>
      <t xml:space="preserve">）；</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t>
    </r>
    <r>
      <rPr>
        <sz val="10"/>
        <color rgb="FF000000"/>
        <rFont val="Noto Sans CJK SC"/>
        <family val="2"/>
      </rPr>
      <t xml:space="preserve">）＝</t>
    </r>
    <r>
      <rPr>
        <sz val="10"/>
        <color rgb="FF000000"/>
        <rFont val="Arial"/>
        <family val="0"/>
        <charset val="1"/>
      </rPr>
      <t xml:space="preserve">1 − </t>
    </r>
    <r>
      <rPr>
        <sz val="10"/>
        <color rgb="FF000000"/>
        <rFont val="Noto Sans CJK SC"/>
        <family val="2"/>
      </rPr>
      <t xml:space="preserve">國產 − </t>
    </r>
    <r>
      <rPr>
        <sz val="10"/>
        <color rgb="FF000000"/>
        <rFont val="Arial"/>
        <family val="0"/>
        <charset val="1"/>
      </rPr>
      <t xml:space="preserve">H20</t>
    </r>
  </si>
  <si>
    <t xml:space="preserve">INP_091</t>
  </si>
  <si>
    <t xml:space="preserve">share_h20_2026</t>
  </si>
  <si>
    <r>
      <rPr>
        <sz val="10"/>
        <color rgb="FF000000"/>
        <rFont val="Noto Sans CJK SC"/>
        <family val="2"/>
      </rPr>
      <t xml:space="preserve">無新 </t>
    </r>
    <r>
      <rPr>
        <sz val="10"/>
        <color rgb="FF000000"/>
        <rFont val="Arial"/>
        <family val="0"/>
        <charset val="1"/>
      </rPr>
      <t xml:space="preserve">NVIDIA </t>
    </r>
    <r>
      <rPr>
        <sz val="10"/>
        <color rgb="FF000000"/>
        <rFont val="Noto Sans CJK SC"/>
        <family val="2"/>
      </rPr>
      <t xml:space="preserve">採購（</t>
    </r>
    <r>
      <rPr>
        <sz val="10"/>
        <color rgb="FF000000"/>
        <rFont val="Arial"/>
        <family val="0"/>
        <charset val="1"/>
      </rPr>
      <t xml:space="preserve">D7</t>
    </r>
    <r>
      <rPr>
        <sz val="10"/>
        <color rgb="FF000000"/>
        <rFont val="Noto Sans CJK SC"/>
        <family val="2"/>
      </rPr>
      <t xml:space="preserve">）；既有租用延續</t>
    </r>
  </si>
  <si>
    <t xml:space="preserve">INP_092</t>
  </si>
  <si>
    <t xml:space="preserve">share_h20_2027</t>
  </si>
  <si>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0.2</t>
    </r>
  </si>
  <si>
    <t xml:space="preserve">INP_093</t>
  </si>
  <si>
    <t xml:space="preserve">share_h20_2028</t>
  </si>
  <si>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0.15</t>
    </r>
  </si>
  <si>
    <t xml:space="preserve">INP_094</t>
  </si>
  <si>
    <t xml:space="preserve">share_h20_2029</t>
  </si>
  <si>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0.1</t>
    </r>
  </si>
  <si>
    <t xml:space="preserve">INP_095</t>
  </si>
  <si>
    <t xml:space="preserve">share_h20_2030</t>
  </si>
  <si>
    <t xml:space="preserve">INP_096</t>
  </si>
  <si>
    <t xml:space="preserve">kw_hopper</t>
  </si>
  <si>
    <r>
      <rPr>
        <sz val="10"/>
        <color rgb="FF000000"/>
        <rFont val="Noto Sans CJK SC"/>
        <family val="2"/>
      </rPr>
      <t xml:space="preserve">每卡 </t>
    </r>
    <r>
      <rPr>
        <sz val="10"/>
        <color rgb="FF000000"/>
        <rFont val="Arial"/>
        <family val="0"/>
        <charset val="1"/>
      </rPr>
      <t xml:space="preserve">IT </t>
    </r>
    <r>
      <rPr>
        <sz val="10"/>
        <color rgb="FF000000"/>
        <rFont val="Noto Sans CJK SC"/>
        <family val="2"/>
      </rPr>
      <t xml:space="preserve">功耗（含主機、網路）：</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H100</t>
    </r>
    <r>
      <rPr>
        <sz val="10"/>
        <color rgb="FF000000"/>
        <rFont val="Noto Sans CJK SC"/>
        <family val="2"/>
      </rPr>
      <t xml:space="preserve">）</t>
    </r>
  </si>
  <si>
    <r>
      <rPr>
        <sz val="10"/>
        <color rgb="FF000000"/>
        <rFont val="Arial"/>
        <family val="0"/>
        <charset val="1"/>
      </rPr>
      <t xml:space="preserve">kW</t>
    </r>
    <r>
      <rPr>
        <sz val="10"/>
        <color rgb="FF000000"/>
        <rFont val="Noto Sans CJK SC"/>
        <family val="2"/>
      </rPr>
      <t xml:space="preserve">／卡</t>
    </r>
  </si>
  <si>
    <r>
      <rPr>
        <sz val="10"/>
        <color rgb="FF000000"/>
        <rFont val="Arial"/>
        <family val="0"/>
        <charset val="1"/>
      </rPr>
      <t xml:space="preserve">Tokenomics v5.26 DC_Cost</t>
    </r>
    <r>
      <rPr>
        <sz val="10"/>
        <color rgb="FF000000"/>
        <rFont val="Noto Sans CJK SC"/>
        <family val="2"/>
      </rPr>
      <t xml:space="preserve">『</t>
    </r>
    <r>
      <rPr>
        <sz val="10"/>
        <color rgb="FF000000"/>
        <rFont val="Arial"/>
        <family val="0"/>
        <charset val="1"/>
      </rPr>
      <t xml:space="preserve">GPU </t>
    </r>
    <r>
      <rPr>
        <sz val="10"/>
        <color rgb="FF000000"/>
        <rFont val="Noto Sans CJK SC"/>
        <family val="2"/>
      </rPr>
      <t xml:space="preserve">數（設施）』</t>
    </r>
    <r>
      <rPr>
        <sz val="10"/>
        <color rgb="FF000000"/>
        <rFont val="Arial"/>
        <family val="0"/>
        <charset val="1"/>
      </rPr>
      <t xml:space="preserve">Hopper H100 </t>
    </r>
    <r>
      <rPr>
        <sz val="10"/>
        <color rgb="FF000000"/>
        <rFont val="Noto Sans CJK SC"/>
        <family val="2"/>
      </rPr>
      <t xml:space="preserve">每 </t>
    </r>
    <r>
      <rPr>
        <sz val="10"/>
        <color rgb="FF000000"/>
        <rFont val="Arial"/>
        <family val="0"/>
        <charset val="1"/>
      </rPr>
      <t xml:space="preserve">GW 718</t>
    </r>
  </si>
  <si>
    <r>
      <rPr>
        <sz val="10"/>
        <color rgb="FF000000"/>
        <rFont val="Arial"/>
        <family val="0"/>
        <charset val="1"/>
      </rPr>
      <t xml:space="preserve">1.2</t>
    </r>
    <r>
      <rPr>
        <sz val="10"/>
        <color rgb="FF000000"/>
        <rFont val="Noto Sans CJK SC"/>
        <family val="2"/>
      </rPr>
      <t xml:space="preserve">（只計伺服器）～</t>
    </r>
    <r>
      <rPr>
        <sz val="10"/>
        <color rgb="FF000000"/>
        <rFont val="Arial"/>
        <family val="0"/>
        <charset val="1"/>
      </rPr>
      <t xml:space="preserve">1.6</t>
    </r>
    <r>
      <rPr>
        <sz val="10"/>
        <color rgb="FF000000"/>
        <rFont val="Noto Sans CJK SC"/>
        <family val="2"/>
      </rPr>
      <t xml:space="preserve">（含較高網路與儲存負載）</t>
    </r>
  </si>
  <si>
    <t xml:space="preserve">INP_097</t>
  </si>
  <si>
    <t xml:space="preserve">kw_h20</t>
  </si>
  <si>
    <r>
      <rPr>
        <sz val="10"/>
        <color rgb="FF000000"/>
        <rFont val="Noto Sans CJK SC"/>
        <family val="2"/>
      </rPr>
      <t xml:space="preserve">每卡 </t>
    </r>
    <r>
      <rPr>
        <sz val="10"/>
        <color rgb="FF000000"/>
        <rFont val="Arial"/>
        <family val="0"/>
        <charset val="1"/>
      </rPr>
      <t xml:space="preserve">IT </t>
    </r>
    <r>
      <rPr>
        <sz val="10"/>
        <color rgb="FF000000"/>
        <rFont val="Noto Sans CJK SC"/>
        <family val="2"/>
      </rPr>
      <t xml:space="preserve">功耗（含主機、網路）：</t>
    </r>
    <r>
      <rPr>
        <sz val="10"/>
        <color rgb="FF000000"/>
        <rFont val="Arial"/>
        <family val="0"/>
        <charset val="1"/>
      </rPr>
      <t xml:space="preserve">H20</t>
    </r>
  </si>
  <si>
    <r>
      <rPr>
        <sz val="10"/>
        <color rgb="FF000000"/>
        <rFont val="Arial"/>
        <family val="0"/>
        <charset val="1"/>
      </rPr>
      <t xml:space="preserve">Hopper </t>
    </r>
    <r>
      <rPr>
        <sz val="10"/>
        <color rgb="FF000000"/>
        <rFont val="Noto Sans CJK SC"/>
        <family val="2"/>
      </rPr>
      <t xml:space="preserve">每卡 </t>
    </r>
    <r>
      <rPr>
        <sz val="10"/>
        <color rgb="FF000000"/>
        <rFont val="Arial"/>
        <family val="0"/>
        <charset val="1"/>
      </rPr>
      <t xml:space="preserve">1.393 kW − H100 </t>
    </r>
    <r>
      <rPr>
        <sz val="10"/>
        <color rgb="FF000000"/>
        <rFont val="Noto Sans CJK SC"/>
        <family val="2"/>
      </rPr>
      <t xml:space="preserve">晶片 </t>
    </r>
    <r>
      <rPr>
        <sz val="10"/>
        <color rgb="FF000000"/>
        <rFont val="Arial"/>
        <family val="0"/>
        <charset val="1"/>
      </rPr>
      <t xml:space="preserve">0.7 kW</t>
    </r>
    <r>
      <rPr>
        <sz val="10"/>
        <color rgb="FF000000"/>
        <rFont val="Noto Sans CJK SC"/>
        <family val="2"/>
      </rPr>
      <t xml:space="preserve">（</t>
    </r>
    <r>
      <rPr>
        <sz val="10"/>
        <color rgb="FF000000"/>
        <rFont val="Arial"/>
        <family val="0"/>
        <charset val="1"/>
      </rPr>
      <t xml:space="preserve">TK Spec_Rack</t>
    </r>
    <r>
      <rPr>
        <sz val="10"/>
        <color rgb="FF000000"/>
        <rFont val="Noto Sans CJK SC"/>
        <family val="2"/>
      </rPr>
      <t xml:space="preserve">『</t>
    </r>
    <r>
      <rPr>
        <sz val="10"/>
        <color rgb="FF000000"/>
        <rFont val="Arial"/>
        <family val="0"/>
        <charset val="1"/>
      </rPr>
      <t xml:space="preserve">GPU </t>
    </r>
    <r>
      <rPr>
        <sz val="10"/>
        <color rgb="FF000000"/>
        <rFont val="Noto Sans CJK SC"/>
        <family val="2"/>
      </rPr>
      <t xml:space="preserve">功率 </t>
    </r>
    <r>
      <rPr>
        <sz val="10"/>
        <color rgb="FF000000"/>
        <rFont val="Arial"/>
        <family val="0"/>
        <charset val="1"/>
      </rPr>
      <t xml:space="preserve">W/</t>
    </r>
    <r>
      <rPr>
        <sz val="10"/>
        <color rgb="FF000000"/>
        <rFont val="Noto Sans CJK SC"/>
        <family val="2"/>
      </rPr>
      <t xml:space="preserve">封裝』</t>
    </r>
    <r>
      <rPr>
        <sz val="10"/>
        <color rgb="FF000000"/>
        <rFont val="Arial"/>
        <family val="0"/>
        <charset val="1"/>
      </rPr>
      <t xml:space="preserve">700</t>
    </r>
    <r>
      <rPr>
        <sz val="10"/>
        <color rgb="FF000000"/>
        <rFont val="Noto Sans CJK SC"/>
        <family val="2"/>
      </rPr>
      <t xml:space="preserve">）＋ </t>
    </r>
    <r>
      <rPr>
        <sz val="10"/>
        <color rgb="FF000000"/>
        <rFont val="Arial"/>
        <family val="0"/>
        <charset val="1"/>
      </rPr>
      <t xml:space="preserve">H20 </t>
    </r>
    <r>
      <rPr>
        <sz val="10"/>
        <color rgb="FF000000"/>
        <rFont val="Noto Sans CJK SC"/>
        <family val="2"/>
      </rPr>
      <t xml:space="preserve">晶片約 </t>
    </r>
    <r>
      <rPr>
        <sz val="10"/>
        <color rgb="FF000000"/>
        <rFont val="Arial"/>
        <family val="0"/>
        <charset val="1"/>
      </rPr>
      <t xml:space="preserve">0.4 kW</t>
    </r>
    <r>
      <rPr>
        <sz val="10"/>
        <color rgb="FF000000"/>
        <rFont val="Noto Sans CJK SC"/>
        <family val="2"/>
      </rPr>
      <t xml:space="preserve">（</t>
    </r>
    <r>
      <rPr>
        <sz val="10"/>
        <color rgb="FF000000"/>
        <rFont val="Arial"/>
        <family val="0"/>
        <charset val="1"/>
      </rPr>
      <t xml:space="preserve">NVIDIA H20 </t>
    </r>
    <r>
      <rPr>
        <sz val="10"/>
        <color rgb="FF000000"/>
        <rFont val="Noto Sans CJK SC"/>
        <family val="2"/>
      </rPr>
      <t xml:space="preserve">規格 </t>
    </r>
    <r>
      <rPr>
        <sz val="10"/>
        <color rgb="FF000000"/>
        <rFont val="Arial"/>
        <family val="0"/>
        <charset val="1"/>
      </rPr>
      <t xml:space="preserve">TDP 400 W</t>
    </r>
    <r>
      <rPr>
        <sz val="10"/>
        <color rgb="FF000000"/>
        <rFont val="Noto Sans CJK SC"/>
        <family val="2"/>
      </rPr>
      <t xml:space="preserve">；模型內建知識，待核）</t>
    </r>
  </si>
  <si>
    <r>
      <rPr>
        <sz val="10"/>
        <color rgb="FF000000"/>
        <rFont val="Arial"/>
        <family val="0"/>
        <charset val="1"/>
      </rPr>
      <t xml:space="preserve">0.9</t>
    </r>
    <r>
      <rPr>
        <sz val="10"/>
        <color rgb="FF000000"/>
        <rFont val="Noto Sans CJK SC"/>
        <family val="2"/>
      </rPr>
      <t xml:space="preserve">～</t>
    </r>
    <r>
      <rPr>
        <sz val="10"/>
        <color rgb="FF000000"/>
        <rFont val="Arial"/>
        <family val="0"/>
        <charset val="1"/>
      </rPr>
      <t xml:space="preserve">1.393</t>
    </r>
    <r>
      <rPr>
        <sz val="10"/>
        <color rgb="FF000000"/>
        <rFont val="Noto Sans CJK SC"/>
        <family val="2"/>
      </rPr>
      <t xml:space="preserve">（與 </t>
    </r>
    <r>
      <rPr>
        <sz val="10"/>
        <color rgb="FF000000"/>
        <rFont val="Arial"/>
        <family val="0"/>
        <charset val="1"/>
      </rPr>
      <t xml:space="preserve">Hopper </t>
    </r>
    <r>
      <rPr>
        <sz val="10"/>
        <color rgb="FF000000"/>
        <rFont val="Noto Sans CJK SC"/>
        <family val="2"/>
      </rPr>
      <t xml:space="preserve">同）</t>
    </r>
  </si>
  <si>
    <t xml:space="preserve">INP_098</t>
  </si>
  <si>
    <t xml:space="preserve">kw_dom</t>
  </si>
  <si>
    <r>
      <rPr>
        <sz val="10"/>
        <color rgb="FF000000"/>
        <rFont val="Noto Sans CJK SC"/>
        <family val="2"/>
      </rPr>
      <t xml:space="preserve">每卡 </t>
    </r>
    <r>
      <rPr>
        <sz val="10"/>
        <color rgb="FF000000"/>
        <rFont val="Arial"/>
        <family val="0"/>
        <charset val="1"/>
      </rPr>
      <t xml:space="preserve">IT </t>
    </r>
    <r>
      <rPr>
        <sz val="10"/>
        <color rgb="FF000000"/>
        <rFont val="Noto Sans CJK SC"/>
        <family val="2"/>
      </rPr>
      <t xml:space="preserve">功耗（含主機、網路）：國產（昇騰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t>
    </r>
    <r>
      <rPr>
        <sz val="10"/>
        <color rgb="FF000000"/>
        <rFont val="Noto Sans CJK SC"/>
        <family val="2"/>
      </rPr>
      <t xml:space="preserve">）</t>
    </r>
  </si>
  <si>
    <r>
      <rPr>
        <sz val="10"/>
        <color rgb="FF000000"/>
        <rFont val="Noto Sans CJK SC"/>
        <family val="2"/>
      </rPr>
      <t xml:space="preserve">工作單：</t>
    </r>
    <r>
      <rPr>
        <sz val="10"/>
        <color rgb="FF000000"/>
        <rFont val="Arial"/>
        <family val="0"/>
        <charset val="1"/>
      </rPr>
      <t xml:space="preserve">Hopper </t>
    </r>
    <r>
      <rPr>
        <sz val="10"/>
        <color rgb="FF000000"/>
        <rFont val="Noto Sans CJK SC"/>
        <family val="2"/>
      </rPr>
      <t xml:space="preserve">依 </t>
    </r>
    <r>
      <rPr>
        <sz val="10"/>
        <color rgb="FF000000"/>
        <rFont val="Arial"/>
        <family val="0"/>
        <charset val="1"/>
      </rPr>
      <t xml:space="preserve">TK </t>
    </r>
    <r>
      <rPr>
        <sz val="10"/>
        <color rgb="FF000000"/>
        <rFont val="Noto Sans CJK SC"/>
        <family val="2"/>
      </rPr>
      <t xml:space="preserve">機架規格換算——</t>
    </r>
    <r>
      <rPr>
        <sz val="10"/>
        <color rgb="FF000000"/>
        <rFont val="Arial"/>
        <family val="0"/>
        <charset val="1"/>
      </rPr>
      <t xml:space="preserve">Hopper </t>
    </r>
    <r>
      <rPr>
        <sz val="10"/>
        <color rgb="FF000000"/>
        <rFont val="Noto Sans CJK SC"/>
        <family val="2"/>
      </rPr>
      <t xml:space="preserve">每卡 </t>
    </r>
    <r>
      <rPr>
        <sz val="10"/>
        <color rgb="FF000000"/>
        <rFont val="Arial"/>
        <family val="0"/>
        <charset val="1"/>
      </rPr>
      <t xml:space="preserve">1.393 kW − H100 </t>
    </r>
    <r>
      <rPr>
        <sz val="10"/>
        <color rgb="FF000000"/>
        <rFont val="Noto Sans CJK SC"/>
        <family val="2"/>
      </rPr>
      <t xml:space="preserve">晶片 </t>
    </r>
    <r>
      <rPr>
        <sz val="10"/>
        <color rgb="FF000000"/>
        <rFont val="Arial"/>
        <family val="0"/>
        <charset val="1"/>
      </rPr>
      <t xml:space="preserve">0.7 kW </t>
    </r>
    <r>
      <rPr>
        <sz val="10"/>
        <color rgb="FF000000"/>
        <rFont val="Noto Sans CJK SC"/>
        <family val="2"/>
      </rPr>
      <t xml:space="preserve">＋ </t>
    </r>
    <r>
      <rPr>
        <sz val="10"/>
        <color rgb="FF000000"/>
        <rFont val="Arial"/>
        <family val="0"/>
        <charset val="1"/>
      </rPr>
      <t xml:space="preserve">910C </t>
    </r>
    <r>
      <rPr>
        <sz val="10"/>
        <color rgb="FF000000"/>
        <rFont val="Noto Sans CJK SC"/>
        <family val="2"/>
      </rPr>
      <t xml:space="preserve">晶片 </t>
    </r>
    <r>
      <rPr>
        <sz val="10"/>
        <color rgb="FF000000"/>
        <rFont val="Arial"/>
        <family val="0"/>
        <charset val="1"/>
      </rPr>
      <t xml:space="preserve">0.31–0.35 kW</t>
    </r>
    <r>
      <rPr>
        <sz val="10"/>
        <color rgb="FF000000"/>
        <rFont val="Noto Sans CJK SC"/>
        <family val="2"/>
      </rPr>
      <t xml:space="preserve">（</t>
    </r>
    <r>
      <rPr>
        <sz val="10"/>
        <color rgb="FF000000"/>
        <rFont val="Arial"/>
        <family val="0"/>
        <charset val="1"/>
      </rPr>
      <t xml:space="preserve">SRC_ZP_481</t>
    </r>
    <r>
      <rPr>
        <sz val="10"/>
        <color rgb="FF000000"/>
        <rFont val="Noto Sans CJK SC"/>
        <family val="2"/>
      </rPr>
      <t xml:space="preserve">）≈ </t>
    </r>
    <r>
      <rPr>
        <sz val="10"/>
        <color rgb="FF000000"/>
        <rFont val="Arial"/>
        <family val="0"/>
        <charset val="1"/>
      </rPr>
      <t xml:space="preserve">1.0 kW</t>
    </r>
    <r>
      <rPr>
        <sz val="10"/>
        <color rgb="FF000000"/>
        <rFont val="Noto Sans CJK SC"/>
        <family val="2"/>
      </rPr>
      <t xml:space="preserve">；</t>
    </r>
    <r>
      <rPr>
        <sz val="10"/>
        <color rgb="FF000000"/>
        <rFont val="Arial"/>
        <family val="0"/>
        <charset val="1"/>
      </rPr>
      <t xml:space="preserve">CloudMatrix 384 </t>
    </r>
    <r>
      <rPr>
        <sz val="10"/>
        <color rgb="FF000000"/>
        <rFont val="Noto Sans CJK SC"/>
        <family val="2"/>
      </rPr>
      <t xml:space="preserve">系統功耗（</t>
    </r>
    <r>
      <rPr>
        <sz val="10"/>
        <color rgb="FF000000"/>
        <rFont val="Arial"/>
        <family val="0"/>
        <charset val="1"/>
      </rPr>
      <t xml:space="preserve">SRC_ZP_483</t>
    </r>
    <r>
      <rPr>
        <sz val="10"/>
        <color rgb="FF000000"/>
        <rFont val="Noto Sans CJK SC"/>
        <family val="2"/>
      </rPr>
      <t xml:space="preserve">，約 </t>
    </r>
    <r>
      <rPr>
        <sz val="10"/>
        <color rgb="FF000000"/>
        <rFont val="Arial"/>
        <family val="0"/>
        <charset val="1"/>
      </rPr>
      <t xml:space="preserve">1.46 kW</t>
    </r>
    <r>
      <rPr>
        <sz val="10"/>
        <color rgb="FF000000"/>
        <rFont val="Noto Sans CJK SC"/>
        <family val="2"/>
      </rPr>
      <t xml:space="preserve">／</t>
    </r>
    <r>
      <rPr>
        <sz val="10"/>
        <color rgb="FF000000"/>
        <rFont val="Arial"/>
        <family val="0"/>
        <charset val="1"/>
      </rPr>
      <t xml:space="preserve">NPU</t>
    </r>
    <r>
      <rPr>
        <sz val="10"/>
        <color rgb="FF000000"/>
        <rFont val="Noto Sans CJK SC"/>
        <family val="2"/>
      </rPr>
      <t xml:space="preserve">）只有 </t>
    </r>
    <r>
      <rPr>
        <sz val="10"/>
        <color rgb="FF000000"/>
        <rFont val="Arial"/>
        <family val="0"/>
        <charset val="1"/>
      </rPr>
      <t xml:space="preserve">SemiAnalysis </t>
    </r>
    <r>
      <rPr>
        <sz val="10"/>
        <color rgb="FF000000"/>
        <rFont val="Noto Sans CJK SC"/>
        <family val="2"/>
      </rPr>
      <t xml:space="preserve">單一來源，不入模型</t>
    </r>
  </si>
  <si>
    <r>
      <rPr>
        <sz val="10"/>
        <color rgb="FF000000"/>
        <rFont val="Arial"/>
        <family val="0"/>
        <charset val="1"/>
      </rPr>
      <t xml:space="preserve">0.65</t>
    </r>
    <r>
      <rPr>
        <sz val="10"/>
        <color rgb="FF000000"/>
        <rFont val="Noto Sans CJK SC"/>
        <family val="2"/>
      </rPr>
      <t xml:space="preserve">（</t>
    </r>
    <r>
      <rPr>
        <sz val="10"/>
        <color rgb="FF000000"/>
        <rFont val="Arial"/>
        <family val="0"/>
        <charset val="1"/>
      </rPr>
      <t xml:space="preserve">Hopper </t>
    </r>
    <r>
      <rPr>
        <sz val="10"/>
        <color rgb="FF000000"/>
        <rFont val="Noto Sans CJK SC"/>
        <family val="2"/>
      </rPr>
      <t xml:space="preserve">每卡 </t>
    </r>
    <r>
      <rPr>
        <sz val="10"/>
        <color rgb="FF000000"/>
        <rFont val="Arial"/>
        <family val="0"/>
        <charset val="1"/>
      </rPr>
      <t xml:space="preserve">× </t>
    </r>
    <r>
      <rPr>
        <sz val="10"/>
        <color rgb="FF000000"/>
        <rFont val="Noto Sans CJK SC"/>
        <family val="2"/>
      </rPr>
      <t xml:space="preserve">晶片功耗比 </t>
    </r>
    <r>
      <rPr>
        <sz val="10"/>
        <color rgb="FF000000"/>
        <rFont val="Arial"/>
        <family val="0"/>
        <charset val="1"/>
      </rPr>
      <t xml:space="preserve">0.33</t>
    </r>
    <r>
      <rPr>
        <sz val="10"/>
        <color rgb="FF000000"/>
        <rFont val="Noto Sans CJK SC"/>
        <family val="2"/>
      </rPr>
      <t xml:space="preserve">／</t>
    </r>
    <r>
      <rPr>
        <sz val="10"/>
        <color rgb="FF000000"/>
        <rFont val="Arial"/>
        <family val="0"/>
        <charset val="1"/>
      </rPr>
      <t xml:space="preserve">0.7</t>
    </r>
    <r>
      <rPr>
        <sz val="10"/>
        <color rgb="FF000000"/>
        <rFont val="Noto Sans CJK SC"/>
        <family val="2"/>
      </rPr>
      <t xml:space="preserve">）～</t>
    </r>
    <r>
      <rPr>
        <sz val="10"/>
        <color rgb="FF000000"/>
        <rFont val="Arial"/>
        <family val="0"/>
        <charset val="1"/>
      </rPr>
      <t xml:space="preserve">1.4</t>
    </r>
    <r>
      <rPr>
        <sz val="10"/>
        <color rgb="FF000000"/>
        <rFont val="Noto Sans CJK SC"/>
        <family val="2"/>
      </rPr>
      <t xml:space="preserve">（與 </t>
    </r>
    <r>
      <rPr>
        <sz val="10"/>
        <color rgb="FF000000"/>
        <rFont val="Arial"/>
        <family val="0"/>
        <charset val="1"/>
      </rPr>
      <t xml:space="preserve">Hopper </t>
    </r>
    <r>
      <rPr>
        <sz val="10"/>
        <color rgb="FF000000"/>
        <rFont val="Noto Sans CJK SC"/>
        <family val="2"/>
      </rPr>
      <t xml:space="preserve">每卡同）</t>
    </r>
  </si>
  <si>
    <t xml:space="preserve">INP_099</t>
  </si>
  <si>
    <t xml:space="preserve">dom_card_mult</t>
  </si>
  <si>
    <r>
      <rPr>
        <sz val="10"/>
        <color rgb="FF000000"/>
        <rFont val="Noto Sans CJK SC"/>
        <family val="2"/>
      </rPr>
      <t xml:space="preserve">國產卡時租價倍數（</t>
    </r>
    <r>
      <rPr>
        <sz val="10"/>
        <color rgb="FF000000"/>
        <rFont val="Arial"/>
        <family val="0"/>
        <charset val="1"/>
      </rPr>
      <t xml:space="preserve">910B </t>
    </r>
    <r>
      <rPr>
        <sz val="10"/>
        <color rgb="FF000000"/>
        <rFont val="Noto Sans CJK SC"/>
        <family val="2"/>
      </rPr>
      <t xml:space="preserve">租價 → 推論集群實際卡別）</t>
    </r>
  </si>
  <si>
    <r>
      <rPr>
        <sz val="10"/>
        <color rgb="FF000000"/>
        <rFont val="Noto Sans CJK SC"/>
        <family val="2"/>
      </rPr>
      <t xml:space="preserve">規格 </t>
    </r>
    <r>
      <rPr>
        <sz val="10"/>
        <color rgb="FF000000"/>
        <rFont val="Arial"/>
        <family val="0"/>
        <charset val="1"/>
      </rPr>
      <t xml:space="preserve">D9r</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租價找不到 → 以 </t>
    </r>
    <r>
      <rPr>
        <sz val="10"/>
        <color rgb="FF000000"/>
        <rFont val="Arial"/>
        <family val="0"/>
        <charset val="1"/>
      </rPr>
      <t xml:space="preserve">910B </t>
    </r>
    <r>
      <rPr>
        <sz val="10"/>
        <color rgb="FF000000"/>
        <rFont val="Noto Sans CJK SC"/>
        <family val="2"/>
      </rPr>
      <t xml:space="preserve">租價 </t>
    </r>
    <r>
      <rPr>
        <sz val="10"/>
        <color rgb="FF000000"/>
        <rFont val="Arial"/>
        <family val="0"/>
        <charset val="1"/>
      </rPr>
      <t xml:space="preserve">× </t>
    </r>
    <r>
      <rPr>
        <sz val="10"/>
        <color rgb="FF000000"/>
        <rFont val="Noto Sans CJK SC"/>
        <family val="2"/>
      </rPr>
      <t xml:space="preserve">效能比；</t>
    </r>
    <r>
      <rPr>
        <sz val="10"/>
        <color rgb="FF000000"/>
        <rFont val="Arial"/>
        <family val="0"/>
        <charset val="1"/>
      </rPr>
      <t xml:space="preserve">910C </t>
    </r>
    <r>
      <rPr>
        <sz val="10"/>
        <color rgb="FF000000"/>
        <rFont val="Noto Sans CJK SC"/>
        <family val="2"/>
      </rPr>
      <t xml:space="preserve">為雙晶粒封裝，約當兩顆 </t>
    </r>
    <r>
      <rPr>
        <sz val="10"/>
        <color rgb="FF000000"/>
        <rFont val="Arial"/>
        <family val="0"/>
        <charset val="1"/>
      </rPr>
      <t xml:space="preserve">910B</t>
    </r>
    <r>
      <rPr>
        <sz val="10"/>
        <color rgb="FF000000"/>
        <rFont val="Noto Sans CJK SC"/>
        <family val="2"/>
      </rPr>
      <t xml:space="preserve">（倍數 </t>
    </r>
    <r>
      <rPr>
        <sz val="10"/>
        <color rgb="FF000000"/>
        <rFont val="Arial"/>
        <family val="0"/>
        <charset val="1"/>
      </rPr>
      <t xml:space="preserve">2</t>
    </r>
    <r>
      <rPr>
        <sz val="10"/>
        <color rgb="FF000000"/>
        <rFont val="Noto Sans CJK SC"/>
        <family val="2"/>
      </rPr>
      <t xml:space="preserve">）；</t>
    </r>
    <r>
      <rPr>
        <sz val="10"/>
        <color rgb="FF000000"/>
        <rFont val="Arial"/>
        <family val="0"/>
        <charset val="1"/>
      </rPr>
      <t xml:space="preserve">10 </t>
    </r>
    <r>
      <rPr>
        <sz val="10"/>
        <color rgb="FF000000"/>
        <rFont val="Noto Sans CJK SC"/>
        <family val="2"/>
      </rPr>
      <t xml:space="preserve">萬級集群的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組合未揭露，取中點</t>
    </r>
  </si>
  <si>
    <r>
      <rPr>
        <sz val="10"/>
        <color rgb="FF000000"/>
        <rFont val="Arial"/>
        <family val="0"/>
        <charset val="1"/>
      </rPr>
      <t xml:space="preserve">1.0</t>
    </r>
    <r>
      <rPr>
        <sz val="10"/>
        <color rgb="FF000000"/>
        <rFont val="Noto Sans CJK SC"/>
        <family val="2"/>
      </rPr>
      <t xml:space="preserve">（全為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2.0</t>
    </r>
    <r>
      <rPr>
        <sz val="10"/>
        <color rgb="FF000000"/>
        <rFont val="Noto Sans CJK SC"/>
        <family val="2"/>
      </rPr>
      <t xml:space="preserve">（全為 </t>
    </r>
    <r>
      <rPr>
        <sz val="10"/>
        <color rgb="FF000000"/>
        <rFont val="Arial"/>
        <family val="0"/>
        <charset val="1"/>
      </rPr>
      <t xml:space="preserve">910C</t>
    </r>
    <r>
      <rPr>
        <sz val="10"/>
        <color rgb="FF000000"/>
        <rFont val="Noto Sans CJK SC"/>
        <family val="2"/>
      </rPr>
      <t xml:space="preserve">）</t>
    </r>
  </si>
  <si>
    <t xml:space="preserve">INP_100</t>
  </si>
  <si>
    <t xml:space="preserve">px_gw_chg</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</si>
  <si>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算力價格年變動率（</t>
    </r>
    <r>
      <rPr>
        <sz val="10"/>
        <color rgb="FF000000"/>
        <rFont val="Arial"/>
        <family val="0"/>
        <charset val="1"/>
      </rPr>
      <t xml:space="preserve">2H26 </t>
    </r>
    <r>
      <rPr>
        <sz val="10"/>
        <color rgb="FF000000"/>
        <rFont val="Noto Sans CJK SC"/>
        <family val="2"/>
      </rPr>
      <t xml:space="preserve">起）</t>
    </r>
  </si>
  <si>
    <r>
      <rPr>
        <sz val="10"/>
        <color rgb="FF000000"/>
        <rFont val="Noto Sans CJK SC"/>
        <family val="2"/>
      </rPr>
      <t xml:space="preserve">工作單 </t>
    </r>
    <r>
      <rPr>
        <sz val="10"/>
        <color rgb="FF000000"/>
        <rFont val="Arial"/>
        <family val="0"/>
        <charset val="1"/>
      </rPr>
      <t xml:space="preserve">Z3 </t>
    </r>
    <r>
      <rPr>
        <sz val="10"/>
        <color rgb="FF000000"/>
        <rFont val="Noto Sans CJK SC"/>
        <family val="2"/>
      </rPr>
      <t xml:space="preserve">預設（−</t>
    </r>
    <r>
      <rPr>
        <sz val="10"/>
        <color rgb="FF000000"/>
        <rFont val="Arial"/>
        <family val="0"/>
        <charset val="1"/>
      </rPr>
      <t xml:space="preserve">10%</t>
    </r>
    <r>
      <rPr>
        <sz val="10"/>
        <color rgb="FF000000"/>
        <rFont val="Noto Sans CJK SC"/>
        <family val="2"/>
      </rPr>
      <t xml:space="preserve">／年；−</t>
    </r>
    <r>
      <rPr>
        <sz val="10"/>
        <color rgb="FF000000"/>
        <rFont val="Arial"/>
        <family val="0"/>
        <charset val="1"/>
      </rPr>
      <t xml:space="preserve">25%</t>
    </r>
    <r>
      <rPr>
        <sz val="10"/>
        <color rgb="FF000000"/>
        <rFont val="Noto Sans CJK SC"/>
        <family val="2"/>
      </rPr>
      <t xml:space="preserve">～</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2H26 </t>
    </r>
    <r>
      <rPr>
        <sz val="10"/>
        <color rgb="FF000000"/>
        <rFont val="Noto Sans CJK SC"/>
        <family val="2"/>
      </rPr>
      <t xml:space="preserve">以半年 −</t>
    </r>
    <r>
      <rPr>
        <sz val="10"/>
        <color rgb="FF000000"/>
        <rFont val="Arial"/>
        <family val="0"/>
        <charset val="1"/>
      </rPr>
      <t xml:space="preserve">5% </t>
    </r>
    <r>
      <rPr>
        <sz val="10"/>
        <color rgb="FF000000"/>
        <rFont val="Noto Sans CJK SC"/>
        <family val="2"/>
      </rPr>
      <t xml:space="preserve">計（</t>
    </r>
    <r>
      <rPr>
        <sz val="10"/>
        <color rgb="FF000000"/>
        <rFont val="Arial"/>
        <family val="0"/>
        <charset val="1"/>
      </rPr>
      <t xml:space="preserve">÷ </t>
    </r>
    <r>
      <rPr>
        <sz val="10"/>
        <color rgb="FF000000"/>
        <rFont val="Noto Sans CJK SC"/>
        <family val="2"/>
      </rPr>
      <t xml:space="preserve">半年數）</t>
    </r>
  </si>
  <si>
    <t xml:space="preserve">INP_101</t>
  </si>
  <si>
    <t xml:space="preserve">pue</t>
  </si>
  <si>
    <r>
      <rPr>
        <sz val="10"/>
        <color rgb="FF000000"/>
        <rFont val="Arial"/>
        <family val="0"/>
        <charset val="1"/>
      </rPr>
      <t xml:space="preserve">PUE</t>
    </r>
    <r>
      <rPr>
        <sz val="10"/>
        <color rgb="FF000000"/>
        <rFont val="Noto Sans CJK SC"/>
        <family val="2"/>
      </rPr>
      <t xml:space="preserve">（設施電力 </t>
    </r>
    <r>
      <rPr>
        <sz val="10"/>
        <color rgb="FF000000"/>
        <rFont val="Arial"/>
        <family val="0"/>
        <charset val="1"/>
      </rPr>
      <t xml:space="preserve">÷ IT </t>
    </r>
    <r>
      <rPr>
        <sz val="10"/>
        <color rgb="FF000000"/>
        <rFont val="Noto Sans CJK SC"/>
        <family val="2"/>
      </rPr>
      <t xml:space="preserve">電力）</t>
    </r>
  </si>
  <si>
    <r>
      <rPr>
        <sz val="10"/>
        <color rgb="FF000000"/>
        <rFont val="Noto Sans CJK SC"/>
        <family val="2"/>
      </rPr>
      <t xml:space="preserve">工作單 </t>
    </r>
    <r>
      <rPr>
        <sz val="10"/>
        <color rgb="FF000000"/>
        <rFont val="Arial"/>
        <family val="0"/>
        <charset val="1"/>
      </rPr>
      <t xml:space="preserve">Z3 </t>
    </r>
    <r>
      <rPr>
        <sz val="10"/>
        <color rgb="FF000000"/>
        <rFont val="Noto Sans CJK SC"/>
        <family val="2"/>
      </rPr>
      <t xml:space="preserve">預設（中國資料中心 </t>
    </r>
    <r>
      <rPr>
        <sz val="10"/>
        <color rgb="FF000000"/>
        <rFont val="Arial"/>
        <family val="0"/>
        <charset val="1"/>
      </rPr>
      <t xml:space="preserve">1.3</t>
    </r>
    <r>
      <rPr>
        <sz val="10"/>
        <color rgb="FF000000"/>
        <rFont val="Noto Sans CJK SC"/>
        <family val="2"/>
      </rPr>
      <t xml:space="preserve">，</t>
    </r>
    <r>
      <rPr>
        <sz val="10"/>
        <color rgb="FF000000"/>
        <rFont val="Arial"/>
        <family val="0"/>
        <charset val="1"/>
      </rPr>
      <t xml:space="preserve">1.15–1.5</t>
    </r>
    <r>
      <rPr>
        <sz val="10"/>
        <color rgb="FF000000"/>
        <rFont val="Noto Sans CJK SC"/>
        <family val="2"/>
      </rPr>
      <t xml:space="preserve">）；用於『</t>
    </r>
    <r>
      <rPr>
        <sz val="10"/>
        <color rgb="FF000000"/>
        <rFont val="Arial"/>
        <family val="0"/>
        <charset val="1"/>
      </rPr>
      <t xml:space="preserve">1 GW </t>
    </r>
    <r>
      <rPr>
        <sz val="10"/>
        <color rgb="FF000000"/>
        <rFont val="Noto Sans CJK SC"/>
        <family val="2"/>
      </rPr>
      <t xml:space="preserve">國產算力資料中心』（</t>
    </r>
    <r>
      <rPr>
        <sz val="10"/>
        <color rgb="FF000000"/>
        <rFont val="Arial"/>
        <family val="0"/>
        <charset val="1"/>
      </rPr>
      <t xml:space="preserve">SRC_ZP_458</t>
    </r>
    <r>
      <rPr>
        <sz val="10"/>
        <color rgb="FF000000"/>
        <rFont val="Noto Sans CJK SC"/>
        <family val="2"/>
      </rPr>
      <t xml:space="preserve">，口徑未明，視為設施口徑）換算 </t>
    </r>
    <r>
      <rPr>
        <sz val="10"/>
        <color rgb="FF000000"/>
        <rFont val="Arial"/>
        <family val="0"/>
        <charset val="1"/>
      </rPr>
      <t xml:space="preserve">IT GW</t>
    </r>
  </si>
  <si>
    <t xml:space="preserve">INP_102</t>
  </si>
  <si>
    <t xml:space="preserve">inf_fee_share</t>
  </si>
  <si>
    <r>
      <rPr>
        <sz val="10"/>
        <color rgb="FF000000"/>
        <rFont val="Noto Sans CJK SC"/>
        <family val="2"/>
      </rPr>
      <t xml:space="preserve">開放平台及 </t>
    </r>
    <r>
      <rPr>
        <sz val="10"/>
        <color rgb="FF000000"/>
        <rFont val="Arial"/>
        <family val="0"/>
        <charset val="1"/>
      </rPr>
      <t xml:space="preserve">API </t>
    </r>
    <r>
      <rPr>
        <sz val="10"/>
        <color rgb="FF000000"/>
        <rFont val="Noto Sans CJK SC"/>
        <family val="2"/>
      </rPr>
      <t xml:space="preserve">銷售成本中的算力服務費占比（推論算力支出）</t>
    </r>
  </si>
  <si>
    <r>
      <rPr>
        <sz val="10"/>
        <color rgb="FF000000"/>
        <rFont val="Arial"/>
        <family val="0"/>
        <charset val="1"/>
      </rPr>
      <t xml:space="preserve">2025</t>
    </r>
    <r>
      <rPr>
        <sz val="10"/>
        <color rgb="FF000000"/>
        <rFont val="Noto Sans CJK SC"/>
        <family val="2"/>
      </rPr>
      <t xml:space="preserve">、</t>
    </r>
    <r>
      <rPr>
        <sz val="10"/>
        <color rgb="FF000000"/>
        <rFont val="Arial"/>
        <family val="0"/>
        <charset val="1"/>
      </rPr>
      <t xml:space="preserve">1H26</t>
    </r>
  </si>
  <si>
    <r>
      <rPr>
        <sz val="10"/>
        <color rgb="FF000000"/>
        <rFont val="Noto Sans CJK SC"/>
        <family val="2"/>
      </rPr>
      <t xml:space="preserve">規格 </t>
    </r>
    <r>
      <rPr>
        <sz val="10"/>
        <color rgb="FF000000"/>
        <rFont val="Arial"/>
        <family val="0"/>
        <charset val="1"/>
      </rPr>
      <t xml:space="preserve">D8r</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推論算力支出＝開放平台及 </t>
    </r>
    <r>
      <rPr>
        <sz val="10"/>
        <color rgb="FF000000"/>
        <rFont val="Arial"/>
        <family val="0"/>
        <charset val="1"/>
      </rPr>
      <t xml:space="preserve">API </t>
    </r>
    <r>
      <rPr>
        <sz val="10"/>
        <color rgb="FF000000"/>
        <rFont val="Noto Sans CJK SC"/>
        <family val="2"/>
      </rPr>
      <t xml:space="preserve">銷售成本（</t>
    </r>
    <r>
      <rPr>
        <sz val="10"/>
        <color rgb="FF000000"/>
        <rFont val="Arial"/>
        <family val="0"/>
        <charset val="1"/>
      </rPr>
      <t xml:space="preserve">SRC_ZP_197</t>
    </r>
    <r>
      <rPr>
        <sz val="10"/>
        <color rgb="FF000000"/>
        <rFont val="Noto Sans CJK SC"/>
        <family val="2"/>
      </rPr>
      <t xml:space="preserve">，</t>
    </r>
    <r>
      <rPr>
        <sz val="10"/>
        <color rgb="FF000000"/>
        <rFont val="Arial"/>
        <family val="0"/>
        <charset val="1"/>
      </rPr>
      <t xml:space="preserve">1.5438 </t>
    </r>
    <r>
      <rPr>
        <sz val="10"/>
        <color rgb="FF000000"/>
        <rFont val="Noto Sans CJK SC"/>
        <family val="2"/>
      </rPr>
      <t xml:space="preserve">億）視同全數算力費（上限）；下限＝</t>
    </r>
    <r>
      <rPr>
        <sz val="10"/>
        <color rgb="FF000000"/>
        <rFont val="Arial"/>
        <family val="0"/>
        <charset val="1"/>
      </rPr>
      <t xml:space="preserve">FY2024 </t>
    </r>
    <r>
      <rPr>
        <sz val="10"/>
        <color rgb="FF000000"/>
        <rFont val="Noto Sans CJK SC"/>
        <family val="2"/>
      </rPr>
      <t xml:space="preserve">銷售成本中算力費占比 </t>
    </r>
    <r>
      <rPr>
        <sz val="10"/>
        <color rgb="FF000000"/>
        <rFont val="Arial"/>
        <family val="0"/>
        <charset val="1"/>
      </rPr>
      <t xml:space="preserve">0.3017 ÷ 1.3653</t>
    </r>
    <r>
      <rPr>
        <sz val="10"/>
        <color rgb="FF000000"/>
        <rFont val="Noto Sans CJK SC"/>
        <family val="2"/>
      </rPr>
      <t xml:space="preserve">＝</t>
    </r>
    <r>
      <rPr>
        <sz val="10"/>
        <color rgb="FF000000"/>
        <rFont val="Arial"/>
        <family val="0"/>
        <charset val="1"/>
      </rPr>
      <t xml:space="preserve">0.22</t>
    </r>
    <r>
      <rPr>
        <sz val="10"/>
        <color rgb="FF000000"/>
        <rFont val="Noto Sans CJK SC"/>
        <family val="2"/>
      </rPr>
      <t xml:space="preserve">（</t>
    </r>
    <r>
      <rPr>
        <sz val="10"/>
        <color rgb="FF000000"/>
        <rFont val="Arial"/>
        <family val="0"/>
        <charset val="1"/>
      </rPr>
      <t xml:space="preserve">SRC_ZP_023</t>
    </r>
    <r>
      <rPr>
        <sz val="10"/>
        <color rgb="FF000000"/>
        <rFont val="Noto Sans CJK SC"/>
        <family val="2"/>
      </rPr>
      <t xml:space="preserve">、</t>
    </r>
    <r>
      <rPr>
        <sz val="10"/>
        <color rgb="FF000000"/>
        <rFont val="Arial"/>
        <family val="0"/>
        <charset val="1"/>
      </rPr>
      <t xml:space="preserve">018</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同法（</t>
    </r>
    <r>
      <rPr>
        <sz val="10"/>
        <color rgb="FF000000"/>
        <rFont val="Arial"/>
        <family val="0"/>
        <charset val="1"/>
      </rPr>
      <t xml:space="preserve">SRC_ZP_195</t>
    </r>
    <r>
      <rPr>
        <sz val="10"/>
        <color rgb="FF000000"/>
        <rFont val="Noto Sans CJK SC"/>
        <family val="2"/>
      </rPr>
      <t xml:space="preserve">）</t>
    </r>
  </si>
  <si>
    <r>
      <rPr>
        <sz val="10"/>
        <color rgb="FF000000"/>
        <rFont val="Arial"/>
        <family val="0"/>
        <charset val="1"/>
      </rPr>
      <t xml:space="preserve">D8r </t>
    </r>
    <r>
      <rPr>
        <sz val="10"/>
        <color rgb="FF000000"/>
        <rFont val="Noto Sans CJK SC"/>
        <family val="2"/>
      </rPr>
      <t xml:space="preserve">下限～上限</t>
    </r>
  </si>
  <si>
    <t xml:space="preserve">INP_103</t>
  </si>
  <si>
    <t xml:space="preserve">rd_compute_share</t>
  </si>
  <si>
    <t xml:space="preserve">研發開支（扣股權報酬）中的算力服務費占比</t>
  </si>
  <si>
    <r>
      <rPr>
        <sz val="10"/>
        <color rgb="FF000000"/>
        <rFont val="Noto Sans CJK SC"/>
        <family val="2"/>
      </rPr>
      <t xml:space="preserve">規格 </t>
    </r>
    <r>
      <rPr>
        <sz val="10"/>
        <color rgb="FF000000"/>
        <rFont val="Arial"/>
        <family val="0"/>
        <charset val="1"/>
      </rPr>
      <t xml:space="preserve">D10r</t>
    </r>
    <r>
      <rPr>
        <sz val="10"/>
        <color rgb="FF000000"/>
        <rFont val="Noto Sans CJK SC"/>
        <family val="2"/>
      </rPr>
      <t xml:space="preserve">：</t>
    </r>
    <r>
      <rPr>
        <sz val="10"/>
        <color rgb="FF000000"/>
        <rFont val="Arial"/>
        <family val="0"/>
        <charset val="1"/>
      </rPr>
      <t xml:space="preserve">FY2024 </t>
    </r>
    <r>
      <rPr>
        <sz val="10"/>
        <color rgb="FF000000"/>
        <rFont val="Noto Sans CJK SC"/>
        <family val="2"/>
      </rPr>
      <t xml:space="preserve">研發算力費 </t>
    </r>
    <r>
      <rPr>
        <sz val="10"/>
        <color rgb="FF000000"/>
        <rFont val="Arial"/>
        <family val="0"/>
        <charset val="1"/>
      </rPr>
      <t xml:space="preserve">15.52 </t>
    </r>
    <r>
      <rPr>
        <sz val="10"/>
        <color rgb="FF000000"/>
        <rFont val="Noto Sans CJK SC"/>
        <family val="2"/>
      </rPr>
      <t xml:space="preserve">億（</t>
    </r>
    <r>
      <rPr>
        <sz val="10"/>
        <color rgb="FF000000"/>
        <rFont val="Arial"/>
        <family val="0"/>
        <charset val="1"/>
      </rPr>
      <t xml:space="preserve">SRC_ZP_232</t>
    </r>
    <r>
      <rPr>
        <sz val="10"/>
        <color rgb="FF000000"/>
        <rFont val="Noto Sans CJK SC"/>
        <family val="2"/>
      </rPr>
      <t xml:space="preserve">，媒體轉述招股章程）</t>
    </r>
    <r>
      <rPr>
        <sz val="10"/>
        <color rgb="FF000000"/>
        <rFont val="Arial"/>
        <family val="0"/>
        <charset val="1"/>
      </rPr>
      <t xml:space="preserve">÷ </t>
    </r>
    <r>
      <rPr>
        <sz val="10"/>
        <color rgb="FF000000"/>
        <rFont val="Noto Sans CJK SC"/>
        <family val="2"/>
      </rPr>
      <t xml:space="preserve">研發開支 </t>
    </r>
    <r>
      <rPr>
        <sz val="10"/>
        <color rgb="FF000000"/>
        <rFont val="Arial"/>
        <family val="0"/>
        <charset val="1"/>
      </rPr>
      <t xml:space="preserve">21.95 </t>
    </r>
    <r>
      <rPr>
        <sz val="10"/>
        <color rgb="FF000000"/>
        <rFont val="Noto Sans CJK SC"/>
        <family val="2"/>
      </rPr>
      <t xml:space="preserve">億（</t>
    </r>
    <r>
      <rPr>
        <sz val="10"/>
        <color rgb="FF000000"/>
        <rFont val="Arial"/>
        <family val="0"/>
        <charset val="1"/>
      </rPr>
      <t xml:space="preserve">SRC_ZP_048</t>
    </r>
    <r>
      <rPr>
        <sz val="10"/>
        <color rgb="FF000000"/>
        <rFont val="Noto Sans CJK SC"/>
        <family val="2"/>
      </rPr>
      <t xml:space="preserve">）＝</t>
    </r>
    <r>
      <rPr>
        <sz val="10"/>
        <color rgb="FF000000"/>
        <rFont val="Arial"/>
        <family val="0"/>
        <charset val="1"/>
      </rPr>
      <t xml:space="preserve">0.707</t>
    </r>
    <r>
      <rPr>
        <sz val="10"/>
        <color rgb="FF000000"/>
        <rFont val="Noto Sans CJK SC"/>
        <family val="2"/>
      </rPr>
      <t xml:space="preserve">；</t>
    </r>
    <r>
      <rPr>
        <sz val="10"/>
        <color rgb="FF000000"/>
        <rFont val="Arial"/>
        <family val="0"/>
        <charset val="1"/>
      </rPr>
      <t xml:space="preserve">FY2025</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未揭露；</t>
    </r>
    <r>
      <rPr>
        <sz val="10"/>
        <color rgb="FF000000"/>
        <rFont val="Arial"/>
        <family val="0"/>
        <charset val="1"/>
      </rPr>
      <t xml:space="preserve">1H25 </t>
    </r>
    <r>
      <rPr>
        <sz val="10"/>
        <color rgb="FF000000"/>
        <rFont val="Noto Sans CJK SC"/>
        <family val="2"/>
      </rPr>
      <t xml:space="preserve">媒體稱 ≥</t>
    </r>
    <r>
      <rPr>
        <sz val="10"/>
        <color rgb="FF000000"/>
        <rFont val="Arial"/>
        <family val="0"/>
        <charset val="1"/>
      </rPr>
      <t xml:space="preserve">70%</t>
    </r>
    <r>
      <rPr>
        <sz val="10"/>
        <color rgb="FF000000"/>
        <rFont val="Noto Sans CJK SC"/>
        <family val="2"/>
      </rPr>
      <t xml:space="preserve">（</t>
    </r>
    <r>
      <rPr>
        <sz val="10"/>
        <color rgb="FF000000"/>
        <rFont val="Arial"/>
        <family val="0"/>
        <charset val="1"/>
      </rPr>
      <t xml:space="preserve">SRC_ZP_234</t>
    </r>
    <r>
      <rPr>
        <sz val="10"/>
        <color rgb="FF000000"/>
        <rFont val="Noto Sans CJK SC"/>
        <family val="2"/>
      </rPr>
      <t xml:space="preserve">）</t>
    </r>
  </si>
  <si>
    <r>
      <rPr>
        <sz val="10"/>
        <color rgb="FF000000"/>
        <rFont val="Noto Sans CJK SC"/>
        <family val="2"/>
      </rPr>
      <t xml:space="preserve">規格 </t>
    </r>
    <r>
      <rPr>
        <sz val="10"/>
        <color rgb="FF000000"/>
        <rFont val="Arial"/>
        <family val="0"/>
        <charset val="1"/>
      </rPr>
      <t xml:space="preserve">D10r</t>
    </r>
    <r>
      <rPr>
        <sz val="10"/>
        <color rgb="FF000000"/>
        <rFont val="Noto Sans CJK SC"/>
        <family val="2"/>
      </rPr>
      <t xml:space="preserve">（</t>
    </r>
    <r>
      <rPr>
        <sz val="10"/>
        <color rgb="FF000000"/>
        <rFont val="Arial"/>
        <family val="0"/>
        <charset val="1"/>
      </rPr>
      <t xml:space="preserve">60–80%</t>
    </r>
    <r>
      <rPr>
        <sz val="10"/>
        <color rgb="FF000000"/>
        <rFont val="Noto Sans CJK SC"/>
        <family val="2"/>
      </rPr>
      <t xml:space="preserve">）</t>
    </r>
  </si>
  <si>
    <t xml:space="preserve">INP_104</t>
  </si>
  <si>
    <t xml:space="preserve">sbc_rd_share</t>
  </si>
  <si>
    <t xml:space="preserve">股權報酬中歸研發開支的比例</t>
  </si>
  <si>
    <r>
      <rPr>
        <sz val="10"/>
        <color rgb="FF000000"/>
        <rFont val="Noto Sans CJK SC"/>
        <family val="2"/>
      </rPr>
      <t xml:space="preserve">研發人員占員工 </t>
    </r>
    <r>
      <rPr>
        <sz val="10"/>
        <color rgb="FF000000"/>
        <rFont val="Arial"/>
        <family val="0"/>
        <charset val="1"/>
      </rPr>
      <t xml:space="preserve">74.4%</t>
    </r>
    <r>
      <rPr>
        <sz val="10"/>
        <color rgb="FF000000"/>
        <rFont val="Noto Sans CJK SC"/>
        <family val="2"/>
      </rPr>
      <t xml:space="preserve">（</t>
    </r>
    <r>
      <rPr>
        <sz val="10"/>
        <color rgb="FF000000"/>
        <rFont val="Arial"/>
        <family val="0"/>
        <charset val="1"/>
      </rPr>
      <t xml:space="preserve">SRC_ZP_240</t>
    </r>
    <r>
      <rPr>
        <sz val="10"/>
        <color rgb="FF000000"/>
        <rFont val="Noto Sans CJK SC"/>
        <family val="2"/>
      </rPr>
      <t xml:space="preserve">，</t>
    </r>
    <r>
      <rPr>
        <sz val="10"/>
        <color rgb="FF000000"/>
        <rFont val="Arial"/>
        <family val="0"/>
        <charset val="1"/>
      </rPr>
      <t xml:space="preserve">2025-06-30</t>
    </r>
    <r>
      <rPr>
        <sz val="10"/>
        <color rgb="FF000000"/>
        <rFont val="Noto Sans CJK SC"/>
        <family val="2"/>
      </rPr>
      <t xml:space="preserve">）；股權報酬依功能別拆分未揭露</t>
    </r>
  </si>
  <si>
    <t xml:space="preserve">INP_105</t>
  </si>
  <si>
    <t xml:space="preserve">eta_sw</t>
  </si>
  <si>
    <r>
      <rPr>
        <sz val="10"/>
        <color rgb="FF000000"/>
        <rFont val="Arial"/>
        <family val="0"/>
        <charset val="1"/>
      </rPr>
      <t xml:space="preserve">η&gt;1 </t>
    </r>
    <r>
      <rPr>
        <sz val="10"/>
        <color rgb="FF000000"/>
        <rFont val="Noto Sans CJK SC"/>
        <family val="2"/>
      </rPr>
      <t xml:space="preserve">時的情境開關（</t>
    </r>
    <r>
      <rPr>
        <sz val="10"/>
        <color rgb="FF000000"/>
        <rFont val="Arial"/>
        <family val="0"/>
        <charset val="1"/>
      </rPr>
      <t xml:space="preserve">0</t>
    </r>
    <r>
      <rPr>
        <sz val="10"/>
        <color rgb="FF000000"/>
        <rFont val="Noto Sans CJK SC"/>
        <family val="2"/>
      </rPr>
      <t xml:space="preserve">＝沿用 </t>
    </r>
    <r>
      <rPr>
        <sz val="10"/>
        <color rgb="FF000000"/>
        <rFont val="Arial"/>
        <family val="0"/>
        <charset val="1"/>
      </rPr>
      <t xml:space="preserve">1H26 </t>
    </r>
    <r>
      <rPr>
        <sz val="10"/>
        <color rgb="FF000000"/>
        <rFont val="Noto Sans CJK SC"/>
        <family val="2"/>
      </rPr>
      <t xml:space="preserve">校準值；</t>
    </r>
    <r>
      <rPr>
        <sz val="10"/>
        <color rgb="FF000000"/>
        <rFont val="Arial"/>
        <family val="0"/>
        <charset val="1"/>
      </rPr>
      <t xml:space="preserve">1</t>
    </r>
    <r>
      <rPr>
        <sz val="10"/>
        <color rgb="FF000000"/>
        <rFont val="Noto Sans CJK SC"/>
        <family val="2"/>
      </rPr>
      <t xml:space="preserve">＝線性收斂至目標 </t>
    </r>
    <r>
      <rPr>
        <sz val="10"/>
        <color rgb="FF000000"/>
        <rFont val="Arial"/>
        <family val="0"/>
        <charset val="1"/>
      </rPr>
      <t xml:space="preserve">1</t>
    </r>
    <r>
      <rPr>
        <sz val="10"/>
        <color rgb="FF000000"/>
        <rFont val="Noto Sans CJK SC"/>
        <family val="2"/>
      </rPr>
      <t xml:space="preserve">）</t>
    </r>
  </si>
  <si>
    <t xml:space="preserve">開關</t>
  </si>
  <si>
    <r>
      <rPr>
        <sz val="10"/>
        <color rgb="FF000000"/>
        <rFont val="Noto Sans CJK SC"/>
        <family val="2"/>
      </rPr>
      <t xml:space="preserve">工作單 </t>
    </r>
    <r>
      <rPr>
        <sz val="10"/>
        <color rgb="FF000000"/>
        <rFont val="Arial"/>
        <family val="0"/>
        <charset val="1"/>
      </rPr>
      <t xml:space="preserve">Z3b F2</t>
    </r>
    <r>
      <rPr>
        <sz val="10"/>
        <color rgb="FF000000"/>
        <rFont val="Noto Sans CJK SC"/>
        <family val="2"/>
      </rPr>
      <t xml:space="preserve">：校準 </t>
    </r>
    <r>
      <rPr>
        <sz val="10"/>
        <color rgb="FF000000"/>
        <rFont val="Arial"/>
        <family val="0"/>
        <charset val="1"/>
      </rPr>
      <t xml:space="preserve">η &gt; 1 </t>
    </r>
    <r>
      <rPr>
        <sz val="10"/>
        <color rgb="FF000000"/>
        <rFont val="Noto Sans CJK SC"/>
        <family val="2"/>
      </rPr>
      <t xml:space="preserve">時基準沿用 </t>
    </r>
    <r>
      <rPr>
        <sz val="10"/>
        <color rgb="FF000000"/>
        <rFont val="Arial"/>
        <family val="0"/>
        <charset val="1"/>
      </rPr>
      <t xml:space="preserve">1H26 </t>
    </r>
    <r>
      <rPr>
        <sz val="10"/>
        <color rgb="FF000000"/>
        <rFont val="Noto Sans CJK SC"/>
        <family val="2"/>
      </rPr>
      <t xml:space="preserve">值（『回升至 </t>
    </r>
    <r>
      <rPr>
        <sz val="10"/>
        <color rgb="FF000000"/>
        <rFont val="Arial"/>
        <family val="0"/>
        <charset val="1"/>
      </rPr>
      <t xml:space="preserve">1</t>
    </r>
    <r>
      <rPr>
        <sz val="10"/>
        <color rgb="FF000000"/>
        <rFont val="Noto Sans CJK SC"/>
        <family val="2"/>
      </rPr>
      <t xml:space="preserve">』在 </t>
    </r>
    <r>
      <rPr>
        <sz val="10"/>
        <color rgb="FF000000"/>
        <rFont val="Arial"/>
        <family val="0"/>
        <charset val="1"/>
      </rPr>
      <t xml:space="preserve">η&gt;1 </t>
    </r>
    <r>
      <rPr>
        <sz val="10"/>
        <color rgb="FF000000"/>
        <rFont val="Noto Sans CJK SC"/>
        <family val="2"/>
      </rPr>
      <t xml:space="preserve">時等於無依據的效率衰退），情境收斂至 </t>
    </r>
    <r>
      <rPr>
        <sz val="10"/>
        <color rgb="FF000000"/>
        <rFont val="Arial"/>
        <family val="0"/>
        <charset val="1"/>
      </rPr>
      <t xml:space="preserve">1 </t>
    </r>
    <r>
      <rPr>
        <sz val="10"/>
        <color rgb="FF000000"/>
        <rFont val="Noto Sans CJK SC"/>
        <family val="2"/>
      </rPr>
      <t xml:space="preserve">並列；</t>
    </r>
    <r>
      <rPr>
        <sz val="10"/>
        <color rgb="FF000000"/>
        <rFont val="Arial"/>
        <family val="0"/>
        <charset val="1"/>
      </rPr>
      <t xml:space="preserve">η ≤ 1 </t>
    </r>
    <r>
      <rPr>
        <sz val="10"/>
        <color rgb="FF000000"/>
        <rFont val="Noto Sans CJK SC"/>
        <family val="2"/>
      </rPr>
      <t xml:space="preserve">時改用 </t>
    </r>
    <r>
      <rPr>
        <sz val="10"/>
        <color rgb="FF000000"/>
        <rFont val="Arial"/>
        <family val="0"/>
        <charset val="1"/>
      </rPr>
      <t xml:space="preserve">eta_up_sw</t>
    </r>
    <r>
      <rPr>
        <sz val="10"/>
        <color rgb="FF000000"/>
        <rFont val="Noto Sans CJK SC"/>
        <family val="2"/>
      </rPr>
      <t xml:space="preserve">（同 </t>
    </r>
    <r>
      <rPr>
        <sz val="10"/>
        <color rgb="FF000000"/>
        <rFont val="Arial"/>
        <family val="0"/>
        <charset val="1"/>
      </rPr>
      <t xml:space="preserve">OpenAI v0.6 INP_258 </t>
    </r>
    <r>
      <rPr>
        <sz val="10"/>
        <color rgb="FF000000"/>
        <rFont val="Noto Sans CJK SC"/>
        <family val="2"/>
      </rPr>
      <t xml:space="preserve">回升路徑）</t>
    </r>
  </si>
  <si>
    <t xml:space="preserve">INP_121</t>
  </si>
  <si>
    <t xml:space="preserve">eta_up_sw</t>
  </si>
  <si>
    <r>
      <rPr>
        <sz val="10"/>
        <color rgb="FF000000"/>
        <rFont val="Arial"/>
        <family val="0"/>
        <charset val="1"/>
      </rPr>
      <t xml:space="preserve">η ≤ 1 </t>
    </r>
    <r>
      <rPr>
        <sz val="10"/>
        <color rgb="FF000000"/>
        <rFont val="Noto Sans CJK SC"/>
        <family val="2"/>
      </rPr>
      <t xml:space="preserve">時的路徑開關（</t>
    </r>
    <r>
      <rPr>
        <sz val="10"/>
        <color rgb="FF000000"/>
        <rFont val="Arial"/>
        <family val="0"/>
        <charset val="1"/>
      </rPr>
      <t xml:space="preserve">1</t>
    </r>
    <r>
      <rPr>
        <sz val="10"/>
        <color rgb="FF000000"/>
        <rFont val="Noto Sans CJK SC"/>
        <family val="2"/>
      </rPr>
      <t xml:space="preserve">＝線性回升至目標，同 </t>
    </r>
    <r>
      <rPr>
        <sz val="10"/>
        <color rgb="FF000000"/>
        <rFont val="Arial"/>
        <family val="0"/>
        <charset val="1"/>
      </rPr>
      <t xml:space="preserve">OpenAI v0.6</t>
    </r>
    <r>
      <rPr>
        <sz val="10"/>
        <color rgb="FF000000"/>
        <rFont val="Noto Sans CJK SC"/>
        <family val="2"/>
      </rPr>
      <t xml:space="preserve">）</t>
    </r>
  </si>
  <si>
    <r>
      <rPr>
        <sz val="10"/>
        <color rgb="FF000000"/>
        <rFont val="Noto Sans CJK SC"/>
        <family val="2"/>
      </rPr>
      <t xml:space="preserve">工作單 </t>
    </r>
    <r>
      <rPr>
        <sz val="10"/>
        <color rgb="FF000000"/>
        <rFont val="Arial"/>
        <family val="0"/>
        <charset val="1"/>
      </rPr>
      <t xml:space="preserve">Z3b F2</t>
    </r>
    <r>
      <rPr>
        <sz val="10"/>
        <color rgb="FF000000"/>
        <rFont val="Noto Sans CJK SC"/>
        <family val="2"/>
      </rPr>
      <t xml:space="preserve">：校準 </t>
    </r>
    <r>
      <rPr>
        <sz val="10"/>
        <color rgb="FF000000"/>
        <rFont val="Arial"/>
        <family val="0"/>
        <charset val="1"/>
      </rPr>
      <t xml:space="preserve">η ≤ 1 → </t>
    </r>
    <r>
      <rPr>
        <sz val="10"/>
        <color rgb="FF000000"/>
        <rFont val="Noto Sans CJK SC"/>
        <family val="2"/>
      </rPr>
      <t xml:space="preserve">同 </t>
    </r>
    <r>
      <rPr>
        <sz val="10"/>
        <color rgb="FF000000"/>
        <rFont val="Arial"/>
        <family val="0"/>
        <charset val="1"/>
      </rPr>
      <t xml:space="preserve">OpenAI</t>
    </r>
    <r>
      <rPr>
        <sz val="10"/>
        <color rgb="FF000000"/>
        <rFont val="Noto Sans CJK SC"/>
        <family val="2"/>
      </rPr>
      <t xml:space="preserve">（線性回升至 </t>
    </r>
    <r>
      <rPr>
        <sz val="10"/>
        <color rgb="FF000000"/>
        <rFont val="Arial"/>
        <family val="0"/>
        <charset val="1"/>
      </rPr>
      <t xml:space="preserve">2030</t>
    </r>
    <r>
      <rPr>
        <sz val="10"/>
        <color rgb="FF000000"/>
        <rFont val="Noto Sans CJK SC"/>
        <family val="2"/>
      </rPr>
      <t xml:space="preserve">＝</t>
    </r>
    <r>
      <rPr>
        <sz val="10"/>
        <color rgb="FF000000"/>
        <rFont val="Arial"/>
        <family val="0"/>
        <charset val="1"/>
      </rPr>
      <t xml:space="preserve">1</t>
    </r>
    <r>
      <rPr>
        <sz val="10"/>
        <color rgb="FF000000"/>
        <rFont val="Noto Sans CJK SC"/>
        <family val="2"/>
      </rPr>
      <t xml:space="preserve">）</t>
    </r>
  </si>
  <si>
    <t xml:space="preserve">INP_106</t>
  </si>
  <si>
    <t xml:space="preserve">eta_target</t>
  </si>
  <si>
    <r>
      <rPr>
        <sz val="10"/>
        <color rgb="FF000000"/>
        <rFont val="Arial"/>
        <family val="0"/>
        <charset val="1"/>
      </rPr>
      <t xml:space="preserve">η </t>
    </r>
    <r>
      <rPr>
        <sz val="10"/>
        <color rgb="FF000000"/>
        <rFont val="Noto Sans CJK SC"/>
        <family val="2"/>
      </rPr>
      <t xml:space="preserve">回升情境：目標值</t>
    </r>
  </si>
  <si>
    <r>
      <rPr>
        <sz val="10"/>
        <color rgb="FF000000"/>
        <rFont val="Noto Sans CJK SC"/>
        <family val="2"/>
      </rPr>
      <t xml:space="preserve">規格 </t>
    </r>
    <r>
      <rPr>
        <sz val="10"/>
        <color rgb="FF000000"/>
        <rFont val="Arial"/>
        <family val="0"/>
        <charset val="1"/>
      </rPr>
      <t xml:space="preserve">D8</t>
    </r>
    <r>
      <rPr>
        <sz val="10"/>
        <color rgb="FF000000"/>
        <rFont val="Noto Sans CJK SC"/>
        <family val="2"/>
      </rPr>
      <t xml:space="preserve">（同 </t>
    </r>
    <r>
      <rPr>
        <sz val="10"/>
        <color rgb="FF000000"/>
        <rFont val="Arial"/>
        <family val="0"/>
        <charset val="1"/>
      </rPr>
      <t xml:space="preserve">OpenAI v0.6 INP_259</t>
    </r>
    <r>
      <rPr>
        <sz val="10"/>
        <color rgb="FF000000"/>
        <rFont val="Noto Sans CJK SC"/>
        <family val="2"/>
      </rPr>
      <t xml:space="preserve">）</t>
    </r>
  </si>
  <si>
    <t xml:space="preserve">INP_107</t>
  </si>
  <si>
    <t xml:space="preserve">eta_target_year</t>
  </si>
  <si>
    <r>
      <rPr>
        <sz val="10"/>
        <color rgb="FF000000"/>
        <rFont val="Arial"/>
        <family val="0"/>
        <charset val="1"/>
      </rPr>
      <t xml:space="preserve">η </t>
    </r>
    <r>
      <rPr>
        <sz val="10"/>
        <color rgb="FF000000"/>
        <rFont val="Noto Sans CJK SC"/>
        <family val="2"/>
      </rPr>
      <t xml:space="preserve">回升情境：目標年</t>
    </r>
  </si>
  <si>
    <r>
      <rPr>
        <sz val="10"/>
        <color rgb="FF000000"/>
        <rFont val="Noto Sans CJK SC"/>
        <family val="2"/>
      </rPr>
      <t xml:space="preserve">規格 </t>
    </r>
    <r>
      <rPr>
        <sz val="10"/>
        <color rgb="FF000000"/>
        <rFont val="Arial"/>
        <family val="0"/>
        <charset val="1"/>
      </rPr>
      <t xml:space="preserve">D8</t>
    </r>
    <r>
      <rPr>
        <sz val="10"/>
        <color rgb="FF000000"/>
        <rFont val="Noto Sans CJK SC"/>
        <family val="2"/>
      </rPr>
      <t xml:space="preserve">（同 </t>
    </r>
    <r>
      <rPr>
        <sz val="10"/>
        <color rgb="FF000000"/>
        <rFont val="Arial"/>
        <family val="0"/>
        <charset val="1"/>
      </rPr>
      <t xml:space="preserve">OpenAI v0.6 INP_260</t>
    </r>
    <r>
      <rPr>
        <sz val="10"/>
        <color rgb="FF000000"/>
        <rFont val="Noto Sans CJK SC"/>
        <family val="2"/>
      </rPr>
      <t xml:space="preserve">）</t>
    </r>
  </si>
  <si>
    <t xml:space="preserve">INP_108</t>
  </si>
  <si>
    <t xml:space="preserve">idle</t>
  </si>
  <si>
    <t xml:space="preserve">閒置保留比例</t>
  </si>
  <si>
    <r>
      <rPr>
        <sz val="10"/>
        <color rgb="FF000000"/>
        <rFont val="Arial"/>
        <family val="0"/>
        <charset val="1"/>
      </rPr>
      <t xml:space="preserve">OpenAI v0.6 INP_232</t>
    </r>
    <r>
      <rPr>
        <sz val="10"/>
        <color rgb="FF000000"/>
        <rFont val="Noto Sans CJK SC"/>
        <family val="2"/>
      </rPr>
      <t xml:space="preserve">（</t>
    </r>
    <r>
      <rPr>
        <sz val="10"/>
        <color rgb="FF000000"/>
        <rFont val="Arial"/>
        <family val="0"/>
        <charset val="1"/>
      </rPr>
      <t xml:space="preserve">0.1</t>
    </r>
    <r>
      <rPr>
        <sz val="10"/>
        <color rgb="FF000000"/>
        <rFont val="Noto Sans CJK SC"/>
        <family val="2"/>
      </rPr>
      <t xml:space="preserve">；</t>
    </r>
    <r>
      <rPr>
        <sz val="10"/>
        <color rgb="FF000000"/>
        <rFont val="Arial"/>
        <family val="0"/>
        <charset val="1"/>
      </rPr>
      <t xml:space="preserve">v0.5 computeMW.idleReserve</t>
    </r>
    <r>
      <rPr>
        <sz val="10"/>
        <color rgb="FF000000"/>
        <rFont val="Noto Sans CJK SC"/>
        <family val="2"/>
      </rPr>
      <t xml:space="preserve">，</t>
    </r>
    <r>
      <rPr>
        <sz val="10"/>
        <color rgb="FF000000"/>
        <rFont val="Arial"/>
        <family val="0"/>
        <charset val="1"/>
      </rPr>
      <t xml:space="preserve">OpenAI </t>
    </r>
    <r>
      <rPr>
        <sz val="10"/>
        <color rgb="FF000000"/>
        <rFont val="Noto Sans CJK SC"/>
        <family val="2"/>
      </rPr>
      <t xml:space="preserve">無區間）；工作單：沿用 </t>
    </r>
    <r>
      <rPr>
        <sz val="10"/>
        <color rgb="FF000000"/>
        <rFont val="Arial"/>
        <family val="0"/>
        <charset val="1"/>
      </rPr>
      <t xml:space="preserve">OpenAI </t>
    </r>
    <r>
      <rPr>
        <sz val="10"/>
        <color rgb="FF000000"/>
        <rFont val="Noto Sans CJK SC"/>
        <family val="2"/>
      </rPr>
      <t xml:space="preserve">同名 </t>
    </r>
    <r>
      <rPr>
        <sz val="10"/>
        <color rgb="FF000000"/>
        <rFont val="Arial"/>
        <family val="0"/>
        <charset val="1"/>
      </rPr>
      <t xml:space="preserve">Inputs </t>
    </r>
    <r>
      <rPr>
        <sz val="10"/>
        <color rgb="FF000000"/>
        <rFont val="Noto Sans CJK SC"/>
        <family val="2"/>
      </rPr>
      <t xml:space="preserve">的值；區間為本模型補</t>
    </r>
  </si>
  <si>
    <r>
      <rPr>
        <sz val="10"/>
        <color rgb="FF000000"/>
        <rFont val="Arial"/>
        <family val="0"/>
        <charset val="1"/>
      </rPr>
      <t xml:space="preserve">0.05</t>
    </r>
    <r>
      <rPr>
        <sz val="10"/>
        <color rgb="FF000000"/>
        <rFont val="Noto Sans CJK SC"/>
        <family val="2"/>
      </rPr>
      <t xml:space="preserve">～</t>
    </r>
    <r>
      <rPr>
        <sz val="10"/>
        <color rgb="FF000000"/>
        <rFont val="Arial"/>
        <family val="0"/>
        <charset val="1"/>
      </rPr>
      <t xml:space="preserve">0.2</t>
    </r>
    <r>
      <rPr>
        <sz val="10"/>
        <color rgb="FF000000"/>
        <rFont val="Noto Sans CJK SC"/>
        <family val="2"/>
      </rPr>
      <t xml:space="preserve">（本模型補）</t>
    </r>
  </si>
  <si>
    <t xml:space="preserve">INP_109</t>
  </si>
  <si>
    <t xml:space="preserve">min_train</t>
  </si>
  <si>
    <t xml:space="preserve">訓練最低占比</t>
  </si>
  <si>
    <r>
      <rPr>
        <sz val="10"/>
        <color rgb="FF000000"/>
        <rFont val="Arial"/>
        <family val="0"/>
        <charset val="1"/>
      </rPr>
      <t xml:space="preserve">OpenAI v0.6 INP_233</t>
    </r>
    <r>
      <rPr>
        <sz val="10"/>
        <color rgb="FF000000"/>
        <rFont val="Noto Sans CJK SC"/>
        <family val="2"/>
      </rPr>
      <t xml:space="preserve">（</t>
    </r>
    <r>
      <rPr>
        <sz val="10"/>
        <color rgb="FF000000"/>
        <rFont val="Arial"/>
        <family val="0"/>
        <charset val="1"/>
      </rPr>
      <t xml:space="preserve">0.3</t>
    </r>
    <r>
      <rPr>
        <sz val="10"/>
        <color rgb="FF000000"/>
        <rFont val="Noto Sans CJK SC"/>
        <family val="2"/>
      </rPr>
      <t xml:space="preserve">；</t>
    </r>
    <r>
      <rPr>
        <sz val="10"/>
        <color rgb="FF000000"/>
        <rFont val="Arial"/>
        <family val="0"/>
        <charset val="1"/>
      </rPr>
      <t xml:space="preserve">v0.5 computeMW.minTrainingShare</t>
    </r>
    <r>
      <rPr>
        <sz val="10"/>
        <color rgb="FF000000"/>
        <rFont val="Noto Sans CJK SC"/>
        <family val="2"/>
      </rPr>
      <t xml:space="preserve">，</t>
    </r>
    <r>
      <rPr>
        <sz val="10"/>
        <color rgb="FF000000"/>
        <rFont val="Arial"/>
        <family val="0"/>
        <charset val="1"/>
      </rPr>
      <t xml:space="preserve">V1a </t>
    </r>
    <r>
      <rPr>
        <sz val="10"/>
        <color rgb="FF000000"/>
        <rFont val="Noto Sans CJK SC"/>
        <family val="2"/>
      </rPr>
      <t xml:space="preserve">容量上限，</t>
    </r>
    <r>
      <rPr>
        <sz val="10"/>
        <color rgb="FF000000"/>
        <rFont val="Arial"/>
        <family val="0"/>
        <charset val="1"/>
      </rPr>
      <t xml:space="preserve">OpenAI </t>
    </r>
    <r>
      <rPr>
        <sz val="10"/>
        <color rgb="FF000000"/>
        <rFont val="Noto Sans CJK SC"/>
        <family val="2"/>
      </rPr>
      <t xml:space="preserve">無區間）；區間為本模型補</t>
    </r>
  </si>
  <si>
    <r>
      <rPr>
        <sz val="10"/>
        <color rgb="FF000000"/>
        <rFont val="Arial"/>
        <family val="0"/>
        <charset val="1"/>
      </rPr>
      <t xml:space="preserve">0.2</t>
    </r>
    <r>
      <rPr>
        <sz val="10"/>
        <color rgb="FF000000"/>
        <rFont val="Noto Sans CJK SC"/>
        <family val="2"/>
      </rPr>
      <t xml:space="preserve">～</t>
    </r>
    <r>
      <rPr>
        <sz val="10"/>
        <color rgb="FF000000"/>
        <rFont val="Arial"/>
        <family val="0"/>
        <charset val="1"/>
      </rPr>
      <t xml:space="preserve">0.4</t>
    </r>
    <r>
      <rPr>
        <sz val="10"/>
        <color rgb="FF000000"/>
        <rFont val="Noto Sans CJK SC"/>
        <family val="2"/>
      </rPr>
      <t xml:space="preserve">（本模型補）</t>
    </r>
  </si>
  <si>
    <t xml:space="preserve">INP_120</t>
  </si>
  <si>
    <t xml:space="preserve">rd_share_sw</t>
  </si>
  <si>
    <r>
      <rPr>
        <sz val="10"/>
        <color rgb="FF000000"/>
        <rFont val="Noto Sans CJK SC"/>
        <family val="2"/>
      </rPr>
      <t xml:space="preserve">研發占比路徑開關（</t>
    </r>
    <r>
      <rPr>
        <sz val="10"/>
        <color rgb="FF000000"/>
        <rFont val="Arial"/>
        <family val="0"/>
        <charset val="1"/>
      </rPr>
      <t xml:space="preserve">0</t>
    </r>
    <r>
      <rPr>
        <sz val="10"/>
        <color rgb="FF000000"/>
        <rFont val="Noto Sans CJK SC"/>
        <family val="2"/>
      </rPr>
      <t xml:space="preserve">＝沿用 </t>
    </r>
    <r>
      <rPr>
        <sz val="10"/>
        <color rgb="FF000000"/>
        <rFont val="Arial"/>
        <family val="0"/>
        <charset val="1"/>
      </rPr>
      <t xml:space="preserve">1H26 </t>
    </r>
    <r>
      <rPr>
        <sz val="10"/>
        <color rgb="FF000000"/>
        <rFont val="Noto Sans CJK SC"/>
        <family val="2"/>
      </rPr>
      <t xml:space="preserve">實際值；</t>
    </r>
    <r>
      <rPr>
        <sz val="10"/>
        <color rgb="FF000000"/>
        <rFont val="Arial"/>
        <family val="0"/>
        <charset val="1"/>
      </rPr>
      <t xml:space="preserve">1</t>
    </r>
    <r>
      <rPr>
        <sz val="10"/>
        <color rgb="FF000000"/>
        <rFont val="Noto Sans CJK SC"/>
        <family val="2"/>
      </rPr>
      <t xml:space="preserve">＝線性移至 </t>
    </r>
    <r>
      <rPr>
        <sz val="10"/>
        <color rgb="FF000000"/>
        <rFont val="Arial"/>
        <family val="0"/>
        <charset val="1"/>
      </rPr>
      <t xml:space="preserve">2030 </t>
    </r>
    <r>
      <rPr>
        <sz val="10"/>
        <color rgb="FF000000"/>
        <rFont val="Noto Sans CJK SC"/>
        <family val="2"/>
      </rPr>
      <t xml:space="preserve">目標）</t>
    </r>
  </si>
  <si>
    <r>
      <rPr>
        <sz val="10"/>
        <color rgb="FF000000"/>
        <rFont val="Arial"/>
        <family val="0"/>
        <charset val="1"/>
      </rPr>
      <t xml:space="preserve">2H26 </t>
    </r>
    <r>
      <rPr>
        <sz val="10"/>
        <color rgb="FF000000"/>
        <rFont val="Noto Sans CJK SC"/>
        <family val="2"/>
      </rPr>
      <t xml:space="preserve">起供給依需求配置（規格未定；見報告已套用的預設）：供給＝有效推論 </t>
    </r>
    <r>
      <rPr>
        <sz val="10"/>
        <color rgb="FF000000"/>
        <rFont val="Arial"/>
        <family val="0"/>
        <charset val="1"/>
      </rPr>
      <t xml:space="preserve">GW ÷</t>
    </r>
    <r>
      <rPr>
        <sz val="10"/>
        <color rgb="FF000000"/>
        <rFont val="Noto Sans CJK SC"/>
        <family val="2"/>
      </rPr>
      <t xml:space="preserve">（</t>
    </r>
    <r>
      <rPr>
        <sz val="10"/>
        <color rgb="FF000000"/>
        <rFont val="Arial"/>
        <family val="0"/>
        <charset val="1"/>
      </rPr>
      <t xml:space="preserve">(1−</t>
    </r>
    <r>
      <rPr>
        <sz val="10"/>
        <color rgb="FF000000"/>
        <rFont val="Noto Sans CJK SC"/>
        <family val="2"/>
      </rPr>
      <t xml:space="preserve">閒置</t>
    </r>
    <r>
      <rPr>
        <sz val="10"/>
        <color rgb="FF000000"/>
        <rFont val="Arial"/>
        <family val="0"/>
        <charset val="1"/>
      </rPr>
      <t xml:space="preserve">)×(1−</t>
    </r>
    <r>
      <rPr>
        <sz val="10"/>
        <color rgb="FF000000"/>
        <rFont val="Noto Sans CJK SC"/>
        <family val="2"/>
      </rPr>
      <t xml:space="preserve">研發占比</t>
    </r>
    <r>
      <rPr>
        <sz val="10"/>
        <color rgb="FF000000"/>
        <rFont val="Arial"/>
        <family val="0"/>
        <charset val="1"/>
      </rPr>
      <t xml:space="preserve">)</t>
    </r>
    <r>
      <rPr>
        <sz val="10"/>
        <color rgb="FF000000"/>
        <rFont val="Noto Sans CJK SC"/>
        <family val="2"/>
      </rPr>
      <t xml:space="preserve">）；基準沿用最新實際值（</t>
    </r>
    <r>
      <rPr>
        <sz val="10"/>
        <color rgb="FF000000"/>
        <rFont val="Arial"/>
        <family val="0"/>
        <charset val="1"/>
      </rPr>
      <t xml:space="preserve">r2 P1 </t>
    </r>
    <r>
      <rPr>
        <sz val="10"/>
        <color rgb="FF000000"/>
        <rFont val="Noto Sans CJK SC"/>
        <family val="2"/>
      </rPr>
      <t xml:space="preserve">起：</t>
    </r>
    <r>
      <rPr>
        <sz val="10"/>
        <color rgb="FF000000"/>
        <rFont val="Arial"/>
        <family val="0"/>
        <charset val="1"/>
      </rPr>
      <t xml:space="preserve">1H26 </t>
    </r>
    <r>
      <rPr>
        <sz val="10"/>
        <color rgb="FF000000"/>
        <rFont val="Noto Sans CJK SC"/>
        <family val="2"/>
      </rPr>
      <t xml:space="preserve">研發 </t>
    </r>
    <r>
      <rPr>
        <sz val="10"/>
        <color rgb="FF000000"/>
        <rFont val="Arial"/>
        <family val="0"/>
        <charset val="1"/>
      </rPr>
      <t xml:space="preserve">GW </t>
    </r>
    <r>
      <rPr>
        <sz val="10"/>
        <color rgb="FF000000"/>
        <rFont val="Noto Sans CJK SC"/>
        <family val="2"/>
      </rPr>
      <t xml:space="preserve">殘差 </t>
    </r>
    <r>
      <rPr>
        <sz val="10"/>
        <color rgb="FF000000"/>
        <rFont val="Arial"/>
        <family val="0"/>
        <charset val="1"/>
      </rPr>
      <t xml:space="preserve">÷ </t>
    </r>
    <r>
      <rPr>
        <sz val="10"/>
        <color rgb="FF000000"/>
        <rFont val="Noto Sans CJK SC"/>
        <family val="2"/>
      </rPr>
      <t xml:space="preserve">供給；</t>
    </r>
    <r>
      <rPr>
        <sz val="10"/>
        <color rgb="FF000000"/>
        <rFont val="Arial"/>
        <family val="0"/>
        <charset val="1"/>
      </rPr>
      <t xml:space="preserve">Z3 </t>
    </r>
    <r>
      <rPr>
        <sz val="10"/>
        <color rgb="FF000000"/>
        <rFont val="Noto Sans CJK SC"/>
        <family val="2"/>
      </rPr>
      <t xml:space="preserve">原為研發算力費 </t>
    </r>
    <r>
      <rPr>
        <sz val="10"/>
        <color rgb="FF000000"/>
        <rFont val="Arial"/>
        <family val="0"/>
        <charset val="1"/>
      </rPr>
      <t xml:space="preserve">÷ </t>
    </r>
    <r>
      <rPr>
        <sz val="10"/>
        <color rgb="FF000000"/>
        <rFont val="Noto Sans CJK SC"/>
        <family val="2"/>
      </rPr>
      <t xml:space="preserve">算力費合計），與 </t>
    </r>
    <r>
      <rPr>
        <sz val="10"/>
        <color rgb="FF000000"/>
        <rFont val="Arial"/>
        <family val="0"/>
        <charset val="1"/>
      </rPr>
      <t xml:space="preserve">η </t>
    </r>
    <r>
      <rPr>
        <sz val="10"/>
        <color rgb="FF000000"/>
        <rFont val="Noto Sans CJK SC"/>
        <family val="2"/>
      </rPr>
      <t xml:space="preserve">沿用 </t>
    </r>
    <r>
      <rPr>
        <sz val="10"/>
        <color rgb="FF000000"/>
        <rFont val="Arial"/>
        <family val="0"/>
        <charset val="1"/>
      </rPr>
      <t xml:space="preserve">1H26 </t>
    </r>
    <r>
      <rPr>
        <sz val="10"/>
        <color rgb="FF000000"/>
        <rFont val="Noto Sans CJK SC"/>
        <family val="2"/>
      </rPr>
      <t xml:space="preserve">同一原則</t>
    </r>
  </si>
  <si>
    <t xml:space="preserve">INP_110</t>
  </si>
  <si>
    <t xml:space="preserve">rd_share_2030</t>
  </si>
  <si>
    <r>
      <rPr>
        <sz val="10"/>
        <color rgb="FF000000"/>
        <rFont val="Noto Sans CJK SC"/>
        <family val="2"/>
      </rPr>
      <t xml:space="preserve">研發 </t>
    </r>
    <r>
      <rPr>
        <sz val="10"/>
        <color rgb="FF000000"/>
        <rFont val="Arial"/>
        <family val="0"/>
        <charset val="1"/>
      </rPr>
      <t xml:space="preserve">GW </t>
    </r>
    <r>
      <rPr>
        <sz val="10"/>
        <color rgb="FF000000"/>
        <rFont val="Noto Sans CJK SC"/>
        <family val="2"/>
      </rPr>
      <t xml:space="preserve">占非閒置供給比例：</t>
    </r>
    <r>
      <rPr>
        <sz val="10"/>
        <color rgb="FF000000"/>
        <rFont val="Arial"/>
        <family val="0"/>
        <charset val="1"/>
      </rPr>
      <t xml:space="preserve">2030 </t>
    </r>
    <r>
      <rPr>
        <sz val="10"/>
        <color rgb="FF000000"/>
        <rFont val="Noto Sans CJK SC"/>
        <family val="2"/>
      </rPr>
      <t xml:space="preserve">目標（開關＝</t>
    </r>
    <r>
      <rPr>
        <sz val="10"/>
        <color rgb="FF000000"/>
        <rFont val="Arial"/>
        <family val="0"/>
        <charset val="1"/>
      </rPr>
      <t xml:space="preserve">1 </t>
    </r>
    <r>
      <rPr>
        <sz val="10"/>
        <color rgb="FF000000"/>
        <rFont val="Noto Sans CJK SC"/>
        <family val="2"/>
      </rPr>
      <t xml:space="preserve">時自 </t>
    </r>
    <r>
      <rPr>
        <sz val="10"/>
        <color rgb="FF000000"/>
        <rFont val="Arial"/>
        <family val="0"/>
        <charset val="1"/>
      </rPr>
      <t xml:space="preserve">1H26 </t>
    </r>
    <r>
      <rPr>
        <sz val="10"/>
        <color rgb="FF000000"/>
        <rFont val="Noto Sans CJK SC"/>
        <family val="2"/>
      </rPr>
      <t xml:space="preserve">實際值線性移動）</t>
    </r>
  </si>
  <si>
    <r>
      <rPr>
        <sz val="10"/>
        <color rgb="FF000000"/>
        <rFont val="Arial"/>
        <family val="0"/>
        <charset val="1"/>
      </rPr>
      <t xml:space="preserve">OpenAI v0.6 2030 </t>
    </r>
    <r>
      <rPr>
        <sz val="10"/>
        <color rgb="FF000000"/>
        <rFont val="Noto Sans CJK SC"/>
        <family val="2"/>
      </rPr>
      <t xml:space="preserve">研發 </t>
    </r>
    <r>
      <rPr>
        <sz val="10"/>
        <color rgb="FF000000"/>
        <rFont val="Arial"/>
        <family val="0"/>
        <charset val="1"/>
      </rPr>
      <t xml:space="preserve">GW 6.11 ÷</t>
    </r>
    <r>
      <rPr>
        <sz val="10"/>
        <color rgb="FF000000"/>
        <rFont val="Noto Sans CJK SC"/>
        <family val="2"/>
      </rPr>
      <t xml:space="preserve">（供給 </t>
    </r>
    <r>
      <rPr>
        <sz val="10"/>
        <color rgb="FF000000"/>
        <rFont val="Arial"/>
        <family val="0"/>
        <charset val="1"/>
      </rPr>
      <t xml:space="preserve">13.01 ×</t>
    </r>
    <r>
      <rPr>
        <sz val="10"/>
        <color rgb="FF000000"/>
        <rFont val="Noto Sans CJK SC"/>
        <family val="2"/>
      </rPr>
      <t xml:space="preserve">（</t>
    </r>
    <r>
      <rPr>
        <sz val="10"/>
        <color rgb="FF000000"/>
        <rFont val="Arial"/>
        <family val="0"/>
        <charset val="1"/>
      </rPr>
      <t xml:space="preserve">1−0.1</t>
    </r>
    <r>
      <rPr>
        <sz val="10"/>
        <color rgb="FF000000"/>
        <rFont val="Noto Sans CJK SC"/>
        <family val="2"/>
      </rPr>
      <t xml:space="preserve">））＝</t>
    </r>
    <r>
      <rPr>
        <sz val="10"/>
        <color rgb="FF000000"/>
        <rFont val="Arial"/>
        <family val="0"/>
        <charset val="1"/>
      </rPr>
      <t xml:space="preserve">0.52</t>
    </r>
    <r>
      <rPr>
        <sz val="10"/>
        <color rgb="FF000000"/>
        <rFont val="Noto Sans CJK SC"/>
        <family val="2"/>
      </rPr>
      <t xml:space="preserve">；只在開關＝</t>
    </r>
    <r>
      <rPr>
        <sz val="10"/>
        <color rgb="FF000000"/>
        <rFont val="Arial"/>
        <family val="0"/>
        <charset val="1"/>
      </rPr>
      <t xml:space="preserve">1 </t>
    </r>
    <r>
      <rPr>
        <sz val="10"/>
        <color rgb="FF000000"/>
        <rFont val="Noto Sans CJK SC"/>
        <family val="2"/>
      </rPr>
      <t xml:space="preserve">時使用；</t>
    </r>
    <r>
      <rPr>
        <sz val="10"/>
        <color rgb="FF000000"/>
        <rFont val="Arial"/>
        <family val="0"/>
        <charset val="1"/>
      </rPr>
      <t xml:space="preserve">r2 P1 </t>
    </r>
    <r>
      <rPr>
        <sz val="10"/>
        <color rgb="FF000000"/>
        <rFont val="Noto Sans CJK SC"/>
        <family val="2"/>
      </rPr>
      <t xml:space="preserve">後 </t>
    </r>
    <r>
      <rPr>
        <sz val="10"/>
        <color rgb="FF000000"/>
        <rFont val="Arial"/>
        <family val="0"/>
        <charset val="1"/>
      </rPr>
      <t xml:space="preserve">1H26 </t>
    </r>
    <r>
      <rPr>
        <sz val="10"/>
        <color rgb="FF000000"/>
        <rFont val="Noto Sans CJK SC"/>
        <family val="2"/>
      </rPr>
      <t xml:space="preserve">起點為研發殘差占比（</t>
    </r>
    <r>
      <rPr>
        <sz val="10"/>
        <color rgb="FF000000"/>
        <rFont val="Arial"/>
        <family val="0"/>
        <charset val="1"/>
      </rPr>
      <t xml:space="preserve">η </t>
    </r>
    <r>
      <rPr>
        <sz val="10"/>
        <color rgb="FF000000"/>
        <rFont val="Noto Sans CJK SC"/>
        <family val="2"/>
      </rPr>
      <t xml:space="preserve">上調使其＝訓練最低占比 </t>
    </r>
    <r>
      <rPr>
        <sz val="10"/>
        <color rgb="FF000000"/>
        <rFont val="Arial"/>
        <family val="0"/>
        <charset val="1"/>
      </rPr>
      <t xml:space="preserve">0.3</t>
    </r>
    <r>
      <rPr>
        <sz val="10"/>
        <color rgb="FF000000"/>
        <rFont val="Noto Sans CJK SC"/>
        <family val="2"/>
      </rPr>
      <t xml:space="preserve">），不再是會計科目占比 </t>
    </r>
    <r>
      <rPr>
        <sz val="10"/>
        <color rgb="FF000000"/>
        <rFont val="Arial"/>
        <family val="0"/>
        <charset val="1"/>
      </rPr>
      <t xml:space="preserve">0.70</t>
    </r>
  </si>
  <si>
    <r>
      <rPr>
        <sz val="10"/>
        <color rgb="FF000000"/>
        <rFont val="Arial"/>
        <family val="0"/>
        <charset val="1"/>
      </rPr>
      <t xml:space="preserve">0.3</t>
    </r>
    <r>
      <rPr>
        <sz val="10"/>
        <color rgb="FF000000"/>
        <rFont val="Noto Sans CJK SC"/>
        <family val="2"/>
      </rPr>
      <t xml:space="preserve">（＝訓練最低占比）～</t>
    </r>
    <r>
      <rPr>
        <sz val="10"/>
        <color rgb="FF000000"/>
        <rFont val="Arial"/>
        <family val="0"/>
        <charset val="1"/>
      </rPr>
      <t xml:space="preserve">0.7</t>
    </r>
    <r>
      <rPr>
        <sz val="10"/>
        <color rgb="FF000000"/>
        <rFont val="Noto Sans CJK SC"/>
        <family val="2"/>
      </rPr>
      <t xml:space="preserve">（</t>
    </r>
    <r>
      <rPr>
        <sz val="10"/>
        <color rgb="FF000000"/>
        <rFont val="Arial"/>
        <family val="0"/>
        <charset val="1"/>
      </rPr>
      <t xml:space="preserve">Z3 </t>
    </r>
    <r>
      <rPr>
        <sz val="10"/>
        <color rgb="FF000000"/>
        <rFont val="Noto Sans CJK SC"/>
        <family val="2"/>
      </rPr>
      <t xml:space="preserve">會計科目占比）</t>
    </r>
  </si>
  <si>
    <t xml:space="preserve">INP_111</t>
  </si>
  <si>
    <t xml:space="preserve">owned_capex</t>
  </si>
  <si>
    <r>
      <rPr>
        <sz val="10"/>
        <color rgb="FF000000"/>
        <rFont val="Noto Sans CJK SC"/>
        <family val="2"/>
      </rPr>
      <t xml:space="preserve">其他自有算力資本支出（</t>
    </r>
    <r>
      <rPr>
        <sz val="10"/>
        <color rgb="FF000000"/>
        <rFont val="Arial"/>
        <family val="0"/>
        <charset val="1"/>
      </rPr>
      <t xml:space="preserve">2027 </t>
    </r>
    <r>
      <rPr>
        <sz val="10"/>
        <color rgb="FF000000"/>
        <rFont val="Noto Sans CJK SC"/>
        <family val="2"/>
      </rPr>
      <t xml:space="preserve">起每年）</t>
    </r>
  </si>
  <si>
    <r>
      <rPr>
        <sz val="10"/>
        <color rgb="FF000000"/>
        <rFont val="Arial"/>
        <family val="0"/>
        <charset val="1"/>
      </rPr>
      <t xml:space="preserve">RMB </t>
    </r>
    <r>
      <rPr>
        <sz val="10"/>
        <color rgb="FF000000"/>
        <rFont val="Noto Sans CJK SC"/>
        <family val="2"/>
      </rPr>
      <t xml:space="preserve">億／年</t>
    </r>
  </si>
  <si>
    <r>
      <rPr>
        <sz val="10"/>
        <color rgb="FF000000"/>
        <rFont val="Noto Sans CJK SC"/>
        <family val="2"/>
      </rPr>
      <t xml:space="preserve">規格 </t>
    </r>
    <r>
      <rPr>
        <sz val="10"/>
        <color rgb="FF000000"/>
        <rFont val="Arial"/>
        <family val="0"/>
        <charset val="1"/>
      </rPr>
      <t xml:space="preserve">D11r</t>
    </r>
    <r>
      <rPr>
        <sz val="10"/>
        <color rgb="FF000000"/>
        <rFont val="Noto Sans CJK SC"/>
        <family val="2"/>
      </rPr>
      <t xml:space="preserve">：自有算力資本支出基準＝</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Decision</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資本開支 </t>
    </r>
    <r>
      <rPr>
        <sz val="10"/>
        <color rgb="FF000000"/>
        <rFont val="Arial"/>
        <family val="0"/>
        <charset val="1"/>
      </rPr>
      <t xml:space="preserve">3.906 </t>
    </r>
    <r>
      <rPr>
        <sz val="10"/>
        <color rgb="FF000000"/>
        <rFont val="Noto Sans CJK SC"/>
        <family val="2"/>
      </rPr>
      <t xml:space="preserve">億為北京紅鑽辦公樓，非算力）；高端為情境</t>
    </r>
  </si>
  <si>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50</t>
    </r>
    <r>
      <rPr>
        <sz val="10"/>
        <color rgb="FF000000"/>
        <rFont val="Noto Sans CJK SC"/>
        <family val="2"/>
      </rPr>
      <t xml:space="preserve">（情境）</t>
    </r>
  </si>
  <si>
    <t xml:space="preserve">INP_112</t>
  </si>
  <si>
    <t xml:space="preserve">dc1gw_sw</t>
  </si>
  <si>
    <r>
      <rPr>
        <sz val="10"/>
        <color rgb="FF000000"/>
        <rFont val="Noto Sans CJK SC"/>
        <family val="2"/>
      </rPr>
      <t xml:space="preserve">情境開關：</t>
    </r>
    <r>
      <rPr>
        <sz val="10"/>
        <color rgb="FF000000"/>
        <rFont val="Arial"/>
        <family val="0"/>
        <charset val="1"/>
      </rPr>
      <t xml:space="preserve">1 GW </t>
    </r>
    <r>
      <rPr>
        <sz val="10"/>
        <color rgb="FF000000"/>
        <rFont val="Noto Sans CJK SC"/>
        <family val="2"/>
      </rPr>
      <t xml:space="preserve">國產算力資料中心（</t>
    </r>
    <r>
      <rPr>
        <sz val="10"/>
        <color rgb="FF000000"/>
        <rFont val="Arial"/>
        <family val="0"/>
        <charset val="1"/>
      </rPr>
      <t xml:space="preserve">0</t>
    </r>
    <r>
      <rPr>
        <sz val="10"/>
        <color rgb="FF000000"/>
        <rFont val="Noto Sans CJK SC"/>
        <family val="2"/>
      </rPr>
      <t xml:space="preserve">＝基準不計）</t>
    </r>
  </si>
  <si>
    <r>
      <rPr>
        <sz val="10"/>
        <color rgb="FF000000"/>
        <rFont val="Noto Sans CJK SC"/>
        <family val="2"/>
      </rPr>
      <t xml:space="preserve">規格 </t>
    </r>
    <r>
      <rPr>
        <sz val="10"/>
        <color rgb="FF000000"/>
        <rFont val="Arial"/>
        <family val="0"/>
        <charset val="1"/>
      </rPr>
      <t xml:space="preserve">D11r</t>
    </r>
    <r>
      <rPr>
        <sz val="10"/>
        <color rgb="FF000000"/>
        <rFont val="Noto Sans CJK SC"/>
        <family val="2"/>
      </rPr>
      <t xml:space="preserve">：公司 </t>
    </r>
    <r>
      <rPr>
        <sz val="10"/>
        <color rgb="FF000000"/>
        <rFont val="Arial"/>
        <family val="0"/>
        <charset val="1"/>
      </rPr>
      <t xml:space="preserve">2026-07 </t>
    </r>
    <r>
      <rPr>
        <sz val="10"/>
        <color rgb="FF000000"/>
        <rFont val="Noto Sans CJK SC"/>
        <family val="2"/>
      </rPr>
      <t xml:space="preserve">稱 </t>
    </r>
    <r>
      <rPr>
        <sz val="10"/>
        <color rgb="FF000000"/>
        <rFont val="Arial"/>
        <family val="0"/>
        <charset val="1"/>
      </rPr>
      <t xml:space="preserve">1 GW </t>
    </r>
    <r>
      <rPr>
        <sz val="10"/>
        <color rgb="FF000000"/>
        <rFont val="Noto Sans CJK SC"/>
        <family val="2"/>
      </rPr>
      <t xml:space="preserve">國產算力資料中心（</t>
    </r>
    <r>
      <rPr>
        <sz val="10"/>
        <color rgb="FF000000"/>
        <rFont val="Arial"/>
        <family val="0"/>
        <charset val="1"/>
      </rPr>
      <t xml:space="preserve">SRC_ZP_458</t>
    </r>
    <r>
      <rPr>
        <sz val="10"/>
        <color rgb="FF000000"/>
        <rFont val="Noto Sans CJK SC"/>
        <family val="2"/>
      </rPr>
      <t xml:space="preserve">，口徑、地點、持有方式未揭露）→ 只列情境，基準關</t>
    </r>
  </si>
  <si>
    <t xml:space="preserve">INP_113</t>
  </si>
  <si>
    <t xml:space="preserve">dc1gw_year</t>
  </si>
  <si>
    <r>
      <rPr>
        <sz val="10"/>
        <color rgb="FF000000"/>
        <rFont val="Arial"/>
        <family val="0"/>
        <charset val="1"/>
      </rPr>
      <t xml:space="preserve">1 GW </t>
    </r>
    <r>
      <rPr>
        <sz val="10"/>
        <color rgb="FF000000"/>
        <rFont val="Noto Sans CJK SC"/>
        <family val="2"/>
      </rPr>
      <t xml:space="preserve">資料中心情境：投產年（資本支出計入前一年）</t>
    </r>
  </si>
  <si>
    <t xml:space="preserve">無揭露時程</t>
  </si>
  <si>
    <r>
      <rPr>
        <sz val="10"/>
        <color rgb="FF000000"/>
        <rFont val="Arial"/>
        <family val="0"/>
        <charset val="1"/>
      </rPr>
      <t xml:space="preserve">2027</t>
    </r>
    <r>
      <rPr>
        <sz val="10"/>
        <color rgb="FF000000"/>
        <rFont val="Noto Sans CJK SC"/>
        <family val="2"/>
      </rPr>
      <t xml:space="preserve">～</t>
    </r>
    <r>
      <rPr>
        <sz val="10"/>
        <color rgb="FF000000"/>
        <rFont val="Arial"/>
        <family val="0"/>
        <charset val="1"/>
      </rPr>
      <t xml:space="preserve">2030</t>
    </r>
  </si>
  <si>
    <t xml:space="preserve">INP_114</t>
  </si>
  <si>
    <t xml:space="preserve">hold_ratio_h20</t>
  </si>
  <si>
    <r>
      <rPr>
        <sz val="10"/>
        <color rgb="FF000000"/>
        <rFont val="Arial"/>
        <family val="0"/>
        <charset val="1"/>
      </rPr>
      <t xml:space="preserve">H20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持有成本 </t>
    </r>
    <r>
      <rPr>
        <sz val="10"/>
        <color rgb="FF000000"/>
        <rFont val="Arial"/>
        <family val="0"/>
        <charset val="1"/>
      </rPr>
      <t xml:space="preserve">÷ Hopper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持有成本</t>
    </r>
  </si>
  <si>
    <r>
      <rPr>
        <sz val="10"/>
        <color rgb="FF000000"/>
        <rFont val="Noto Sans CJK SC"/>
        <family val="2"/>
      </rPr>
      <t xml:space="preserve">規格 </t>
    </r>
    <r>
      <rPr>
        <sz val="10"/>
        <color rgb="FF000000"/>
        <rFont val="Arial"/>
        <family val="0"/>
        <charset val="1"/>
      </rPr>
      <t xml:space="preserve">D6</t>
    </r>
    <r>
      <rPr>
        <sz val="10"/>
        <color rgb="FF000000"/>
        <rFont val="Noto Sans CJK SC"/>
        <family val="2"/>
      </rPr>
      <t xml:space="preserve">『持有比同法』；</t>
    </r>
    <r>
      <rPr>
        <sz val="10"/>
        <color rgb="FF000000"/>
        <rFont val="Arial"/>
        <family val="0"/>
        <charset val="1"/>
      </rPr>
      <t xml:space="preserve">H20 </t>
    </r>
    <r>
      <rPr>
        <sz val="10"/>
        <color rgb="FF000000"/>
        <rFont val="Noto Sans CJK SC"/>
        <family val="2"/>
      </rPr>
      <t xml:space="preserve">單卡售價低於 </t>
    </r>
    <r>
      <rPr>
        <sz val="10"/>
        <color rgb="FF000000"/>
        <rFont val="Arial"/>
        <family val="0"/>
        <charset val="1"/>
      </rPr>
      <t xml:space="preserve">H100</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卡數較多（</t>
    </r>
    <r>
      <rPr>
        <sz val="10"/>
        <color rgb="FF000000"/>
        <rFont val="Arial"/>
        <family val="0"/>
        <charset val="1"/>
      </rPr>
      <t xml:space="preserve">kw_h20</t>
    </r>
    <r>
      <rPr>
        <sz val="10"/>
        <color rgb="FF000000"/>
        <rFont val="Noto Sans CJK SC"/>
        <family val="2"/>
      </rPr>
      <t xml:space="preserve">）；</t>
    </r>
    <r>
      <rPr>
        <sz val="10"/>
        <color rgb="FF000000"/>
        <rFont val="Arial"/>
        <family val="0"/>
        <charset val="1"/>
      </rPr>
      <t xml:space="preserve">Tokenomics </t>
    </r>
    <r>
      <rPr>
        <sz val="10"/>
        <color rgb="FF000000"/>
        <rFont val="Noto Sans CJK SC"/>
        <family val="2"/>
      </rPr>
      <t xml:space="preserve">無 </t>
    </r>
    <r>
      <rPr>
        <sz val="10"/>
        <color rgb="FF000000"/>
        <rFont val="Arial"/>
        <family val="0"/>
        <charset val="1"/>
      </rPr>
      <t xml:space="preserve">H20 </t>
    </r>
    <r>
      <rPr>
        <sz val="10"/>
        <color rgb="FF000000"/>
        <rFont val="Noto Sans CJK SC"/>
        <family val="2"/>
      </rPr>
      <t xml:space="preserve">欄（缺口）</t>
    </r>
  </si>
  <si>
    <t xml:space="preserve">INP_115</t>
  </si>
  <si>
    <t xml:space="preserve">hold_ratio_dom</t>
  </si>
  <si>
    <r>
      <rPr>
        <sz val="10"/>
        <color rgb="FF000000"/>
        <rFont val="Noto Sans CJK SC"/>
        <family val="2"/>
      </rPr>
      <t xml:space="preserve">國產晶片每 </t>
    </r>
    <r>
      <rPr>
        <sz val="10"/>
        <color rgb="FF000000"/>
        <rFont val="Arial"/>
        <family val="0"/>
        <charset val="1"/>
      </rPr>
      <t xml:space="preserve">GW </t>
    </r>
    <r>
      <rPr>
        <sz val="10"/>
        <color rgb="FF000000"/>
        <rFont val="Noto Sans CJK SC"/>
        <family val="2"/>
      </rPr>
      <t xml:space="preserve">持有成本（與資本支出）</t>
    </r>
    <r>
      <rPr>
        <sz val="10"/>
        <color rgb="FF000000"/>
        <rFont val="Arial"/>
        <family val="0"/>
        <charset val="1"/>
      </rPr>
      <t xml:space="preserve">÷ Hopper</t>
    </r>
  </si>
  <si>
    <r>
      <rPr>
        <sz val="10"/>
        <color rgb="FF000000"/>
        <rFont val="Noto Sans CJK SC"/>
        <family val="2"/>
      </rPr>
      <t xml:space="preserve">規格 </t>
    </r>
    <r>
      <rPr>
        <sz val="10"/>
        <color rgb="FF000000"/>
        <rFont val="Arial"/>
        <family val="0"/>
        <charset val="1"/>
      </rPr>
      <t xml:space="preserve">D6</t>
    </r>
    <r>
      <rPr>
        <sz val="10"/>
        <color rgb="FF000000"/>
        <rFont val="Noto Sans CJK SC"/>
        <family val="2"/>
      </rPr>
      <t xml:space="preserve">、</t>
    </r>
    <r>
      <rPr>
        <sz val="10"/>
        <color rgb="FF000000"/>
        <rFont val="Arial"/>
        <family val="0"/>
        <charset val="1"/>
      </rPr>
      <t xml:space="preserve">D11</t>
    </r>
    <r>
      <rPr>
        <sz val="10"/>
        <color rgb="FF000000"/>
        <rFont val="Noto Sans CJK SC"/>
        <family val="2"/>
      </rPr>
      <t xml:space="preserve">（國產持有比；</t>
    </r>
    <r>
      <rPr>
        <sz val="10"/>
        <color rgb="FF000000"/>
        <rFont val="Arial"/>
        <family val="0"/>
        <charset val="1"/>
      </rPr>
      <t xml:space="preserve">Analogy</t>
    </r>
    <r>
      <rPr>
        <sz val="10"/>
        <color rgb="FF000000"/>
        <rFont val="Noto Sans CJK SC"/>
        <family val="2"/>
      </rPr>
      <t xml:space="preserve">）；昇騰卡價未查得；</t>
    </r>
    <r>
      <rPr>
        <sz val="10"/>
        <color rgb="FF000000"/>
        <rFont val="Arial"/>
        <family val="0"/>
        <charset val="1"/>
      </rPr>
      <t xml:space="preserve">Tokenomics </t>
    </r>
    <r>
      <rPr>
        <sz val="10"/>
        <color rgb="FF000000"/>
        <rFont val="Noto Sans CJK SC"/>
        <family val="2"/>
      </rPr>
      <t xml:space="preserve">無昇騰列（缺口）</t>
    </r>
  </si>
  <si>
    <r>
      <rPr>
        <sz val="10"/>
        <color rgb="FF000000"/>
        <rFont val="Arial"/>
        <family val="0"/>
        <charset val="1"/>
      </rPr>
      <t xml:space="preserve">0.4</t>
    </r>
    <r>
      <rPr>
        <sz val="10"/>
        <color rgb="FF000000"/>
        <rFont val="Noto Sans CJK SC"/>
        <family val="2"/>
      </rPr>
      <t xml:space="preserve">～</t>
    </r>
    <r>
      <rPr>
        <sz val="10"/>
        <color rgb="FF000000"/>
        <rFont val="Arial"/>
        <family val="0"/>
        <charset val="1"/>
      </rPr>
      <t xml:space="preserve">0.9</t>
    </r>
  </si>
  <si>
    <t xml:space="preserve">INP_116</t>
  </si>
  <si>
    <t xml:space="preserve">hc_g_2h26</t>
  </si>
  <si>
    <r>
      <rPr>
        <sz val="10"/>
        <color rgb="FF000000"/>
        <rFont val="Noto Sans CJK SC"/>
        <family val="2"/>
      </rPr>
      <t xml:space="preserve">員工人數成長率：</t>
    </r>
    <r>
      <rPr>
        <sz val="10"/>
        <color rgb="FF000000"/>
        <rFont val="Arial"/>
        <family val="0"/>
        <charset val="1"/>
      </rPr>
      <t xml:space="preserve">2H26 </t>
    </r>
    <r>
      <rPr>
        <sz val="10"/>
        <color rgb="FF000000"/>
        <rFont val="Noto Sans CJK SC"/>
        <family val="2"/>
      </rPr>
      <t xml:space="preserve">平均對 </t>
    </r>
    <r>
      <rPr>
        <sz val="10"/>
        <color rgb="FF000000"/>
        <rFont val="Arial"/>
        <family val="0"/>
        <charset val="1"/>
      </rPr>
      <t xml:space="preserve">1H26 </t>
    </r>
    <r>
      <rPr>
        <sz val="10"/>
        <color rgb="FF000000"/>
        <rFont val="Noto Sans CJK SC"/>
        <family val="2"/>
      </rPr>
      <t xml:space="preserve">平均</t>
    </r>
  </si>
  <si>
    <r>
      <rPr>
        <sz val="10"/>
        <color rgb="FF000000"/>
        <rFont val="Noto Sans CJK SC"/>
        <family val="2"/>
      </rPr>
      <t xml:space="preserve">員工 </t>
    </r>
    <r>
      <rPr>
        <sz val="10"/>
        <color rgb="FF000000"/>
        <rFont val="Arial"/>
        <family val="0"/>
        <charset val="1"/>
      </rPr>
      <t xml:space="preserve">2025-12-31 1</t>
    </r>
  </si>
  <si>
    <r>
      <rPr>
        <sz val="10"/>
        <color rgb="FF000000"/>
        <rFont val="Arial"/>
        <family val="0"/>
        <charset val="1"/>
      </rPr>
      <t xml:space="preserve">−10%</t>
    </r>
    <r>
      <rPr>
        <sz val="10"/>
        <color rgb="FF000000"/>
        <rFont val="Noto Sans CJK SC"/>
        <family val="2"/>
      </rPr>
      <t xml:space="preserve">～</t>
    </r>
    <r>
      <rPr>
        <sz val="10"/>
        <color rgb="FF000000"/>
        <rFont val="Arial"/>
        <family val="0"/>
        <charset val="1"/>
      </rPr>
      <t xml:space="preserve">+15%</t>
    </r>
  </si>
  <si>
    <t xml:space="preserve">INP_117</t>
  </si>
  <si>
    <t xml:space="preserve">hc_g</t>
  </si>
  <si>
    <t xml:space="preserve">員工人數年增率（年均人數）</t>
  </si>
  <si>
    <r>
      <rPr>
        <sz val="10"/>
        <color rgb="FF000000"/>
        <rFont val="Arial"/>
        <family val="0"/>
        <charset val="1"/>
      </rPr>
      <t xml:space="preserve">OpenAI v0.6 INP_264–267</t>
    </r>
    <r>
      <rPr>
        <sz val="10"/>
        <color rgb="FF000000"/>
        <rFont val="Noto Sans CJK SC"/>
        <family val="2"/>
      </rPr>
      <t xml:space="preserve">（</t>
    </r>
    <r>
      <rPr>
        <sz val="10"/>
        <color rgb="FF000000"/>
        <rFont val="Arial"/>
        <family val="0"/>
        <charset val="1"/>
      </rPr>
      <t xml:space="preserve">2027 +30% </t>
    </r>
    <r>
      <rPr>
        <sz val="10"/>
        <color rgb="FF000000"/>
        <rFont val="Noto Sans CJK SC"/>
        <family val="2"/>
      </rPr>
      <t xml:space="preserve">遞減至 </t>
    </r>
    <r>
      <rPr>
        <sz val="10"/>
        <color rgb="FF000000"/>
        <rFont val="Arial"/>
        <family val="0"/>
        <charset val="1"/>
      </rPr>
      <t xml:space="preserve">2030 +10%</t>
    </r>
    <r>
      <rPr>
        <sz val="10"/>
        <color rgb="FF000000"/>
        <rFont val="Noto Sans CJK SC"/>
        <family val="2"/>
      </rPr>
      <t xml:space="preserve">）為 </t>
    </r>
    <r>
      <rPr>
        <sz val="10"/>
        <color rgb="FF000000"/>
        <rFont val="Arial"/>
        <family val="0"/>
        <charset val="1"/>
      </rPr>
      <t xml:space="preserve">Analogy</t>
    </r>
    <r>
      <rPr>
        <sz val="10"/>
        <color rgb="FF000000"/>
        <rFont val="Noto Sans CJK SC"/>
        <family val="2"/>
      </rPr>
      <t xml:space="preserve">；智譜 </t>
    </r>
    <r>
      <rPr>
        <sz val="10"/>
        <color rgb="FF000000"/>
        <rFont val="Arial"/>
        <family val="0"/>
        <charset val="1"/>
      </rPr>
      <t xml:space="preserve">2025→1H26 </t>
    </r>
    <r>
      <rPr>
        <sz val="10"/>
        <color rgb="FF000000"/>
        <rFont val="Noto Sans CJK SC"/>
        <family val="2"/>
      </rPr>
      <t xml:space="preserve">人數下降，取較低值</t>
    </r>
  </si>
  <si>
    <t xml:space="preserve">INP_118</t>
  </si>
  <si>
    <t xml:space="preserve">pp_g</t>
  </si>
  <si>
    <t xml:space="preserve">每人年成本（不含股權報酬）年變動率</t>
  </si>
  <si>
    <r>
      <rPr>
        <sz val="10"/>
        <color rgb="FF000000"/>
        <rFont val="Arial"/>
        <family val="0"/>
        <charset val="1"/>
      </rPr>
      <t xml:space="preserve">OpenAI v0.6 INP_268</t>
    </r>
    <r>
      <rPr>
        <sz val="10"/>
        <color rgb="FF000000"/>
        <rFont val="Noto Sans CJK SC"/>
        <family val="2"/>
      </rPr>
      <t xml:space="preserve">（</t>
    </r>
    <r>
      <rPr>
        <sz val="10"/>
        <color rgb="FF000000"/>
        <rFont val="Arial"/>
        <family val="0"/>
        <charset val="1"/>
      </rPr>
      <t xml:space="preserve">0.03</t>
    </r>
    <r>
      <rPr>
        <sz val="10"/>
        <color rgb="FF000000"/>
        <rFont val="Noto Sans CJK SC"/>
        <family val="2"/>
      </rPr>
      <t xml:space="preserve">，</t>
    </r>
    <r>
      <rPr>
        <sz val="10"/>
        <color rgb="FF000000"/>
        <rFont val="Arial"/>
        <family val="0"/>
        <charset val="1"/>
      </rPr>
      <t xml:space="preserve">0–0.08</t>
    </r>
    <r>
      <rPr>
        <sz val="10"/>
        <color rgb="FF000000"/>
        <rFont val="Noto Sans CJK SC"/>
        <family val="2"/>
      </rPr>
      <t xml:space="preserve">）；</t>
    </r>
    <r>
      <rPr>
        <sz val="10"/>
        <color rgb="FF000000"/>
        <rFont val="Arial"/>
        <family val="0"/>
        <charset val="1"/>
      </rPr>
      <t xml:space="preserve">2H26 </t>
    </r>
    <r>
      <rPr>
        <sz val="10"/>
        <color rgb="FF000000"/>
        <rFont val="Noto Sans CJK SC"/>
        <family val="2"/>
      </rPr>
      <t xml:space="preserve">以半年計（</t>
    </r>
    <r>
      <rPr>
        <sz val="10"/>
        <color rgb="FF000000"/>
        <rFont val="Arial"/>
        <family val="0"/>
        <charset val="1"/>
      </rPr>
      <t xml:space="preserve">÷ </t>
    </r>
    <r>
      <rPr>
        <sz val="10"/>
        <color rgb="FF000000"/>
        <rFont val="Noto Sans CJK SC"/>
        <family val="2"/>
      </rPr>
      <t xml:space="preserve">半年數）</t>
    </r>
  </si>
  <si>
    <t xml:space="preserve">INP_119</t>
  </si>
  <si>
    <t xml:space="preserve">sbc_pp_g</t>
  </si>
  <si>
    <t xml:space="preserve">每人股權報酬年變動率</t>
  </si>
  <si>
    <r>
      <rPr>
        <sz val="10"/>
        <color rgb="FF000000"/>
        <rFont val="Arial"/>
        <family val="0"/>
        <charset val="1"/>
      </rPr>
      <t xml:space="preserve">OpenAI v0.6 INP_269</t>
    </r>
    <r>
      <rPr>
        <sz val="10"/>
        <color rgb="FF000000"/>
        <rFont val="Noto Sans CJK SC"/>
        <family val="2"/>
      </rPr>
      <t xml:space="preserve">（</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0.2</t>
    </r>
    <r>
      <rPr>
        <sz val="10"/>
        <color rgb="FF000000"/>
        <rFont val="Noto Sans CJK SC"/>
        <family val="2"/>
      </rPr>
      <t xml:space="preserve">～</t>
    </r>
    <r>
      <rPr>
        <sz val="10"/>
        <color rgb="FF000000"/>
        <rFont val="Arial"/>
        <family val="0"/>
        <charset val="1"/>
      </rPr>
      <t xml:space="preserve">0.2</t>
    </r>
    <r>
      <rPr>
        <sz val="10"/>
        <color rgb="FF000000"/>
        <rFont val="Noto Sans CJK SC"/>
        <family val="2"/>
      </rPr>
      <t xml:space="preserve">）；基期＝</t>
    </r>
    <r>
      <rPr>
        <sz val="10"/>
        <color rgb="FF000000"/>
        <rFont val="Arial"/>
        <family val="0"/>
        <charset val="1"/>
      </rPr>
      <t xml:space="preserve">1H26 </t>
    </r>
    <r>
      <rPr>
        <sz val="10"/>
        <color rgb="FF000000"/>
        <rFont val="Noto Sans CJK SC"/>
        <family val="2"/>
      </rPr>
      <t xml:space="preserve">年化（上市後；</t>
    </r>
    <r>
      <rPr>
        <sz val="10"/>
        <color rgb="FF000000"/>
        <rFont val="Arial"/>
        <family val="0"/>
        <charset val="1"/>
      </rPr>
      <t xml:space="preserve">2025 </t>
    </r>
    <r>
      <rPr>
        <sz val="10"/>
        <color rgb="FF000000"/>
        <rFont val="Noto Sans CJK SC"/>
        <family val="2"/>
      </rPr>
      <t xml:space="preserve">含上市前一次性授予 </t>
    </r>
    <r>
      <rPr>
        <sz val="10"/>
        <color rgb="FF000000"/>
        <rFont val="Arial"/>
        <family val="0"/>
        <charset val="1"/>
      </rPr>
      <t xml:space="preserve">5.58 </t>
    </r>
    <r>
      <rPr>
        <sz val="10"/>
        <color rgb="FF000000"/>
        <rFont val="Noto Sans CJK SC"/>
        <family val="2"/>
      </rPr>
      <t xml:space="preserve">億）</t>
    </r>
  </si>
  <si>
    <t xml:space="preserve">INP_122</t>
  </si>
  <si>
    <t xml:space="preserve">cp_cache_hit</t>
  </si>
  <si>
    <r>
      <rPr>
        <sz val="10"/>
        <color rgb="FF000000"/>
        <rFont val="Arial"/>
        <family val="0"/>
        <charset val="1"/>
      </rPr>
      <t xml:space="preserve">Coding Plan </t>
    </r>
    <r>
      <rPr>
        <sz val="10"/>
        <color rgb="FF000000"/>
        <rFont val="Noto Sans CJK SC"/>
        <family val="2"/>
      </rPr>
      <t xml:space="preserve">輸入 </t>
    </r>
    <r>
      <rPr>
        <sz val="10"/>
        <color rgb="FF000000"/>
        <rFont val="Arial"/>
        <family val="0"/>
        <charset val="1"/>
      </rPr>
      <t xml:space="preserve">token </t>
    </r>
    <r>
      <rPr>
        <sz val="10"/>
        <color rgb="FF000000"/>
        <rFont val="Noto Sans CJK SC"/>
        <family val="2"/>
      </rPr>
      <t xml:space="preserve">中快取命中占比</t>
    </r>
  </si>
  <si>
    <r>
      <rPr>
        <sz val="10"/>
        <color rgb="FF000000"/>
        <rFont val="Noto Sans CJK SC"/>
        <family val="2"/>
      </rPr>
      <t xml:space="preserve">工作單 </t>
    </r>
    <r>
      <rPr>
        <sz val="10"/>
        <color rgb="FF000000"/>
        <rFont val="Arial"/>
        <family val="0"/>
        <charset val="1"/>
      </rPr>
      <t xml:space="preserve">Z3b F1</t>
    </r>
    <r>
      <rPr>
        <sz val="10"/>
        <color rgb="FF000000"/>
        <rFont val="Noto Sans CJK SC"/>
        <family val="2"/>
      </rPr>
      <t xml:space="preserve">（</t>
    </r>
    <r>
      <rPr>
        <sz val="10"/>
        <color rgb="FF000000"/>
        <rFont val="Arial"/>
        <family val="0"/>
        <charset val="1"/>
      </rPr>
      <t xml:space="preserve">Analogy 0.9</t>
    </r>
    <r>
      <rPr>
        <sz val="10"/>
        <color rgb="FF000000"/>
        <rFont val="Noto Sans CJK SC"/>
        <family val="2"/>
      </rPr>
      <t xml:space="preserve">，</t>
    </r>
    <r>
      <rPr>
        <sz val="10"/>
        <color rgb="FF000000"/>
        <rFont val="Arial"/>
        <family val="0"/>
        <charset val="1"/>
      </rPr>
      <t xml:space="preserve">0.8–0.97</t>
    </r>
    <r>
      <rPr>
        <sz val="10"/>
        <color rgb="FF000000"/>
        <rFont val="Noto Sans CJK SC"/>
        <family val="2"/>
      </rPr>
      <t xml:space="preserve">）：程式碼代理每次呼叫重送專案上下文，前綴快取命中為主；</t>
    </r>
    <r>
      <rPr>
        <sz val="10"/>
        <color rgb="FF000000"/>
        <rFont val="Arial"/>
        <family val="0"/>
        <charset val="1"/>
      </rPr>
      <t xml:space="preserve">Z1-R</t>
    </r>
    <r>
      <rPr>
        <sz val="10"/>
        <color rgb="FF000000"/>
        <rFont val="Noto Sans CJK SC"/>
        <family val="2"/>
      </rPr>
      <t xml:space="preserve">：</t>
    </r>
    <r>
      <rPr>
        <sz val="10"/>
        <color rgb="FF000000"/>
        <rFont val="Arial"/>
        <family val="0"/>
        <charset val="1"/>
      </rPr>
      <t xml:space="preserve">Coding Plan </t>
    </r>
    <r>
      <rPr>
        <sz val="10"/>
        <color rgb="FF000000"/>
        <rFont val="Noto Sans CJK SC"/>
        <family val="2"/>
      </rPr>
      <t xml:space="preserve">每 </t>
    </r>
    <r>
      <rPr>
        <sz val="10"/>
        <color rgb="FF000000"/>
        <rFont val="Arial"/>
        <family val="0"/>
        <charset val="1"/>
      </rPr>
      <t xml:space="preserve">prompt 15–20 </t>
    </r>
    <r>
      <rPr>
        <sz val="10"/>
        <color rgb="FF000000"/>
        <rFont val="Noto Sans CJK SC"/>
        <family val="2"/>
      </rPr>
      <t xml:space="preserve">次呼叫（</t>
    </r>
    <r>
      <rPr>
        <sz val="10"/>
        <color rgb="FF000000"/>
        <rFont val="Arial"/>
        <family val="0"/>
        <charset val="1"/>
      </rPr>
      <t xml:space="preserve">SRC_ZP_379</t>
    </r>
    <r>
      <rPr>
        <sz val="10"/>
        <color rgb="FF000000"/>
        <rFont val="Noto Sans CJK SC"/>
        <family val="2"/>
      </rPr>
      <t xml:space="preserve">）、每次攜帶大量重複上下文；</t>
    </r>
    <r>
      <rPr>
        <sz val="10"/>
        <color rgb="FF000000"/>
        <rFont val="Arial"/>
        <family val="0"/>
        <charset val="1"/>
      </rPr>
      <t xml:space="preserve">API </t>
    </r>
    <r>
      <rPr>
        <sz val="10"/>
        <color rgb="FF000000"/>
        <rFont val="Noto Sans CJK SC"/>
        <family val="2"/>
      </rPr>
      <t xml:space="preserve">按量計費沿用 </t>
    </r>
    <r>
      <rPr>
        <sz val="10"/>
        <color rgb="FF000000"/>
        <rFont val="Arial"/>
        <family val="0"/>
        <charset val="1"/>
      </rPr>
      <t xml:space="preserve">cache_hit</t>
    </r>
    <r>
      <rPr>
        <sz val="10"/>
        <color rgb="FF000000"/>
        <rFont val="Noto Sans CJK SC"/>
        <family val="2"/>
      </rPr>
      <t xml:space="preserve">（</t>
    </r>
    <r>
      <rPr>
        <sz val="10"/>
        <color rgb="FF000000"/>
        <rFont val="Arial"/>
        <family val="0"/>
        <charset val="1"/>
      </rPr>
      <t xml:space="preserve">INP 0.5</t>
    </r>
    <r>
      <rPr>
        <sz val="10"/>
        <color rgb="FF000000"/>
        <rFont val="Noto Sans CJK SC"/>
        <family val="2"/>
      </rPr>
      <t xml:space="preserve">）</t>
    </r>
  </si>
  <si>
    <r>
      <rPr>
        <sz val="10"/>
        <color rgb="FF000000"/>
        <rFont val="Arial"/>
        <family val="0"/>
        <charset val="1"/>
      </rPr>
      <t xml:space="preserve">0.8</t>
    </r>
    <r>
      <rPr>
        <sz val="10"/>
        <color rgb="FF000000"/>
        <rFont val="Noto Sans CJK SC"/>
        <family val="2"/>
      </rPr>
      <t xml:space="preserve">～</t>
    </r>
    <r>
      <rPr>
        <sz val="10"/>
        <color rgb="FF000000"/>
        <rFont val="Arial"/>
        <family val="0"/>
        <charset val="1"/>
      </rPr>
      <t xml:space="preserve">0.97</t>
    </r>
    <r>
      <rPr>
        <sz val="10"/>
        <color rgb="FF000000"/>
        <rFont val="Noto Sans CJK SC"/>
        <family val="2"/>
      </rPr>
      <t xml:space="preserve">（工作單）</t>
    </r>
  </si>
  <si>
    <t xml:space="preserve">INP_123</t>
  </si>
  <si>
    <t xml:space="preserve">cp_out_share</t>
  </si>
  <si>
    <r>
      <rPr>
        <sz val="10"/>
        <color rgb="FF000000"/>
        <rFont val="Arial"/>
        <family val="0"/>
        <charset val="1"/>
      </rPr>
      <t xml:space="preserve">Coding Plan token </t>
    </r>
    <r>
      <rPr>
        <sz val="10"/>
        <color rgb="FF000000"/>
        <rFont val="Noto Sans CJK SC"/>
        <family val="2"/>
      </rPr>
      <t xml:space="preserve">中輸出 </t>
    </r>
    <r>
      <rPr>
        <sz val="10"/>
        <color rgb="FF000000"/>
        <rFont val="Arial"/>
        <family val="0"/>
        <charset val="1"/>
      </rPr>
      <t xml:space="preserve">token </t>
    </r>
    <r>
      <rPr>
        <sz val="10"/>
        <color rgb="FF000000"/>
        <rFont val="Noto Sans CJK SC"/>
        <family val="2"/>
      </rPr>
      <t xml:space="preserve">占比</t>
    </r>
  </si>
  <si>
    <r>
      <rPr>
        <sz val="10"/>
        <color rgb="FF000000"/>
        <rFont val="Noto Sans CJK SC"/>
        <family val="2"/>
      </rPr>
      <t xml:space="preserve">工作單 </t>
    </r>
    <r>
      <rPr>
        <sz val="10"/>
        <color rgb="FF000000"/>
        <rFont val="Arial"/>
        <family val="0"/>
        <charset val="1"/>
      </rPr>
      <t xml:space="preserve">Z3b F1</t>
    </r>
    <r>
      <rPr>
        <sz val="10"/>
        <color rgb="FF000000"/>
        <rFont val="Noto Sans CJK SC"/>
        <family val="2"/>
      </rPr>
      <t xml:space="preserve">（</t>
    </r>
    <r>
      <rPr>
        <sz val="10"/>
        <color rgb="FF000000"/>
        <rFont val="Arial"/>
        <family val="0"/>
        <charset val="1"/>
      </rPr>
      <t xml:space="preserve">Analogy 0.03</t>
    </r>
    <r>
      <rPr>
        <sz val="10"/>
        <color rgb="FF000000"/>
        <rFont val="Noto Sans CJK SC"/>
        <family val="2"/>
      </rPr>
      <t xml:space="preserve">，</t>
    </r>
    <r>
      <rPr>
        <sz val="10"/>
        <color rgb="FF000000"/>
        <rFont val="Arial"/>
        <family val="0"/>
        <charset val="1"/>
      </rPr>
      <t xml:space="preserve">0.01–0.08</t>
    </r>
    <r>
      <rPr>
        <sz val="10"/>
        <color rgb="FF000000"/>
        <rFont val="Noto Sans CJK SC"/>
        <family val="2"/>
      </rPr>
      <t xml:space="preserve">）：程式碼代理以讀取上下文為主、輸出（含工具呼叫）占比低；</t>
    </r>
    <r>
      <rPr>
        <sz val="10"/>
        <color rgb="FF000000"/>
        <rFont val="Arial"/>
        <family val="0"/>
        <charset val="1"/>
      </rPr>
      <t xml:space="preserve">API </t>
    </r>
    <r>
      <rPr>
        <sz val="10"/>
        <color rgb="FF000000"/>
        <rFont val="Noto Sans CJK SC"/>
        <family val="2"/>
      </rPr>
      <t xml:space="preserve">按量計費沿用 </t>
    </r>
    <r>
      <rPr>
        <sz val="10"/>
        <color rgb="FF000000"/>
        <rFont val="Arial"/>
        <family val="0"/>
        <charset val="1"/>
      </rPr>
      <t xml:space="preserve">out_share</t>
    </r>
    <r>
      <rPr>
        <sz val="10"/>
        <color rgb="FF000000"/>
        <rFont val="Noto Sans CJK SC"/>
        <family val="2"/>
      </rPr>
      <t xml:space="preserve">（</t>
    </r>
    <r>
      <rPr>
        <sz val="10"/>
        <color rgb="FF000000"/>
        <rFont val="Arial"/>
        <family val="0"/>
        <charset val="1"/>
      </rPr>
      <t xml:space="preserve">0.15</t>
    </r>
    <r>
      <rPr>
        <sz val="10"/>
        <color rgb="FF000000"/>
        <rFont val="Noto Sans CJK SC"/>
        <family val="2"/>
      </rPr>
      <t xml:space="preserve">）</t>
    </r>
  </si>
  <si>
    <r>
      <rPr>
        <sz val="10"/>
        <color rgb="FF000000"/>
        <rFont val="Arial"/>
        <family val="0"/>
        <charset val="1"/>
      </rPr>
      <t xml:space="preserve">0.01</t>
    </r>
    <r>
      <rPr>
        <sz val="10"/>
        <color rgb="FF000000"/>
        <rFont val="Noto Sans CJK SC"/>
        <family val="2"/>
      </rPr>
      <t xml:space="preserve">～</t>
    </r>
    <r>
      <rPr>
        <sz val="10"/>
        <color rgb="FF000000"/>
        <rFont val="Arial"/>
        <family val="0"/>
        <charset val="1"/>
      </rPr>
      <t xml:space="preserve">0.08</t>
    </r>
    <r>
      <rPr>
        <sz val="10"/>
        <color rgb="FF000000"/>
        <rFont val="Noto Sans CJK SC"/>
        <family val="2"/>
      </rPr>
      <t xml:space="preserve">（工作單）</t>
    </r>
  </si>
  <si>
    <t xml:space="preserve">INP_124</t>
  </si>
  <si>
    <t xml:space="preserve">min_cash_months</t>
  </si>
  <si>
    <t xml:space="preserve">最低現金：次年（算力成本＋非算力成本不含股權報酬）的月數</t>
  </si>
  <si>
    <r>
      <rPr>
        <sz val="10"/>
        <color rgb="FF000000"/>
        <rFont val="Noto Sans CJK SC"/>
        <family val="2"/>
      </rPr>
      <t xml:space="preserve">規格 </t>
    </r>
    <r>
      <rPr>
        <sz val="10"/>
        <color rgb="FF000000"/>
        <rFont val="Arial"/>
        <family val="0"/>
        <charset val="1"/>
      </rPr>
      <t xml:space="preserve">D17</t>
    </r>
    <r>
      <rPr>
        <sz val="10"/>
        <color rgb="FF000000"/>
        <rFont val="Noto Sans CJK SC"/>
        <family val="2"/>
      </rPr>
      <t xml:space="preserve">（基準 </t>
    </r>
    <r>
      <rPr>
        <sz val="10"/>
        <color rgb="FF000000"/>
        <rFont val="Arial"/>
        <family val="0"/>
        <charset val="1"/>
      </rPr>
      <t xml:space="preserve">6 </t>
    </r>
    <r>
      <rPr>
        <sz val="10"/>
        <color rgb="FF000000"/>
        <rFont val="Noto Sans CJK SC"/>
        <family val="2"/>
      </rPr>
      <t xml:space="preserve">個月；同 </t>
    </r>
    <r>
      <rPr>
        <sz val="10"/>
        <color rgb="FF000000"/>
        <rFont val="Arial"/>
        <family val="0"/>
        <charset val="1"/>
      </rPr>
      <t xml:space="preserve">OpenAI</t>
    </r>
    <r>
      <rPr>
        <sz val="10"/>
        <color rgb="FF000000"/>
        <rFont val="Noto Sans CJK SC"/>
        <family val="2"/>
      </rPr>
      <t xml:space="preserve">／</t>
    </r>
    <r>
      <rPr>
        <sz val="10"/>
        <color rgb="FF000000"/>
        <rFont val="Arial"/>
        <family val="0"/>
        <charset val="1"/>
      </rPr>
      <t xml:space="preserve">CRWV S7 </t>
    </r>
    <r>
      <rPr>
        <sz val="10"/>
        <color rgb="FF000000"/>
        <rFont val="Noto Sans CJK SC"/>
        <family val="2"/>
      </rPr>
      <t xml:space="preserve">以比例表示規模差異）；</t>
    </r>
    <r>
      <rPr>
        <sz val="10"/>
        <color rgb="FF000000"/>
        <rFont val="Arial"/>
        <family val="0"/>
        <charset val="1"/>
      </rPr>
      <t xml:space="preserve">2030 </t>
    </r>
    <r>
      <rPr>
        <sz val="10"/>
        <color rgb="FF000000"/>
        <rFont val="Noto Sans CJK SC"/>
        <family val="2"/>
      </rPr>
      <t xml:space="preserve">無次年，以 </t>
    </r>
    <r>
      <rPr>
        <sz val="10"/>
        <color rgb="FF000000"/>
        <rFont val="Arial"/>
        <family val="0"/>
        <charset val="1"/>
      </rPr>
      <t xml:space="preserve">2030 </t>
    </r>
    <r>
      <rPr>
        <sz val="10"/>
        <color rgb="FF000000"/>
        <rFont val="Noto Sans CJK SC"/>
        <family val="2"/>
      </rPr>
      <t xml:space="preserve">當年代替</t>
    </r>
  </si>
  <si>
    <r>
      <rPr>
        <sz val="10"/>
        <color rgb="FF000000"/>
        <rFont val="Arial"/>
        <family val="0"/>
        <charset val="1"/>
      </rPr>
      <t xml:space="preserve">3</t>
    </r>
    <r>
      <rPr>
        <sz val="10"/>
        <color rgb="FF000000"/>
        <rFont val="Noto Sans CJK SC"/>
        <family val="2"/>
      </rPr>
      <t xml:space="preserve">～</t>
    </r>
    <r>
      <rPr>
        <sz val="10"/>
        <color rgb="FF000000"/>
        <rFont val="Arial"/>
        <family val="0"/>
        <charset val="1"/>
      </rPr>
      <t xml:space="preserve">12 </t>
    </r>
    <r>
      <rPr>
        <sz val="10"/>
        <color rgb="FF000000"/>
        <rFont val="Noto Sans CJK SC"/>
        <family val="2"/>
      </rPr>
      <t xml:space="preserve">個月（</t>
    </r>
    <r>
      <rPr>
        <sz val="10"/>
        <color rgb="FF000000"/>
        <rFont val="Arial"/>
        <family val="0"/>
        <charset val="1"/>
      </rPr>
      <t xml:space="preserve">D17</t>
    </r>
    <r>
      <rPr>
        <sz val="10"/>
        <color rgb="FF000000"/>
        <rFont val="Noto Sans CJK SC"/>
        <family val="2"/>
      </rPr>
      <t xml:space="preserve">）</t>
    </r>
  </si>
  <si>
    <t xml:space="preserve">INP_125</t>
  </si>
  <si>
    <t xml:space="preserve">other_inc_future</t>
  </si>
  <si>
    <r>
      <rPr>
        <sz val="10"/>
        <color rgb="FF000000"/>
        <rFont val="Noto Sans CJK SC"/>
        <family val="2"/>
      </rPr>
      <t xml:space="preserve">其他收益（政府補助、利息收入等）：</t>
    </r>
    <r>
      <rPr>
        <sz val="10"/>
        <color rgb="FF000000"/>
        <rFont val="Arial"/>
        <family val="0"/>
        <charset val="1"/>
      </rPr>
      <t xml:space="preserve">2H26 </t>
    </r>
    <r>
      <rPr>
        <sz val="10"/>
        <color rgb="FF000000"/>
        <rFont val="Noto Sans CJK SC"/>
        <family val="2"/>
      </rPr>
      <t xml:space="preserve">起每年</t>
    </r>
  </si>
  <si>
    <r>
      <rPr>
        <sz val="10"/>
        <color rgb="FF000000"/>
        <rFont val="Noto Sans CJK SC"/>
        <family val="2"/>
      </rPr>
      <t xml:space="preserve">規格 </t>
    </r>
    <r>
      <rPr>
        <sz val="10"/>
        <color rgb="FF000000"/>
        <rFont val="Arial"/>
        <family val="0"/>
        <charset val="1"/>
      </rPr>
      <t xml:space="preserve">D20</t>
    </r>
    <r>
      <rPr>
        <sz val="10"/>
        <color rgb="FF000000"/>
        <rFont val="Noto Sans CJK SC"/>
        <family val="2"/>
      </rPr>
      <t xml:space="preserve">：未來補助＝</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Decision</t>
    </r>
    <r>
      <rPr>
        <sz val="10"/>
        <color rgb="FF000000"/>
        <rFont val="Noto Sans CJK SC"/>
        <family val="2"/>
      </rPr>
      <t xml:space="preserve">）；</t>
    </r>
    <r>
      <rPr>
        <sz val="10"/>
        <color rgb="FF000000"/>
        <rFont val="Arial"/>
        <family val="0"/>
        <charset val="1"/>
      </rPr>
      <t xml:space="preserve">r2 P4</t>
    </r>
    <r>
      <rPr>
        <sz val="10"/>
        <color rgb="FF000000"/>
        <rFont val="Noto Sans CJK SC"/>
        <family val="2"/>
      </rPr>
      <t xml:space="preserve">：招股章程顯示政府補助沖減相關開支（已含在費用淨額），其他收入主要是利息收入；</t>
    </r>
    <r>
      <rPr>
        <sz val="10"/>
        <color rgb="FF000000"/>
        <rFont val="Arial"/>
        <family val="0"/>
        <charset val="1"/>
      </rPr>
      <t xml:space="preserve">1H26 </t>
    </r>
    <r>
      <rPr>
        <sz val="10"/>
        <color rgb="FF000000"/>
        <rFont val="Noto Sans CJK SC"/>
        <family val="2"/>
      </rPr>
      <t xml:space="preserve">其他收入 </t>
    </r>
    <r>
      <rPr>
        <sz val="10"/>
        <color rgb="FF000000"/>
        <rFont val="Arial"/>
        <family val="0"/>
        <charset val="1"/>
      </rPr>
      <t xml:space="preserve">0.41 </t>
    </r>
    <r>
      <rPr>
        <sz val="10"/>
        <color rgb="FF000000"/>
        <rFont val="Noto Sans CJK SC"/>
        <family val="2"/>
      </rPr>
      <t xml:space="preserve">億主要為上市後存款利息（</t>
    </r>
    <r>
      <rPr>
        <sz val="10"/>
        <color rgb="FF000000"/>
        <rFont val="Arial"/>
        <family val="0"/>
        <charset val="1"/>
      </rPr>
      <t xml:space="preserve">SRC_ZP_203</t>
    </r>
    <r>
      <rPr>
        <sz val="10"/>
        <color rgb="FF000000"/>
        <rFont val="Noto Sans CJK SC"/>
        <family val="2"/>
      </rPr>
      <t xml:space="preserve">），保守不外推；高端＝</t>
    </r>
    <r>
      <rPr>
        <sz val="10"/>
        <color rgb="FF000000"/>
        <rFont val="Arial"/>
        <family val="0"/>
        <charset val="1"/>
      </rPr>
      <t xml:space="preserve">1H26 </t>
    </r>
    <r>
      <rPr>
        <sz val="10"/>
        <color rgb="FF000000"/>
        <rFont val="Noto Sans CJK SC"/>
        <family val="2"/>
      </rPr>
      <t xml:space="preserve">年化（只作情境）</t>
    </r>
  </si>
  <si>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年化 </t>
    </r>
    <r>
      <rPr>
        <sz val="10"/>
        <color rgb="FF000000"/>
        <rFont val="Arial"/>
        <family val="0"/>
        <charset val="1"/>
      </rPr>
      <t xml:space="preserve">0.83</t>
    </r>
  </si>
  <si>
    <t xml:space="preserve">INP_126</t>
  </si>
  <si>
    <t xml:space="preserve">bank_rate</t>
  </si>
  <si>
    <t xml:space="preserve">銀行借款年利率</t>
  </si>
  <si>
    <r>
      <rPr>
        <sz val="10"/>
        <color rgb="FF000000"/>
        <rFont val="Noto Sans CJK SC"/>
        <family val="2"/>
      </rPr>
      <t xml:space="preserve">工作單 </t>
    </r>
    <r>
      <rPr>
        <sz val="10"/>
        <color rgb="FF000000"/>
        <rFont val="Arial"/>
        <family val="0"/>
        <charset val="1"/>
      </rPr>
      <t xml:space="preserve">Z4</t>
    </r>
    <r>
      <rPr>
        <sz val="10"/>
        <color rgb="FF000000"/>
        <rFont val="Noto Sans CJK SC"/>
        <family val="2"/>
      </rPr>
      <t xml:space="preserve">『利息以財報利率計入』；利率與到期未揭露（</t>
    </r>
    <r>
      <rPr>
        <sz val="10"/>
        <color rgb="FF000000"/>
        <rFont val="Arial"/>
        <family val="0"/>
        <charset val="1"/>
      </rPr>
      <t xml:space="preserve">Z1 not_found</t>
    </r>
    <r>
      <rPr>
        <sz val="10"/>
        <color rgb="FF000000"/>
        <rFont val="Noto Sans CJK SC"/>
        <family val="2"/>
      </rPr>
      <t xml:space="preserve">）；財報財務成本含匯兌損失與租賃利息，不能直接推利率 → 以中國一年期 </t>
    </r>
    <r>
      <rPr>
        <sz val="10"/>
        <color rgb="FF000000"/>
        <rFont val="Arial"/>
        <family val="0"/>
        <charset val="1"/>
      </rPr>
      <t xml:space="preserve">LPR </t>
    </r>
    <r>
      <rPr>
        <sz val="10"/>
        <color rgb="FF000000"/>
        <rFont val="Noto Sans CJK SC"/>
        <family val="2"/>
      </rPr>
      <t xml:space="preserve">約 </t>
    </r>
    <r>
      <rPr>
        <sz val="10"/>
        <color rgb="FF000000"/>
        <rFont val="Arial"/>
        <family val="0"/>
        <charset val="1"/>
      </rPr>
      <t xml:space="preserve">3.0% </t>
    </r>
    <r>
      <rPr>
        <sz val="10"/>
        <color rgb="FF000000"/>
        <rFont val="Noto Sans CJK SC"/>
        <family val="2"/>
      </rPr>
      <t xml:space="preserve">為 </t>
    </r>
    <r>
      <rPr>
        <sz val="10"/>
        <color rgb="FF000000"/>
        <rFont val="Arial"/>
        <family val="0"/>
        <charset val="1"/>
      </rPr>
      <t xml:space="preserve">Analogy</t>
    </r>
    <r>
      <rPr>
        <sz val="10"/>
        <color rgb="FF000000"/>
        <rFont val="Noto Sans CJK SC"/>
        <family val="2"/>
      </rPr>
      <t xml:space="preserve">；</t>
    </r>
    <r>
      <rPr>
        <sz val="10"/>
        <color rgb="FF000000"/>
        <rFont val="Arial"/>
        <family val="0"/>
        <charset val="1"/>
      </rPr>
      <t xml:space="preserve">2025</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用財報財務成本實際值</t>
    </r>
  </si>
  <si>
    <r>
      <rPr>
        <sz val="10"/>
        <color rgb="FF000000"/>
        <rFont val="Arial"/>
        <family val="0"/>
        <charset val="1"/>
      </rPr>
      <t xml:space="preserve">2.5%</t>
    </r>
    <r>
      <rPr>
        <sz val="10"/>
        <color rgb="FF000000"/>
        <rFont val="Noto Sans CJK SC"/>
        <family val="2"/>
      </rPr>
      <t xml:space="preserve">～</t>
    </r>
    <r>
      <rPr>
        <sz val="10"/>
        <color rgb="FF000000"/>
        <rFont val="Arial"/>
        <family val="0"/>
        <charset val="1"/>
      </rPr>
      <t xml:space="preserve">4.5%</t>
    </r>
    <r>
      <rPr>
        <sz val="10"/>
        <color rgb="FF000000"/>
        <rFont val="Noto Sans CJK SC"/>
        <family val="2"/>
      </rPr>
      <t xml:space="preserve">（</t>
    </r>
    <r>
      <rPr>
        <sz val="10"/>
        <color rgb="FF000000"/>
        <rFont val="Arial"/>
        <family val="0"/>
        <charset val="1"/>
      </rPr>
      <t xml:space="preserve">LPR </t>
    </r>
    <r>
      <rPr>
        <sz val="10"/>
        <color rgb="FF000000"/>
        <rFont val="Noto Sans CJK SC"/>
        <family val="2"/>
      </rPr>
      <t xml:space="preserve">至 </t>
    </r>
    <r>
      <rPr>
        <sz val="10"/>
        <color rgb="FF000000"/>
        <rFont val="Arial"/>
        <family val="0"/>
        <charset val="1"/>
      </rPr>
      <t xml:space="preserve">LPR</t>
    </r>
    <r>
      <rPr>
        <sz val="10"/>
        <color rgb="FF000000"/>
        <rFont val="Noto Sans CJK SC"/>
        <family val="2"/>
      </rPr>
      <t xml:space="preserve">＋</t>
    </r>
    <r>
      <rPr>
        <sz val="10"/>
        <color rgb="FF000000"/>
        <rFont val="Arial"/>
        <family val="0"/>
        <charset val="1"/>
      </rPr>
      <t xml:space="preserve">150bp</t>
    </r>
    <r>
      <rPr>
        <sz val="10"/>
        <color rgb="FF000000"/>
        <rFont val="Noto Sans CJK SC"/>
        <family val="2"/>
      </rPr>
      <t xml:space="preserve">）</t>
    </r>
  </si>
  <si>
    <t xml:space="preserve">INP_127</t>
  </si>
  <si>
    <t xml:space="preserve">bank_repay_sw</t>
  </si>
  <si>
    <r>
      <rPr>
        <sz val="10"/>
        <color rgb="FF000000"/>
        <rFont val="Noto Sans CJK SC"/>
        <family val="2"/>
      </rPr>
      <t xml:space="preserve">銀行借款到期處理開關（</t>
    </r>
    <r>
      <rPr>
        <sz val="10"/>
        <color rgb="FF000000"/>
        <rFont val="Arial"/>
        <family val="0"/>
        <charset val="1"/>
      </rPr>
      <t xml:space="preserve">0</t>
    </r>
    <r>
      <rPr>
        <sz val="10"/>
        <color rgb="FF000000"/>
        <rFont val="Noto Sans CJK SC"/>
        <family val="2"/>
      </rPr>
      <t xml:space="preserve">＝續借；</t>
    </r>
    <r>
      <rPr>
        <sz val="10"/>
        <color rgb="FF000000"/>
        <rFont val="Arial"/>
        <family val="0"/>
        <charset val="1"/>
      </rPr>
      <t xml:space="preserve">1</t>
    </r>
    <r>
      <rPr>
        <sz val="10"/>
        <color rgb="FF000000"/>
        <rFont val="Noto Sans CJK SC"/>
        <family val="2"/>
      </rPr>
      <t xml:space="preserve">＝流動部分 </t>
    </r>
    <r>
      <rPr>
        <sz val="10"/>
        <color rgb="FF000000"/>
        <rFont val="Arial"/>
        <family val="0"/>
        <charset val="1"/>
      </rPr>
      <t xml:space="preserve">2027</t>
    </r>
    <r>
      <rPr>
        <sz val="10"/>
        <color rgb="FF000000"/>
        <rFont val="Noto Sans CJK SC"/>
        <family val="2"/>
      </rPr>
      <t xml:space="preserve">、非流動部分 </t>
    </r>
    <r>
      <rPr>
        <sz val="10"/>
        <color rgb="FF000000"/>
        <rFont val="Arial"/>
        <family val="0"/>
        <charset val="1"/>
      </rPr>
      <t xml:space="preserve">2028 </t>
    </r>
    <r>
      <rPr>
        <sz val="10"/>
        <color rgb="FF000000"/>
        <rFont val="Noto Sans CJK SC"/>
        <family val="2"/>
      </rPr>
      <t xml:space="preserve">償還）</t>
    </r>
  </si>
  <si>
    <r>
      <rPr>
        <sz val="10"/>
        <color rgb="FF000000"/>
        <rFont val="Noto Sans CJK SC"/>
        <family val="2"/>
      </rPr>
      <t xml:space="preserve">工作單 </t>
    </r>
    <r>
      <rPr>
        <sz val="10"/>
        <color rgb="FF000000"/>
        <rFont val="Arial"/>
        <family val="0"/>
        <charset val="1"/>
      </rPr>
      <t xml:space="preserve">Z4 </t>
    </r>
    <r>
      <rPr>
        <sz val="10"/>
        <color rgb="FF000000"/>
        <rFont val="Noto Sans CJK SC"/>
        <family val="2"/>
      </rPr>
      <t xml:space="preserve">預設：到期續借（</t>
    </r>
    <r>
      <rPr>
        <sz val="10"/>
        <color rgb="FF000000"/>
        <rFont val="Arial"/>
        <family val="0"/>
        <charset val="1"/>
      </rPr>
      <t xml:space="preserve">Decision</t>
    </r>
    <r>
      <rPr>
        <sz val="10"/>
        <color rgb="FF000000"/>
        <rFont val="Noto Sans CJK SC"/>
        <family val="2"/>
      </rPr>
      <t xml:space="preserve">）；替代＝到期償還（列情境）</t>
    </r>
  </si>
  <si>
    <t xml:space="preserve">INP_128</t>
  </si>
  <si>
    <t xml:space="preserve">cb_conv_sw</t>
  </si>
  <si>
    <r>
      <rPr>
        <sz val="10"/>
        <color rgb="FF000000"/>
        <rFont val="Noto Sans CJK SC"/>
        <family val="2"/>
      </rPr>
      <t xml:space="preserve">可換股債券處理開關（</t>
    </r>
    <r>
      <rPr>
        <sz val="10"/>
        <color rgb="FF000000"/>
        <rFont val="Arial"/>
        <family val="0"/>
        <charset val="1"/>
      </rPr>
      <t xml:space="preserve">0</t>
    </r>
    <r>
      <rPr>
        <sz val="10"/>
        <color rgb="FF000000"/>
        <rFont val="Noto Sans CJK SC"/>
        <family val="2"/>
      </rPr>
      <t xml:space="preserve">＝視為債務、到期現金償還；</t>
    </r>
    <r>
      <rPr>
        <sz val="10"/>
        <color rgb="FF000000"/>
        <rFont val="Arial"/>
        <family val="0"/>
        <charset val="1"/>
      </rPr>
      <t xml:space="preserve">1</t>
    </r>
    <r>
      <rPr>
        <sz val="10"/>
        <color rgb="FF000000"/>
        <rFont val="Noto Sans CJK SC"/>
        <family val="2"/>
      </rPr>
      <t xml:space="preserve">＝轉股、不償還）</t>
    </r>
  </si>
  <si>
    <r>
      <rPr>
        <sz val="10"/>
        <color rgb="FF000000"/>
        <rFont val="Noto Sans CJK SC"/>
        <family val="2"/>
      </rPr>
      <t xml:space="preserve">規格 </t>
    </r>
    <r>
      <rPr>
        <sz val="10"/>
        <color rgb="FF000000"/>
        <rFont val="Arial"/>
        <family val="0"/>
        <charset val="1"/>
      </rPr>
      <t xml:space="preserve">D16r</t>
    </r>
    <r>
      <rPr>
        <sz val="10"/>
        <color rgb="FF000000"/>
        <rFont val="Noto Sans CJK SC"/>
        <family val="2"/>
      </rPr>
      <t xml:space="preserve">：基準＝債務、</t>
    </r>
    <r>
      <rPr>
        <sz val="10"/>
        <color rgb="FF000000"/>
        <rFont val="Arial"/>
        <family val="0"/>
        <charset val="1"/>
      </rPr>
      <t xml:space="preserve">2027-09-16 </t>
    </r>
    <r>
      <rPr>
        <sz val="10"/>
        <color rgb="FF000000"/>
        <rFont val="Noto Sans CJK SC"/>
        <family val="2"/>
      </rPr>
      <t xml:space="preserve">到期以現金償還（現價 </t>
    </r>
    <r>
      <rPr>
        <sz val="10"/>
        <color rgb="FF000000"/>
        <rFont val="Arial"/>
        <family val="0"/>
        <charset val="1"/>
      </rPr>
      <t xml:space="preserve">HK$696 </t>
    </r>
    <r>
      <rPr>
        <sz val="10"/>
        <color rgb="FF000000"/>
        <rFont val="Noto Sans CJK SC"/>
        <family val="2"/>
      </rPr>
      <t xml:space="preserve">低於換股價 </t>
    </r>
    <r>
      <rPr>
        <sz val="10"/>
        <color rgb="FF000000"/>
        <rFont val="Arial"/>
        <family val="0"/>
        <charset val="1"/>
      </rPr>
      <t xml:space="preserve">HK$892.50</t>
    </r>
    <r>
      <rPr>
        <sz val="10"/>
        <color rgb="FF000000"/>
        <rFont val="Noto Sans CJK SC"/>
        <family val="2"/>
      </rPr>
      <t xml:space="preserve">，較保守）；轉股情境另列（</t>
    </r>
    <r>
      <rPr>
        <sz val="10"/>
        <color rgb="FF000000"/>
        <rFont val="Arial"/>
        <family val="0"/>
        <charset val="1"/>
      </rPr>
      <t xml:space="preserve">Funding </t>
    </r>
    <r>
      <rPr>
        <sz val="10"/>
        <color rgb="FF000000"/>
        <rFont val="Noto Sans CJK SC"/>
        <family val="2"/>
      </rPr>
      <t xml:space="preserve">第五節，不受本開關影響）</t>
    </r>
  </si>
  <si>
    <t xml:space="preserve">INP_129</t>
  </si>
  <si>
    <t xml:space="preserve">cb_redeem</t>
  </si>
  <si>
    <t xml:space="preserve">可換股債券到期贖回價（占本金）</t>
  </si>
  <si>
    <r>
      <rPr>
        <sz val="10"/>
        <color rgb="FF000000"/>
        <rFont val="Noto Sans CJK SC"/>
        <family val="2"/>
      </rPr>
      <t xml:space="preserve">零息、發行價 </t>
    </r>
    <r>
      <rPr>
        <sz val="10"/>
        <color rgb="FF000000"/>
        <rFont val="Arial"/>
        <family val="0"/>
        <charset val="1"/>
      </rPr>
      <t xml:space="preserve">100.5%</t>
    </r>
    <r>
      <rPr>
        <sz val="10"/>
        <color rgb="FF000000"/>
        <rFont val="Noto Sans CJK SC"/>
        <family val="2"/>
      </rPr>
      <t xml:space="preserve">（</t>
    </r>
    <r>
      <rPr>
        <sz val="10"/>
        <color rgb="FF000000"/>
        <rFont val="Arial"/>
        <family val="0"/>
        <charset val="1"/>
      </rPr>
      <t xml:space="preserve">SRC_ZP_545</t>
    </r>
    <r>
      <rPr>
        <sz val="10"/>
        <color rgb="FF000000"/>
        <rFont val="Noto Sans CJK SC"/>
        <family val="2"/>
      </rPr>
      <t xml:space="preserve">）；到期贖回溢價未揭露 → 以本金 </t>
    </r>
    <r>
      <rPr>
        <sz val="10"/>
        <color rgb="FF000000"/>
        <rFont val="Arial"/>
        <family val="0"/>
        <charset val="1"/>
      </rPr>
      <t xml:space="preserve">100% </t>
    </r>
    <r>
      <rPr>
        <sz val="10"/>
        <color rgb="FF000000"/>
        <rFont val="Noto Sans CJK SC"/>
        <family val="2"/>
      </rPr>
      <t xml:space="preserve">償還</t>
    </r>
  </si>
  <si>
    <t xml:space="preserve">INP_130</t>
  </si>
  <si>
    <t xml:space="preserve">cb_year</t>
  </si>
  <si>
    <t xml:space="preserve">可換股債券到期年</t>
  </si>
  <si>
    <r>
      <rPr>
        <sz val="10"/>
        <color rgb="FF000000"/>
        <rFont val="Arial"/>
        <family val="0"/>
        <charset val="1"/>
      </rPr>
      <t xml:space="preserve">2027-09-16 </t>
    </r>
    <r>
      <rPr>
        <sz val="10"/>
        <color rgb="FF000000"/>
        <rFont val="Noto Sans CJK SC"/>
        <family val="2"/>
      </rPr>
      <t xml:space="preserve">到期（</t>
    </r>
    <r>
      <rPr>
        <sz val="10"/>
        <color rgb="FF000000"/>
        <rFont val="Arial"/>
        <family val="0"/>
        <charset val="1"/>
      </rPr>
      <t xml:space="preserve">SRC_ZP_548 note</t>
    </r>
    <r>
      <rPr>
        <sz val="10"/>
        <color rgb="FF000000"/>
        <rFont val="Noto Sans CJK SC"/>
        <family val="2"/>
      </rPr>
      <t xml:space="preserve">）</t>
    </r>
  </si>
  <si>
    <t xml:space="preserve">INP_131</t>
  </si>
  <si>
    <t xml:space="preserve">capex_nc</t>
  </si>
  <si>
    <r>
      <rPr>
        <sz val="10"/>
        <color rgb="FF000000"/>
        <rFont val="Noto Sans CJK SC"/>
        <family val="2"/>
      </rPr>
      <t xml:space="preserve">非算力資本支出（辦公設備等）：</t>
    </r>
    <r>
      <rPr>
        <sz val="10"/>
        <color rgb="FF000000"/>
        <rFont val="Arial"/>
        <family val="0"/>
        <charset val="1"/>
      </rPr>
      <t xml:space="preserve">2H26 </t>
    </r>
    <r>
      <rPr>
        <sz val="10"/>
        <color rgb="FF000000"/>
        <rFont val="Noto Sans CJK SC"/>
        <family val="2"/>
      </rPr>
      <t xml:space="preserve">起每年</t>
    </r>
  </si>
  <si>
    <r>
      <rPr>
        <sz val="10"/>
        <color rgb="FF000000"/>
        <rFont val="Arial"/>
        <family val="0"/>
        <charset val="1"/>
      </rPr>
      <t xml:space="preserve">FY2025 </t>
    </r>
    <r>
      <rPr>
        <sz val="10"/>
        <color rgb="FF000000"/>
        <rFont val="Noto Sans CJK SC"/>
        <family val="2"/>
      </rPr>
      <t xml:space="preserve">資本開支 </t>
    </r>
    <r>
      <rPr>
        <sz val="10"/>
        <color rgb="FF000000"/>
        <rFont val="Arial"/>
        <family val="0"/>
        <charset val="1"/>
      </rPr>
      <t xml:space="preserve">0.747 </t>
    </r>
    <r>
      <rPr>
        <sz val="10"/>
        <color rgb="FF000000"/>
        <rFont val="Noto Sans CJK SC"/>
        <family val="2"/>
      </rPr>
      <t xml:space="preserve">億（</t>
    </r>
    <r>
      <rPr>
        <sz val="10"/>
        <color rgb="FF000000"/>
        <rFont val="Arial"/>
        <family val="0"/>
        <charset val="1"/>
      </rPr>
      <t xml:space="preserve">SRC_ZP_149</t>
    </r>
    <r>
      <rPr>
        <sz val="10"/>
        <color rgb="FF000000"/>
        <rFont val="Noto Sans CJK SC"/>
        <family val="2"/>
      </rPr>
      <t xml:space="preserve">；公告稱算力由租賃轉為採購服務，故非算力）延續；</t>
    </r>
    <r>
      <rPr>
        <sz val="10"/>
        <color rgb="FF000000"/>
        <rFont val="Arial"/>
        <family val="0"/>
        <charset val="1"/>
      </rPr>
      <t xml:space="preserve">r2 P2</t>
    </r>
    <r>
      <rPr>
        <sz val="10"/>
        <color rgb="FF000000"/>
        <rFont val="Noto Sans CJK SC"/>
        <family val="2"/>
      </rPr>
      <t xml:space="preserve">：公告口徑含使用權資產添置，招股章程現金口徑 </t>
    </r>
    <r>
      <rPr>
        <sz val="10"/>
        <color rgb="FF000000"/>
        <rFont val="Arial"/>
        <family val="0"/>
        <charset val="1"/>
      </rPr>
      <t xml:space="preserve">FY2024 1.33</t>
    </r>
    <r>
      <rPr>
        <sz val="10"/>
        <color rgb="FF000000"/>
        <rFont val="Noto Sans CJK SC"/>
        <family val="2"/>
      </rPr>
      <t xml:space="preserve">、</t>
    </r>
    <r>
      <rPr>
        <sz val="10"/>
        <color rgb="FF000000"/>
        <rFont val="Arial"/>
        <family val="0"/>
        <charset val="1"/>
      </rPr>
      <t xml:space="preserve">1H25 0.24 </t>
    </r>
    <r>
      <rPr>
        <sz val="10"/>
        <color rgb="FF000000"/>
        <rFont val="Noto Sans CJK SC"/>
        <family val="2"/>
      </rPr>
      <t xml:space="preserve">億（年化 </t>
    </r>
    <r>
      <rPr>
        <sz val="10"/>
        <color rgb="FF000000"/>
        <rFont val="Arial"/>
        <family val="0"/>
        <charset val="1"/>
      </rPr>
      <t xml:space="preserve">0.48</t>
    </r>
    <r>
      <rPr>
        <sz val="10"/>
        <color rgb="FF000000"/>
        <rFont val="Noto Sans CJK SC"/>
        <family val="2"/>
      </rPr>
      <t xml:space="preserve">，</t>
    </r>
    <r>
      <rPr>
        <sz val="10"/>
        <color rgb="FF000000"/>
        <rFont val="Arial"/>
        <family val="0"/>
        <charset val="1"/>
      </rPr>
      <t xml:space="preserve">SRC_ZP_889</t>
    </r>
    <r>
      <rPr>
        <sz val="10"/>
        <color rgb="FF000000"/>
        <rFont val="Noto Sans CJK SC"/>
        <family val="2"/>
      </rPr>
      <t xml:space="preserve">、</t>
    </r>
    <r>
      <rPr>
        <sz val="10"/>
        <color rgb="FF000000"/>
        <rFont val="Arial"/>
        <family val="0"/>
        <charset val="1"/>
      </rPr>
      <t xml:space="preserve">891</t>
    </r>
    <r>
      <rPr>
        <sz val="10"/>
        <color rgb="FF000000"/>
        <rFont val="Noto Sans CJK SC"/>
        <family val="2"/>
      </rPr>
      <t xml:space="preserve">），落在區間內；</t>
    </r>
    <r>
      <rPr>
        <sz val="10"/>
        <color rgb="FF000000"/>
        <rFont val="Arial"/>
        <family val="0"/>
        <charset val="1"/>
      </rPr>
      <t xml:space="preserve">1H26 3.906 </t>
    </r>
    <r>
      <rPr>
        <sz val="10"/>
        <color rgb="FF000000"/>
        <rFont val="Noto Sans CJK SC"/>
        <family val="2"/>
      </rPr>
      <t xml:space="preserve">億主要為北京紅鑽物業（一次性，</t>
    </r>
    <r>
      <rPr>
        <sz val="10"/>
        <color rgb="FF000000"/>
        <rFont val="Arial"/>
        <family val="0"/>
        <charset val="1"/>
      </rPr>
      <t xml:space="preserve">D11r</t>
    </r>
    <r>
      <rPr>
        <sz val="10"/>
        <color rgb="FF000000"/>
        <rFont val="Noto Sans CJK SC"/>
        <family val="2"/>
      </rPr>
      <t xml:space="preserve">）；自有算力資本支出在 </t>
    </r>
    <r>
      <rPr>
        <sz val="10"/>
        <color rgb="FF000000"/>
        <rFont val="Arial"/>
        <family val="0"/>
        <charset val="1"/>
      </rPr>
      <t xml:space="preserve">Cost </t>
    </r>
    <r>
      <rPr>
        <sz val="10"/>
        <color rgb="FF000000"/>
        <rFont val="Noto Sans CJK SC"/>
        <family val="2"/>
      </rPr>
      <t xml:space="preserve">算力成本內（</t>
    </r>
    <r>
      <rPr>
        <sz val="10"/>
        <color rgb="FF000000"/>
        <rFont val="Arial"/>
        <family val="0"/>
        <charset val="1"/>
      </rPr>
      <t xml:space="preserve">D11r </t>
    </r>
    <r>
      <rPr>
        <sz val="10"/>
        <color rgb="FF000000"/>
        <rFont val="Noto Sans CJK SC"/>
        <family val="2"/>
      </rPr>
      <t xml:space="preserve">基準 </t>
    </r>
    <r>
      <rPr>
        <sz val="10"/>
        <color rgb="FF000000"/>
        <rFont val="Arial"/>
        <family val="0"/>
        <charset val="1"/>
      </rPr>
      <t xml:space="preserve">0</t>
    </r>
    <r>
      <rPr>
        <sz val="10"/>
        <color rgb="FF000000"/>
        <rFont val="Noto Sans CJK SC"/>
        <family val="2"/>
      </rPr>
      <t xml:space="preserve">）</t>
    </r>
  </si>
  <si>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1.5</t>
    </r>
    <r>
      <rPr>
        <sz val="10"/>
        <color rgb="FF000000"/>
        <rFont val="Noto Sans CJK SC"/>
        <family val="2"/>
      </rPr>
      <t xml:space="preserve">（</t>
    </r>
    <r>
      <rPr>
        <sz val="10"/>
        <color rgb="FF000000"/>
        <rFont val="Arial"/>
        <family val="0"/>
        <charset val="1"/>
      </rPr>
      <t xml:space="preserve">FY2025 </t>
    </r>
    <r>
      <rPr>
        <sz val="10"/>
        <color rgb="FF000000"/>
        <rFont val="Noto Sans CJK SC"/>
        <family val="2"/>
      </rPr>
      <t xml:space="preserve">的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2 </t>
    </r>
    <r>
      <rPr>
        <sz val="10"/>
        <color rgb="FF000000"/>
        <rFont val="Noto Sans CJK SC"/>
        <family val="2"/>
      </rPr>
      <t xml:space="preserve">倍）</t>
    </r>
  </si>
  <si>
    <t xml:space="preserve">INP_132</t>
  </si>
  <si>
    <t xml:space="preserve">zkjh_cash</t>
  </si>
  <si>
    <r>
      <rPr>
        <sz val="10"/>
        <color rgb="FF000000"/>
        <rFont val="Noto Sans CJK SC"/>
        <family val="2"/>
      </rPr>
      <t xml:space="preserve">併購現金支出：中科加禾約 </t>
    </r>
    <r>
      <rPr>
        <sz val="10"/>
        <color rgb="FF000000"/>
        <rFont val="Arial"/>
        <family val="0"/>
        <charset val="1"/>
      </rPr>
      <t xml:space="preserve">60%</t>
    </r>
    <r>
      <rPr>
        <sz val="10"/>
        <color rgb="FF000000"/>
        <rFont val="Noto Sans CJK SC"/>
        <family val="2"/>
      </rPr>
      <t xml:space="preserve">（</t>
    </r>
    <r>
      <rPr>
        <sz val="10"/>
        <color rgb="FF000000"/>
        <rFont val="Arial"/>
        <family val="0"/>
        <charset val="1"/>
      </rPr>
      <t xml:space="preserve">2H26</t>
    </r>
    <r>
      <rPr>
        <sz val="10"/>
        <color rgb="FF000000"/>
        <rFont val="Noto Sans CJK SC"/>
        <family val="2"/>
      </rPr>
      <t xml:space="preserve">）</t>
    </r>
  </si>
  <si>
    <r>
      <rPr>
        <sz val="10"/>
        <color rgb="FF000000"/>
        <rFont val="Noto Sans CJK SC"/>
        <family val="2"/>
      </rPr>
      <t xml:space="preserve">規格 </t>
    </r>
    <r>
      <rPr>
        <sz val="10"/>
        <color rgb="FF000000"/>
        <rFont val="Arial"/>
        <family val="0"/>
        <charset val="1"/>
      </rPr>
      <t xml:space="preserve">D18</t>
    </r>
    <r>
      <rPr>
        <sz val="10"/>
        <color rgb="FF000000"/>
        <rFont val="Noto Sans CJK SC"/>
        <family val="2"/>
      </rPr>
      <t xml:space="preserve">；對價未揭露，媒體只寫『數億元』（</t>
    </r>
    <r>
      <rPr>
        <sz val="10"/>
        <color rgb="FF000000"/>
        <rFont val="Arial"/>
        <family val="0"/>
        <charset val="1"/>
      </rPr>
      <t xml:space="preserve">SRC_ZP_559</t>
    </r>
    <r>
      <rPr>
        <sz val="10"/>
        <color rgb="FF000000"/>
        <rFont val="Noto Sans CJK SC"/>
        <family val="2"/>
      </rPr>
      <t xml:space="preserve">）、『</t>
    </r>
    <r>
      <rPr>
        <sz val="10"/>
        <color rgb="FF000000"/>
        <rFont val="Arial"/>
        <family val="0"/>
        <charset val="1"/>
      </rPr>
      <t xml:space="preserve">2.92 </t>
    </r>
    <r>
      <rPr>
        <sz val="10"/>
        <color rgb="FF000000"/>
        <rFont val="Noto Sans CJK SC"/>
        <family val="2"/>
      </rPr>
      <t xml:space="preserve">億』找不到原文 → 取 </t>
    </r>
    <r>
      <rPr>
        <sz val="10"/>
        <color rgb="FF000000"/>
        <rFont val="Arial"/>
        <family val="0"/>
        <charset val="1"/>
      </rPr>
      <t xml:space="preserve">3 </t>
    </r>
    <r>
      <rPr>
        <sz val="10"/>
        <color rgb="FF000000"/>
        <rFont val="Noto Sans CJK SC"/>
        <family val="2"/>
      </rPr>
      <t xml:space="preserve">億</t>
    </r>
  </si>
  <si>
    <r>
      <rPr>
        <sz val="10"/>
        <color rgb="FF000000"/>
        <rFont val="Arial"/>
        <family val="0"/>
        <charset val="1"/>
      </rPr>
      <t xml:space="preserve">1</t>
    </r>
    <r>
      <rPr>
        <sz val="10"/>
        <color rgb="FF000000"/>
        <rFont val="Noto Sans CJK SC"/>
        <family val="2"/>
      </rPr>
      <t xml:space="preserve">～</t>
    </r>
    <r>
      <rPr>
        <sz val="10"/>
        <color rgb="FF000000"/>
        <rFont val="Arial"/>
        <family val="0"/>
        <charset val="1"/>
      </rPr>
      <t xml:space="preserve">5 </t>
    </r>
    <r>
      <rPr>
        <sz val="10"/>
        <color rgb="FF000000"/>
        <rFont val="Noto Sans CJK SC"/>
        <family val="2"/>
      </rPr>
      <t xml:space="preserve">億（『數億元』）</t>
    </r>
  </si>
  <si>
    <t xml:space="preserve">INP_133</t>
  </si>
  <si>
    <t xml:space="preserve">days_jul_aug</t>
  </si>
  <si>
    <r>
      <rPr>
        <sz val="10"/>
        <color rgb="FF000000"/>
        <rFont val="Arial"/>
        <family val="0"/>
        <charset val="1"/>
      </rPr>
      <t xml:space="preserve">2026-07-01</t>
    </r>
    <r>
      <rPr>
        <sz val="10"/>
        <color rgb="FF000000"/>
        <rFont val="Noto Sans CJK SC"/>
        <family val="2"/>
      </rPr>
      <t xml:space="preserve">～</t>
    </r>
    <r>
      <rPr>
        <sz val="10"/>
        <color rgb="FF000000"/>
        <rFont val="Arial"/>
        <family val="0"/>
        <charset val="1"/>
      </rPr>
      <t xml:space="preserve">08-31 </t>
    </r>
    <r>
      <rPr>
        <sz val="10"/>
        <color rgb="FF000000"/>
        <rFont val="Noto Sans CJK SC"/>
        <family val="2"/>
      </rPr>
      <t xml:space="preserve">天數（定義常數）</t>
    </r>
  </si>
  <si>
    <r>
      <rPr>
        <sz val="10"/>
        <color rgb="FF000000"/>
        <rFont val="Noto Sans CJK SC"/>
        <family val="2"/>
      </rPr>
      <t xml:space="preserve">配售款動用對照（</t>
    </r>
    <r>
      <rPr>
        <sz val="10"/>
        <color rgb="FF000000"/>
        <rFont val="Arial"/>
        <family val="0"/>
        <charset val="1"/>
      </rPr>
      <t xml:space="preserve">2026-07 </t>
    </r>
    <r>
      <rPr>
        <sz val="10"/>
        <color rgb="FF000000"/>
        <rFont val="Noto Sans CJK SC"/>
        <family val="2"/>
      </rPr>
      <t xml:space="preserve">配售至 </t>
    </r>
    <r>
      <rPr>
        <sz val="10"/>
        <color rgb="FF000000"/>
        <rFont val="Arial"/>
        <family val="0"/>
        <charset val="1"/>
      </rPr>
      <t xml:space="preserve">08-31 </t>
    </r>
    <r>
      <rPr>
        <sz val="10"/>
        <color rgb="FF000000"/>
        <rFont val="Noto Sans CJK SC"/>
        <family val="2"/>
      </rPr>
      <t xml:space="preserve">已動用）</t>
    </r>
  </si>
  <si>
    <t xml:space="preserve">INP_134</t>
  </si>
  <si>
    <t xml:space="preserve">cons_g_late</t>
  </si>
  <si>
    <r>
      <rPr>
        <sz val="10"/>
        <color rgb="FF000000"/>
        <rFont val="Noto Sans CJK SC"/>
        <family val="2"/>
      </rPr>
      <t xml:space="preserve">反向模式：</t>
    </r>
    <r>
      <rPr>
        <sz val="10"/>
        <color rgb="FF000000"/>
        <rFont val="Arial"/>
        <family val="0"/>
        <charset val="1"/>
      </rPr>
      <t xml:space="preserve">2029–2030 </t>
    </r>
    <r>
      <rPr>
        <sz val="10"/>
        <color rgb="FF000000"/>
        <rFont val="Noto Sans CJK SC"/>
        <family val="2"/>
      </rPr>
      <t xml:space="preserve">目標營收年增率（共識只到 </t>
    </r>
    <r>
      <rPr>
        <sz val="10"/>
        <color rgb="FF000000"/>
        <rFont val="Arial"/>
        <family val="0"/>
        <charset val="1"/>
      </rPr>
      <t xml:space="preserve">FY2028</t>
    </r>
    <r>
      <rPr>
        <sz val="10"/>
        <color rgb="FF000000"/>
        <rFont val="Noto Sans CJK SC"/>
        <family val="2"/>
      </rPr>
      <t xml:space="preserve">）</t>
    </r>
  </si>
  <si>
    <t xml:space="preserve">2029–2030</t>
  </si>
  <si>
    <r>
      <rPr>
        <sz val="10"/>
        <color rgb="FF000000"/>
        <rFont val="Noto Sans CJK SC"/>
        <family val="2"/>
      </rPr>
      <t xml:space="preserve">共識只到 </t>
    </r>
    <r>
      <rPr>
        <sz val="10"/>
        <color rgb="FF000000"/>
        <rFont val="Arial"/>
        <family val="0"/>
        <charset val="1"/>
      </rPr>
      <t xml:space="preserve">FY2028</t>
    </r>
    <r>
      <rPr>
        <sz val="10"/>
        <color rgb="FF000000"/>
        <rFont val="Noto Sans CJK SC"/>
        <family val="2"/>
      </rPr>
      <t xml:space="preserve">（</t>
    </r>
    <r>
      <rPr>
        <sz val="10"/>
        <color rgb="FF000000"/>
        <rFont val="Arial"/>
        <family val="0"/>
        <charset val="1"/>
      </rPr>
      <t xml:space="preserve">SRC_ZP_582–584 </t>
    </r>
    <r>
      <rPr>
        <sz val="10"/>
        <color rgb="FF000000"/>
        <rFont val="Noto Sans CJK SC"/>
        <family val="2"/>
      </rPr>
      <t xml:space="preserve">等）；基準持平於 </t>
    </r>
    <r>
      <rPr>
        <sz val="10"/>
        <color rgb="FF000000"/>
        <rFont val="Arial"/>
        <family val="0"/>
        <charset val="1"/>
      </rPr>
      <t xml:space="preserve">FY2028 </t>
    </r>
    <r>
      <rPr>
        <sz val="10"/>
        <color rgb="FF000000"/>
        <rFont val="Noto Sans CJK SC"/>
        <family val="2"/>
      </rPr>
      <t xml:space="preserve">平均（較保守）；高端＝大和 </t>
    </r>
    <r>
      <rPr>
        <sz val="10"/>
        <color rgb="FF000000"/>
        <rFont val="Arial"/>
        <family val="0"/>
        <charset val="1"/>
      </rPr>
      <t xml:space="preserve">2029 </t>
    </r>
    <r>
      <rPr>
        <sz val="10"/>
        <color rgb="FF000000"/>
        <rFont val="Noto Sans CJK SC"/>
        <family val="2"/>
      </rPr>
      <t xml:space="preserve">年 </t>
    </r>
    <r>
      <rPr>
        <sz val="10"/>
        <color rgb="FF000000"/>
        <rFont val="Arial"/>
        <family val="0"/>
        <charset val="1"/>
      </rPr>
      <t xml:space="preserve">475 </t>
    </r>
    <r>
      <rPr>
        <sz val="10"/>
        <color rgb="FF000000"/>
        <rFont val="Noto Sans CJK SC"/>
        <family val="2"/>
      </rPr>
      <t xml:space="preserve">億 </t>
    </r>
    <r>
      <rPr>
        <sz val="10"/>
        <color rgb="FF000000"/>
        <rFont val="Arial"/>
        <family val="0"/>
        <charset val="1"/>
      </rPr>
      <t xml:space="preserve">÷ </t>
    </r>
    <r>
      <rPr>
        <sz val="10"/>
        <color rgb="FF000000"/>
        <rFont val="Noto Sans CJK SC"/>
        <family val="2"/>
      </rPr>
      <t xml:space="preserve">共識 </t>
    </r>
    <r>
      <rPr>
        <sz val="10"/>
        <color rgb="FF000000"/>
        <rFont val="Arial"/>
        <family val="0"/>
        <charset val="1"/>
      </rPr>
      <t xml:space="preserve">FY2028 379 </t>
    </r>
    <r>
      <rPr>
        <sz val="10"/>
        <color rgb="FF000000"/>
        <rFont val="Noto Sans CJK SC"/>
        <family val="2"/>
      </rPr>
      <t xml:space="preserve">億 − </t>
    </r>
    <r>
      <rPr>
        <sz val="10"/>
        <color rgb="FF000000"/>
        <rFont val="Arial"/>
        <family val="0"/>
        <charset val="1"/>
      </rPr>
      <t xml:space="preserve">1</t>
    </r>
    <r>
      <rPr>
        <sz val="10"/>
        <color rgb="FF000000"/>
        <rFont val="Noto Sans CJK SC"/>
        <family val="2"/>
      </rPr>
      <t xml:space="preserve">（</t>
    </r>
    <r>
      <rPr>
        <sz val="10"/>
        <color rgb="FF000000"/>
        <rFont val="Arial"/>
        <family val="0"/>
        <charset val="1"/>
      </rPr>
      <t xml:space="preserve">SRC_ZP_610</t>
    </r>
    <r>
      <rPr>
        <sz val="10"/>
        <color rgb="FF000000"/>
        <rFont val="Noto Sans CJK SC"/>
        <family val="2"/>
      </rPr>
      <t xml:space="preserve">，單一券商）</t>
    </r>
  </si>
  <si>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+25%</t>
    </r>
  </si>
  <si>
    <t xml:space="preserve">INP_135</t>
  </si>
  <si>
    <t xml:space="preserve">peer_mult_range</t>
  </si>
  <si>
    <r>
      <rPr>
        <sz val="10"/>
        <color rgb="FF000000"/>
        <rFont val="Noto Sans CJK SC"/>
        <family val="2"/>
      </rPr>
      <t xml:space="preserve">同業 </t>
    </r>
    <r>
      <rPr>
        <sz val="10"/>
        <color rgb="FF000000"/>
        <rFont val="Arial"/>
        <family val="0"/>
        <charset val="1"/>
      </rPr>
      <t xml:space="preserve">EV</t>
    </r>
    <r>
      <rPr>
        <sz val="10"/>
        <color rgb="FF000000"/>
        <rFont val="Noto Sans CJK SC"/>
        <family val="2"/>
      </rPr>
      <t xml:space="preserve">／年化營收倍數 </t>
    </r>
    <r>
      <rPr>
        <sz val="10"/>
        <color rgb="FF000000"/>
        <rFont val="Arial"/>
        <family val="0"/>
        <charset val="1"/>
      </rPr>
      <t xml:space="preserve">÷ MiniMax </t>
    </r>
    <r>
      <rPr>
        <sz val="10"/>
        <color rgb="FF000000"/>
        <rFont val="Noto Sans CJK SC"/>
        <family val="2"/>
      </rPr>
      <t xml:space="preserve">推導值（市值隱含營收用）</t>
    </r>
  </si>
  <si>
    <r>
      <rPr>
        <sz val="10"/>
        <color rgb="FF000000"/>
        <rFont val="Noto Sans CJK SC"/>
        <family val="2"/>
      </rPr>
      <t xml:space="preserve">規格 </t>
    </r>
    <r>
      <rPr>
        <sz val="10"/>
        <color rgb="FF000000"/>
        <rFont val="Arial"/>
        <family val="0"/>
        <charset val="1"/>
      </rPr>
      <t xml:space="preserve">D22r</t>
    </r>
    <r>
      <rPr>
        <sz val="10"/>
        <color rgb="FF000000"/>
        <rFont val="Noto Sans CJK SC"/>
        <family val="2"/>
      </rPr>
      <t xml:space="preserve">：以 </t>
    </r>
    <r>
      <rPr>
        <sz val="10"/>
        <color rgb="FF000000"/>
        <rFont val="Arial"/>
        <family val="0"/>
        <charset val="1"/>
      </rPr>
      <t xml:space="preserve">MiniMax</t>
    </r>
    <r>
      <rPr>
        <sz val="10"/>
        <color rgb="FF000000"/>
        <rFont val="Noto Sans CJK SC"/>
        <family val="2"/>
      </rPr>
      <t xml:space="preserve">（</t>
    </r>
    <r>
      <rPr>
        <sz val="10"/>
        <color rgb="FF000000"/>
        <rFont val="Arial"/>
        <family val="0"/>
        <charset val="1"/>
      </rPr>
      <t xml:space="preserve">00100.HK</t>
    </r>
    <r>
      <rPr>
        <sz val="10"/>
        <color rgb="FF000000"/>
        <rFont val="Noto Sans CJK SC"/>
        <family val="2"/>
      </rPr>
      <t xml:space="preserve">）當前 </t>
    </r>
    <r>
      <rPr>
        <sz val="10"/>
        <color rgb="FF000000"/>
        <rFont val="Arial"/>
        <family val="0"/>
        <charset val="1"/>
      </rPr>
      <t xml:space="preserve">EV ÷ </t>
    </r>
    <r>
      <rPr>
        <sz val="10"/>
        <color rgb="FF000000"/>
        <rFont val="Noto Sans CJK SC"/>
        <family val="2"/>
      </rPr>
      <t xml:space="preserve">年化營收（</t>
    </r>
    <r>
      <rPr>
        <sz val="10"/>
        <color rgb="FF000000"/>
        <rFont val="Arial"/>
        <family val="0"/>
        <charset val="1"/>
      </rPr>
      <t xml:space="preserve">1H26 × 2</t>
    </r>
    <r>
      <rPr>
        <sz val="10"/>
        <color rgb="FF000000"/>
        <rFont val="Noto Sans CJK SC"/>
        <family val="2"/>
      </rPr>
      <t xml:space="preserve">；</t>
    </r>
    <r>
      <rPr>
        <sz val="10"/>
        <color rgb="FF000000"/>
        <rFont val="Arial"/>
        <family val="0"/>
        <charset val="1"/>
      </rPr>
      <t xml:space="preserve">Reverse </t>
    </r>
    <r>
      <rPr>
        <sz val="10"/>
        <color rgb="FF000000"/>
        <rFont val="Noto Sans CJK SC"/>
        <family val="2"/>
      </rPr>
      <t xml:space="preserve">頁由 </t>
    </r>
    <r>
      <rPr>
        <sz val="10"/>
        <color rgb="FF000000"/>
        <rFont val="Arial"/>
        <family val="0"/>
        <charset val="1"/>
      </rPr>
      <t xml:space="preserve">SRC_ZP_596</t>
    </r>
    <r>
      <rPr>
        <sz val="10"/>
        <color rgb="FF000000"/>
        <rFont val="Noto Sans CJK SC"/>
        <family val="2"/>
      </rPr>
      <t xml:space="preserve">、</t>
    </r>
    <r>
      <rPr>
        <sz val="10"/>
        <color rgb="FF000000"/>
        <rFont val="Arial"/>
        <family val="0"/>
        <charset val="1"/>
      </rPr>
      <t xml:space="preserve">601</t>
    </r>
    <r>
      <rPr>
        <sz val="10"/>
        <color rgb="FF000000"/>
        <rFont val="Noto Sans CJK SC"/>
        <family val="2"/>
      </rPr>
      <t xml:space="preserve">、</t>
    </r>
    <r>
      <rPr>
        <sz val="10"/>
        <color rgb="FF000000"/>
        <rFont val="Arial"/>
        <family val="0"/>
        <charset val="1"/>
      </rPr>
      <t xml:space="preserve">603 </t>
    </r>
    <r>
      <rPr>
        <sz val="10"/>
        <color rgb="FF000000"/>
        <rFont val="Noto Sans CJK SC"/>
        <family val="2"/>
      </rPr>
      <t xml:space="preserve">與匯率推導）為 </t>
    </r>
    <r>
      <rPr>
        <sz val="10"/>
        <color rgb="FF000000"/>
        <rFont val="Arial"/>
        <family val="0"/>
        <charset val="1"/>
      </rPr>
      <t xml:space="preserve">Analogy</t>
    </r>
    <r>
      <rPr>
        <sz val="10"/>
        <color rgb="FF000000"/>
        <rFont val="Noto Sans CJK SC"/>
        <family val="2"/>
      </rPr>
      <t xml:space="preserve">；區間：</t>
    </r>
    <r>
      <rPr>
        <sz val="10"/>
        <color rgb="FF000000"/>
        <rFont val="Arial"/>
        <family val="0"/>
        <charset val="1"/>
      </rPr>
      <t xml:space="preserve">MiniMax 52 </t>
    </r>
    <r>
      <rPr>
        <sz val="10"/>
        <color rgb="FF000000"/>
        <rFont val="Noto Sans CJK SC"/>
        <family val="2"/>
      </rPr>
      <t xml:space="preserve">週低點約為現值 </t>
    </r>
    <r>
      <rPr>
        <sz val="10"/>
        <color rgb="FF000000"/>
        <rFont val="Arial"/>
        <family val="0"/>
        <charset val="1"/>
      </rPr>
      <t xml:space="preserve">0.8 </t>
    </r>
    <r>
      <rPr>
        <sz val="10"/>
        <color rgb="FF000000"/>
        <rFont val="Noto Sans CJK SC"/>
        <family val="2"/>
      </rPr>
      <t xml:space="preserve">倍、國證國際 </t>
    </r>
    <r>
      <rPr>
        <sz val="10"/>
        <color rgb="FF000000"/>
        <rFont val="Arial"/>
        <family val="0"/>
        <charset val="1"/>
      </rPr>
      <t xml:space="preserve">SOTP </t>
    </r>
    <r>
      <rPr>
        <sz val="10"/>
        <color rgb="FF000000"/>
        <rFont val="Noto Sans CJK SC"/>
        <family val="2"/>
      </rPr>
      <t xml:space="preserve">給 </t>
    </r>
    <r>
      <rPr>
        <sz val="10"/>
        <color rgb="FF000000"/>
        <rFont val="Arial"/>
        <family val="0"/>
        <charset val="1"/>
      </rPr>
      <t xml:space="preserve">API </t>
    </r>
    <r>
      <rPr>
        <sz val="10"/>
        <color rgb="FF000000"/>
        <rFont val="Noto Sans CJK SC"/>
        <family val="2"/>
      </rPr>
      <t xml:space="preserve">業務 </t>
    </r>
    <r>
      <rPr>
        <sz val="10"/>
        <color rgb="FF000000"/>
        <rFont val="Arial"/>
        <family val="0"/>
        <charset val="1"/>
      </rPr>
      <t xml:space="preserve">2027 </t>
    </r>
    <r>
      <rPr>
        <sz val="10"/>
        <color rgb="FF000000"/>
        <rFont val="Noto Sans CJK SC"/>
        <family val="2"/>
      </rPr>
      <t xml:space="preserve">年 </t>
    </r>
    <r>
      <rPr>
        <sz val="10"/>
        <color rgb="FF000000"/>
        <rFont val="Arial"/>
        <family val="0"/>
        <charset val="1"/>
      </rPr>
      <t xml:space="preserve">80 </t>
    </r>
    <r>
      <rPr>
        <sz val="10"/>
        <color rgb="FF000000"/>
        <rFont val="Noto Sans CJK SC"/>
        <family val="2"/>
      </rPr>
      <t xml:space="preserve">倍 </t>
    </r>
    <r>
      <rPr>
        <sz val="10"/>
        <color rgb="FF000000"/>
        <rFont val="Arial"/>
        <family val="0"/>
        <charset val="1"/>
      </rPr>
      <t xml:space="preserve">PS</t>
    </r>
    <r>
      <rPr>
        <sz val="10"/>
        <color rgb="FF000000"/>
        <rFont val="Noto Sans CJK SC"/>
        <family val="2"/>
      </rPr>
      <t xml:space="preserve">（約 </t>
    </r>
    <r>
      <rPr>
        <sz val="10"/>
        <color rgb="FF000000"/>
        <rFont val="Arial"/>
        <family val="0"/>
        <charset val="1"/>
      </rPr>
      <t xml:space="preserve">2 </t>
    </r>
    <r>
      <rPr>
        <sz val="10"/>
        <color rgb="FF000000"/>
        <rFont val="Noto Sans CJK SC"/>
        <family val="2"/>
      </rPr>
      <t xml:space="preserve">倍）</t>
    </r>
  </si>
  <si>
    <r>
      <rPr>
        <sz val="10"/>
        <color rgb="FF000000"/>
        <rFont val="Arial"/>
        <family val="0"/>
        <charset val="1"/>
      </rPr>
      <t xml:space="preserve">0.5</t>
    </r>
    <r>
      <rPr>
        <sz val="10"/>
        <color rgb="FF000000"/>
        <rFont val="Noto Sans CJK SC"/>
        <family val="2"/>
      </rPr>
      <t xml:space="preserve">～</t>
    </r>
    <r>
      <rPr>
        <sz val="10"/>
        <color rgb="FF000000"/>
        <rFont val="Arial"/>
        <family val="0"/>
        <charset val="1"/>
      </rPr>
      <t xml:space="preserve">2.0</t>
    </r>
  </si>
  <si>
    <t xml:space="preserve">INP_136</t>
  </si>
  <si>
    <t xml:space="preserve">min_gm</t>
  </si>
  <si>
    <r>
      <rPr>
        <sz val="10"/>
        <color rgb="FF000000"/>
        <rFont val="Noto Sans CJK SC"/>
        <family val="2"/>
      </rPr>
      <t xml:space="preserve">供應商最低毛利（每 </t>
    </r>
    <r>
      <rPr>
        <sz val="10"/>
        <color rgb="FF000000"/>
        <rFont val="Arial"/>
        <family val="0"/>
        <charset val="1"/>
      </rPr>
      <t xml:space="preserve">GW </t>
    </r>
    <r>
      <rPr>
        <sz val="10"/>
        <color rgb="FF000000"/>
        <rFont val="Noto Sans CJK SC"/>
        <family val="2"/>
      </rPr>
      <t xml:space="preserve">租價下限＝供應商持有成本 </t>
    </r>
    <r>
      <rPr>
        <sz val="10"/>
        <color rgb="FF000000"/>
        <rFont val="Arial"/>
        <family val="0"/>
        <charset val="1"/>
      </rPr>
      <t xml:space="preserve">×</t>
    </r>
    <r>
      <rPr>
        <sz val="10"/>
        <color rgb="FF000000"/>
        <rFont val="Noto Sans CJK SC"/>
        <family val="2"/>
      </rPr>
      <t xml:space="preserve">（</t>
    </r>
    <r>
      <rPr>
        <sz val="10"/>
        <color rgb="FF000000"/>
        <rFont val="Arial"/>
        <family val="0"/>
        <charset val="1"/>
      </rPr>
      <t xml:space="preserve">1</t>
    </r>
    <r>
      <rPr>
        <sz val="10"/>
        <color rgb="FF000000"/>
        <rFont val="Noto Sans CJK SC"/>
        <family val="2"/>
      </rPr>
      <t xml:space="preserve">＋本值），</t>
    </r>
    <r>
      <rPr>
        <sz val="10"/>
        <color rgb="FF000000"/>
        <rFont val="Arial"/>
        <family val="0"/>
        <charset val="1"/>
      </rPr>
      <t xml:space="preserve">2H26 </t>
    </r>
    <r>
      <rPr>
        <sz val="10"/>
        <color rgb="FF000000"/>
        <rFont val="Noto Sans CJK SC"/>
        <family val="2"/>
      </rPr>
      <t xml:space="preserve">起）</t>
    </r>
  </si>
  <si>
    <r>
      <rPr>
        <sz val="10"/>
        <color rgb="FF000000"/>
        <rFont val="Noto Sans CJK SC"/>
        <family val="2"/>
      </rPr>
      <t xml:space="preserve">工作單 </t>
    </r>
    <r>
      <rPr>
        <sz val="10"/>
        <color rgb="FF000000"/>
        <rFont val="Arial"/>
        <family val="0"/>
        <charset val="1"/>
      </rPr>
      <t xml:space="preserve">Z5b V1</t>
    </r>
    <r>
      <rPr>
        <sz val="10"/>
        <color rgb="FF000000"/>
        <rFont val="Noto Sans CJK SC"/>
        <family val="2"/>
      </rPr>
      <t xml:space="preserve">：供應商不可長期賠本出租；基準 </t>
    </r>
    <r>
      <rPr>
        <sz val="10"/>
        <color rgb="FF000000"/>
        <rFont val="Arial"/>
        <family val="0"/>
        <charset val="1"/>
      </rPr>
      <t xml:space="preserve">0</t>
    </r>
    <r>
      <rPr>
        <sz val="10"/>
        <color rgb="FF000000"/>
        <rFont val="Noto Sans CJK SC"/>
        <family val="2"/>
      </rPr>
      <t xml:space="preserve">＝租價不低於持有成本（經濟口徑）</t>
    </r>
  </si>
  <si>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0.2</t>
    </r>
    <r>
      <rPr>
        <sz val="10"/>
        <color rgb="FF000000"/>
        <rFont val="Noto Sans CJK SC"/>
        <family val="2"/>
      </rPr>
      <t xml:space="preserve">（工作單）</t>
    </r>
  </si>
  <si>
    <t xml:space="preserve">INP_137</t>
  </si>
  <si>
    <t xml:space="preserve">rd_fee_share</t>
  </si>
  <si>
    <r>
      <rPr>
        <sz val="10"/>
        <color rgb="FF000000"/>
        <rFont val="Noto Sans CJK SC"/>
        <family val="2"/>
      </rPr>
      <t xml:space="preserve">研發開支中的算力服務費占比（</t>
    </r>
    <r>
      <rPr>
        <sz val="10"/>
        <color rgb="FF000000"/>
        <rFont val="Arial"/>
        <family val="0"/>
        <charset val="1"/>
      </rPr>
      <t xml:space="preserve">P1</t>
    </r>
    <r>
      <rPr>
        <sz val="10"/>
        <color rgb="FF000000"/>
        <rFont val="Noto Sans CJK SC"/>
        <family val="2"/>
      </rPr>
      <t xml:space="preserve">：研發 </t>
    </r>
    <r>
      <rPr>
        <sz val="10"/>
        <color rgb="FF000000"/>
        <rFont val="Arial"/>
        <family val="0"/>
        <charset val="1"/>
      </rPr>
      <t xml:space="preserve">× </t>
    </r>
    <r>
      <rPr>
        <sz val="10"/>
        <color rgb="FF000000"/>
        <rFont val="Noto Sans CJK SC"/>
        <family val="2"/>
      </rPr>
      <t xml:space="preserve">本值＝研發項下算力費；</t>
    </r>
    <r>
      <rPr>
        <sz val="10"/>
        <color rgb="FF000000"/>
        <rFont val="Arial"/>
        <family val="0"/>
        <charset val="1"/>
      </rPr>
      <t xml:space="preserve">FY2025</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未揭露者用）</t>
    </r>
  </si>
  <si>
    <r>
      <rPr>
        <sz val="10"/>
        <color rgb="FF000000"/>
        <rFont val="Noto Sans CJK SC"/>
        <family val="2"/>
      </rPr>
      <t xml:space="preserve">工作單 </t>
    </r>
    <r>
      <rPr>
        <sz val="10"/>
        <color rgb="FF000000"/>
        <rFont val="Arial"/>
        <family val="0"/>
        <charset val="1"/>
      </rPr>
      <t xml:space="preserve">P1</t>
    </r>
    <r>
      <rPr>
        <sz val="10"/>
        <color rgb="FF000000"/>
        <rFont val="Noto Sans CJK SC"/>
        <family val="2"/>
      </rPr>
      <t xml:space="preserve">：招股章程 </t>
    </r>
    <r>
      <rPr>
        <sz val="10"/>
        <color rgb="FF000000"/>
        <rFont val="Arial"/>
        <family val="0"/>
        <charset val="1"/>
      </rPr>
      <t xml:space="preserve">1H25 </t>
    </r>
    <r>
      <rPr>
        <sz val="10"/>
        <color rgb="FF000000"/>
        <rFont val="Noto Sans CJK SC"/>
        <family val="2"/>
      </rPr>
      <t xml:space="preserve">研發算力服務費 </t>
    </r>
    <r>
      <rPr>
        <sz val="10"/>
        <color rgb="FF000000"/>
        <rFont val="Arial"/>
        <family val="0"/>
        <charset val="1"/>
      </rPr>
      <t xml:space="preserve">11.45 </t>
    </r>
    <r>
      <rPr>
        <sz val="10"/>
        <color rgb="FF000000"/>
        <rFont val="Noto Sans CJK SC"/>
        <family val="2"/>
      </rPr>
      <t xml:space="preserve">億 </t>
    </r>
    <r>
      <rPr>
        <sz val="10"/>
        <color rgb="FF000000"/>
        <rFont val="Arial"/>
        <family val="0"/>
        <charset val="1"/>
      </rPr>
      <t xml:space="preserve">÷ </t>
    </r>
    <r>
      <rPr>
        <sz val="10"/>
        <color rgb="FF000000"/>
        <rFont val="Noto Sans CJK SC"/>
        <family val="2"/>
      </rPr>
      <t xml:space="preserve">研發開支 </t>
    </r>
    <r>
      <rPr>
        <sz val="10"/>
        <color rgb="FF000000"/>
        <rFont val="Arial"/>
        <family val="0"/>
        <charset val="1"/>
      </rPr>
      <t xml:space="preserve">15.95 </t>
    </r>
    <r>
      <rPr>
        <sz val="10"/>
        <color rgb="FF000000"/>
        <rFont val="Noto Sans CJK SC"/>
        <family val="2"/>
      </rPr>
      <t xml:space="preserve">億＝</t>
    </r>
    <r>
      <rPr>
        <sz val="10"/>
        <color rgb="FF000000"/>
        <rFont val="Arial"/>
        <family val="0"/>
        <charset val="1"/>
      </rPr>
      <t xml:space="preserve">71.8%</t>
    </r>
    <r>
      <rPr>
        <sz val="10"/>
        <color rgb="FF000000"/>
        <rFont val="Noto Sans CJK SC"/>
        <family val="2"/>
      </rPr>
      <t xml:space="preserve">（</t>
    </r>
    <r>
      <rPr>
        <sz val="10"/>
        <color rgb="FF000000"/>
        <rFont val="Arial"/>
        <family val="0"/>
        <charset val="1"/>
      </rPr>
      <t xml:space="preserve">SRC_ZP_640</t>
    </r>
    <r>
      <rPr>
        <sz val="10"/>
        <color rgb="FF000000"/>
        <rFont val="Noto Sans CJK SC"/>
        <family val="2"/>
      </rPr>
      <t xml:space="preserve">；</t>
    </r>
    <r>
      <rPr>
        <sz val="10"/>
        <color rgb="FF000000"/>
        <rFont val="Arial"/>
        <family val="0"/>
        <charset val="1"/>
      </rPr>
      <t xml:space="preserve">FY2024 70.7% SRC_ZP_638</t>
    </r>
    <r>
      <rPr>
        <sz val="10"/>
        <color rgb="FF000000"/>
        <rFont val="Noto Sans CJK SC"/>
        <family val="2"/>
      </rPr>
      <t xml:space="preserve">、</t>
    </r>
    <r>
      <rPr>
        <sz val="10"/>
        <color rgb="FF000000"/>
        <rFont val="Arial"/>
        <family val="0"/>
        <charset val="1"/>
      </rPr>
      <t xml:space="preserve">1H24 70.2% SRC_ZP_639</t>
    </r>
    <r>
      <rPr>
        <sz val="10"/>
        <color rgb="FF000000"/>
        <rFont val="Noto Sans CJK SC"/>
        <family val="2"/>
      </rPr>
      <t xml:space="preserve">）；占比以研發開支總額（含股權報酬）為分母，故乘研發開支總額</t>
    </r>
  </si>
  <si>
    <r>
      <rPr>
        <sz val="10"/>
        <color rgb="FF000000"/>
        <rFont val="Noto Sans CJK SC"/>
        <family val="2"/>
      </rPr>
      <t xml:space="preserve">工作單 </t>
    </r>
    <r>
      <rPr>
        <sz val="10"/>
        <color rgb="FF000000"/>
        <rFont val="Arial"/>
        <family val="0"/>
        <charset val="1"/>
      </rPr>
      <t xml:space="preserve">P1</t>
    </r>
    <r>
      <rPr>
        <sz val="10"/>
        <color rgb="FF000000"/>
        <rFont val="Noto Sans CJK SC"/>
        <family val="2"/>
      </rPr>
      <t xml:space="preserve">（</t>
    </r>
    <r>
      <rPr>
        <sz val="10"/>
        <color rgb="FF000000"/>
        <rFont val="Arial"/>
        <family val="0"/>
        <charset val="1"/>
      </rPr>
      <t xml:space="preserve">60–80%</t>
    </r>
    <r>
      <rPr>
        <sz val="10"/>
        <color rgb="FF000000"/>
        <rFont val="Noto Sans CJK SC"/>
        <family val="2"/>
      </rPr>
      <t xml:space="preserve">）</t>
    </r>
  </si>
  <si>
    <t xml:space="preserve">INP_138</t>
  </si>
  <si>
    <t xml:space="preserve">eta_base</t>
  </si>
  <si>
    <r>
      <rPr>
        <sz val="10"/>
        <color rgb="FF000000"/>
        <rFont val="Arial"/>
        <family val="0"/>
        <charset val="1"/>
      </rPr>
      <t xml:space="preserve">η </t>
    </r>
    <r>
      <rPr>
        <sz val="10"/>
        <color rgb="FF000000"/>
        <rFont val="Noto Sans CJK SC"/>
        <family val="2"/>
      </rPr>
      <t xml:space="preserve">基準值（</t>
    </r>
    <r>
      <rPr>
        <sz val="10"/>
        <color rgb="FF000000"/>
        <rFont val="Arial"/>
        <family val="0"/>
        <charset val="1"/>
      </rPr>
      <t xml:space="preserve">P1</t>
    </r>
    <r>
      <rPr>
        <sz val="10"/>
        <color rgb="FF000000"/>
        <rFont val="Noto Sans CJK SC"/>
        <family val="2"/>
      </rPr>
      <t xml:space="preserve">：信任 </t>
    </r>
    <r>
      <rPr>
        <sz val="10"/>
        <color rgb="FF000000"/>
        <rFont val="Arial"/>
        <family val="0"/>
        <charset val="1"/>
      </rPr>
      <t xml:space="preserve">Tokenomics </t>
    </r>
    <r>
      <rPr>
        <sz val="10"/>
        <color rgb="FF000000"/>
        <rFont val="Noto Sans CJK SC"/>
        <family val="2"/>
      </rPr>
      <t xml:space="preserve">物理；校準期殘差不足時才上調）</t>
    </r>
  </si>
  <si>
    <r>
      <rPr>
        <sz val="10"/>
        <color rgb="FF000000"/>
        <rFont val="Noto Sans CJK SC"/>
        <family val="2"/>
      </rPr>
      <t xml:space="preserve">工作單 </t>
    </r>
    <r>
      <rPr>
        <sz val="10"/>
        <color rgb="FF000000"/>
        <rFont val="Arial"/>
        <family val="0"/>
        <charset val="1"/>
      </rPr>
      <t xml:space="preserve">P1</t>
    </r>
    <r>
      <rPr>
        <sz val="10"/>
        <color rgb="FF000000"/>
        <rFont val="Noto Sans CJK SC"/>
        <family val="2"/>
      </rPr>
      <t xml:space="preserve">：</t>
    </r>
    <r>
      <rPr>
        <sz val="10"/>
        <color rgb="FF000000"/>
        <rFont val="Arial"/>
        <family val="0"/>
        <charset val="1"/>
      </rPr>
      <t xml:space="preserve">η </t>
    </r>
    <r>
      <rPr>
        <sz val="10"/>
        <color rgb="FF000000"/>
        <rFont val="Noto Sans CJK SC"/>
        <family val="2"/>
      </rPr>
      <t xml:space="preserve">基準＝</t>
    </r>
    <r>
      <rPr>
        <sz val="10"/>
        <color rgb="FF000000"/>
        <rFont val="Arial"/>
        <family val="0"/>
        <charset val="1"/>
      </rPr>
      <t xml:space="preserve">1</t>
    </r>
    <r>
      <rPr>
        <sz val="10"/>
        <color rgb="FF000000"/>
        <rFont val="Noto Sans CJK SC"/>
        <family val="2"/>
      </rPr>
      <t xml:space="preserve">（</t>
    </r>
    <r>
      <rPr>
        <sz val="10"/>
        <color rgb="FF000000"/>
        <rFont val="Arial"/>
        <family val="0"/>
        <charset val="1"/>
      </rPr>
      <t xml:space="preserve">Decision</t>
    </r>
    <r>
      <rPr>
        <sz val="10"/>
        <color rgb="FF000000"/>
        <rFont val="Noto Sans CJK SC"/>
        <family val="2"/>
      </rPr>
      <t xml:space="preserve">）；若研發殘差 </t>
    </r>
    <r>
      <rPr>
        <sz val="10"/>
        <color rgb="FF000000"/>
        <rFont val="Arial"/>
        <family val="0"/>
        <charset val="1"/>
      </rPr>
      <t xml:space="preserve">&lt; </t>
    </r>
    <r>
      <rPr>
        <sz val="10"/>
        <color rgb="FF000000"/>
        <rFont val="Noto Sans CJK SC"/>
        <family val="2"/>
      </rPr>
      <t xml:space="preserve">訓練最低占比 </t>
    </r>
    <r>
      <rPr>
        <sz val="10"/>
        <color rgb="FF000000"/>
        <rFont val="Arial"/>
        <family val="0"/>
        <charset val="1"/>
      </rPr>
      <t xml:space="preserve">× </t>
    </r>
    <r>
      <rPr>
        <sz val="10"/>
        <color rgb="FF000000"/>
        <rFont val="Noto Sans CJK SC"/>
        <family val="2"/>
      </rPr>
      <t xml:space="preserve">供給，</t>
    </r>
    <r>
      <rPr>
        <sz val="10"/>
        <color rgb="FF000000"/>
        <rFont val="Arial"/>
        <family val="0"/>
        <charset val="1"/>
      </rPr>
      <t xml:space="preserve">η </t>
    </r>
    <r>
      <rPr>
        <sz val="10"/>
        <color rgb="FF000000"/>
        <rFont val="Noto Sans CJK SC"/>
        <family val="2"/>
      </rPr>
      <t xml:space="preserve">校準為使殘差＝最低占比的值並 </t>
    </r>
    <r>
      <rPr>
        <sz val="10"/>
        <color rgb="FF000000"/>
        <rFont val="Arial"/>
        <family val="0"/>
        <charset val="1"/>
      </rPr>
      <t xml:space="preserve">WARN</t>
    </r>
    <r>
      <rPr>
        <sz val="10"/>
        <color rgb="FF000000"/>
        <rFont val="Noto Sans CJK SC"/>
        <family val="2"/>
      </rPr>
      <t xml:space="preserve">（</t>
    </r>
    <r>
      <rPr>
        <sz val="10"/>
        <color rgb="FF000000"/>
        <rFont val="Arial"/>
        <family val="0"/>
        <charset val="1"/>
      </rPr>
      <t xml:space="preserve">Checks</t>
    </r>
    <r>
      <rPr>
        <sz val="10"/>
        <color rgb="FF000000"/>
        <rFont val="Noto Sans CJK SC"/>
        <family val="2"/>
      </rPr>
      <t xml:space="preserve">）</t>
    </r>
  </si>
  <si>
    <t xml:space="preserve">INP_139</t>
  </si>
  <si>
    <t xml:space="preserve">eta_old_sw</t>
  </si>
  <si>
    <r>
      <rPr>
        <sz val="10"/>
        <color rgb="FF000000"/>
        <rFont val="Arial"/>
        <family val="0"/>
        <charset val="1"/>
      </rPr>
      <t xml:space="preserve">η </t>
    </r>
    <r>
      <rPr>
        <sz val="10"/>
        <color rgb="FF000000"/>
        <rFont val="Noto Sans CJK SC"/>
        <family val="2"/>
      </rPr>
      <t xml:space="preserve">校準方法開關（</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P1</t>
    </r>
    <r>
      <rPr>
        <sz val="10"/>
        <color rgb="FF000000"/>
        <rFont val="Noto Sans CJK SC"/>
        <family val="2"/>
      </rPr>
      <t xml:space="preserve">：基準 </t>
    </r>
    <r>
      <rPr>
        <sz val="10"/>
        <color rgb="FF000000"/>
        <rFont val="Arial"/>
        <family val="0"/>
        <charset val="1"/>
      </rPr>
      <t xml:space="preserve">1</t>
    </r>
    <r>
      <rPr>
        <sz val="10"/>
        <color rgb="FF000000"/>
        <rFont val="Noto Sans CJK SC"/>
        <family val="2"/>
      </rPr>
      <t xml:space="preserve">、殘差觸及訓練最低占比時上調；</t>
    </r>
    <r>
      <rPr>
        <sz val="10"/>
        <color rgb="FF000000"/>
        <rFont val="Arial"/>
        <family val="0"/>
        <charset val="1"/>
      </rPr>
      <t xml:space="preserve">1</t>
    </r>
    <r>
      <rPr>
        <sz val="10"/>
        <color rgb="FF000000"/>
        <rFont val="Noto Sans CJK SC"/>
        <family val="2"/>
      </rPr>
      <t xml:space="preserve">＝舊法 </t>
    </r>
    <r>
      <rPr>
        <sz val="10"/>
        <color rgb="FF000000"/>
        <rFont val="Arial"/>
        <family val="0"/>
        <charset val="1"/>
      </rPr>
      <t xml:space="preserve">D8r</t>
    </r>
    <r>
      <rPr>
        <sz val="10"/>
        <color rgb="FF000000"/>
        <rFont val="Noto Sans CJK SC"/>
        <family val="2"/>
      </rPr>
      <t xml:space="preserve">：</t>
    </r>
    <r>
      <rPr>
        <sz val="10"/>
        <color rgb="FF000000"/>
        <rFont val="Arial"/>
        <family val="0"/>
        <charset val="1"/>
      </rPr>
      <t xml:space="preserve">token GW ÷ API </t>
    </r>
    <r>
      <rPr>
        <sz val="10"/>
        <color rgb="FF000000"/>
        <rFont val="Noto Sans CJK SC"/>
        <family val="2"/>
      </rPr>
      <t xml:space="preserve">銷售成本換算 </t>
    </r>
    <r>
      <rPr>
        <sz val="10"/>
        <color rgb="FF000000"/>
        <rFont val="Arial"/>
        <family val="0"/>
        <charset val="1"/>
      </rPr>
      <t xml:space="preserve">GW</t>
    </r>
    <r>
      <rPr>
        <sz val="10"/>
        <color rgb="FF000000"/>
        <rFont val="Noto Sans CJK SC"/>
        <family val="2"/>
      </rPr>
      <t xml:space="preserve">）</t>
    </r>
  </si>
  <si>
    <r>
      <rPr>
        <sz val="10"/>
        <color rgb="FF000000"/>
        <rFont val="Noto Sans CJK SC"/>
        <family val="2"/>
      </rPr>
      <t xml:space="preserve">工作單 </t>
    </r>
    <r>
      <rPr>
        <sz val="10"/>
        <color rgb="FF000000"/>
        <rFont val="Arial"/>
        <family val="0"/>
        <charset val="1"/>
      </rPr>
      <t xml:space="preserve">P1</t>
    </r>
    <r>
      <rPr>
        <sz val="10"/>
        <color rgb="FF000000"/>
        <rFont val="Noto Sans CJK SC"/>
        <family val="2"/>
      </rPr>
      <t xml:space="preserve">：舊法（</t>
    </r>
    <r>
      <rPr>
        <sz val="10"/>
        <color rgb="FF000000"/>
        <rFont val="Arial"/>
        <family val="0"/>
        <charset val="1"/>
      </rPr>
      <t xml:space="preserve">API </t>
    </r>
    <r>
      <rPr>
        <sz val="10"/>
        <color rgb="FF000000"/>
        <rFont val="Noto Sans CJK SC"/>
        <family val="2"/>
      </rPr>
      <t xml:space="preserve">營業成本＝推論支出）保留為對照；開關＝</t>
    </r>
    <r>
      <rPr>
        <sz val="10"/>
        <color rgb="FF000000"/>
        <rFont val="Arial"/>
        <family val="0"/>
        <charset val="1"/>
      </rPr>
      <t xml:space="preserve">1 </t>
    </r>
    <r>
      <rPr>
        <sz val="10"/>
        <color rgb="FF000000"/>
        <rFont val="Noto Sans CJK SC"/>
        <family val="2"/>
      </rPr>
      <t xml:space="preserve">只供情境與 </t>
    </r>
    <r>
      <rPr>
        <sz val="10"/>
        <color rgb="FF000000"/>
        <rFont val="Arial"/>
        <family val="0"/>
        <charset val="1"/>
      </rPr>
      <t xml:space="preserve">parity</t>
    </r>
  </si>
  <si>
    <t xml:space="preserve">INP_140</t>
  </si>
  <si>
    <t xml:space="preserve">eta_lift_warn</t>
  </si>
  <si>
    <r>
      <rPr>
        <sz val="10"/>
        <color rgb="FF000000"/>
        <rFont val="Arial"/>
        <family val="0"/>
        <charset val="1"/>
      </rPr>
      <t xml:space="preserve">η </t>
    </r>
    <r>
      <rPr>
        <sz val="10"/>
        <color rgb="FF000000"/>
        <rFont val="Noto Sans CJK SC"/>
        <family val="2"/>
      </rPr>
      <t xml:space="preserve">上調期數 </t>
    </r>
    <r>
      <rPr>
        <sz val="10"/>
        <color rgb="FF000000"/>
        <rFont val="Arial"/>
        <family val="0"/>
        <charset val="1"/>
      </rPr>
      <t xml:space="preserve">WARN </t>
    </r>
    <r>
      <rPr>
        <sz val="10"/>
        <color rgb="FF000000"/>
        <rFont val="Noto Sans CJK SC"/>
        <family val="2"/>
      </rPr>
      <t xml:space="preserve">門檻（</t>
    </r>
    <r>
      <rPr>
        <sz val="10"/>
        <color rgb="FF000000"/>
        <rFont val="Arial"/>
        <family val="0"/>
        <charset val="1"/>
      </rPr>
      <t xml:space="preserve">P1</t>
    </r>
    <r>
      <rPr>
        <sz val="10"/>
        <color rgb="FF000000"/>
        <rFont val="Noto Sans CJK SC"/>
        <family val="2"/>
      </rPr>
      <t xml:space="preserve">）</t>
    </r>
  </si>
  <si>
    <t xml:space="preserve">期</t>
  </si>
  <si>
    <r>
      <rPr>
        <sz val="10"/>
        <color rgb="FF000000"/>
        <rFont val="Noto Sans CJK SC"/>
        <family val="2"/>
      </rPr>
      <t xml:space="preserve">工作單 </t>
    </r>
    <r>
      <rPr>
        <sz val="10"/>
        <color rgb="FF000000"/>
        <rFont val="Arial"/>
        <family val="0"/>
        <charset val="1"/>
      </rPr>
      <t xml:space="preserve">P1</t>
    </r>
    <r>
      <rPr>
        <sz val="10"/>
        <color rgb="FF000000"/>
        <rFont val="Noto Sans CJK SC"/>
        <family val="2"/>
      </rPr>
      <t xml:space="preserve">：</t>
    </r>
    <r>
      <rPr>
        <sz val="10"/>
        <color rgb="FF000000"/>
        <rFont val="Arial"/>
        <family val="0"/>
        <charset val="1"/>
      </rPr>
      <t xml:space="preserve">η </t>
    </r>
    <r>
      <rPr>
        <sz val="10"/>
        <color rgb="FF000000"/>
        <rFont val="Noto Sans CJK SC"/>
        <family val="2"/>
      </rPr>
      <t xml:space="preserve">被上調（殘差觸及訓練最低占比）時 </t>
    </r>
    <r>
      <rPr>
        <sz val="10"/>
        <color rgb="FF000000"/>
        <rFont val="Arial"/>
        <family val="0"/>
        <charset val="1"/>
      </rPr>
      <t xml:space="preserve">WARN</t>
    </r>
  </si>
  <si>
    <t xml:space="preserve">INP_141</t>
  </si>
  <si>
    <t xml:space="preserve">seg_recon_tol</t>
  </si>
  <si>
    <r>
      <rPr>
        <sz val="10"/>
        <color rgb="FF000000"/>
        <rFont val="Noto Sans CJK SC"/>
        <family val="2"/>
      </rPr>
      <t xml:space="preserve">分部對帳容差（官方分部 </t>
    </r>
    <r>
      <rPr>
        <sz val="10"/>
        <color rgb="FF000000"/>
        <rFont val="Arial"/>
        <family val="0"/>
        <charset val="1"/>
      </rPr>
      <t xml:space="preserve">vs </t>
    </r>
    <r>
      <rPr>
        <sz val="10"/>
        <color rgb="FF000000"/>
        <rFont val="Noto Sans CJK SC"/>
        <family val="2"/>
      </rPr>
      <t xml:space="preserve">模型／子項加總；絕對差 ≤ 本值為 </t>
    </r>
    <r>
      <rPr>
        <sz val="10"/>
        <color rgb="FF000000"/>
        <rFont val="Arial"/>
        <family val="0"/>
        <charset val="1"/>
      </rPr>
      <t xml:space="preserve">OK</t>
    </r>
    <r>
      <rPr>
        <sz val="10"/>
        <color rgb="FF000000"/>
        <rFont val="Noto Sans CJK SC"/>
        <family val="2"/>
      </rPr>
      <t xml:space="preserve">）</t>
    </r>
  </si>
  <si>
    <r>
      <rPr>
        <sz val="10"/>
        <color rgb="FF000000"/>
        <rFont val="Noto Sans CJK SC"/>
        <family val="2"/>
      </rPr>
      <t xml:space="preserve">工作單 </t>
    </r>
    <r>
      <rPr>
        <sz val="10"/>
        <color rgb="FF000000"/>
        <rFont val="Arial"/>
        <family val="0"/>
        <charset val="1"/>
      </rPr>
      <t xml:space="preserve">v0.1.2</t>
    </r>
    <r>
      <rPr>
        <sz val="10"/>
        <color rgb="FF000000"/>
        <rFont val="Noto Sans CJK SC"/>
        <family val="2"/>
      </rPr>
      <t xml:space="preserve">：財報以千元四捨五入至億元四位小數，年報本地化部署 </t>
    </r>
    <r>
      <rPr>
        <sz val="10"/>
        <color rgb="FF000000"/>
        <rFont val="Arial"/>
        <family val="0"/>
        <charset val="1"/>
      </rPr>
      <t xml:space="preserve">5.3396 </t>
    </r>
    <r>
      <rPr>
        <sz val="10"/>
        <color rgb="FF000000"/>
        <rFont val="Noto Sans CJK SC"/>
        <family val="2"/>
      </rPr>
      <t xml:space="preserve">與四捨五入後子項 </t>
    </r>
    <r>
      <rPr>
        <sz val="10"/>
        <color rgb="FF000000"/>
        <rFont val="Arial"/>
        <family val="0"/>
        <charset val="1"/>
      </rPr>
      <t xml:space="preserve">5.3395 </t>
    </r>
    <r>
      <rPr>
        <sz val="10"/>
        <color rgb="FF000000"/>
        <rFont val="Noto Sans CJK SC"/>
        <family val="2"/>
      </rPr>
      <t xml:space="preserve">差 </t>
    </r>
    <r>
      <rPr>
        <sz val="10"/>
        <color rgb="FF000000"/>
        <rFont val="Arial"/>
        <family val="0"/>
        <charset val="1"/>
      </rPr>
      <t xml:space="preserve">0.0001</t>
    </r>
    <r>
      <rPr>
        <sz val="10"/>
        <color rgb="FF000000"/>
        <rFont val="Noto Sans CJK SC"/>
        <family val="2"/>
      </rPr>
      <t xml:space="preserve">；容差 </t>
    </r>
    <r>
      <rPr>
        <sz val="10"/>
        <color rgb="FF000000"/>
        <rFont val="Arial"/>
        <family val="0"/>
        <charset val="1"/>
      </rPr>
      <t xml:space="preserve">0.001 </t>
    </r>
    <r>
      <rPr>
        <sz val="10"/>
        <color rgb="FF000000"/>
        <rFont val="Noto Sans CJK SC"/>
        <family val="2"/>
      </rPr>
      <t xml:space="preserve">為定義常數（</t>
    </r>
    <r>
      <rPr>
        <sz val="10"/>
        <color rgb="FF000000"/>
        <rFont val="Arial"/>
        <family val="0"/>
        <charset val="1"/>
      </rPr>
      <t xml:space="preserve">Decision</t>
    </r>
    <r>
      <rPr>
        <sz val="10"/>
        <color rgb="FF000000"/>
        <rFont val="Noto Sans CJK SC"/>
        <family val="2"/>
      </rPr>
      <t xml:space="preserve">，低＝高＝值）</t>
    </r>
  </si>
  <si>
    <r>
      <rPr>
        <b val="true"/>
        <sz val="13"/>
        <rFont val="Arial"/>
        <family val="0"/>
        <charset val="1"/>
      </rPr>
      <t xml:space="preserve">Demand — </t>
    </r>
    <r>
      <rPr>
        <b val="true"/>
        <sz val="13"/>
        <rFont val="Noto Sans CJK SC"/>
        <family val="2"/>
      </rPr>
      <t xml:space="preserve">需求：</t>
    </r>
    <r>
      <rPr>
        <b val="true"/>
        <sz val="13"/>
        <rFont val="Arial"/>
        <family val="0"/>
        <charset val="1"/>
      </rPr>
      <t xml:space="preserve">API </t>
    </r>
    <r>
      <rPr>
        <b val="true"/>
        <sz val="13"/>
        <rFont val="Noto Sans CJK SC"/>
        <family val="2"/>
      </rPr>
      <t xml:space="preserve">按量計費 </t>
    </r>
    <r>
      <rPr>
        <b val="true"/>
        <sz val="13"/>
        <rFont val="Arial"/>
        <family val="0"/>
        <charset val="1"/>
      </rPr>
      <t xml:space="preserve">token</t>
    </r>
    <r>
      <rPr>
        <b val="true"/>
        <sz val="13"/>
        <rFont val="Noto Sans CJK SC"/>
        <family val="2"/>
      </rPr>
      <t xml:space="preserve">、</t>
    </r>
    <r>
      <rPr>
        <b val="true"/>
        <sz val="13"/>
        <rFont val="Arial"/>
        <family val="0"/>
        <charset val="1"/>
      </rPr>
      <t xml:space="preserve">GLM Coding Plan </t>
    </r>
    <r>
      <rPr>
        <b val="true"/>
        <sz val="13"/>
        <rFont val="Noto Sans CJK SC"/>
        <family val="2"/>
      </rPr>
      <t xml:space="preserve">訂閱者與 </t>
    </r>
    <r>
      <rPr>
        <b val="true"/>
        <sz val="13"/>
        <rFont val="Arial"/>
        <family val="0"/>
        <charset val="1"/>
      </rPr>
      <t xml:space="preserve">token</t>
    </r>
    <r>
      <rPr>
        <b val="true"/>
        <sz val="13"/>
        <rFont val="Noto Sans CJK SC"/>
        <family val="2"/>
      </rPr>
      <t xml:space="preserve">、智譜清言（免費）</t>
    </r>
    <r>
      <rPr>
        <b val="true"/>
        <sz val="13"/>
        <rFont val="Arial"/>
        <family val="0"/>
        <charset val="1"/>
      </rPr>
      <t xml:space="preserve">token</t>
    </r>
    <r>
      <rPr>
        <b val="true"/>
        <sz val="13"/>
        <rFont val="Noto Sans CJK SC"/>
        <family val="2"/>
      </rPr>
      <t xml:space="preserve">；輸出 </t>
    </r>
    <r>
      <rPr>
        <b val="true"/>
        <sz val="13"/>
        <rFont val="Arial"/>
        <family val="0"/>
        <charset val="1"/>
      </rPr>
      <t xml:space="preserve">DEM_Tok_*</t>
    </r>
    <r>
      <rPr>
        <b val="true"/>
        <sz val="13"/>
        <rFont val="Noto Sans CJK SC"/>
        <family val="2"/>
      </rPr>
      <t xml:space="preserve">（層級 </t>
    </r>
    <r>
      <rPr>
        <b val="true"/>
        <sz val="13"/>
        <rFont val="Arial"/>
        <family val="0"/>
        <charset val="1"/>
      </rPr>
      <t xml:space="preserve">Sol</t>
    </r>
    <r>
      <rPr>
        <b val="true"/>
        <sz val="13"/>
        <rFont val="Noto Sans CJK SC"/>
        <family val="2"/>
      </rPr>
      <t xml:space="preserve">／</t>
    </r>
    <r>
      <rPr>
        <b val="true"/>
        <sz val="13"/>
        <rFont val="Arial"/>
        <family val="0"/>
        <charset val="1"/>
      </rPr>
      <t xml:space="preserve">Luna × </t>
    </r>
    <r>
      <rPr>
        <b val="true"/>
        <sz val="13"/>
        <rFont val="Noto Sans CJK SC"/>
        <family val="2"/>
      </rPr>
      <t xml:space="preserve">付費／免費）</t>
    </r>
  </si>
  <si>
    <r>
      <rPr>
        <sz val="9"/>
        <color rgb="FF595959"/>
        <rFont val="Arial"/>
        <family val="0"/>
        <charset val="1"/>
      </rPr>
      <t xml:space="preserve">2025 </t>
    </r>
    <r>
      <rPr>
        <sz val="9"/>
        <color rgb="FF595959"/>
        <rFont val="Noto Sans CJK SC"/>
        <family val="2"/>
      </rPr>
      <t xml:space="preserve">與 </t>
    </r>
    <r>
      <rPr>
        <sz val="9"/>
        <color rgb="FF595959"/>
        <rFont val="Arial"/>
        <family val="0"/>
        <charset val="1"/>
      </rPr>
      <t xml:space="preserve">1H26 </t>
    </r>
    <r>
      <rPr>
        <sz val="9"/>
        <color rgb="FF595959"/>
        <rFont val="Noto Sans CJK SC"/>
        <family val="2"/>
      </rPr>
      <t xml:space="preserve">為校準期：</t>
    </r>
    <r>
      <rPr>
        <sz val="9"/>
        <color rgb="FF595959"/>
        <rFont val="Arial"/>
        <family val="0"/>
        <charset val="1"/>
      </rPr>
      <t xml:space="preserve">API </t>
    </r>
    <r>
      <rPr>
        <sz val="9"/>
        <color rgb="FF595959"/>
        <rFont val="Noto Sans CJK SC"/>
        <family val="2"/>
      </rPr>
      <t xml:space="preserve">按量計費 </t>
    </r>
    <r>
      <rPr>
        <sz val="9"/>
        <color rgb="FF595959"/>
        <rFont val="Arial"/>
        <family val="0"/>
        <charset val="1"/>
      </rPr>
      <t xml:space="preserve">token</t>
    </r>
    <r>
      <rPr>
        <sz val="9"/>
        <color rgb="FF595959"/>
        <rFont val="Noto Sans CJK SC"/>
        <family val="2"/>
      </rPr>
      <t xml:space="preserve">＝（開放平台及 </t>
    </r>
    <r>
      <rPr>
        <sz val="9"/>
        <color rgb="FF595959"/>
        <rFont val="Arial"/>
        <family val="0"/>
        <charset val="1"/>
      </rPr>
      <t xml:space="preserve">API </t>
    </r>
    <r>
      <rPr>
        <sz val="9"/>
        <color rgb="FF595959"/>
        <rFont val="Noto Sans CJK SC"/>
        <family val="2"/>
      </rPr>
      <t xml:space="preserve">實際營收 − </t>
    </r>
    <r>
      <rPr>
        <sz val="9"/>
        <color rgb="FF595959"/>
        <rFont val="Arial"/>
        <family val="0"/>
        <charset val="1"/>
      </rPr>
      <t xml:space="preserve">Coding Plan </t>
    </r>
    <r>
      <rPr>
        <sz val="9"/>
        <color rgb="FF595959"/>
        <rFont val="Noto Sans CJK SC"/>
        <family val="2"/>
      </rPr>
      <t xml:space="preserve">估計營收）</t>
    </r>
    <r>
      <rPr>
        <sz val="9"/>
        <color rgb="FF595959"/>
        <rFont val="Arial"/>
        <family val="0"/>
        <charset val="1"/>
      </rPr>
      <t xml:space="preserve">÷ </t>
    </r>
    <r>
      <rPr>
        <sz val="9"/>
        <color rgb="FF595959"/>
        <rFont val="Noto Sans CJK SC"/>
        <family val="2"/>
      </rPr>
      <t xml:space="preserve">組合有效單價（規格 </t>
    </r>
    <r>
      <rPr>
        <sz val="9"/>
        <color rgb="FF595959"/>
        <rFont val="Arial"/>
        <family val="0"/>
        <charset val="1"/>
      </rPr>
      <t xml:space="preserve">D14</t>
    </r>
    <r>
      <rPr>
        <sz val="9"/>
        <color rgb="FF595959"/>
        <rFont val="Noto Sans CJK SC"/>
        <family val="2"/>
      </rPr>
      <t xml:space="preserve">；單價為驅動、</t>
    </r>
    <r>
      <rPr>
        <sz val="9"/>
        <color rgb="FF595959"/>
        <rFont val="Arial"/>
        <family val="0"/>
        <charset val="1"/>
      </rPr>
      <t xml:space="preserve">token </t>
    </r>
    <r>
      <rPr>
        <sz val="9"/>
        <color rgb="FF595959"/>
        <rFont val="Noto Sans CJK SC"/>
        <family val="2"/>
      </rPr>
      <t xml:space="preserve">為倒推）。</t>
    </r>
    <r>
      <rPr>
        <sz val="9"/>
        <color rgb="FF595959"/>
        <rFont val="Arial"/>
        <family val="0"/>
        <charset val="1"/>
      </rPr>
      <t xml:space="preserve">2H26 </t>
    </r>
    <r>
      <rPr>
        <sz val="9"/>
        <color rgb="FF595959"/>
        <rFont val="Noto Sans CJK SC"/>
        <family val="2"/>
      </rPr>
      <t xml:space="preserve">起：任務數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＋成長）</t>
    </r>
    <r>
      <rPr>
        <sz val="9"/>
        <color rgb="FF595959"/>
        <rFont val="Arial"/>
        <family val="0"/>
        <charset val="1"/>
      </rPr>
      <t xml:space="preserve">× </t>
    </r>
    <r>
      <rPr>
        <sz val="9"/>
        <color rgb="FF595959"/>
        <rFont val="Noto Sans CJK SC"/>
        <family val="2"/>
      </rPr>
      <t xml:space="preserve">每任務 </t>
    </r>
    <r>
      <rPr>
        <sz val="9"/>
        <color rgb="FF595959"/>
        <rFont val="Arial"/>
        <family val="0"/>
        <charset val="1"/>
      </rPr>
      <t xml:space="preserve">token ×</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＋成長）</t>
    </r>
    <r>
      <rPr>
        <sz val="9"/>
        <color rgb="FF595959"/>
        <rFont val="Arial"/>
        <family val="0"/>
        <charset val="1"/>
      </rPr>
      <t xml:space="preserve">× </t>
    </r>
    <r>
      <rPr>
        <sz val="9"/>
        <color rgb="FF595959"/>
        <rFont val="Noto Sans CJK SC"/>
        <family val="2"/>
      </rPr>
      <t xml:space="preserve">價格反應 </t>
    </r>
    <r>
      <rPr>
        <sz val="9"/>
        <color rgb="FF595959"/>
        <rFont val="Arial"/>
        <family val="0"/>
        <charset val="1"/>
      </rPr>
      <t xml:space="preserve">(p/p</t>
    </r>
    <r>
      <rPr>
        <sz val="9"/>
        <color rgb="FF595959"/>
        <rFont val="Noto Sans CJK SC"/>
        <family val="2"/>
      </rPr>
      <t xml:space="preserve">前</t>
    </r>
    <r>
      <rPr>
        <sz val="9"/>
        <color rgb="FF595959"/>
        <rFont val="Arial"/>
        <family val="0"/>
        <charset val="1"/>
      </rPr>
      <t xml:space="preserve">)^ε</t>
    </r>
    <r>
      <rPr>
        <sz val="9"/>
        <color rgb="FF595959"/>
        <rFont val="Noto Sans CJK SC"/>
        <family val="2"/>
      </rPr>
      <t xml:space="preserve">（</t>
    </r>
    <r>
      <rPr>
        <sz val="9"/>
        <color rgb="FF595959"/>
        <rFont val="Arial"/>
        <family val="0"/>
        <charset val="1"/>
      </rPr>
      <t xml:space="preserve">D15</t>
    </r>
    <r>
      <rPr>
        <sz val="9"/>
        <color rgb="FF595959"/>
        <rFont val="Noto Sans CJK SC"/>
        <family val="2"/>
      </rPr>
      <t xml:space="preserve">）。本地化部署不耗智譜算力，不進本頁（</t>
    </r>
    <r>
      <rPr>
        <sz val="9"/>
        <color rgb="FF595959"/>
        <rFont val="Arial"/>
        <family val="0"/>
        <charset val="1"/>
      </rPr>
      <t xml:space="preserve">D4</t>
    </r>
    <r>
      <rPr>
        <sz val="9"/>
        <color rgb="FF595959"/>
        <rFont val="Noto Sans CJK SC"/>
        <family val="2"/>
      </rPr>
      <t xml:space="preserve">）。</t>
    </r>
  </si>
  <si>
    <r>
      <rPr>
        <sz val="9"/>
        <color rgb="FF595959"/>
        <rFont val="Arial"/>
        <family val="0"/>
        <charset val="1"/>
      </rPr>
      <t xml:space="preserve">token </t>
    </r>
    <r>
      <rPr>
        <sz val="9"/>
        <color rgb="FF595959"/>
        <rFont val="Noto Sans CJK SC"/>
        <family val="2"/>
      </rPr>
      <t xml:space="preserve">單位 </t>
    </r>
    <r>
      <rPr>
        <sz val="9"/>
        <color rgb="FF595959"/>
        <rFont val="Arial"/>
        <family val="0"/>
        <charset val="1"/>
      </rPr>
      <t xml:space="preserve">T</t>
    </r>
    <r>
      <rPr>
        <sz val="9"/>
        <color rgb="FF595959"/>
        <rFont val="Noto Sans CJK SC"/>
        <family val="2"/>
      </rPr>
      <t xml:space="preserve">＝</t>
    </r>
    <r>
      <rPr>
        <sz val="9"/>
        <color rgb="FF595959"/>
        <rFont val="Arial"/>
        <family val="0"/>
        <charset val="1"/>
      </rPr>
      <t xml:space="preserve">10^12</t>
    </r>
    <r>
      <rPr>
        <sz val="9"/>
        <color rgb="FF595959"/>
        <rFont val="Noto Sans CJK SC"/>
        <family val="2"/>
      </rPr>
      <t xml:space="preserve">；</t>
    </r>
    <r>
      <rPr>
        <sz val="9"/>
        <color rgb="FF595959"/>
        <rFont val="Arial"/>
        <family val="0"/>
        <charset val="1"/>
      </rPr>
      <t xml:space="preserve">Coding Plan </t>
    </r>
    <r>
      <rPr>
        <sz val="9"/>
        <color rgb="FF595959"/>
        <rFont val="Noto Sans CJK SC"/>
        <family val="2"/>
      </rPr>
      <t xml:space="preserve">訂閱者單位萬人；清言用戶百萬人；任務數十億。容量上限於 </t>
    </r>
    <r>
      <rPr>
        <sz val="9"/>
        <color rgb="FF595959"/>
        <rFont val="Arial"/>
        <family val="0"/>
        <charset val="1"/>
      </rPr>
      <t xml:space="preserve">Z3 </t>
    </r>
    <r>
      <rPr>
        <sz val="9"/>
        <color rgb="FF595959"/>
        <rFont val="Noto Sans CJK SC"/>
        <family val="2"/>
      </rPr>
      <t xml:space="preserve">接 </t>
    </r>
    <r>
      <rPr>
        <sz val="9"/>
        <color rgb="FF595959"/>
        <rFont val="Arial"/>
        <family val="0"/>
        <charset val="1"/>
      </rPr>
      <t xml:space="preserve">Compute</t>
    </r>
    <r>
      <rPr>
        <sz val="9"/>
        <color rgb="FF595959"/>
        <rFont val="Noto Sans CJK SC"/>
        <family val="2"/>
      </rPr>
      <t xml:space="preserve">；本頁不截頂。</t>
    </r>
  </si>
  <si>
    <t xml:space="preserve">編號</t>
  </si>
  <si>
    <t xml:space="preserve">年度</t>
  </si>
  <si>
    <r>
      <rPr>
        <b val="true"/>
        <sz val="10"/>
        <rFont val="Arial"/>
        <family val="0"/>
        <charset val="1"/>
      </rPr>
      <t xml:space="preserve">1H2026</t>
    </r>
    <r>
      <rPr>
        <b val="true"/>
        <sz val="10"/>
        <rFont val="Noto Sans CJK SC"/>
        <family val="2"/>
      </rPr>
      <t xml:space="preserve">（實際）</t>
    </r>
  </si>
  <si>
    <r>
      <rPr>
        <b val="true"/>
        <sz val="10"/>
        <rFont val="Arial"/>
        <family val="0"/>
        <charset val="1"/>
      </rPr>
      <t xml:space="preserve">2H2026</t>
    </r>
    <r>
      <rPr>
        <b val="true"/>
        <sz val="10"/>
        <rFont val="Noto Sans CJK SC"/>
        <family val="2"/>
      </rPr>
      <t xml:space="preserve">（驅動）</t>
    </r>
  </si>
  <si>
    <r>
      <rPr>
        <b val="true"/>
        <sz val="10"/>
        <rFont val="Noto Sans CJK SC"/>
        <family val="2"/>
      </rPr>
      <t xml:space="preserve">一、</t>
    </r>
    <r>
      <rPr>
        <b val="true"/>
        <sz val="10"/>
        <rFont val="Arial"/>
        <family val="0"/>
        <charset val="1"/>
      </rPr>
      <t xml:space="preserve">API </t>
    </r>
    <r>
      <rPr>
        <b val="true"/>
        <sz val="10"/>
        <rFont val="Noto Sans CJK SC"/>
        <family val="2"/>
      </rPr>
      <t xml:space="preserve">按量計費（開放平台及 </t>
    </r>
    <r>
      <rPr>
        <b val="true"/>
        <sz val="10"/>
        <rFont val="Arial"/>
        <family val="0"/>
        <charset val="1"/>
      </rPr>
      <t xml:space="preserve">API </t>
    </r>
    <r>
      <rPr>
        <b val="true"/>
        <sz val="10"/>
        <rFont val="Noto Sans CJK SC"/>
        <family val="2"/>
      </rPr>
      <t xml:space="preserve">扣除 </t>
    </r>
    <r>
      <rPr>
        <b val="true"/>
        <sz val="10"/>
        <rFont val="Arial"/>
        <family val="0"/>
        <charset val="1"/>
      </rPr>
      <t xml:space="preserve">Coding Plan</t>
    </r>
    <r>
      <rPr>
        <b val="true"/>
        <sz val="10"/>
        <rFont val="Noto Sans CJK SC"/>
        <family val="2"/>
      </rPr>
      <t xml:space="preserve">）</t>
    </r>
  </si>
  <si>
    <t xml:space="preserve">D01</t>
  </si>
  <si>
    <r>
      <rPr>
        <sz val="10"/>
        <color rgb="FF000000"/>
        <rFont val="Noto Sans CJK SC"/>
        <family val="2"/>
      </rPr>
      <t xml:space="preserve">價格反應底數 </t>
    </r>
    <r>
      <rPr>
        <sz val="10"/>
        <color rgb="FF000000"/>
        <rFont val="Arial"/>
        <family val="0"/>
        <charset val="1"/>
      </rPr>
      <t xml:space="preserve">p/p</t>
    </r>
    <r>
      <rPr>
        <sz val="10"/>
        <color rgb="FF000000"/>
        <rFont val="Noto Sans CJK SC"/>
        <family val="2"/>
      </rPr>
      <t xml:space="preserve">前（組合有效單價）</t>
    </r>
  </si>
  <si>
    <r>
      <rPr>
        <sz val="9"/>
        <color rgb="FF595959"/>
        <rFont val="Arial"/>
        <family val="0"/>
        <charset val="1"/>
      </rPr>
      <t xml:space="preserve">2H26</t>
    </r>
    <r>
      <rPr>
        <sz val="9"/>
        <color rgb="FF595959"/>
        <rFont val="Noto Sans CJK SC"/>
        <family val="2"/>
      </rPr>
      <t xml:space="preserve">＝</t>
    </r>
    <r>
      <rPr>
        <sz val="9"/>
        <color rgb="FF595959"/>
        <rFont val="Arial"/>
        <family val="0"/>
        <charset val="1"/>
      </rPr>
      <t xml:space="preserve">2H26 ÷ 1H26</t>
    </r>
    <r>
      <rPr>
        <sz val="9"/>
        <color rgb="FF595959"/>
        <rFont val="Noto Sans CJK SC"/>
        <family val="2"/>
      </rPr>
      <t xml:space="preserve">；</t>
    </r>
    <r>
      <rPr>
        <sz val="9"/>
        <color rgb="FF595959"/>
        <rFont val="Arial"/>
        <family val="0"/>
        <charset val="1"/>
      </rPr>
      <t xml:space="preserve">2027</t>
    </r>
    <r>
      <rPr>
        <sz val="9"/>
        <color rgb="FF595959"/>
        <rFont val="Noto Sans CJK SC"/>
        <family val="2"/>
      </rPr>
      <t xml:space="preserve">＝</t>
    </r>
    <r>
      <rPr>
        <sz val="9"/>
        <color rgb="FF595959"/>
        <rFont val="Arial"/>
        <family val="0"/>
        <charset val="1"/>
      </rPr>
      <t xml:space="preserve">2027 ÷ 2H26</t>
    </r>
    <r>
      <rPr>
        <sz val="9"/>
        <color rgb="FF595959"/>
        <rFont val="Noto Sans CJK SC"/>
        <family val="2"/>
      </rPr>
      <t xml:space="preserve">（最新價格水準）；之後逐年</t>
    </r>
  </si>
  <si>
    <t xml:space="preserve">D02</t>
  </si>
  <si>
    <r>
      <rPr>
        <sz val="10"/>
        <color rgb="FF000000"/>
        <rFont val="Arial"/>
        <family val="0"/>
        <charset val="1"/>
      </rPr>
      <t xml:space="preserve">API </t>
    </r>
    <r>
      <rPr>
        <sz val="10"/>
        <color rgb="FF000000"/>
        <rFont val="Noto Sans CJK SC"/>
        <family val="2"/>
      </rPr>
      <t xml:space="preserve">每任務 </t>
    </r>
    <r>
      <rPr>
        <sz val="10"/>
        <color rgb="FF000000"/>
        <rFont val="Arial"/>
        <family val="0"/>
        <charset val="1"/>
      </rPr>
      <t xml:space="preserve">token</t>
    </r>
  </si>
  <si>
    <r>
      <rPr>
        <sz val="9"/>
        <color rgb="FF595959"/>
        <rFont val="Noto Sans CJK SC"/>
        <family val="2"/>
      </rPr>
      <t xml:space="preserve">校準期＝</t>
    </r>
    <r>
      <rPr>
        <sz val="9"/>
        <color rgb="FF595959"/>
        <rFont val="Arial"/>
        <family val="0"/>
        <charset val="1"/>
      </rPr>
      <t xml:space="preserve">Inputs </t>
    </r>
    <r>
      <rPr>
        <sz val="9"/>
        <color rgb="FF595959"/>
        <rFont val="Noto Sans CJK SC"/>
        <family val="2"/>
      </rPr>
      <t xml:space="preserve">基準（只影響任務數與每任務 </t>
    </r>
    <r>
      <rPr>
        <sz val="9"/>
        <color rgb="FF595959"/>
        <rFont val="Arial"/>
        <family val="0"/>
        <charset val="1"/>
      </rPr>
      <t xml:space="preserve">token </t>
    </r>
    <r>
      <rPr>
        <sz val="9"/>
        <color rgb="FF595959"/>
        <rFont val="Noto Sans CJK SC"/>
        <family val="2"/>
      </rPr>
      <t xml:space="preserve">的水準拆分，不影響營收）；</t>
    </r>
    <r>
      <rPr>
        <sz val="9"/>
        <color rgb="FF595959"/>
        <rFont val="Arial"/>
        <family val="0"/>
        <charset val="1"/>
      </rPr>
      <t xml:space="preserve">2H26 </t>
    </r>
    <r>
      <rPr>
        <sz val="9"/>
        <color rgb="FF595959"/>
        <rFont val="Noto Sans CJK SC"/>
        <family val="2"/>
      </rPr>
      <t xml:space="preserve">起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＋成長）</t>
    </r>
    <r>
      <rPr>
        <sz val="9"/>
        <color rgb="FF595959"/>
        <rFont val="Arial"/>
        <family val="0"/>
        <charset val="1"/>
      </rPr>
      <t xml:space="preserve">× </t>
    </r>
    <r>
      <rPr>
        <sz val="9"/>
        <color rgb="FF595959"/>
        <rFont val="Noto Sans CJK SC"/>
        <family val="2"/>
      </rPr>
      <t xml:space="preserve">價格反應</t>
    </r>
    <r>
      <rPr>
        <sz val="9"/>
        <color rgb="FF595959"/>
        <rFont val="Arial"/>
        <family val="0"/>
        <charset val="1"/>
      </rPr>
      <t xml:space="preserve">^ε</t>
    </r>
    <r>
      <rPr>
        <sz val="9"/>
        <color rgb="FF595959"/>
        <rFont val="Noto Sans CJK SC"/>
        <family val="2"/>
      </rPr>
      <t xml:space="preserve">（每任務 </t>
    </r>
    <r>
      <rPr>
        <sz val="9"/>
        <color rgb="FF595959"/>
        <rFont val="Arial"/>
        <family val="0"/>
        <charset val="1"/>
      </rPr>
      <t xml:space="preserve">token</t>
    </r>
    <r>
      <rPr>
        <sz val="9"/>
        <color rgb="FF595959"/>
        <rFont val="Noto Sans CJK SC"/>
        <family val="2"/>
      </rPr>
      <t xml:space="preserve">）；</t>
    </r>
    <r>
      <rPr>
        <sz val="9"/>
        <color rgb="FF595959"/>
        <rFont val="Arial"/>
        <family val="0"/>
        <charset val="1"/>
      </rPr>
      <t xml:space="preserve">2026 </t>
    </r>
    <r>
      <rPr>
        <sz val="9"/>
        <color rgb="FF595959"/>
        <rFont val="Noto Sans CJK SC"/>
        <family val="2"/>
      </rPr>
      <t xml:space="preserve">欄＝全年 </t>
    </r>
    <r>
      <rPr>
        <sz val="9"/>
        <color rgb="FF595959"/>
        <rFont val="Arial"/>
        <family val="0"/>
        <charset val="1"/>
      </rPr>
      <t xml:space="preserve">token ÷ </t>
    </r>
    <r>
      <rPr>
        <sz val="9"/>
        <color rgb="FF595959"/>
        <rFont val="Noto Sans CJK SC"/>
        <family val="2"/>
      </rPr>
      <t xml:space="preserve">全年任務</t>
    </r>
  </si>
  <si>
    <t xml:space="preserve">D03</t>
  </si>
  <si>
    <r>
      <rPr>
        <sz val="10"/>
        <color rgb="FF000000"/>
        <rFont val="Arial"/>
        <family val="0"/>
        <charset val="1"/>
      </rPr>
      <t xml:space="preserve">API </t>
    </r>
    <r>
      <rPr>
        <sz val="10"/>
        <color rgb="FF000000"/>
        <rFont val="Noto Sans CJK SC"/>
        <family val="2"/>
      </rPr>
      <t xml:space="preserve">任務數</t>
    </r>
  </si>
  <si>
    <t xml:space="preserve">十億</t>
  </si>
  <si>
    <r>
      <rPr>
        <sz val="9"/>
        <color rgb="FF595959"/>
        <rFont val="Noto Sans CJK SC"/>
        <family val="2"/>
      </rPr>
      <t xml:space="preserve">校準期＝</t>
    </r>
    <r>
      <rPr>
        <sz val="9"/>
        <color rgb="FF595959"/>
        <rFont val="Arial"/>
        <family val="0"/>
        <charset val="1"/>
      </rPr>
      <t xml:space="preserve">token ÷ </t>
    </r>
    <r>
      <rPr>
        <sz val="9"/>
        <color rgb="FF595959"/>
        <rFont val="Noto Sans CJK SC"/>
        <family val="2"/>
      </rPr>
      <t xml:space="preserve">每任務 </t>
    </r>
    <r>
      <rPr>
        <sz val="9"/>
        <color rgb="FF595959"/>
        <rFont val="Arial"/>
        <family val="0"/>
        <charset val="1"/>
      </rPr>
      <t xml:space="preserve">token</t>
    </r>
    <r>
      <rPr>
        <sz val="9"/>
        <color rgb="FF595959"/>
        <rFont val="Noto Sans CJK SC"/>
        <family val="2"/>
      </rPr>
      <t xml:space="preserve">；</t>
    </r>
    <r>
      <rPr>
        <sz val="9"/>
        <color rgb="FF595959"/>
        <rFont val="Arial"/>
        <family val="0"/>
        <charset val="1"/>
      </rPr>
      <t xml:space="preserve">2H26</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＋半年成長）</t>
    </r>
    <r>
      <rPr>
        <sz val="9"/>
        <color rgb="FF595959"/>
        <rFont val="Arial"/>
        <family val="0"/>
        <charset val="1"/>
      </rPr>
      <t xml:space="preserve">× </t>
    </r>
    <r>
      <rPr>
        <sz val="9"/>
        <color rgb="FF595959"/>
        <rFont val="Noto Sans CJK SC"/>
        <family val="2"/>
      </rPr>
      <t xml:space="preserve">價格反應</t>
    </r>
    <r>
      <rPr>
        <sz val="9"/>
        <color rgb="FF595959"/>
        <rFont val="Arial"/>
        <family val="0"/>
        <charset val="1"/>
      </rPr>
      <t xml:space="preserve">^ε</t>
    </r>
    <r>
      <rPr>
        <sz val="9"/>
        <color rgb="FF595959"/>
        <rFont val="Noto Sans CJK SC"/>
        <family val="2"/>
      </rPr>
      <t xml:space="preserve">；</t>
    </r>
    <r>
      <rPr>
        <sz val="9"/>
        <color rgb="FF595959"/>
        <rFont val="Arial"/>
        <family val="0"/>
        <charset val="1"/>
      </rPr>
      <t xml:space="preserve">2027 </t>
    </r>
    <r>
      <rPr>
        <sz val="9"/>
        <color rgb="FF595959"/>
        <rFont val="Noto Sans CJK SC"/>
        <family val="2"/>
      </rPr>
      <t xml:space="preserve">起以 </t>
    </r>
    <r>
      <rPr>
        <sz val="9"/>
        <color rgb="FF595959"/>
        <rFont val="Arial"/>
        <family val="0"/>
        <charset val="1"/>
      </rPr>
      <t xml:space="preserve">2026 </t>
    </r>
    <r>
      <rPr>
        <sz val="9"/>
        <color rgb="FF595959"/>
        <rFont val="Noto Sans CJK SC"/>
        <family val="2"/>
      </rPr>
      <t xml:space="preserve">全年為基期</t>
    </r>
  </si>
  <si>
    <t xml:space="preserve">D04</t>
  </si>
  <si>
    <r>
      <rPr>
        <sz val="10"/>
        <color rgb="FF000000"/>
        <rFont val="Arial"/>
        <family val="0"/>
        <charset val="1"/>
      </rPr>
      <t xml:space="preserve">API </t>
    </r>
    <r>
      <rPr>
        <sz val="10"/>
        <color rgb="FF000000"/>
        <rFont val="Noto Sans CJK SC"/>
        <family val="2"/>
      </rPr>
      <t xml:space="preserve">按量計費 </t>
    </r>
    <r>
      <rPr>
        <sz val="10"/>
        <color rgb="FF000000"/>
        <rFont val="Arial"/>
        <family val="0"/>
        <charset val="1"/>
      </rPr>
      <t xml:space="preserve">token</t>
    </r>
  </si>
  <si>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：按量計費營收（</t>
    </r>
    <r>
      <rPr>
        <sz val="9"/>
        <color rgb="FF595959"/>
        <rFont val="Arial"/>
        <family val="0"/>
        <charset val="1"/>
      </rPr>
      <t xml:space="preserve">API </t>
    </r>
    <r>
      <rPr>
        <sz val="9"/>
        <color rgb="FF595959"/>
        <rFont val="Noto Sans CJK SC"/>
        <family val="2"/>
      </rPr>
      <t xml:space="preserve">實際 − </t>
    </r>
    <r>
      <rPr>
        <sz val="9"/>
        <color rgb="FF595959"/>
        <rFont val="Arial"/>
        <family val="0"/>
        <charset val="1"/>
      </rPr>
      <t xml:space="preserve">Coding Plan </t>
    </r>
    <r>
      <rPr>
        <sz val="9"/>
        <color rgb="FF595959"/>
        <rFont val="Noto Sans CJK SC"/>
        <family val="2"/>
      </rPr>
      <t xml:space="preserve">估計）</t>
    </r>
    <r>
      <rPr>
        <sz val="9"/>
        <color rgb="FF595959"/>
        <rFont val="Arial"/>
        <family val="0"/>
        <charset val="1"/>
      </rPr>
      <t xml:space="preserve">× 100 ÷ </t>
    </r>
    <r>
      <rPr>
        <sz val="9"/>
        <color rgb="FF595959"/>
        <rFont val="Noto Sans CJK SC"/>
        <family val="2"/>
      </rPr>
      <t xml:space="preserve">組合有效單價（元／百萬 </t>
    </r>
    <r>
      <rPr>
        <sz val="9"/>
        <color rgb="FF595959"/>
        <rFont val="Arial"/>
        <family val="0"/>
        <charset val="1"/>
      </rPr>
      <t xml:space="preserve">token</t>
    </r>
    <r>
      <rPr>
        <sz val="9"/>
        <color rgb="FF595959"/>
        <rFont val="Noto Sans CJK SC"/>
        <family val="2"/>
      </rPr>
      <t xml:space="preserve">；</t>
    </r>
    <r>
      <rPr>
        <sz val="9"/>
        <color rgb="FF595959"/>
        <rFont val="Arial"/>
        <family val="0"/>
        <charset val="1"/>
      </rPr>
      <t xml:space="preserve">×100 </t>
    </r>
    <r>
      <rPr>
        <sz val="9"/>
        <color rgb="FF595959"/>
        <rFont val="Noto Sans CJK SC"/>
        <family val="2"/>
      </rPr>
      <t xml:space="preserve">為 </t>
    </r>
    <r>
      <rPr>
        <sz val="9"/>
        <color rgb="FF595959"/>
        <rFont val="Arial"/>
        <family val="0"/>
        <charset val="1"/>
      </rPr>
      <t xml:space="preserve">Inputs </t>
    </r>
    <r>
      <rPr>
        <sz val="9"/>
        <color rgb="FF595959"/>
        <rFont val="Noto Sans CJK SC"/>
        <family val="2"/>
      </rPr>
      <t xml:space="preserve">定義常數）；之後＝任務數 </t>
    </r>
    <r>
      <rPr>
        <sz val="9"/>
        <color rgb="FF595959"/>
        <rFont val="Arial"/>
        <family val="0"/>
        <charset val="1"/>
      </rPr>
      <t xml:space="preserve">× </t>
    </r>
    <r>
      <rPr>
        <sz val="9"/>
        <color rgb="FF595959"/>
        <rFont val="Noto Sans CJK SC"/>
        <family val="2"/>
      </rPr>
      <t xml:space="preserve">每任務 </t>
    </r>
    <r>
      <rPr>
        <sz val="9"/>
        <color rgb="FF595959"/>
        <rFont val="Arial"/>
        <family val="0"/>
        <charset val="1"/>
      </rPr>
      <t xml:space="preserve">token</t>
    </r>
  </si>
  <si>
    <t xml:space="preserve">D05</t>
  </si>
  <si>
    <r>
      <rPr>
        <sz val="10"/>
        <color rgb="FF000000"/>
        <rFont val="Arial"/>
        <family val="0"/>
        <charset val="1"/>
      </rPr>
      <t xml:space="preserve">API </t>
    </r>
    <r>
      <rPr>
        <sz val="10"/>
        <color rgb="FF000000"/>
        <rFont val="Noto Sans CJK SC"/>
        <family val="2"/>
      </rPr>
      <t xml:space="preserve">按量計費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GLM </t>
    </r>
    <r>
      <rPr>
        <sz val="10"/>
        <color rgb="FF000000"/>
        <rFont val="Noto Sans CJK SC"/>
        <family val="2"/>
      </rPr>
      <t xml:space="preserve">旗艦）</t>
    </r>
  </si>
  <si>
    <r>
      <rPr>
        <sz val="9"/>
        <color rgb="FF595959"/>
        <rFont val="Arial"/>
        <family val="0"/>
        <charset val="1"/>
      </rPr>
      <t xml:space="preserve">token × </t>
    </r>
    <r>
      <rPr>
        <sz val="9"/>
        <color rgb="FF595959"/>
        <rFont val="Noto Sans CJK SC"/>
        <family val="2"/>
      </rPr>
      <t xml:space="preserve">層級組合（</t>
    </r>
    <r>
      <rPr>
        <sz val="9"/>
        <color rgb="FF595959"/>
        <rFont val="Arial"/>
        <family val="0"/>
        <charset val="1"/>
      </rPr>
      <t xml:space="preserve">Revenue</t>
    </r>
    <r>
      <rPr>
        <sz val="9"/>
        <color rgb="FF595959"/>
        <rFont val="Noto Sans CJK SC"/>
        <family val="2"/>
      </rPr>
      <t xml:space="preserve">）</t>
    </r>
  </si>
  <si>
    <t xml:space="preserve">D06</t>
  </si>
  <si>
    <r>
      <rPr>
        <sz val="10"/>
        <color rgb="FF000000"/>
        <rFont val="Arial"/>
        <family val="0"/>
        <charset val="1"/>
      </rPr>
      <t xml:space="preserve">API </t>
    </r>
    <r>
      <rPr>
        <sz val="10"/>
        <color rgb="FF000000"/>
        <rFont val="Noto Sans CJK SC"/>
        <family val="2"/>
      </rPr>
      <t xml:space="preserve">按量計費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Air</t>
    </r>
    <r>
      <rPr>
        <sz val="10"/>
        <color rgb="FF000000"/>
        <rFont val="Noto Sans CJK SC"/>
        <family val="2"/>
      </rPr>
      <t xml:space="preserve">／</t>
    </r>
    <r>
      <rPr>
        <sz val="10"/>
        <color rgb="FF000000"/>
        <rFont val="Arial"/>
        <family val="0"/>
        <charset val="1"/>
      </rPr>
      <t xml:space="preserve">Flash</t>
    </r>
    <r>
      <rPr>
        <sz val="10"/>
        <color rgb="FF000000"/>
        <rFont val="Noto Sans CJK SC"/>
        <family val="2"/>
      </rPr>
      <t xml:space="preserve">）</t>
    </r>
  </si>
  <si>
    <t xml:space="preserve">D07</t>
  </si>
  <si>
    <r>
      <rPr>
        <sz val="10"/>
        <color rgb="FF000000"/>
        <rFont val="Noto Sans CJK SC"/>
        <family val="2"/>
      </rPr>
      <t xml:space="preserve">免費 </t>
    </r>
    <r>
      <rPr>
        <sz val="10"/>
        <color rgb="FF000000"/>
        <rFont val="Arial"/>
        <family val="0"/>
        <charset val="1"/>
      </rPr>
      <t xml:space="preserve">API </t>
    </r>
    <r>
      <rPr>
        <sz val="10"/>
        <color rgb="FF000000"/>
        <rFont val="Noto Sans CJK SC"/>
        <family val="2"/>
      </rPr>
      <t xml:space="preserve">型號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Luna</t>
    </r>
    <r>
      <rPr>
        <sz val="10"/>
        <color rgb="FF000000"/>
        <rFont val="Noto Sans CJK SC"/>
        <family val="2"/>
      </rPr>
      <t xml:space="preserve">；耗算力無營收）</t>
    </r>
  </si>
  <si>
    <r>
      <rPr>
        <sz val="9"/>
        <color rgb="FF595959"/>
        <rFont val="Arial"/>
        <family val="0"/>
        <charset val="1"/>
      </rPr>
      <t xml:space="preserve">GLM-4.7-Flash </t>
    </r>
    <r>
      <rPr>
        <sz val="9"/>
        <color rgb="FF595959"/>
        <rFont val="Noto Sans CJK SC"/>
        <family val="2"/>
      </rPr>
      <t xml:space="preserve">等免費型號（</t>
    </r>
    <r>
      <rPr>
        <sz val="9"/>
        <color rgb="FF595959"/>
        <rFont val="Arial"/>
        <family val="0"/>
        <charset val="1"/>
      </rPr>
      <t xml:space="preserve">SRC_ZP_333</t>
    </r>
    <r>
      <rPr>
        <sz val="9"/>
        <color rgb="FF595959"/>
        <rFont val="Noto Sans CJK SC"/>
        <family val="2"/>
      </rPr>
      <t xml:space="preserve">）＝付費 </t>
    </r>
    <r>
      <rPr>
        <sz val="9"/>
        <color rgb="FF595959"/>
        <rFont val="Arial"/>
        <family val="0"/>
        <charset val="1"/>
      </rPr>
      <t xml:space="preserve">API token × Inputs </t>
    </r>
    <r>
      <rPr>
        <sz val="9"/>
        <color rgb="FF595959"/>
        <rFont val="Noto Sans CJK SC"/>
        <family val="2"/>
      </rPr>
      <t xml:space="preserve">比例（</t>
    </r>
    <r>
      <rPr>
        <sz val="9"/>
        <color rgb="FF595959"/>
        <rFont val="Arial"/>
        <family val="0"/>
        <charset val="1"/>
      </rPr>
      <t xml:space="preserve">D24r</t>
    </r>
    <r>
      <rPr>
        <sz val="9"/>
        <color rgb="FF595959"/>
        <rFont val="Noto Sans CJK SC"/>
        <family val="2"/>
      </rPr>
      <t xml:space="preserve">：免費型號單列）</t>
    </r>
  </si>
  <si>
    <r>
      <rPr>
        <b val="true"/>
        <sz val="10"/>
        <rFont val="Noto Sans CJK SC"/>
        <family val="2"/>
      </rPr>
      <t xml:space="preserve">二、</t>
    </r>
    <r>
      <rPr>
        <b val="true"/>
        <sz val="10"/>
        <rFont val="Arial"/>
        <family val="0"/>
        <charset val="1"/>
      </rPr>
      <t xml:space="preserve">GLM Coding Plan</t>
    </r>
    <r>
      <rPr>
        <b val="true"/>
        <sz val="10"/>
        <rFont val="Noto Sans CJK SC"/>
        <family val="2"/>
      </rPr>
      <t xml:space="preserve">（訂閱者 </t>
    </r>
    <r>
      <rPr>
        <b val="true"/>
        <sz val="10"/>
        <rFont val="Arial"/>
        <family val="0"/>
        <charset val="1"/>
      </rPr>
      <t xml:space="preserve">× </t>
    </r>
    <r>
      <rPr>
        <b val="true"/>
        <sz val="10"/>
        <rFont val="Noto Sans CJK SC"/>
        <family val="2"/>
      </rPr>
      <t xml:space="preserve">每訂閱者 </t>
    </r>
    <r>
      <rPr>
        <b val="true"/>
        <sz val="10"/>
        <rFont val="Arial"/>
        <family val="0"/>
        <charset val="1"/>
      </rPr>
      <t xml:space="preserve">token</t>
    </r>
    <r>
      <rPr>
        <b val="true"/>
        <sz val="10"/>
        <rFont val="Noto Sans CJK SC"/>
        <family val="2"/>
      </rPr>
      <t xml:space="preserve">；收入在開放平台及 </t>
    </r>
    <r>
      <rPr>
        <b val="true"/>
        <sz val="10"/>
        <rFont val="Arial"/>
        <family val="0"/>
        <charset val="1"/>
      </rPr>
      <t xml:space="preserve">API </t>
    </r>
    <r>
      <rPr>
        <b val="true"/>
        <sz val="10"/>
        <rFont val="Noto Sans CJK SC"/>
        <family val="2"/>
      </rPr>
      <t xml:space="preserve">內，</t>
    </r>
    <r>
      <rPr>
        <b val="true"/>
        <sz val="10"/>
        <rFont val="Arial"/>
        <family val="0"/>
        <charset val="1"/>
      </rPr>
      <t xml:space="preserve">D2r</t>
    </r>
    <r>
      <rPr>
        <b val="true"/>
        <sz val="10"/>
        <rFont val="Noto Sans CJK SC"/>
        <family val="2"/>
      </rPr>
      <t xml:space="preserve">）</t>
    </r>
  </si>
  <si>
    <t xml:space="preserve">D08</t>
  </si>
  <si>
    <r>
      <rPr>
        <sz val="10"/>
        <color rgb="FF000000"/>
        <rFont val="Arial"/>
        <family val="0"/>
        <charset val="1"/>
      </rPr>
      <t xml:space="preserve">Coding Plan </t>
    </r>
    <r>
      <rPr>
        <sz val="10"/>
        <color rgb="FF000000"/>
        <rFont val="Noto Sans CJK SC"/>
        <family val="2"/>
      </rPr>
      <t xml:space="preserve">付費訂閱者（期間平均）</t>
    </r>
  </si>
  <si>
    <t xml:space="preserve">萬人</t>
  </si>
  <si>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2026-03 </t>
    </r>
    <r>
      <rPr>
        <sz val="9"/>
        <color rgb="FF595959"/>
        <rFont val="Noto Sans CJK SC"/>
        <family val="2"/>
      </rPr>
      <t xml:space="preserve">付費開發者 </t>
    </r>
    <r>
      <rPr>
        <sz val="9"/>
        <color rgb="FF595959"/>
        <rFont val="Arial"/>
        <family val="0"/>
        <charset val="1"/>
      </rPr>
      <t xml:space="preserve">24.2 </t>
    </r>
    <r>
      <rPr>
        <sz val="9"/>
        <color rgb="FF595959"/>
        <rFont val="Noto Sans CJK SC"/>
        <family val="2"/>
      </rPr>
      <t xml:space="preserve">萬（</t>
    </r>
    <r>
      <rPr>
        <sz val="9"/>
        <color rgb="FF595959"/>
        <rFont val="Arial"/>
        <family val="0"/>
        <charset val="1"/>
      </rPr>
      <t xml:space="preserve">SRC_ZP_402</t>
    </r>
    <r>
      <rPr>
        <sz val="9"/>
        <color rgb="FF595959"/>
        <rFont val="Noto Sans CJK SC"/>
        <family val="2"/>
      </rPr>
      <t xml:space="preserve">）</t>
    </r>
    <r>
      <rPr>
        <sz val="9"/>
        <color rgb="FF595959"/>
        <rFont val="Arial"/>
        <family val="0"/>
        <charset val="1"/>
      </rPr>
      <t xml:space="preserve">× Inputs </t>
    </r>
    <r>
      <rPr>
        <sz val="9"/>
        <color rgb="FF595959"/>
        <rFont val="Noto Sans CJK SC"/>
        <family val="2"/>
      </rPr>
      <t xml:space="preserve">倍數（營收未單列，無法倒推；工作單：給區間）；</t>
    </r>
    <r>
      <rPr>
        <sz val="9"/>
        <color rgb="FF595959"/>
        <rFont val="Arial"/>
        <family val="0"/>
        <charset val="1"/>
      </rPr>
      <t xml:space="preserve">2H26</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＋半年成長）；</t>
    </r>
    <r>
      <rPr>
        <sz val="9"/>
        <color rgb="FF595959"/>
        <rFont val="Arial"/>
        <family val="0"/>
        <charset val="1"/>
      </rPr>
      <t xml:space="preserve">2026 </t>
    </r>
    <r>
      <rPr>
        <sz val="9"/>
        <color rgb="FF595959"/>
        <rFont val="Noto Sans CJK SC"/>
        <family val="2"/>
      </rPr>
      <t xml:space="preserve">欄＝兩個半年平均；</t>
    </r>
    <r>
      <rPr>
        <sz val="9"/>
        <color rgb="FF595959"/>
        <rFont val="Arial"/>
        <family val="0"/>
        <charset val="1"/>
      </rPr>
      <t xml:space="preserve">2027 </t>
    </r>
    <r>
      <rPr>
        <sz val="9"/>
        <color rgb="FF595959"/>
        <rFont val="Noto Sans CJK SC"/>
        <family val="2"/>
      </rPr>
      <t xml:space="preserve">起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＋年增率）</t>
    </r>
  </si>
  <si>
    <t xml:space="preserve">D09</t>
  </si>
  <si>
    <r>
      <rPr>
        <sz val="10"/>
        <color rgb="FF000000"/>
        <rFont val="Arial"/>
        <family val="0"/>
        <charset val="1"/>
      </rPr>
      <t xml:space="preserve">Coding Plan </t>
    </r>
    <r>
      <rPr>
        <sz val="10"/>
        <color rgb="FF000000"/>
        <rFont val="Noto Sans CJK SC"/>
        <family val="2"/>
      </rPr>
      <t xml:space="preserve">訂閱者：</t>
    </r>
    <r>
      <rPr>
        <sz val="10"/>
        <color rgb="FF000000"/>
        <rFont val="Arial"/>
        <family val="0"/>
        <charset val="1"/>
      </rPr>
      <t xml:space="preserve">Lite</t>
    </r>
  </si>
  <si>
    <r>
      <rPr>
        <sz val="9"/>
        <color rgb="FF595959"/>
        <rFont val="Noto Sans CJK SC"/>
        <family val="2"/>
      </rPr>
      <t xml:space="preserve">訂閱者 </t>
    </r>
    <r>
      <rPr>
        <sz val="9"/>
        <color rgb="FF595959"/>
        <rFont val="Arial"/>
        <family val="0"/>
        <charset val="1"/>
      </rPr>
      <t xml:space="preserve">× </t>
    </r>
    <r>
      <rPr>
        <sz val="9"/>
        <color rgb="FF595959"/>
        <rFont val="Noto Sans CJK SC"/>
        <family val="2"/>
      </rPr>
      <t xml:space="preserve">方案組合（</t>
    </r>
    <r>
      <rPr>
        <sz val="9"/>
        <color rgb="FF595959"/>
        <rFont val="Arial"/>
        <family val="0"/>
        <charset val="1"/>
      </rPr>
      <t xml:space="preserve">Revenue</t>
    </r>
    <r>
      <rPr>
        <sz val="9"/>
        <color rgb="FF595959"/>
        <rFont val="Noto Sans CJK SC"/>
        <family val="2"/>
      </rPr>
      <t xml:space="preserve">）</t>
    </r>
  </si>
  <si>
    <t xml:space="preserve">D10</t>
  </si>
  <si>
    <r>
      <rPr>
        <sz val="10"/>
        <color rgb="FF000000"/>
        <rFont val="Arial"/>
        <family val="0"/>
        <charset val="1"/>
      </rPr>
      <t xml:space="preserve">Coding Plan </t>
    </r>
    <r>
      <rPr>
        <sz val="10"/>
        <color rgb="FF000000"/>
        <rFont val="Noto Sans CJK SC"/>
        <family val="2"/>
      </rPr>
      <t xml:space="preserve">訂閱者：</t>
    </r>
    <r>
      <rPr>
        <sz val="10"/>
        <color rgb="FF000000"/>
        <rFont val="Arial"/>
        <family val="0"/>
        <charset val="1"/>
      </rPr>
      <t xml:space="preserve">Pro</t>
    </r>
  </si>
  <si>
    <t xml:space="preserve">D11</t>
  </si>
  <si>
    <r>
      <rPr>
        <sz val="10"/>
        <color rgb="FF000000"/>
        <rFont val="Arial"/>
        <family val="0"/>
        <charset val="1"/>
      </rPr>
      <t xml:space="preserve">Coding Plan </t>
    </r>
    <r>
      <rPr>
        <sz val="10"/>
        <color rgb="FF000000"/>
        <rFont val="Noto Sans CJK SC"/>
        <family val="2"/>
      </rPr>
      <t xml:space="preserve">訂閱者：</t>
    </r>
    <r>
      <rPr>
        <sz val="10"/>
        <color rgb="FF000000"/>
        <rFont val="Arial"/>
        <family val="0"/>
        <charset val="1"/>
      </rPr>
      <t xml:space="preserve">Max</t>
    </r>
  </si>
  <si>
    <t xml:space="preserve">D12</t>
  </si>
  <si>
    <r>
      <rPr>
        <sz val="10"/>
        <color rgb="FF000000"/>
        <rFont val="Noto Sans CJK SC"/>
        <family val="2"/>
      </rPr>
      <t xml:space="preserve">每訂閱者每日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Lite</t>
    </r>
  </si>
  <si>
    <r>
      <rPr>
        <sz val="10"/>
        <color rgb="FF000000"/>
        <rFont val="Arial"/>
        <family val="0"/>
        <charset val="1"/>
      </rPr>
      <t xml:space="preserve">M tok</t>
    </r>
    <r>
      <rPr>
        <sz val="10"/>
        <color rgb="FF000000"/>
        <rFont val="Noto Sans CJK SC"/>
        <family val="2"/>
      </rPr>
      <t xml:space="preserve">／日</t>
    </r>
  </si>
  <si>
    <r>
      <rPr>
        <sz val="9"/>
        <color rgb="FF595959"/>
        <rFont val="Noto Sans CJK SC"/>
        <family val="2"/>
      </rPr>
      <t xml:space="preserve">每 </t>
    </r>
    <r>
      <rPr>
        <sz val="9"/>
        <color rgb="FF595959"/>
        <rFont val="Arial"/>
        <family val="0"/>
        <charset val="1"/>
      </rPr>
      <t xml:space="preserve">5 </t>
    </r>
    <r>
      <rPr>
        <sz val="9"/>
        <color rgb="FF595959"/>
        <rFont val="Noto Sans CJK SC"/>
        <family val="2"/>
      </rPr>
      <t xml:space="preserve">小時額度（</t>
    </r>
    <r>
      <rPr>
        <sz val="9"/>
        <color rgb="FF595959"/>
        <rFont val="Arial"/>
        <family val="0"/>
        <charset val="1"/>
      </rPr>
      <t xml:space="preserve">SRC_ZP_376–378</t>
    </r>
    <r>
      <rPr>
        <sz val="9"/>
        <color rgb="FF595959"/>
        <rFont val="Noto Sans CJK SC"/>
        <family val="2"/>
      </rPr>
      <t xml:space="preserve">）</t>
    </r>
    <r>
      <rPr>
        <sz val="9"/>
        <color rgb="FF595959"/>
        <rFont val="Arial"/>
        <family val="0"/>
        <charset val="1"/>
      </rPr>
      <t xml:space="preserve">× </t>
    </r>
    <r>
      <rPr>
        <sz val="9"/>
        <color rgb="FF595959"/>
        <rFont val="Noto Sans CJK SC"/>
        <family val="2"/>
      </rPr>
      <t xml:space="preserve">每日窗口數 </t>
    </r>
    <r>
      <rPr>
        <sz val="9"/>
        <color rgb="FF595959"/>
        <rFont val="Arial"/>
        <family val="0"/>
        <charset val="1"/>
      </rPr>
      <t xml:space="preserve">× </t>
    </r>
    <r>
      <rPr>
        <sz val="9"/>
        <color rgb="FF595959"/>
        <rFont val="Noto Sans CJK SC"/>
        <family val="2"/>
      </rPr>
      <t xml:space="preserve">額度使用率 </t>
    </r>
    <r>
      <rPr>
        <sz val="9"/>
        <color rgb="FF595959"/>
        <rFont val="Arial"/>
        <family val="0"/>
        <charset val="1"/>
      </rPr>
      <t xml:space="preserve">× </t>
    </r>
    <r>
      <rPr>
        <sz val="9"/>
        <color rgb="FF595959"/>
        <rFont val="Noto Sans CJK SC"/>
        <family val="2"/>
      </rPr>
      <t xml:space="preserve">每 </t>
    </r>
    <r>
      <rPr>
        <sz val="9"/>
        <color rgb="FF595959"/>
        <rFont val="Arial"/>
        <family val="0"/>
        <charset val="1"/>
      </rPr>
      <t xml:space="preserve">prompt </t>
    </r>
    <r>
      <rPr>
        <sz val="9"/>
        <color rgb="FF595959"/>
        <rFont val="Noto Sans CJK SC"/>
        <family val="2"/>
      </rPr>
      <t xml:space="preserve">呼叫次數 </t>
    </r>
    <r>
      <rPr>
        <sz val="9"/>
        <color rgb="FF595959"/>
        <rFont val="Arial"/>
        <family val="0"/>
        <charset val="1"/>
      </rPr>
      <t xml:space="preserve">× </t>
    </r>
    <r>
      <rPr>
        <sz val="9"/>
        <color rgb="FF595959"/>
        <rFont val="Noto Sans CJK SC"/>
        <family val="2"/>
      </rPr>
      <t xml:space="preserve">每次呼叫 </t>
    </r>
    <r>
      <rPr>
        <sz val="9"/>
        <color rgb="FF595959"/>
        <rFont val="Arial"/>
        <family val="0"/>
        <charset val="1"/>
      </rPr>
      <t xml:space="preserve">token</t>
    </r>
    <r>
      <rPr>
        <sz val="9"/>
        <color rgb="FF595959"/>
        <rFont val="Noto Sans CJK SC"/>
        <family val="2"/>
      </rPr>
      <t xml:space="preserve">（</t>
    </r>
    <r>
      <rPr>
        <sz val="9"/>
        <color rgb="FF595959"/>
        <rFont val="Arial"/>
        <family val="0"/>
        <charset val="1"/>
      </rPr>
      <t xml:space="preserve">K</t>
    </r>
    <r>
      <rPr>
        <sz val="9"/>
        <color rgb="FF595959"/>
        <rFont val="Noto Sans CJK SC"/>
        <family val="2"/>
      </rPr>
      <t xml:space="preserve">）</t>
    </r>
    <r>
      <rPr>
        <sz val="9"/>
        <color rgb="FF595959"/>
        <rFont val="Arial"/>
        <family val="0"/>
        <charset val="1"/>
      </rPr>
      <t xml:space="preserve">÷ 1000</t>
    </r>
  </si>
  <si>
    <t xml:space="preserve">D13</t>
  </si>
  <si>
    <r>
      <rPr>
        <sz val="10"/>
        <color rgb="FF000000"/>
        <rFont val="Noto Sans CJK SC"/>
        <family val="2"/>
      </rPr>
      <t xml:space="preserve">每訂閱者每日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Pro</t>
    </r>
  </si>
  <si>
    <t xml:space="preserve">D14</t>
  </si>
  <si>
    <r>
      <rPr>
        <sz val="10"/>
        <color rgb="FF000000"/>
        <rFont val="Noto Sans CJK SC"/>
        <family val="2"/>
      </rPr>
      <t xml:space="preserve">每訂閱者每日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Max</t>
    </r>
  </si>
  <si>
    <t xml:space="preserve">D15</t>
  </si>
  <si>
    <r>
      <rPr>
        <sz val="10"/>
        <color rgb="FF000000"/>
        <rFont val="Arial"/>
        <family val="0"/>
        <charset val="1"/>
      </rPr>
      <t xml:space="preserve">Coding Plan token</t>
    </r>
    <r>
      <rPr>
        <sz val="10"/>
        <color rgb="FF000000"/>
        <rFont val="Noto Sans CJK SC"/>
        <family val="2"/>
      </rPr>
      <t xml:space="preserve">：</t>
    </r>
    <r>
      <rPr>
        <sz val="10"/>
        <color rgb="FF000000"/>
        <rFont val="Arial"/>
        <family val="0"/>
        <charset val="1"/>
      </rPr>
      <t xml:space="preserve">Lite</t>
    </r>
  </si>
  <si>
    <r>
      <rPr>
        <sz val="9"/>
        <color rgb="FF595959"/>
        <rFont val="Noto Sans CJK SC"/>
        <family val="2"/>
      </rPr>
      <t xml:space="preserve">訂閱者（萬）</t>
    </r>
    <r>
      <rPr>
        <sz val="9"/>
        <color rgb="FF595959"/>
        <rFont val="Arial"/>
        <family val="0"/>
        <charset val="1"/>
      </rPr>
      <t xml:space="preserve">× </t>
    </r>
    <r>
      <rPr>
        <sz val="9"/>
        <color rgb="FF595959"/>
        <rFont val="Noto Sans CJK SC"/>
        <family val="2"/>
      </rPr>
      <t xml:space="preserve">每日 </t>
    </r>
    <r>
      <rPr>
        <sz val="9"/>
        <color rgb="FF595959"/>
        <rFont val="Arial"/>
        <family val="0"/>
        <charset val="1"/>
      </rPr>
      <t xml:space="preserve">token</t>
    </r>
    <r>
      <rPr>
        <sz val="9"/>
        <color rgb="FF595959"/>
        <rFont val="Noto Sans CJK SC"/>
        <family val="2"/>
      </rPr>
      <t xml:space="preserve">（</t>
    </r>
    <r>
      <rPr>
        <sz val="9"/>
        <color rgb="FF595959"/>
        <rFont val="Arial"/>
        <family val="0"/>
        <charset val="1"/>
      </rPr>
      <t xml:space="preserve">M</t>
    </r>
    <r>
      <rPr>
        <sz val="9"/>
        <color rgb="FF595959"/>
        <rFont val="Noto Sans CJK SC"/>
        <family val="2"/>
      </rPr>
      <t xml:space="preserve">）</t>
    </r>
    <r>
      <rPr>
        <sz val="9"/>
        <color rgb="FF595959"/>
        <rFont val="Arial"/>
        <family val="0"/>
        <charset val="1"/>
      </rPr>
      <t xml:space="preserve">× </t>
    </r>
    <r>
      <rPr>
        <sz val="9"/>
        <color rgb="FF595959"/>
        <rFont val="Noto Sans CJK SC"/>
        <family val="2"/>
      </rPr>
      <t xml:space="preserve">天數 </t>
    </r>
    <r>
      <rPr>
        <sz val="9"/>
        <color rgb="FF595959"/>
        <rFont val="Arial"/>
        <family val="0"/>
        <charset val="1"/>
      </rPr>
      <t xml:space="preserve">÷ 100</t>
    </r>
    <r>
      <rPr>
        <sz val="9"/>
        <color rgb="FF595959"/>
        <rFont val="Noto Sans CJK SC"/>
        <family val="2"/>
      </rPr>
      <t xml:space="preserve">（萬 </t>
    </r>
    <r>
      <rPr>
        <sz val="9"/>
        <color rgb="FF595959"/>
        <rFont val="Arial"/>
        <family val="0"/>
        <charset val="1"/>
      </rPr>
      <t xml:space="preserve">× M → T</t>
    </r>
    <r>
      <rPr>
        <sz val="9"/>
        <color rgb="FF595959"/>
        <rFont val="Noto Sans CJK SC"/>
        <family val="2"/>
      </rPr>
      <t xml:space="preserve">）</t>
    </r>
  </si>
  <si>
    <t xml:space="preserve">D16</t>
  </si>
  <si>
    <r>
      <rPr>
        <sz val="10"/>
        <color rgb="FF000000"/>
        <rFont val="Arial"/>
        <family val="0"/>
        <charset val="1"/>
      </rPr>
      <t xml:space="preserve">Coding Plan token</t>
    </r>
    <r>
      <rPr>
        <sz val="10"/>
        <color rgb="FF000000"/>
        <rFont val="Noto Sans CJK SC"/>
        <family val="2"/>
      </rPr>
      <t xml:space="preserve">：</t>
    </r>
    <r>
      <rPr>
        <sz val="10"/>
        <color rgb="FF000000"/>
        <rFont val="Arial"/>
        <family val="0"/>
        <charset val="1"/>
      </rPr>
      <t xml:space="preserve">Pro</t>
    </r>
  </si>
  <si>
    <t xml:space="preserve">D17</t>
  </si>
  <si>
    <r>
      <rPr>
        <sz val="10"/>
        <color rgb="FF000000"/>
        <rFont val="Arial"/>
        <family val="0"/>
        <charset val="1"/>
      </rPr>
      <t xml:space="preserve">Coding Plan token</t>
    </r>
    <r>
      <rPr>
        <sz val="10"/>
        <color rgb="FF000000"/>
        <rFont val="Noto Sans CJK SC"/>
        <family val="2"/>
      </rPr>
      <t xml:space="preserve">：</t>
    </r>
    <r>
      <rPr>
        <sz val="10"/>
        <color rgb="FF000000"/>
        <rFont val="Arial"/>
        <family val="0"/>
        <charset val="1"/>
      </rPr>
      <t xml:space="preserve">Max</t>
    </r>
  </si>
  <si>
    <t xml:space="preserve">D18</t>
  </si>
  <si>
    <r>
      <rPr>
        <sz val="10"/>
        <color rgb="FF000000"/>
        <rFont val="Arial"/>
        <family val="0"/>
        <charset val="1"/>
      </rPr>
      <t xml:space="preserve">Coding Plan token </t>
    </r>
    <r>
      <rPr>
        <sz val="10"/>
        <color rgb="FF000000"/>
        <rFont val="Noto Sans CJK SC"/>
        <family val="2"/>
      </rPr>
      <t xml:space="preserve">合計</t>
    </r>
  </si>
  <si>
    <t xml:space="preserve">D19</t>
  </si>
  <si>
    <r>
      <rPr>
        <sz val="10"/>
        <color rgb="FF000000"/>
        <rFont val="Arial"/>
        <family val="0"/>
        <charset val="1"/>
      </rPr>
      <t xml:space="preserve">Coding Plan token</t>
    </r>
    <r>
      <rPr>
        <sz val="10"/>
        <color rgb="FF000000"/>
        <rFont val="Noto Sans CJK SC"/>
        <family val="2"/>
      </rPr>
      <t xml:space="preserve">：</t>
    </r>
    <r>
      <rPr>
        <sz val="10"/>
        <color rgb="FF000000"/>
        <rFont val="Arial"/>
        <family val="0"/>
        <charset val="1"/>
      </rPr>
      <t xml:space="preserve">Sol</t>
    </r>
  </si>
  <si>
    <r>
      <rPr>
        <sz val="9"/>
        <color rgb="FF595959"/>
        <rFont val="Arial"/>
        <family val="0"/>
        <charset val="1"/>
      </rPr>
      <t xml:space="preserve">Coding Plan </t>
    </r>
    <r>
      <rPr>
        <sz val="9"/>
        <color rgb="FF595959"/>
        <rFont val="Noto Sans CJK SC"/>
        <family val="2"/>
      </rPr>
      <t xml:space="preserve">以 </t>
    </r>
    <r>
      <rPr>
        <sz val="9"/>
        <color rgb="FF595959"/>
        <rFont val="Arial"/>
        <family val="0"/>
        <charset val="1"/>
      </rPr>
      <t xml:space="preserve">GLM-5.x </t>
    </r>
    <r>
      <rPr>
        <sz val="9"/>
        <color rgb="FF595959"/>
        <rFont val="Noto Sans CJK SC"/>
        <family val="2"/>
      </rPr>
      <t xml:space="preserve">旗艦為主（</t>
    </r>
    <r>
      <rPr>
        <sz val="9"/>
        <color rgb="FF595959"/>
        <rFont val="Arial"/>
        <family val="0"/>
        <charset val="1"/>
      </rPr>
      <t xml:space="preserve">D24r</t>
    </r>
    <r>
      <rPr>
        <sz val="9"/>
        <color rgb="FF595959"/>
        <rFont val="Noto Sans CJK SC"/>
        <family val="2"/>
      </rPr>
      <t xml:space="preserve">）</t>
    </r>
  </si>
  <si>
    <t xml:space="preserve">D20</t>
  </si>
  <si>
    <r>
      <rPr>
        <sz val="10"/>
        <color rgb="FF000000"/>
        <rFont val="Arial"/>
        <family val="0"/>
        <charset val="1"/>
      </rPr>
      <t xml:space="preserve">Coding Plan token</t>
    </r>
    <r>
      <rPr>
        <sz val="10"/>
        <color rgb="FF000000"/>
        <rFont val="Noto Sans CJK SC"/>
        <family val="2"/>
      </rPr>
      <t xml:space="preserve">：</t>
    </r>
    <r>
      <rPr>
        <sz val="10"/>
        <color rgb="FF000000"/>
        <rFont val="Arial"/>
        <family val="0"/>
        <charset val="1"/>
      </rPr>
      <t xml:space="preserve">Luna</t>
    </r>
  </si>
  <si>
    <r>
      <rPr>
        <b val="true"/>
        <sz val="10"/>
        <rFont val="Noto Sans CJK SC"/>
        <family val="2"/>
      </rPr>
      <t xml:space="preserve">三、智譜清言（</t>
    </r>
    <r>
      <rPr>
        <b val="true"/>
        <sz val="10"/>
        <rFont val="Arial"/>
        <family val="0"/>
        <charset val="1"/>
      </rPr>
      <t xml:space="preserve">C </t>
    </r>
    <r>
      <rPr>
        <b val="true"/>
        <sz val="10"/>
        <rFont val="Noto Sans CJK SC"/>
        <family val="2"/>
      </rPr>
      <t xml:space="preserve">端；無單列收入，免費 </t>
    </r>
    <r>
      <rPr>
        <b val="true"/>
        <sz val="10"/>
        <rFont val="Arial"/>
        <family val="0"/>
        <charset val="1"/>
      </rPr>
      <t xml:space="preserve">token </t>
    </r>
    <r>
      <rPr>
        <b val="true"/>
        <sz val="10"/>
        <rFont val="Noto Sans CJK SC"/>
        <family val="2"/>
      </rPr>
      <t xml:space="preserve">耗算力；年度）</t>
    </r>
  </si>
  <si>
    <t xml:space="preserve">D21</t>
  </si>
  <si>
    <r>
      <rPr>
        <sz val="9"/>
        <color rgb="FF595959"/>
        <rFont val="Arial"/>
        <family val="0"/>
        <charset val="1"/>
      </rPr>
      <t xml:space="preserve">2025 Inputs</t>
    </r>
    <r>
      <rPr>
        <sz val="9"/>
        <color rgb="FF595959"/>
        <rFont val="Noto Sans CJK SC"/>
        <family val="2"/>
      </rPr>
      <t xml:space="preserve">（</t>
    </r>
    <r>
      <rPr>
        <sz val="9"/>
        <color rgb="FF595959"/>
        <rFont val="Arial"/>
        <family val="0"/>
        <charset val="1"/>
      </rPr>
      <t xml:space="preserve">QuestMobile </t>
    </r>
    <r>
      <rPr>
        <sz val="9"/>
        <color rgb="FF595959"/>
        <rFont val="Noto Sans CJK SC"/>
        <family val="2"/>
      </rPr>
      <t xml:space="preserve">未進前 </t>
    </r>
    <r>
      <rPr>
        <sz val="9"/>
        <color rgb="FF595959"/>
        <rFont val="Arial"/>
        <family val="0"/>
        <charset val="1"/>
      </rPr>
      <t xml:space="preserve">20</t>
    </r>
    <r>
      <rPr>
        <sz val="9"/>
        <color rgb="FF595959"/>
        <rFont val="Noto Sans CJK SC"/>
        <family val="2"/>
      </rPr>
      <t xml:space="preserve">，</t>
    </r>
    <r>
      <rPr>
        <sz val="9"/>
        <color rgb="FF595959"/>
        <rFont val="Arial"/>
        <family val="0"/>
        <charset val="1"/>
      </rPr>
      <t xml:space="preserve">SRC_ZP_434</t>
    </r>
    <r>
      <rPr>
        <sz val="9"/>
        <color rgb="FF595959"/>
        <rFont val="Noto Sans CJK SC"/>
        <family val="2"/>
      </rPr>
      <t xml:space="preserve">；</t>
    </r>
    <r>
      <rPr>
        <sz val="9"/>
        <color rgb="FF595959"/>
        <rFont val="Arial"/>
        <family val="0"/>
        <charset val="1"/>
      </rPr>
      <t xml:space="preserve">Assumed </t>
    </r>
    <r>
      <rPr>
        <sz val="9"/>
        <color rgb="FF595959"/>
        <rFont val="Noto Sans CJK SC"/>
        <family val="2"/>
      </rPr>
      <t xml:space="preserve">區間）；之後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＋年增率）</t>
    </r>
  </si>
  <si>
    <t xml:space="preserve">D22</t>
  </si>
  <si>
    <r>
      <rPr>
        <sz val="10"/>
        <color rgb="FF000000"/>
        <rFont val="Noto Sans CJK SC"/>
        <family val="2"/>
      </rPr>
      <t xml:space="preserve">智譜清言 </t>
    </r>
    <r>
      <rPr>
        <sz val="10"/>
        <color rgb="FF000000"/>
        <rFont val="Arial"/>
        <family val="0"/>
        <charset val="1"/>
      </rPr>
      <t xml:space="preserve">token</t>
    </r>
  </si>
  <si>
    <r>
      <rPr>
        <sz val="9"/>
        <color rgb="FF595959"/>
        <rFont val="Noto Sans CJK SC"/>
        <family val="2"/>
      </rPr>
      <t xml:space="preserve">用戶（百萬）</t>
    </r>
    <r>
      <rPr>
        <sz val="9"/>
        <color rgb="FF595959"/>
        <rFont val="Arial"/>
        <family val="0"/>
        <charset val="1"/>
      </rPr>
      <t xml:space="preserve">× </t>
    </r>
    <r>
      <rPr>
        <sz val="9"/>
        <color rgb="FF595959"/>
        <rFont val="Noto Sans CJK SC"/>
        <family val="2"/>
      </rPr>
      <t xml:space="preserve">每日任務 </t>
    </r>
    <r>
      <rPr>
        <sz val="9"/>
        <color rgb="FF595959"/>
        <rFont val="Arial"/>
        <family val="0"/>
        <charset val="1"/>
      </rPr>
      <t xml:space="preserve">× </t>
    </r>
    <r>
      <rPr>
        <sz val="9"/>
        <color rgb="FF595959"/>
        <rFont val="Noto Sans CJK SC"/>
        <family val="2"/>
      </rPr>
      <t xml:space="preserve">每任務 </t>
    </r>
    <r>
      <rPr>
        <sz val="9"/>
        <color rgb="FF595959"/>
        <rFont val="Arial"/>
        <family val="0"/>
        <charset val="1"/>
      </rPr>
      <t xml:space="preserve">token</t>
    </r>
    <r>
      <rPr>
        <sz val="9"/>
        <color rgb="FF595959"/>
        <rFont val="Noto Sans CJK SC"/>
        <family val="2"/>
      </rPr>
      <t xml:space="preserve">（</t>
    </r>
    <r>
      <rPr>
        <sz val="9"/>
        <color rgb="FF595959"/>
        <rFont val="Arial"/>
        <family val="0"/>
        <charset val="1"/>
      </rPr>
      <t xml:space="preserve">K</t>
    </r>
    <r>
      <rPr>
        <sz val="9"/>
        <color rgb="FF595959"/>
        <rFont val="Noto Sans CJK SC"/>
        <family val="2"/>
      </rPr>
      <t xml:space="preserve">）</t>
    </r>
    <r>
      <rPr>
        <sz val="9"/>
        <color rgb="FF595959"/>
        <rFont val="Arial"/>
        <family val="0"/>
        <charset val="1"/>
      </rPr>
      <t xml:space="preserve">× </t>
    </r>
    <r>
      <rPr>
        <sz val="9"/>
        <color rgb="FF595959"/>
        <rFont val="Noto Sans CJK SC"/>
        <family val="2"/>
      </rPr>
      <t xml:space="preserve">天數 </t>
    </r>
    <r>
      <rPr>
        <sz val="9"/>
        <color rgb="FF595959"/>
        <rFont val="Arial"/>
        <family val="0"/>
        <charset val="1"/>
      </rPr>
      <t xml:space="preserve">÷ 1000</t>
    </r>
    <r>
      <rPr>
        <sz val="9"/>
        <color rgb="FF595959"/>
        <rFont val="Noto Sans CJK SC"/>
        <family val="2"/>
      </rPr>
      <t xml:space="preserve">（百萬 </t>
    </r>
    <r>
      <rPr>
        <sz val="9"/>
        <color rgb="FF595959"/>
        <rFont val="Arial"/>
        <family val="0"/>
        <charset val="1"/>
      </rPr>
      <t xml:space="preserve">× K → T</t>
    </r>
    <r>
      <rPr>
        <sz val="9"/>
        <color rgb="FF595959"/>
        <rFont val="Noto Sans CJK SC"/>
        <family val="2"/>
      </rPr>
      <t xml:space="preserve">）</t>
    </r>
  </si>
  <si>
    <t xml:space="preserve">D23</t>
  </si>
  <si>
    <r>
      <rPr>
        <sz val="10"/>
        <color rgb="FF000000"/>
        <rFont val="Noto Sans CJK SC"/>
        <family val="2"/>
      </rPr>
      <t xml:space="preserve">智譜清言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Sol</t>
    </r>
  </si>
  <si>
    <t xml:space="preserve">D24</t>
  </si>
  <si>
    <r>
      <rPr>
        <sz val="10"/>
        <color rgb="FF000000"/>
        <rFont val="Noto Sans CJK SC"/>
        <family val="2"/>
      </rPr>
      <t xml:space="preserve">智譜清言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Luna</t>
    </r>
  </si>
  <si>
    <r>
      <rPr>
        <b val="true"/>
        <sz val="10"/>
        <rFont val="Noto Sans CJK SC"/>
        <family val="2"/>
      </rPr>
      <t xml:space="preserve">四、輸出：</t>
    </r>
    <r>
      <rPr>
        <b val="true"/>
        <sz val="10"/>
        <rFont val="Arial"/>
        <family val="0"/>
        <charset val="1"/>
      </rPr>
      <t xml:space="preserve">token </t>
    </r>
    <r>
      <rPr>
        <b val="true"/>
        <sz val="10"/>
        <rFont val="Noto Sans CJK SC"/>
        <family val="2"/>
      </rPr>
      <t xml:space="preserve">量（層級 </t>
    </r>
    <r>
      <rPr>
        <b val="true"/>
        <sz val="10"/>
        <rFont val="Arial"/>
        <family val="0"/>
        <charset val="1"/>
      </rPr>
      <t xml:space="preserve">× </t>
    </r>
    <r>
      <rPr>
        <b val="true"/>
        <sz val="10"/>
        <rFont val="Noto Sans CJK SC"/>
        <family val="2"/>
      </rPr>
      <t xml:space="preserve">付費／免費；供 </t>
    </r>
    <r>
      <rPr>
        <b val="true"/>
        <sz val="10"/>
        <rFont val="Arial"/>
        <family val="0"/>
        <charset val="1"/>
      </rPr>
      <t xml:space="preserve">Z3 </t>
    </r>
    <r>
      <rPr>
        <b val="true"/>
        <sz val="10"/>
        <rFont val="Noto Sans CJK SC"/>
        <family val="2"/>
      </rPr>
      <t xml:space="preserve">推論 </t>
    </r>
    <r>
      <rPr>
        <b val="true"/>
        <sz val="10"/>
        <rFont val="Arial"/>
        <family val="0"/>
        <charset val="1"/>
      </rPr>
      <t xml:space="preserve">GW</t>
    </r>
    <r>
      <rPr>
        <b val="true"/>
        <sz val="10"/>
        <rFont val="Noto Sans CJK SC"/>
        <family val="2"/>
      </rPr>
      <t xml:space="preserve">）</t>
    </r>
  </si>
  <si>
    <t xml:space="preserve">D25</t>
  </si>
  <si>
    <r>
      <rPr>
        <sz val="10"/>
        <color rgb="FF000000"/>
        <rFont val="Noto Sans CJK SC"/>
        <family val="2"/>
      </rPr>
      <t xml:space="preserve">付費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Sol</t>
    </r>
  </si>
  <si>
    <r>
      <rPr>
        <sz val="9"/>
        <color rgb="FF595959"/>
        <rFont val="Arial"/>
        <family val="0"/>
        <charset val="1"/>
      </rPr>
      <t xml:space="preserve">API </t>
    </r>
    <r>
      <rPr>
        <sz val="9"/>
        <color rgb="FF595959"/>
        <rFont val="Noto Sans CJK SC"/>
        <family val="2"/>
      </rPr>
      <t xml:space="preserve">按量計費 </t>
    </r>
    <r>
      <rPr>
        <sz val="9"/>
        <color rgb="FF595959"/>
        <rFont val="Arial"/>
        <family val="0"/>
        <charset val="1"/>
      </rPr>
      <t xml:space="preserve">Sol </t>
    </r>
    <r>
      <rPr>
        <sz val="9"/>
        <color rgb="FF595959"/>
        <rFont val="Noto Sans CJK SC"/>
        <family val="2"/>
      </rPr>
      <t xml:space="preserve">＋ </t>
    </r>
    <r>
      <rPr>
        <sz val="9"/>
        <color rgb="FF595959"/>
        <rFont val="Arial"/>
        <family val="0"/>
        <charset val="1"/>
      </rPr>
      <t xml:space="preserve">Coding Plan Sol</t>
    </r>
  </si>
  <si>
    <t xml:space="preserve">D26</t>
  </si>
  <si>
    <r>
      <rPr>
        <sz val="10"/>
        <color rgb="FF000000"/>
        <rFont val="Noto Sans CJK SC"/>
        <family val="2"/>
      </rPr>
      <t xml:space="preserve">付費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Luna</t>
    </r>
  </si>
  <si>
    <r>
      <rPr>
        <sz val="9"/>
        <color rgb="FF595959"/>
        <rFont val="Arial"/>
        <family val="0"/>
        <charset val="1"/>
      </rPr>
      <t xml:space="preserve">API </t>
    </r>
    <r>
      <rPr>
        <sz val="9"/>
        <color rgb="FF595959"/>
        <rFont val="Noto Sans CJK SC"/>
        <family val="2"/>
      </rPr>
      <t xml:space="preserve">按量計費 </t>
    </r>
    <r>
      <rPr>
        <sz val="9"/>
        <color rgb="FF595959"/>
        <rFont val="Arial"/>
        <family val="0"/>
        <charset val="1"/>
      </rPr>
      <t xml:space="preserve">Luna </t>
    </r>
    <r>
      <rPr>
        <sz val="9"/>
        <color rgb="FF595959"/>
        <rFont val="Noto Sans CJK SC"/>
        <family val="2"/>
      </rPr>
      <t xml:space="preserve">＋ </t>
    </r>
    <r>
      <rPr>
        <sz val="9"/>
        <color rgb="FF595959"/>
        <rFont val="Arial"/>
        <family val="0"/>
        <charset val="1"/>
      </rPr>
      <t xml:space="preserve">Coding Plan Luna</t>
    </r>
  </si>
  <si>
    <t xml:space="preserve">D27</t>
  </si>
  <si>
    <r>
      <rPr>
        <sz val="10"/>
        <color rgb="FF000000"/>
        <rFont val="Noto Sans CJK SC"/>
        <family val="2"/>
      </rPr>
      <t xml:space="preserve">免費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Sol</t>
    </r>
  </si>
  <si>
    <r>
      <rPr>
        <sz val="9"/>
        <color rgb="FF595959"/>
        <rFont val="Noto Sans CJK SC"/>
        <family val="2"/>
      </rPr>
      <t xml:space="preserve">智譜清言 </t>
    </r>
    <r>
      <rPr>
        <sz val="9"/>
        <color rgb="FF595959"/>
        <rFont val="Arial"/>
        <family val="0"/>
        <charset val="1"/>
      </rPr>
      <t xml:space="preserve">Sol</t>
    </r>
  </si>
  <si>
    <t xml:space="preserve">D28</t>
  </si>
  <si>
    <r>
      <rPr>
        <sz val="10"/>
        <color rgb="FF000000"/>
        <rFont val="Noto Sans CJK SC"/>
        <family val="2"/>
      </rPr>
      <t xml:space="preserve">免費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Luna</t>
    </r>
  </si>
  <si>
    <r>
      <rPr>
        <sz val="9"/>
        <color rgb="FF595959"/>
        <rFont val="Noto Sans CJK SC"/>
        <family val="2"/>
      </rPr>
      <t xml:space="preserve">智譜清言 </t>
    </r>
    <r>
      <rPr>
        <sz val="9"/>
        <color rgb="FF595959"/>
        <rFont val="Arial"/>
        <family val="0"/>
        <charset val="1"/>
      </rPr>
      <t xml:space="preserve">Luna </t>
    </r>
    <r>
      <rPr>
        <sz val="9"/>
        <color rgb="FF595959"/>
        <rFont val="Noto Sans CJK SC"/>
        <family val="2"/>
      </rPr>
      <t xml:space="preserve">＋ 免費 </t>
    </r>
    <r>
      <rPr>
        <sz val="9"/>
        <color rgb="FF595959"/>
        <rFont val="Arial"/>
        <family val="0"/>
        <charset val="1"/>
      </rPr>
      <t xml:space="preserve">API </t>
    </r>
    <r>
      <rPr>
        <sz val="9"/>
        <color rgb="FF595959"/>
        <rFont val="Noto Sans CJK SC"/>
        <family val="2"/>
      </rPr>
      <t xml:space="preserve">型號</t>
    </r>
  </si>
  <si>
    <t xml:space="preserve">D29</t>
  </si>
  <si>
    <r>
      <rPr>
        <sz val="10"/>
        <color rgb="FF000000"/>
        <rFont val="Noto Sans CJK SC"/>
        <family val="2"/>
      </rPr>
      <t xml:space="preserve">付費 </t>
    </r>
    <r>
      <rPr>
        <sz val="10"/>
        <color rgb="FF000000"/>
        <rFont val="Arial"/>
        <family val="0"/>
        <charset val="1"/>
      </rPr>
      <t xml:space="preserve">token </t>
    </r>
    <r>
      <rPr>
        <sz val="10"/>
        <color rgb="FF000000"/>
        <rFont val="Noto Sans CJK SC"/>
        <family val="2"/>
      </rPr>
      <t xml:space="preserve">合計</t>
    </r>
  </si>
  <si>
    <t xml:space="preserve">D30</t>
  </si>
  <si>
    <r>
      <rPr>
        <sz val="10"/>
        <color rgb="FF000000"/>
        <rFont val="Noto Sans CJK SC"/>
        <family val="2"/>
      </rPr>
      <t xml:space="preserve">免費 </t>
    </r>
    <r>
      <rPr>
        <sz val="10"/>
        <color rgb="FF000000"/>
        <rFont val="Arial"/>
        <family val="0"/>
        <charset val="1"/>
      </rPr>
      <t xml:space="preserve">token </t>
    </r>
    <r>
      <rPr>
        <sz val="10"/>
        <color rgb="FF000000"/>
        <rFont val="Noto Sans CJK SC"/>
        <family val="2"/>
      </rPr>
      <t xml:space="preserve">合計</t>
    </r>
  </si>
  <si>
    <t xml:space="preserve">D31</t>
  </si>
  <si>
    <t xml:space="preserve">五、對照（只列差距，不校準）</t>
  </si>
  <si>
    <t xml:space="preserve">D32</t>
  </si>
  <si>
    <r>
      <rPr>
        <sz val="10"/>
        <color rgb="FF000000"/>
        <rFont val="Arial"/>
        <family val="0"/>
        <charset val="1"/>
      </rPr>
      <t xml:space="preserve">2H25→1H26 </t>
    </r>
    <r>
      <rPr>
        <sz val="10"/>
        <color rgb="FF000000"/>
        <rFont val="Noto Sans CJK SC"/>
        <family val="2"/>
      </rPr>
      <t xml:space="preserve">實際隱含量成長（營收倍數 </t>
    </r>
    <r>
      <rPr>
        <sz val="10"/>
        <color rgb="FF000000"/>
        <rFont val="Arial"/>
        <family val="0"/>
        <charset val="1"/>
      </rPr>
      <t xml:space="preserve">÷ </t>
    </r>
    <r>
      <rPr>
        <sz val="10"/>
        <color rgb="FF000000"/>
        <rFont val="Noto Sans CJK SC"/>
        <family val="2"/>
      </rPr>
      <t xml:space="preserve">模型單價倍數）</t>
    </r>
  </si>
  <si>
    <r>
      <rPr>
        <sz val="9"/>
        <color rgb="FF595959"/>
        <rFont val="Noto Sans CJK SC"/>
        <family val="2"/>
      </rPr>
      <t xml:space="preserve">開放平台及 </t>
    </r>
    <r>
      <rPr>
        <sz val="9"/>
        <color rgb="FF595959"/>
        <rFont val="Arial"/>
        <family val="0"/>
        <charset val="1"/>
      </rPr>
      <t xml:space="preserve">API</t>
    </r>
    <r>
      <rPr>
        <sz val="9"/>
        <color rgb="FF595959"/>
        <rFont val="Noto Sans CJK SC"/>
        <family val="2"/>
      </rPr>
      <t xml:space="preserve">：</t>
    </r>
    <r>
      <rPr>
        <sz val="9"/>
        <color rgb="FF595959"/>
        <rFont val="Arial"/>
        <family val="0"/>
        <charset val="1"/>
      </rPr>
      <t xml:space="preserve">1H26 ÷ 2H25</t>
    </r>
    <r>
      <rPr>
        <sz val="9"/>
        <color rgb="FF595959"/>
        <rFont val="Noto Sans CJK SC"/>
        <family val="2"/>
      </rPr>
      <t xml:space="preserve">（＝</t>
    </r>
    <r>
      <rPr>
        <sz val="9"/>
        <color rgb="FF595959"/>
        <rFont val="Arial"/>
        <family val="0"/>
        <charset val="1"/>
      </rPr>
      <t xml:space="preserve">FY25 − 1H25</t>
    </r>
    <r>
      <rPr>
        <sz val="9"/>
        <color rgb="FF595959"/>
        <rFont val="Noto Sans CJK SC"/>
        <family val="2"/>
      </rPr>
      <t xml:space="preserve">）實際營收，除以 </t>
    </r>
    <r>
      <rPr>
        <sz val="9"/>
        <color rgb="FF595959"/>
        <rFont val="Arial"/>
        <family val="0"/>
        <charset val="1"/>
      </rPr>
      <t xml:space="preserve">1H26 ÷ 2025 </t>
    </r>
    <r>
      <rPr>
        <sz val="9"/>
        <color rgb="FF595959"/>
        <rFont val="Noto Sans CJK SC"/>
        <family val="2"/>
      </rPr>
      <t xml:space="preserve">組合有效單價；</t>
    </r>
    <r>
      <rPr>
        <sz val="9"/>
        <color rgb="FF595959"/>
        <rFont val="Arial"/>
        <family val="0"/>
        <charset val="1"/>
      </rPr>
      <t xml:space="preserve">Inputs 2H26 </t>
    </r>
    <r>
      <rPr>
        <sz val="9"/>
        <color rgb="FF595959"/>
        <rFont val="Noto Sans CJK SC"/>
        <family val="2"/>
      </rPr>
      <t xml:space="preserve">任務數成長的參考（實際值，非公司說法）</t>
    </r>
  </si>
  <si>
    <t xml:space="preserve">D33</t>
  </si>
  <si>
    <r>
      <rPr>
        <sz val="10"/>
        <color rgb="FF000000"/>
        <rFont val="Noto Sans CJK SC"/>
        <family val="2"/>
      </rPr>
      <t xml:space="preserve">模型 </t>
    </r>
    <r>
      <rPr>
        <sz val="10"/>
        <color rgb="FF000000"/>
        <rFont val="Arial"/>
        <family val="0"/>
        <charset val="1"/>
      </rPr>
      <t xml:space="preserve">2H26 ÷ 1H26 API </t>
    </r>
    <r>
      <rPr>
        <sz val="10"/>
        <color rgb="FF000000"/>
        <rFont val="Noto Sans CJK SC"/>
        <family val="2"/>
      </rPr>
      <t xml:space="preserve">按量計費 </t>
    </r>
    <r>
      <rPr>
        <sz val="10"/>
        <color rgb="FF000000"/>
        <rFont val="Arial"/>
        <family val="0"/>
        <charset val="1"/>
      </rPr>
      <t xml:space="preserve">token</t>
    </r>
  </si>
  <si>
    <r>
      <rPr>
        <sz val="9"/>
        <color rgb="FF595959"/>
        <rFont val="Noto Sans CJK SC"/>
        <family val="2"/>
      </rPr>
      <t xml:space="preserve">對照：公司稱 </t>
    </r>
    <r>
      <rPr>
        <sz val="9"/>
        <color rgb="FF595959"/>
        <rFont val="Arial"/>
        <family val="0"/>
        <charset val="1"/>
      </rPr>
      <t xml:space="preserve">MaaS token </t>
    </r>
    <r>
      <rPr>
        <sz val="9"/>
        <color rgb="FF595959"/>
        <rFont val="Noto Sans CJK SC"/>
        <family val="2"/>
      </rPr>
      <t xml:space="preserve">呼叫量『較年初 </t>
    </r>
    <r>
      <rPr>
        <sz val="9"/>
        <color rgb="FF595959"/>
        <rFont val="Arial"/>
        <family val="0"/>
        <charset val="1"/>
      </rPr>
      <t xml:space="preserve">40 </t>
    </r>
    <r>
      <rPr>
        <sz val="9"/>
        <color rgb="FF595959"/>
        <rFont val="Noto Sans CJK SC"/>
        <family val="2"/>
      </rPr>
      <t xml:space="preserve">倍以上』（</t>
    </r>
    <r>
      <rPr>
        <sz val="9"/>
        <color rgb="FF595959"/>
        <rFont val="Arial"/>
        <family val="0"/>
        <charset val="1"/>
      </rPr>
      <t xml:space="preserve">SRC_ZP_410</t>
    </r>
    <r>
      <rPr>
        <sz val="9"/>
        <color rgb="FF595959"/>
        <rFont val="Noto Sans CJK SC"/>
        <family val="2"/>
      </rPr>
      <t xml:space="preserve">；基期為年初時點，口徑不同）</t>
    </r>
  </si>
  <si>
    <t xml:space="preserve">D34</t>
  </si>
  <si>
    <r>
      <rPr>
        <sz val="10"/>
        <color rgb="FF000000"/>
        <rFont val="Noto Sans CJK SC"/>
        <family val="2"/>
      </rPr>
      <t xml:space="preserve">公司說法：</t>
    </r>
    <r>
      <rPr>
        <sz val="10"/>
        <color rgb="FF000000"/>
        <rFont val="Arial"/>
        <family val="0"/>
        <charset val="1"/>
      </rPr>
      <t xml:space="preserve">MaaS token </t>
    </r>
    <r>
      <rPr>
        <sz val="10"/>
        <color rgb="FF000000"/>
        <rFont val="Noto Sans CJK SC"/>
        <family val="2"/>
      </rPr>
      <t xml:space="preserve">呼叫量較年初倍數</t>
    </r>
  </si>
  <si>
    <r>
      <rPr>
        <sz val="9"/>
        <color rgb="FF595959"/>
        <rFont val="Arial"/>
        <family val="0"/>
        <charset val="1"/>
      </rPr>
      <t xml:space="preserve">Interested-party</t>
    </r>
    <r>
      <rPr>
        <sz val="9"/>
        <color rgb="FF595959"/>
        <rFont val="Noto Sans CJK SC"/>
        <family val="2"/>
      </rPr>
      <t xml:space="preserve">；只對照，不反推（</t>
    </r>
    <r>
      <rPr>
        <sz val="9"/>
        <color rgb="FF595959"/>
        <rFont val="Arial"/>
        <family val="0"/>
        <charset val="1"/>
      </rPr>
      <t xml:space="preserve">D14r</t>
    </r>
    <r>
      <rPr>
        <sz val="9"/>
        <color rgb="FF595959"/>
        <rFont val="Noto Sans CJK SC"/>
        <family val="2"/>
      </rPr>
      <t xml:space="preserve">）</t>
    </r>
  </si>
  <si>
    <t xml:space="preserve">D35</t>
  </si>
  <si>
    <r>
      <rPr>
        <sz val="10"/>
        <color rgb="FF000000"/>
        <rFont val="Noto Sans CJK SC"/>
        <family val="2"/>
      </rPr>
      <t xml:space="preserve">模型 </t>
    </r>
    <r>
      <rPr>
        <sz val="10"/>
        <color rgb="FF000000"/>
        <rFont val="Arial"/>
        <family val="0"/>
        <charset val="1"/>
      </rPr>
      <t xml:space="preserve">2025 token </t>
    </r>
    <r>
      <rPr>
        <sz val="10"/>
        <color rgb="FF000000"/>
        <rFont val="Noto Sans CJK SC"/>
        <family val="2"/>
      </rPr>
      <t xml:space="preserve">合計 </t>
    </r>
    <r>
      <rPr>
        <sz val="10"/>
        <color rgb="FF000000"/>
        <rFont val="Arial"/>
        <family val="0"/>
        <charset val="1"/>
      </rPr>
      <t xml:space="preserve">÷ </t>
    </r>
    <r>
      <rPr>
        <sz val="10"/>
        <color rgb="FF000000"/>
        <rFont val="Noto Sans CJK SC"/>
        <family val="2"/>
      </rPr>
      <t xml:space="preserve">天數</t>
    </r>
  </si>
  <si>
    <r>
      <rPr>
        <sz val="9"/>
        <color rgb="FF595959"/>
        <rFont val="Noto Sans CJK SC"/>
        <family val="2"/>
      </rPr>
      <t xml:space="preserve">對照：招股章程 </t>
    </r>
    <r>
      <rPr>
        <sz val="9"/>
        <color rgb="FF595959"/>
        <rFont val="Arial"/>
        <family val="0"/>
        <charset val="1"/>
      </rPr>
      <t xml:space="preserve">2025-11 </t>
    </r>
    <r>
      <rPr>
        <sz val="9"/>
        <color rgb="FF595959"/>
        <rFont val="Noto Sans CJK SC"/>
        <family val="2"/>
      </rPr>
      <t xml:space="preserve">日均 </t>
    </r>
    <r>
      <rPr>
        <sz val="9"/>
        <color rgb="FF595959"/>
        <rFont val="Arial"/>
        <family val="0"/>
        <charset val="1"/>
      </rPr>
      <t xml:space="preserve">4.2T</t>
    </r>
    <r>
      <rPr>
        <sz val="9"/>
        <color rgb="FF595959"/>
        <rFont val="Noto Sans CJK SC"/>
        <family val="2"/>
      </rPr>
      <t xml:space="preserve">（</t>
    </r>
    <r>
      <rPr>
        <sz val="9"/>
        <color rgb="FF595959"/>
        <rFont val="Arial"/>
        <family val="0"/>
        <charset val="1"/>
      </rPr>
      <t xml:space="preserve">SRC_ZP_991</t>
    </r>
    <r>
      <rPr>
        <sz val="9"/>
        <color rgb="FF595959"/>
        <rFont val="Noto Sans CJK SC"/>
        <family val="2"/>
      </rPr>
      <t xml:space="preserve">，招股章程第 </t>
    </r>
    <r>
      <rPr>
        <sz val="9"/>
        <color rgb="FF595959"/>
        <rFont val="Arial"/>
        <family val="0"/>
        <charset val="1"/>
      </rPr>
      <t xml:space="preserve">32 </t>
    </r>
    <r>
      <rPr>
        <sz val="9"/>
        <color rgb="FF595959"/>
        <rFont val="Noto Sans CJK SC"/>
        <family val="2"/>
      </rPr>
      <t xml:space="preserve">頁；</t>
    </r>
    <r>
      <rPr>
        <sz val="9"/>
        <color rgb="FF595959"/>
        <rFont val="Arial"/>
        <family val="0"/>
        <charset val="1"/>
      </rPr>
      <t xml:space="preserve">r2 P2 </t>
    </r>
    <r>
      <rPr>
        <sz val="9"/>
        <color rgb="FF595959"/>
        <rFont val="Noto Sans CJK SC"/>
        <family val="2"/>
      </rPr>
      <t xml:space="preserve">改引用一手列；口徑可能含全部雲端與免費）</t>
    </r>
  </si>
  <si>
    <t xml:space="preserve">D36</t>
  </si>
  <si>
    <r>
      <rPr>
        <sz val="10"/>
        <color rgb="FF000000"/>
        <rFont val="Noto Sans CJK SC"/>
        <family val="2"/>
      </rPr>
      <t xml:space="preserve">公司揭露：</t>
    </r>
    <r>
      <rPr>
        <sz val="10"/>
        <color rgb="FF000000"/>
        <rFont val="Arial"/>
        <family val="0"/>
        <charset val="1"/>
      </rPr>
      <t xml:space="preserve">2025-11 </t>
    </r>
    <r>
      <rPr>
        <sz val="10"/>
        <color rgb="FF000000"/>
        <rFont val="Noto Sans CJK SC"/>
        <family val="2"/>
      </rPr>
      <t xml:space="preserve">日均 </t>
    </r>
    <r>
      <rPr>
        <sz val="10"/>
        <color rgb="FF000000"/>
        <rFont val="Arial"/>
        <family val="0"/>
        <charset val="1"/>
      </rPr>
      <t xml:space="preserve">token</t>
    </r>
  </si>
  <si>
    <r>
      <rPr>
        <sz val="9"/>
        <color rgb="FF595959"/>
        <rFont val="Arial"/>
        <family val="0"/>
        <charset val="1"/>
      </rPr>
      <t xml:space="preserve">Interested-party</t>
    </r>
    <r>
      <rPr>
        <sz val="9"/>
        <color rgb="FF595959"/>
        <rFont val="Noto Sans CJK SC"/>
        <family val="2"/>
      </rPr>
      <t xml:space="preserve">（</t>
    </r>
    <r>
      <rPr>
        <sz val="9"/>
        <color rgb="FF595959"/>
        <rFont val="Arial"/>
        <family val="0"/>
        <charset val="1"/>
      </rPr>
      <t xml:space="preserve">SRC_ZP_991</t>
    </r>
    <r>
      <rPr>
        <sz val="9"/>
        <color rgb="FF595959"/>
        <rFont val="Noto Sans CJK SC"/>
        <family val="2"/>
      </rPr>
      <t xml:space="preserve">，招股章程月度點）</t>
    </r>
  </si>
  <si>
    <t xml:space="preserve">D37</t>
  </si>
  <si>
    <r>
      <rPr>
        <sz val="10"/>
        <color rgb="FF000000"/>
        <rFont val="Arial"/>
        <family val="0"/>
        <charset val="1"/>
      </rPr>
      <t xml:space="preserve">2025 </t>
    </r>
    <r>
      <rPr>
        <sz val="10"/>
        <color rgb="FF000000"/>
        <rFont val="Noto Sans CJK SC"/>
        <family val="2"/>
      </rPr>
      <t xml:space="preserve">計費比例＝</t>
    </r>
    <r>
      <rPr>
        <sz val="10"/>
        <color rgb="FF000000"/>
        <rFont val="Arial"/>
        <family val="0"/>
        <charset val="1"/>
      </rPr>
      <t xml:space="preserve">API </t>
    </r>
    <r>
      <rPr>
        <sz val="10"/>
        <color rgb="FF000000"/>
        <rFont val="Noto Sans CJK SC"/>
        <family val="2"/>
      </rPr>
      <t xml:space="preserve">按量計費 </t>
    </r>
    <r>
      <rPr>
        <sz val="10"/>
        <color rgb="FF000000"/>
        <rFont val="Arial"/>
        <family val="0"/>
        <charset val="1"/>
      </rPr>
      <t xml:space="preserve">token ÷</t>
    </r>
    <r>
      <rPr>
        <sz val="10"/>
        <color rgb="FF000000"/>
        <rFont val="Noto Sans CJK SC"/>
        <family val="2"/>
      </rPr>
      <t xml:space="preserve">（日均 </t>
    </r>
    <r>
      <rPr>
        <sz val="10"/>
        <color rgb="FF000000"/>
        <rFont val="Arial"/>
        <family val="0"/>
        <charset val="1"/>
      </rPr>
      <t xml:space="preserve">4.2T × 365</t>
    </r>
    <r>
      <rPr>
        <sz val="10"/>
        <color rgb="FF000000"/>
        <rFont val="Noto Sans CJK SC"/>
        <family val="2"/>
      </rPr>
      <t xml:space="preserve">）</t>
    </r>
  </si>
  <si>
    <r>
      <rPr>
        <sz val="9"/>
        <color rgb="FF595959"/>
        <rFont val="Noto Sans CJK SC"/>
        <family val="2"/>
      </rPr>
      <t xml:space="preserve">類比 </t>
    </r>
    <r>
      <rPr>
        <sz val="9"/>
        <color rgb="FF595959"/>
        <rFont val="Arial"/>
        <family val="0"/>
        <charset val="1"/>
      </rPr>
      <t xml:space="preserve">OpenAI v0.6 DEM_ApiBilledRatio2025</t>
    </r>
    <r>
      <rPr>
        <sz val="9"/>
        <color rgb="FF595959"/>
        <rFont val="Noto Sans CJK SC"/>
        <family val="2"/>
      </rPr>
      <t xml:space="preserve">：揭露量多為免費、</t>
    </r>
    <r>
      <rPr>
        <sz val="9"/>
        <color rgb="FF595959"/>
        <rFont val="Arial"/>
        <family val="0"/>
        <charset val="1"/>
      </rPr>
      <t xml:space="preserve">Coding Plan </t>
    </r>
    <r>
      <rPr>
        <sz val="9"/>
        <color rgb="FF595959"/>
        <rFont val="Noto Sans CJK SC"/>
        <family val="2"/>
      </rPr>
      <t xml:space="preserve">與折扣流量</t>
    </r>
  </si>
  <si>
    <r>
      <rPr>
        <b val="true"/>
        <sz val="13"/>
        <rFont val="Arial"/>
        <family val="0"/>
        <charset val="1"/>
      </rPr>
      <t xml:space="preserve">Revenue — </t>
    </r>
    <r>
      <rPr>
        <b val="true"/>
        <sz val="13"/>
        <rFont val="Noto Sans CJK SC"/>
        <family val="2"/>
      </rPr>
      <t xml:space="preserve">營收：①開放平台及 </t>
    </r>
    <r>
      <rPr>
        <b val="true"/>
        <sz val="13"/>
        <rFont val="Arial"/>
        <family val="0"/>
        <charset val="1"/>
      </rPr>
      <t xml:space="preserve">API</t>
    </r>
    <r>
      <rPr>
        <b val="true"/>
        <sz val="13"/>
        <rFont val="Noto Sans CJK SC"/>
        <family val="2"/>
      </rPr>
      <t xml:space="preserve">（按量計費＋</t>
    </r>
    <r>
      <rPr>
        <b val="true"/>
        <sz val="13"/>
        <rFont val="Arial"/>
        <family val="0"/>
        <charset val="1"/>
      </rPr>
      <t xml:space="preserve">Coding Plan </t>
    </r>
    <r>
      <rPr>
        <b val="true"/>
        <sz val="13"/>
        <rFont val="Noto Sans CJK SC"/>
        <family val="2"/>
      </rPr>
      <t xml:space="preserve">子列）②企業級智能體 ③企業級通用大模型 ④技術服務及其他；總額＝淨額；雲端 </t>
    </r>
    <r>
      <rPr>
        <b val="true"/>
        <sz val="13"/>
        <rFont val="Arial"/>
        <family val="0"/>
        <charset val="1"/>
      </rPr>
      <t xml:space="preserve">vs </t>
    </r>
    <r>
      <rPr>
        <b val="true"/>
        <sz val="13"/>
        <rFont val="Noto Sans CJK SC"/>
        <family val="2"/>
      </rPr>
      <t xml:space="preserve">本地化、企業 </t>
    </r>
    <r>
      <rPr>
        <b val="true"/>
        <sz val="13"/>
        <rFont val="Arial"/>
        <family val="0"/>
        <charset val="1"/>
      </rPr>
      <t xml:space="preserve">vs </t>
    </r>
    <r>
      <rPr>
        <b val="true"/>
        <sz val="13"/>
        <rFont val="Noto Sans CJK SC"/>
        <family val="2"/>
      </rPr>
      <t xml:space="preserve">個人</t>
    </r>
  </si>
  <si>
    <r>
      <rPr>
        <sz val="9"/>
        <color rgb="FF595959"/>
        <rFont val="Arial"/>
        <family val="0"/>
        <charset val="1"/>
      </rPr>
      <t xml:space="preserve">API </t>
    </r>
    <r>
      <rPr>
        <sz val="9"/>
        <color rgb="FF595959"/>
        <rFont val="Noto Sans CJK SC"/>
        <family val="2"/>
      </rPr>
      <t xml:space="preserve">牌價：</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GLM-4.7</t>
    </r>
    <r>
      <rPr>
        <sz val="9"/>
        <color rgb="FF595959"/>
        <rFont val="Noto Sans CJK SC"/>
        <family val="2"/>
      </rPr>
      <t xml:space="preserve">／</t>
    </r>
    <r>
      <rPr>
        <sz val="9"/>
        <color rgb="FF595959"/>
        <rFont val="Arial"/>
        <family val="0"/>
        <charset val="1"/>
      </rPr>
      <t xml:space="preserve">GLM-4.5-Air </t>
    </r>
    <r>
      <rPr>
        <sz val="9"/>
        <color rgb="FF595959"/>
        <rFont val="Noto Sans CJK SC"/>
        <family val="2"/>
      </rPr>
      <t xml:space="preserve">牌價；</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GLM-4.7→GLM-5→GLM-5.1 </t>
    </r>
    <r>
      <rPr>
        <sz val="9"/>
        <color rgb="FF595959"/>
        <rFont val="Noto Sans CJK SC"/>
        <family val="2"/>
      </rPr>
      <t xml:space="preserve">依發布日天數加權；</t>
    </r>
    <r>
      <rPr>
        <sz val="9"/>
        <color rgb="FF595959"/>
        <rFont val="Arial"/>
        <family val="0"/>
        <charset val="1"/>
      </rPr>
      <t xml:space="preserve">2H26</t>
    </r>
    <r>
      <rPr>
        <sz val="9"/>
        <color rgb="FF595959"/>
        <rFont val="Noto Sans CJK SC"/>
        <family val="2"/>
      </rPr>
      <t xml:space="preserve">＝</t>
    </r>
    <r>
      <rPr>
        <sz val="9"/>
        <color rgb="FF595959"/>
        <rFont val="Arial"/>
        <family val="0"/>
        <charset val="1"/>
      </rPr>
      <t xml:space="preserve">GLM-5.2</t>
    </r>
    <r>
      <rPr>
        <sz val="9"/>
        <color rgb="FF595959"/>
        <rFont val="Noto Sans CJK SC"/>
        <family val="2"/>
      </rPr>
      <t xml:space="preserve">／</t>
    </r>
    <r>
      <rPr>
        <sz val="9"/>
        <color rgb="FF595959"/>
        <rFont val="Arial"/>
        <family val="0"/>
        <charset val="1"/>
      </rPr>
      <t xml:space="preserve">5.3</t>
    </r>
    <r>
      <rPr>
        <sz val="9"/>
        <color rgb="FF595959"/>
        <rFont val="Noto Sans CJK SC"/>
        <family val="2"/>
      </rPr>
      <t xml:space="preserve">（</t>
    </r>
    <r>
      <rPr>
        <sz val="9"/>
        <color rgb="FF595959"/>
        <rFont val="Arial"/>
        <family val="0"/>
        <charset val="1"/>
      </rPr>
      <t xml:space="preserve">Sol</t>
    </r>
    <r>
      <rPr>
        <sz val="9"/>
        <color rgb="FF595959"/>
        <rFont val="Noto Sans CJK SC"/>
        <family val="2"/>
      </rPr>
      <t xml:space="preserve">）、</t>
    </r>
    <r>
      <rPr>
        <sz val="9"/>
        <color rgb="FF595959"/>
        <rFont val="Arial"/>
        <family val="0"/>
        <charset val="1"/>
      </rPr>
      <t xml:space="preserve">GLM-4.5-Air→GLM-5.3-Flash</t>
    </r>
    <r>
      <rPr>
        <sz val="9"/>
        <color rgb="FF595959"/>
        <rFont val="Noto Sans CJK SC"/>
        <family val="2"/>
      </rPr>
      <t xml:space="preserve">（</t>
    </r>
    <r>
      <rPr>
        <sz val="9"/>
        <color rgb="FF595959"/>
        <rFont val="Arial"/>
        <family val="0"/>
        <charset val="1"/>
      </rPr>
      <t xml:space="preserve">Luna</t>
    </r>
    <r>
      <rPr>
        <sz val="9"/>
        <color rgb="FF595959"/>
        <rFont val="Noto Sans CJK SC"/>
        <family val="2"/>
      </rPr>
      <t xml:space="preserve">）；</t>
    </r>
    <r>
      <rPr>
        <sz val="9"/>
        <color rgb="FF595959"/>
        <rFont val="Arial"/>
        <family val="0"/>
        <charset val="1"/>
      </rPr>
      <t xml:space="preserve">2027 </t>
    </r>
    <r>
      <rPr>
        <sz val="9"/>
        <color rgb="FF595959"/>
        <rFont val="Noto Sans CJK SC"/>
        <family val="2"/>
      </rPr>
      <t xml:space="preserve">起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＋年變動率）。輸入價依長上下文占比混合兩檔。有效單價＝［</t>
    </r>
    <r>
      <rPr>
        <sz val="9"/>
        <color rgb="FF595959"/>
        <rFont val="Arial"/>
        <family val="0"/>
        <charset val="1"/>
      </rPr>
      <t xml:space="preserve">(1−</t>
    </r>
    <r>
      <rPr>
        <sz val="9"/>
        <color rgb="FF595959"/>
        <rFont val="Noto Sans CJK SC"/>
        <family val="2"/>
      </rPr>
      <t xml:space="preserve">輸出占比</t>
    </r>
    <r>
      <rPr>
        <sz val="9"/>
        <color rgb="FF595959"/>
        <rFont val="Arial"/>
        <family val="0"/>
        <charset val="1"/>
      </rPr>
      <t xml:space="preserve">)×(</t>
    </r>
    <r>
      <rPr>
        <sz val="9"/>
        <color rgb="FF595959"/>
        <rFont val="Noto Sans CJK SC"/>
        <family val="2"/>
      </rPr>
      <t xml:space="preserve">快取命中</t>
    </r>
    <r>
      <rPr>
        <sz val="9"/>
        <color rgb="FF595959"/>
        <rFont val="Arial"/>
        <family val="0"/>
        <charset val="1"/>
      </rPr>
      <t xml:space="preserve">×</t>
    </r>
    <r>
      <rPr>
        <sz val="9"/>
        <color rgb="FF595959"/>
        <rFont val="Noto Sans CJK SC"/>
        <family val="2"/>
      </rPr>
      <t xml:space="preserve">快取價＋</t>
    </r>
    <r>
      <rPr>
        <sz val="9"/>
        <color rgb="FF595959"/>
        <rFont val="Arial"/>
        <family val="0"/>
        <charset val="1"/>
      </rPr>
      <t xml:space="preserve">(1−</t>
    </r>
    <r>
      <rPr>
        <sz val="9"/>
        <color rgb="FF595959"/>
        <rFont val="Noto Sans CJK SC"/>
        <family val="2"/>
      </rPr>
      <t xml:space="preserve">快取命中</t>
    </r>
    <r>
      <rPr>
        <sz val="9"/>
        <color rgb="FF595959"/>
        <rFont val="Arial"/>
        <family val="0"/>
        <charset val="1"/>
      </rPr>
      <t xml:space="preserve">)×</t>
    </r>
    <r>
      <rPr>
        <sz val="9"/>
        <color rgb="FF595959"/>
        <rFont val="Noto Sans CJK SC"/>
        <family val="2"/>
      </rPr>
      <t xml:space="preserve">輸入價</t>
    </r>
    <r>
      <rPr>
        <sz val="9"/>
        <color rgb="FF595959"/>
        <rFont val="Arial"/>
        <family val="0"/>
        <charset val="1"/>
      </rPr>
      <t xml:space="preserve">)</t>
    </r>
    <r>
      <rPr>
        <sz val="9"/>
        <color rgb="FF595959"/>
        <rFont val="Noto Sans CJK SC"/>
        <family val="2"/>
      </rPr>
      <t xml:space="preserve">＋輸出占比</t>
    </r>
    <r>
      <rPr>
        <sz val="9"/>
        <color rgb="FF595959"/>
        <rFont val="Arial"/>
        <family val="0"/>
        <charset val="1"/>
      </rPr>
      <t xml:space="preserve">×</t>
    </r>
    <r>
      <rPr>
        <sz val="9"/>
        <color rgb="FF595959"/>
        <rFont val="Noto Sans CJK SC"/>
        <family val="2"/>
      </rPr>
      <t xml:space="preserve">輸出價］</t>
    </r>
    <r>
      <rPr>
        <sz val="9"/>
        <color rgb="FF595959"/>
        <rFont val="Arial"/>
        <family val="0"/>
        <charset val="1"/>
      </rPr>
      <t xml:space="preserve">×(1−</t>
    </r>
    <r>
      <rPr>
        <sz val="9"/>
        <color rgb="FF595959"/>
        <rFont val="Noto Sans CJK SC"/>
        <family val="2"/>
      </rPr>
      <t xml:space="preserve">折扣與免費額度</t>
    </r>
    <r>
      <rPr>
        <sz val="9"/>
        <color rgb="FF595959"/>
        <rFont val="Arial"/>
        <family val="0"/>
        <charset val="1"/>
      </rPr>
      <t xml:space="preserve">)</t>
    </r>
    <r>
      <rPr>
        <sz val="9"/>
        <color rgb="FF595959"/>
        <rFont val="Noto Sans CJK SC"/>
        <family val="2"/>
      </rPr>
      <t xml:space="preserve">。</t>
    </r>
  </si>
  <si>
    <r>
      <rPr>
        <sz val="9"/>
        <color rgb="FF595959"/>
        <rFont val="Noto Sans CJK SC"/>
        <family val="2"/>
      </rPr>
      <t xml:space="preserve">金額 </t>
    </r>
    <r>
      <rPr>
        <sz val="9"/>
        <color rgb="FF595959"/>
        <rFont val="Arial"/>
        <family val="0"/>
        <charset val="1"/>
      </rPr>
      <t xml:space="preserve">RMB </t>
    </r>
    <r>
      <rPr>
        <sz val="9"/>
        <color rgb="FF595959"/>
        <rFont val="Noto Sans CJK SC"/>
        <family val="2"/>
      </rPr>
      <t xml:space="preserve">億；牌價 元／百萬 </t>
    </r>
    <r>
      <rPr>
        <sz val="9"/>
        <color rgb="FF595959"/>
        <rFont val="Arial"/>
        <family val="0"/>
        <charset val="1"/>
      </rPr>
      <t xml:space="preserve">token</t>
    </r>
    <r>
      <rPr>
        <sz val="9"/>
        <color rgb="FF595959"/>
        <rFont val="Noto Sans CJK SC"/>
        <family val="2"/>
      </rPr>
      <t xml:space="preserve">；</t>
    </r>
    <r>
      <rPr>
        <sz val="9"/>
        <color rgb="FF595959"/>
        <rFont val="Arial"/>
        <family val="0"/>
        <charset val="1"/>
      </rPr>
      <t xml:space="preserve">Coding Plan </t>
    </r>
    <r>
      <rPr>
        <sz val="9"/>
        <color rgb="FF595959"/>
        <rFont val="Noto Sans CJK SC"/>
        <family val="2"/>
      </rPr>
      <t xml:space="preserve">價格 元／月。②③④＝本地化部署分部（不耗智譜算力，</t>
    </r>
    <r>
      <rPr>
        <sz val="9"/>
        <color rgb="FF595959"/>
        <rFont val="Arial"/>
        <family val="0"/>
        <charset val="1"/>
      </rPr>
      <t xml:space="preserve">D4</t>
    </r>
    <r>
      <rPr>
        <sz val="9"/>
        <color rgb="FF595959"/>
        <rFont val="Noto Sans CJK SC"/>
        <family val="2"/>
      </rPr>
      <t xml:space="preserve">、</t>
    </r>
    <r>
      <rPr>
        <sz val="9"/>
        <color rgb="FF595959"/>
        <rFont val="Arial"/>
        <family val="0"/>
        <charset val="1"/>
      </rPr>
      <t xml:space="preserve">D2r</t>
    </r>
    <r>
      <rPr>
        <sz val="9"/>
        <color rgb="FF595959"/>
        <rFont val="Noto Sans CJK SC"/>
        <family val="2"/>
      </rPr>
      <t xml:space="preserve">）。容量上限係數取自 </t>
    </r>
    <r>
      <rPr>
        <sz val="9"/>
        <color rgb="FF595959"/>
        <rFont val="Arial"/>
        <family val="0"/>
        <charset val="1"/>
      </rPr>
      <t xml:space="preserve">Compute</t>
    </r>
    <r>
      <rPr>
        <sz val="9"/>
        <color rgb="FF595959"/>
        <rFont val="Noto Sans CJK SC"/>
        <family val="2"/>
      </rPr>
      <t xml:space="preserve">（</t>
    </r>
    <r>
      <rPr>
        <sz val="9"/>
        <color rgb="FF595959"/>
        <rFont val="Arial"/>
        <family val="0"/>
        <charset val="1"/>
      </rPr>
      <t xml:space="preserve">Z3</t>
    </r>
    <r>
      <rPr>
        <sz val="9"/>
        <color rgb="FF595959"/>
        <rFont val="Noto Sans CJK SC"/>
        <family val="2"/>
      </rPr>
      <t xml:space="preserve">），只回乘雲端營收。</t>
    </r>
  </si>
  <si>
    <r>
      <rPr>
        <b val="true"/>
        <sz val="10"/>
        <rFont val="Noto Sans CJK SC"/>
        <family val="2"/>
      </rPr>
      <t xml:space="preserve">一、價格期間權重（由發布日推得的天數；</t>
    </r>
    <r>
      <rPr>
        <b val="true"/>
        <sz val="10"/>
        <rFont val="Arial"/>
        <family val="0"/>
        <charset val="1"/>
      </rPr>
      <t xml:space="preserve">Inputs Derived</t>
    </r>
    <r>
      <rPr>
        <b val="true"/>
        <sz val="10"/>
        <rFont val="Noto Sans CJK SC"/>
        <family val="2"/>
      </rPr>
      <t xml:space="preserve">）</t>
    </r>
  </si>
  <si>
    <t xml:space="preserve">R01</t>
  </si>
  <si>
    <r>
      <rPr>
        <sz val="10"/>
        <color rgb="FF000000"/>
        <rFont val="Arial"/>
        <family val="0"/>
        <charset val="1"/>
      </rPr>
      <t xml:space="preserve">1H26 GLM-4.7 </t>
    </r>
    <r>
      <rPr>
        <sz val="10"/>
        <color rgb="FF000000"/>
        <rFont val="Noto Sans CJK SC"/>
        <family val="2"/>
      </rPr>
      <t xml:space="preserve">期間占比</t>
    </r>
  </si>
  <si>
    <r>
      <rPr>
        <sz val="9"/>
        <color rgb="FF595959"/>
        <rFont val="Arial"/>
        <family val="0"/>
        <charset val="1"/>
      </rPr>
      <t xml:space="preserve">2026-01-01</t>
    </r>
    <r>
      <rPr>
        <sz val="9"/>
        <color rgb="FF595959"/>
        <rFont val="Noto Sans CJK SC"/>
        <family val="2"/>
      </rPr>
      <t xml:space="preserve">～</t>
    </r>
    <r>
      <rPr>
        <sz val="9"/>
        <color rgb="FF595959"/>
        <rFont val="Arial"/>
        <family val="0"/>
        <charset val="1"/>
      </rPr>
      <t xml:space="preserve">02-11 ÷ 181 </t>
    </r>
    <r>
      <rPr>
        <sz val="9"/>
        <color rgb="FF595959"/>
        <rFont val="Noto Sans CJK SC"/>
        <family val="2"/>
      </rPr>
      <t xml:space="preserve">天</t>
    </r>
  </si>
  <si>
    <t xml:space="preserve">R02</t>
  </si>
  <si>
    <r>
      <rPr>
        <sz val="10"/>
        <color rgb="FF000000"/>
        <rFont val="Arial"/>
        <family val="0"/>
        <charset val="1"/>
      </rPr>
      <t xml:space="preserve">1H26 GLM-5 </t>
    </r>
    <r>
      <rPr>
        <sz val="10"/>
        <color rgb="FF000000"/>
        <rFont val="Noto Sans CJK SC"/>
        <family val="2"/>
      </rPr>
      <t xml:space="preserve">期間占比</t>
    </r>
  </si>
  <si>
    <r>
      <rPr>
        <sz val="9"/>
        <color rgb="FF595959"/>
        <rFont val="Arial"/>
        <family val="0"/>
        <charset val="1"/>
      </rPr>
      <t xml:space="preserve">2026-02-12</t>
    </r>
    <r>
      <rPr>
        <sz val="9"/>
        <color rgb="FF595959"/>
        <rFont val="Noto Sans CJK SC"/>
        <family val="2"/>
      </rPr>
      <t xml:space="preserve">～</t>
    </r>
    <r>
      <rPr>
        <sz val="9"/>
        <color rgb="FF595959"/>
        <rFont val="Arial"/>
        <family val="0"/>
        <charset val="1"/>
      </rPr>
      <t xml:space="preserve">04-06 ÷ 181 </t>
    </r>
    <r>
      <rPr>
        <sz val="9"/>
        <color rgb="FF595959"/>
        <rFont val="Noto Sans CJK SC"/>
        <family val="2"/>
      </rPr>
      <t xml:space="preserve">天</t>
    </r>
  </si>
  <si>
    <t xml:space="preserve">R03</t>
  </si>
  <si>
    <r>
      <rPr>
        <sz val="10"/>
        <color rgb="FF000000"/>
        <rFont val="Arial"/>
        <family val="0"/>
        <charset val="1"/>
      </rPr>
      <t xml:space="preserve">1H26 GLM-5.1 </t>
    </r>
    <r>
      <rPr>
        <sz val="10"/>
        <color rgb="FF000000"/>
        <rFont val="Noto Sans CJK SC"/>
        <family val="2"/>
      </rPr>
      <t xml:space="preserve">期間占比（＝</t>
    </r>
    <r>
      <rPr>
        <sz val="10"/>
        <color rgb="FF000000"/>
        <rFont val="Arial"/>
        <family val="0"/>
        <charset val="1"/>
      </rPr>
      <t xml:space="preserve">1 − </t>
    </r>
    <r>
      <rPr>
        <sz val="10"/>
        <color rgb="FF000000"/>
        <rFont val="Noto Sans CJK SC"/>
        <family val="2"/>
      </rPr>
      <t xml:space="preserve">前兩者）</t>
    </r>
  </si>
  <si>
    <r>
      <rPr>
        <sz val="9"/>
        <color rgb="FF595959"/>
        <rFont val="Arial"/>
        <family val="0"/>
        <charset val="1"/>
      </rPr>
      <t xml:space="preserve">2026-04-07</t>
    </r>
    <r>
      <rPr>
        <sz val="9"/>
        <color rgb="FF595959"/>
        <rFont val="Noto Sans CJK SC"/>
        <family val="2"/>
      </rPr>
      <t xml:space="preserve">～</t>
    </r>
    <r>
      <rPr>
        <sz val="9"/>
        <color rgb="FF595959"/>
        <rFont val="Arial"/>
        <family val="0"/>
        <charset val="1"/>
      </rPr>
      <t xml:space="preserve">06-30</t>
    </r>
    <r>
      <rPr>
        <sz val="9"/>
        <color rgb="FF595959"/>
        <rFont val="Noto Sans CJK SC"/>
        <family val="2"/>
      </rPr>
      <t xml:space="preserve">（</t>
    </r>
    <r>
      <rPr>
        <sz val="9"/>
        <color rgb="FF595959"/>
        <rFont val="Arial"/>
        <family val="0"/>
        <charset val="1"/>
      </rPr>
      <t xml:space="preserve">GLM-5.2 </t>
    </r>
    <r>
      <rPr>
        <sz val="9"/>
        <color rgb="FF595959"/>
        <rFont val="Noto Sans CJK SC"/>
        <family val="2"/>
      </rPr>
      <t xml:space="preserve">於 </t>
    </r>
    <r>
      <rPr>
        <sz val="9"/>
        <color rgb="FF595959"/>
        <rFont val="Arial"/>
        <family val="0"/>
        <charset val="1"/>
      </rPr>
      <t xml:space="preserve">06-16 </t>
    </r>
    <r>
      <rPr>
        <sz val="9"/>
        <color rgb="FF595959"/>
        <rFont val="Noto Sans CJK SC"/>
        <family val="2"/>
      </rPr>
      <t xml:space="preserve">發布，牌價同 </t>
    </r>
    <r>
      <rPr>
        <sz val="9"/>
        <color rgb="FF595959"/>
        <rFont val="Arial"/>
        <family val="0"/>
        <charset val="1"/>
      </rPr>
      <t xml:space="preserve">GLM-5.1 ≥32K </t>
    </r>
    <r>
      <rPr>
        <sz val="9"/>
        <color rgb="FF595959"/>
        <rFont val="Noto Sans CJK SC"/>
        <family val="2"/>
      </rPr>
      <t xml:space="preserve">檔）</t>
    </r>
  </si>
  <si>
    <t xml:space="preserve">R04</t>
  </si>
  <si>
    <r>
      <rPr>
        <sz val="10"/>
        <color rgb="FF000000"/>
        <rFont val="Arial"/>
        <family val="0"/>
        <charset val="1"/>
      </rPr>
      <t xml:space="preserve">2H26 GLM-5.3-Flash </t>
    </r>
    <r>
      <rPr>
        <sz val="10"/>
        <color rgb="FF000000"/>
        <rFont val="Noto Sans CJK SC"/>
        <family val="2"/>
      </rPr>
      <t xml:space="preserve">期間占比（</t>
    </r>
    <r>
      <rPr>
        <sz val="10"/>
        <color rgb="FF000000"/>
        <rFont val="Arial"/>
        <family val="0"/>
        <charset val="1"/>
      </rPr>
      <t xml:space="preserve">Luna</t>
    </r>
    <r>
      <rPr>
        <sz val="10"/>
        <color rgb="FF000000"/>
        <rFont val="Noto Sans CJK SC"/>
        <family val="2"/>
      </rPr>
      <t xml:space="preserve">）</t>
    </r>
  </si>
  <si>
    <r>
      <rPr>
        <sz val="9"/>
        <color rgb="FF595959"/>
        <rFont val="Arial"/>
        <family val="0"/>
        <charset val="1"/>
      </rPr>
      <t xml:space="preserve">2026-08-26</t>
    </r>
    <r>
      <rPr>
        <sz val="9"/>
        <color rgb="FF595959"/>
        <rFont val="Noto Sans CJK SC"/>
        <family val="2"/>
      </rPr>
      <t xml:space="preserve">～</t>
    </r>
    <r>
      <rPr>
        <sz val="9"/>
        <color rgb="FF595959"/>
        <rFont val="Arial"/>
        <family val="0"/>
        <charset val="1"/>
      </rPr>
      <t xml:space="preserve">12-31 ÷ 184 </t>
    </r>
    <r>
      <rPr>
        <sz val="9"/>
        <color rgb="FF595959"/>
        <rFont val="Noto Sans CJK SC"/>
        <family val="2"/>
      </rPr>
      <t xml:space="preserve">天；之前 </t>
    </r>
    <r>
      <rPr>
        <sz val="9"/>
        <color rgb="FF595959"/>
        <rFont val="Arial"/>
        <family val="0"/>
        <charset val="1"/>
      </rPr>
      <t xml:space="preserve">Luna </t>
    </r>
    <r>
      <rPr>
        <sz val="9"/>
        <color rgb="FF595959"/>
        <rFont val="Noto Sans CJK SC"/>
        <family val="2"/>
      </rPr>
      <t xml:space="preserve">以 </t>
    </r>
    <r>
      <rPr>
        <sz val="9"/>
        <color rgb="FF595959"/>
        <rFont val="Arial"/>
        <family val="0"/>
        <charset val="1"/>
      </rPr>
      <t xml:space="preserve">GLM-4.5-Air </t>
    </r>
    <r>
      <rPr>
        <sz val="9"/>
        <color rgb="FF595959"/>
        <rFont val="Noto Sans CJK SC"/>
        <family val="2"/>
      </rPr>
      <t xml:space="preserve">計</t>
    </r>
  </si>
  <si>
    <r>
      <rPr>
        <b val="true"/>
        <sz val="10"/>
        <rFont val="Noto Sans CJK SC"/>
        <family val="2"/>
      </rPr>
      <t xml:space="preserve">二、</t>
    </r>
    <r>
      <rPr>
        <b val="true"/>
        <sz val="10"/>
        <rFont val="Arial"/>
        <family val="0"/>
        <charset val="1"/>
      </rPr>
      <t xml:space="preserve">API </t>
    </r>
    <r>
      <rPr>
        <b val="true"/>
        <sz val="10"/>
        <rFont val="Noto Sans CJK SC"/>
        <family val="2"/>
      </rPr>
      <t xml:space="preserve">牌價（元／百萬 </t>
    </r>
    <r>
      <rPr>
        <b val="true"/>
        <sz val="10"/>
        <rFont val="Arial"/>
        <family val="0"/>
        <charset val="1"/>
      </rPr>
      <t xml:space="preserve">token</t>
    </r>
    <r>
      <rPr>
        <b val="true"/>
        <sz val="10"/>
        <rFont val="Noto Sans CJK SC"/>
        <family val="2"/>
      </rPr>
      <t xml:space="preserve">；層級 </t>
    </r>
    <r>
      <rPr>
        <b val="true"/>
        <sz val="10"/>
        <rFont val="Arial"/>
        <family val="0"/>
        <charset val="1"/>
      </rPr>
      <t xml:space="preserve">× </t>
    </r>
    <r>
      <rPr>
        <b val="true"/>
        <sz val="10"/>
        <rFont val="Noto Sans CJK SC"/>
        <family val="2"/>
      </rPr>
      <t xml:space="preserve">輸入／快取／輸出）</t>
    </r>
  </si>
  <si>
    <t xml:space="preserve">R05</t>
  </si>
  <si>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GLM </t>
    </r>
    <r>
      <rPr>
        <sz val="10"/>
        <color rgb="FF000000"/>
        <rFont val="Noto Sans CJK SC"/>
        <family val="2"/>
      </rPr>
      <t xml:space="preserve">旗艦） 輸入牌價</t>
    </r>
  </si>
  <si>
    <r>
      <rPr>
        <sz val="10"/>
        <color rgb="FF000000"/>
        <rFont val="Noto Sans CJK SC"/>
        <family val="2"/>
      </rPr>
      <t xml:space="preserve">元／</t>
    </r>
    <r>
      <rPr>
        <sz val="10"/>
        <color rgb="FF000000"/>
        <rFont val="Arial"/>
        <family val="0"/>
        <charset val="1"/>
      </rPr>
      <t xml:space="preserve">M</t>
    </r>
  </si>
  <si>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GLM-4.7</t>
    </r>
    <r>
      <rPr>
        <sz val="9"/>
        <color rgb="FF595959"/>
        <rFont val="Noto Sans CJK SC"/>
        <family val="2"/>
      </rPr>
      <t xml:space="preserve">（</t>
    </r>
    <r>
      <rPr>
        <sz val="9"/>
        <color rgb="FF595959"/>
        <rFont val="Arial"/>
        <family val="0"/>
        <charset val="1"/>
      </rPr>
      <t xml:space="preserve">&lt;32K </t>
    </r>
    <r>
      <rPr>
        <sz val="9"/>
        <color rgb="FF595959"/>
        <rFont val="Noto Sans CJK SC"/>
        <family val="2"/>
      </rPr>
      <t xml:space="preserve">且輸出 ≥</t>
    </r>
    <r>
      <rPr>
        <sz val="9"/>
        <color rgb="FF595959"/>
        <rFont val="Arial"/>
        <family val="0"/>
        <charset val="1"/>
      </rPr>
      <t xml:space="preserve">0.2K </t>
    </r>
    <r>
      <rPr>
        <sz val="9"/>
        <color rgb="FF595959"/>
        <rFont val="Noto Sans CJK SC"/>
        <family val="2"/>
      </rPr>
      <t xml:space="preserve">檔 與 </t>
    </r>
    <r>
      <rPr>
        <sz val="9"/>
        <color rgb="FF595959"/>
        <rFont val="Arial"/>
        <family val="0"/>
        <charset val="1"/>
      </rPr>
      <t xml:space="preserve">32K–200K </t>
    </r>
    <r>
      <rPr>
        <sz val="9"/>
        <color rgb="FF595959"/>
        <rFont val="Noto Sans CJK SC"/>
        <family val="2"/>
      </rPr>
      <t xml:space="preserve">檔，依長上下文占比混合）；</t>
    </r>
    <r>
      <rPr>
        <sz val="9"/>
        <color rgb="FF595959"/>
        <rFont val="Arial"/>
        <family val="0"/>
        <charset val="1"/>
      </rPr>
      <t xml:space="preserve">1H26</t>
    </r>
    <r>
      <rPr>
        <sz val="9"/>
        <color rgb="FF595959"/>
        <rFont val="Noto Sans CJK SC"/>
        <family val="2"/>
      </rPr>
      <t xml:space="preserve">：期間加權 </t>
    </r>
    <r>
      <rPr>
        <sz val="9"/>
        <color rgb="FF595959"/>
        <rFont val="Arial"/>
        <family val="0"/>
        <charset val="1"/>
      </rPr>
      <t xml:space="preserve">GLM-4.7</t>
    </r>
    <r>
      <rPr>
        <sz val="9"/>
        <color rgb="FF595959"/>
        <rFont val="Noto Sans CJK SC"/>
        <family val="2"/>
      </rPr>
      <t xml:space="preserve">／</t>
    </r>
    <r>
      <rPr>
        <sz val="9"/>
        <color rgb="FF595959"/>
        <rFont val="Arial"/>
        <family val="0"/>
        <charset val="1"/>
      </rPr>
      <t xml:space="preserve">GLM-5</t>
    </r>
    <r>
      <rPr>
        <sz val="9"/>
        <color rgb="FF595959"/>
        <rFont val="Noto Sans CJK SC"/>
        <family val="2"/>
      </rPr>
      <t xml:space="preserve">／</t>
    </r>
    <r>
      <rPr>
        <sz val="9"/>
        <color rgb="FF595959"/>
        <rFont val="Arial"/>
        <family val="0"/>
        <charset val="1"/>
      </rPr>
      <t xml:space="preserve">GLM-5.1</t>
    </r>
    <r>
      <rPr>
        <sz val="9"/>
        <color rgb="FF595959"/>
        <rFont val="Noto Sans CJK SC"/>
        <family val="2"/>
      </rPr>
      <t xml:space="preserve">；</t>
    </r>
    <r>
      <rPr>
        <sz val="9"/>
        <color rgb="FF595959"/>
        <rFont val="Arial"/>
        <family val="0"/>
        <charset val="1"/>
      </rPr>
      <t xml:space="preserve">2H26</t>
    </r>
    <r>
      <rPr>
        <sz val="9"/>
        <color rgb="FF595959"/>
        <rFont val="Noto Sans CJK SC"/>
        <family val="2"/>
      </rPr>
      <t xml:space="preserve">：</t>
    </r>
    <r>
      <rPr>
        <sz val="9"/>
        <color rgb="FF595959"/>
        <rFont val="Arial"/>
        <family val="0"/>
        <charset val="1"/>
      </rPr>
      <t xml:space="preserve">GLM-5.2</t>
    </r>
    <r>
      <rPr>
        <sz val="9"/>
        <color rgb="FF595959"/>
        <rFont val="Noto Sans CJK SC"/>
        <family val="2"/>
      </rPr>
      <t xml:space="preserve">／</t>
    </r>
    <r>
      <rPr>
        <sz val="9"/>
        <color rgb="FF595959"/>
        <rFont val="Arial"/>
        <family val="0"/>
        <charset val="1"/>
      </rPr>
      <t xml:space="preserve">5.3 1M </t>
    </r>
    <r>
      <rPr>
        <sz val="9"/>
        <color rgb="FF595959"/>
        <rFont val="Noto Sans CJK SC"/>
        <family val="2"/>
      </rPr>
      <t xml:space="preserve">全量；</t>
    </r>
    <r>
      <rPr>
        <sz val="9"/>
        <color rgb="FF595959"/>
        <rFont val="Arial"/>
        <family val="0"/>
        <charset val="1"/>
      </rPr>
      <t xml:space="preserve">2027 </t>
    </r>
    <r>
      <rPr>
        <sz val="9"/>
        <color rgb="FF595959"/>
        <rFont val="Noto Sans CJK SC"/>
        <family val="2"/>
      </rPr>
      <t xml:space="preserve">起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＋年變動率）；</t>
    </r>
    <r>
      <rPr>
        <sz val="9"/>
        <color rgb="FF595959"/>
        <rFont val="Arial"/>
        <family val="0"/>
        <charset val="1"/>
      </rPr>
      <t xml:space="preserve">2026 </t>
    </r>
    <r>
      <rPr>
        <sz val="9"/>
        <color rgb="FF595959"/>
        <rFont val="Noto Sans CJK SC"/>
        <family val="2"/>
      </rPr>
      <t xml:space="preserve">欄為兩個半年的平均（顯示用）</t>
    </r>
  </si>
  <si>
    <t xml:space="preserve">R06</t>
  </si>
  <si>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GLM </t>
    </r>
    <r>
      <rPr>
        <sz val="10"/>
        <color rgb="FF000000"/>
        <rFont val="Noto Sans CJK SC"/>
        <family val="2"/>
      </rPr>
      <t xml:space="preserve">旗艦） 快取命中輸入牌價</t>
    </r>
  </si>
  <si>
    <t xml:space="preserve">R07</t>
  </si>
  <si>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GLM </t>
    </r>
    <r>
      <rPr>
        <sz val="10"/>
        <color rgb="FF000000"/>
        <rFont val="Noto Sans CJK SC"/>
        <family val="2"/>
      </rPr>
      <t xml:space="preserve">旗艦） 輸出牌價</t>
    </r>
  </si>
  <si>
    <t xml:space="preserve">R08</t>
  </si>
  <si>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Air</t>
    </r>
    <r>
      <rPr>
        <sz val="10"/>
        <color rgb="FF000000"/>
        <rFont val="Noto Sans CJK SC"/>
        <family val="2"/>
      </rPr>
      <t xml:space="preserve">／</t>
    </r>
    <r>
      <rPr>
        <sz val="10"/>
        <color rgb="FF000000"/>
        <rFont val="Arial"/>
        <family val="0"/>
        <charset val="1"/>
      </rPr>
      <t xml:space="preserve">Flash</t>
    </r>
    <r>
      <rPr>
        <sz val="10"/>
        <color rgb="FF000000"/>
        <rFont val="Noto Sans CJK SC"/>
        <family val="2"/>
      </rPr>
      <t xml:space="preserve">） 輸入牌價</t>
    </r>
  </si>
  <si>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GLM-4.5-Air</t>
    </r>
    <r>
      <rPr>
        <sz val="9"/>
        <color rgb="FF595959"/>
        <rFont val="Noto Sans CJK SC"/>
        <family val="2"/>
      </rPr>
      <t xml:space="preserve">（</t>
    </r>
    <r>
      <rPr>
        <sz val="9"/>
        <color rgb="FF595959"/>
        <rFont val="Arial"/>
        <family val="0"/>
        <charset val="1"/>
      </rPr>
      <t xml:space="preserve">&lt;32K </t>
    </r>
    <r>
      <rPr>
        <sz val="9"/>
        <color rgb="FF595959"/>
        <rFont val="Noto Sans CJK SC"/>
        <family val="2"/>
      </rPr>
      <t xml:space="preserve">且輸出 ≥</t>
    </r>
    <r>
      <rPr>
        <sz val="9"/>
        <color rgb="FF595959"/>
        <rFont val="Arial"/>
        <family val="0"/>
        <charset val="1"/>
      </rPr>
      <t xml:space="preserve">0.2K </t>
    </r>
    <r>
      <rPr>
        <sz val="9"/>
        <color rgb="FF595959"/>
        <rFont val="Noto Sans CJK SC"/>
        <family val="2"/>
      </rPr>
      <t xml:space="preserve">檔 與 </t>
    </r>
    <r>
      <rPr>
        <sz val="9"/>
        <color rgb="FF595959"/>
        <rFont val="Arial"/>
        <family val="0"/>
        <charset val="1"/>
      </rPr>
      <t xml:space="preserve">32K–128K </t>
    </r>
    <r>
      <rPr>
        <sz val="9"/>
        <color rgb="FF595959"/>
        <rFont val="Noto Sans CJK SC"/>
        <family val="2"/>
      </rPr>
      <t xml:space="preserve">檔混合）；</t>
    </r>
    <r>
      <rPr>
        <sz val="9"/>
        <color rgb="FF595959"/>
        <rFont val="Arial"/>
        <family val="0"/>
        <charset val="1"/>
      </rPr>
      <t xml:space="preserve">2H26</t>
    </r>
    <r>
      <rPr>
        <sz val="9"/>
        <color rgb="FF595959"/>
        <rFont val="Noto Sans CJK SC"/>
        <family val="2"/>
      </rPr>
      <t xml:space="preserve">：</t>
    </r>
    <r>
      <rPr>
        <sz val="9"/>
        <color rgb="FF595959"/>
        <rFont val="Arial"/>
        <family val="0"/>
        <charset val="1"/>
      </rPr>
      <t xml:space="preserve">GLM-4.5-Air </t>
    </r>
    <r>
      <rPr>
        <sz val="9"/>
        <color rgb="FF595959"/>
        <rFont val="Noto Sans CJK SC"/>
        <family val="2"/>
      </rPr>
      <t xml:space="preserve">與 </t>
    </r>
    <r>
      <rPr>
        <sz val="9"/>
        <color rgb="FF595959"/>
        <rFont val="Arial"/>
        <family val="0"/>
        <charset val="1"/>
      </rPr>
      <t xml:space="preserve">GLM-5.3-Flash</t>
    </r>
    <r>
      <rPr>
        <sz val="9"/>
        <color rgb="FF595959"/>
        <rFont val="Noto Sans CJK SC"/>
        <family val="2"/>
      </rPr>
      <t xml:space="preserve">（</t>
    </r>
    <r>
      <rPr>
        <sz val="9"/>
        <color rgb="FF595959"/>
        <rFont val="Arial"/>
        <family val="0"/>
        <charset val="1"/>
      </rPr>
      <t xml:space="preserve">08-26 </t>
    </r>
    <r>
      <rPr>
        <sz val="9"/>
        <color rgb="FF595959"/>
        <rFont val="Noto Sans CJK SC"/>
        <family val="2"/>
      </rPr>
      <t xml:space="preserve">起）期間加權；</t>
    </r>
    <r>
      <rPr>
        <sz val="9"/>
        <color rgb="FF595959"/>
        <rFont val="Arial"/>
        <family val="0"/>
        <charset val="1"/>
      </rPr>
      <t xml:space="preserve">2027 </t>
    </r>
    <r>
      <rPr>
        <sz val="9"/>
        <color rgb="FF595959"/>
        <rFont val="Noto Sans CJK SC"/>
        <family val="2"/>
      </rPr>
      <t xml:space="preserve">起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＋年變動率）</t>
    </r>
  </si>
  <si>
    <t xml:space="preserve">R09</t>
  </si>
  <si>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Air</t>
    </r>
    <r>
      <rPr>
        <sz val="10"/>
        <color rgb="FF000000"/>
        <rFont val="Noto Sans CJK SC"/>
        <family val="2"/>
      </rPr>
      <t xml:space="preserve">／</t>
    </r>
    <r>
      <rPr>
        <sz val="10"/>
        <color rgb="FF000000"/>
        <rFont val="Arial"/>
        <family val="0"/>
        <charset val="1"/>
      </rPr>
      <t xml:space="preserve">Flash</t>
    </r>
    <r>
      <rPr>
        <sz val="10"/>
        <color rgb="FF000000"/>
        <rFont val="Noto Sans CJK SC"/>
        <family val="2"/>
      </rPr>
      <t xml:space="preserve">） 快取命中輸入牌價</t>
    </r>
  </si>
  <si>
    <t xml:space="preserve">R10</t>
  </si>
  <si>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Air</t>
    </r>
    <r>
      <rPr>
        <sz val="10"/>
        <color rgb="FF000000"/>
        <rFont val="Noto Sans CJK SC"/>
        <family val="2"/>
      </rPr>
      <t xml:space="preserve">／</t>
    </r>
    <r>
      <rPr>
        <sz val="10"/>
        <color rgb="FF000000"/>
        <rFont val="Arial"/>
        <family val="0"/>
        <charset val="1"/>
      </rPr>
      <t xml:space="preserve">Flash</t>
    </r>
    <r>
      <rPr>
        <sz val="10"/>
        <color rgb="FF000000"/>
        <rFont val="Noto Sans CJK SC"/>
        <family val="2"/>
      </rPr>
      <t xml:space="preserve">） 輸出牌價</t>
    </r>
  </si>
  <si>
    <r>
      <rPr>
        <b val="true"/>
        <sz val="10"/>
        <rFont val="Noto Sans CJK SC"/>
        <family val="2"/>
      </rPr>
      <t xml:space="preserve">三、有效單價（元／百萬 </t>
    </r>
    <r>
      <rPr>
        <b val="true"/>
        <sz val="10"/>
        <rFont val="Arial"/>
        <family val="0"/>
        <charset val="1"/>
      </rPr>
      <t xml:space="preserve">token</t>
    </r>
    <r>
      <rPr>
        <b val="true"/>
        <sz val="10"/>
        <rFont val="Noto Sans CJK SC"/>
        <family val="2"/>
      </rPr>
      <t xml:space="preserve">；含快取、輸出占比、折扣與免費額度）</t>
    </r>
  </si>
  <si>
    <t xml:space="preserve">R11</t>
  </si>
  <si>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GLM </t>
    </r>
    <r>
      <rPr>
        <sz val="10"/>
        <color rgb="FF000000"/>
        <rFont val="Noto Sans CJK SC"/>
        <family val="2"/>
      </rPr>
      <t xml:space="preserve">旗艦） 有效單價</t>
    </r>
  </si>
  <si>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輸出占比</t>
    </r>
    <r>
      <rPr>
        <sz val="9"/>
        <color rgb="FF595959"/>
        <rFont val="Arial"/>
        <family val="0"/>
        <charset val="1"/>
      </rPr>
      <t xml:space="preserve">)×(</t>
    </r>
    <r>
      <rPr>
        <sz val="9"/>
        <color rgb="FF595959"/>
        <rFont val="Noto Sans CJK SC"/>
        <family val="2"/>
      </rPr>
      <t xml:space="preserve">快取命中</t>
    </r>
    <r>
      <rPr>
        <sz val="9"/>
        <color rgb="FF595959"/>
        <rFont val="Arial"/>
        <family val="0"/>
        <charset val="1"/>
      </rPr>
      <t xml:space="preserve">×</t>
    </r>
    <r>
      <rPr>
        <sz val="9"/>
        <color rgb="FF595959"/>
        <rFont val="Noto Sans CJK SC"/>
        <family val="2"/>
      </rPr>
      <t xml:space="preserve">快取價＋</t>
    </r>
    <r>
      <rPr>
        <sz val="9"/>
        <color rgb="FF595959"/>
        <rFont val="Arial"/>
        <family val="0"/>
        <charset val="1"/>
      </rPr>
      <t xml:space="preserve">(1−</t>
    </r>
    <r>
      <rPr>
        <sz val="9"/>
        <color rgb="FF595959"/>
        <rFont val="Noto Sans CJK SC"/>
        <family val="2"/>
      </rPr>
      <t xml:space="preserve">快取命中</t>
    </r>
    <r>
      <rPr>
        <sz val="9"/>
        <color rgb="FF595959"/>
        <rFont val="Arial"/>
        <family val="0"/>
        <charset val="1"/>
      </rPr>
      <t xml:space="preserve">)×</t>
    </r>
    <r>
      <rPr>
        <sz val="9"/>
        <color rgb="FF595959"/>
        <rFont val="Noto Sans CJK SC"/>
        <family val="2"/>
      </rPr>
      <t xml:space="preserve">輸入價</t>
    </r>
    <r>
      <rPr>
        <sz val="9"/>
        <color rgb="FF595959"/>
        <rFont val="Arial"/>
        <family val="0"/>
        <charset val="1"/>
      </rPr>
      <t xml:space="preserve">)</t>
    </r>
    <r>
      <rPr>
        <sz val="9"/>
        <color rgb="FF595959"/>
        <rFont val="Noto Sans CJK SC"/>
        <family val="2"/>
      </rPr>
      <t xml:space="preserve">＋輸出占比</t>
    </r>
    <r>
      <rPr>
        <sz val="9"/>
        <color rgb="FF595959"/>
        <rFont val="Arial"/>
        <family val="0"/>
        <charset val="1"/>
      </rPr>
      <t xml:space="preserve">×</t>
    </r>
    <r>
      <rPr>
        <sz val="9"/>
        <color rgb="FF595959"/>
        <rFont val="Noto Sans CJK SC"/>
        <family val="2"/>
      </rPr>
      <t xml:space="preserve">輸出價］</t>
    </r>
    <r>
      <rPr>
        <sz val="9"/>
        <color rgb="FF595959"/>
        <rFont val="Arial"/>
        <family val="0"/>
        <charset val="1"/>
      </rPr>
      <t xml:space="preserve">×(1−</t>
    </r>
    <r>
      <rPr>
        <sz val="9"/>
        <color rgb="FF595959"/>
        <rFont val="Noto Sans CJK SC"/>
        <family val="2"/>
      </rPr>
      <t xml:space="preserve">折扣與免費額度</t>
    </r>
    <r>
      <rPr>
        <sz val="9"/>
        <color rgb="FF595959"/>
        <rFont val="Arial"/>
        <family val="0"/>
        <charset val="1"/>
      </rPr>
      <t xml:space="preserve">)</t>
    </r>
  </si>
  <si>
    <t xml:space="preserve">R12</t>
  </si>
  <si>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Air</t>
    </r>
    <r>
      <rPr>
        <sz val="10"/>
        <color rgb="FF000000"/>
        <rFont val="Noto Sans CJK SC"/>
        <family val="2"/>
      </rPr>
      <t xml:space="preserve">／</t>
    </r>
    <r>
      <rPr>
        <sz val="10"/>
        <color rgb="FF000000"/>
        <rFont val="Arial"/>
        <family val="0"/>
        <charset val="1"/>
      </rPr>
      <t xml:space="preserve">Flash</t>
    </r>
    <r>
      <rPr>
        <sz val="10"/>
        <color rgb="FF000000"/>
        <rFont val="Noto Sans CJK SC"/>
        <family val="2"/>
      </rPr>
      <t xml:space="preserve">） 有效單價</t>
    </r>
  </si>
  <si>
    <t xml:space="preserve">R13</t>
  </si>
  <si>
    <r>
      <rPr>
        <sz val="10"/>
        <color rgb="FF000000"/>
        <rFont val="Noto Sans CJK SC"/>
        <family val="2"/>
      </rPr>
      <t xml:space="preserve">付費 </t>
    </r>
    <r>
      <rPr>
        <sz val="10"/>
        <color rgb="FF000000"/>
        <rFont val="Arial"/>
        <family val="0"/>
        <charset val="1"/>
      </rPr>
      <t xml:space="preserve">API token </t>
    </r>
    <r>
      <rPr>
        <sz val="10"/>
        <color rgb="FF000000"/>
        <rFont val="Noto Sans CJK SC"/>
        <family val="2"/>
      </rPr>
      <t xml:space="preserve">組合：</t>
    </r>
    <r>
      <rPr>
        <sz val="10"/>
        <color rgb="FF000000"/>
        <rFont val="Arial"/>
        <family val="0"/>
        <charset val="1"/>
      </rPr>
      <t xml:space="preserve">Sol</t>
    </r>
  </si>
  <si>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2026</t>
    </r>
    <r>
      <rPr>
        <sz val="9"/>
        <color rgb="FF595959"/>
        <rFont val="Noto Sans CJK SC"/>
        <family val="2"/>
      </rPr>
      <t xml:space="preserve">、</t>
    </r>
    <r>
      <rPr>
        <sz val="9"/>
        <color rgb="FF595959"/>
        <rFont val="Arial"/>
        <family val="0"/>
        <charset val="1"/>
      </rPr>
      <t xml:space="preserve">2027 </t>
    </r>
    <r>
      <rPr>
        <sz val="9"/>
        <color rgb="FF595959"/>
        <rFont val="Noto Sans CJK SC"/>
        <family val="2"/>
      </rPr>
      <t xml:space="preserve">起）</t>
    </r>
  </si>
  <si>
    <t xml:space="preserve">R14</t>
  </si>
  <si>
    <r>
      <rPr>
        <sz val="10"/>
        <color rgb="FF000000"/>
        <rFont val="Noto Sans CJK SC"/>
        <family val="2"/>
      </rPr>
      <t xml:space="preserve">付費 </t>
    </r>
    <r>
      <rPr>
        <sz val="10"/>
        <color rgb="FF000000"/>
        <rFont val="Arial"/>
        <family val="0"/>
        <charset val="1"/>
      </rPr>
      <t xml:space="preserve">API token </t>
    </r>
    <r>
      <rPr>
        <sz val="10"/>
        <color rgb="FF000000"/>
        <rFont val="Noto Sans CJK SC"/>
        <family val="2"/>
      </rPr>
      <t xml:space="preserve">組合：</t>
    </r>
    <r>
      <rPr>
        <sz val="10"/>
        <color rgb="FF000000"/>
        <rFont val="Arial"/>
        <family val="0"/>
        <charset val="1"/>
      </rPr>
      <t xml:space="preserve">Luna</t>
    </r>
  </si>
  <si>
    <r>
      <rPr>
        <sz val="9"/>
        <color rgb="FF595959"/>
        <rFont val="Noto Sans CJK SC"/>
        <family val="2"/>
      </rPr>
      <t xml:space="preserve">＝</t>
    </r>
    <r>
      <rPr>
        <sz val="9"/>
        <color rgb="FF595959"/>
        <rFont val="Arial"/>
        <family val="0"/>
        <charset val="1"/>
      </rPr>
      <t xml:space="preserve">1 − Sol</t>
    </r>
    <r>
      <rPr>
        <sz val="9"/>
        <color rgb="FF595959"/>
        <rFont val="Noto Sans CJK SC"/>
        <family val="2"/>
      </rPr>
      <t xml:space="preserve">（</t>
    </r>
    <r>
      <rPr>
        <sz val="9"/>
        <color rgb="FF595959"/>
        <rFont val="Arial"/>
        <family val="0"/>
        <charset val="1"/>
      </rPr>
      <t xml:space="preserve">D24</t>
    </r>
    <r>
      <rPr>
        <sz val="9"/>
        <color rgb="FF595959"/>
        <rFont val="Noto Sans CJK SC"/>
        <family val="2"/>
      </rPr>
      <t xml:space="preserve">：無 </t>
    </r>
    <r>
      <rPr>
        <sz val="9"/>
        <color rgb="FF595959"/>
        <rFont val="Arial"/>
        <family val="0"/>
        <charset val="1"/>
      </rPr>
      <t xml:space="preserve">Astra </t>
    </r>
    <r>
      <rPr>
        <sz val="9"/>
        <color rgb="FF595959"/>
        <rFont val="Noto Sans CJK SC"/>
        <family val="2"/>
      </rPr>
      <t xml:space="preserve">級）</t>
    </r>
  </si>
  <si>
    <t xml:space="preserve">R15</t>
  </si>
  <si>
    <t xml:space="preserve">組合有效單價</t>
  </si>
  <si>
    <r>
      <rPr>
        <sz val="9"/>
        <color rgb="FF595959"/>
        <rFont val="Arial"/>
        <family val="0"/>
        <charset val="1"/>
      </rPr>
      <t xml:space="preserve">Σ </t>
    </r>
    <r>
      <rPr>
        <sz val="9"/>
        <color rgb="FF595959"/>
        <rFont val="Noto Sans CJK SC"/>
        <family val="2"/>
      </rPr>
      <t xml:space="preserve">層級組合 </t>
    </r>
    <r>
      <rPr>
        <sz val="9"/>
        <color rgb="FF595959"/>
        <rFont val="Arial"/>
        <family val="0"/>
        <charset val="1"/>
      </rPr>
      <t xml:space="preserve">× </t>
    </r>
    <r>
      <rPr>
        <sz val="9"/>
        <color rgb="FF595959"/>
        <rFont val="Noto Sans CJK SC"/>
        <family val="2"/>
      </rPr>
      <t xml:space="preserve">有效單價；</t>
    </r>
    <r>
      <rPr>
        <sz val="9"/>
        <color rgb="FF595959"/>
        <rFont val="Arial"/>
        <family val="0"/>
        <charset val="1"/>
      </rPr>
      <t xml:space="preserve">2026 </t>
    </r>
    <r>
      <rPr>
        <sz val="9"/>
        <color rgb="FF595959"/>
        <rFont val="Noto Sans CJK SC"/>
        <family val="2"/>
      </rPr>
      <t xml:space="preserve">欄＝全年按量計費營收 </t>
    </r>
    <r>
      <rPr>
        <sz val="9"/>
        <color rgb="FF595959"/>
        <rFont val="Arial"/>
        <family val="0"/>
        <charset val="1"/>
      </rPr>
      <t xml:space="preserve">÷ </t>
    </r>
    <r>
      <rPr>
        <sz val="9"/>
        <color rgb="FF595959"/>
        <rFont val="Noto Sans CJK SC"/>
        <family val="2"/>
      </rPr>
      <t xml:space="preserve">全年 </t>
    </r>
    <r>
      <rPr>
        <sz val="9"/>
        <color rgb="FF595959"/>
        <rFont val="Arial"/>
        <family val="0"/>
        <charset val="1"/>
      </rPr>
      <t xml:space="preserve">token</t>
    </r>
    <r>
      <rPr>
        <sz val="9"/>
        <color rgb="FF595959"/>
        <rFont val="Noto Sans CJK SC"/>
        <family val="2"/>
      </rPr>
      <t xml:space="preserve">（</t>
    </r>
    <r>
      <rPr>
        <sz val="9"/>
        <color rgb="FF595959"/>
        <rFont val="Arial"/>
        <family val="0"/>
        <charset val="1"/>
      </rPr>
      <t xml:space="preserve">token </t>
    </r>
    <r>
      <rPr>
        <sz val="9"/>
        <color rgb="FF595959"/>
        <rFont val="Noto Sans CJK SC"/>
        <family val="2"/>
      </rPr>
      <t xml:space="preserve">加權）</t>
    </r>
  </si>
  <si>
    <r>
      <rPr>
        <b val="true"/>
        <sz val="10"/>
        <rFont val="Noto Sans CJK SC"/>
        <family val="2"/>
      </rPr>
      <t xml:space="preserve">四、</t>
    </r>
    <r>
      <rPr>
        <b val="true"/>
        <sz val="10"/>
        <rFont val="Arial"/>
        <family val="0"/>
        <charset val="1"/>
      </rPr>
      <t xml:space="preserve">GLM Coding Plan </t>
    </r>
    <r>
      <rPr>
        <b val="true"/>
        <sz val="10"/>
        <rFont val="Noto Sans CJK SC"/>
        <family val="2"/>
      </rPr>
      <t xml:space="preserve">方案價格（元／月／訂閱者）</t>
    </r>
  </si>
  <si>
    <t xml:space="preserve">R16</t>
  </si>
  <si>
    <r>
      <rPr>
        <sz val="10"/>
        <color rgb="FF000000"/>
        <rFont val="Arial"/>
        <family val="0"/>
        <charset val="1"/>
      </rPr>
      <t xml:space="preserve">Lite </t>
    </r>
    <r>
      <rPr>
        <sz val="10"/>
        <color rgb="FF000000"/>
        <rFont val="Noto Sans CJK SC"/>
        <family val="2"/>
      </rPr>
      <t xml:space="preserve">國內月付牌價</t>
    </r>
  </si>
  <si>
    <t xml:space="preserve">元／月</t>
  </si>
  <si>
    <r>
      <rPr>
        <sz val="9"/>
        <color rgb="FF595959"/>
        <rFont val="Arial"/>
        <family val="0"/>
        <charset val="1"/>
      </rPr>
      <t xml:space="preserve">2026-02-12 </t>
    </r>
    <r>
      <rPr>
        <sz val="9"/>
        <color rgb="FF595959"/>
        <rFont val="Noto Sans CJK SC"/>
        <family val="2"/>
      </rPr>
      <t xml:space="preserve">漲價後（</t>
    </r>
    <r>
      <rPr>
        <sz val="9"/>
        <color rgb="FF595959"/>
        <rFont val="Arial"/>
        <family val="0"/>
        <charset val="1"/>
      </rPr>
      <t xml:space="preserve">SRC_ZP_356</t>
    </r>
    <r>
      <rPr>
        <sz val="9"/>
        <color rgb="FF595959"/>
        <rFont val="Noto Sans CJK SC"/>
        <family val="2"/>
      </rPr>
      <t xml:space="preserve">／</t>
    </r>
    <r>
      <rPr>
        <sz val="9"/>
        <color rgb="FF595959"/>
        <rFont val="Arial"/>
        <family val="0"/>
        <charset val="1"/>
      </rPr>
      <t xml:space="preserve">359</t>
    </r>
    <r>
      <rPr>
        <sz val="9"/>
        <color rgb="FF595959"/>
        <rFont val="Noto Sans CJK SC"/>
        <family val="2"/>
      </rPr>
      <t xml:space="preserve">／</t>
    </r>
    <r>
      <rPr>
        <sz val="9"/>
        <color rgb="FF595959"/>
        <rFont val="Arial"/>
        <family val="0"/>
        <charset val="1"/>
      </rPr>
      <t xml:space="preserve">362</t>
    </r>
    <r>
      <rPr>
        <sz val="9"/>
        <color rgb="FF595959"/>
        <rFont val="Noto Sans CJK SC"/>
        <family val="2"/>
      </rPr>
      <t xml:space="preserve">）</t>
    </r>
  </si>
  <si>
    <t xml:space="preserve">R17</t>
  </si>
  <si>
    <r>
      <rPr>
        <sz val="10"/>
        <color rgb="FF000000"/>
        <rFont val="Arial"/>
        <family val="0"/>
        <charset val="1"/>
      </rPr>
      <t xml:space="preserve">Lite </t>
    </r>
    <r>
      <rPr>
        <sz val="10"/>
        <color rgb="FF000000"/>
        <rFont val="Noto Sans CJK SC"/>
        <family val="2"/>
      </rPr>
      <t xml:space="preserve">國際站月價（換人民幣）</t>
    </r>
  </si>
  <si>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2026-02</t>
    </r>
    <r>
      <rPr>
        <sz val="9"/>
        <color rgb="FF595959"/>
        <rFont val="Noto Sans CJK SC"/>
        <family val="2"/>
      </rPr>
      <t xml:space="preserve">～</t>
    </r>
    <r>
      <rPr>
        <sz val="9"/>
        <color rgb="FF595959"/>
        <rFont val="Arial"/>
        <family val="0"/>
        <charset val="1"/>
      </rPr>
      <t xml:space="preserve">07 </t>
    </r>
    <r>
      <rPr>
        <sz val="9"/>
        <color rgb="FF595959"/>
        <rFont val="Noto Sans CJK SC"/>
        <family val="2"/>
      </rPr>
      <t xml:space="preserve">季付價 </t>
    </r>
    <r>
      <rPr>
        <sz val="9"/>
        <color rgb="FF595959"/>
        <rFont val="Arial"/>
        <family val="0"/>
        <charset val="1"/>
      </rPr>
      <t xml:space="preserve">÷ 3</t>
    </r>
    <r>
      <rPr>
        <sz val="9"/>
        <color rgb="FF595959"/>
        <rFont val="Noto Sans CJK SC"/>
        <family val="2"/>
      </rPr>
      <t xml:space="preserve">（</t>
    </r>
    <r>
      <rPr>
        <sz val="9"/>
        <color rgb="FF595959"/>
        <rFont val="Arial"/>
        <family val="0"/>
        <charset val="1"/>
      </rPr>
      <t xml:space="preserve">SRC_ZP_373–375</t>
    </r>
    <r>
      <rPr>
        <sz val="9"/>
        <color rgb="FF595959"/>
        <rFont val="Noto Sans CJK SC"/>
        <family val="2"/>
      </rPr>
      <t xml:space="preserve">）；</t>
    </r>
    <r>
      <rPr>
        <sz val="9"/>
        <color rgb="FF595959"/>
        <rFont val="Arial"/>
        <family val="0"/>
        <charset val="1"/>
      </rPr>
      <t xml:space="preserve">2H26</t>
    </r>
    <r>
      <rPr>
        <sz val="9"/>
        <color rgb="FF595959"/>
        <rFont val="Noto Sans CJK SC"/>
        <family val="2"/>
      </rPr>
      <t xml:space="preserve">：</t>
    </r>
    <r>
      <rPr>
        <sz val="9"/>
        <color rgb="FF595959"/>
        <rFont val="Arial"/>
        <family val="0"/>
        <charset val="1"/>
      </rPr>
      <t xml:space="preserve">2026-07 </t>
    </r>
    <r>
      <rPr>
        <sz val="9"/>
        <color rgb="FF595959"/>
        <rFont val="Noto Sans CJK SC"/>
        <family val="2"/>
      </rPr>
      <t xml:space="preserve">起牌價（</t>
    </r>
    <r>
      <rPr>
        <sz val="9"/>
        <color rgb="FF595959"/>
        <rFont val="Arial"/>
        <family val="0"/>
        <charset val="1"/>
      </rPr>
      <t xml:space="preserve">SRC_ZP_367</t>
    </r>
    <r>
      <rPr>
        <sz val="9"/>
        <color rgb="FF595959"/>
        <rFont val="Noto Sans CJK SC"/>
        <family val="2"/>
      </rPr>
      <t xml:space="preserve">／</t>
    </r>
    <r>
      <rPr>
        <sz val="9"/>
        <color rgb="FF595959"/>
        <rFont val="Arial"/>
        <family val="0"/>
        <charset val="1"/>
      </rPr>
      <t xml:space="preserve">369</t>
    </r>
    <r>
      <rPr>
        <sz val="9"/>
        <color rgb="FF595959"/>
        <rFont val="Noto Sans CJK SC"/>
        <family val="2"/>
      </rPr>
      <t xml:space="preserve">／</t>
    </r>
    <r>
      <rPr>
        <sz val="9"/>
        <color rgb="FF595959"/>
        <rFont val="Arial"/>
        <family val="0"/>
        <charset val="1"/>
      </rPr>
      <t xml:space="preserve">371</t>
    </r>
    <r>
      <rPr>
        <sz val="9"/>
        <color rgb="FF595959"/>
        <rFont val="Noto Sans CJK SC"/>
        <family val="2"/>
      </rPr>
      <t xml:space="preserve">）；</t>
    </r>
    <r>
      <rPr>
        <sz val="9"/>
        <color rgb="FF595959"/>
        <rFont val="Arial"/>
        <family val="0"/>
        <charset val="1"/>
      </rPr>
      <t xml:space="preserve">× USD/CNY</t>
    </r>
  </si>
  <si>
    <t xml:space="preserve">R18</t>
  </si>
  <si>
    <r>
      <rPr>
        <sz val="10"/>
        <color rgb="FF000000"/>
        <rFont val="Arial"/>
        <family val="0"/>
        <charset val="1"/>
      </rPr>
      <t xml:space="preserve">Lite </t>
    </r>
    <r>
      <rPr>
        <sz val="10"/>
        <color rgb="FF000000"/>
        <rFont val="Noto Sans CJK SC"/>
        <family val="2"/>
      </rPr>
      <t xml:space="preserve">有效月價（實收）</t>
    </r>
  </si>
  <si>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國際占比</t>
    </r>
    <r>
      <rPr>
        <sz val="9"/>
        <color rgb="FF595959"/>
        <rFont val="Arial"/>
        <family val="0"/>
        <charset val="1"/>
      </rPr>
      <t xml:space="preserve">)×</t>
    </r>
    <r>
      <rPr>
        <sz val="9"/>
        <color rgb="FF595959"/>
        <rFont val="Noto Sans CJK SC"/>
        <family val="2"/>
      </rPr>
      <t xml:space="preserve">國內＋國際占比</t>
    </r>
    <r>
      <rPr>
        <sz val="9"/>
        <color rgb="FF595959"/>
        <rFont val="Arial"/>
        <family val="0"/>
        <charset val="1"/>
      </rPr>
      <t xml:space="preserve">×</t>
    </r>
    <r>
      <rPr>
        <sz val="9"/>
        <color rgb="FF595959"/>
        <rFont val="Noto Sans CJK SC"/>
        <family val="2"/>
      </rPr>
      <t xml:space="preserve">國際］</t>
    </r>
    <r>
      <rPr>
        <sz val="9"/>
        <color rgb="FF595959"/>
        <rFont val="Arial"/>
        <family val="0"/>
        <charset val="1"/>
      </rPr>
      <t xml:space="preserve">×(1−</t>
    </r>
    <r>
      <rPr>
        <sz val="9"/>
        <color rgb="FF595959"/>
        <rFont val="Noto Sans CJK SC"/>
        <family val="2"/>
      </rPr>
      <t xml:space="preserve">季／年付折扣</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t>
    </r>
    <r>
      <rPr>
        <sz val="9"/>
        <color rgb="FF595959"/>
        <rFont val="Arial"/>
        <family val="0"/>
        <charset val="1"/>
      </rPr>
      <t xml:space="preserve">2026-02 </t>
    </r>
    <r>
      <rPr>
        <sz val="9"/>
        <color rgb="FF595959"/>
        <rFont val="Noto Sans CJK SC"/>
        <family val="2"/>
      </rPr>
      <t xml:space="preserve">漲價 </t>
    </r>
    <r>
      <rPr>
        <sz val="9"/>
        <color rgb="FF595959"/>
        <rFont val="Arial"/>
        <family val="0"/>
        <charset val="1"/>
      </rPr>
      <t xml:space="preserve">30%</t>
    </r>
    <r>
      <rPr>
        <sz val="9"/>
        <color rgb="FF595959"/>
        <rFont val="Noto Sans CJK SC"/>
        <family val="2"/>
      </rPr>
      <t xml:space="preserve">，</t>
    </r>
    <r>
      <rPr>
        <sz val="9"/>
        <color rgb="FF595959"/>
        <rFont val="Arial"/>
        <family val="0"/>
        <charset val="1"/>
      </rPr>
      <t xml:space="preserve">SRC_ZP_350</t>
    </r>
    <r>
      <rPr>
        <sz val="9"/>
        <color rgb="FF595959"/>
        <rFont val="Noto Sans CJK SC"/>
        <family val="2"/>
      </rPr>
      <t xml:space="preserve">）；</t>
    </r>
    <r>
      <rPr>
        <sz val="9"/>
        <color rgb="FF595959"/>
        <rFont val="Arial"/>
        <family val="0"/>
        <charset val="1"/>
      </rPr>
      <t xml:space="preserve">2027 </t>
    </r>
    <r>
      <rPr>
        <sz val="9"/>
        <color rgb="FF595959"/>
        <rFont val="Noto Sans CJK SC"/>
        <family val="2"/>
      </rPr>
      <t xml:space="preserve">起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＋年變動率）</t>
    </r>
  </si>
  <si>
    <t xml:space="preserve">R19</t>
  </si>
  <si>
    <r>
      <rPr>
        <sz val="10"/>
        <color rgb="FF000000"/>
        <rFont val="Arial"/>
        <family val="0"/>
        <charset val="1"/>
      </rPr>
      <t xml:space="preserve">Pro </t>
    </r>
    <r>
      <rPr>
        <sz val="10"/>
        <color rgb="FF000000"/>
        <rFont val="Noto Sans CJK SC"/>
        <family val="2"/>
      </rPr>
      <t xml:space="preserve">國內月付牌價</t>
    </r>
  </si>
  <si>
    <t xml:space="preserve">R20</t>
  </si>
  <si>
    <r>
      <rPr>
        <sz val="10"/>
        <color rgb="FF000000"/>
        <rFont val="Arial"/>
        <family val="0"/>
        <charset val="1"/>
      </rPr>
      <t xml:space="preserve">Pro </t>
    </r>
    <r>
      <rPr>
        <sz val="10"/>
        <color rgb="FF000000"/>
        <rFont val="Noto Sans CJK SC"/>
        <family val="2"/>
      </rPr>
      <t xml:space="preserve">國際站月價（換人民幣）</t>
    </r>
  </si>
  <si>
    <t xml:space="preserve">R21</t>
  </si>
  <si>
    <r>
      <rPr>
        <sz val="10"/>
        <color rgb="FF000000"/>
        <rFont val="Arial"/>
        <family val="0"/>
        <charset val="1"/>
      </rPr>
      <t xml:space="preserve">Pro </t>
    </r>
    <r>
      <rPr>
        <sz val="10"/>
        <color rgb="FF000000"/>
        <rFont val="Noto Sans CJK SC"/>
        <family val="2"/>
      </rPr>
      <t xml:space="preserve">有效月價（實收）</t>
    </r>
  </si>
  <si>
    <t xml:space="preserve">R22</t>
  </si>
  <si>
    <r>
      <rPr>
        <sz val="10"/>
        <color rgb="FF000000"/>
        <rFont val="Arial"/>
        <family val="0"/>
        <charset val="1"/>
      </rPr>
      <t xml:space="preserve">Max </t>
    </r>
    <r>
      <rPr>
        <sz val="10"/>
        <color rgb="FF000000"/>
        <rFont val="Noto Sans CJK SC"/>
        <family val="2"/>
      </rPr>
      <t xml:space="preserve">國內月付牌價</t>
    </r>
  </si>
  <si>
    <t xml:space="preserve">R23</t>
  </si>
  <si>
    <r>
      <rPr>
        <sz val="10"/>
        <color rgb="FF000000"/>
        <rFont val="Arial"/>
        <family val="0"/>
        <charset val="1"/>
      </rPr>
      <t xml:space="preserve">Max </t>
    </r>
    <r>
      <rPr>
        <sz val="10"/>
        <color rgb="FF000000"/>
        <rFont val="Noto Sans CJK SC"/>
        <family val="2"/>
      </rPr>
      <t xml:space="preserve">國際站月價（換人民幣）</t>
    </r>
  </si>
  <si>
    <t xml:space="preserve">R24</t>
  </si>
  <si>
    <r>
      <rPr>
        <sz val="10"/>
        <color rgb="FF000000"/>
        <rFont val="Arial"/>
        <family val="0"/>
        <charset val="1"/>
      </rPr>
      <t xml:space="preserve">Max </t>
    </r>
    <r>
      <rPr>
        <sz val="10"/>
        <color rgb="FF000000"/>
        <rFont val="Noto Sans CJK SC"/>
        <family val="2"/>
      </rPr>
      <t xml:space="preserve">有效月價（實收）</t>
    </r>
  </si>
  <si>
    <t xml:space="preserve">R25</t>
  </si>
  <si>
    <r>
      <rPr>
        <sz val="10"/>
        <color rgb="FF000000"/>
        <rFont val="Noto Sans CJK SC"/>
        <family val="2"/>
      </rPr>
      <t xml:space="preserve">方案組合：</t>
    </r>
    <r>
      <rPr>
        <sz val="10"/>
        <color rgb="FF000000"/>
        <rFont val="Arial"/>
        <family val="0"/>
        <charset val="1"/>
      </rPr>
      <t xml:space="preserve">Lite</t>
    </r>
  </si>
  <si>
    <t xml:space="preserve">R26</t>
  </si>
  <si>
    <r>
      <rPr>
        <sz val="10"/>
        <color rgb="FF000000"/>
        <rFont val="Noto Sans CJK SC"/>
        <family val="2"/>
      </rPr>
      <t xml:space="preserve">方案組合：</t>
    </r>
    <r>
      <rPr>
        <sz val="10"/>
        <color rgb="FF000000"/>
        <rFont val="Arial"/>
        <family val="0"/>
        <charset val="1"/>
      </rPr>
      <t xml:space="preserve">Pro</t>
    </r>
  </si>
  <si>
    <t xml:space="preserve">R27</t>
  </si>
  <si>
    <r>
      <rPr>
        <sz val="10"/>
        <color rgb="FF000000"/>
        <rFont val="Noto Sans CJK SC"/>
        <family val="2"/>
      </rPr>
      <t xml:space="preserve">方案組合：</t>
    </r>
    <r>
      <rPr>
        <sz val="10"/>
        <color rgb="FF000000"/>
        <rFont val="Arial"/>
        <family val="0"/>
        <charset val="1"/>
      </rPr>
      <t xml:space="preserve">Max</t>
    </r>
    <r>
      <rPr>
        <sz val="10"/>
        <color rgb="FF000000"/>
        <rFont val="Noto Sans CJK SC"/>
        <family val="2"/>
      </rPr>
      <t xml:space="preserve">（＝</t>
    </r>
    <r>
      <rPr>
        <sz val="10"/>
        <color rgb="FF000000"/>
        <rFont val="Arial"/>
        <family val="0"/>
        <charset val="1"/>
      </rPr>
      <t xml:space="preserve">1 − Lite − Pro</t>
    </r>
    <r>
      <rPr>
        <sz val="10"/>
        <color rgb="FF000000"/>
        <rFont val="Noto Sans CJK SC"/>
        <family val="2"/>
      </rPr>
      <t xml:space="preserve">）</t>
    </r>
  </si>
  <si>
    <t xml:space="preserve">不另輸入</t>
  </si>
  <si>
    <t xml:space="preserve">R28</t>
  </si>
  <si>
    <t xml:space="preserve">每訂閱者加權有效月價</t>
  </si>
  <si>
    <r>
      <rPr>
        <b val="true"/>
        <sz val="10"/>
        <rFont val="Noto Sans CJK SC"/>
        <family val="2"/>
      </rPr>
      <t xml:space="preserve">五、營收（</t>
    </r>
    <r>
      <rPr>
        <b val="true"/>
        <sz val="10"/>
        <rFont val="Arial"/>
        <family val="0"/>
        <charset val="1"/>
      </rPr>
      <t xml:space="preserve">RMB </t>
    </r>
    <r>
      <rPr>
        <b val="true"/>
        <sz val="10"/>
        <rFont val="Noto Sans CJK SC"/>
        <family val="2"/>
      </rPr>
      <t xml:space="preserve">億）</t>
    </r>
  </si>
  <si>
    <t xml:space="preserve">R29</t>
  </si>
  <si>
    <r>
      <rPr>
        <sz val="10"/>
        <color rgb="FF000000"/>
        <rFont val="Arial"/>
        <family val="0"/>
        <charset val="1"/>
      </rPr>
      <t xml:space="preserve">①-Coding Plan </t>
    </r>
    <r>
      <rPr>
        <sz val="10"/>
        <color rgb="FF000000"/>
        <rFont val="Noto Sans CJK SC"/>
        <family val="2"/>
      </rPr>
      <t xml:space="preserve">子列：</t>
    </r>
    <r>
      <rPr>
        <sz val="10"/>
        <color rgb="FF000000"/>
        <rFont val="Arial"/>
        <family val="0"/>
        <charset val="1"/>
      </rPr>
      <t xml:space="preserve">Lite</t>
    </r>
  </si>
  <si>
    <r>
      <rPr>
        <sz val="9"/>
        <color rgb="FF595959"/>
        <rFont val="Noto Sans CJK SC"/>
        <family val="2"/>
      </rPr>
      <t xml:space="preserve">訂閱者（萬）</t>
    </r>
    <r>
      <rPr>
        <sz val="9"/>
        <color rgb="FF595959"/>
        <rFont val="Arial"/>
        <family val="0"/>
        <charset val="1"/>
      </rPr>
      <t xml:space="preserve">× </t>
    </r>
    <r>
      <rPr>
        <sz val="9"/>
        <color rgb="FF595959"/>
        <rFont val="Noto Sans CJK SC"/>
        <family val="2"/>
      </rPr>
      <t xml:space="preserve">有效月價 </t>
    </r>
    <r>
      <rPr>
        <sz val="9"/>
        <color rgb="FF595959"/>
        <rFont val="Arial"/>
        <family val="0"/>
        <charset val="1"/>
      </rPr>
      <t xml:space="preserve">× </t>
    </r>
    <r>
      <rPr>
        <sz val="9"/>
        <color rgb="FF595959"/>
        <rFont val="Noto Sans CJK SC"/>
        <family val="2"/>
      </rPr>
      <t xml:space="preserve">月數 </t>
    </r>
    <r>
      <rPr>
        <sz val="9"/>
        <color rgb="FF595959"/>
        <rFont val="Arial"/>
        <family val="0"/>
        <charset val="1"/>
      </rPr>
      <t xml:space="preserve">÷ 10,000</t>
    </r>
    <r>
      <rPr>
        <sz val="9"/>
        <color rgb="FF595959"/>
        <rFont val="Noto Sans CJK SC"/>
        <family val="2"/>
      </rPr>
      <t xml:space="preserve">（萬 </t>
    </r>
    <r>
      <rPr>
        <sz val="9"/>
        <color rgb="FF595959"/>
        <rFont val="Arial"/>
        <family val="0"/>
        <charset val="1"/>
      </rPr>
      <t xml:space="preserve">× </t>
    </r>
    <r>
      <rPr>
        <sz val="9"/>
        <color rgb="FF595959"/>
        <rFont val="Noto Sans CJK SC"/>
        <family val="2"/>
      </rPr>
      <t xml:space="preserve">元 → 億）</t>
    </r>
  </si>
  <si>
    <t xml:space="preserve">R30</t>
  </si>
  <si>
    <r>
      <rPr>
        <sz val="10"/>
        <color rgb="FF000000"/>
        <rFont val="Arial"/>
        <family val="0"/>
        <charset val="1"/>
      </rPr>
      <t xml:space="preserve">①-Coding Plan </t>
    </r>
    <r>
      <rPr>
        <sz val="10"/>
        <color rgb="FF000000"/>
        <rFont val="Noto Sans CJK SC"/>
        <family val="2"/>
      </rPr>
      <t xml:space="preserve">子列：</t>
    </r>
    <r>
      <rPr>
        <sz val="10"/>
        <color rgb="FF000000"/>
        <rFont val="Arial"/>
        <family val="0"/>
        <charset val="1"/>
      </rPr>
      <t xml:space="preserve">Pro</t>
    </r>
  </si>
  <si>
    <t xml:space="preserve">R31</t>
  </si>
  <si>
    <r>
      <rPr>
        <sz val="10"/>
        <color rgb="FF000000"/>
        <rFont val="Arial"/>
        <family val="0"/>
        <charset val="1"/>
      </rPr>
      <t xml:space="preserve">①-Coding Plan </t>
    </r>
    <r>
      <rPr>
        <sz val="10"/>
        <color rgb="FF000000"/>
        <rFont val="Noto Sans CJK SC"/>
        <family val="2"/>
      </rPr>
      <t xml:space="preserve">子列：</t>
    </r>
    <r>
      <rPr>
        <sz val="10"/>
        <color rgb="FF000000"/>
        <rFont val="Arial"/>
        <family val="0"/>
        <charset val="1"/>
      </rPr>
      <t xml:space="preserve">Max</t>
    </r>
  </si>
  <si>
    <t xml:space="preserve">R32</t>
  </si>
  <si>
    <r>
      <rPr>
        <sz val="10"/>
        <color rgb="FF000000"/>
        <rFont val="Arial"/>
        <family val="0"/>
        <charset val="1"/>
      </rPr>
      <t xml:space="preserve">①-Coding Plan </t>
    </r>
    <r>
      <rPr>
        <sz val="10"/>
        <color rgb="FF000000"/>
        <rFont val="Noto Sans CJK SC"/>
        <family val="2"/>
      </rPr>
      <t xml:space="preserve">子列合計（訂閱）</t>
    </r>
  </si>
  <si>
    <r>
      <rPr>
        <sz val="9"/>
        <color rgb="FF595959"/>
        <rFont val="Noto Sans CJK SC"/>
        <family val="2"/>
      </rPr>
      <t xml:space="preserve">財報歸入開放平台及 </t>
    </r>
    <r>
      <rPr>
        <sz val="9"/>
        <color rgb="FF595959"/>
        <rFont val="Arial"/>
        <family val="0"/>
        <charset val="1"/>
      </rPr>
      <t xml:space="preserve">API</t>
    </r>
    <r>
      <rPr>
        <sz val="9"/>
        <color rgb="FF595959"/>
        <rFont val="Noto Sans CJK SC"/>
        <family val="2"/>
      </rPr>
      <t xml:space="preserve">（</t>
    </r>
    <r>
      <rPr>
        <sz val="9"/>
        <color rgb="FF595959"/>
        <rFont val="Arial"/>
        <family val="0"/>
        <charset val="1"/>
      </rPr>
      <t xml:space="preserve">D2r</t>
    </r>
    <r>
      <rPr>
        <sz val="9"/>
        <color rgb="FF595959"/>
        <rFont val="Noto Sans CJK SC"/>
        <family val="2"/>
      </rPr>
      <t xml:space="preserve">）；本模型以訂閱者驅動</t>
    </r>
  </si>
  <si>
    <t xml:space="preserve">R33</t>
  </si>
  <si>
    <r>
      <rPr>
        <sz val="10"/>
        <color rgb="FF000000"/>
        <rFont val="Noto Sans CJK SC"/>
        <family val="2"/>
      </rPr>
      <t xml:space="preserve">校準：按量計費營收＝開放平台及 </t>
    </r>
    <r>
      <rPr>
        <sz val="10"/>
        <color rgb="FF000000"/>
        <rFont val="Arial"/>
        <family val="0"/>
        <charset val="1"/>
      </rPr>
      <t xml:space="preserve">API </t>
    </r>
    <r>
      <rPr>
        <sz val="10"/>
        <color rgb="FF000000"/>
        <rFont val="Noto Sans CJK SC"/>
        <family val="2"/>
      </rPr>
      <t xml:space="preserve">實際 − </t>
    </r>
    <r>
      <rPr>
        <sz val="10"/>
        <color rgb="FF000000"/>
        <rFont val="Arial"/>
        <family val="0"/>
        <charset val="1"/>
      </rPr>
      <t xml:space="preserve">Coding Plan </t>
    </r>
    <r>
      <rPr>
        <sz val="10"/>
        <color rgb="FF000000"/>
        <rFont val="Noto Sans CJK SC"/>
        <family val="2"/>
      </rPr>
      <t xml:space="preserve">估計</t>
    </r>
  </si>
  <si>
    <r>
      <rPr>
        <sz val="9"/>
        <color rgb="FF595959"/>
        <rFont val="Arial"/>
        <family val="0"/>
        <charset val="1"/>
      </rPr>
      <t xml:space="preserve">2025</t>
    </r>
    <r>
      <rPr>
        <sz val="9"/>
        <color rgb="FF595959"/>
        <rFont val="Noto Sans CJK SC"/>
        <family val="2"/>
      </rPr>
      <t xml:space="preserve">（年報）、</t>
    </r>
    <r>
      <rPr>
        <sz val="9"/>
        <color rgb="FF595959"/>
        <rFont val="Arial"/>
        <family val="0"/>
        <charset val="1"/>
      </rPr>
      <t xml:space="preserve">1H26</t>
    </r>
    <r>
      <rPr>
        <sz val="9"/>
        <color rgb="FF595959"/>
        <rFont val="Noto Sans CJK SC"/>
        <family val="2"/>
      </rPr>
      <t xml:space="preserve">（中期公告）；按量計費 </t>
    </r>
    <r>
      <rPr>
        <sz val="9"/>
        <color rgb="FF595959"/>
        <rFont val="Arial"/>
        <family val="0"/>
        <charset val="1"/>
      </rPr>
      <t xml:space="preserve">token </t>
    </r>
    <r>
      <rPr>
        <sz val="9"/>
        <color rgb="FF595959"/>
        <rFont val="Noto Sans CJK SC"/>
        <family val="2"/>
      </rPr>
      <t xml:space="preserve">由此倒推（</t>
    </r>
    <r>
      <rPr>
        <sz val="9"/>
        <color rgb="FF595959"/>
        <rFont val="Arial"/>
        <family val="0"/>
        <charset val="1"/>
      </rPr>
      <t xml:space="preserve">D14</t>
    </r>
    <r>
      <rPr>
        <sz val="9"/>
        <color rgb="FF595959"/>
        <rFont val="Noto Sans CJK SC"/>
        <family val="2"/>
      </rPr>
      <t xml:space="preserve">）</t>
    </r>
  </si>
  <si>
    <t xml:space="preserve">R34</t>
  </si>
  <si>
    <r>
      <rPr>
        <sz val="10"/>
        <color rgb="FF000000"/>
        <rFont val="Arial"/>
        <family val="0"/>
        <charset val="1"/>
      </rPr>
      <t xml:space="preserve">①-</t>
    </r>
    <r>
      <rPr>
        <sz val="10"/>
        <color rgb="FF000000"/>
        <rFont val="Noto Sans CJK SC"/>
        <family val="2"/>
      </rPr>
      <t xml:space="preserve">按量計費：</t>
    </r>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GLM </t>
    </r>
    <r>
      <rPr>
        <sz val="10"/>
        <color rgb="FF000000"/>
        <rFont val="Noto Sans CJK SC"/>
        <family val="2"/>
      </rPr>
      <t xml:space="preserve">旗艦）</t>
    </r>
  </si>
  <si>
    <r>
      <rPr>
        <sz val="9"/>
        <color rgb="FF595959"/>
        <rFont val="Arial"/>
        <family val="0"/>
        <charset val="1"/>
      </rPr>
      <t xml:space="preserve">token × </t>
    </r>
    <r>
      <rPr>
        <sz val="9"/>
        <color rgb="FF595959"/>
        <rFont val="Noto Sans CJK SC"/>
        <family val="2"/>
      </rPr>
      <t xml:space="preserve">組合 </t>
    </r>
    <r>
      <rPr>
        <sz val="9"/>
        <color rgb="FF595959"/>
        <rFont val="Arial"/>
        <family val="0"/>
        <charset val="1"/>
      </rPr>
      <t xml:space="preserve">× </t>
    </r>
    <r>
      <rPr>
        <sz val="9"/>
        <color rgb="FF595959"/>
        <rFont val="Noto Sans CJK SC"/>
        <family val="2"/>
      </rPr>
      <t xml:space="preserve">有效單價 </t>
    </r>
    <r>
      <rPr>
        <sz val="9"/>
        <color rgb="FF595959"/>
        <rFont val="Arial"/>
        <family val="0"/>
        <charset val="1"/>
      </rPr>
      <t xml:space="preserve">÷ 100</t>
    </r>
    <r>
      <rPr>
        <sz val="9"/>
        <color rgb="FF595959"/>
        <rFont val="Noto Sans CJK SC"/>
        <family val="2"/>
      </rPr>
      <t xml:space="preserve">（</t>
    </r>
    <r>
      <rPr>
        <sz val="9"/>
        <color rgb="FF595959"/>
        <rFont val="Arial"/>
        <family val="0"/>
        <charset val="1"/>
      </rPr>
      <t xml:space="preserve">T × </t>
    </r>
    <r>
      <rPr>
        <sz val="9"/>
        <color rgb="FF595959"/>
        <rFont val="Noto Sans CJK SC"/>
        <family val="2"/>
      </rPr>
      <t xml:space="preserve">元</t>
    </r>
    <r>
      <rPr>
        <sz val="9"/>
        <color rgb="FF595959"/>
        <rFont val="Arial"/>
        <family val="0"/>
        <charset val="1"/>
      </rPr>
      <t xml:space="preserve">/M → </t>
    </r>
    <r>
      <rPr>
        <sz val="9"/>
        <color rgb="FF595959"/>
        <rFont val="Noto Sans CJK SC"/>
        <family val="2"/>
      </rPr>
      <t xml:space="preserve">億）</t>
    </r>
  </si>
  <si>
    <t xml:space="preserve">R35</t>
  </si>
  <si>
    <r>
      <rPr>
        <sz val="10"/>
        <color rgb="FF000000"/>
        <rFont val="Arial"/>
        <family val="0"/>
        <charset val="1"/>
      </rPr>
      <t xml:space="preserve">①-</t>
    </r>
    <r>
      <rPr>
        <sz val="10"/>
        <color rgb="FF000000"/>
        <rFont val="Noto Sans CJK SC"/>
        <family val="2"/>
      </rPr>
      <t xml:space="preserve">按量計費：</t>
    </r>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Air</t>
    </r>
    <r>
      <rPr>
        <sz val="10"/>
        <color rgb="FF000000"/>
        <rFont val="Noto Sans CJK SC"/>
        <family val="2"/>
      </rPr>
      <t xml:space="preserve">／</t>
    </r>
    <r>
      <rPr>
        <sz val="10"/>
        <color rgb="FF000000"/>
        <rFont val="Arial"/>
        <family val="0"/>
        <charset val="1"/>
      </rPr>
      <t xml:space="preserve">Flash</t>
    </r>
    <r>
      <rPr>
        <sz val="10"/>
        <color rgb="FF000000"/>
        <rFont val="Noto Sans CJK SC"/>
        <family val="2"/>
      </rPr>
      <t xml:space="preserve">）</t>
    </r>
  </si>
  <si>
    <t xml:space="preserve">R36</t>
  </si>
  <si>
    <r>
      <rPr>
        <sz val="10"/>
        <color rgb="FF000000"/>
        <rFont val="Arial"/>
        <family val="0"/>
        <charset val="1"/>
      </rPr>
      <t xml:space="preserve">①-</t>
    </r>
    <r>
      <rPr>
        <sz val="10"/>
        <color rgb="FF000000"/>
        <rFont val="Noto Sans CJK SC"/>
        <family val="2"/>
      </rPr>
      <t xml:space="preserve">按量計費合計</t>
    </r>
  </si>
  <si>
    <t xml:space="preserve">校準期恆等於上方校準列</t>
  </si>
  <si>
    <t xml:space="preserve">R37</t>
  </si>
  <si>
    <r>
      <rPr>
        <sz val="10"/>
        <color rgb="FF000000"/>
        <rFont val="Noto Sans CJK SC"/>
        <family val="2"/>
      </rPr>
      <t xml:space="preserve">①開放平台及 </t>
    </r>
    <r>
      <rPr>
        <sz val="10"/>
        <color rgb="FF000000"/>
        <rFont val="Arial"/>
        <family val="0"/>
        <charset val="1"/>
      </rPr>
      <t xml:space="preserve">API</t>
    </r>
    <r>
      <rPr>
        <sz val="10"/>
        <color rgb="FF000000"/>
        <rFont val="Noto Sans CJK SC"/>
        <family val="2"/>
      </rPr>
      <t xml:space="preserve">（按量計費＋</t>
    </r>
    <r>
      <rPr>
        <sz val="10"/>
        <color rgb="FF000000"/>
        <rFont val="Arial"/>
        <family val="0"/>
        <charset val="1"/>
      </rPr>
      <t xml:space="preserve">Coding Plan</t>
    </r>
    <r>
      <rPr>
        <sz val="10"/>
        <color rgb="FF000000"/>
        <rFont val="Noto Sans CJK SC"/>
        <family val="2"/>
      </rPr>
      <t xml:space="preserve">）</t>
    </r>
  </si>
  <si>
    <r>
      <rPr>
        <sz val="9"/>
        <color rgb="FF595959"/>
        <rFont val="Noto Sans CJK SC"/>
        <family val="2"/>
      </rPr>
      <t xml:space="preserve">＝雲端部署分部（</t>
    </r>
    <r>
      <rPr>
        <sz val="9"/>
        <color rgb="FF595959"/>
        <rFont val="Arial"/>
        <family val="0"/>
        <charset val="1"/>
      </rPr>
      <t xml:space="preserve">D2r</t>
    </r>
    <r>
      <rPr>
        <sz val="9"/>
        <color rgb="FF595959"/>
        <rFont val="Noto Sans CJK SC"/>
        <family val="2"/>
      </rPr>
      <t xml:space="preserve">）</t>
    </r>
  </si>
  <si>
    <t xml:space="preserve">R38</t>
  </si>
  <si>
    <t xml:space="preserve">②企業級智能體</t>
  </si>
  <si>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＝財報；</t>
    </r>
    <r>
      <rPr>
        <sz val="9"/>
        <color rgb="FF595959"/>
        <rFont val="Arial"/>
        <family val="0"/>
        <charset val="1"/>
      </rPr>
      <t xml:space="preserve">2H26</t>
    </r>
    <r>
      <rPr>
        <sz val="9"/>
        <color rgb="FF595959"/>
        <rFont val="Noto Sans CJK SC"/>
        <family val="2"/>
      </rPr>
      <t xml:space="preserve">＝</t>
    </r>
    <r>
      <rPr>
        <sz val="9"/>
        <color rgb="FF595959"/>
        <rFont val="Arial"/>
        <family val="0"/>
        <charset val="1"/>
      </rPr>
      <t xml:space="preserve">2H25</t>
    </r>
    <r>
      <rPr>
        <sz val="9"/>
        <color rgb="FF595959"/>
        <rFont val="Noto Sans CJK SC"/>
        <family val="2"/>
      </rPr>
      <t xml:space="preserve">（</t>
    </r>
    <r>
      <rPr>
        <sz val="9"/>
        <color rgb="FF595959"/>
        <rFont val="Arial"/>
        <family val="0"/>
        <charset val="1"/>
      </rPr>
      <t xml:space="preserve">FY25 − 1H25</t>
    </r>
    <r>
      <rPr>
        <sz val="9"/>
        <color rgb="FF595959"/>
        <rFont val="Noto Sans CJK SC"/>
        <family val="2"/>
      </rPr>
      <t xml:space="preserve">）</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延續係數</t>
    </r>
    <r>
      <rPr>
        <sz val="9"/>
        <color rgb="FF595959"/>
        <rFont val="Arial"/>
        <family val="0"/>
        <charset val="1"/>
      </rPr>
      <t xml:space="preserve">)</t>
    </r>
    <r>
      <rPr>
        <sz val="9"/>
        <color rgb="FF595959"/>
        <rFont val="Noto Sans CJK SC"/>
        <family val="2"/>
      </rPr>
      <t xml:space="preserve">＋延續係數 </t>
    </r>
    <r>
      <rPr>
        <sz val="9"/>
        <color rgb="FF595959"/>
        <rFont val="Arial"/>
        <family val="0"/>
        <charset val="1"/>
      </rPr>
      <t xml:space="preserve">× 1H26 ÷ 1H25</t>
    </r>
    <r>
      <rPr>
        <sz val="9"/>
        <color rgb="FF595959"/>
        <rFont val="Noto Sans CJK SC"/>
        <family val="2"/>
      </rPr>
      <t xml:space="preserve">］（工作單：依 </t>
    </r>
    <r>
      <rPr>
        <sz val="9"/>
        <color rgb="FF595959"/>
        <rFont val="Arial"/>
        <family val="0"/>
        <charset val="1"/>
      </rPr>
      <t xml:space="preserve">1H26 </t>
    </r>
    <r>
      <rPr>
        <sz val="9"/>
        <color rgb="FF595959"/>
        <rFont val="Noto Sans CJK SC"/>
        <family val="2"/>
      </rPr>
      <t xml:space="preserve">實際、各線分開）；</t>
    </r>
    <r>
      <rPr>
        <sz val="9"/>
        <color rgb="FF595959"/>
        <rFont val="Arial"/>
        <family val="0"/>
        <charset val="1"/>
      </rPr>
      <t xml:space="preserve">2027 </t>
    </r>
    <r>
      <rPr>
        <sz val="9"/>
        <color rgb="FF595959"/>
        <rFont val="Noto Sans CJK SC"/>
        <family val="2"/>
      </rPr>
      <t xml:space="preserve">起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＋年增率）</t>
    </r>
  </si>
  <si>
    <t xml:space="preserve">R39</t>
  </si>
  <si>
    <t xml:space="preserve">③企業級通用大模型</t>
  </si>
  <si>
    <t xml:space="preserve">R40</t>
  </si>
  <si>
    <r>
      <rPr>
        <sz val="10"/>
        <color rgb="FF000000"/>
        <rFont val="Noto Sans CJK SC"/>
        <family val="2"/>
      </rPr>
      <t xml:space="preserve">④技術服務及其他（含 </t>
    </r>
    <r>
      <rPr>
        <sz val="10"/>
        <color rgb="FF000000"/>
        <rFont val="Arial"/>
        <family val="0"/>
        <charset val="1"/>
      </rPr>
      <t xml:space="preserve">C </t>
    </r>
    <r>
      <rPr>
        <sz val="10"/>
        <color rgb="FF000000"/>
        <rFont val="Noto Sans CJK SC"/>
        <family val="2"/>
      </rPr>
      <t xml:space="preserve">端）</t>
    </r>
  </si>
  <si>
    <t xml:space="preserve">R41</t>
  </si>
  <si>
    <t xml:space="preserve">本地化部署分部（②＋③＋④；不耗智譜算力）</t>
  </si>
  <si>
    <r>
      <rPr>
        <sz val="9"/>
        <color rgb="FF595959"/>
        <rFont val="Arial"/>
        <family val="0"/>
        <charset val="1"/>
      </rPr>
      <t xml:space="preserve">D4</t>
    </r>
    <r>
      <rPr>
        <sz val="9"/>
        <color rgb="FF595959"/>
        <rFont val="Noto Sans CJK SC"/>
        <family val="2"/>
      </rPr>
      <t xml:space="preserve">：不進 </t>
    </r>
    <r>
      <rPr>
        <sz val="9"/>
        <color rgb="FF595959"/>
        <rFont val="Arial"/>
        <family val="0"/>
        <charset val="1"/>
      </rPr>
      <t xml:space="preserve">Demand</t>
    </r>
    <r>
      <rPr>
        <sz val="9"/>
        <color rgb="FF595959"/>
        <rFont val="Noto Sans CJK SC"/>
        <family val="2"/>
      </rPr>
      <t xml:space="preserve">、不受容量上限截頂</t>
    </r>
  </si>
  <si>
    <t xml:space="preserve">R42</t>
  </si>
  <si>
    <t xml:space="preserve">廣告</t>
  </si>
  <si>
    <r>
      <rPr>
        <sz val="9"/>
        <color rgb="FF595959"/>
        <rFont val="Noto Sans CJK SC"/>
        <family val="2"/>
      </rPr>
      <t xml:space="preserve">規格 </t>
    </r>
    <r>
      <rPr>
        <sz val="9"/>
        <color rgb="FF595959"/>
        <rFont val="Arial"/>
        <family val="0"/>
        <charset val="1"/>
      </rPr>
      <t xml:space="preserve">D3</t>
    </r>
    <r>
      <rPr>
        <sz val="9"/>
        <color rgb="FF595959"/>
        <rFont val="Noto Sans CJK SC"/>
        <family val="2"/>
      </rPr>
      <t xml:space="preserve">：無廣告業務（</t>
    </r>
    <r>
      <rPr>
        <sz val="9"/>
        <color rgb="FF595959"/>
        <rFont val="Arial"/>
        <family val="0"/>
        <charset val="1"/>
      </rPr>
      <t xml:space="preserve">Decision</t>
    </r>
    <r>
      <rPr>
        <sz val="9"/>
        <color rgb="FF595959"/>
        <rFont val="Noto Sans CJK SC"/>
        <family val="2"/>
      </rPr>
      <t xml:space="preserve">＝</t>
    </r>
    <r>
      <rPr>
        <sz val="9"/>
        <color rgb="FF595959"/>
        <rFont val="Arial"/>
        <family val="0"/>
        <charset val="1"/>
      </rPr>
      <t xml:space="preserve">0</t>
    </r>
    <r>
      <rPr>
        <sz val="9"/>
        <color rgb="FF595959"/>
        <rFont val="Noto Sans CJK SC"/>
        <family val="2"/>
      </rPr>
      <t xml:space="preserve">）</t>
    </r>
  </si>
  <si>
    <t xml:space="preserve">R43</t>
  </si>
  <si>
    <t xml:space="preserve">營收總額（①＋本地化＋廣告）</t>
  </si>
  <si>
    <t xml:space="preserve">未截頂</t>
  </si>
  <si>
    <t xml:space="preserve">R44</t>
  </si>
  <si>
    <r>
      <rPr>
        <sz val="10"/>
        <color rgb="FF000000"/>
        <rFont val="Noto Sans CJK SC"/>
        <family val="2"/>
      </rPr>
      <t xml:space="preserve">營收淨額（＝總額；無雲端夥伴分成，</t>
    </r>
    <r>
      <rPr>
        <sz val="10"/>
        <color rgb="FF000000"/>
        <rFont val="Arial"/>
        <family val="0"/>
        <charset val="1"/>
      </rPr>
      <t xml:space="preserve">D5</t>
    </r>
    <r>
      <rPr>
        <sz val="10"/>
        <color rgb="FF000000"/>
        <rFont val="Noto Sans CJK SC"/>
        <family val="2"/>
      </rPr>
      <t xml:space="preserve">）</t>
    </r>
  </si>
  <si>
    <r>
      <rPr>
        <sz val="9"/>
        <color rgb="FF595959"/>
        <rFont val="Arial"/>
        <family val="0"/>
        <charset val="1"/>
      </rPr>
      <t xml:space="preserve">REV_PartnerShare </t>
    </r>
    <r>
      <rPr>
        <sz val="9"/>
        <color rgb="FF595959"/>
        <rFont val="Noto Sans CJK SC"/>
        <family val="2"/>
      </rPr>
      <t xml:space="preserve">不建</t>
    </r>
  </si>
  <si>
    <t xml:space="preserve">R45</t>
  </si>
  <si>
    <t xml:space="preserve">雲端營收（①；跑在智譜算力上）</t>
  </si>
  <si>
    <r>
      <rPr>
        <sz val="9"/>
        <color rgb="FF595959"/>
        <rFont val="Noto Sans CJK SC"/>
        <family val="2"/>
      </rPr>
      <t xml:space="preserve">規格 </t>
    </r>
    <r>
      <rPr>
        <sz val="9"/>
        <color rgb="FF595959"/>
        <rFont val="Arial"/>
        <family val="0"/>
        <charset val="1"/>
      </rPr>
      <t xml:space="preserve">r1</t>
    </r>
    <r>
      <rPr>
        <sz val="9"/>
        <color rgb="FF595959"/>
        <rFont val="Noto Sans CJK SC"/>
        <family val="2"/>
      </rPr>
      <t xml:space="preserve">：②③④屬本地化部署分部；</t>
    </r>
    <r>
      <rPr>
        <sz val="9"/>
        <color rgb="FF595959"/>
        <rFont val="Arial"/>
        <family val="0"/>
        <charset val="1"/>
      </rPr>
      <t xml:space="preserve">C </t>
    </r>
    <r>
      <rPr>
        <sz val="9"/>
        <color rgb="FF595959"/>
        <rFont val="Noto Sans CJK SC"/>
        <family val="2"/>
      </rPr>
      <t xml:space="preserve">端收入在④內</t>
    </r>
  </si>
  <si>
    <t xml:space="preserve">R46</t>
  </si>
  <si>
    <r>
      <rPr>
        <sz val="10"/>
        <color rgb="FF000000"/>
        <rFont val="Noto Sans CJK SC"/>
        <family val="2"/>
      </rPr>
      <t xml:space="preserve">容量上限係數（</t>
    </r>
    <r>
      <rPr>
        <sz val="10"/>
        <color rgb="FF000000"/>
        <rFont val="Arial"/>
        <family val="0"/>
        <charset val="1"/>
      </rPr>
      <t xml:space="preserve">Compute</t>
    </r>
    <r>
      <rPr>
        <sz val="10"/>
        <color rgb="FF000000"/>
        <rFont val="Noto Sans CJK SC"/>
        <family val="2"/>
      </rPr>
      <t xml:space="preserve">）</t>
    </r>
  </si>
  <si>
    <r>
      <rPr>
        <sz val="9"/>
        <color rgb="FF595959"/>
        <rFont val="Arial"/>
        <family val="0"/>
        <charset val="1"/>
      </rPr>
      <t xml:space="preserve">Compute CMP_CapFactor</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＝未受限；</t>
    </r>
    <r>
      <rPr>
        <sz val="9"/>
        <color rgb="FF595959"/>
        <rFont val="Arial"/>
        <family val="0"/>
        <charset val="1"/>
      </rPr>
      <t xml:space="preserve">Z3 </t>
    </r>
    <r>
      <rPr>
        <sz val="9"/>
        <color rgb="FF595959"/>
        <rFont val="Noto Sans CJK SC"/>
        <family val="2"/>
      </rPr>
      <t xml:space="preserve">取代 </t>
    </r>
    <r>
      <rPr>
        <sz val="9"/>
        <color rgb="FF595959"/>
        <rFont val="Arial"/>
        <family val="0"/>
        <charset val="1"/>
      </rPr>
      <t xml:space="preserve">Z2 </t>
    </r>
    <r>
      <rPr>
        <sz val="9"/>
        <color rgb="FF595959"/>
        <rFont val="Noto Sans CJK SC"/>
        <family val="2"/>
      </rPr>
      <t xml:space="preserve">的佔位 </t>
    </r>
    <r>
      <rPr>
        <sz val="9"/>
        <color rgb="FF595959"/>
        <rFont val="Arial"/>
        <family val="0"/>
        <charset val="1"/>
      </rPr>
      <t xml:space="preserve">1</t>
    </r>
    <r>
      <rPr>
        <sz val="9"/>
        <color rgb="FF595959"/>
        <rFont val="Noto Sans CJK SC"/>
        <family val="2"/>
      </rPr>
      <t xml:space="preserve">）；</t>
    </r>
    <r>
      <rPr>
        <sz val="9"/>
        <color rgb="FF595959"/>
        <rFont val="Arial"/>
        <family val="0"/>
        <charset val="1"/>
      </rPr>
      <t xml:space="preserve">2026</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實際不截頂、</t>
    </r>
    <r>
      <rPr>
        <sz val="9"/>
        <color rgb="FF595959"/>
        <rFont val="Arial"/>
        <family val="0"/>
        <charset val="1"/>
      </rPr>
      <t xml:space="preserve">2H26 </t>
    </r>
    <r>
      <rPr>
        <sz val="9"/>
        <color rgb="FF595959"/>
        <rFont val="Noto Sans CJK SC"/>
        <family val="2"/>
      </rPr>
      <t xml:space="preserve">依 </t>
    </r>
    <r>
      <rPr>
        <sz val="9"/>
        <color rgb="FF595959"/>
        <rFont val="Arial"/>
        <family val="0"/>
        <charset val="1"/>
      </rPr>
      <t xml:space="preserve">Compute </t>
    </r>
    <r>
      <rPr>
        <sz val="9"/>
        <color rgb="FF595959"/>
        <rFont val="Noto Sans CJK SC"/>
        <family val="2"/>
      </rPr>
      <t xml:space="preserve">係數，以雲端營收加權</t>
    </r>
  </si>
  <si>
    <t xml:space="preserve">R47</t>
  </si>
  <si>
    <r>
      <rPr>
        <sz val="10"/>
        <color rgb="FF000000"/>
        <rFont val="Noto Sans CJK SC"/>
        <family val="2"/>
      </rPr>
      <t xml:space="preserve">營收總額（截頂後）＝雲端 </t>
    </r>
    <r>
      <rPr>
        <sz val="10"/>
        <color rgb="FF000000"/>
        <rFont val="Arial"/>
        <family val="0"/>
        <charset val="1"/>
      </rPr>
      <t xml:space="preserve">× </t>
    </r>
    <r>
      <rPr>
        <sz val="10"/>
        <color rgb="FF000000"/>
        <rFont val="Noto Sans CJK SC"/>
        <family val="2"/>
      </rPr>
      <t xml:space="preserve">係數＋本地化＋廣告</t>
    </r>
  </si>
  <si>
    <r>
      <rPr>
        <sz val="9"/>
        <color rgb="FF595959"/>
        <rFont val="Noto Sans CJK SC"/>
        <family val="2"/>
      </rPr>
      <t xml:space="preserve">容量上限只回乘雲端營收（工作單 </t>
    </r>
    <r>
      <rPr>
        <sz val="9"/>
        <color rgb="FF595959"/>
        <rFont val="Arial"/>
        <family val="0"/>
        <charset val="1"/>
      </rPr>
      <t xml:space="preserve">Z2 </t>
    </r>
    <r>
      <rPr>
        <sz val="9"/>
        <color rgb="FF595959"/>
        <rFont val="Noto Sans CJK SC"/>
        <family val="2"/>
      </rPr>
      <t xml:space="preserve">第 </t>
    </r>
    <r>
      <rPr>
        <sz val="9"/>
        <color rgb="FF595959"/>
        <rFont val="Arial"/>
        <family val="0"/>
        <charset val="1"/>
      </rPr>
      <t xml:space="preserve">5 </t>
    </r>
    <r>
      <rPr>
        <sz val="9"/>
        <color rgb="FF595959"/>
        <rFont val="Noto Sans CJK SC"/>
        <family val="2"/>
      </rPr>
      <t xml:space="preserve">步）</t>
    </r>
  </si>
  <si>
    <t xml:space="preserve">R48</t>
  </si>
  <si>
    <t xml:space="preserve">營收淨額（截頂後）</t>
  </si>
  <si>
    <t xml:space="preserve">R49</t>
  </si>
  <si>
    <t xml:space="preserve">企業（按量計費＋本地化部署）</t>
  </si>
  <si>
    <r>
      <rPr>
        <sz val="9"/>
        <color rgb="FF595959"/>
        <rFont val="Arial"/>
        <family val="0"/>
        <charset val="1"/>
      </rPr>
      <t xml:space="preserve">D2</t>
    </r>
    <r>
      <rPr>
        <sz val="9"/>
        <color rgb="FF595959"/>
        <rFont val="Noto Sans CJK SC"/>
        <family val="2"/>
      </rPr>
      <t xml:space="preserve">：企業 </t>
    </r>
    <r>
      <rPr>
        <sz val="9"/>
        <color rgb="FF595959"/>
        <rFont val="Arial"/>
        <family val="0"/>
        <charset val="1"/>
      </rPr>
      <t xml:space="preserve">vs </t>
    </r>
    <r>
      <rPr>
        <sz val="9"/>
        <color rgb="FF595959"/>
        <rFont val="Noto Sans CJK SC"/>
        <family val="2"/>
      </rPr>
      <t xml:space="preserve">個人；按量計費以企業與開發者為主，歸企業</t>
    </r>
  </si>
  <si>
    <t xml:space="preserve">R50</t>
  </si>
  <si>
    <r>
      <rPr>
        <sz val="10"/>
        <color rgb="FF000000"/>
        <rFont val="Noto Sans CJK SC"/>
        <family val="2"/>
      </rPr>
      <t xml:space="preserve">個人（</t>
    </r>
    <r>
      <rPr>
        <sz val="10"/>
        <color rgb="FF000000"/>
        <rFont val="Arial"/>
        <family val="0"/>
        <charset val="1"/>
      </rPr>
      <t xml:space="preserve">Coding Plan </t>
    </r>
    <r>
      <rPr>
        <sz val="10"/>
        <color rgb="FF000000"/>
        <rFont val="Noto Sans CJK SC"/>
        <family val="2"/>
      </rPr>
      <t xml:space="preserve">訂閱）</t>
    </r>
  </si>
  <si>
    <r>
      <rPr>
        <sz val="9"/>
        <color rgb="FF595959"/>
        <rFont val="Arial"/>
        <family val="0"/>
        <charset val="1"/>
      </rPr>
      <t xml:space="preserve">Coding Plan </t>
    </r>
    <r>
      <rPr>
        <sz val="9"/>
        <color rgb="FF595959"/>
        <rFont val="Noto Sans CJK SC"/>
        <family val="2"/>
      </rPr>
      <t xml:space="preserve">以個人開發者為主；</t>
    </r>
    <r>
      <rPr>
        <sz val="9"/>
        <color rgb="FF595959"/>
        <rFont val="Arial"/>
        <family val="0"/>
        <charset val="1"/>
      </rPr>
      <t xml:space="preserve">C </t>
    </r>
    <r>
      <rPr>
        <sz val="9"/>
        <color rgb="FF595959"/>
        <rFont val="Noto Sans CJK SC"/>
        <family val="2"/>
      </rPr>
      <t xml:space="preserve">端清言收入在④內未拆，歸企業列（資料缺口）</t>
    </r>
  </si>
  <si>
    <t xml:space="preserve">R51</t>
  </si>
  <si>
    <r>
      <rPr>
        <sz val="10"/>
        <color rgb="FF000000"/>
        <rFont val="Noto Sans CJK SC"/>
        <family val="2"/>
      </rPr>
      <t xml:space="preserve">檢查：企業＋個人＋廣告 − 總額（應為 </t>
    </r>
    <r>
      <rPr>
        <sz val="10"/>
        <color rgb="FF000000"/>
        <rFont val="Arial"/>
        <family val="0"/>
        <charset val="1"/>
      </rPr>
      <t xml:space="preserve">0</t>
    </r>
    <r>
      <rPr>
        <sz val="10"/>
        <color rgb="FF000000"/>
        <rFont val="Noto Sans CJK SC"/>
        <family val="2"/>
      </rPr>
      <t xml:space="preserve">）</t>
    </r>
  </si>
  <si>
    <t xml:space="preserve">R52</t>
  </si>
  <si>
    <t xml:space="preserve">雲端占總額</t>
  </si>
  <si>
    <r>
      <rPr>
        <sz val="9"/>
        <color rgb="FF595959"/>
        <rFont val="Arial"/>
        <family val="0"/>
        <charset val="1"/>
      </rPr>
      <t xml:space="preserve">2025 </t>
    </r>
    <r>
      <rPr>
        <sz val="9"/>
        <color rgb="FF595959"/>
        <rFont val="Noto Sans CJK SC"/>
        <family val="2"/>
      </rPr>
      <t xml:space="preserve">約 </t>
    </r>
    <r>
      <rPr>
        <sz val="9"/>
        <color rgb="FF595959"/>
        <rFont val="Arial"/>
        <family val="0"/>
        <charset val="1"/>
      </rPr>
      <t xml:space="preserve">26%</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約 </t>
    </r>
    <r>
      <rPr>
        <sz val="9"/>
        <color rgb="FF595959"/>
        <rFont val="Arial"/>
        <family val="0"/>
        <charset val="1"/>
      </rPr>
      <t xml:space="preserve">87%</t>
    </r>
    <r>
      <rPr>
        <sz val="9"/>
        <color rgb="FF595959"/>
        <rFont val="Noto Sans CJK SC"/>
        <family val="2"/>
      </rPr>
      <t xml:space="preserve">（財報）</t>
    </r>
  </si>
  <si>
    <t xml:space="preserve">R53</t>
  </si>
  <si>
    <t xml:space="preserve">總額年增率</t>
  </si>
  <si>
    <r>
      <rPr>
        <b val="true"/>
        <sz val="10"/>
        <rFont val="Noto Sans CJK SC"/>
        <family val="2"/>
      </rPr>
      <t xml:space="preserve">六、校準差距（應為 </t>
    </r>
    <r>
      <rPr>
        <b val="true"/>
        <sz val="10"/>
        <rFont val="Arial"/>
        <family val="0"/>
        <charset val="1"/>
      </rPr>
      <t xml:space="preserve">0</t>
    </r>
    <r>
      <rPr>
        <b val="true"/>
        <sz val="10"/>
        <rFont val="Noto Sans CJK SC"/>
        <family val="2"/>
      </rPr>
      <t xml:space="preserve">）與對照（公司說法、</t>
    </r>
    <r>
      <rPr>
        <b val="true"/>
        <sz val="10"/>
        <rFont val="Arial"/>
        <family val="0"/>
        <charset val="1"/>
      </rPr>
      <t xml:space="preserve">TK</t>
    </r>
    <r>
      <rPr>
        <b val="true"/>
        <sz val="10"/>
        <rFont val="Noto Sans CJK SC"/>
        <family val="2"/>
      </rPr>
      <t xml:space="preserve">、未校準值；只列差距，不反推）</t>
    </r>
  </si>
  <si>
    <t xml:space="preserve">R54</t>
  </si>
  <si>
    <r>
      <rPr>
        <sz val="10"/>
        <color rgb="FF000000"/>
        <rFont val="Arial"/>
        <family val="0"/>
        <charset val="1"/>
      </rPr>
      <t xml:space="preserve">2025 </t>
    </r>
    <r>
      <rPr>
        <sz val="10"/>
        <color rgb="FF000000"/>
        <rFont val="Noto Sans CJK SC"/>
        <family val="2"/>
      </rPr>
      <t xml:space="preserve">校準差距：①開放平台及 </t>
    </r>
    <r>
      <rPr>
        <sz val="10"/>
        <color rgb="FF000000"/>
        <rFont val="Arial"/>
        <family val="0"/>
        <charset val="1"/>
      </rPr>
      <t xml:space="preserve">API</t>
    </r>
    <r>
      <rPr>
        <sz val="10"/>
        <color rgb="FF000000"/>
        <rFont val="Noto Sans CJK SC"/>
        <family val="2"/>
      </rPr>
      <t xml:space="preserve">（模型 − 年報）</t>
    </r>
  </si>
  <si>
    <t xml:space="preserve">R55</t>
  </si>
  <si>
    <r>
      <rPr>
        <sz val="10"/>
        <color rgb="FF000000"/>
        <rFont val="Arial"/>
        <family val="0"/>
        <charset val="1"/>
      </rPr>
      <t xml:space="preserve">1H26 </t>
    </r>
    <r>
      <rPr>
        <sz val="10"/>
        <color rgb="FF000000"/>
        <rFont val="Noto Sans CJK SC"/>
        <family val="2"/>
      </rPr>
      <t xml:space="preserve">校準差距：①開放平台及 </t>
    </r>
    <r>
      <rPr>
        <sz val="10"/>
        <color rgb="FF000000"/>
        <rFont val="Arial"/>
        <family val="0"/>
        <charset val="1"/>
      </rPr>
      <t xml:space="preserve">API</t>
    </r>
    <r>
      <rPr>
        <sz val="10"/>
        <color rgb="FF000000"/>
        <rFont val="Noto Sans CJK SC"/>
        <family val="2"/>
      </rPr>
      <t xml:space="preserve">（模型 − 中期公告）</t>
    </r>
  </si>
  <si>
    <t xml:space="preserve">R56</t>
  </si>
  <si>
    <r>
      <rPr>
        <sz val="10"/>
        <color rgb="FF000000"/>
        <rFont val="Arial"/>
        <family val="0"/>
        <charset val="1"/>
      </rPr>
      <t xml:space="preserve">2025 </t>
    </r>
    <r>
      <rPr>
        <sz val="10"/>
        <color rgb="FF000000"/>
        <rFont val="Noto Sans CJK SC"/>
        <family val="2"/>
      </rPr>
      <t xml:space="preserve">校準差距：②企業級智能體（模型 − 年報）</t>
    </r>
  </si>
  <si>
    <t xml:space="preserve">R57</t>
  </si>
  <si>
    <r>
      <rPr>
        <sz val="10"/>
        <color rgb="FF000000"/>
        <rFont val="Arial"/>
        <family val="0"/>
        <charset val="1"/>
      </rPr>
      <t xml:space="preserve">1H26 </t>
    </r>
    <r>
      <rPr>
        <sz val="10"/>
        <color rgb="FF000000"/>
        <rFont val="Noto Sans CJK SC"/>
        <family val="2"/>
      </rPr>
      <t xml:space="preserve">校準差距：②企業級智能體（模型 − 中期公告）</t>
    </r>
  </si>
  <si>
    <t xml:space="preserve">R58</t>
  </si>
  <si>
    <r>
      <rPr>
        <sz val="10"/>
        <color rgb="FF000000"/>
        <rFont val="Arial"/>
        <family val="0"/>
        <charset val="1"/>
      </rPr>
      <t xml:space="preserve">2025 </t>
    </r>
    <r>
      <rPr>
        <sz val="10"/>
        <color rgb="FF000000"/>
        <rFont val="Noto Sans CJK SC"/>
        <family val="2"/>
      </rPr>
      <t xml:space="preserve">校準差距：③企業級通用大模型（模型 − 年報）</t>
    </r>
  </si>
  <si>
    <t xml:space="preserve">R59</t>
  </si>
  <si>
    <r>
      <rPr>
        <sz val="10"/>
        <color rgb="FF000000"/>
        <rFont val="Arial"/>
        <family val="0"/>
        <charset val="1"/>
      </rPr>
      <t xml:space="preserve">1H26 </t>
    </r>
    <r>
      <rPr>
        <sz val="10"/>
        <color rgb="FF000000"/>
        <rFont val="Noto Sans CJK SC"/>
        <family val="2"/>
      </rPr>
      <t xml:space="preserve">校準差距：③企業級通用大模型（模型 − 中期公告）</t>
    </r>
  </si>
  <si>
    <t xml:space="preserve">R60</t>
  </si>
  <si>
    <r>
      <rPr>
        <sz val="10"/>
        <color rgb="FF000000"/>
        <rFont val="Arial"/>
        <family val="0"/>
        <charset val="1"/>
      </rPr>
      <t xml:space="preserve">2025 </t>
    </r>
    <r>
      <rPr>
        <sz val="10"/>
        <color rgb="FF000000"/>
        <rFont val="Noto Sans CJK SC"/>
        <family val="2"/>
      </rPr>
      <t xml:space="preserve">校準差距：④技術服務及其他（含 </t>
    </r>
    <r>
      <rPr>
        <sz val="10"/>
        <color rgb="FF000000"/>
        <rFont val="Arial"/>
        <family val="0"/>
        <charset val="1"/>
      </rPr>
      <t xml:space="preserve">C </t>
    </r>
    <r>
      <rPr>
        <sz val="10"/>
        <color rgb="FF000000"/>
        <rFont val="Noto Sans CJK SC"/>
        <family val="2"/>
      </rPr>
      <t xml:space="preserve">端）（模型 − 年報）</t>
    </r>
  </si>
  <si>
    <t xml:space="preserve">R61</t>
  </si>
  <si>
    <r>
      <rPr>
        <sz val="10"/>
        <color rgb="FF000000"/>
        <rFont val="Arial"/>
        <family val="0"/>
        <charset val="1"/>
      </rPr>
      <t xml:space="preserve">1H26 </t>
    </r>
    <r>
      <rPr>
        <sz val="10"/>
        <color rgb="FF000000"/>
        <rFont val="Noto Sans CJK SC"/>
        <family val="2"/>
      </rPr>
      <t xml:space="preserve">校準差距：④技術服務及其他（含 </t>
    </r>
    <r>
      <rPr>
        <sz val="10"/>
        <color rgb="FF000000"/>
        <rFont val="Arial"/>
        <family val="0"/>
        <charset val="1"/>
      </rPr>
      <t xml:space="preserve">C </t>
    </r>
    <r>
      <rPr>
        <sz val="10"/>
        <color rgb="FF000000"/>
        <rFont val="Noto Sans CJK SC"/>
        <family val="2"/>
      </rPr>
      <t xml:space="preserve">端）（模型 − 中期公告）</t>
    </r>
  </si>
  <si>
    <t xml:space="preserve">R62</t>
  </si>
  <si>
    <r>
      <rPr>
        <sz val="10"/>
        <color rgb="FF000000"/>
        <rFont val="Arial"/>
        <family val="0"/>
        <charset val="1"/>
      </rPr>
      <t xml:space="preserve">2025 </t>
    </r>
    <r>
      <rPr>
        <sz val="10"/>
        <color rgb="FF000000"/>
        <rFont val="Noto Sans CJK SC"/>
        <family val="2"/>
      </rPr>
      <t xml:space="preserve">校準差距：營收總額（模型 − 年報）</t>
    </r>
  </si>
  <si>
    <t xml:space="preserve">R63</t>
  </si>
  <si>
    <r>
      <rPr>
        <sz val="10"/>
        <color rgb="FF000000"/>
        <rFont val="Arial"/>
        <family val="0"/>
        <charset val="1"/>
      </rPr>
      <t xml:space="preserve">1H26 </t>
    </r>
    <r>
      <rPr>
        <sz val="10"/>
        <color rgb="FF000000"/>
        <rFont val="Noto Sans CJK SC"/>
        <family val="2"/>
      </rPr>
      <t xml:space="preserve">校準差距：營收總額（模型 − 中期公告）</t>
    </r>
  </si>
  <si>
    <r>
      <rPr>
        <sz val="9"/>
        <color rgb="FF595959"/>
        <rFont val="Noto Sans CJK SC"/>
        <family val="2"/>
      </rPr>
      <t xml:space="preserve">公告以千元四捨五入至億元四位小數：四線合計 </t>
    </r>
    <r>
      <rPr>
        <sz val="9"/>
        <color rgb="FF595959"/>
        <rFont val="Arial"/>
        <family val="0"/>
        <charset val="1"/>
      </rPr>
      <t xml:space="preserve">9.53892 vs </t>
    </r>
    <r>
      <rPr>
        <sz val="9"/>
        <color rgb="FF595959"/>
        <rFont val="Noto Sans CJK SC"/>
        <family val="2"/>
      </rPr>
      <t xml:space="preserve">總額 </t>
    </r>
    <r>
      <rPr>
        <sz val="9"/>
        <color rgb="FF595959"/>
        <rFont val="Arial"/>
        <family val="0"/>
        <charset val="1"/>
      </rPr>
      <t xml:space="preserve">9.5389</t>
    </r>
  </si>
  <si>
    <t xml:space="preserve">R64</t>
  </si>
  <si>
    <r>
      <rPr>
        <sz val="10"/>
        <color rgb="FF000000"/>
        <rFont val="Arial"/>
        <family val="0"/>
        <charset val="1"/>
      </rPr>
      <t xml:space="preserve">2025 </t>
    </r>
    <r>
      <rPr>
        <sz val="10"/>
        <color rgb="FF000000"/>
        <rFont val="Noto Sans CJK SC"/>
        <family val="2"/>
      </rPr>
      <t xml:space="preserve">未校準 ①：日均 </t>
    </r>
    <r>
      <rPr>
        <sz val="10"/>
        <color rgb="FF000000"/>
        <rFont val="Arial"/>
        <family val="0"/>
        <charset val="1"/>
      </rPr>
      <t xml:space="preserve">4.2T × 365 × </t>
    </r>
    <r>
      <rPr>
        <sz val="10"/>
        <color rgb="FF000000"/>
        <rFont val="Noto Sans CJK SC"/>
        <family val="2"/>
      </rPr>
      <t xml:space="preserve">組合有效單價 </t>
    </r>
    <r>
      <rPr>
        <sz val="10"/>
        <color rgb="FF000000"/>
        <rFont val="Arial"/>
        <family val="0"/>
        <charset val="1"/>
      </rPr>
      <t xml:space="preserve">÷ 100 </t>
    </r>
    <r>
      <rPr>
        <sz val="10"/>
        <color rgb="FF000000"/>
        <rFont val="Noto Sans CJK SC"/>
        <family val="2"/>
      </rPr>
      <t xml:space="preserve">＋ </t>
    </r>
    <r>
      <rPr>
        <sz val="10"/>
        <color rgb="FF000000"/>
        <rFont val="Arial"/>
        <family val="0"/>
        <charset val="1"/>
      </rPr>
      <t xml:space="preserve">Coding Plan</t>
    </r>
  </si>
  <si>
    <r>
      <rPr>
        <sz val="9"/>
        <color rgb="FF595959"/>
        <rFont val="Noto Sans CJK SC"/>
        <family val="2"/>
      </rPr>
      <t xml:space="preserve">自下而上口徑（假設揭露 </t>
    </r>
    <r>
      <rPr>
        <sz val="9"/>
        <color rgb="FF595959"/>
        <rFont val="Arial"/>
        <family val="0"/>
        <charset val="1"/>
      </rPr>
      <t xml:space="preserve">token </t>
    </r>
    <r>
      <rPr>
        <sz val="9"/>
        <color rgb="FF595959"/>
        <rFont val="Noto Sans CJK SC"/>
        <family val="2"/>
      </rPr>
      <t xml:space="preserve">全數按有效單價計費）</t>
    </r>
  </si>
  <si>
    <t xml:space="preserve">R65</t>
  </si>
  <si>
    <r>
      <rPr>
        <sz val="10"/>
        <color rgb="FF000000"/>
        <rFont val="Arial"/>
        <family val="0"/>
        <charset val="1"/>
      </rPr>
      <t xml:space="preserve">2025 </t>
    </r>
    <r>
      <rPr>
        <sz val="10"/>
        <color rgb="FF000000"/>
        <rFont val="Noto Sans CJK SC"/>
        <family val="2"/>
      </rPr>
      <t xml:space="preserve">未校準差距：未校準 − 年報 ①</t>
    </r>
  </si>
  <si>
    <r>
      <rPr>
        <sz val="9"/>
        <color rgb="FF595959"/>
        <rFont val="Noto Sans CJK SC"/>
        <family val="2"/>
      </rPr>
      <t xml:space="preserve">差距大＝揭露量多為免費、</t>
    </r>
    <r>
      <rPr>
        <sz val="9"/>
        <color rgb="FF595959"/>
        <rFont val="Arial"/>
        <family val="0"/>
        <charset val="1"/>
      </rPr>
      <t xml:space="preserve">Coding Plan </t>
    </r>
    <r>
      <rPr>
        <sz val="9"/>
        <color rgb="FF595959"/>
        <rFont val="Noto Sans CJK SC"/>
        <family val="2"/>
      </rPr>
      <t xml:space="preserve">或年末時點</t>
    </r>
  </si>
  <si>
    <t xml:space="preserve">R66</t>
  </si>
  <si>
    <r>
      <rPr>
        <sz val="10"/>
        <color rgb="FF000000"/>
        <rFont val="Noto Sans CJK SC"/>
        <family val="2"/>
      </rPr>
      <t xml:space="preserve">模型組合有效單價變動：</t>
    </r>
    <r>
      <rPr>
        <sz val="10"/>
        <color rgb="FF000000"/>
        <rFont val="Arial"/>
        <family val="0"/>
        <charset val="1"/>
      </rPr>
      <t xml:space="preserve">1H26 </t>
    </r>
    <r>
      <rPr>
        <sz val="10"/>
        <color rgb="FF000000"/>
        <rFont val="Noto Sans CJK SC"/>
        <family val="2"/>
      </rPr>
      <t xml:space="preserve">對 </t>
    </r>
    <r>
      <rPr>
        <sz val="10"/>
        <color rgb="FF000000"/>
        <rFont val="Arial"/>
        <family val="0"/>
        <charset val="1"/>
      </rPr>
      <t xml:space="preserve">2025</t>
    </r>
  </si>
  <si>
    <r>
      <rPr>
        <sz val="9"/>
        <color rgb="FF595959"/>
        <rFont val="Noto Sans CJK SC"/>
        <family val="2"/>
      </rPr>
      <t xml:space="preserve">對照：公司稱 </t>
    </r>
    <r>
      <rPr>
        <sz val="9"/>
        <color rgb="FF595959"/>
        <rFont val="Arial"/>
        <family val="0"/>
        <charset val="1"/>
      </rPr>
      <t xml:space="preserve">API </t>
    </r>
    <r>
      <rPr>
        <sz val="9"/>
        <color rgb="FF595959"/>
        <rFont val="Noto Sans CJK SC"/>
        <family val="2"/>
      </rPr>
      <t xml:space="preserve">平均售價較年初 </t>
    </r>
    <r>
      <rPr>
        <sz val="9"/>
        <color rgb="FF595959"/>
        <rFont val="Arial"/>
        <family val="0"/>
        <charset val="1"/>
      </rPr>
      <t xml:space="preserve">+101%</t>
    </r>
    <r>
      <rPr>
        <sz val="9"/>
        <color rgb="FF595959"/>
        <rFont val="Noto Sans CJK SC"/>
        <family val="2"/>
      </rPr>
      <t xml:space="preserve">（</t>
    </r>
    <r>
      <rPr>
        <sz val="9"/>
        <color rgb="FF595959"/>
        <rFont val="Arial"/>
        <family val="0"/>
        <charset val="1"/>
      </rPr>
      <t xml:space="preserve">SRC_ZP_347</t>
    </r>
    <r>
      <rPr>
        <sz val="9"/>
        <color rgb="FF595959"/>
        <rFont val="Noto Sans CJK SC"/>
        <family val="2"/>
      </rPr>
      <t xml:space="preserve">）</t>
    </r>
  </si>
  <si>
    <t xml:space="preserve">R67</t>
  </si>
  <si>
    <r>
      <rPr>
        <sz val="10"/>
        <color rgb="FF000000"/>
        <rFont val="Noto Sans CJK SC"/>
        <family val="2"/>
      </rPr>
      <t xml:space="preserve">模型組合有效單價變動：</t>
    </r>
    <r>
      <rPr>
        <sz val="10"/>
        <color rgb="FF000000"/>
        <rFont val="Arial"/>
        <family val="0"/>
        <charset val="1"/>
      </rPr>
      <t xml:space="preserve">2H26 </t>
    </r>
    <r>
      <rPr>
        <sz val="10"/>
        <color rgb="FF000000"/>
        <rFont val="Noto Sans CJK SC"/>
        <family val="2"/>
      </rPr>
      <t xml:space="preserve">對 </t>
    </r>
    <r>
      <rPr>
        <sz val="10"/>
        <color rgb="FF000000"/>
        <rFont val="Arial"/>
        <family val="0"/>
        <charset val="1"/>
      </rPr>
      <t xml:space="preserve">2025</t>
    </r>
  </si>
  <si>
    <r>
      <rPr>
        <sz val="9"/>
        <color rgb="FF595959"/>
        <rFont val="Noto Sans CJK SC"/>
        <family val="2"/>
      </rPr>
      <t xml:space="preserve">對照：較 </t>
    </r>
    <r>
      <rPr>
        <sz val="9"/>
        <color rgb="FF595959"/>
        <rFont val="Arial"/>
        <family val="0"/>
        <charset val="1"/>
      </rPr>
      <t xml:space="preserve">2025 </t>
    </r>
    <r>
      <rPr>
        <sz val="9"/>
        <color rgb="FF595959"/>
        <rFont val="Noto Sans CJK SC"/>
        <family val="2"/>
      </rPr>
      <t xml:space="preserve">年底 </t>
    </r>
    <r>
      <rPr>
        <sz val="9"/>
        <color rgb="FF595959"/>
        <rFont val="Arial"/>
        <family val="0"/>
        <charset val="1"/>
      </rPr>
      <t xml:space="preserve">+83%</t>
    </r>
    <r>
      <rPr>
        <sz val="9"/>
        <color rgb="FF595959"/>
        <rFont val="Noto Sans CJK SC"/>
        <family val="2"/>
      </rPr>
      <t xml:space="preserve">（</t>
    </r>
    <r>
      <rPr>
        <sz val="9"/>
        <color rgb="FF595959"/>
        <rFont val="Arial"/>
        <family val="0"/>
        <charset val="1"/>
      </rPr>
      <t xml:space="preserve">SRC_ZP_346</t>
    </r>
    <r>
      <rPr>
        <sz val="9"/>
        <color rgb="FF595959"/>
        <rFont val="Noto Sans CJK SC"/>
        <family val="2"/>
      </rPr>
      <t xml:space="preserve">，截至 </t>
    </r>
    <r>
      <rPr>
        <sz val="9"/>
        <color rgb="FF595959"/>
        <rFont val="Arial"/>
        <family val="0"/>
        <charset val="1"/>
      </rPr>
      <t xml:space="preserve">2026-03</t>
    </r>
    <r>
      <rPr>
        <sz val="9"/>
        <color rgb="FF595959"/>
        <rFont val="Noto Sans CJK SC"/>
        <family val="2"/>
      </rPr>
      <t xml:space="preserve">）</t>
    </r>
  </si>
  <si>
    <t xml:space="preserve">R68</t>
  </si>
  <si>
    <r>
      <rPr>
        <sz val="10"/>
        <color rgb="FF000000"/>
        <rFont val="Noto Sans CJK SC"/>
        <family val="2"/>
      </rPr>
      <t xml:space="preserve">公司說法：</t>
    </r>
    <r>
      <rPr>
        <sz val="10"/>
        <color rgb="FF000000"/>
        <rFont val="Arial"/>
        <family val="0"/>
        <charset val="1"/>
      </rPr>
      <t xml:space="preserve">API </t>
    </r>
    <r>
      <rPr>
        <sz val="10"/>
        <color rgb="FF000000"/>
        <rFont val="Noto Sans CJK SC"/>
        <family val="2"/>
      </rPr>
      <t xml:space="preserve">平均售價較年初上升（中期）</t>
    </r>
  </si>
  <si>
    <r>
      <rPr>
        <sz val="9"/>
        <color rgb="FF595959"/>
        <rFont val="Arial"/>
        <family val="0"/>
        <charset val="1"/>
      </rPr>
      <t xml:space="preserve">Interested-party</t>
    </r>
    <r>
      <rPr>
        <sz val="9"/>
        <color rgb="FF595959"/>
        <rFont val="Noto Sans CJK SC"/>
        <family val="2"/>
      </rPr>
      <t xml:space="preserve">；實現平均售價口徑（收入 </t>
    </r>
    <r>
      <rPr>
        <sz val="9"/>
        <color rgb="FF595959"/>
        <rFont val="Arial"/>
        <family val="0"/>
        <charset val="1"/>
      </rPr>
      <t xml:space="preserve">÷ </t>
    </r>
    <r>
      <rPr>
        <sz val="9"/>
        <color rgb="FF595959"/>
        <rFont val="Noto Sans CJK SC"/>
        <family val="2"/>
      </rPr>
      <t xml:space="preserve">計費 </t>
    </r>
    <r>
      <rPr>
        <sz val="9"/>
        <color rgb="FF595959"/>
        <rFont val="Arial"/>
        <family val="0"/>
        <charset val="1"/>
      </rPr>
      <t xml:space="preserve">token</t>
    </r>
    <r>
      <rPr>
        <sz val="9"/>
        <color rgb="FF595959"/>
        <rFont val="Noto Sans CJK SC"/>
        <family val="2"/>
      </rPr>
      <t xml:space="preserve">），只對照</t>
    </r>
  </si>
  <si>
    <t xml:space="preserve">R69</t>
  </si>
  <si>
    <r>
      <rPr>
        <sz val="10"/>
        <color rgb="FF000000"/>
        <rFont val="Noto Sans CJK SC"/>
        <family val="2"/>
      </rPr>
      <t xml:space="preserve">公司說法：</t>
    </r>
    <r>
      <rPr>
        <sz val="10"/>
        <color rgb="FF000000"/>
        <rFont val="Arial"/>
        <family val="0"/>
        <charset val="1"/>
      </rPr>
      <t xml:space="preserve">API </t>
    </r>
    <r>
      <rPr>
        <sz val="10"/>
        <color rgb="FF000000"/>
        <rFont val="Noto Sans CJK SC"/>
        <family val="2"/>
      </rPr>
      <t xml:space="preserve">呼叫定價較 </t>
    </r>
    <r>
      <rPr>
        <sz val="10"/>
        <color rgb="FF000000"/>
        <rFont val="Arial"/>
        <family val="0"/>
        <charset val="1"/>
      </rPr>
      <t xml:space="preserve">2025 </t>
    </r>
    <r>
      <rPr>
        <sz val="10"/>
        <color rgb="FF000000"/>
        <rFont val="Noto Sans CJK SC"/>
        <family val="2"/>
      </rPr>
      <t xml:space="preserve">年底上升</t>
    </r>
  </si>
  <si>
    <r>
      <rPr>
        <sz val="9"/>
        <color rgb="FF595959"/>
        <rFont val="Arial"/>
        <family val="0"/>
        <charset val="1"/>
      </rPr>
      <t xml:space="preserve">Interested-party</t>
    </r>
    <r>
      <rPr>
        <sz val="9"/>
        <color rgb="FF595959"/>
        <rFont val="Noto Sans CJK SC"/>
        <family val="2"/>
      </rPr>
      <t xml:space="preserve">；只對照</t>
    </r>
  </si>
  <si>
    <t xml:space="preserve">R70</t>
  </si>
  <si>
    <r>
      <rPr>
        <sz val="10"/>
        <color rgb="FF000000"/>
        <rFont val="Noto Sans CJK SC"/>
        <family val="2"/>
      </rPr>
      <t xml:space="preserve">模型 </t>
    </r>
    <r>
      <rPr>
        <sz val="10"/>
        <color rgb="FF000000"/>
        <rFont val="Arial"/>
        <family val="0"/>
        <charset val="1"/>
      </rPr>
      <t xml:space="preserve">2H26 </t>
    </r>
    <r>
      <rPr>
        <sz val="10"/>
        <color rgb="FF000000"/>
        <rFont val="Noto Sans CJK SC"/>
        <family val="2"/>
      </rPr>
      <t xml:space="preserve">雲端營收年化（</t>
    </r>
    <r>
      <rPr>
        <sz val="10"/>
        <color rgb="FF000000"/>
        <rFont val="Arial"/>
        <family val="0"/>
        <charset val="1"/>
      </rPr>
      <t xml:space="preserve">2H26 × 2</t>
    </r>
    <r>
      <rPr>
        <sz val="10"/>
        <color rgb="FF000000"/>
        <rFont val="Noto Sans CJK SC"/>
        <family val="2"/>
      </rPr>
      <t xml:space="preserve">）</t>
    </r>
  </si>
  <si>
    <r>
      <rPr>
        <sz val="9"/>
        <color rgb="FF595959"/>
        <rFont val="Noto Sans CJK SC"/>
        <family val="2"/>
      </rPr>
      <t xml:space="preserve">對照 </t>
    </r>
    <r>
      <rPr>
        <sz val="9"/>
        <color rgb="FF595959"/>
        <rFont val="Arial"/>
        <family val="0"/>
        <charset val="1"/>
      </rPr>
      <t xml:space="preserve">MaaS ARR</t>
    </r>
    <r>
      <rPr>
        <sz val="9"/>
        <color rgb="FF595959"/>
        <rFont val="Noto Sans CJK SC"/>
        <family val="2"/>
      </rPr>
      <t xml:space="preserve">（</t>
    </r>
    <r>
      <rPr>
        <sz val="9"/>
        <color rgb="FF595959"/>
        <rFont val="Arial"/>
        <family val="0"/>
        <charset val="1"/>
      </rPr>
      <t xml:space="preserve">D14r</t>
    </r>
    <r>
      <rPr>
        <sz val="9"/>
        <color rgb="FF595959"/>
        <rFont val="Noto Sans CJK SC"/>
        <family val="2"/>
      </rPr>
      <t xml:space="preserve">）</t>
    </r>
  </si>
  <si>
    <t xml:space="preserve">R71</t>
  </si>
  <si>
    <r>
      <rPr>
        <sz val="10"/>
        <color rgb="FF000000"/>
        <rFont val="Noto Sans CJK SC"/>
        <family val="2"/>
      </rPr>
      <t xml:space="preserve">公司說法：</t>
    </r>
    <r>
      <rPr>
        <sz val="10"/>
        <color rgb="FF000000"/>
        <rFont val="Arial"/>
        <family val="0"/>
        <charset val="1"/>
      </rPr>
      <t xml:space="preserve">MaaS ARR</t>
    </r>
    <r>
      <rPr>
        <sz val="10"/>
        <color rgb="FF000000"/>
        <rFont val="Noto Sans CJK SC"/>
        <family val="2"/>
      </rPr>
      <t xml:space="preserve">（</t>
    </r>
    <r>
      <rPr>
        <sz val="10"/>
        <color rgb="FF000000"/>
        <rFont val="Arial"/>
        <family val="0"/>
        <charset val="1"/>
      </rPr>
      <t xml:space="preserve">2026-08 </t>
    </r>
    <r>
      <rPr>
        <sz val="10"/>
        <color rgb="FF000000"/>
        <rFont val="Noto Sans CJK SC"/>
        <family val="2"/>
      </rPr>
      <t xml:space="preserve">月度年化）</t>
    </r>
    <r>
      <rPr>
        <sz val="10"/>
        <color rgb="FF000000"/>
        <rFont val="Arial"/>
        <family val="0"/>
        <charset val="1"/>
      </rPr>
      <t xml:space="preserve">× </t>
    </r>
    <r>
      <rPr>
        <sz val="10"/>
        <color rgb="FF000000"/>
        <rFont val="Noto Sans CJK SC"/>
        <family val="2"/>
      </rPr>
      <t xml:space="preserve">匯率</t>
    </r>
  </si>
  <si>
    <r>
      <rPr>
        <sz val="9"/>
        <color rgb="FF595959"/>
        <rFont val="Arial"/>
        <family val="0"/>
        <charset val="1"/>
      </rPr>
      <t xml:space="preserve">SRC_ZP_417</t>
    </r>
    <r>
      <rPr>
        <sz val="9"/>
        <color rgb="FF595959"/>
        <rFont val="Noto Sans CJK SC"/>
        <family val="2"/>
      </rPr>
      <t xml:space="preserve">（</t>
    </r>
    <r>
      <rPr>
        <sz val="9"/>
        <color rgb="FF595959"/>
        <rFont val="Arial"/>
        <family val="0"/>
        <charset val="1"/>
      </rPr>
      <t xml:space="preserve">USD </t>
    </r>
    <r>
      <rPr>
        <sz val="9"/>
        <color rgb="FF595959"/>
        <rFont val="Noto Sans CJK SC"/>
        <family val="2"/>
      </rPr>
      <t xml:space="preserve">億）；</t>
    </r>
    <r>
      <rPr>
        <sz val="9"/>
        <color rgb="FF595959"/>
        <rFont val="Arial"/>
        <family val="0"/>
        <charset val="1"/>
      </rPr>
      <t xml:space="preserve">Interested-party</t>
    </r>
  </si>
  <si>
    <t xml:space="preserve">R72</t>
  </si>
  <si>
    <r>
      <rPr>
        <sz val="10"/>
        <color rgb="FF000000"/>
        <rFont val="Noto Sans CJK SC"/>
        <family val="2"/>
      </rPr>
      <t xml:space="preserve">差距：模型 </t>
    </r>
    <r>
      <rPr>
        <sz val="10"/>
        <color rgb="FF000000"/>
        <rFont val="Arial"/>
        <family val="0"/>
        <charset val="1"/>
      </rPr>
      <t xml:space="preserve">÷ ARR − 1</t>
    </r>
  </si>
  <si>
    <r>
      <rPr>
        <sz val="9"/>
        <color rgb="FF595959"/>
        <rFont val="Arial"/>
        <family val="0"/>
        <charset val="1"/>
      </rPr>
      <t xml:space="preserve">Checks WARN </t>
    </r>
    <r>
      <rPr>
        <sz val="9"/>
        <color rgb="FF595959"/>
        <rFont val="Noto Sans CJK SC"/>
        <family val="2"/>
      </rPr>
      <t xml:space="preserve">門檻 </t>
    </r>
    <r>
      <rPr>
        <sz val="9"/>
        <color rgb="FF595959"/>
        <rFont val="Arial"/>
        <family val="0"/>
        <charset val="1"/>
      </rPr>
      <t xml:space="preserve">25%</t>
    </r>
    <r>
      <rPr>
        <sz val="9"/>
        <color rgb="FF595959"/>
        <rFont val="Noto Sans CJK SC"/>
        <family val="2"/>
      </rPr>
      <t xml:space="preserve">（</t>
    </r>
    <r>
      <rPr>
        <sz val="9"/>
        <color rgb="FF595959"/>
        <rFont val="Arial"/>
        <family val="0"/>
        <charset val="1"/>
      </rPr>
      <t xml:space="preserve">D14r</t>
    </r>
    <r>
      <rPr>
        <sz val="9"/>
        <color rgb="FF595959"/>
        <rFont val="Noto Sans CJK SC"/>
        <family val="2"/>
      </rPr>
      <t xml:space="preserve">）</t>
    </r>
  </si>
  <si>
    <t xml:space="preserve">R73</t>
  </si>
  <si>
    <r>
      <rPr>
        <sz val="10"/>
        <color rgb="FF000000"/>
        <rFont val="Noto Sans CJK SC"/>
        <family val="2"/>
      </rPr>
      <t xml:space="preserve">模型 </t>
    </r>
    <r>
      <rPr>
        <sz val="10"/>
        <color rgb="FF000000"/>
        <rFont val="Arial"/>
        <family val="0"/>
        <charset val="1"/>
      </rPr>
      <t xml:space="preserve">2H26 </t>
    </r>
    <r>
      <rPr>
        <sz val="10"/>
        <color rgb="FF000000"/>
        <rFont val="Noto Sans CJK SC"/>
        <family val="2"/>
      </rPr>
      <t xml:space="preserve">營收總額年化（</t>
    </r>
    <r>
      <rPr>
        <sz val="10"/>
        <color rgb="FF000000"/>
        <rFont val="Arial"/>
        <family val="0"/>
        <charset val="1"/>
      </rPr>
      <t xml:space="preserve">2H26 × 2</t>
    </r>
    <r>
      <rPr>
        <sz val="10"/>
        <color rgb="FF000000"/>
        <rFont val="Noto Sans CJK SC"/>
        <family val="2"/>
      </rPr>
      <t xml:space="preserve">）</t>
    </r>
  </si>
  <si>
    <r>
      <rPr>
        <sz val="9"/>
        <color rgb="FF595959"/>
        <rFont val="Noto Sans CJK SC"/>
        <family val="2"/>
      </rPr>
      <t xml:space="preserve">對照全業務 </t>
    </r>
    <r>
      <rPr>
        <sz val="9"/>
        <color rgb="FF595959"/>
        <rFont val="Arial"/>
        <family val="0"/>
        <charset val="1"/>
      </rPr>
      <t xml:space="preserve">ARR</t>
    </r>
  </si>
  <si>
    <t xml:space="preserve">R74</t>
  </si>
  <si>
    <r>
      <rPr>
        <sz val="10"/>
        <color rgb="FF000000"/>
        <rFont val="Noto Sans CJK SC"/>
        <family val="2"/>
      </rPr>
      <t xml:space="preserve">公司說法：全業務 </t>
    </r>
    <r>
      <rPr>
        <sz val="10"/>
        <color rgb="FF000000"/>
        <rFont val="Arial"/>
        <family val="0"/>
        <charset val="1"/>
      </rPr>
      <t xml:space="preserve">ARR</t>
    </r>
    <r>
      <rPr>
        <sz val="10"/>
        <color rgb="FF000000"/>
        <rFont val="Noto Sans CJK SC"/>
        <family val="2"/>
      </rPr>
      <t xml:space="preserve">（</t>
    </r>
    <r>
      <rPr>
        <sz val="10"/>
        <color rgb="FF000000"/>
        <rFont val="Arial"/>
        <family val="0"/>
        <charset val="1"/>
      </rPr>
      <t xml:space="preserve">2026-09</t>
    </r>
    <r>
      <rPr>
        <sz val="10"/>
        <color rgb="FF000000"/>
        <rFont val="Noto Sans CJK SC"/>
        <family val="2"/>
      </rPr>
      <t xml:space="preserve">）</t>
    </r>
    <r>
      <rPr>
        <sz val="10"/>
        <color rgb="FF000000"/>
        <rFont val="Arial"/>
        <family val="0"/>
        <charset val="1"/>
      </rPr>
      <t xml:space="preserve">× </t>
    </r>
    <r>
      <rPr>
        <sz val="10"/>
        <color rgb="FF000000"/>
        <rFont val="Noto Sans CJK SC"/>
        <family val="2"/>
      </rPr>
      <t xml:space="preserve">匯率</t>
    </r>
  </si>
  <si>
    <r>
      <rPr>
        <sz val="9"/>
        <color rgb="FF595959"/>
        <rFont val="Arial"/>
        <family val="0"/>
        <charset val="1"/>
      </rPr>
      <t xml:space="preserve">SRC_ZP_419</t>
    </r>
    <r>
      <rPr>
        <sz val="9"/>
        <color rgb="FF595959"/>
        <rFont val="Noto Sans CJK SC"/>
        <family val="2"/>
      </rPr>
      <t xml:space="preserve">（</t>
    </r>
    <r>
      <rPr>
        <sz val="9"/>
        <color rgb="FF595959"/>
        <rFont val="Arial"/>
        <family val="0"/>
        <charset val="1"/>
      </rPr>
      <t xml:space="preserve">USD </t>
    </r>
    <r>
      <rPr>
        <sz val="9"/>
        <color rgb="FF595959"/>
        <rFont val="Noto Sans CJK SC"/>
        <family val="2"/>
      </rPr>
      <t xml:space="preserve">億）；</t>
    </r>
    <r>
      <rPr>
        <sz val="9"/>
        <color rgb="FF595959"/>
        <rFont val="Arial"/>
        <family val="0"/>
        <charset val="1"/>
      </rPr>
      <t xml:space="preserve">Interested-party</t>
    </r>
  </si>
  <si>
    <t xml:space="preserve">R75</t>
  </si>
  <si>
    <r>
      <rPr>
        <sz val="10"/>
        <color rgb="FF000000"/>
        <rFont val="Noto Sans CJK SC"/>
        <family val="2"/>
      </rPr>
      <t xml:space="preserve">差距：模型 </t>
    </r>
    <r>
      <rPr>
        <sz val="10"/>
        <color rgb="FF000000"/>
        <rFont val="Arial"/>
        <family val="0"/>
        <charset val="1"/>
      </rPr>
      <t xml:space="preserve">÷ </t>
    </r>
    <r>
      <rPr>
        <sz val="10"/>
        <color rgb="FF000000"/>
        <rFont val="Noto Sans CJK SC"/>
        <family val="2"/>
      </rPr>
      <t xml:space="preserve">全業務 </t>
    </r>
    <r>
      <rPr>
        <sz val="10"/>
        <color rgb="FF000000"/>
        <rFont val="Arial"/>
        <family val="0"/>
        <charset val="1"/>
      </rPr>
      <t xml:space="preserve">ARR − 1</t>
    </r>
  </si>
  <si>
    <r>
      <rPr>
        <sz val="9"/>
        <color rgb="FF595959"/>
        <rFont val="Arial"/>
        <family val="0"/>
        <charset val="1"/>
      </rPr>
      <t xml:space="preserve">Checks WARN </t>
    </r>
    <r>
      <rPr>
        <sz val="9"/>
        <color rgb="FF595959"/>
        <rFont val="Noto Sans CJK SC"/>
        <family val="2"/>
      </rPr>
      <t xml:space="preserve">門檻 </t>
    </r>
    <r>
      <rPr>
        <sz val="9"/>
        <color rgb="FF595959"/>
        <rFont val="Arial"/>
        <family val="0"/>
        <charset val="1"/>
      </rPr>
      <t xml:space="preserve">25%</t>
    </r>
  </si>
  <si>
    <t xml:space="preserve">R76</t>
  </si>
  <si>
    <r>
      <rPr>
        <sz val="10"/>
        <color rgb="FF000000"/>
        <rFont val="Noto Sans CJK SC"/>
        <family val="2"/>
      </rPr>
      <t xml:space="preserve">分析師共識營收 </t>
    </r>
    <r>
      <rPr>
        <sz val="10"/>
        <color rgb="FF000000"/>
        <rFont val="Arial"/>
        <family val="0"/>
        <charset val="1"/>
      </rPr>
      <t xml:space="preserve">FY2026</t>
    </r>
    <r>
      <rPr>
        <sz val="10"/>
        <color rgb="FF000000"/>
        <rFont val="Noto Sans CJK SC"/>
        <family val="2"/>
      </rPr>
      <t xml:space="preserve">（</t>
    </r>
    <r>
      <rPr>
        <sz val="10"/>
        <color rgb="FF000000"/>
        <rFont val="Arial"/>
        <family val="0"/>
        <charset val="1"/>
      </rPr>
      <t xml:space="preserve">Simply Wall St</t>
    </r>
    <r>
      <rPr>
        <sz val="10"/>
        <color rgb="FF000000"/>
        <rFont val="Noto Sans CJK SC"/>
        <family val="2"/>
      </rPr>
      <t xml:space="preserve">）</t>
    </r>
  </si>
  <si>
    <r>
      <rPr>
        <sz val="9"/>
        <color rgb="FF595959"/>
        <rFont val="Arial"/>
        <family val="0"/>
        <charset val="1"/>
      </rPr>
      <t xml:space="preserve">SRC_ZP_582</t>
    </r>
    <r>
      <rPr>
        <sz val="9"/>
        <color rgb="FF595959"/>
        <rFont val="Noto Sans CJK SC"/>
        <family val="2"/>
      </rPr>
      <t xml:space="preserve">；</t>
    </r>
    <r>
      <rPr>
        <sz val="9"/>
        <color rgb="FF595959"/>
        <rFont val="Arial"/>
        <family val="0"/>
        <charset val="1"/>
      </rPr>
      <t xml:space="preserve">Interested-party</t>
    </r>
    <r>
      <rPr>
        <sz val="9"/>
        <color rgb="FF595959"/>
        <rFont val="Noto Sans CJK SC"/>
        <family val="2"/>
      </rPr>
      <t xml:space="preserve">（券商交易誘因）；只對照</t>
    </r>
  </si>
  <si>
    <t xml:space="preserve">R77</t>
  </si>
  <si>
    <r>
      <rPr>
        <sz val="10"/>
        <color rgb="FF000000"/>
        <rFont val="Noto Sans CJK SC"/>
        <family val="2"/>
      </rPr>
      <t xml:space="preserve">差距：模型 </t>
    </r>
    <r>
      <rPr>
        <sz val="10"/>
        <color rgb="FF000000"/>
        <rFont val="Arial"/>
        <family val="0"/>
        <charset val="1"/>
      </rPr>
      <t xml:space="preserve">2026 </t>
    </r>
    <r>
      <rPr>
        <sz val="10"/>
        <color rgb="FF000000"/>
        <rFont val="Noto Sans CJK SC"/>
        <family val="2"/>
      </rPr>
      <t xml:space="preserve">總額 − 共識</t>
    </r>
  </si>
  <si>
    <t xml:space="preserve">R78</t>
  </si>
  <si>
    <r>
      <rPr>
        <sz val="10"/>
        <color rgb="FF000000"/>
        <rFont val="Arial"/>
        <family val="0"/>
        <charset val="1"/>
      </rPr>
      <t xml:space="preserve">TK</t>
    </r>
    <r>
      <rPr>
        <sz val="10"/>
        <color rgb="FF000000"/>
        <rFont val="Noto Sans CJK SC"/>
        <family val="2"/>
      </rPr>
      <t xml:space="preserve">：</t>
    </r>
    <r>
      <rPr>
        <sz val="10"/>
        <color rgb="FF000000"/>
        <rFont val="Arial"/>
        <family val="0"/>
        <charset val="1"/>
      </rPr>
      <t xml:space="preserve">GLM-5.3 </t>
    </r>
    <r>
      <rPr>
        <sz val="10"/>
        <color rgb="FF000000"/>
        <rFont val="Noto Sans CJK SC"/>
        <family val="2"/>
      </rPr>
      <t xml:space="preserve">國際站輸入價 </t>
    </r>
    <r>
      <rPr>
        <sz val="10"/>
        <color rgb="FF000000"/>
        <rFont val="Arial"/>
        <family val="0"/>
        <charset val="1"/>
      </rPr>
      <t xml:space="preserve">× </t>
    </r>
    <r>
      <rPr>
        <sz val="10"/>
        <color rgb="FF000000"/>
        <rFont val="Noto Sans CJK SC"/>
        <family val="2"/>
      </rPr>
      <t xml:space="preserve">匯率 </t>
    </r>
    <r>
      <rPr>
        <sz val="10"/>
        <color rgb="FF000000"/>
        <rFont val="Arial"/>
        <family val="0"/>
        <charset val="1"/>
      </rPr>
      <t xml:space="preserve">÷ </t>
    </r>
    <r>
      <rPr>
        <sz val="10"/>
        <color rgb="FF000000"/>
        <rFont val="Noto Sans CJK SC"/>
        <family val="2"/>
      </rPr>
      <t xml:space="preserve">本模型 </t>
    </r>
    <r>
      <rPr>
        <sz val="10"/>
        <color rgb="FF000000"/>
        <rFont val="Arial"/>
        <family val="0"/>
        <charset val="1"/>
      </rPr>
      <t xml:space="preserve">2H26 Sol </t>
    </r>
    <r>
      <rPr>
        <sz val="10"/>
        <color rgb="FF000000"/>
        <rFont val="Noto Sans CJK SC"/>
        <family val="2"/>
      </rPr>
      <t xml:space="preserve">人民幣輸入牌價</t>
    </r>
  </si>
  <si>
    <r>
      <rPr>
        <sz val="9"/>
        <color rgb="FF595959"/>
        <rFont val="Arial"/>
        <family val="0"/>
        <charset val="1"/>
      </rPr>
      <t xml:space="preserve">Tokenomics Cap_In F </t>
    </r>
    <r>
      <rPr>
        <sz val="9"/>
        <color rgb="FF595959"/>
        <rFont val="Noto Sans CJK SC"/>
        <family val="2"/>
      </rPr>
      <t xml:space="preserve">表（讀表）；國際站美元價換人民幣後對國內牌價</t>
    </r>
  </si>
  <si>
    <t xml:space="preserve">R79</t>
  </si>
  <si>
    <r>
      <rPr>
        <sz val="10"/>
        <color rgb="FF000000"/>
        <rFont val="Arial"/>
        <family val="0"/>
        <charset val="1"/>
      </rPr>
      <t xml:space="preserve">TK</t>
    </r>
    <r>
      <rPr>
        <sz val="10"/>
        <color rgb="FF000000"/>
        <rFont val="Noto Sans CJK SC"/>
        <family val="2"/>
      </rPr>
      <t xml:space="preserve">：</t>
    </r>
    <r>
      <rPr>
        <sz val="10"/>
        <color rgb="FF000000"/>
        <rFont val="Arial"/>
        <family val="0"/>
        <charset val="1"/>
      </rPr>
      <t xml:space="preserve">GLM-5.3 </t>
    </r>
    <r>
      <rPr>
        <sz val="10"/>
        <color rgb="FF000000"/>
        <rFont val="Noto Sans CJK SC"/>
        <family val="2"/>
      </rPr>
      <t xml:space="preserve">國際站輸出價 </t>
    </r>
    <r>
      <rPr>
        <sz val="10"/>
        <color rgb="FF000000"/>
        <rFont val="Arial"/>
        <family val="0"/>
        <charset val="1"/>
      </rPr>
      <t xml:space="preserve">× </t>
    </r>
    <r>
      <rPr>
        <sz val="10"/>
        <color rgb="FF000000"/>
        <rFont val="Noto Sans CJK SC"/>
        <family val="2"/>
      </rPr>
      <t xml:space="preserve">匯率 </t>
    </r>
    <r>
      <rPr>
        <sz val="10"/>
        <color rgb="FF000000"/>
        <rFont val="Arial"/>
        <family val="0"/>
        <charset val="1"/>
      </rPr>
      <t xml:space="preserve">÷ </t>
    </r>
    <r>
      <rPr>
        <sz val="10"/>
        <color rgb="FF000000"/>
        <rFont val="Noto Sans CJK SC"/>
        <family val="2"/>
      </rPr>
      <t xml:space="preserve">本模型 </t>
    </r>
    <r>
      <rPr>
        <sz val="10"/>
        <color rgb="FF000000"/>
        <rFont val="Arial"/>
        <family val="0"/>
        <charset val="1"/>
      </rPr>
      <t xml:space="preserve">2H26 Sol </t>
    </r>
    <r>
      <rPr>
        <sz val="10"/>
        <color rgb="FF000000"/>
        <rFont val="Noto Sans CJK SC"/>
        <family val="2"/>
      </rPr>
      <t xml:space="preserve">人民幣輸出牌價</t>
    </r>
  </si>
  <si>
    <t xml:space="preserve">R80</t>
  </si>
  <si>
    <r>
      <rPr>
        <sz val="10"/>
        <color rgb="FF000000"/>
        <rFont val="Arial"/>
        <family val="0"/>
        <charset val="1"/>
      </rPr>
      <t xml:space="preserve">TK</t>
    </r>
    <r>
      <rPr>
        <sz val="10"/>
        <color rgb="FF000000"/>
        <rFont val="Noto Sans CJK SC"/>
        <family val="2"/>
      </rPr>
      <t xml:space="preserve">：中國合格前緣（</t>
    </r>
    <r>
      <rPr>
        <sz val="10"/>
        <color rgb="FF000000"/>
        <rFont val="Arial"/>
        <family val="0"/>
        <charset val="1"/>
      </rPr>
      <t xml:space="preserve">Luna</t>
    </r>
    <r>
      <rPr>
        <sz val="10"/>
        <color rgb="FF000000"/>
        <rFont val="Noto Sans CJK SC"/>
        <family val="2"/>
      </rPr>
      <t xml:space="preserve">）混合單價 </t>
    </r>
    <r>
      <rPr>
        <sz val="10"/>
        <color rgb="FF000000"/>
        <rFont val="Arial"/>
        <family val="0"/>
        <charset val="1"/>
      </rPr>
      <t xml:space="preserve">× </t>
    </r>
    <r>
      <rPr>
        <sz val="10"/>
        <color rgb="FF000000"/>
        <rFont val="Noto Sans CJK SC"/>
        <family val="2"/>
      </rPr>
      <t xml:space="preserve">匯率</t>
    </r>
  </si>
  <si>
    <r>
      <rPr>
        <sz val="9"/>
        <color rgb="FF595959"/>
        <rFont val="Arial"/>
        <family val="0"/>
        <charset val="1"/>
      </rPr>
      <t xml:space="preserve">Tokenomics Price_Frontier B </t>
    </r>
    <r>
      <rPr>
        <sz val="9"/>
        <color rgb="FF595959"/>
        <rFont val="Noto Sans CJK SC"/>
        <family val="2"/>
      </rPr>
      <t xml:space="preserve">表（讀表；前緣模型 </t>
    </r>
    <r>
      <rPr>
        <sz val="9"/>
        <color rgb="FF595959"/>
        <rFont val="Arial"/>
        <family val="0"/>
        <charset val="1"/>
      </rPr>
      <t xml:space="preserve">GLM-5.3-Flash</t>
    </r>
    <r>
      <rPr>
        <sz val="9"/>
        <color rgb="FF595959"/>
        <rFont val="Noto Sans CJK SC"/>
        <family val="2"/>
      </rPr>
      <t xml:space="preserve">）；</t>
    </r>
    <r>
      <rPr>
        <sz val="9"/>
        <color rgb="FF595959"/>
        <rFont val="Arial"/>
        <family val="0"/>
        <charset val="1"/>
      </rPr>
      <t xml:space="preserve">Tokenomics </t>
    </r>
    <r>
      <rPr>
        <sz val="9"/>
        <color rgb="FF595959"/>
        <rFont val="Noto Sans CJK SC"/>
        <family val="2"/>
      </rPr>
      <t xml:space="preserve">參考請求混合口徑，未扣折扣</t>
    </r>
  </si>
  <si>
    <t xml:space="preserve">R81</t>
  </si>
  <si>
    <r>
      <rPr>
        <sz val="10"/>
        <color rgb="FF000000"/>
        <rFont val="Arial"/>
        <family val="0"/>
        <charset val="1"/>
      </rPr>
      <t xml:space="preserve">TK</t>
    </r>
    <r>
      <rPr>
        <sz val="10"/>
        <color rgb="FF000000"/>
        <rFont val="Noto Sans CJK SC"/>
        <family val="2"/>
      </rPr>
      <t xml:space="preserve">：</t>
    </r>
    <r>
      <rPr>
        <sz val="10"/>
        <color rgb="FF000000"/>
        <rFont val="Arial"/>
        <family val="0"/>
        <charset val="1"/>
      </rPr>
      <t xml:space="preserve">GLM-5.3 </t>
    </r>
    <r>
      <rPr>
        <sz val="10"/>
        <color rgb="FF000000"/>
        <rFont val="Noto Sans CJK SC"/>
        <family val="2"/>
      </rPr>
      <t xml:space="preserve">參考請求混合單價 </t>
    </r>
    <r>
      <rPr>
        <sz val="10"/>
        <color rgb="FF000000"/>
        <rFont val="Arial"/>
        <family val="0"/>
        <charset val="1"/>
      </rPr>
      <t xml:space="preserve">× </t>
    </r>
    <r>
      <rPr>
        <sz val="10"/>
        <color rgb="FF000000"/>
        <rFont val="Noto Sans CJK SC"/>
        <family val="2"/>
      </rPr>
      <t xml:space="preserve">匯率</t>
    </r>
  </si>
  <si>
    <r>
      <rPr>
        <sz val="9"/>
        <color rgb="FF595959"/>
        <rFont val="Arial"/>
        <family val="0"/>
        <charset val="1"/>
      </rPr>
      <t xml:space="preserve">Tokenomics Price_Frontier A </t>
    </r>
    <r>
      <rPr>
        <sz val="9"/>
        <color rgb="FF595959"/>
        <rFont val="Noto Sans CJK SC"/>
        <family val="2"/>
      </rPr>
      <t xml:space="preserve">表（讀表，</t>
    </r>
    <r>
      <rPr>
        <sz val="9"/>
        <color rgb="FF595959"/>
        <rFont val="Arial"/>
        <family val="0"/>
        <charset val="1"/>
      </rPr>
      <t xml:space="preserve">Sol </t>
    </r>
    <r>
      <rPr>
        <sz val="9"/>
        <color rgb="FF595959"/>
        <rFont val="Noto Sans CJK SC"/>
        <family val="2"/>
      </rPr>
      <t xml:space="preserve">參考請求）</t>
    </r>
  </si>
  <si>
    <t xml:space="preserve">R82</t>
  </si>
  <si>
    <r>
      <rPr>
        <sz val="10"/>
        <color rgb="FF000000"/>
        <rFont val="Noto Sans CJK SC"/>
        <family val="2"/>
      </rPr>
      <t xml:space="preserve">本模型 </t>
    </r>
    <r>
      <rPr>
        <sz val="10"/>
        <color rgb="FF000000"/>
        <rFont val="Arial"/>
        <family val="0"/>
        <charset val="1"/>
      </rPr>
      <t xml:space="preserve">2H26 </t>
    </r>
    <r>
      <rPr>
        <sz val="10"/>
        <color rgb="FF000000"/>
        <rFont val="Noto Sans CJK SC"/>
        <family val="2"/>
      </rPr>
      <t xml:space="preserve">有效單價 </t>
    </r>
    <r>
      <rPr>
        <sz val="10"/>
        <color rgb="FF000000"/>
        <rFont val="Arial"/>
        <family val="0"/>
        <charset val="1"/>
      </rPr>
      <t xml:space="preserve">÷ TK </t>
    </r>
    <r>
      <rPr>
        <sz val="10"/>
        <color rgb="FF000000"/>
        <rFont val="Noto Sans CJK SC"/>
        <family val="2"/>
      </rPr>
      <t xml:space="preserve">混合單價（</t>
    </r>
    <r>
      <rPr>
        <sz val="10"/>
        <color rgb="FF000000"/>
        <rFont val="Arial"/>
        <family val="0"/>
        <charset val="1"/>
      </rPr>
      <t xml:space="preserve">Sol</t>
    </r>
    <r>
      <rPr>
        <sz val="10"/>
        <color rgb="FF000000"/>
        <rFont val="Noto Sans CJK SC"/>
        <family val="2"/>
      </rPr>
      <t xml:space="preserve">）</t>
    </r>
  </si>
  <si>
    <t xml:space="preserve">口徑：本模型含快取、輸出占比與折扣；只列差距</t>
  </si>
  <si>
    <t xml:space="preserve">R83</t>
  </si>
  <si>
    <r>
      <rPr>
        <sz val="10"/>
        <color rgb="FF000000"/>
        <rFont val="Noto Sans CJK SC"/>
        <family val="2"/>
      </rPr>
      <t xml:space="preserve">本模型 </t>
    </r>
    <r>
      <rPr>
        <sz val="10"/>
        <color rgb="FF000000"/>
        <rFont val="Arial"/>
        <family val="0"/>
        <charset val="1"/>
      </rPr>
      <t xml:space="preserve">2H26 </t>
    </r>
    <r>
      <rPr>
        <sz val="10"/>
        <color rgb="FF000000"/>
        <rFont val="Noto Sans CJK SC"/>
        <family val="2"/>
      </rPr>
      <t xml:space="preserve">有效單價 </t>
    </r>
    <r>
      <rPr>
        <sz val="10"/>
        <color rgb="FF000000"/>
        <rFont val="Arial"/>
        <family val="0"/>
        <charset val="1"/>
      </rPr>
      <t xml:space="preserve">÷ TK </t>
    </r>
    <r>
      <rPr>
        <sz val="10"/>
        <color rgb="FF000000"/>
        <rFont val="Noto Sans CJK SC"/>
        <family val="2"/>
      </rPr>
      <t xml:space="preserve">中國合格前緣（</t>
    </r>
    <r>
      <rPr>
        <sz val="10"/>
        <color rgb="FF000000"/>
        <rFont val="Arial"/>
        <family val="0"/>
        <charset val="1"/>
      </rPr>
      <t xml:space="preserve">Luna</t>
    </r>
    <r>
      <rPr>
        <sz val="10"/>
        <color rgb="FF000000"/>
        <rFont val="Noto Sans CJK SC"/>
        <family val="2"/>
      </rPr>
      <t xml:space="preserve">）</t>
    </r>
  </si>
  <si>
    <r>
      <rPr>
        <b val="true"/>
        <sz val="10"/>
        <rFont val="Noto Sans CJK SC"/>
        <family val="2"/>
      </rPr>
      <t xml:space="preserve">七、官方分部對帳（部署方式；</t>
    </r>
    <r>
      <rPr>
        <b val="true"/>
        <sz val="10"/>
        <rFont val="Arial"/>
        <family val="0"/>
        <charset val="1"/>
      </rPr>
      <t xml:space="preserve">v0.1.2</t>
    </r>
    <r>
      <rPr>
        <b val="true"/>
        <sz val="10"/>
        <rFont val="Noto Sans CJK SC"/>
        <family val="2"/>
      </rPr>
      <t xml:space="preserve">）：年報／中期公告的官方分部 </t>
    </r>
    <r>
      <rPr>
        <b val="true"/>
        <sz val="10"/>
        <rFont val="Arial"/>
        <family val="0"/>
        <charset val="1"/>
      </rPr>
      <t xml:space="preserve">vs </t>
    </r>
    <r>
      <rPr>
        <b val="true"/>
        <sz val="10"/>
        <rFont val="Noto Sans CJK SC"/>
        <family val="2"/>
      </rPr>
      <t xml:space="preserve">模型列與子項加總（差額 </t>
    </r>
    <r>
      <rPr>
        <b val="true"/>
        <sz val="10"/>
        <rFont val="Arial"/>
        <family val="0"/>
        <charset val="1"/>
      </rPr>
      <t xml:space="preserve">= </t>
    </r>
    <r>
      <rPr>
        <b val="true"/>
        <sz val="10"/>
        <rFont val="Noto Sans CJK SC"/>
        <family val="2"/>
      </rPr>
      <t xml:space="preserve">模型或子項加總 − 官方）</t>
    </r>
  </si>
  <si>
    <t xml:space="preserve">R84</t>
  </si>
  <si>
    <r>
      <rPr>
        <sz val="10"/>
        <color rgb="FF000000"/>
        <rFont val="Noto Sans CJK SC"/>
        <family val="2"/>
      </rPr>
      <t xml:space="preserve">官方分部：</t>
    </r>
    <r>
      <rPr>
        <sz val="10"/>
        <color rgb="FF000000"/>
        <rFont val="Arial"/>
        <family val="0"/>
        <charset val="1"/>
      </rPr>
      <t xml:space="preserve">FY2025 </t>
    </r>
    <r>
      <rPr>
        <sz val="10"/>
        <color rgb="FF000000"/>
        <rFont val="Noto Sans CJK SC"/>
        <family val="2"/>
      </rPr>
      <t xml:space="preserve">本地化部署（年報）</t>
    </r>
  </si>
  <si>
    <r>
      <rPr>
        <sz val="9"/>
        <color rgb="FF595959"/>
        <rFont val="Arial"/>
        <family val="0"/>
        <charset val="1"/>
      </rPr>
      <t xml:space="preserve">SRC_ZP_121</t>
    </r>
    <r>
      <rPr>
        <sz val="9"/>
        <color rgb="FF595959"/>
        <rFont val="Noto Sans CJK SC"/>
        <family val="2"/>
      </rPr>
      <t xml:space="preserve">；官方報告分部（部署方式）</t>
    </r>
  </si>
  <si>
    <t xml:space="preserve">R85</t>
  </si>
  <si>
    <r>
      <rPr>
        <sz val="10"/>
        <color rgb="FF000000"/>
        <rFont val="Noto Sans CJK SC"/>
        <family val="2"/>
      </rPr>
      <t xml:space="preserve">模型：本地化部署分部列（②＋③＋④）</t>
    </r>
    <r>
      <rPr>
        <sz val="10"/>
        <color rgb="FF000000"/>
        <rFont val="Arial"/>
        <family val="0"/>
        <charset val="1"/>
      </rPr>
      <t xml:space="preserve">2025 </t>
    </r>
    <r>
      <rPr>
        <sz val="10"/>
        <color rgb="FF000000"/>
        <rFont val="Noto Sans CJK SC"/>
        <family val="2"/>
      </rPr>
      <t xml:space="preserve">欄</t>
    </r>
  </si>
  <si>
    <t xml:space="preserve">R86</t>
  </si>
  <si>
    <r>
      <rPr>
        <sz val="10"/>
        <color rgb="FF000000"/>
        <rFont val="Noto Sans CJK SC"/>
        <family val="2"/>
      </rPr>
      <t xml:space="preserve">對帳差額：</t>
    </r>
    <r>
      <rPr>
        <sz val="10"/>
        <color rgb="FF000000"/>
        <rFont val="Arial"/>
        <family val="0"/>
        <charset val="1"/>
      </rPr>
      <t xml:space="preserve">FY2025 </t>
    </r>
    <r>
      <rPr>
        <sz val="10"/>
        <color rgb="FF000000"/>
        <rFont val="Noto Sans CJK SC"/>
        <family val="2"/>
      </rPr>
      <t xml:space="preserve">本地化部署（模型或子項加總 − 官方）</t>
    </r>
  </si>
  <si>
    <r>
      <rPr>
        <sz val="9"/>
        <color rgb="FF595959"/>
        <rFont val="Noto Sans CJK SC"/>
        <family val="2"/>
      </rPr>
      <t xml:space="preserve">財報千元四捨五入至億元四位小數，容許微小差；超過 </t>
    </r>
    <r>
      <rPr>
        <sz val="9"/>
        <color rgb="FF595959"/>
        <rFont val="Arial"/>
        <family val="0"/>
        <charset val="1"/>
      </rPr>
      <t xml:space="preserve">Inputs </t>
    </r>
    <r>
      <rPr>
        <sz val="9"/>
        <color rgb="FF595959"/>
        <rFont val="Noto Sans CJK SC"/>
        <family val="2"/>
      </rPr>
      <t xml:space="preserve">容差即為差異</t>
    </r>
  </si>
  <si>
    <t xml:space="preserve">R87</t>
  </si>
  <si>
    <r>
      <rPr>
        <sz val="10"/>
        <color rgb="FF000000"/>
        <rFont val="Noto Sans CJK SC"/>
        <family val="2"/>
      </rPr>
      <t xml:space="preserve">判定：</t>
    </r>
    <r>
      <rPr>
        <sz val="10"/>
        <color rgb="FF000000"/>
        <rFont val="Arial"/>
        <family val="0"/>
        <charset val="1"/>
      </rPr>
      <t xml:space="preserve">FY2025 </t>
    </r>
    <r>
      <rPr>
        <sz val="10"/>
        <color rgb="FF000000"/>
        <rFont val="Noto Sans CJK SC"/>
        <family val="2"/>
      </rPr>
      <t xml:space="preserve">本地化部署（</t>
    </r>
    <r>
      <rPr>
        <sz val="10"/>
        <color rgb="FF000000"/>
        <rFont val="Arial"/>
        <family val="0"/>
        <charset val="1"/>
      </rPr>
      <t xml:space="preserve">|</t>
    </r>
    <r>
      <rPr>
        <sz val="10"/>
        <color rgb="FF000000"/>
        <rFont val="Noto Sans CJK SC"/>
        <family val="2"/>
      </rPr>
      <t xml:space="preserve">差額</t>
    </r>
    <r>
      <rPr>
        <sz val="10"/>
        <color rgb="FF000000"/>
        <rFont val="Arial"/>
        <family val="0"/>
        <charset val="1"/>
      </rPr>
      <t xml:space="preserve">| ≤ </t>
    </r>
    <r>
      <rPr>
        <sz val="10"/>
        <color rgb="FF000000"/>
        <rFont val="Noto Sans CJK SC"/>
        <family val="2"/>
      </rPr>
      <t xml:space="preserve">分部對帳容差 → </t>
    </r>
    <r>
      <rPr>
        <sz val="10"/>
        <color rgb="FF000000"/>
        <rFont val="Arial"/>
        <family val="0"/>
        <charset val="1"/>
      </rPr>
      <t xml:space="preserve">OK</t>
    </r>
    <r>
      <rPr>
        <sz val="10"/>
        <color rgb="FF000000"/>
        <rFont val="Noto Sans CJK SC"/>
        <family val="2"/>
      </rPr>
      <t xml:space="preserve">，否則 差異）</t>
    </r>
  </si>
  <si>
    <t xml:space="preserve">R88</t>
  </si>
  <si>
    <r>
      <rPr>
        <sz val="10"/>
        <color rgb="FF000000"/>
        <rFont val="Noto Sans CJK SC"/>
        <family val="2"/>
      </rPr>
      <t xml:space="preserve">官方分部：</t>
    </r>
    <r>
      <rPr>
        <sz val="10"/>
        <color rgb="FF000000"/>
        <rFont val="Arial"/>
        <family val="0"/>
        <charset val="1"/>
      </rPr>
      <t xml:space="preserve">FY2025 </t>
    </r>
    <r>
      <rPr>
        <sz val="10"/>
        <color rgb="FF000000"/>
        <rFont val="Noto Sans CJK SC"/>
        <family val="2"/>
      </rPr>
      <t xml:space="preserve">雲端部署（年報）</t>
    </r>
  </si>
  <si>
    <r>
      <rPr>
        <sz val="9"/>
        <color rgb="FF595959"/>
        <rFont val="Arial"/>
        <family val="0"/>
        <charset val="1"/>
      </rPr>
      <t xml:space="preserve">SRC_ZP_122</t>
    </r>
    <r>
      <rPr>
        <sz val="9"/>
        <color rgb="FF595959"/>
        <rFont val="Noto Sans CJK SC"/>
        <family val="2"/>
      </rPr>
      <t xml:space="preserve">；官方報告分部（部署方式）</t>
    </r>
  </si>
  <si>
    <t xml:space="preserve">R89</t>
  </si>
  <si>
    <r>
      <rPr>
        <sz val="10"/>
        <color rgb="FF000000"/>
        <rFont val="Noto Sans CJK SC"/>
        <family val="2"/>
      </rPr>
      <t xml:space="preserve">模型：雲端營收列（①）</t>
    </r>
    <r>
      <rPr>
        <sz val="10"/>
        <color rgb="FF000000"/>
        <rFont val="Arial"/>
        <family val="0"/>
        <charset val="1"/>
      </rPr>
      <t xml:space="preserve">2025 </t>
    </r>
    <r>
      <rPr>
        <sz val="10"/>
        <color rgb="FF000000"/>
        <rFont val="Noto Sans CJK SC"/>
        <family val="2"/>
      </rPr>
      <t xml:space="preserve">欄</t>
    </r>
  </si>
  <si>
    <t xml:space="preserve">R90</t>
  </si>
  <si>
    <r>
      <rPr>
        <sz val="10"/>
        <color rgb="FF000000"/>
        <rFont val="Noto Sans CJK SC"/>
        <family val="2"/>
      </rPr>
      <t xml:space="preserve">對帳差額：</t>
    </r>
    <r>
      <rPr>
        <sz val="10"/>
        <color rgb="FF000000"/>
        <rFont val="Arial"/>
        <family val="0"/>
        <charset val="1"/>
      </rPr>
      <t xml:space="preserve">FY2025 </t>
    </r>
    <r>
      <rPr>
        <sz val="10"/>
        <color rgb="FF000000"/>
        <rFont val="Noto Sans CJK SC"/>
        <family val="2"/>
      </rPr>
      <t xml:space="preserve">雲端部署（模型或子項加總 − 官方）</t>
    </r>
  </si>
  <si>
    <t xml:space="preserve">R91</t>
  </si>
  <si>
    <r>
      <rPr>
        <sz val="10"/>
        <color rgb="FF000000"/>
        <rFont val="Noto Sans CJK SC"/>
        <family val="2"/>
      </rPr>
      <t xml:space="preserve">判定：</t>
    </r>
    <r>
      <rPr>
        <sz val="10"/>
        <color rgb="FF000000"/>
        <rFont val="Arial"/>
        <family val="0"/>
        <charset val="1"/>
      </rPr>
      <t xml:space="preserve">FY2025 </t>
    </r>
    <r>
      <rPr>
        <sz val="10"/>
        <color rgb="FF000000"/>
        <rFont val="Noto Sans CJK SC"/>
        <family val="2"/>
      </rPr>
      <t xml:space="preserve">雲端部署（</t>
    </r>
    <r>
      <rPr>
        <sz val="10"/>
        <color rgb="FF000000"/>
        <rFont val="Arial"/>
        <family val="0"/>
        <charset val="1"/>
      </rPr>
      <t xml:space="preserve">|</t>
    </r>
    <r>
      <rPr>
        <sz val="10"/>
        <color rgb="FF000000"/>
        <rFont val="Noto Sans CJK SC"/>
        <family val="2"/>
      </rPr>
      <t xml:space="preserve">差額</t>
    </r>
    <r>
      <rPr>
        <sz val="10"/>
        <color rgb="FF000000"/>
        <rFont val="Arial"/>
        <family val="0"/>
        <charset val="1"/>
      </rPr>
      <t xml:space="preserve">| ≤ </t>
    </r>
    <r>
      <rPr>
        <sz val="10"/>
        <color rgb="FF000000"/>
        <rFont val="Noto Sans CJK SC"/>
        <family val="2"/>
      </rPr>
      <t xml:space="preserve">分部對帳容差 → </t>
    </r>
    <r>
      <rPr>
        <sz val="10"/>
        <color rgb="FF000000"/>
        <rFont val="Arial"/>
        <family val="0"/>
        <charset val="1"/>
      </rPr>
      <t xml:space="preserve">OK</t>
    </r>
    <r>
      <rPr>
        <sz val="10"/>
        <color rgb="FF000000"/>
        <rFont val="Noto Sans CJK SC"/>
        <family val="2"/>
      </rPr>
      <t xml:space="preserve">，否則 差異）</t>
    </r>
  </si>
  <si>
    <t xml:space="preserve">R92</t>
  </si>
  <si>
    <r>
      <rPr>
        <sz val="10"/>
        <color rgb="FF000000"/>
        <rFont val="Noto Sans CJK SC"/>
        <family val="2"/>
      </rPr>
      <t xml:space="preserve">官方分部：</t>
    </r>
    <r>
      <rPr>
        <sz val="10"/>
        <color rgb="FF000000"/>
        <rFont val="Arial"/>
        <family val="0"/>
        <charset val="1"/>
      </rPr>
      <t xml:space="preserve">1H2026 </t>
    </r>
    <r>
      <rPr>
        <sz val="10"/>
        <color rgb="FF000000"/>
        <rFont val="Noto Sans CJK SC"/>
        <family val="2"/>
      </rPr>
      <t xml:space="preserve">本地化部署（中期公告）</t>
    </r>
  </si>
  <si>
    <r>
      <rPr>
        <sz val="9"/>
        <color rgb="FF595959"/>
        <rFont val="Arial"/>
        <family val="0"/>
        <charset val="1"/>
      </rPr>
      <t xml:space="preserve">SRC_ZP_178</t>
    </r>
    <r>
      <rPr>
        <sz val="9"/>
        <color rgb="FF595959"/>
        <rFont val="Noto Sans CJK SC"/>
        <family val="2"/>
      </rPr>
      <t xml:space="preserve">；官方報告分部（部署方式）</t>
    </r>
  </si>
  <si>
    <t xml:space="preserve">R93</t>
  </si>
  <si>
    <r>
      <rPr>
        <sz val="10"/>
        <color rgb="FF000000"/>
        <rFont val="Noto Sans CJK SC"/>
        <family val="2"/>
      </rPr>
      <t xml:space="preserve">子項加總：②＋③＋④ 中期值（</t>
    </r>
    <r>
      <rPr>
        <sz val="10"/>
        <color rgb="FF000000"/>
        <rFont val="Arial"/>
        <family val="0"/>
        <charset val="1"/>
      </rPr>
      <t xml:space="preserve">SRC_ZP_171</t>
    </r>
    <r>
      <rPr>
        <sz val="10"/>
        <color rgb="FF000000"/>
        <rFont val="Noto Sans CJK SC"/>
        <family val="2"/>
      </rPr>
      <t xml:space="preserve">＋</t>
    </r>
    <r>
      <rPr>
        <sz val="10"/>
        <color rgb="FF000000"/>
        <rFont val="Arial"/>
        <family val="0"/>
        <charset val="1"/>
      </rPr>
      <t xml:space="preserve">173</t>
    </r>
    <r>
      <rPr>
        <sz val="10"/>
        <color rgb="FF000000"/>
        <rFont val="Noto Sans CJK SC"/>
        <family val="2"/>
      </rPr>
      <t xml:space="preserve">＋</t>
    </r>
    <r>
      <rPr>
        <sz val="10"/>
        <color rgb="FF000000"/>
        <rFont val="Arial"/>
        <family val="0"/>
        <charset val="1"/>
      </rPr>
      <t xml:space="preserve">175</t>
    </r>
    <r>
      <rPr>
        <sz val="10"/>
        <color rgb="FF000000"/>
        <rFont val="Noto Sans CJK SC"/>
        <family val="2"/>
      </rPr>
      <t xml:space="preserve">；模型為年度制，</t>
    </r>
    <r>
      <rPr>
        <sz val="10"/>
        <color rgb="FF000000"/>
        <rFont val="Arial"/>
        <family val="0"/>
        <charset val="1"/>
      </rPr>
      <t xml:space="preserve">1H </t>
    </r>
    <r>
      <rPr>
        <sz val="10"/>
        <color rgb="FF000000"/>
        <rFont val="Noto Sans CJK SC"/>
        <family val="2"/>
      </rPr>
      <t xml:space="preserve">不對模型年度值）</t>
    </r>
  </si>
  <si>
    <t xml:space="preserve">R94</t>
  </si>
  <si>
    <r>
      <rPr>
        <sz val="10"/>
        <color rgb="FF000000"/>
        <rFont val="Noto Sans CJK SC"/>
        <family val="2"/>
      </rPr>
      <t xml:space="preserve">對帳差額：</t>
    </r>
    <r>
      <rPr>
        <sz val="10"/>
        <color rgb="FF000000"/>
        <rFont val="Arial"/>
        <family val="0"/>
        <charset val="1"/>
      </rPr>
      <t xml:space="preserve">1H2026 </t>
    </r>
    <r>
      <rPr>
        <sz val="10"/>
        <color rgb="FF000000"/>
        <rFont val="Noto Sans CJK SC"/>
        <family val="2"/>
      </rPr>
      <t xml:space="preserve">本地化部署（模型或子項加總 − 官方）</t>
    </r>
  </si>
  <si>
    <t xml:space="preserve">R95</t>
  </si>
  <si>
    <r>
      <rPr>
        <sz val="10"/>
        <color rgb="FF000000"/>
        <rFont val="Noto Sans CJK SC"/>
        <family val="2"/>
      </rPr>
      <t xml:space="preserve">判定：</t>
    </r>
    <r>
      <rPr>
        <sz val="10"/>
        <color rgb="FF000000"/>
        <rFont val="Arial"/>
        <family val="0"/>
        <charset val="1"/>
      </rPr>
      <t xml:space="preserve">1H2026 </t>
    </r>
    <r>
      <rPr>
        <sz val="10"/>
        <color rgb="FF000000"/>
        <rFont val="Noto Sans CJK SC"/>
        <family val="2"/>
      </rPr>
      <t xml:space="preserve">本地化部署（</t>
    </r>
    <r>
      <rPr>
        <sz val="10"/>
        <color rgb="FF000000"/>
        <rFont val="Arial"/>
        <family val="0"/>
        <charset val="1"/>
      </rPr>
      <t xml:space="preserve">|</t>
    </r>
    <r>
      <rPr>
        <sz val="10"/>
        <color rgb="FF000000"/>
        <rFont val="Noto Sans CJK SC"/>
        <family val="2"/>
      </rPr>
      <t xml:space="preserve">差額</t>
    </r>
    <r>
      <rPr>
        <sz val="10"/>
        <color rgb="FF000000"/>
        <rFont val="Arial"/>
        <family val="0"/>
        <charset val="1"/>
      </rPr>
      <t xml:space="preserve">| ≤ </t>
    </r>
    <r>
      <rPr>
        <sz val="10"/>
        <color rgb="FF000000"/>
        <rFont val="Noto Sans CJK SC"/>
        <family val="2"/>
      </rPr>
      <t xml:space="preserve">分部對帳容差 → </t>
    </r>
    <r>
      <rPr>
        <sz val="10"/>
        <color rgb="FF000000"/>
        <rFont val="Arial"/>
        <family val="0"/>
        <charset val="1"/>
      </rPr>
      <t xml:space="preserve">OK</t>
    </r>
    <r>
      <rPr>
        <sz val="10"/>
        <color rgb="FF000000"/>
        <rFont val="Noto Sans CJK SC"/>
        <family val="2"/>
      </rPr>
      <t xml:space="preserve">，否則 差異）</t>
    </r>
  </si>
  <si>
    <t xml:space="preserve">R96</t>
  </si>
  <si>
    <r>
      <rPr>
        <sz val="10"/>
        <color rgb="FF000000"/>
        <rFont val="Noto Sans CJK SC"/>
        <family val="2"/>
      </rPr>
      <t xml:space="preserve">官方分部：</t>
    </r>
    <r>
      <rPr>
        <sz val="10"/>
        <color rgb="FF000000"/>
        <rFont val="Arial"/>
        <family val="0"/>
        <charset val="1"/>
      </rPr>
      <t xml:space="preserve">1H2026 </t>
    </r>
    <r>
      <rPr>
        <sz val="10"/>
        <color rgb="FF000000"/>
        <rFont val="Noto Sans CJK SC"/>
        <family val="2"/>
      </rPr>
      <t xml:space="preserve">雲端部署（中期公告）</t>
    </r>
  </si>
  <si>
    <r>
      <rPr>
        <sz val="9"/>
        <color rgb="FF595959"/>
        <rFont val="Arial"/>
        <family val="0"/>
        <charset val="1"/>
      </rPr>
      <t xml:space="preserve">SRC_ZP_179</t>
    </r>
    <r>
      <rPr>
        <sz val="9"/>
        <color rgb="FF595959"/>
        <rFont val="Noto Sans CJK SC"/>
        <family val="2"/>
      </rPr>
      <t xml:space="preserve">；官方報告分部（部署方式）</t>
    </r>
  </si>
  <si>
    <t xml:space="preserve">R97</t>
  </si>
  <si>
    <r>
      <rPr>
        <sz val="10"/>
        <color rgb="FF000000"/>
        <rFont val="Noto Sans CJK SC"/>
        <family val="2"/>
      </rPr>
      <t xml:space="preserve">子項：①開放平台及 </t>
    </r>
    <r>
      <rPr>
        <sz val="10"/>
        <color rgb="FF000000"/>
        <rFont val="Arial"/>
        <family val="0"/>
        <charset val="1"/>
      </rPr>
      <t xml:space="preserve">API </t>
    </r>
    <r>
      <rPr>
        <sz val="10"/>
        <color rgb="FF000000"/>
        <rFont val="Noto Sans CJK SC"/>
        <family val="2"/>
      </rPr>
      <t xml:space="preserve">中期值（</t>
    </r>
    <r>
      <rPr>
        <sz val="10"/>
        <color rgb="FF000000"/>
        <rFont val="Arial"/>
        <family val="0"/>
        <charset val="1"/>
      </rPr>
      <t xml:space="preserve">SRC_ZP_169</t>
    </r>
    <r>
      <rPr>
        <sz val="10"/>
        <color rgb="FF000000"/>
        <rFont val="Noto Sans CJK SC"/>
        <family val="2"/>
      </rPr>
      <t xml:space="preserve">）</t>
    </r>
  </si>
  <si>
    <t xml:space="preserve">R98</t>
  </si>
  <si>
    <r>
      <rPr>
        <sz val="10"/>
        <color rgb="FF000000"/>
        <rFont val="Noto Sans CJK SC"/>
        <family val="2"/>
      </rPr>
      <t xml:space="preserve">對帳差額：</t>
    </r>
    <r>
      <rPr>
        <sz val="10"/>
        <color rgb="FF000000"/>
        <rFont val="Arial"/>
        <family val="0"/>
        <charset val="1"/>
      </rPr>
      <t xml:space="preserve">1H2026 </t>
    </r>
    <r>
      <rPr>
        <sz val="10"/>
        <color rgb="FF000000"/>
        <rFont val="Noto Sans CJK SC"/>
        <family val="2"/>
      </rPr>
      <t xml:space="preserve">雲端部署（模型或子項加總 − 官方）</t>
    </r>
  </si>
  <si>
    <t xml:space="preserve">R99</t>
  </si>
  <si>
    <r>
      <rPr>
        <sz val="10"/>
        <color rgb="FF000000"/>
        <rFont val="Noto Sans CJK SC"/>
        <family val="2"/>
      </rPr>
      <t xml:space="preserve">判定：</t>
    </r>
    <r>
      <rPr>
        <sz val="10"/>
        <color rgb="FF000000"/>
        <rFont val="Arial"/>
        <family val="0"/>
        <charset val="1"/>
      </rPr>
      <t xml:space="preserve">1H2026 </t>
    </r>
    <r>
      <rPr>
        <sz val="10"/>
        <color rgb="FF000000"/>
        <rFont val="Noto Sans CJK SC"/>
        <family val="2"/>
      </rPr>
      <t xml:space="preserve">雲端部署（</t>
    </r>
    <r>
      <rPr>
        <sz val="10"/>
        <color rgb="FF000000"/>
        <rFont val="Arial"/>
        <family val="0"/>
        <charset val="1"/>
      </rPr>
      <t xml:space="preserve">|</t>
    </r>
    <r>
      <rPr>
        <sz val="10"/>
        <color rgb="FF000000"/>
        <rFont val="Noto Sans CJK SC"/>
        <family val="2"/>
      </rPr>
      <t xml:space="preserve">差額</t>
    </r>
    <r>
      <rPr>
        <sz val="10"/>
        <color rgb="FF000000"/>
        <rFont val="Arial"/>
        <family val="0"/>
        <charset val="1"/>
      </rPr>
      <t xml:space="preserve">| ≤ </t>
    </r>
    <r>
      <rPr>
        <sz val="10"/>
        <color rgb="FF000000"/>
        <rFont val="Noto Sans CJK SC"/>
        <family val="2"/>
      </rPr>
      <t xml:space="preserve">分部對帳容差 → </t>
    </r>
    <r>
      <rPr>
        <sz val="10"/>
        <color rgb="FF000000"/>
        <rFont val="Arial"/>
        <family val="0"/>
        <charset val="1"/>
      </rPr>
      <t xml:space="preserve">OK</t>
    </r>
    <r>
      <rPr>
        <sz val="10"/>
        <color rgb="FF000000"/>
        <rFont val="Noto Sans CJK SC"/>
        <family val="2"/>
      </rPr>
      <t xml:space="preserve">，否則 差異）</t>
    </r>
  </si>
  <si>
    <r>
      <rPr>
        <b val="true"/>
        <sz val="13"/>
        <rFont val="Arial"/>
        <family val="0"/>
        <charset val="1"/>
      </rPr>
      <t xml:space="preserve">Compute — </t>
    </r>
    <r>
      <rPr>
        <b val="true"/>
        <sz val="13"/>
        <rFont val="Noto Sans CJK SC"/>
        <family val="2"/>
      </rPr>
      <t xml:space="preserve">算力：晶片族（</t>
    </r>
    <r>
      <rPr>
        <b val="true"/>
        <sz val="13"/>
        <rFont val="Arial"/>
        <family val="0"/>
        <charset val="1"/>
      </rPr>
      <t xml:space="preserve">Hopper</t>
    </r>
    <r>
      <rPr>
        <b val="true"/>
        <sz val="13"/>
        <rFont val="Noto Sans CJK SC"/>
        <family val="2"/>
      </rPr>
      <t xml:space="preserve">／</t>
    </r>
    <r>
      <rPr>
        <b val="true"/>
        <sz val="13"/>
        <rFont val="Arial"/>
        <family val="0"/>
        <charset val="1"/>
      </rPr>
      <t xml:space="preserve">H20</t>
    </r>
    <r>
      <rPr>
        <b val="true"/>
        <sz val="13"/>
        <rFont val="Noto Sans CJK SC"/>
        <family val="2"/>
      </rPr>
      <t xml:space="preserve">／國產）每 </t>
    </r>
    <r>
      <rPr>
        <b val="true"/>
        <sz val="13"/>
        <rFont val="Arial"/>
        <family val="0"/>
        <charset val="1"/>
      </rPr>
      <t xml:space="preserve">GW </t>
    </r>
    <r>
      <rPr>
        <b val="true"/>
        <sz val="13"/>
        <rFont val="Noto Sans CJK SC"/>
        <family val="2"/>
      </rPr>
      <t xml:space="preserve">產能、組合、</t>
    </r>
    <r>
      <rPr>
        <b val="true"/>
        <sz val="13"/>
        <rFont val="Arial"/>
        <family val="0"/>
        <charset val="1"/>
      </rPr>
      <t xml:space="preserve">token </t>
    </r>
    <r>
      <rPr>
        <b val="true"/>
        <sz val="13"/>
        <rFont val="Noto Sans CJK SC"/>
        <family val="2"/>
      </rPr>
      <t xml:space="preserve">換算 </t>
    </r>
    <r>
      <rPr>
        <b val="true"/>
        <sz val="13"/>
        <rFont val="Arial"/>
        <family val="0"/>
        <charset val="1"/>
      </rPr>
      <t xml:space="preserve">GW</t>
    </r>
    <r>
      <rPr>
        <b val="true"/>
        <sz val="13"/>
        <rFont val="Noto Sans CJK SC"/>
        <family val="2"/>
      </rPr>
      <t xml:space="preserve">、算力服務費與每 </t>
    </r>
    <r>
      <rPr>
        <b val="true"/>
        <sz val="13"/>
        <rFont val="Arial"/>
        <family val="0"/>
        <charset val="1"/>
      </rPr>
      <t xml:space="preserve">GW </t>
    </r>
    <r>
      <rPr>
        <b val="true"/>
        <sz val="13"/>
        <rFont val="Noto Sans CJK SC"/>
        <family val="2"/>
      </rPr>
      <t xml:space="preserve">價格 → 供給 </t>
    </r>
    <r>
      <rPr>
        <b val="true"/>
        <sz val="13"/>
        <rFont val="Arial"/>
        <family val="0"/>
        <charset val="1"/>
      </rPr>
      <t xml:space="preserve">GW</t>
    </r>
    <r>
      <rPr>
        <b val="true"/>
        <sz val="13"/>
        <rFont val="Noto Sans CJK SC"/>
        <family val="2"/>
      </rPr>
      <t xml:space="preserve">、</t>
    </r>
    <r>
      <rPr>
        <b val="true"/>
        <sz val="13"/>
        <rFont val="Arial"/>
        <family val="0"/>
        <charset val="1"/>
      </rPr>
      <t xml:space="preserve">η</t>
    </r>
    <r>
      <rPr>
        <b val="true"/>
        <sz val="13"/>
        <rFont val="Noto Sans CJK SC"/>
        <family val="2"/>
      </rPr>
      <t xml:space="preserve">、有效推論 </t>
    </r>
    <r>
      <rPr>
        <b val="true"/>
        <sz val="13"/>
        <rFont val="Arial"/>
        <family val="0"/>
        <charset val="1"/>
      </rPr>
      <t xml:space="preserve">GW</t>
    </r>
    <r>
      <rPr>
        <b val="true"/>
        <sz val="13"/>
        <rFont val="Noto Sans CJK SC"/>
        <family val="2"/>
      </rPr>
      <t xml:space="preserve">、研發 </t>
    </r>
    <r>
      <rPr>
        <b val="true"/>
        <sz val="13"/>
        <rFont val="Arial"/>
        <family val="0"/>
        <charset val="1"/>
      </rPr>
      <t xml:space="preserve">GW</t>
    </r>
    <r>
      <rPr>
        <b val="true"/>
        <sz val="13"/>
        <rFont val="Noto Sans CJK SC"/>
        <family val="2"/>
      </rPr>
      <t xml:space="preserve">（殘差）、容量上限、</t>
    </r>
    <r>
      <rPr>
        <b val="true"/>
        <sz val="13"/>
        <rFont val="Arial"/>
        <family val="0"/>
        <charset val="1"/>
      </rPr>
      <t xml:space="preserve">VR </t>
    </r>
    <r>
      <rPr>
        <b val="true"/>
        <sz val="13"/>
        <rFont val="Noto Sans CJK SC"/>
        <family val="2"/>
      </rPr>
      <t xml:space="preserve">等值、</t>
    </r>
    <r>
      <rPr>
        <b val="true"/>
        <sz val="13"/>
        <rFont val="Arial"/>
        <family val="0"/>
        <charset val="1"/>
      </rPr>
      <t xml:space="preserve">10 </t>
    </r>
    <r>
      <rPr>
        <b val="true"/>
        <sz val="13"/>
        <rFont val="Noto Sans CJK SC"/>
        <family val="2"/>
      </rPr>
      <t xml:space="preserve">萬國產晶片對照、敏感度</t>
    </r>
  </si>
  <si>
    <r>
      <rPr>
        <sz val="9"/>
        <color rgb="FF595959"/>
        <rFont val="Noto Sans CJK SC"/>
        <family val="2"/>
      </rPr>
      <t xml:space="preserve">規格 </t>
    </r>
    <r>
      <rPr>
        <sz val="9"/>
        <color rgb="FF595959"/>
        <rFont val="Arial"/>
        <family val="0"/>
        <charset val="1"/>
      </rPr>
      <t xml:space="preserve">D6–D12</t>
    </r>
    <r>
      <rPr>
        <sz val="9"/>
        <color rgb="FF595959"/>
        <rFont val="Noto Sans CJK SC"/>
        <family val="2"/>
      </rPr>
      <t xml:space="preserve">、</t>
    </r>
    <r>
      <rPr>
        <sz val="9"/>
        <color rgb="FF595959"/>
        <rFont val="Arial"/>
        <family val="0"/>
        <charset val="1"/>
      </rPr>
      <t xml:space="preserve">r1 D8r</t>
    </r>
    <r>
      <rPr>
        <sz val="9"/>
        <color rgb="FF595959"/>
        <rFont val="Noto Sans CJK SC"/>
        <family val="2"/>
      </rPr>
      <t xml:space="preserve">／</t>
    </r>
    <r>
      <rPr>
        <sz val="9"/>
        <color rgb="FF595959"/>
        <rFont val="Arial"/>
        <family val="0"/>
        <charset val="1"/>
      </rPr>
      <t xml:space="preserve">D9r</t>
    </r>
    <r>
      <rPr>
        <sz val="9"/>
        <color rgb="FF595959"/>
        <rFont val="Noto Sans CJK SC"/>
        <family val="2"/>
      </rPr>
      <t xml:space="preserve">／</t>
    </r>
    <r>
      <rPr>
        <sz val="9"/>
        <color rgb="FF595959"/>
        <rFont val="Arial"/>
        <family val="0"/>
        <charset val="1"/>
      </rPr>
      <t xml:space="preserve">D10r</t>
    </r>
    <r>
      <rPr>
        <sz val="9"/>
        <color rgb="FF595959"/>
        <rFont val="Noto Sans CJK SC"/>
        <family val="2"/>
      </rPr>
      <t xml:space="preserve">／</t>
    </r>
    <r>
      <rPr>
        <sz val="9"/>
        <color rgb="FF595959"/>
        <rFont val="Arial"/>
        <family val="0"/>
        <charset val="1"/>
      </rPr>
      <t xml:space="preserve">D11r</t>
    </r>
    <r>
      <rPr>
        <sz val="9"/>
        <color rgb="FF595959"/>
        <rFont val="Noto Sans CJK SC"/>
        <family val="2"/>
      </rPr>
      <t xml:space="preserve">。產能取 </t>
    </r>
    <r>
      <rPr>
        <sz val="9"/>
        <color rgb="FF595959"/>
        <rFont val="Arial"/>
        <family val="0"/>
        <charset val="1"/>
      </rPr>
      <t xml:space="preserve">TK_Link</t>
    </r>
    <r>
      <rPr>
        <sz val="9"/>
        <color rgb="FF595959"/>
        <rFont val="Noto Sans CJK SC"/>
        <family val="2"/>
      </rPr>
      <t xml:space="preserve">（</t>
    </r>
    <r>
      <rPr>
        <sz val="9"/>
        <color rgb="FF595959"/>
        <rFont val="Arial"/>
        <family val="0"/>
        <charset val="1"/>
      </rPr>
      <t xml:space="preserve">Hopper H100 </t>
    </r>
    <r>
      <rPr>
        <sz val="9"/>
        <color rgb="FF595959"/>
        <rFont val="Noto Sans CJK SC"/>
        <family val="2"/>
      </rPr>
      <t xml:space="preserve">欄的 </t>
    </r>
    <r>
      <rPr>
        <sz val="9"/>
        <color rgb="FF595959"/>
        <rFont val="Arial"/>
        <family val="0"/>
        <charset val="1"/>
      </rPr>
      <t xml:space="preserve">IF_TokGW_*</t>
    </r>
    <r>
      <rPr>
        <sz val="9"/>
        <color rgb="FF595959"/>
        <rFont val="Noto Sans CJK SC"/>
        <family val="2"/>
      </rPr>
      <t xml:space="preserve">、</t>
    </r>
    <r>
      <rPr>
        <sz val="9"/>
        <color rgb="FF595959"/>
        <rFont val="Arial"/>
        <family val="0"/>
        <charset val="1"/>
      </rPr>
      <t xml:space="preserve">IF_Util</t>
    </r>
    <r>
      <rPr>
        <sz val="9"/>
        <color rgb="FF595959"/>
        <rFont val="Noto Sans CJK SC"/>
        <family val="2"/>
      </rPr>
      <t xml:space="preserve">）；</t>
    </r>
    <r>
      <rPr>
        <sz val="9"/>
        <color rgb="FF595959"/>
        <rFont val="Arial"/>
        <family val="0"/>
        <charset val="1"/>
      </rPr>
      <t xml:space="preserve">H20</t>
    </r>
    <r>
      <rPr>
        <sz val="9"/>
        <color rgb="FF595959"/>
        <rFont val="Noto Sans CJK SC"/>
        <family val="2"/>
      </rPr>
      <t xml:space="preserve">、國產＝</t>
    </r>
    <r>
      <rPr>
        <sz val="9"/>
        <color rgb="FF595959"/>
        <rFont val="Arial"/>
        <family val="0"/>
        <charset val="1"/>
      </rPr>
      <t xml:space="preserve">Hopper × Inputs </t>
    </r>
    <r>
      <rPr>
        <sz val="9"/>
        <color rgb="FF595959"/>
        <rFont val="Noto Sans CJK SC"/>
        <family val="2"/>
      </rPr>
      <t xml:space="preserve">比例（</t>
    </r>
    <r>
      <rPr>
        <sz val="9"/>
        <color rgb="FF595959"/>
        <rFont val="Arial"/>
        <family val="0"/>
        <charset val="1"/>
      </rPr>
      <t xml:space="preserve">Tokenomics </t>
    </r>
    <r>
      <rPr>
        <sz val="9"/>
        <color rgb="FF595959"/>
        <rFont val="Noto Sans CJK SC"/>
        <family val="2"/>
      </rPr>
      <t xml:space="preserve">缺口）。</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：供給 </t>
    </r>
    <r>
      <rPr>
        <sz val="9"/>
        <color rgb="FF595959"/>
        <rFont val="Arial"/>
        <family val="0"/>
        <charset val="1"/>
      </rPr>
      <t xml:space="preserve">GW</t>
    </r>
    <r>
      <rPr>
        <sz val="9"/>
        <color rgb="FF595959"/>
        <rFont val="Noto Sans CJK SC"/>
        <family val="2"/>
      </rPr>
      <t xml:space="preserve">＝算力服務費 </t>
    </r>
    <r>
      <rPr>
        <sz val="9"/>
        <color rgb="FF595959"/>
        <rFont val="Arial"/>
        <family val="0"/>
        <charset val="1"/>
      </rPr>
      <t xml:space="preserve">÷ </t>
    </r>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價格（智譜不揭露 </t>
    </r>
    <r>
      <rPr>
        <sz val="9"/>
        <color rgb="FF595959"/>
        <rFont val="Arial"/>
        <family val="0"/>
        <charset val="1"/>
      </rPr>
      <t xml:space="preserve">GW</t>
    </r>
    <r>
      <rPr>
        <sz val="9"/>
        <color rgb="FF595959"/>
        <rFont val="Noto Sans CJK SC"/>
        <family val="2"/>
      </rPr>
      <t xml:space="preserve">，只能由金額推）；</t>
    </r>
    <r>
      <rPr>
        <sz val="9"/>
        <color rgb="FF595959"/>
        <rFont val="Arial"/>
        <family val="0"/>
        <charset val="1"/>
      </rPr>
      <t xml:space="preserve">η</t>
    </r>
    <r>
      <rPr>
        <sz val="9"/>
        <color rgb="FF595959"/>
        <rFont val="Noto Sans CJK SC"/>
        <family val="2"/>
      </rPr>
      <t xml:space="preserve">＝</t>
    </r>
    <r>
      <rPr>
        <sz val="9"/>
        <color rgb="FF595959"/>
        <rFont val="Arial"/>
        <family val="0"/>
        <charset val="1"/>
      </rPr>
      <t xml:space="preserve">token </t>
    </r>
    <r>
      <rPr>
        <sz val="9"/>
        <color rgb="FF595959"/>
        <rFont val="Noto Sans CJK SC"/>
        <family val="2"/>
      </rPr>
      <t xml:space="preserve">換算推論 </t>
    </r>
    <r>
      <rPr>
        <sz val="9"/>
        <color rgb="FF595959"/>
        <rFont val="Arial"/>
        <family val="0"/>
        <charset val="1"/>
      </rPr>
      <t xml:space="preserve">GW ÷ </t>
    </r>
    <r>
      <rPr>
        <sz val="9"/>
        <color rgb="FF595959"/>
        <rFont val="Noto Sans CJK SC"/>
        <family val="2"/>
      </rPr>
      <t xml:space="preserve">支出換算推論 </t>
    </r>
    <r>
      <rPr>
        <sz val="9"/>
        <color rgb="FF595959"/>
        <rFont val="Arial"/>
        <family val="0"/>
        <charset val="1"/>
      </rPr>
      <t xml:space="preserve">GW</t>
    </r>
    <r>
      <rPr>
        <sz val="9"/>
        <color rgb="FF595959"/>
        <rFont val="Noto Sans CJK SC"/>
        <family val="2"/>
      </rPr>
      <t xml:space="preserve">。</t>
    </r>
    <r>
      <rPr>
        <sz val="9"/>
        <color rgb="FF595959"/>
        <rFont val="Arial"/>
        <family val="0"/>
        <charset val="1"/>
      </rPr>
      <t xml:space="preserve">2H26 </t>
    </r>
    <r>
      <rPr>
        <sz val="9"/>
        <color rgb="FF595959"/>
        <rFont val="Noto Sans CJK SC"/>
        <family val="2"/>
      </rPr>
      <t xml:space="preserve">起：供給依需求配置（見第八節）。</t>
    </r>
  </si>
  <si>
    <r>
      <rPr>
        <sz val="9"/>
        <color rgb="FF595959"/>
        <rFont val="Arial"/>
        <family val="0"/>
        <charset val="1"/>
      </rPr>
      <t xml:space="preserve">GW</t>
    </r>
    <r>
      <rPr>
        <sz val="9"/>
        <color rgb="FF595959"/>
        <rFont val="Noto Sans CJK SC"/>
        <family val="2"/>
      </rPr>
      <t xml:space="preserve">＝</t>
    </r>
    <r>
      <rPr>
        <sz val="9"/>
        <color rgb="FF595959"/>
        <rFont val="Arial"/>
        <family val="0"/>
        <charset val="1"/>
      </rPr>
      <t xml:space="preserve">IT </t>
    </r>
    <r>
      <rPr>
        <sz val="9"/>
        <color rgb="FF595959"/>
        <rFont val="Noto Sans CJK SC"/>
        <family val="2"/>
      </rPr>
      <t xml:space="preserve">關鍵電力、期間平均；半年欄（</t>
    </r>
    <r>
      <rPr>
        <sz val="9"/>
        <color rgb="FF595959"/>
        <rFont val="Arial"/>
        <family val="0"/>
        <charset val="1"/>
      </rPr>
      <t xml:space="preserve">K</t>
    </r>
    <r>
      <rPr>
        <sz val="9"/>
        <color rgb="FF595959"/>
        <rFont val="Noto Sans CJK SC"/>
        <family val="2"/>
      </rPr>
      <t xml:space="preserve">、</t>
    </r>
    <r>
      <rPr>
        <sz val="9"/>
        <color rgb="FF595959"/>
        <rFont val="Arial"/>
        <family val="0"/>
        <charset val="1"/>
      </rPr>
      <t xml:space="preserve">L</t>
    </r>
    <r>
      <rPr>
        <sz val="9"/>
        <color rgb="FF595959"/>
        <rFont val="Noto Sans CJK SC"/>
        <family val="2"/>
      </rPr>
      <t xml:space="preserve">）為該半年平均 </t>
    </r>
    <r>
      <rPr>
        <sz val="9"/>
        <color rgb="FF595959"/>
        <rFont val="Arial"/>
        <family val="0"/>
        <charset val="1"/>
      </rPr>
      <t xml:space="preserve">GW</t>
    </r>
    <r>
      <rPr>
        <sz val="9"/>
        <color rgb="FF595959"/>
        <rFont val="Noto Sans CJK SC"/>
        <family val="2"/>
      </rPr>
      <t xml:space="preserve">；</t>
    </r>
    <r>
      <rPr>
        <sz val="9"/>
        <color rgb="FF595959"/>
        <rFont val="Arial"/>
        <family val="0"/>
        <charset val="1"/>
      </rPr>
      <t xml:space="preserve">2026</t>
    </r>
    <r>
      <rPr>
        <sz val="9"/>
        <color rgb="FF595959"/>
        <rFont val="Noto Sans CJK SC"/>
        <family val="2"/>
      </rPr>
      <t xml:space="preserve">（</t>
    </r>
    <r>
      <rPr>
        <sz val="9"/>
        <color rgb="FF595959"/>
        <rFont val="Arial"/>
        <family val="0"/>
        <charset val="1"/>
      </rPr>
      <t xml:space="preserve">E</t>
    </r>
    <r>
      <rPr>
        <sz val="9"/>
        <color rgb="FF595959"/>
        <rFont val="Noto Sans CJK SC"/>
        <family val="2"/>
      </rPr>
      <t xml:space="preserve">）＝兩個半年依天數加權。每 </t>
    </r>
    <r>
      <rPr>
        <sz val="9"/>
        <color rgb="FF595959"/>
        <rFont val="Arial"/>
        <family val="0"/>
        <charset val="1"/>
      </rPr>
      <t xml:space="preserve">GW </t>
    </r>
    <r>
      <rPr>
        <sz val="9"/>
        <color rgb="FF595959"/>
        <rFont val="Noto Sans CJK SC"/>
        <family val="2"/>
      </rPr>
      <t xml:space="preserve">價格 </t>
    </r>
    <r>
      <rPr>
        <sz val="9"/>
        <color rgb="FF595959"/>
        <rFont val="Arial"/>
        <family val="0"/>
        <charset val="1"/>
      </rPr>
      <t xml:space="preserve">RMB </t>
    </r>
    <r>
      <rPr>
        <sz val="9"/>
        <color rgb="FF595959"/>
        <rFont val="Noto Sans CJK SC"/>
        <family val="2"/>
      </rPr>
      <t xml:space="preserve">億／</t>
    </r>
    <r>
      <rPr>
        <sz val="9"/>
        <color rgb="FF595959"/>
        <rFont val="Arial"/>
        <family val="0"/>
        <charset val="1"/>
      </rPr>
      <t xml:space="preserve">GW</t>
    </r>
    <r>
      <rPr>
        <sz val="9"/>
        <color rgb="FF595959"/>
        <rFont val="Noto Sans CJK SC"/>
        <family val="2"/>
      </rPr>
      <t xml:space="preserve">／年。</t>
    </r>
    <r>
      <rPr>
        <sz val="9"/>
        <color rgb="FF595959"/>
        <rFont val="Arial"/>
        <family val="0"/>
        <charset val="1"/>
      </rPr>
      <t xml:space="preserve">token</t>
    </r>
    <r>
      <rPr>
        <sz val="9"/>
        <color rgb="FF595959"/>
        <rFont val="Noto Sans CJK SC"/>
        <family val="2"/>
      </rPr>
      <t xml:space="preserve">：</t>
    </r>
    <r>
      <rPr>
        <sz val="9"/>
        <color rgb="FF595959"/>
        <rFont val="Arial"/>
        <family val="0"/>
        <charset val="1"/>
      </rPr>
      <t xml:space="preserve">T</t>
    </r>
    <r>
      <rPr>
        <sz val="9"/>
        <color rgb="FF595959"/>
        <rFont val="Noto Sans CJK SC"/>
        <family val="2"/>
      </rPr>
      <t xml:space="preserve">（兆）；產能：</t>
    </r>
    <r>
      <rPr>
        <sz val="9"/>
        <color rgb="FF595959"/>
        <rFont val="Arial"/>
        <family val="0"/>
        <charset val="1"/>
      </rPr>
      <t xml:space="preserve">M tok</t>
    </r>
    <r>
      <rPr>
        <sz val="9"/>
        <color rgb="FF595959"/>
        <rFont val="Noto Sans CJK SC"/>
        <family val="2"/>
      </rPr>
      <t xml:space="preserve">／</t>
    </r>
    <r>
      <rPr>
        <sz val="9"/>
        <color rgb="FF595959"/>
        <rFont val="Arial"/>
        <family val="0"/>
        <charset val="1"/>
      </rPr>
      <t xml:space="preserve">GW</t>
    </r>
    <r>
      <rPr>
        <sz val="9"/>
        <color rgb="FF595959"/>
        <rFont val="Noto Sans CJK SC"/>
        <family val="2"/>
      </rPr>
      <t xml:space="preserve">／年。</t>
    </r>
  </si>
  <si>
    <r>
      <rPr>
        <b val="true"/>
        <sz val="10"/>
        <rFont val="Noto Sans CJK SC"/>
        <family val="2"/>
      </rPr>
      <t xml:space="preserve">一、晶片族每 </t>
    </r>
    <r>
      <rPr>
        <b val="true"/>
        <sz val="10"/>
        <rFont val="Arial"/>
        <family val="0"/>
        <charset val="1"/>
      </rPr>
      <t xml:space="preserve">GW </t>
    </r>
    <r>
      <rPr>
        <b val="true"/>
        <sz val="10"/>
        <rFont val="Noto Sans CJK SC"/>
        <family val="2"/>
      </rPr>
      <t xml:space="preserve">年產能（</t>
    </r>
    <r>
      <rPr>
        <b val="true"/>
        <sz val="10"/>
        <rFont val="Arial"/>
        <family val="0"/>
        <charset val="1"/>
      </rPr>
      <t xml:space="preserve">100% </t>
    </r>
    <r>
      <rPr>
        <b val="true"/>
        <sz val="10"/>
        <rFont val="Noto Sans CJK SC"/>
        <family val="2"/>
      </rPr>
      <t xml:space="preserve">利用率；</t>
    </r>
    <r>
      <rPr>
        <b val="true"/>
        <sz val="10"/>
        <rFont val="Arial"/>
        <family val="0"/>
        <charset val="1"/>
      </rPr>
      <t xml:space="preserve">TK IF_TokGW_* Hopper H100</t>
    </r>
    <r>
      <rPr>
        <b val="true"/>
        <sz val="10"/>
        <rFont val="Noto Sans CJK SC"/>
        <family val="2"/>
      </rPr>
      <t xml:space="preserve">／</t>
    </r>
    <r>
      <rPr>
        <b val="true"/>
        <sz val="10"/>
        <rFont val="Arial"/>
        <family val="0"/>
        <charset val="1"/>
      </rPr>
      <t xml:space="preserve">VR200 NVL72 </t>
    </r>
    <r>
      <rPr>
        <b val="true"/>
        <sz val="10"/>
        <rFont val="Noto Sans CJK SC"/>
        <family val="2"/>
      </rPr>
      <t xml:space="preserve">基準欄；</t>
    </r>
    <r>
      <rPr>
        <b val="true"/>
        <sz val="10"/>
        <rFont val="Arial"/>
        <family val="0"/>
        <charset val="1"/>
      </rPr>
      <t xml:space="preserve">H20</t>
    </r>
    <r>
      <rPr>
        <b val="true"/>
        <sz val="10"/>
        <rFont val="Noto Sans CJK SC"/>
        <family val="2"/>
      </rPr>
      <t xml:space="preserve">、國產＝</t>
    </r>
    <r>
      <rPr>
        <b val="true"/>
        <sz val="10"/>
        <rFont val="Arial"/>
        <family val="0"/>
        <charset val="1"/>
      </rPr>
      <t xml:space="preserve">Hopper × </t>
    </r>
    <r>
      <rPr>
        <b val="true"/>
        <sz val="10"/>
        <rFont val="Noto Sans CJK SC"/>
        <family val="2"/>
      </rPr>
      <t xml:space="preserve">比例）</t>
    </r>
  </si>
  <si>
    <t xml:space="preserve">G01</t>
  </si>
  <si>
    <r>
      <rPr>
        <sz val="10"/>
        <color rgb="FF000000"/>
        <rFont val="Arial"/>
        <family val="0"/>
        <charset val="1"/>
      </rPr>
      <t xml:space="preserve">Tokenomics </t>
    </r>
    <r>
      <rPr>
        <sz val="10"/>
        <color rgb="FF000000"/>
        <rFont val="Noto Sans CJK SC"/>
        <family val="2"/>
      </rPr>
      <t xml:space="preserve">世代鍵：</t>
    </r>
    <r>
      <rPr>
        <sz val="10"/>
        <color rgb="FF000000"/>
        <rFont val="Arial"/>
        <family val="0"/>
        <charset val="1"/>
      </rPr>
      <t xml:space="preserve">Hopper</t>
    </r>
  </si>
  <si>
    <r>
      <rPr>
        <sz val="9"/>
        <color rgb="FF595959"/>
        <rFont val="Arial"/>
        <family val="0"/>
        <charset val="1"/>
      </rPr>
      <t xml:space="preserve">TK_HdrGen </t>
    </r>
    <r>
      <rPr>
        <sz val="9"/>
        <color rgb="FF595959"/>
        <rFont val="Noto Sans CJK SC"/>
        <family val="2"/>
      </rPr>
      <t xml:space="preserve">的世代名稱（文字鍵，</t>
    </r>
    <r>
      <rPr>
        <sz val="9"/>
        <color rgb="FF595959"/>
        <rFont val="Arial"/>
        <family val="0"/>
        <charset val="1"/>
      </rPr>
      <t xml:space="preserve">SUMIFS </t>
    </r>
    <r>
      <rPr>
        <sz val="9"/>
        <color rgb="FF595959"/>
        <rFont val="Noto Sans CJK SC"/>
        <family val="2"/>
      </rPr>
      <t xml:space="preserve">用）</t>
    </r>
  </si>
  <si>
    <t xml:space="preserve">G02</t>
  </si>
  <si>
    <r>
      <rPr>
        <sz val="10"/>
        <color rgb="FF000000"/>
        <rFont val="Arial"/>
        <family val="0"/>
        <charset val="1"/>
      </rPr>
      <t xml:space="preserve">Tokenomics </t>
    </r>
    <r>
      <rPr>
        <sz val="10"/>
        <color rgb="FF000000"/>
        <rFont val="Noto Sans CJK SC"/>
        <family val="2"/>
      </rPr>
      <t xml:space="preserve">世代鍵：</t>
    </r>
    <r>
      <rPr>
        <sz val="10"/>
        <color rgb="FF000000"/>
        <rFont val="Arial"/>
        <family val="0"/>
        <charset val="1"/>
      </rPr>
      <t xml:space="preserve">VR200</t>
    </r>
    <r>
      <rPr>
        <sz val="10"/>
        <color rgb="FF000000"/>
        <rFont val="Noto Sans CJK SC"/>
        <family val="2"/>
      </rPr>
      <t xml:space="preserve">（</t>
    </r>
    <r>
      <rPr>
        <sz val="10"/>
        <color rgb="FF000000"/>
        <rFont val="Arial"/>
        <family val="0"/>
        <charset val="1"/>
      </rPr>
      <t xml:space="preserve">VR </t>
    </r>
    <r>
      <rPr>
        <sz val="10"/>
        <color rgb="FF000000"/>
        <rFont val="Noto Sans CJK SC"/>
        <family val="2"/>
      </rPr>
      <t xml:space="preserve">等值基準）</t>
    </r>
  </si>
  <si>
    <t xml:space="preserve">G03</t>
  </si>
  <si>
    <r>
      <rPr>
        <sz val="10"/>
        <color rgb="FF000000"/>
        <rFont val="Arial"/>
        <family val="0"/>
        <charset val="1"/>
      </rPr>
      <t xml:space="preserve">Tokenomics </t>
    </r>
    <r>
      <rPr>
        <sz val="10"/>
        <color rgb="FF000000"/>
        <rFont val="Noto Sans CJK SC"/>
        <family val="2"/>
      </rPr>
      <t xml:space="preserve">成本情境鍵：基準</t>
    </r>
  </si>
  <si>
    <r>
      <rPr>
        <sz val="9"/>
        <color rgb="FF595959"/>
        <rFont val="Arial"/>
        <family val="0"/>
        <charset val="1"/>
      </rPr>
      <t xml:space="preserve">TK_HdrCost</t>
    </r>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總產出三個成本情境同值）</t>
    </r>
  </si>
  <si>
    <t xml:space="preserve">G04</t>
  </si>
  <si>
    <r>
      <rPr>
        <sz val="10"/>
        <color rgb="FF000000"/>
        <rFont val="Arial"/>
        <family val="0"/>
        <charset val="1"/>
      </rPr>
      <t xml:space="preserve">TK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t>
    </r>
    <r>
      <rPr>
        <sz val="10"/>
        <color rgb="FF000000"/>
        <rFont val="Arial"/>
        <family val="0"/>
        <charset val="1"/>
      </rPr>
      <t xml:space="preserve">Hopper × Sol</t>
    </r>
  </si>
  <si>
    <r>
      <rPr>
        <sz val="10"/>
        <color rgb="FF000000"/>
        <rFont val="Arial"/>
        <family val="0"/>
        <charset val="1"/>
      </rPr>
      <t xml:space="preserve">M tok/GW/</t>
    </r>
    <r>
      <rPr>
        <sz val="10"/>
        <color rgb="FF000000"/>
        <rFont val="Noto Sans CJK SC"/>
        <family val="2"/>
      </rPr>
      <t xml:space="preserve">年</t>
    </r>
  </si>
  <si>
    <r>
      <rPr>
        <sz val="9"/>
        <color rgb="FF595959"/>
        <rFont val="Arial"/>
        <family val="0"/>
        <charset val="1"/>
      </rPr>
      <t xml:space="preserve">TK IF_TokGW_Sol</t>
    </r>
    <r>
      <rPr>
        <sz val="9"/>
        <color rgb="FF595959"/>
        <rFont val="Noto Sans CJK SC"/>
        <family val="2"/>
      </rPr>
      <t xml:space="preserve">（</t>
    </r>
    <r>
      <rPr>
        <sz val="9"/>
        <color rgb="FF595959"/>
        <rFont val="Arial"/>
        <family val="0"/>
        <charset val="1"/>
      </rPr>
      <t xml:space="preserve">Hopper H100</t>
    </r>
    <r>
      <rPr>
        <sz val="9"/>
        <color rgb="FF595959"/>
        <rFont val="Noto Sans CJK SC"/>
        <family val="2"/>
      </rPr>
      <t xml:space="preserve">、基準欄）</t>
    </r>
  </si>
  <si>
    <t xml:space="preserve">G05</t>
  </si>
  <si>
    <r>
      <rPr>
        <sz val="10"/>
        <color rgb="FF000000"/>
        <rFont val="Arial"/>
        <family val="0"/>
        <charset val="1"/>
      </rPr>
      <t xml:space="preserve">TK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t>
    </r>
    <r>
      <rPr>
        <sz val="10"/>
        <color rgb="FF000000"/>
        <rFont val="Arial"/>
        <family val="0"/>
        <charset val="1"/>
      </rPr>
      <t xml:space="preserve">Hopper × Luna</t>
    </r>
  </si>
  <si>
    <r>
      <rPr>
        <sz val="9"/>
        <color rgb="FF595959"/>
        <rFont val="Arial"/>
        <family val="0"/>
        <charset val="1"/>
      </rPr>
      <t xml:space="preserve">TK IF_TokGW_Luna</t>
    </r>
    <r>
      <rPr>
        <sz val="9"/>
        <color rgb="FF595959"/>
        <rFont val="Noto Sans CJK SC"/>
        <family val="2"/>
      </rPr>
      <t xml:space="preserve">（</t>
    </r>
    <r>
      <rPr>
        <sz val="9"/>
        <color rgb="FF595959"/>
        <rFont val="Arial"/>
        <family val="0"/>
        <charset val="1"/>
      </rPr>
      <t xml:space="preserve">Hopper H100</t>
    </r>
    <r>
      <rPr>
        <sz val="9"/>
        <color rgb="FF595959"/>
        <rFont val="Noto Sans CJK SC"/>
        <family val="2"/>
      </rPr>
      <t xml:space="preserve">、基準欄）</t>
    </r>
  </si>
  <si>
    <t xml:space="preserve">G06</t>
  </si>
  <si>
    <r>
      <rPr>
        <sz val="10"/>
        <color rgb="FF000000"/>
        <rFont val="Arial"/>
        <family val="0"/>
        <charset val="1"/>
      </rPr>
      <t xml:space="preserve">TK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t>
    </r>
    <r>
      <rPr>
        <sz val="10"/>
        <color rgb="FF000000"/>
        <rFont val="Arial"/>
        <family val="0"/>
        <charset val="1"/>
      </rPr>
      <t xml:space="preserve">VR200 × Sol</t>
    </r>
  </si>
  <si>
    <r>
      <rPr>
        <sz val="9"/>
        <color rgb="FF595959"/>
        <rFont val="Arial"/>
        <family val="0"/>
        <charset val="1"/>
      </rPr>
      <t xml:space="preserve">VR </t>
    </r>
    <r>
      <rPr>
        <sz val="9"/>
        <color rgb="FF595959"/>
        <rFont val="Noto Sans CJK SC"/>
        <family val="2"/>
      </rPr>
      <t xml:space="preserve">等值換算基準（同 </t>
    </r>
    <r>
      <rPr>
        <sz val="9"/>
        <color rgb="FF595959"/>
        <rFont val="Arial"/>
        <family val="0"/>
        <charset val="1"/>
      </rPr>
      <t xml:space="preserve">OpenAI v0.6</t>
    </r>
    <r>
      <rPr>
        <sz val="9"/>
        <color rgb="FF595959"/>
        <rFont val="Noto Sans CJK SC"/>
        <family val="2"/>
      </rPr>
      <t xml:space="preserve">：</t>
    </r>
    <r>
      <rPr>
        <sz val="9"/>
        <color rgb="FF595959"/>
        <rFont val="Arial"/>
        <family val="0"/>
        <charset val="1"/>
      </rPr>
      <t xml:space="preserve">Sol </t>
    </r>
    <r>
      <rPr>
        <sz val="9"/>
        <color rgb="FF595959"/>
        <rFont val="Noto Sans CJK SC"/>
        <family val="2"/>
      </rPr>
      <t xml:space="preserve">層級產能比）</t>
    </r>
  </si>
  <si>
    <t xml:space="preserve">G07</t>
  </si>
  <si>
    <r>
      <rPr>
        <sz val="10"/>
        <color rgb="FF000000"/>
        <rFont val="Arial"/>
        <family val="0"/>
        <charset val="1"/>
      </rPr>
      <t xml:space="preserve">H20 </t>
    </r>
    <r>
      <rPr>
        <sz val="10"/>
        <color rgb="FF000000"/>
        <rFont val="Noto Sans CJK SC"/>
        <family val="2"/>
      </rPr>
      <t xml:space="preserve">產出比（</t>
    </r>
    <r>
      <rPr>
        <sz val="10"/>
        <color rgb="FF000000"/>
        <rFont val="Arial"/>
        <family val="0"/>
        <charset val="1"/>
      </rPr>
      <t xml:space="preserve">÷ Hopper</t>
    </r>
    <r>
      <rPr>
        <sz val="10"/>
        <color rgb="FF000000"/>
        <rFont val="Noto Sans CJK SC"/>
        <family val="2"/>
      </rPr>
      <t xml:space="preserve">）</t>
    </r>
  </si>
  <si>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SRC_ZP_490 </t>
    </r>
    <r>
      <rPr>
        <sz val="9"/>
        <color rgb="FF595959"/>
        <rFont val="Noto Sans CJK SC"/>
        <family val="2"/>
      </rPr>
      <t xml:space="preserve">區間；</t>
    </r>
    <r>
      <rPr>
        <sz val="9"/>
        <color rgb="FF595959"/>
        <rFont val="Arial"/>
        <family val="0"/>
        <charset val="1"/>
      </rPr>
      <t xml:space="preserve">D6</t>
    </r>
    <r>
      <rPr>
        <sz val="9"/>
        <color rgb="FF595959"/>
        <rFont val="Noto Sans CJK SC"/>
        <family val="2"/>
      </rPr>
      <t xml:space="preserve">）</t>
    </r>
  </si>
  <si>
    <t xml:space="preserve">G08</t>
  </si>
  <si>
    <r>
      <rPr>
        <sz val="10"/>
        <color rgb="FF000000"/>
        <rFont val="Noto Sans CJK SC"/>
        <family val="2"/>
      </rPr>
      <t xml:space="preserve">國產產出比（</t>
    </r>
    <r>
      <rPr>
        <sz val="10"/>
        <color rgb="FF000000"/>
        <rFont val="Arial"/>
        <family val="0"/>
        <charset val="1"/>
      </rPr>
      <t xml:space="preserve">÷ Hopper</t>
    </r>
    <r>
      <rPr>
        <sz val="10"/>
        <color rgb="FF000000"/>
        <rFont val="Noto Sans CJK SC"/>
        <family val="2"/>
      </rPr>
      <t xml:space="preserve">）</t>
    </r>
  </si>
  <si>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D6</t>
    </r>
    <r>
      <rPr>
        <sz val="9"/>
        <color rgb="FF595959"/>
        <rFont val="Noto Sans CJK SC"/>
        <family val="2"/>
      </rPr>
      <t xml:space="preserve">，</t>
    </r>
    <r>
      <rPr>
        <sz val="9"/>
        <color rgb="FF595959"/>
        <rFont val="Arial"/>
        <family val="0"/>
        <charset val="1"/>
      </rPr>
      <t xml:space="preserve">0.4–0.9</t>
    </r>
    <r>
      <rPr>
        <sz val="9"/>
        <color rgb="FF595959"/>
        <rFont val="Noto Sans CJK SC"/>
        <family val="2"/>
      </rPr>
      <t xml:space="preserve">）</t>
    </r>
  </si>
  <si>
    <t xml:space="preserve">G09</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</si>
  <si>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 </t>
    </r>
    <r>
      <rPr>
        <sz val="10"/>
        <color rgb="FF000000"/>
        <rFont val="Arial"/>
        <family val="0"/>
        <charset val="1"/>
      </rPr>
      <t xml:space="preserve">× Sol</t>
    </r>
  </si>
  <si>
    <r>
      <rPr>
        <sz val="9"/>
        <color rgb="FF595959"/>
        <rFont val="Arial"/>
        <family val="0"/>
        <charset val="1"/>
      </rPr>
      <t xml:space="preserve">Hopper × </t>
    </r>
    <r>
      <rPr>
        <sz val="9"/>
        <color rgb="FF595959"/>
        <rFont val="Noto Sans CJK SC"/>
        <family val="2"/>
      </rPr>
      <t xml:space="preserve">產出比（</t>
    </r>
    <r>
      <rPr>
        <sz val="9"/>
        <color rgb="FF595959"/>
        <rFont val="Arial"/>
        <family val="0"/>
        <charset val="1"/>
      </rPr>
      <t xml:space="preserve">Tokenomics </t>
    </r>
    <r>
      <rPr>
        <sz val="9"/>
        <color rgb="FF595959"/>
        <rFont val="Noto Sans CJK SC"/>
        <family val="2"/>
      </rPr>
      <t xml:space="preserve">缺口：無 </t>
    </r>
    <r>
      <rPr>
        <sz val="9"/>
        <color rgb="FF595959"/>
        <rFont val="Arial"/>
        <family val="0"/>
        <charset val="1"/>
      </rPr>
      <t xml:space="preserve">H20</t>
    </r>
    <r>
      <rPr>
        <sz val="9"/>
        <color rgb="FF595959"/>
        <rFont val="Noto Sans CJK SC"/>
        <family val="2"/>
      </rPr>
      <t xml:space="preserve">／昇騰欄）</t>
    </r>
  </si>
  <si>
    <t xml:space="preserve">G10</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</si>
  <si>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 </t>
    </r>
    <r>
      <rPr>
        <sz val="10"/>
        <color rgb="FF000000"/>
        <rFont val="Arial"/>
        <family val="0"/>
        <charset val="1"/>
      </rPr>
      <t xml:space="preserve">× Luna</t>
    </r>
  </si>
  <si>
    <t xml:space="preserve">G11</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</si>
  <si>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t>
    </r>
    <r>
      <rPr>
        <sz val="10"/>
        <color rgb="FF000000"/>
        <rFont val="Arial"/>
        <family val="0"/>
        <charset val="1"/>
      </rPr>
      <t xml:space="preserve">H20 × Sol</t>
    </r>
  </si>
  <si>
    <t xml:space="preserve">G12</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</si>
  <si>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t>
    </r>
    <r>
      <rPr>
        <sz val="10"/>
        <color rgb="FF000000"/>
        <rFont val="Arial"/>
        <family val="0"/>
        <charset val="1"/>
      </rPr>
      <t xml:space="preserve">H20 × Luna</t>
    </r>
  </si>
  <si>
    <t xml:space="preserve">G13</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</si>
  <si>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 </t>
    </r>
    <r>
      <rPr>
        <sz val="10"/>
        <color rgb="FF000000"/>
        <rFont val="Arial"/>
        <family val="0"/>
        <charset val="1"/>
      </rPr>
      <t xml:space="preserve">× Sol</t>
    </r>
  </si>
  <si>
    <t xml:space="preserve">G14</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</si>
  <si>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 </t>
    </r>
    <r>
      <rPr>
        <sz val="10"/>
        <color rgb="FF000000"/>
        <rFont val="Arial"/>
        <family val="0"/>
        <charset val="1"/>
      </rPr>
      <t xml:space="preserve">× Luna</t>
    </r>
  </si>
  <si>
    <r>
      <rPr>
        <b val="true"/>
        <sz val="10"/>
        <rFont val="Noto Sans CJK SC"/>
        <family val="2"/>
      </rPr>
      <t xml:space="preserve">二、晶片族組合（實體 </t>
    </r>
    <r>
      <rPr>
        <b val="true"/>
        <sz val="10"/>
        <rFont val="Arial"/>
        <family val="0"/>
        <charset val="1"/>
      </rPr>
      <t xml:space="preserve">GW </t>
    </r>
    <r>
      <rPr>
        <b val="true"/>
        <sz val="10"/>
        <rFont val="Noto Sans CJK SC"/>
        <family val="2"/>
      </rPr>
      <t xml:space="preserve">占比；</t>
    </r>
    <r>
      <rPr>
        <b val="true"/>
        <sz val="10"/>
        <rFont val="Arial"/>
        <family val="0"/>
        <charset val="1"/>
      </rPr>
      <t xml:space="preserve">D7</t>
    </r>
    <r>
      <rPr>
        <b val="true"/>
        <sz val="10"/>
        <rFont val="Noto Sans CJK SC"/>
        <family val="2"/>
      </rPr>
      <t xml:space="preserve">：時變，無新 </t>
    </r>
    <r>
      <rPr>
        <b val="true"/>
        <sz val="10"/>
        <rFont val="Arial"/>
        <family val="0"/>
        <charset val="1"/>
      </rPr>
      <t xml:space="preserve">NVIDIA </t>
    </r>
    <r>
      <rPr>
        <b val="true"/>
        <sz val="10"/>
        <rFont val="Noto Sans CJK SC"/>
        <family val="2"/>
      </rPr>
      <t xml:space="preserve">採購；</t>
    </r>
    <r>
      <rPr>
        <b val="true"/>
        <sz val="10"/>
        <rFont val="Arial"/>
        <family val="0"/>
        <charset val="1"/>
      </rPr>
      <t xml:space="preserve">Hopper</t>
    </r>
    <r>
      <rPr>
        <b val="true"/>
        <sz val="10"/>
        <rFont val="Noto Sans CJK SC"/>
        <family val="2"/>
      </rPr>
      <t xml:space="preserve">＝</t>
    </r>
    <r>
      <rPr>
        <b val="true"/>
        <sz val="10"/>
        <rFont val="Arial"/>
        <family val="0"/>
        <charset val="1"/>
      </rPr>
      <t xml:space="preserve">1 − </t>
    </r>
    <r>
      <rPr>
        <b val="true"/>
        <sz val="10"/>
        <rFont val="Noto Sans CJK SC"/>
        <family val="2"/>
      </rPr>
      <t xml:space="preserve">國產 − </t>
    </r>
    <r>
      <rPr>
        <b val="true"/>
        <sz val="10"/>
        <rFont val="Arial"/>
        <family val="0"/>
        <charset val="1"/>
      </rPr>
      <t xml:space="preserve">H20</t>
    </r>
    <r>
      <rPr>
        <b val="true"/>
        <sz val="10"/>
        <rFont val="Noto Sans CJK SC"/>
        <family val="2"/>
      </rPr>
      <t xml:space="preserve">）</t>
    </r>
  </si>
  <si>
    <t xml:space="preserve">G15</t>
  </si>
  <si>
    <t xml:space="preserve">國產</t>
  </si>
  <si>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Assumed</t>
    </r>
    <r>
      <rPr>
        <sz val="9"/>
        <color rgb="FF595959"/>
        <rFont val="Noto Sans CJK SC"/>
        <family val="2"/>
      </rPr>
      <t xml:space="preserve">；</t>
    </r>
    <r>
      <rPr>
        <sz val="9"/>
        <color rgb="FF595959"/>
        <rFont val="Arial"/>
        <family val="0"/>
        <charset val="1"/>
      </rPr>
      <t xml:space="preserve">2026 </t>
    </r>
    <r>
      <rPr>
        <sz val="9"/>
        <color rgb="FF595959"/>
        <rFont val="Noto Sans CJK SC"/>
        <family val="2"/>
      </rPr>
      <t xml:space="preserve">起依『</t>
    </r>
    <r>
      <rPr>
        <sz val="9"/>
        <color rgb="FF595959"/>
        <rFont val="Arial"/>
        <family val="0"/>
        <charset val="1"/>
      </rPr>
      <t xml:space="preserve">10 </t>
    </r>
    <r>
      <rPr>
        <sz val="9"/>
        <color rgb="FF595959"/>
        <rFont val="Noto Sans CJK SC"/>
        <family val="2"/>
      </rPr>
      <t xml:space="preserve">萬級國產晶片用於推論』）</t>
    </r>
  </si>
  <si>
    <t xml:space="preserve">G16</t>
  </si>
  <si>
    <t xml:space="preserve">H20</t>
  </si>
  <si>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Assumed</t>
    </r>
    <r>
      <rPr>
        <sz val="9"/>
        <color rgb="FF595959"/>
        <rFont val="Noto Sans CJK SC"/>
        <family val="2"/>
      </rPr>
      <t xml:space="preserve">）</t>
    </r>
  </si>
  <si>
    <t xml:space="preserve">G17</t>
  </si>
  <si>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</si>
  <si>
    <r>
      <rPr>
        <sz val="9"/>
        <color rgb="FF595959"/>
        <rFont val="Noto Sans CJK SC"/>
        <family val="2"/>
      </rPr>
      <t xml:space="preserve">＝</t>
    </r>
    <r>
      <rPr>
        <sz val="9"/>
        <color rgb="FF595959"/>
        <rFont val="Arial"/>
        <family val="0"/>
        <charset val="1"/>
      </rPr>
      <t xml:space="preserve">1 − </t>
    </r>
    <r>
      <rPr>
        <sz val="9"/>
        <color rgb="FF595959"/>
        <rFont val="Noto Sans CJK SC"/>
        <family val="2"/>
      </rPr>
      <t xml:space="preserve">國產 − </t>
    </r>
    <r>
      <rPr>
        <sz val="9"/>
        <color rgb="FF595959"/>
        <rFont val="Arial"/>
        <family val="0"/>
        <charset val="1"/>
      </rPr>
      <t xml:space="preserve">H20</t>
    </r>
  </si>
  <si>
    <t xml:space="preserve">G18</t>
  </si>
  <si>
    <r>
      <rPr>
        <sz val="10"/>
        <color rgb="FF000000"/>
        <rFont val="Noto Sans CJK SC"/>
        <family val="2"/>
      </rPr>
      <t xml:space="preserve">組合產出係數（</t>
    </r>
    <r>
      <rPr>
        <sz val="10"/>
        <color rgb="FF000000"/>
        <rFont val="Arial"/>
        <family val="0"/>
        <charset val="1"/>
      </rPr>
      <t xml:space="preserve">÷ Hopper</t>
    </r>
    <r>
      <rPr>
        <sz val="10"/>
        <color rgb="FF000000"/>
        <rFont val="Noto Sans CJK SC"/>
        <family val="2"/>
      </rPr>
      <t xml:space="preserve">）＝</t>
    </r>
    <r>
      <rPr>
        <sz val="10"/>
        <color rgb="FF000000"/>
        <rFont val="Arial"/>
        <family val="0"/>
        <charset val="1"/>
      </rPr>
      <t xml:space="preserve">Σ </t>
    </r>
    <r>
      <rPr>
        <sz val="10"/>
        <color rgb="FF000000"/>
        <rFont val="Noto Sans CJK SC"/>
        <family val="2"/>
      </rPr>
      <t xml:space="preserve">占比 </t>
    </r>
    <r>
      <rPr>
        <sz val="10"/>
        <color rgb="FF000000"/>
        <rFont val="Arial"/>
        <family val="0"/>
        <charset val="1"/>
      </rPr>
      <t xml:space="preserve">× </t>
    </r>
    <r>
      <rPr>
        <sz val="10"/>
        <color rgb="FF000000"/>
        <rFont val="Noto Sans CJK SC"/>
        <family val="2"/>
      </rPr>
      <t xml:space="preserve">產出比</t>
    </r>
  </si>
  <si>
    <r>
      <rPr>
        <sz val="9"/>
        <color rgb="FF595959"/>
        <rFont val="Noto Sans CJK SC"/>
        <family val="2"/>
      </rPr>
      <t xml:space="preserve">各族每 </t>
    </r>
    <r>
      <rPr>
        <sz val="9"/>
        <color rgb="FF595959"/>
        <rFont val="Arial"/>
        <family val="0"/>
        <charset val="1"/>
      </rPr>
      <t xml:space="preserve">GW </t>
    </r>
    <r>
      <rPr>
        <sz val="9"/>
        <color rgb="FF595959"/>
        <rFont val="Noto Sans CJK SC"/>
        <family val="2"/>
      </rPr>
      <t xml:space="preserve">產出＝</t>
    </r>
    <r>
      <rPr>
        <sz val="9"/>
        <color rgb="FF595959"/>
        <rFont val="Arial"/>
        <family val="0"/>
        <charset val="1"/>
      </rPr>
      <t xml:space="preserve">Hopper × </t>
    </r>
    <r>
      <rPr>
        <sz val="9"/>
        <color rgb="FF595959"/>
        <rFont val="Noto Sans CJK SC"/>
        <family val="2"/>
      </rPr>
      <t xml:space="preserve">比例，故組合產能＝</t>
    </r>
    <r>
      <rPr>
        <sz val="9"/>
        <color rgb="FF595959"/>
        <rFont val="Arial"/>
        <family val="0"/>
        <charset val="1"/>
      </rPr>
      <t xml:space="preserve">Hopper </t>
    </r>
    <r>
      <rPr>
        <sz val="9"/>
        <color rgb="FF595959"/>
        <rFont val="Noto Sans CJK SC"/>
        <family val="2"/>
      </rPr>
      <t xml:space="preserve">產能 </t>
    </r>
    <r>
      <rPr>
        <sz val="9"/>
        <color rgb="FF595959"/>
        <rFont val="Arial"/>
        <family val="0"/>
        <charset val="1"/>
      </rPr>
      <t xml:space="preserve">× </t>
    </r>
    <r>
      <rPr>
        <sz val="9"/>
        <color rgb="FF595959"/>
        <rFont val="Noto Sans CJK SC"/>
        <family val="2"/>
      </rPr>
      <t xml:space="preserve">本係數</t>
    </r>
  </si>
  <si>
    <r>
      <rPr>
        <b val="true"/>
        <sz val="10"/>
        <rFont val="Noto Sans CJK SC"/>
        <family val="2"/>
      </rPr>
      <t xml:space="preserve">三、</t>
    </r>
    <r>
      <rPr>
        <b val="true"/>
        <sz val="10"/>
        <rFont val="Arial"/>
        <family val="0"/>
        <charset val="1"/>
      </rPr>
      <t xml:space="preserve">token</t>
    </r>
    <r>
      <rPr>
        <b val="true"/>
        <sz val="10"/>
        <rFont val="Noto Sans CJK SC"/>
        <family val="2"/>
      </rPr>
      <t xml:space="preserve">（</t>
    </r>
    <r>
      <rPr>
        <b val="true"/>
        <sz val="10"/>
        <rFont val="Arial"/>
        <family val="0"/>
        <charset val="1"/>
      </rPr>
      <t xml:space="preserve">Demand</t>
    </r>
    <r>
      <rPr>
        <b val="true"/>
        <sz val="10"/>
        <rFont val="Noto Sans CJK SC"/>
        <family val="2"/>
      </rPr>
      <t xml:space="preserve">；</t>
    </r>
    <r>
      <rPr>
        <b val="true"/>
        <sz val="10"/>
        <rFont val="Arial"/>
        <family val="0"/>
        <charset val="1"/>
      </rPr>
      <t xml:space="preserve">T</t>
    </r>
    <r>
      <rPr>
        <b val="true"/>
        <sz val="10"/>
        <rFont val="Noto Sans CJK SC"/>
        <family val="2"/>
      </rPr>
      <t xml:space="preserve">）：依來源（</t>
    </r>
    <r>
      <rPr>
        <b val="true"/>
        <sz val="10"/>
        <rFont val="Arial"/>
        <family val="0"/>
        <charset val="1"/>
      </rPr>
      <t xml:space="preserve">API </t>
    </r>
    <r>
      <rPr>
        <b val="true"/>
        <sz val="10"/>
        <rFont val="Noto Sans CJK SC"/>
        <family val="2"/>
      </rPr>
      <t xml:space="preserve">按量、</t>
    </r>
    <r>
      <rPr>
        <b val="true"/>
        <sz val="10"/>
        <rFont val="Arial"/>
        <family val="0"/>
        <charset val="1"/>
      </rPr>
      <t xml:space="preserve">Coding Plan</t>
    </r>
    <r>
      <rPr>
        <b val="true"/>
        <sz val="10"/>
        <rFont val="Noto Sans CJK SC"/>
        <family val="2"/>
      </rPr>
      <t xml:space="preserve">、免費 </t>
    </r>
    <r>
      <rPr>
        <b val="true"/>
        <sz val="10"/>
        <rFont val="Arial"/>
        <family val="0"/>
        <charset val="1"/>
      </rPr>
      <t xml:space="preserve">API</t>
    </r>
    <r>
      <rPr>
        <b val="true"/>
        <sz val="10"/>
        <rFont val="Noto Sans CJK SC"/>
        <family val="2"/>
      </rPr>
      <t xml:space="preserve">、智譜清言）</t>
    </r>
    <r>
      <rPr>
        <b val="true"/>
        <sz val="10"/>
        <rFont val="Arial"/>
        <family val="0"/>
        <charset val="1"/>
      </rPr>
      <t xml:space="preserve">× </t>
    </r>
    <r>
      <rPr>
        <b val="true"/>
        <sz val="10"/>
        <rFont val="Noto Sans CJK SC"/>
        <family val="2"/>
      </rPr>
      <t xml:space="preserve">層級（半年欄：</t>
    </r>
    <r>
      <rPr>
        <b val="true"/>
        <sz val="10"/>
        <rFont val="Arial"/>
        <family val="0"/>
        <charset val="1"/>
      </rPr>
      <t xml:space="preserve">API</t>
    </r>
    <r>
      <rPr>
        <b val="true"/>
        <sz val="10"/>
        <rFont val="Noto Sans CJK SC"/>
        <family val="2"/>
      </rPr>
      <t xml:space="preserve">／</t>
    </r>
    <r>
      <rPr>
        <b val="true"/>
        <sz val="10"/>
        <rFont val="Arial"/>
        <family val="0"/>
        <charset val="1"/>
      </rPr>
      <t xml:space="preserve">Coding Plan </t>
    </r>
    <r>
      <rPr>
        <b val="true"/>
        <sz val="10"/>
        <rFont val="Noto Sans CJK SC"/>
        <family val="2"/>
      </rPr>
      <t xml:space="preserve">取 </t>
    </r>
    <r>
      <rPr>
        <b val="true"/>
        <sz val="10"/>
        <rFont val="Arial"/>
        <family val="0"/>
        <charset val="1"/>
      </rPr>
      <t xml:space="preserve">Demand </t>
    </r>
    <r>
      <rPr>
        <b val="true"/>
        <sz val="10"/>
        <rFont val="Noto Sans CJK SC"/>
        <family val="2"/>
      </rPr>
      <t xml:space="preserve">半年欄；清言為年度值 </t>
    </r>
    <r>
      <rPr>
        <b val="true"/>
        <sz val="10"/>
        <rFont val="Arial"/>
        <family val="0"/>
        <charset val="1"/>
      </rPr>
      <t xml:space="preserve">× </t>
    </r>
    <r>
      <rPr>
        <b val="true"/>
        <sz val="10"/>
        <rFont val="Noto Sans CJK SC"/>
        <family val="2"/>
      </rPr>
      <t xml:space="preserve">天數比例）</t>
    </r>
  </si>
  <si>
    <t xml:space="preserve">G19</t>
  </si>
  <si>
    <r>
      <rPr>
        <sz val="10"/>
        <color rgb="FF000000"/>
        <rFont val="Arial"/>
        <family val="0"/>
        <charset val="1"/>
      </rPr>
      <t xml:space="preserve">API </t>
    </r>
    <r>
      <rPr>
        <sz val="10"/>
        <color rgb="FF000000"/>
        <rFont val="Noto Sans CJK SC"/>
        <family val="2"/>
      </rPr>
      <t xml:space="preserve">按量計費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Sol</t>
    </r>
  </si>
  <si>
    <r>
      <rPr>
        <sz val="9"/>
        <color rgb="FF595959"/>
        <rFont val="Arial"/>
        <family val="0"/>
        <charset val="1"/>
      </rPr>
      <t xml:space="preserve">Demand</t>
    </r>
    <r>
      <rPr>
        <sz val="9"/>
        <color rgb="FF595959"/>
        <rFont val="Noto Sans CJK SC"/>
        <family val="2"/>
      </rPr>
      <t xml:space="preserve">（</t>
    </r>
    <r>
      <rPr>
        <sz val="9"/>
        <color rgb="FF595959"/>
        <rFont val="Arial"/>
        <family val="0"/>
        <charset val="1"/>
      </rPr>
      <t xml:space="preserve">api_tok_sol</t>
    </r>
    <r>
      <rPr>
        <sz val="9"/>
        <color rgb="FF595959"/>
        <rFont val="Noto Sans CJK SC"/>
        <family val="2"/>
      </rPr>
      <t xml:space="preserve">）</t>
    </r>
  </si>
  <si>
    <t xml:space="preserve">G20</t>
  </si>
  <si>
    <r>
      <rPr>
        <sz val="10"/>
        <color rgb="FF000000"/>
        <rFont val="Arial"/>
        <family val="0"/>
        <charset val="1"/>
      </rPr>
      <t xml:space="preserve">API </t>
    </r>
    <r>
      <rPr>
        <sz val="10"/>
        <color rgb="FF000000"/>
        <rFont val="Noto Sans CJK SC"/>
        <family val="2"/>
      </rPr>
      <t xml:space="preserve">按量計費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Luna</t>
    </r>
  </si>
  <si>
    <r>
      <rPr>
        <sz val="9"/>
        <color rgb="FF595959"/>
        <rFont val="Arial"/>
        <family val="0"/>
        <charset val="1"/>
      </rPr>
      <t xml:space="preserve">Demand</t>
    </r>
    <r>
      <rPr>
        <sz val="9"/>
        <color rgb="FF595959"/>
        <rFont val="Noto Sans CJK SC"/>
        <family val="2"/>
      </rPr>
      <t xml:space="preserve">（</t>
    </r>
    <r>
      <rPr>
        <sz val="9"/>
        <color rgb="FF595959"/>
        <rFont val="Arial"/>
        <family val="0"/>
        <charset val="1"/>
      </rPr>
      <t xml:space="preserve">api_tok_luna</t>
    </r>
    <r>
      <rPr>
        <sz val="9"/>
        <color rgb="FF595959"/>
        <rFont val="Noto Sans CJK SC"/>
        <family val="2"/>
      </rPr>
      <t xml:space="preserve">）</t>
    </r>
  </si>
  <si>
    <t xml:space="preserve">G21</t>
  </si>
  <si>
    <r>
      <rPr>
        <sz val="9"/>
        <color rgb="FF595959"/>
        <rFont val="Arial"/>
        <family val="0"/>
        <charset val="1"/>
      </rPr>
      <t xml:space="preserve">Demand</t>
    </r>
    <r>
      <rPr>
        <sz val="9"/>
        <color rgb="FF595959"/>
        <rFont val="Noto Sans CJK SC"/>
        <family val="2"/>
      </rPr>
      <t xml:space="preserve">（</t>
    </r>
    <r>
      <rPr>
        <sz val="9"/>
        <color rgb="FF595959"/>
        <rFont val="Arial"/>
        <family val="0"/>
        <charset val="1"/>
      </rPr>
      <t xml:space="preserve">cptok_sol</t>
    </r>
    <r>
      <rPr>
        <sz val="9"/>
        <color rgb="FF595959"/>
        <rFont val="Noto Sans CJK SC"/>
        <family val="2"/>
      </rPr>
      <t xml:space="preserve">）</t>
    </r>
  </si>
  <si>
    <t xml:space="preserve">G22</t>
  </si>
  <si>
    <r>
      <rPr>
        <sz val="9"/>
        <color rgb="FF595959"/>
        <rFont val="Arial"/>
        <family val="0"/>
        <charset val="1"/>
      </rPr>
      <t xml:space="preserve">Demand</t>
    </r>
    <r>
      <rPr>
        <sz val="9"/>
        <color rgb="FF595959"/>
        <rFont val="Noto Sans CJK SC"/>
        <family val="2"/>
      </rPr>
      <t xml:space="preserve">（</t>
    </r>
    <r>
      <rPr>
        <sz val="9"/>
        <color rgb="FF595959"/>
        <rFont val="Arial"/>
        <family val="0"/>
        <charset val="1"/>
      </rPr>
      <t xml:space="preserve">cptok_luna</t>
    </r>
    <r>
      <rPr>
        <sz val="9"/>
        <color rgb="FF595959"/>
        <rFont val="Noto Sans CJK SC"/>
        <family val="2"/>
      </rPr>
      <t xml:space="preserve">）</t>
    </r>
  </si>
  <si>
    <t xml:space="preserve">G23</t>
  </si>
  <si>
    <r>
      <rPr>
        <sz val="10"/>
        <color rgb="FF000000"/>
        <rFont val="Noto Sans CJK SC"/>
        <family val="2"/>
      </rPr>
      <t xml:space="preserve">免費 </t>
    </r>
    <r>
      <rPr>
        <sz val="10"/>
        <color rgb="FF000000"/>
        <rFont val="Arial"/>
        <family val="0"/>
        <charset val="1"/>
      </rPr>
      <t xml:space="preserve">API </t>
    </r>
    <r>
      <rPr>
        <sz val="10"/>
        <color rgb="FF000000"/>
        <rFont val="Noto Sans CJK SC"/>
        <family val="2"/>
      </rPr>
      <t xml:space="preserve">型號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Luna</t>
    </r>
  </si>
  <si>
    <r>
      <rPr>
        <sz val="9"/>
        <color rgb="FF595959"/>
        <rFont val="Arial"/>
        <family val="0"/>
        <charset val="1"/>
      </rPr>
      <t xml:space="preserve">Demand</t>
    </r>
    <r>
      <rPr>
        <sz val="9"/>
        <color rgb="FF595959"/>
        <rFont val="Noto Sans CJK SC"/>
        <family val="2"/>
      </rPr>
      <t xml:space="preserve">（</t>
    </r>
    <r>
      <rPr>
        <sz val="9"/>
        <color rgb="FF595959"/>
        <rFont val="Arial"/>
        <family val="0"/>
        <charset val="1"/>
      </rPr>
      <t xml:space="preserve">api_free</t>
    </r>
    <r>
      <rPr>
        <sz val="9"/>
        <color rgb="FF595959"/>
        <rFont val="Noto Sans CJK SC"/>
        <family val="2"/>
      </rPr>
      <t xml:space="preserve">）</t>
    </r>
  </si>
  <si>
    <t xml:space="preserve">G24</t>
  </si>
  <si>
    <r>
      <rPr>
        <sz val="9"/>
        <color rgb="FF595959"/>
        <rFont val="Arial"/>
        <family val="0"/>
        <charset val="1"/>
      </rPr>
      <t xml:space="preserve">Demand</t>
    </r>
    <r>
      <rPr>
        <sz val="9"/>
        <color rgb="FF595959"/>
        <rFont val="Noto Sans CJK SC"/>
        <family val="2"/>
      </rPr>
      <t xml:space="preserve">（</t>
    </r>
    <r>
      <rPr>
        <sz val="9"/>
        <color rgb="FF595959"/>
        <rFont val="Arial"/>
        <family val="0"/>
        <charset val="1"/>
      </rPr>
      <t xml:space="preserve">qy_sol</t>
    </r>
    <r>
      <rPr>
        <sz val="9"/>
        <color rgb="FF595959"/>
        <rFont val="Noto Sans CJK SC"/>
        <family val="2"/>
      </rPr>
      <t xml:space="preserve">）</t>
    </r>
  </si>
  <si>
    <t xml:space="preserve">G25</t>
  </si>
  <si>
    <r>
      <rPr>
        <sz val="9"/>
        <color rgb="FF595959"/>
        <rFont val="Arial"/>
        <family val="0"/>
        <charset val="1"/>
      </rPr>
      <t xml:space="preserve">Demand</t>
    </r>
    <r>
      <rPr>
        <sz val="9"/>
        <color rgb="FF595959"/>
        <rFont val="Noto Sans CJK SC"/>
        <family val="2"/>
      </rPr>
      <t xml:space="preserve">（</t>
    </r>
    <r>
      <rPr>
        <sz val="9"/>
        <color rgb="FF595959"/>
        <rFont val="Arial"/>
        <family val="0"/>
        <charset val="1"/>
      </rPr>
      <t xml:space="preserve">qy_luna</t>
    </r>
    <r>
      <rPr>
        <sz val="9"/>
        <color rgb="FF595959"/>
        <rFont val="Noto Sans CJK SC"/>
        <family val="2"/>
      </rPr>
      <t xml:space="preserve">）</t>
    </r>
  </si>
  <si>
    <t xml:space="preserve">G26</t>
  </si>
  <si>
    <r>
      <rPr>
        <sz val="9"/>
        <color rgb="FF595959"/>
        <rFont val="Noto Sans CJK SC"/>
        <family val="2"/>
      </rPr>
      <t xml:space="preserve">＝</t>
    </r>
    <r>
      <rPr>
        <sz val="9"/>
        <color rgb="FF595959"/>
        <rFont val="Arial"/>
        <family val="0"/>
        <charset val="1"/>
      </rPr>
      <t xml:space="preserve">Demand DEM_Tok_*</t>
    </r>
  </si>
  <si>
    <t xml:space="preserve">G27</t>
  </si>
  <si>
    <t xml:space="preserve">G28</t>
  </si>
  <si>
    <t xml:space="preserve">G29</t>
  </si>
  <si>
    <t xml:space="preserve">G30</t>
  </si>
  <si>
    <t xml:space="preserve">G31</t>
  </si>
  <si>
    <r>
      <rPr>
        <sz val="10"/>
        <color rgb="FF000000"/>
        <rFont val="Noto Sans CJK SC"/>
        <family val="2"/>
      </rPr>
      <t xml:space="preserve">付費：</t>
    </r>
    <r>
      <rPr>
        <sz val="10"/>
        <color rgb="FF000000"/>
        <rFont val="Arial"/>
        <family val="0"/>
        <charset val="1"/>
      </rPr>
      <t xml:space="preserve">Sol </t>
    </r>
    <r>
      <rPr>
        <sz val="10"/>
        <color rgb="FF000000"/>
        <rFont val="Noto Sans CJK SC"/>
        <family val="2"/>
      </rPr>
      <t xml:space="preserve">占比</t>
    </r>
  </si>
  <si>
    <t xml:space="preserve">G32</t>
  </si>
  <si>
    <r>
      <rPr>
        <sz val="10"/>
        <color rgb="FF000000"/>
        <rFont val="Noto Sans CJK SC"/>
        <family val="2"/>
      </rPr>
      <t xml:space="preserve">付費：</t>
    </r>
    <r>
      <rPr>
        <sz val="10"/>
        <color rgb="FF000000"/>
        <rFont val="Arial"/>
        <family val="0"/>
        <charset val="1"/>
      </rPr>
      <t xml:space="preserve">Luna </t>
    </r>
    <r>
      <rPr>
        <sz val="10"/>
        <color rgb="FF000000"/>
        <rFont val="Noto Sans CJK SC"/>
        <family val="2"/>
      </rPr>
      <t xml:space="preserve">占比</t>
    </r>
  </si>
  <si>
    <t xml:space="preserve">G33</t>
  </si>
  <si>
    <t xml:space="preserve">G34</t>
  </si>
  <si>
    <r>
      <rPr>
        <sz val="10"/>
        <color rgb="FF000000"/>
        <rFont val="Noto Sans CJK SC"/>
        <family val="2"/>
      </rPr>
      <t xml:space="preserve">免費：</t>
    </r>
    <r>
      <rPr>
        <sz val="10"/>
        <color rgb="FF000000"/>
        <rFont val="Arial"/>
        <family val="0"/>
        <charset val="1"/>
      </rPr>
      <t xml:space="preserve">Sol </t>
    </r>
    <r>
      <rPr>
        <sz val="10"/>
        <color rgb="FF000000"/>
        <rFont val="Noto Sans CJK SC"/>
        <family val="2"/>
      </rPr>
      <t xml:space="preserve">占比</t>
    </r>
  </si>
  <si>
    <t xml:space="preserve">G35</t>
  </si>
  <si>
    <r>
      <rPr>
        <sz val="10"/>
        <color rgb="FF000000"/>
        <rFont val="Noto Sans CJK SC"/>
        <family val="2"/>
      </rPr>
      <t xml:space="preserve">免費：</t>
    </r>
    <r>
      <rPr>
        <sz val="10"/>
        <color rgb="FF000000"/>
        <rFont val="Arial"/>
        <family val="0"/>
        <charset val="1"/>
      </rPr>
      <t xml:space="preserve">Luna </t>
    </r>
    <r>
      <rPr>
        <sz val="10"/>
        <color rgb="FF000000"/>
        <rFont val="Noto Sans CJK SC"/>
        <family val="2"/>
      </rPr>
      <t xml:space="preserve">占比</t>
    </r>
  </si>
  <si>
    <r>
      <rPr>
        <b val="true"/>
        <sz val="10"/>
        <rFont val="Noto Sans CJK SC"/>
        <family val="2"/>
      </rPr>
      <t xml:space="preserve">四、</t>
    </r>
    <r>
      <rPr>
        <b val="true"/>
        <sz val="10"/>
        <rFont val="Arial"/>
        <family val="0"/>
        <charset val="1"/>
      </rPr>
      <t xml:space="preserve">token </t>
    </r>
    <r>
      <rPr>
        <b val="true"/>
        <sz val="10"/>
        <rFont val="Noto Sans CJK SC"/>
        <family val="2"/>
      </rPr>
      <t xml:space="preserve">換算推論 </t>
    </r>
    <r>
      <rPr>
        <b val="true"/>
        <sz val="10"/>
        <rFont val="Arial"/>
        <family val="0"/>
        <charset val="1"/>
      </rPr>
      <t xml:space="preserve">GW</t>
    </r>
    <r>
      <rPr>
        <b val="true"/>
        <sz val="10"/>
        <rFont val="Noto Sans CJK SC"/>
        <family val="2"/>
      </rPr>
      <t xml:space="preserve">（</t>
    </r>
    <r>
      <rPr>
        <b val="true"/>
        <sz val="10"/>
        <rFont val="Arial"/>
        <family val="0"/>
        <charset val="1"/>
      </rPr>
      <t xml:space="preserve">Z3b F1</t>
    </r>
    <r>
      <rPr>
        <b val="true"/>
        <sz val="10"/>
        <rFont val="Noto Sans CJK SC"/>
        <family val="2"/>
      </rPr>
      <t xml:space="preserve">）＝</t>
    </r>
    <r>
      <rPr>
        <b val="true"/>
        <sz val="10"/>
        <rFont val="Arial"/>
        <family val="0"/>
        <charset val="1"/>
      </rPr>
      <t xml:space="preserve">Σ token × </t>
    </r>
    <r>
      <rPr>
        <b val="true"/>
        <sz val="10"/>
        <rFont val="Noto Sans CJK SC"/>
        <family val="2"/>
      </rPr>
      <t xml:space="preserve">類型組成 </t>
    </r>
    <r>
      <rPr>
        <b val="true"/>
        <sz val="10"/>
        <rFont val="Arial"/>
        <family val="0"/>
        <charset val="1"/>
      </rPr>
      <t xml:space="preserve">× TK </t>
    </r>
    <r>
      <rPr>
        <b val="true"/>
        <sz val="10"/>
        <rFont val="Noto Sans CJK SC"/>
        <family val="2"/>
      </rPr>
      <t xml:space="preserve">逐類型單位成本（</t>
    </r>
    <r>
      <rPr>
        <b val="true"/>
        <sz val="10"/>
        <rFont val="Arial"/>
        <family val="0"/>
        <charset val="1"/>
      </rPr>
      <t xml:space="preserve">Hopper </t>
    </r>
    <r>
      <rPr>
        <b val="true"/>
        <sz val="10"/>
        <rFont val="Noto Sans CJK SC"/>
        <family val="2"/>
      </rPr>
      <t xml:space="preserve">基準欄，經濟、</t>
    </r>
    <r>
      <rPr>
        <b val="true"/>
        <sz val="10"/>
        <rFont val="Arial"/>
        <family val="0"/>
        <charset val="1"/>
      </rPr>
      <t xml:space="preserve">100% </t>
    </r>
    <r>
      <rPr>
        <b val="true"/>
        <sz val="10"/>
        <rFont val="Noto Sans CJK SC"/>
        <family val="2"/>
      </rPr>
      <t xml:space="preserve">利用率）</t>
    </r>
    <r>
      <rPr>
        <b val="true"/>
        <sz val="10"/>
        <rFont val="Arial"/>
        <family val="0"/>
        <charset val="1"/>
      </rPr>
      <t xml:space="preserve">÷ TK IF_HoldEcon</t>
    </r>
    <r>
      <rPr>
        <b val="true"/>
        <sz val="10"/>
        <rFont val="Noto Sans CJK SC"/>
        <family val="2"/>
      </rPr>
      <t xml:space="preserve">（</t>
    </r>
    <r>
      <rPr>
        <b val="true"/>
        <sz val="10"/>
        <rFont val="Arial"/>
        <family val="0"/>
        <charset val="1"/>
      </rPr>
      <t xml:space="preserve">Hopper</t>
    </r>
    <r>
      <rPr>
        <b val="true"/>
        <sz val="10"/>
        <rFont val="Noto Sans CJK SC"/>
        <family val="2"/>
      </rPr>
      <t xml:space="preserve">，</t>
    </r>
    <r>
      <rPr>
        <b val="true"/>
        <sz val="10"/>
        <rFont val="Arial"/>
        <family val="0"/>
        <charset val="1"/>
      </rPr>
      <t xml:space="preserve">100% </t>
    </r>
    <r>
      <rPr>
        <b val="true"/>
        <sz val="10"/>
        <rFont val="Noto Sans CJK SC"/>
        <family val="2"/>
      </rPr>
      <t xml:space="preserve">時數）</t>
    </r>
    <r>
      <rPr>
        <b val="true"/>
        <sz val="10"/>
        <rFont val="Arial"/>
        <family val="0"/>
        <charset val="1"/>
      </rPr>
      <t xml:space="preserve">÷ IF_Util ÷ </t>
    </r>
    <r>
      <rPr>
        <b val="true"/>
        <sz val="10"/>
        <rFont val="Noto Sans CJK SC"/>
        <family val="2"/>
      </rPr>
      <t xml:space="preserve">組合產出係數</t>
    </r>
  </si>
  <si>
    <t xml:space="preserve">G36</t>
  </si>
  <si>
    <r>
      <rPr>
        <sz val="10"/>
        <color rgb="FF000000"/>
        <rFont val="Arial"/>
        <family val="0"/>
        <charset val="1"/>
      </rPr>
      <t xml:space="preserve">TK </t>
    </r>
    <r>
      <rPr>
        <sz val="10"/>
        <color rgb="FF000000"/>
        <rFont val="Noto Sans CJK SC"/>
        <family val="2"/>
      </rPr>
      <t xml:space="preserve">單位成本：</t>
    </r>
    <r>
      <rPr>
        <sz val="10"/>
        <color rgb="FF000000"/>
        <rFont val="Arial"/>
        <family val="0"/>
        <charset val="1"/>
      </rPr>
      <t xml:space="preserve">Hopper × Sol × </t>
    </r>
    <r>
      <rPr>
        <sz val="10"/>
        <color rgb="FF000000"/>
        <rFont val="Noto Sans CJK SC"/>
        <family val="2"/>
      </rPr>
      <t xml:space="preserve">新鮮 </t>
    </r>
    <r>
      <rPr>
        <sz val="10"/>
        <color rgb="FF000000"/>
        <rFont val="Arial"/>
        <family val="0"/>
        <charset val="1"/>
      </rPr>
      <t xml:space="preserve">prefill</t>
    </r>
  </si>
  <si>
    <r>
      <rPr>
        <sz val="9"/>
        <color rgb="FF595959"/>
        <rFont val="Arial"/>
        <family val="0"/>
        <charset val="1"/>
      </rPr>
      <t xml:space="preserve">TK IF_CostPre_Sol</t>
    </r>
    <r>
      <rPr>
        <sz val="9"/>
        <color rgb="FF595959"/>
        <rFont val="Noto Sans CJK SC"/>
        <family val="2"/>
      </rPr>
      <t xml:space="preserve">（經濟、</t>
    </r>
    <r>
      <rPr>
        <sz val="9"/>
        <color rgb="FF595959"/>
        <rFont val="Arial"/>
        <family val="0"/>
        <charset val="1"/>
      </rPr>
      <t xml:space="preserve">100%</t>
    </r>
    <r>
      <rPr>
        <sz val="9"/>
        <color rgb="FF595959"/>
        <rFont val="Noto Sans CJK SC"/>
        <family val="2"/>
      </rPr>
      <t xml:space="preserve">；</t>
    </r>
    <r>
      <rPr>
        <sz val="9"/>
        <color rgb="FF595959"/>
        <rFont val="Arial"/>
        <family val="0"/>
        <charset val="1"/>
      </rPr>
      <t xml:space="preserve">Hopper H100 </t>
    </r>
    <r>
      <rPr>
        <sz val="9"/>
        <color rgb="FF595959"/>
        <rFont val="Noto Sans CJK SC"/>
        <family val="2"/>
      </rPr>
      <t xml:space="preserve">基準欄）</t>
    </r>
  </si>
  <si>
    <t xml:space="preserve">G37</t>
  </si>
  <si>
    <r>
      <rPr>
        <sz val="10"/>
        <color rgb="FF000000"/>
        <rFont val="Arial"/>
        <family val="0"/>
        <charset val="1"/>
      </rPr>
      <t xml:space="preserve">TK </t>
    </r>
    <r>
      <rPr>
        <sz val="10"/>
        <color rgb="FF000000"/>
        <rFont val="Noto Sans CJK SC"/>
        <family val="2"/>
      </rPr>
      <t xml:space="preserve">單位成本：</t>
    </r>
    <r>
      <rPr>
        <sz val="10"/>
        <color rgb="FF000000"/>
        <rFont val="Arial"/>
        <family val="0"/>
        <charset val="1"/>
      </rPr>
      <t xml:space="preserve">Hopper × Sol × </t>
    </r>
    <r>
      <rPr>
        <sz val="10"/>
        <color rgb="FF000000"/>
        <rFont val="Noto Sans CJK SC"/>
        <family val="2"/>
      </rPr>
      <t xml:space="preserve">快取命中 </t>
    </r>
    <r>
      <rPr>
        <sz val="10"/>
        <color rgb="FF000000"/>
        <rFont val="Arial"/>
        <family val="0"/>
        <charset val="1"/>
      </rPr>
      <t xml:space="preserve">prefill</t>
    </r>
  </si>
  <si>
    <r>
      <rPr>
        <sz val="9"/>
        <color rgb="FF595959"/>
        <rFont val="Arial"/>
        <family val="0"/>
        <charset val="1"/>
      </rPr>
      <t xml:space="preserve">TK IF_CostCache_Sol</t>
    </r>
    <r>
      <rPr>
        <sz val="9"/>
        <color rgb="FF595959"/>
        <rFont val="Noto Sans CJK SC"/>
        <family val="2"/>
      </rPr>
      <t xml:space="preserve">（經濟、</t>
    </r>
    <r>
      <rPr>
        <sz val="9"/>
        <color rgb="FF595959"/>
        <rFont val="Arial"/>
        <family val="0"/>
        <charset val="1"/>
      </rPr>
      <t xml:space="preserve">100%</t>
    </r>
    <r>
      <rPr>
        <sz val="9"/>
        <color rgb="FF595959"/>
        <rFont val="Noto Sans CJK SC"/>
        <family val="2"/>
      </rPr>
      <t xml:space="preserve">；</t>
    </r>
    <r>
      <rPr>
        <sz val="9"/>
        <color rgb="FF595959"/>
        <rFont val="Arial"/>
        <family val="0"/>
        <charset val="1"/>
      </rPr>
      <t xml:space="preserve">Hopper H100 </t>
    </r>
    <r>
      <rPr>
        <sz val="9"/>
        <color rgb="FF595959"/>
        <rFont val="Noto Sans CJK SC"/>
        <family val="2"/>
      </rPr>
      <t xml:space="preserve">基準欄）</t>
    </r>
  </si>
  <si>
    <t xml:space="preserve">G38</t>
  </si>
  <si>
    <r>
      <rPr>
        <sz val="10"/>
        <color rgb="FF000000"/>
        <rFont val="Arial"/>
        <family val="0"/>
        <charset val="1"/>
      </rPr>
      <t xml:space="preserve">TK </t>
    </r>
    <r>
      <rPr>
        <sz val="10"/>
        <color rgb="FF000000"/>
        <rFont val="Noto Sans CJK SC"/>
        <family val="2"/>
      </rPr>
      <t xml:space="preserve">單位成本：</t>
    </r>
    <r>
      <rPr>
        <sz val="10"/>
        <color rgb="FF000000"/>
        <rFont val="Arial"/>
        <family val="0"/>
        <charset val="1"/>
      </rPr>
      <t xml:space="preserve">Hopper × Sol × decode</t>
    </r>
  </si>
  <si>
    <r>
      <rPr>
        <sz val="9"/>
        <color rgb="FF595959"/>
        <rFont val="Arial"/>
        <family val="0"/>
        <charset val="1"/>
      </rPr>
      <t xml:space="preserve">TK IF_CostDec_Sol</t>
    </r>
    <r>
      <rPr>
        <sz val="9"/>
        <color rgb="FF595959"/>
        <rFont val="Noto Sans CJK SC"/>
        <family val="2"/>
      </rPr>
      <t xml:space="preserve">（經濟、</t>
    </r>
    <r>
      <rPr>
        <sz val="9"/>
        <color rgb="FF595959"/>
        <rFont val="Arial"/>
        <family val="0"/>
        <charset val="1"/>
      </rPr>
      <t xml:space="preserve">100%</t>
    </r>
    <r>
      <rPr>
        <sz val="9"/>
        <color rgb="FF595959"/>
        <rFont val="Noto Sans CJK SC"/>
        <family val="2"/>
      </rPr>
      <t xml:space="preserve">；</t>
    </r>
    <r>
      <rPr>
        <sz val="9"/>
        <color rgb="FF595959"/>
        <rFont val="Arial"/>
        <family val="0"/>
        <charset val="1"/>
      </rPr>
      <t xml:space="preserve">Hopper H100 </t>
    </r>
    <r>
      <rPr>
        <sz val="9"/>
        <color rgb="FF595959"/>
        <rFont val="Noto Sans CJK SC"/>
        <family val="2"/>
      </rPr>
      <t xml:space="preserve">基準欄）</t>
    </r>
  </si>
  <si>
    <t xml:space="preserve">G39</t>
  </si>
  <si>
    <r>
      <rPr>
        <sz val="10"/>
        <color rgb="FF000000"/>
        <rFont val="Arial"/>
        <family val="0"/>
        <charset val="1"/>
      </rPr>
      <t xml:space="preserve">TK </t>
    </r>
    <r>
      <rPr>
        <sz val="10"/>
        <color rgb="FF000000"/>
        <rFont val="Noto Sans CJK SC"/>
        <family val="2"/>
      </rPr>
      <t xml:space="preserve">單位成本：</t>
    </r>
    <r>
      <rPr>
        <sz val="10"/>
        <color rgb="FF000000"/>
        <rFont val="Arial"/>
        <family val="0"/>
        <charset val="1"/>
      </rPr>
      <t xml:space="preserve">Hopper × Luna × </t>
    </r>
    <r>
      <rPr>
        <sz val="10"/>
        <color rgb="FF000000"/>
        <rFont val="Noto Sans CJK SC"/>
        <family val="2"/>
      </rPr>
      <t xml:space="preserve">新鮮 </t>
    </r>
    <r>
      <rPr>
        <sz val="10"/>
        <color rgb="FF000000"/>
        <rFont val="Arial"/>
        <family val="0"/>
        <charset val="1"/>
      </rPr>
      <t xml:space="preserve">prefill</t>
    </r>
  </si>
  <si>
    <r>
      <rPr>
        <sz val="9"/>
        <color rgb="FF595959"/>
        <rFont val="Arial"/>
        <family val="0"/>
        <charset val="1"/>
      </rPr>
      <t xml:space="preserve">TK IF_CostPre_Luna</t>
    </r>
    <r>
      <rPr>
        <sz val="9"/>
        <color rgb="FF595959"/>
        <rFont val="Noto Sans CJK SC"/>
        <family val="2"/>
      </rPr>
      <t xml:space="preserve">（經濟、</t>
    </r>
    <r>
      <rPr>
        <sz val="9"/>
        <color rgb="FF595959"/>
        <rFont val="Arial"/>
        <family val="0"/>
        <charset val="1"/>
      </rPr>
      <t xml:space="preserve">100%</t>
    </r>
    <r>
      <rPr>
        <sz val="9"/>
        <color rgb="FF595959"/>
        <rFont val="Noto Sans CJK SC"/>
        <family val="2"/>
      </rPr>
      <t xml:space="preserve">；</t>
    </r>
    <r>
      <rPr>
        <sz val="9"/>
        <color rgb="FF595959"/>
        <rFont val="Arial"/>
        <family val="0"/>
        <charset val="1"/>
      </rPr>
      <t xml:space="preserve">Hopper H100 </t>
    </r>
    <r>
      <rPr>
        <sz val="9"/>
        <color rgb="FF595959"/>
        <rFont val="Noto Sans CJK SC"/>
        <family val="2"/>
      </rPr>
      <t xml:space="preserve">基準欄）</t>
    </r>
  </si>
  <si>
    <t xml:space="preserve">G40</t>
  </si>
  <si>
    <r>
      <rPr>
        <sz val="10"/>
        <color rgb="FF000000"/>
        <rFont val="Arial"/>
        <family val="0"/>
        <charset val="1"/>
      </rPr>
      <t xml:space="preserve">TK </t>
    </r>
    <r>
      <rPr>
        <sz val="10"/>
        <color rgb="FF000000"/>
        <rFont val="Noto Sans CJK SC"/>
        <family val="2"/>
      </rPr>
      <t xml:space="preserve">單位成本：</t>
    </r>
    <r>
      <rPr>
        <sz val="10"/>
        <color rgb="FF000000"/>
        <rFont val="Arial"/>
        <family val="0"/>
        <charset val="1"/>
      </rPr>
      <t xml:space="preserve">Hopper × Luna × </t>
    </r>
    <r>
      <rPr>
        <sz val="10"/>
        <color rgb="FF000000"/>
        <rFont val="Noto Sans CJK SC"/>
        <family val="2"/>
      </rPr>
      <t xml:space="preserve">快取命中 </t>
    </r>
    <r>
      <rPr>
        <sz val="10"/>
        <color rgb="FF000000"/>
        <rFont val="Arial"/>
        <family val="0"/>
        <charset val="1"/>
      </rPr>
      <t xml:space="preserve">prefill</t>
    </r>
  </si>
  <si>
    <r>
      <rPr>
        <sz val="9"/>
        <color rgb="FF595959"/>
        <rFont val="Arial"/>
        <family val="0"/>
        <charset val="1"/>
      </rPr>
      <t xml:space="preserve">TK IF_CostCache_Luna</t>
    </r>
    <r>
      <rPr>
        <sz val="9"/>
        <color rgb="FF595959"/>
        <rFont val="Noto Sans CJK SC"/>
        <family val="2"/>
      </rPr>
      <t xml:space="preserve">（經濟、</t>
    </r>
    <r>
      <rPr>
        <sz val="9"/>
        <color rgb="FF595959"/>
        <rFont val="Arial"/>
        <family val="0"/>
        <charset val="1"/>
      </rPr>
      <t xml:space="preserve">100%</t>
    </r>
    <r>
      <rPr>
        <sz val="9"/>
        <color rgb="FF595959"/>
        <rFont val="Noto Sans CJK SC"/>
        <family val="2"/>
      </rPr>
      <t xml:space="preserve">；</t>
    </r>
    <r>
      <rPr>
        <sz val="9"/>
        <color rgb="FF595959"/>
        <rFont val="Arial"/>
        <family val="0"/>
        <charset val="1"/>
      </rPr>
      <t xml:space="preserve">Hopper H100 </t>
    </r>
    <r>
      <rPr>
        <sz val="9"/>
        <color rgb="FF595959"/>
        <rFont val="Noto Sans CJK SC"/>
        <family val="2"/>
      </rPr>
      <t xml:space="preserve">基準欄）</t>
    </r>
  </si>
  <si>
    <t xml:space="preserve">G41</t>
  </si>
  <si>
    <r>
      <rPr>
        <sz val="10"/>
        <color rgb="FF000000"/>
        <rFont val="Arial"/>
        <family val="0"/>
        <charset val="1"/>
      </rPr>
      <t xml:space="preserve">TK </t>
    </r>
    <r>
      <rPr>
        <sz val="10"/>
        <color rgb="FF000000"/>
        <rFont val="Noto Sans CJK SC"/>
        <family val="2"/>
      </rPr>
      <t xml:space="preserve">單位成本：</t>
    </r>
    <r>
      <rPr>
        <sz val="10"/>
        <color rgb="FF000000"/>
        <rFont val="Arial"/>
        <family val="0"/>
        <charset val="1"/>
      </rPr>
      <t xml:space="preserve">Hopper × Luna × decode</t>
    </r>
  </si>
  <si>
    <r>
      <rPr>
        <sz val="9"/>
        <color rgb="FF595959"/>
        <rFont val="Arial"/>
        <family val="0"/>
        <charset val="1"/>
      </rPr>
      <t xml:space="preserve">TK IF_CostDec_Luna</t>
    </r>
    <r>
      <rPr>
        <sz val="9"/>
        <color rgb="FF595959"/>
        <rFont val="Noto Sans CJK SC"/>
        <family val="2"/>
      </rPr>
      <t xml:space="preserve">（經濟、</t>
    </r>
    <r>
      <rPr>
        <sz val="9"/>
        <color rgb="FF595959"/>
        <rFont val="Arial"/>
        <family val="0"/>
        <charset val="1"/>
      </rPr>
      <t xml:space="preserve">100%</t>
    </r>
    <r>
      <rPr>
        <sz val="9"/>
        <color rgb="FF595959"/>
        <rFont val="Noto Sans CJK SC"/>
        <family val="2"/>
      </rPr>
      <t xml:space="preserve">；</t>
    </r>
    <r>
      <rPr>
        <sz val="9"/>
        <color rgb="FF595959"/>
        <rFont val="Arial"/>
        <family val="0"/>
        <charset val="1"/>
      </rPr>
      <t xml:space="preserve">Hopper H100 </t>
    </r>
    <r>
      <rPr>
        <sz val="9"/>
        <color rgb="FF595959"/>
        <rFont val="Noto Sans CJK SC"/>
        <family val="2"/>
      </rPr>
      <t xml:space="preserve">基準欄）</t>
    </r>
  </si>
  <si>
    <t xml:space="preserve">G42</t>
  </si>
  <si>
    <r>
      <rPr>
        <sz val="10"/>
        <color rgb="FF000000"/>
        <rFont val="Arial"/>
        <family val="0"/>
        <charset val="1"/>
      </rPr>
      <t xml:space="preserve">TK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年持有成本：</t>
    </r>
    <r>
      <rPr>
        <sz val="10"/>
        <color rgb="FF000000"/>
        <rFont val="Arial"/>
        <family val="0"/>
        <charset val="1"/>
      </rPr>
      <t xml:space="preserve">Hopper</t>
    </r>
    <r>
      <rPr>
        <sz val="10"/>
        <color rgb="FF000000"/>
        <rFont val="Noto Sans CJK SC"/>
        <family val="2"/>
      </rPr>
      <t xml:space="preserve">（經濟）</t>
    </r>
  </si>
  <si>
    <r>
      <rPr>
        <sz val="10"/>
        <color rgb="FF000000"/>
        <rFont val="Arial"/>
        <family val="0"/>
        <charset val="1"/>
      </rPr>
      <t xml:space="preserve">$B</t>
    </r>
    <r>
      <rPr>
        <sz val="10"/>
        <color rgb="FF000000"/>
        <rFont val="Noto Sans CJK SC"/>
        <family val="2"/>
      </rPr>
      <t xml:space="preserve">／</t>
    </r>
    <r>
      <rPr>
        <sz val="10"/>
        <color rgb="FF000000"/>
        <rFont val="Arial"/>
        <family val="0"/>
        <charset val="1"/>
      </rPr>
      <t xml:space="preserve">GW</t>
    </r>
    <r>
      <rPr>
        <sz val="10"/>
        <color rgb="FF000000"/>
        <rFont val="Noto Sans CJK SC"/>
        <family val="2"/>
      </rPr>
      <t xml:space="preserve">／年</t>
    </r>
  </si>
  <si>
    <r>
      <rPr>
        <sz val="9"/>
        <color rgb="FF595959"/>
        <rFont val="Noto Sans CJK SC"/>
        <family val="2"/>
      </rPr>
      <t xml:space="preserve">與單位成本同為經濟口徑、</t>
    </r>
    <r>
      <rPr>
        <sz val="9"/>
        <color rgb="FF595959"/>
        <rFont val="Arial"/>
        <family val="0"/>
        <charset val="1"/>
      </rPr>
      <t xml:space="preserve">100% </t>
    </r>
    <r>
      <rPr>
        <sz val="9"/>
        <color rgb="FF595959"/>
        <rFont val="Noto Sans CJK SC"/>
        <family val="2"/>
      </rPr>
      <t xml:space="preserve">時數（單位成本＝每 </t>
    </r>
    <r>
      <rPr>
        <sz val="9"/>
        <color rgb="FF595959"/>
        <rFont val="Arial"/>
        <family val="0"/>
        <charset val="1"/>
      </rPr>
      <t xml:space="preserve">GPU </t>
    </r>
    <r>
      <rPr>
        <sz val="9"/>
        <color rgb="FF595959"/>
        <rFont val="Noto Sans CJK SC"/>
        <family val="2"/>
      </rPr>
      <t xml:space="preserve">小時持有成本 </t>
    </r>
    <r>
      <rPr>
        <sz val="9"/>
        <color rgb="FF595959"/>
        <rFont val="Arial"/>
        <family val="0"/>
        <charset val="1"/>
      </rPr>
      <t xml:space="preserve">× </t>
    </r>
    <r>
      <rPr>
        <sz val="9"/>
        <color rgb="FF595959"/>
        <rFont val="Noto Sans CJK SC"/>
        <family val="2"/>
      </rPr>
      <t xml:space="preserve">每 </t>
    </r>
    <r>
      <rPr>
        <sz val="9"/>
        <color rgb="FF595959"/>
        <rFont val="Arial"/>
        <family val="0"/>
        <charset val="1"/>
      </rPr>
      <t xml:space="preserve">M token GPU </t>
    </r>
    <r>
      <rPr>
        <sz val="9"/>
        <color rgb="FF595959"/>
        <rFont val="Noto Sans CJK SC"/>
        <family val="2"/>
      </rPr>
      <t xml:space="preserve">時間），兩者相除＝</t>
    </r>
    <r>
      <rPr>
        <sz val="9"/>
        <color rgb="FF595959"/>
        <rFont val="Arial"/>
        <family val="0"/>
        <charset val="1"/>
      </rPr>
      <t xml:space="preserve">100% </t>
    </r>
    <r>
      <rPr>
        <sz val="9"/>
        <color rgb="FF595959"/>
        <rFont val="Noto Sans CJK SC"/>
        <family val="2"/>
      </rPr>
      <t xml:space="preserve">利用率下所需 </t>
    </r>
    <r>
      <rPr>
        <sz val="9"/>
        <color rgb="FF595959"/>
        <rFont val="Arial"/>
        <family val="0"/>
        <charset val="1"/>
      </rPr>
      <t xml:space="preserve">GW</t>
    </r>
  </si>
  <si>
    <t xml:space="preserve">G43</t>
  </si>
  <si>
    <r>
      <rPr>
        <sz val="10"/>
        <color rgb="FF000000"/>
        <rFont val="Noto Sans CJK SC"/>
        <family val="2"/>
      </rPr>
      <t xml:space="preserve">類型組成：</t>
    </r>
    <r>
      <rPr>
        <sz val="10"/>
        <color rgb="FF000000"/>
        <rFont val="Arial"/>
        <family val="0"/>
        <charset val="1"/>
      </rPr>
      <t xml:space="preserve">API </t>
    </r>
    <r>
      <rPr>
        <sz val="10"/>
        <color rgb="FF000000"/>
        <rFont val="Noto Sans CJK SC"/>
        <family val="2"/>
      </rPr>
      <t xml:space="preserve">按量／免費 </t>
    </r>
    <r>
      <rPr>
        <sz val="10"/>
        <color rgb="FF000000"/>
        <rFont val="Arial"/>
        <family val="0"/>
        <charset val="1"/>
      </rPr>
      <t xml:space="preserve">API</t>
    </r>
    <r>
      <rPr>
        <sz val="10"/>
        <color rgb="FF000000"/>
        <rFont val="Noto Sans CJK SC"/>
        <family val="2"/>
      </rPr>
      <t xml:space="preserve">／清言（沿用 </t>
    </r>
    <r>
      <rPr>
        <sz val="10"/>
        <color rgb="FF000000"/>
        <rFont val="Arial"/>
        <family val="0"/>
        <charset val="1"/>
      </rPr>
      <t xml:space="preserve">API </t>
    </r>
    <r>
      <rPr>
        <sz val="10"/>
        <color rgb="FF000000"/>
        <rFont val="Noto Sans CJK SC"/>
        <family val="2"/>
      </rPr>
      <t xml:space="preserve">快取命中、輸出占比）：新鮮輸入</t>
    </r>
  </si>
  <si>
    <r>
      <rPr>
        <sz val="9"/>
        <color rgb="FF595959"/>
        <rFont val="Arial"/>
        <family val="0"/>
        <charset val="1"/>
      </rPr>
      <t xml:space="preserve">(1−</t>
    </r>
    <r>
      <rPr>
        <sz val="9"/>
        <color rgb="FF595959"/>
        <rFont val="Noto Sans CJK SC"/>
        <family val="2"/>
      </rPr>
      <t xml:space="preserve">輸出占比</t>
    </r>
    <r>
      <rPr>
        <sz val="9"/>
        <color rgb="FF595959"/>
        <rFont val="Arial"/>
        <family val="0"/>
        <charset val="1"/>
      </rPr>
      <t xml:space="preserve">)×(1−</t>
    </r>
    <r>
      <rPr>
        <sz val="9"/>
        <color rgb="FF595959"/>
        <rFont val="Noto Sans CJK SC"/>
        <family val="2"/>
      </rPr>
      <t xml:space="preserve">快取命中</t>
    </r>
    <r>
      <rPr>
        <sz val="9"/>
        <color rgb="FF595959"/>
        <rFont val="Arial"/>
        <family val="0"/>
        <charset val="1"/>
      </rPr>
      <t xml:space="preserve">)</t>
    </r>
  </si>
  <si>
    <t xml:space="preserve">G44</t>
  </si>
  <si>
    <r>
      <rPr>
        <sz val="10"/>
        <color rgb="FF000000"/>
        <rFont val="Noto Sans CJK SC"/>
        <family val="2"/>
      </rPr>
      <t xml:space="preserve">類型組成：</t>
    </r>
    <r>
      <rPr>
        <sz val="10"/>
        <color rgb="FF000000"/>
        <rFont val="Arial"/>
        <family val="0"/>
        <charset val="1"/>
      </rPr>
      <t xml:space="preserve">API </t>
    </r>
    <r>
      <rPr>
        <sz val="10"/>
        <color rgb="FF000000"/>
        <rFont val="Noto Sans CJK SC"/>
        <family val="2"/>
      </rPr>
      <t xml:space="preserve">按量／免費 </t>
    </r>
    <r>
      <rPr>
        <sz val="10"/>
        <color rgb="FF000000"/>
        <rFont val="Arial"/>
        <family val="0"/>
        <charset val="1"/>
      </rPr>
      <t xml:space="preserve">API</t>
    </r>
    <r>
      <rPr>
        <sz val="10"/>
        <color rgb="FF000000"/>
        <rFont val="Noto Sans CJK SC"/>
        <family val="2"/>
      </rPr>
      <t xml:space="preserve">／清言（沿用 </t>
    </r>
    <r>
      <rPr>
        <sz val="10"/>
        <color rgb="FF000000"/>
        <rFont val="Arial"/>
        <family val="0"/>
        <charset val="1"/>
      </rPr>
      <t xml:space="preserve">API </t>
    </r>
    <r>
      <rPr>
        <sz val="10"/>
        <color rgb="FF000000"/>
        <rFont val="Noto Sans CJK SC"/>
        <family val="2"/>
      </rPr>
      <t xml:space="preserve">快取命中、輸出占比）：快取命中輸入</t>
    </r>
  </si>
  <si>
    <r>
      <rPr>
        <sz val="9"/>
        <color rgb="FF595959"/>
        <rFont val="Arial"/>
        <family val="0"/>
        <charset val="1"/>
      </rPr>
      <t xml:space="preserve">(1−</t>
    </r>
    <r>
      <rPr>
        <sz val="9"/>
        <color rgb="FF595959"/>
        <rFont val="Noto Sans CJK SC"/>
        <family val="2"/>
      </rPr>
      <t xml:space="preserve">輸出占比</t>
    </r>
    <r>
      <rPr>
        <sz val="9"/>
        <color rgb="FF595959"/>
        <rFont val="Arial"/>
        <family val="0"/>
        <charset val="1"/>
      </rPr>
      <t xml:space="preserve">)×</t>
    </r>
    <r>
      <rPr>
        <sz val="9"/>
        <color rgb="FF595959"/>
        <rFont val="Noto Sans CJK SC"/>
        <family val="2"/>
      </rPr>
      <t xml:space="preserve">快取命中</t>
    </r>
  </si>
  <si>
    <t xml:space="preserve">G45</t>
  </si>
  <si>
    <r>
      <rPr>
        <sz val="10"/>
        <color rgb="FF000000"/>
        <rFont val="Noto Sans CJK SC"/>
        <family val="2"/>
      </rPr>
      <t xml:space="preserve">類型組成：</t>
    </r>
    <r>
      <rPr>
        <sz val="10"/>
        <color rgb="FF000000"/>
        <rFont val="Arial"/>
        <family val="0"/>
        <charset val="1"/>
      </rPr>
      <t xml:space="preserve">API </t>
    </r>
    <r>
      <rPr>
        <sz val="10"/>
        <color rgb="FF000000"/>
        <rFont val="Noto Sans CJK SC"/>
        <family val="2"/>
      </rPr>
      <t xml:space="preserve">按量／免費 </t>
    </r>
    <r>
      <rPr>
        <sz val="10"/>
        <color rgb="FF000000"/>
        <rFont val="Arial"/>
        <family val="0"/>
        <charset val="1"/>
      </rPr>
      <t xml:space="preserve">API</t>
    </r>
    <r>
      <rPr>
        <sz val="10"/>
        <color rgb="FF000000"/>
        <rFont val="Noto Sans CJK SC"/>
        <family val="2"/>
      </rPr>
      <t xml:space="preserve">／清言（沿用 </t>
    </r>
    <r>
      <rPr>
        <sz val="10"/>
        <color rgb="FF000000"/>
        <rFont val="Arial"/>
        <family val="0"/>
        <charset val="1"/>
      </rPr>
      <t xml:space="preserve">API </t>
    </r>
    <r>
      <rPr>
        <sz val="10"/>
        <color rgb="FF000000"/>
        <rFont val="Noto Sans CJK SC"/>
        <family val="2"/>
      </rPr>
      <t xml:space="preserve">快取命中、輸出占比）：輸出</t>
    </r>
  </si>
  <si>
    <t xml:space="preserve">輸出占比</t>
  </si>
  <si>
    <t xml:space="preserve">G46</t>
  </si>
  <si>
    <r>
      <rPr>
        <sz val="10"/>
        <color rgb="FF000000"/>
        <rFont val="Noto Sans CJK SC"/>
        <family val="2"/>
      </rPr>
      <t xml:space="preserve">加權單位成本：</t>
    </r>
    <r>
      <rPr>
        <sz val="10"/>
        <color rgb="FF000000"/>
        <rFont val="Arial"/>
        <family val="0"/>
        <charset val="1"/>
      </rPr>
      <t xml:space="preserve">API </t>
    </r>
    <r>
      <rPr>
        <sz val="10"/>
        <color rgb="FF000000"/>
        <rFont val="Noto Sans CJK SC"/>
        <family val="2"/>
      </rPr>
      <t xml:space="preserve">按量／免費 </t>
    </r>
    <r>
      <rPr>
        <sz val="10"/>
        <color rgb="FF000000"/>
        <rFont val="Arial"/>
        <family val="0"/>
        <charset val="1"/>
      </rPr>
      <t xml:space="preserve">API</t>
    </r>
    <r>
      <rPr>
        <sz val="10"/>
        <color rgb="FF000000"/>
        <rFont val="Noto Sans CJK SC"/>
        <family val="2"/>
      </rPr>
      <t xml:space="preserve">／清言（沿用 </t>
    </r>
    <r>
      <rPr>
        <sz val="10"/>
        <color rgb="FF000000"/>
        <rFont val="Arial"/>
        <family val="0"/>
        <charset val="1"/>
      </rPr>
      <t xml:space="preserve">API </t>
    </r>
    <r>
      <rPr>
        <sz val="10"/>
        <color rgb="FF000000"/>
        <rFont val="Noto Sans CJK SC"/>
        <family val="2"/>
      </rPr>
      <t xml:space="preserve">快取命中、輸出占比） </t>
    </r>
    <r>
      <rPr>
        <sz val="10"/>
        <color rgb="FF000000"/>
        <rFont val="Arial"/>
        <family val="0"/>
        <charset val="1"/>
      </rPr>
      <t xml:space="preserve">× Sol</t>
    </r>
  </si>
  <si>
    <r>
      <rPr>
        <sz val="9"/>
        <color rgb="FF595959"/>
        <rFont val="Arial"/>
        <family val="0"/>
        <charset val="1"/>
      </rPr>
      <t xml:space="preserve">Hopper</t>
    </r>
    <r>
      <rPr>
        <sz val="9"/>
        <color rgb="FF595959"/>
        <rFont val="Noto Sans CJK SC"/>
        <family val="2"/>
      </rPr>
      <t xml:space="preserve">、</t>
    </r>
    <r>
      <rPr>
        <sz val="9"/>
        <color rgb="FF595959"/>
        <rFont val="Arial"/>
        <family val="0"/>
        <charset val="1"/>
      </rPr>
      <t xml:space="preserve">100%</t>
    </r>
  </si>
  <si>
    <t xml:space="preserve">G47</t>
  </si>
  <si>
    <r>
      <rPr>
        <sz val="10"/>
        <color rgb="FF000000"/>
        <rFont val="Noto Sans CJK SC"/>
        <family val="2"/>
      </rPr>
      <t xml:space="preserve">加權單位成本：</t>
    </r>
    <r>
      <rPr>
        <sz val="10"/>
        <color rgb="FF000000"/>
        <rFont val="Arial"/>
        <family val="0"/>
        <charset val="1"/>
      </rPr>
      <t xml:space="preserve">API </t>
    </r>
    <r>
      <rPr>
        <sz val="10"/>
        <color rgb="FF000000"/>
        <rFont val="Noto Sans CJK SC"/>
        <family val="2"/>
      </rPr>
      <t xml:space="preserve">按量／免費 </t>
    </r>
    <r>
      <rPr>
        <sz val="10"/>
        <color rgb="FF000000"/>
        <rFont val="Arial"/>
        <family val="0"/>
        <charset val="1"/>
      </rPr>
      <t xml:space="preserve">API</t>
    </r>
    <r>
      <rPr>
        <sz val="10"/>
        <color rgb="FF000000"/>
        <rFont val="Noto Sans CJK SC"/>
        <family val="2"/>
      </rPr>
      <t xml:space="preserve">／清言（沿用 </t>
    </r>
    <r>
      <rPr>
        <sz val="10"/>
        <color rgb="FF000000"/>
        <rFont val="Arial"/>
        <family val="0"/>
        <charset val="1"/>
      </rPr>
      <t xml:space="preserve">API </t>
    </r>
    <r>
      <rPr>
        <sz val="10"/>
        <color rgb="FF000000"/>
        <rFont val="Noto Sans CJK SC"/>
        <family val="2"/>
      </rPr>
      <t xml:space="preserve">快取命中、輸出占比） </t>
    </r>
    <r>
      <rPr>
        <sz val="10"/>
        <color rgb="FF000000"/>
        <rFont val="Arial"/>
        <family val="0"/>
        <charset val="1"/>
      </rPr>
      <t xml:space="preserve">× Luna</t>
    </r>
  </si>
  <si>
    <t xml:space="preserve">G48</t>
  </si>
  <si>
    <r>
      <rPr>
        <sz val="10"/>
        <color rgb="FF000000"/>
        <rFont val="Noto Sans CJK SC"/>
        <family val="2"/>
      </rPr>
      <t xml:space="preserve">類型組成：</t>
    </r>
    <r>
      <rPr>
        <sz val="10"/>
        <color rgb="FF000000"/>
        <rFont val="Arial"/>
        <family val="0"/>
        <charset val="1"/>
      </rPr>
      <t xml:space="preserve">Coding Plan</t>
    </r>
    <r>
      <rPr>
        <sz val="10"/>
        <color rgb="FF000000"/>
        <rFont val="Noto Sans CJK SC"/>
        <family val="2"/>
      </rPr>
      <t xml:space="preserve">（</t>
    </r>
    <r>
      <rPr>
        <sz val="10"/>
        <color rgb="FF000000"/>
        <rFont val="Arial"/>
        <family val="0"/>
        <charset val="1"/>
      </rPr>
      <t xml:space="preserve">Inputs </t>
    </r>
    <r>
      <rPr>
        <sz val="10"/>
        <color rgb="FF000000"/>
        <rFont val="Noto Sans CJK SC"/>
        <family val="2"/>
      </rPr>
      <t xml:space="preserve">快取命中 </t>
    </r>
    <r>
      <rPr>
        <sz val="10"/>
        <color rgb="FF000000"/>
        <rFont val="Arial"/>
        <family val="0"/>
        <charset val="1"/>
      </rPr>
      <t xml:space="preserve">0.9</t>
    </r>
    <r>
      <rPr>
        <sz val="10"/>
        <color rgb="FF000000"/>
        <rFont val="Noto Sans CJK SC"/>
        <family val="2"/>
      </rPr>
      <t xml:space="preserve">、輸出 </t>
    </r>
    <r>
      <rPr>
        <sz val="10"/>
        <color rgb="FF000000"/>
        <rFont val="Arial"/>
        <family val="0"/>
        <charset val="1"/>
      </rPr>
      <t xml:space="preserve">0.03</t>
    </r>
    <r>
      <rPr>
        <sz val="10"/>
        <color rgb="FF000000"/>
        <rFont val="Noto Sans CJK SC"/>
        <family val="2"/>
      </rPr>
      <t xml:space="preserve">）：新鮮輸入</t>
    </r>
  </si>
  <si>
    <t xml:space="preserve">G49</t>
  </si>
  <si>
    <r>
      <rPr>
        <sz val="10"/>
        <color rgb="FF000000"/>
        <rFont val="Noto Sans CJK SC"/>
        <family val="2"/>
      </rPr>
      <t xml:space="preserve">類型組成：</t>
    </r>
    <r>
      <rPr>
        <sz val="10"/>
        <color rgb="FF000000"/>
        <rFont val="Arial"/>
        <family val="0"/>
        <charset val="1"/>
      </rPr>
      <t xml:space="preserve">Coding Plan</t>
    </r>
    <r>
      <rPr>
        <sz val="10"/>
        <color rgb="FF000000"/>
        <rFont val="Noto Sans CJK SC"/>
        <family val="2"/>
      </rPr>
      <t xml:space="preserve">（</t>
    </r>
    <r>
      <rPr>
        <sz val="10"/>
        <color rgb="FF000000"/>
        <rFont val="Arial"/>
        <family val="0"/>
        <charset val="1"/>
      </rPr>
      <t xml:space="preserve">Inputs </t>
    </r>
    <r>
      <rPr>
        <sz val="10"/>
        <color rgb="FF000000"/>
        <rFont val="Noto Sans CJK SC"/>
        <family val="2"/>
      </rPr>
      <t xml:space="preserve">快取命中 </t>
    </r>
    <r>
      <rPr>
        <sz val="10"/>
        <color rgb="FF000000"/>
        <rFont val="Arial"/>
        <family val="0"/>
        <charset val="1"/>
      </rPr>
      <t xml:space="preserve">0.9</t>
    </r>
    <r>
      <rPr>
        <sz val="10"/>
        <color rgb="FF000000"/>
        <rFont val="Noto Sans CJK SC"/>
        <family val="2"/>
      </rPr>
      <t xml:space="preserve">、輸出 </t>
    </r>
    <r>
      <rPr>
        <sz val="10"/>
        <color rgb="FF000000"/>
        <rFont val="Arial"/>
        <family val="0"/>
        <charset val="1"/>
      </rPr>
      <t xml:space="preserve">0.03</t>
    </r>
    <r>
      <rPr>
        <sz val="10"/>
        <color rgb="FF000000"/>
        <rFont val="Noto Sans CJK SC"/>
        <family val="2"/>
      </rPr>
      <t xml:space="preserve">）：快取命中輸入</t>
    </r>
  </si>
  <si>
    <t xml:space="preserve">G50</t>
  </si>
  <si>
    <r>
      <rPr>
        <sz val="10"/>
        <color rgb="FF000000"/>
        <rFont val="Noto Sans CJK SC"/>
        <family val="2"/>
      </rPr>
      <t xml:space="preserve">類型組成：</t>
    </r>
    <r>
      <rPr>
        <sz val="10"/>
        <color rgb="FF000000"/>
        <rFont val="Arial"/>
        <family val="0"/>
        <charset val="1"/>
      </rPr>
      <t xml:space="preserve">Coding Plan</t>
    </r>
    <r>
      <rPr>
        <sz val="10"/>
        <color rgb="FF000000"/>
        <rFont val="Noto Sans CJK SC"/>
        <family val="2"/>
      </rPr>
      <t xml:space="preserve">（</t>
    </r>
    <r>
      <rPr>
        <sz val="10"/>
        <color rgb="FF000000"/>
        <rFont val="Arial"/>
        <family val="0"/>
        <charset val="1"/>
      </rPr>
      <t xml:space="preserve">Inputs </t>
    </r>
    <r>
      <rPr>
        <sz val="10"/>
        <color rgb="FF000000"/>
        <rFont val="Noto Sans CJK SC"/>
        <family val="2"/>
      </rPr>
      <t xml:space="preserve">快取命中 </t>
    </r>
    <r>
      <rPr>
        <sz val="10"/>
        <color rgb="FF000000"/>
        <rFont val="Arial"/>
        <family val="0"/>
        <charset val="1"/>
      </rPr>
      <t xml:space="preserve">0.9</t>
    </r>
    <r>
      <rPr>
        <sz val="10"/>
        <color rgb="FF000000"/>
        <rFont val="Noto Sans CJK SC"/>
        <family val="2"/>
      </rPr>
      <t xml:space="preserve">、輸出 </t>
    </r>
    <r>
      <rPr>
        <sz val="10"/>
        <color rgb="FF000000"/>
        <rFont val="Arial"/>
        <family val="0"/>
        <charset val="1"/>
      </rPr>
      <t xml:space="preserve">0.03</t>
    </r>
    <r>
      <rPr>
        <sz val="10"/>
        <color rgb="FF000000"/>
        <rFont val="Noto Sans CJK SC"/>
        <family val="2"/>
      </rPr>
      <t xml:space="preserve">）：輸出</t>
    </r>
  </si>
  <si>
    <t xml:space="preserve">G51</t>
  </si>
  <si>
    <r>
      <rPr>
        <sz val="10"/>
        <color rgb="FF000000"/>
        <rFont val="Noto Sans CJK SC"/>
        <family val="2"/>
      </rPr>
      <t xml:space="preserve">加權單位成本：</t>
    </r>
    <r>
      <rPr>
        <sz val="10"/>
        <color rgb="FF000000"/>
        <rFont val="Arial"/>
        <family val="0"/>
        <charset val="1"/>
      </rPr>
      <t xml:space="preserve">Coding Plan</t>
    </r>
    <r>
      <rPr>
        <sz val="10"/>
        <color rgb="FF000000"/>
        <rFont val="Noto Sans CJK SC"/>
        <family val="2"/>
      </rPr>
      <t xml:space="preserve">（</t>
    </r>
    <r>
      <rPr>
        <sz val="10"/>
        <color rgb="FF000000"/>
        <rFont val="Arial"/>
        <family val="0"/>
        <charset val="1"/>
      </rPr>
      <t xml:space="preserve">Inputs </t>
    </r>
    <r>
      <rPr>
        <sz val="10"/>
        <color rgb="FF000000"/>
        <rFont val="Noto Sans CJK SC"/>
        <family val="2"/>
      </rPr>
      <t xml:space="preserve">快取命中 </t>
    </r>
    <r>
      <rPr>
        <sz val="10"/>
        <color rgb="FF000000"/>
        <rFont val="Arial"/>
        <family val="0"/>
        <charset val="1"/>
      </rPr>
      <t xml:space="preserve">0.9</t>
    </r>
    <r>
      <rPr>
        <sz val="10"/>
        <color rgb="FF000000"/>
        <rFont val="Noto Sans CJK SC"/>
        <family val="2"/>
      </rPr>
      <t xml:space="preserve">、輸出 </t>
    </r>
    <r>
      <rPr>
        <sz val="10"/>
        <color rgb="FF000000"/>
        <rFont val="Arial"/>
        <family val="0"/>
        <charset val="1"/>
      </rPr>
      <t xml:space="preserve">0.03</t>
    </r>
    <r>
      <rPr>
        <sz val="10"/>
        <color rgb="FF000000"/>
        <rFont val="Noto Sans CJK SC"/>
        <family val="2"/>
      </rPr>
      <t xml:space="preserve">） </t>
    </r>
    <r>
      <rPr>
        <sz val="10"/>
        <color rgb="FF000000"/>
        <rFont val="Arial"/>
        <family val="0"/>
        <charset val="1"/>
      </rPr>
      <t xml:space="preserve">× Sol</t>
    </r>
  </si>
  <si>
    <t xml:space="preserve">G52</t>
  </si>
  <si>
    <r>
      <rPr>
        <sz val="10"/>
        <color rgb="FF000000"/>
        <rFont val="Noto Sans CJK SC"/>
        <family val="2"/>
      </rPr>
      <t xml:space="preserve">加權單位成本：</t>
    </r>
    <r>
      <rPr>
        <sz val="10"/>
        <color rgb="FF000000"/>
        <rFont val="Arial"/>
        <family val="0"/>
        <charset val="1"/>
      </rPr>
      <t xml:space="preserve">Coding Plan</t>
    </r>
    <r>
      <rPr>
        <sz val="10"/>
        <color rgb="FF000000"/>
        <rFont val="Noto Sans CJK SC"/>
        <family val="2"/>
      </rPr>
      <t xml:space="preserve">（</t>
    </r>
    <r>
      <rPr>
        <sz val="10"/>
        <color rgb="FF000000"/>
        <rFont val="Arial"/>
        <family val="0"/>
        <charset val="1"/>
      </rPr>
      <t xml:space="preserve">Inputs </t>
    </r>
    <r>
      <rPr>
        <sz val="10"/>
        <color rgb="FF000000"/>
        <rFont val="Noto Sans CJK SC"/>
        <family val="2"/>
      </rPr>
      <t xml:space="preserve">快取命中 </t>
    </r>
    <r>
      <rPr>
        <sz val="10"/>
        <color rgb="FF000000"/>
        <rFont val="Arial"/>
        <family val="0"/>
        <charset val="1"/>
      </rPr>
      <t xml:space="preserve">0.9</t>
    </r>
    <r>
      <rPr>
        <sz val="10"/>
        <color rgb="FF000000"/>
        <rFont val="Noto Sans CJK SC"/>
        <family val="2"/>
      </rPr>
      <t xml:space="preserve">、輸出 </t>
    </r>
    <r>
      <rPr>
        <sz val="10"/>
        <color rgb="FF000000"/>
        <rFont val="Arial"/>
        <family val="0"/>
        <charset val="1"/>
      </rPr>
      <t xml:space="preserve">0.03</t>
    </r>
    <r>
      <rPr>
        <sz val="10"/>
        <color rgb="FF000000"/>
        <rFont val="Noto Sans CJK SC"/>
        <family val="2"/>
      </rPr>
      <t xml:space="preserve">） </t>
    </r>
    <r>
      <rPr>
        <sz val="10"/>
        <color rgb="FF000000"/>
        <rFont val="Arial"/>
        <family val="0"/>
        <charset val="1"/>
      </rPr>
      <t xml:space="preserve">× Luna</t>
    </r>
  </si>
  <si>
    <t xml:space="preserve">G53</t>
  </si>
  <si>
    <r>
      <rPr>
        <sz val="10"/>
        <color rgb="FF000000"/>
        <rFont val="Noto Sans CJK SC"/>
        <family val="2"/>
      </rPr>
      <t xml:space="preserve">推論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token </t>
    </r>
    <r>
      <rPr>
        <sz val="10"/>
        <color rgb="FF000000"/>
        <rFont val="Noto Sans CJK SC"/>
        <family val="2"/>
      </rPr>
      <t xml:space="preserve">換算）：付費</t>
    </r>
  </si>
  <si>
    <r>
      <rPr>
        <sz val="9"/>
        <color rgb="FF595959"/>
        <rFont val="Arial"/>
        <family val="0"/>
        <charset val="1"/>
      </rPr>
      <t xml:space="preserve">Σ token</t>
    </r>
    <r>
      <rPr>
        <sz val="9"/>
        <color rgb="FF595959"/>
        <rFont val="Noto Sans CJK SC"/>
        <family val="2"/>
      </rPr>
      <t xml:space="preserve">（</t>
    </r>
    <r>
      <rPr>
        <sz val="9"/>
        <color rgb="FF595959"/>
        <rFont val="Arial"/>
        <family val="0"/>
        <charset val="1"/>
      </rPr>
      <t xml:space="preserve">T</t>
    </r>
    <r>
      <rPr>
        <sz val="9"/>
        <color rgb="FF595959"/>
        <rFont val="Noto Sans CJK SC"/>
        <family val="2"/>
      </rPr>
      <t xml:space="preserve">）</t>
    </r>
    <r>
      <rPr>
        <sz val="9"/>
        <color rgb="FF595959"/>
        <rFont val="Arial"/>
        <family val="0"/>
        <charset val="1"/>
      </rPr>
      <t xml:space="preserve">× 10^6 × </t>
    </r>
    <r>
      <rPr>
        <sz val="9"/>
        <color rgb="FF595959"/>
        <rFont val="Noto Sans CJK SC"/>
        <family val="2"/>
      </rPr>
      <t xml:space="preserve">加權單位成本 </t>
    </r>
    <r>
      <rPr>
        <sz val="9"/>
        <color rgb="FF595959"/>
        <rFont val="Arial"/>
        <family val="0"/>
        <charset val="1"/>
      </rPr>
      <t xml:space="preserve">÷</t>
    </r>
    <r>
      <rPr>
        <sz val="9"/>
        <color rgb="FF595959"/>
        <rFont val="Noto Sans CJK SC"/>
        <family val="2"/>
      </rPr>
      <t xml:space="preserve">（持有成本 </t>
    </r>
    <r>
      <rPr>
        <sz val="9"/>
        <color rgb="FF595959"/>
        <rFont val="Arial"/>
        <family val="0"/>
        <charset val="1"/>
      </rPr>
      <t xml:space="preserve">× 10^9 × IF_Util × </t>
    </r>
    <r>
      <rPr>
        <sz val="9"/>
        <color rgb="FF595959"/>
        <rFont val="Noto Sans CJK SC"/>
        <family val="2"/>
      </rPr>
      <t xml:space="preserve">組合產出係數 </t>
    </r>
    <r>
      <rPr>
        <sz val="9"/>
        <color rgb="FF595959"/>
        <rFont val="Arial"/>
        <family val="0"/>
        <charset val="1"/>
      </rPr>
      <t xml:space="preserve">× </t>
    </r>
    <r>
      <rPr>
        <sz val="9"/>
        <color rgb="FF595959"/>
        <rFont val="Noto Sans CJK SC"/>
        <family val="2"/>
      </rPr>
      <t xml:space="preserve">期間比例）；國產、</t>
    </r>
    <r>
      <rPr>
        <sz val="9"/>
        <color rgb="FF595959"/>
        <rFont val="Arial"/>
        <family val="0"/>
        <charset val="1"/>
      </rPr>
      <t xml:space="preserve">H20 </t>
    </r>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產出＝</t>
    </r>
    <r>
      <rPr>
        <sz val="9"/>
        <color rgb="FF595959"/>
        <rFont val="Arial"/>
        <family val="0"/>
        <charset val="1"/>
      </rPr>
      <t xml:space="preserve">Hopper × </t>
    </r>
    <r>
      <rPr>
        <sz val="9"/>
        <color rgb="FF595959"/>
        <rFont val="Noto Sans CJK SC"/>
        <family val="2"/>
      </rPr>
      <t xml:space="preserve">產出比（持有比在成本與持有成本兩端相消）</t>
    </r>
  </si>
  <si>
    <t xml:space="preserve">G54</t>
  </si>
  <si>
    <r>
      <rPr>
        <sz val="10"/>
        <color rgb="FF000000"/>
        <rFont val="Noto Sans CJK SC"/>
        <family val="2"/>
      </rPr>
      <t xml:space="preserve">推論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token </t>
    </r>
    <r>
      <rPr>
        <sz val="10"/>
        <color rgb="FF000000"/>
        <rFont val="Noto Sans CJK SC"/>
        <family val="2"/>
      </rPr>
      <t xml:space="preserve">換算）：免費</t>
    </r>
  </si>
  <si>
    <t xml:space="preserve">G55</t>
  </si>
  <si>
    <r>
      <rPr>
        <sz val="10"/>
        <color rgb="FF000000"/>
        <rFont val="Noto Sans CJK SC"/>
        <family val="2"/>
      </rPr>
      <t xml:space="preserve">推論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token </t>
    </r>
    <r>
      <rPr>
        <sz val="10"/>
        <color rgb="FF000000"/>
        <rFont val="Noto Sans CJK SC"/>
        <family val="2"/>
      </rPr>
      <t xml:space="preserve">換算）：合計</t>
    </r>
  </si>
  <si>
    <t xml:space="preserve">G56</t>
  </si>
  <si>
    <r>
      <rPr>
        <sz val="10"/>
        <color rgb="FF000000"/>
        <rFont val="Noto Sans CJK SC"/>
        <family val="2"/>
      </rPr>
      <t xml:space="preserve">其中 </t>
    </r>
    <r>
      <rPr>
        <sz val="10"/>
        <color rgb="FF000000"/>
        <rFont val="Arial"/>
        <family val="0"/>
        <charset val="1"/>
      </rPr>
      <t xml:space="preserve">Coding Plan</t>
    </r>
  </si>
  <si>
    <r>
      <rPr>
        <sz val="9"/>
        <color rgb="FF595959"/>
        <rFont val="Arial"/>
        <family val="0"/>
        <charset val="1"/>
      </rPr>
      <t xml:space="preserve">R4 </t>
    </r>
    <r>
      <rPr>
        <sz val="9"/>
        <color rgb="FF595959"/>
        <rFont val="Noto Sans CJK SC"/>
        <family val="2"/>
      </rPr>
      <t xml:space="preserve">對帳用</t>
    </r>
  </si>
  <si>
    <r>
      <rPr>
        <b val="true"/>
        <sz val="10"/>
        <rFont val="Noto Sans CJK SC"/>
        <family val="2"/>
      </rPr>
      <t xml:space="preserve">四之一、對照：舊法（</t>
    </r>
    <r>
      <rPr>
        <b val="true"/>
        <sz val="10"/>
        <rFont val="Arial"/>
        <family val="0"/>
        <charset val="1"/>
      </rPr>
      <t xml:space="preserve">Z3</t>
    </r>
    <r>
      <rPr>
        <b val="true"/>
        <sz val="10"/>
        <rFont val="Noto Sans CJK SC"/>
        <family val="2"/>
      </rPr>
      <t xml:space="preserve">）＝</t>
    </r>
    <r>
      <rPr>
        <b val="true"/>
        <sz val="10"/>
        <rFont val="Arial"/>
        <family val="0"/>
        <charset val="1"/>
      </rPr>
      <t xml:space="preserve">token ÷ </t>
    </r>
    <r>
      <rPr>
        <b val="true"/>
        <sz val="10"/>
        <rFont val="Noto Sans CJK SC"/>
        <family val="2"/>
      </rPr>
      <t xml:space="preserve">參考請求組合每 </t>
    </r>
    <r>
      <rPr>
        <b val="true"/>
        <sz val="10"/>
        <rFont val="Arial"/>
        <family val="0"/>
        <charset val="1"/>
      </rPr>
      <t xml:space="preserve">GW </t>
    </r>
    <r>
      <rPr>
        <b val="true"/>
        <sz val="10"/>
        <rFont val="Noto Sans CJK SC"/>
        <family val="2"/>
      </rPr>
      <t xml:space="preserve">年產能（</t>
    </r>
    <r>
      <rPr>
        <b val="true"/>
        <sz val="10"/>
        <rFont val="Arial"/>
        <family val="0"/>
        <charset val="1"/>
      </rPr>
      <t xml:space="preserve">TK IF_TokGW × IF_Util</t>
    </r>
    <r>
      <rPr>
        <b val="true"/>
        <sz val="10"/>
        <rFont val="Noto Sans CJK SC"/>
        <family val="2"/>
      </rPr>
      <t xml:space="preserve">；</t>
    </r>
    <r>
      <rPr>
        <b val="true"/>
        <sz val="10"/>
        <rFont val="Arial"/>
        <family val="0"/>
        <charset val="1"/>
      </rPr>
      <t xml:space="preserve">Z3b F3</t>
    </r>
    <r>
      <rPr>
        <b val="true"/>
        <sz val="10"/>
        <rFont val="Noto Sans CJK SC"/>
        <family val="2"/>
      </rPr>
      <t xml:space="preserve">：只列，不進計算鏈）</t>
    </r>
  </si>
  <si>
    <t xml:space="preserve">G57</t>
  </si>
  <si>
    <r>
      <rPr>
        <sz val="10"/>
        <color rgb="FF000000"/>
        <rFont val="Noto Sans CJK SC"/>
        <family val="2"/>
      </rPr>
      <t xml:space="preserve">舊法：付費每 </t>
    </r>
    <r>
      <rPr>
        <sz val="10"/>
        <color rgb="FF000000"/>
        <rFont val="Arial"/>
        <family val="0"/>
        <charset val="1"/>
      </rPr>
      <t xml:space="preserve">GW </t>
    </r>
    <r>
      <rPr>
        <sz val="10"/>
        <color rgb="FF000000"/>
        <rFont val="Noto Sans CJK SC"/>
        <family val="2"/>
      </rPr>
      <t xml:space="preserve">年產能：</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</si>
  <si>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t xml:space="preserve">G58</t>
  </si>
  <si>
    <r>
      <rPr>
        <sz val="10"/>
        <color rgb="FF000000"/>
        <rFont val="Noto Sans CJK SC"/>
        <family val="2"/>
      </rPr>
      <t xml:space="preserve">舊法：付費每 </t>
    </r>
    <r>
      <rPr>
        <sz val="10"/>
        <color rgb="FF000000"/>
        <rFont val="Arial"/>
        <family val="0"/>
        <charset val="1"/>
      </rPr>
      <t xml:space="preserve">GW </t>
    </r>
    <r>
      <rPr>
        <sz val="10"/>
        <color rgb="FF000000"/>
        <rFont val="Noto Sans CJK SC"/>
        <family val="2"/>
      </rPr>
      <t xml:space="preserve">年產能：</t>
    </r>
    <r>
      <rPr>
        <sz val="10"/>
        <color rgb="FF000000"/>
        <rFont val="Arial"/>
        <family val="0"/>
        <charset val="1"/>
      </rPr>
      <t xml:space="preserve">H20</t>
    </r>
  </si>
  <si>
    <t xml:space="preserve">G59</t>
  </si>
  <si>
    <r>
      <rPr>
        <sz val="10"/>
        <color rgb="FF000000"/>
        <rFont val="Noto Sans CJK SC"/>
        <family val="2"/>
      </rPr>
      <t xml:space="preserve">舊法：付費每 </t>
    </r>
    <r>
      <rPr>
        <sz val="10"/>
        <color rgb="FF000000"/>
        <rFont val="Arial"/>
        <family val="0"/>
        <charset val="1"/>
      </rPr>
      <t xml:space="preserve">GW </t>
    </r>
    <r>
      <rPr>
        <sz val="10"/>
        <color rgb="FF000000"/>
        <rFont val="Noto Sans CJK SC"/>
        <family val="2"/>
      </rPr>
      <t xml:space="preserve">年產能：國產（昇騰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</si>
  <si>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G60</t>
  </si>
  <si>
    <r>
      <rPr>
        <sz val="10"/>
        <color rgb="FF000000"/>
        <rFont val="Noto Sans CJK SC"/>
        <family val="2"/>
      </rPr>
      <t xml:space="preserve">舊法：付費每 </t>
    </r>
    <r>
      <rPr>
        <sz val="10"/>
        <color rgb="FF000000"/>
        <rFont val="Arial"/>
        <family val="0"/>
        <charset val="1"/>
      </rPr>
      <t xml:space="preserve">GW </t>
    </r>
    <r>
      <rPr>
        <sz val="10"/>
        <color rgb="FF000000"/>
        <rFont val="Noto Sans CJK SC"/>
        <family val="2"/>
      </rPr>
      <t xml:space="preserve">年產能：組合後</t>
    </r>
  </si>
  <si>
    <r>
      <rPr>
        <sz val="9"/>
        <color rgb="FF595959"/>
        <rFont val="Arial"/>
        <family val="0"/>
        <charset val="1"/>
      </rPr>
      <t xml:space="preserve">Σ </t>
    </r>
    <r>
      <rPr>
        <sz val="9"/>
        <color rgb="FF595959"/>
        <rFont val="Noto Sans CJK SC"/>
        <family val="2"/>
      </rPr>
      <t xml:space="preserve">晶片族占比 </t>
    </r>
    <r>
      <rPr>
        <sz val="9"/>
        <color rgb="FF595959"/>
        <rFont val="Arial"/>
        <family val="0"/>
        <charset val="1"/>
      </rPr>
      <t xml:space="preserve">× </t>
    </r>
    <r>
      <rPr>
        <sz val="9"/>
        <color rgb="FF595959"/>
        <rFont val="Noto Sans CJK SC"/>
        <family val="2"/>
      </rPr>
      <t xml:space="preserve">各族產能</t>
    </r>
  </si>
  <si>
    <t xml:space="preserve">G61</t>
  </si>
  <si>
    <r>
      <rPr>
        <sz val="10"/>
        <color rgb="FF000000"/>
        <rFont val="Noto Sans CJK SC"/>
        <family val="2"/>
      </rPr>
      <t xml:space="preserve">舊法：免費每 </t>
    </r>
    <r>
      <rPr>
        <sz val="10"/>
        <color rgb="FF000000"/>
        <rFont val="Arial"/>
        <family val="0"/>
        <charset val="1"/>
      </rPr>
      <t xml:space="preserve">GW </t>
    </r>
    <r>
      <rPr>
        <sz val="10"/>
        <color rgb="FF000000"/>
        <rFont val="Noto Sans CJK SC"/>
        <family val="2"/>
      </rPr>
      <t xml:space="preserve">年產能：</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</si>
  <si>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t xml:space="preserve">G62</t>
  </si>
  <si>
    <r>
      <rPr>
        <sz val="10"/>
        <color rgb="FF000000"/>
        <rFont val="Noto Sans CJK SC"/>
        <family val="2"/>
      </rPr>
      <t xml:space="preserve">舊法：免費每 </t>
    </r>
    <r>
      <rPr>
        <sz val="10"/>
        <color rgb="FF000000"/>
        <rFont val="Arial"/>
        <family val="0"/>
        <charset val="1"/>
      </rPr>
      <t xml:space="preserve">GW </t>
    </r>
    <r>
      <rPr>
        <sz val="10"/>
        <color rgb="FF000000"/>
        <rFont val="Noto Sans CJK SC"/>
        <family val="2"/>
      </rPr>
      <t xml:space="preserve">年產能：</t>
    </r>
    <r>
      <rPr>
        <sz val="10"/>
        <color rgb="FF000000"/>
        <rFont val="Arial"/>
        <family val="0"/>
        <charset val="1"/>
      </rPr>
      <t xml:space="preserve">H20</t>
    </r>
  </si>
  <si>
    <t xml:space="preserve">G63</t>
  </si>
  <si>
    <r>
      <rPr>
        <sz val="10"/>
        <color rgb="FF000000"/>
        <rFont val="Noto Sans CJK SC"/>
        <family val="2"/>
      </rPr>
      <t xml:space="preserve">舊法：免費每 </t>
    </r>
    <r>
      <rPr>
        <sz val="10"/>
        <color rgb="FF000000"/>
        <rFont val="Arial"/>
        <family val="0"/>
        <charset val="1"/>
      </rPr>
      <t xml:space="preserve">GW </t>
    </r>
    <r>
      <rPr>
        <sz val="10"/>
        <color rgb="FF000000"/>
        <rFont val="Noto Sans CJK SC"/>
        <family val="2"/>
      </rPr>
      <t xml:space="preserve">年產能：國產（昇騰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</si>
  <si>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G64</t>
  </si>
  <si>
    <r>
      <rPr>
        <sz val="10"/>
        <color rgb="FF000000"/>
        <rFont val="Noto Sans CJK SC"/>
        <family val="2"/>
      </rPr>
      <t xml:space="preserve">舊法：免費每 </t>
    </r>
    <r>
      <rPr>
        <sz val="10"/>
        <color rgb="FF000000"/>
        <rFont val="Arial"/>
        <family val="0"/>
        <charset val="1"/>
      </rPr>
      <t xml:space="preserve">GW </t>
    </r>
    <r>
      <rPr>
        <sz val="10"/>
        <color rgb="FF000000"/>
        <rFont val="Noto Sans CJK SC"/>
        <family val="2"/>
      </rPr>
      <t xml:space="preserve">年產能：組合後</t>
    </r>
  </si>
  <si>
    <t xml:space="preserve">G65</t>
  </si>
  <si>
    <r>
      <rPr>
        <sz val="10"/>
        <color rgb="FF000000"/>
        <rFont val="Noto Sans CJK SC"/>
        <family val="2"/>
      </rPr>
      <t xml:space="preserve">舊法：</t>
    </r>
    <r>
      <rPr>
        <sz val="10"/>
        <color rgb="FF000000"/>
        <rFont val="Arial"/>
        <family val="0"/>
        <charset val="1"/>
      </rPr>
      <t xml:space="preserve">token </t>
    </r>
    <r>
      <rPr>
        <sz val="10"/>
        <color rgb="FF000000"/>
        <rFont val="Noto Sans CJK SC"/>
        <family val="2"/>
      </rPr>
      <t xml:space="preserve">換算推論 </t>
    </r>
    <r>
      <rPr>
        <sz val="10"/>
        <color rgb="FF000000"/>
        <rFont val="Arial"/>
        <family val="0"/>
        <charset val="1"/>
      </rPr>
      <t xml:space="preserve">GW</t>
    </r>
    <r>
      <rPr>
        <sz val="10"/>
        <color rgb="FF000000"/>
        <rFont val="Noto Sans CJK SC"/>
        <family val="2"/>
      </rPr>
      <t xml:space="preserve">（合計）</t>
    </r>
  </si>
  <si>
    <r>
      <rPr>
        <sz val="9"/>
        <color rgb="FF595959"/>
        <rFont val="Arial"/>
        <family val="0"/>
        <charset val="1"/>
      </rPr>
      <t xml:space="preserve">Z3 </t>
    </r>
    <r>
      <rPr>
        <sz val="9"/>
        <color rgb="FF595959"/>
        <rFont val="Noto Sans CJK SC"/>
        <family val="2"/>
      </rPr>
      <t xml:space="preserve">原式</t>
    </r>
  </si>
  <si>
    <t xml:space="preserve">G66</t>
  </si>
  <si>
    <r>
      <rPr>
        <sz val="10"/>
        <color rgb="FF000000"/>
        <rFont val="Noto Sans CJK SC"/>
        <family val="2"/>
      </rPr>
      <t xml:space="preserve">新法 </t>
    </r>
    <r>
      <rPr>
        <sz val="10"/>
        <color rgb="FF000000"/>
        <rFont val="Arial"/>
        <family val="0"/>
        <charset val="1"/>
      </rPr>
      <t xml:space="preserve">÷ </t>
    </r>
    <r>
      <rPr>
        <sz val="10"/>
        <color rgb="FF000000"/>
        <rFont val="Noto Sans CJK SC"/>
        <family val="2"/>
      </rPr>
      <t xml:space="preserve">舊法</t>
    </r>
  </si>
  <si>
    <r>
      <rPr>
        <sz val="9"/>
        <color rgb="FF595959"/>
        <rFont val="Noto Sans CJK SC"/>
        <family val="2"/>
      </rPr>
      <t xml:space="preserve">類型加權使快取命中為主的流量所需 </t>
    </r>
    <r>
      <rPr>
        <sz val="9"/>
        <color rgb="FF595959"/>
        <rFont val="Arial"/>
        <family val="0"/>
        <charset val="1"/>
      </rPr>
      <t xml:space="preserve">GW </t>
    </r>
    <r>
      <rPr>
        <sz val="9"/>
        <color rgb="FF595959"/>
        <rFont val="Noto Sans CJK SC"/>
        <family val="2"/>
      </rPr>
      <t xml:space="preserve">大幅下降</t>
    </r>
  </si>
  <si>
    <r>
      <rPr>
        <b val="true"/>
        <sz val="10"/>
        <rFont val="Noto Sans CJK SC"/>
        <family val="2"/>
      </rPr>
      <t xml:space="preserve">五、算力服務費（財報推得；</t>
    </r>
    <r>
      <rPr>
        <b val="true"/>
        <sz val="10"/>
        <rFont val="Arial"/>
        <family val="0"/>
        <charset val="1"/>
      </rPr>
      <t xml:space="preserve">RMB </t>
    </r>
    <r>
      <rPr>
        <b val="true"/>
        <sz val="10"/>
        <rFont val="Noto Sans CJK SC"/>
        <family val="2"/>
      </rPr>
      <t xml:space="preserve">億；</t>
    </r>
    <r>
      <rPr>
        <b val="true"/>
        <sz val="10"/>
        <rFont val="Arial"/>
        <family val="0"/>
        <charset val="1"/>
      </rPr>
      <t xml:space="preserve">2025 </t>
    </r>
    <r>
      <rPr>
        <b val="true"/>
        <sz val="10"/>
        <rFont val="Noto Sans CJK SC"/>
        <family val="2"/>
      </rPr>
      <t xml:space="preserve">年報、</t>
    </r>
    <r>
      <rPr>
        <b val="true"/>
        <sz val="10"/>
        <rFont val="Arial"/>
        <family val="0"/>
        <charset val="1"/>
      </rPr>
      <t xml:space="preserve">1H26 </t>
    </r>
    <r>
      <rPr>
        <b val="true"/>
        <sz val="10"/>
        <rFont val="Noto Sans CJK SC"/>
        <family val="2"/>
      </rPr>
      <t xml:space="preserve">中期公告）：</t>
    </r>
    <r>
      <rPr>
        <b val="true"/>
        <sz val="10"/>
        <rFont val="Arial"/>
        <family val="0"/>
        <charset val="1"/>
      </rPr>
      <t xml:space="preserve">r2 P1</t>
    </r>
    <r>
      <rPr>
        <b val="true"/>
        <sz val="10"/>
        <rFont val="Noto Sans CJK SC"/>
        <family val="2"/>
      </rPr>
      <t xml:space="preserve">：總算力費＝營業成本中的計算服務費（推估＝開放平台及 </t>
    </r>
    <r>
      <rPr>
        <b val="true"/>
        <sz val="10"/>
        <rFont val="Arial"/>
        <family val="0"/>
        <charset val="1"/>
      </rPr>
      <t xml:space="preserve">API </t>
    </r>
    <r>
      <rPr>
        <b val="true"/>
        <sz val="10"/>
        <rFont val="Noto Sans CJK SC"/>
        <family val="2"/>
      </rPr>
      <t xml:space="preserve">銷售成本 </t>
    </r>
    <r>
      <rPr>
        <b val="true"/>
        <sz val="10"/>
        <rFont val="Arial"/>
        <family val="0"/>
        <charset val="1"/>
      </rPr>
      <t xml:space="preserve">× </t>
    </r>
    <r>
      <rPr>
        <b val="true"/>
        <sz val="10"/>
        <rFont val="Noto Sans CJK SC"/>
        <family val="2"/>
      </rPr>
      <t xml:space="preserve">占比）＋研發項下算力費（研發開支 </t>
    </r>
    <r>
      <rPr>
        <b val="true"/>
        <sz val="10"/>
        <rFont val="Arial"/>
        <family val="0"/>
        <charset val="1"/>
      </rPr>
      <t xml:space="preserve">× 1H25 </t>
    </r>
    <r>
      <rPr>
        <b val="true"/>
        <sz val="10"/>
        <rFont val="Noto Sans CJK SC"/>
        <family val="2"/>
      </rPr>
      <t xml:space="preserve">占比 </t>
    </r>
    <r>
      <rPr>
        <b val="true"/>
        <sz val="10"/>
        <rFont val="Arial"/>
        <family val="0"/>
        <charset val="1"/>
      </rPr>
      <t xml:space="preserve">71.8%</t>
    </r>
    <r>
      <rPr>
        <b val="true"/>
        <sz val="10"/>
        <rFont val="Noto Sans CJK SC"/>
        <family val="2"/>
      </rPr>
      <t xml:space="preserve">）；推論與研發不再以會計科目拆分（招股章程第 </t>
    </r>
    <r>
      <rPr>
        <b val="true"/>
        <sz val="10"/>
        <rFont val="Arial"/>
        <family val="0"/>
        <charset val="1"/>
      </rPr>
      <t xml:space="preserve">255 </t>
    </r>
    <r>
      <rPr>
        <b val="true"/>
        <sz val="10"/>
        <rFont val="Noto Sans CJK SC"/>
        <family val="2"/>
      </rPr>
      <t xml:space="preserve">頁：研發算力費涵蓋訓練、推理及持續開發）</t>
    </r>
  </si>
  <si>
    <t xml:space="preserve">G67</t>
  </si>
  <si>
    <r>
      <rPr>
        <sz val="9"/>
        <color rgb="FF595959"/>
        <rFont val="Arial"/>
        <family val="0"/>
        <charset val="1"/>
      </rPr>
      <t xml:space="preserve">SRC_ZP_197</t>
    </r>
    <r>
      <rPr>
        <sz val="9"/>
        <color rgb="FF595959"/>
        <rFont val="Noto Sans CJK SC"/>
        <family val="2"/>
      </rPr>
      <t xml:space="preserve">、</t>
    </r>
    <r>
      <rPr>
        <sz val="9"/>
        <color rgb="FF595959"/>
        <rFont val="Arial"/>
        <family val="0"/>
        <charset val="1"/>
      </rPr>
      <t xml:space="preserve">195</t>
    </r>
    <r>
      <rPr>
        <sz val="9"/>
        <color rgb="FF595959"/>
        <rFont val="Noto Sans CJK SC"/>
        <family val="2"/>
      </rPr>
      <t xml:space="preserve">（</t>
    </r>
    <r>
      <rPr>
        <sz val="9"/>
        <color rgb="FF595959"/>
        <rFont val="Arial"/>
        <family val="0"/>
        <charset val="1"/>
      </rPr>
      <t xml:space="preserve">Derived</t>
    </r>
    <r>
      <rPr>
        <sz val="9"/>
        <color rgb="FF595959"/>
        <rFont val="Noto Sans CJK SC"/>
        <family val="2"/>
      </rPr>
      <t xml:space="preserve">：毛利 − 收入）</t>
    </r>
  </si>
  <si>
    <t xml:space="preserve">G68</t>
  </si>
  <si>
    <r>
      <rPr>
        <sz val="10"/>
        <color rgb="FF000000"/>
        <rFont val="Noto Sans CJK SC"/>
        <family val="2"/>
      </rPr>
      <t xml:space="preserve">營業成本中的計算服務費（推估）＝</t>
    </r>
    <r>
      <rPr>
        <sz val="10"/>
        <color rgb="FF000000"/>
        <rFont val="Arial"/>
        <family val="0"/>
        <charset val="1"/>
      </rPr>
      <t xml:space="preserve">API </t>
    </r>
    <r>
      <rPr>
        <sz val="10"/>
        <color rgb="FF000000"/>
        <rFont val="Noto Sans CJK SC"/>
        <family val="2"/>
      </rPr>
      <t xml:space="preserve">銷售成本 </t>
    </r>
    <r>
      <rPr>
        <sz val="10"/>
        <color rgb="FF000000"/>
        <rFont val="Arial"/>
        <family val="0"/>
        <charset val="1"/>
      </rPr>
      <t xml:space="preserve">× </t>
    </r>
    <r>
      <rPr>
        <sz val="10"/>
        <color rgb="FF000000"/>
        <rFont val="Noto Sans CJK SC"/>
        <family val="2"/>
      </rPr>
      <t xml:space="preserve">算力費占比</t>
    </r>
  </si>
  <si>
    <r>
      <rPr>
        <sz val="9"/>
        <color rgb="FF595959"/>
        <rFont val="Arial"/>
        <family val="0"/>
        <charset val="1"/>
      </rPr>
      <t xml:space="preserve">Inputs</t>
    </r>
    <r>
      <rPr>
        <sz val="9"/>
        <color rgb="FF595959"/>
        <rFont val="Noto Sans CJK SC"/>
        <family val="2"/>
      </rPr>
      <t xml:space="preserve">（基準 </t>
    </r>
    <r>
      <rPr>
        <sz val="9"/>
        <color rgb="FF595959"/>
        <rFont val="Arial"/>
        <family val="0"/>
        <charset val="1"/>
      </rPr>
      <t xml:space="preserve">1</t>
    </r>
    <r>
      <rPr>
        <sz val="9"/>
        <color rgb="FF595959"/>
        <rFont val="Noto Sans CJK SC"/>
        <family val="2"/>
      </rPr>
      <t xml:space="preserve">＝上限；下限 </t>
    </r>
    <r>
      <rPr>
        <sz val="9"/>
        <color rgb="FF595959"/>
        <rFont val="Arial"/>
        <family val="0"/>
        <charset val="1"/>
      </rPr>
      <t xml:space="preserve">0.22</t>
    </r>
    <r>
      <rPr>
        <sz val="9"/>
        <color rgb="FF595959"/>
        <rFont val="Noto Sans CJK SC"/>
        <family val="2"/>
      </rPr>
      <t xml:space="preserve">＝</t>
    </r>
    <r>
      <rPr>
        <sz val="9"/>
        <color rgb="FF595959"/>
        <rFont val="Arial"/>
        <family val="0"/>
        <charset val="1"/>
      </rPr>
      <t xml:space="preserve">FY2024 </t>
    </r>
    <r>
      <rPr>
        <sz val="9"/>
        <color rgb="FF595959"/>
        <rFont val="Noto Sans CJK SC"/>
        <family val="2"/>
      </rPr>
      <t xml:space="preserve">銷售成本中算力費占比）。</t>
    </r>
    <r>
      <rPr>
        <sz val="9"/>
        <color rgb="FF595959"/>
        <rFont val="Arial"/>
        <family val="0"/>
        <charset val="1"/>
      </rPr>
      <t xml:space="preserve">r2 P1</t>
    </r>
    <r>
      <rPr>
        <sz val="9"/>
        <color rgb="FF595959"/>
        <rFont val="Noto Sans CJK SC"/>
        <family val="2"/>
      </rPr>
      <t xml:space="preserve">：只是總算力費的一部分（招股章程期間占 </t>
    </r>
    <r>
      <rPr>
        <sz val="9"/>
        <color rgb="FF595959"/>
        <rFont val="Arial"/>
        <family val="0"/>
        <charset val="1"/>
      </rPr>
      <t xml:space="preserve">2–3%</t>
    </r>
    <r>
      <rPr>
        <sz val="9"/>
        <color rgb="FF595959"/>
        <rFont val="Noto Sans CJK SC"/>
        <family val="2"/>
      </rPr>
      <t xml:space="preserve">），不再等於推論支出；舊法（</t>
    </r>
    <r>
      <rPr>
        <sz val="9"/>
        <color rgb="FF595959"/>
        <rFont val="Arial"/>
        <family val="0"/>
        <charset val="1"/>
      </rPr>
      <t xml:space="preserve">D8r</t>
    </r>
    <r>
      <rPr>
        <sz val="9"/>
        <color rgb="FF595959"/>
        <rFont val="Noto Sans CJK SC"/>
        <family val="2"/>
      </rPr>
      <t xml:space="preserve">）以本列為推論支出，見第七節對照與第十五節</t>
    </r>
  </si>
  <si>
    <t xml:space="preserve">G69</t>
  </si>
  <si>
    <r>
      <rPr>
        <sz val="9"/>
        <color rgb="FF595959"/>
        <rFont val="Arial"/>
        <family val="0"/>
        <charset val="1"/>
      </rPr>
      <t xml:space="preserve">SRC_ZP_139</t>
    </r>
    <r>
      <rPr>
        <sz val="9"/>
        <color rgb="FF595959"/>
        <rFont val="Noto Sans CJK SC"/>
        <family val="2"/>
      </rPr>
      <t xml:space="preserve">、</t>
    </r>
    <r>
      <rPr>
        <sz val="9"/>
        <color rgb="FF595959"/>
        <rFont val="Arial"/>
        <family val="0"/>
        <charset val="1"/>
      </rPr>
      <t xml:space="preserve">199</t>
    </r>
  </si>
  <si>
    <t xml:space="preserve">G70</t>
  </si>
  <si>
    <t xml:space="preserve">股權報酬（總額）</t>
  </si>
  <si>
    <r>
      <rPr>
        <sz val="9"/>
        <color rgb="FF595959"/>
        <rFont val="Arial"/>
        <family val="0"/>
        <charset val="1"/>
      </rPr>
      <t xml:space="preserve">SRC_ZP_142</t>
    </r>
    <r>
      <rPr>
        <sz val="9"/>
        <color rgb="FF595959"/>
        <rFont val="Noto Sans CJK SC"/>
        <family val="2"/>
      </rPr>
      <t xml:space="preserve">、</t>
    </r>
    <r>
      <rPr>
        <sz val="9"/>
        <color rgb="FF595959"/>
        <rFont val="Arial"/>
        <family val="0"/>
        <charset val="1"/>
      </rPr>
      <t xml:space="preserve">202</t>
    </r>
  </si>
  <si>
    <t xml:space="preserve">G71</t>
  </si>
  <si>
    <t xml:space="preserve">研發開支（扣股權報酬中研發部分）</t>
  </si>
  <si>
    <r>
      <rPr>
        <sz val="9"/>
        <color rgb="FF595959"/>
        <rFont val="Noto Sans CJK SC"/>
        <family val="2"/>
      </rPr>
      <t xml:space="preserve">股權報酬 </t>
    </r>
    <r>
      <rPr>
        <sz val="9"/>
        <color rgb="FF595959"/>
        <rFont val="Arial"/>
        <family val="0"/>
        <charset val="1"/>
      </rPr>
      <t xml:space="preserve">× </t>
    </r>
    <r>
      <rPr>
        <sz val="9"/>
        <color rgb="FF595959"/>
        <rFont val="Noto Sans CJK SC"/>
        <family val="2"/>
      </rPr>
      <t xml:space="preserve">研發比例（</t>
    </r>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Analogy</t>
    </r>
    <r>
      <rPr>
        <sz val="9"/>
        <color rgb="FF595959"/>
        <rFont val="Noto Sans CJK SC"/>
        <family val="2"/>
      </rPr>
      <t xml:space="preserve">：研發人員占比 </t>
    </r>
    <r>
      <rPr>
        <sz val="9"/>
        <color rgb="FF595959"/>
        <rFont val="Arial"/>
        <family val="0"/>
        <charset val="1"/>
      </rPr>
      <t xml:space="preserve">74.4%</t>
    </r>
    <r>
      <rPr>
        <sz val="9"/>
        <color rgb="FF595959"/>
        <rFont val="Noto Sans CJK SC"/>
        <family val="2"/>
      </rPr>
      <t xml:space="preserve">）</t>
    </r>
  </si>
  <si>
    <t xml:space="preserve">G72</t>
  </si>
  <si>
    <r>
      <rPr>
        <sz val="10"/>
        <color rgb="FF000000"/>
        <rFont val="Noto Sans CJK SC"/>
        <family val="2"/>
      </rPr>
      <t xml:space="preserve">研發項下算力服務費（基準：</t>
    </r>
    <r>
      <rPr>
        <sz val="10"/>
        <color rgb="FF000000"/>
        <rFont val="Arial"/>
        <family val="0"/>
        <charset val="1"/>
      </rPr>
      <t xml:space="preserve">P1</t>
    </r>
    <r>
      <rPr>
        <sz val="10"/>
        <color rgb="FF000000"/>
        <rFont val="Noto Sans CJK SC"/>
        <family val="2"/>
      </rPr>
      <t xml:space="preserve">）＝研發開支 </t>
    </r>
    <r>
      <rPr>
        <sz val="10"/>
        <color rgb="FF000000"/>
        <rFont val="Arial"/>
        <family val="0"/>
        <charset val="1"/>
      </rPr>
      <t xml:space="preserve">× 1H25 </t>
    </r>
    <r>
      <rPr>
        <sz val="10"/>
        <color rgb="FF000000"/>
        <rFont val="Noto Sans CJK SC"/>
        <family val="2"/>
      </rPr>
      <t xml:space="preserve">占比</t>
    </r>
  </si>
  <si>
    <r>
      <rPr>
        <sz val="9"/>
        <color rgb="FF595959"/>
        <rFont val="Arial"/>
        <family val="0"/>
        <charset val="1"/>
      </rPr>
      <t xml:space="preserve">r2 P1</t>
    </r>
    <r>
      <rPr>
        <sz val="9"/>
        <color rgb="FF595959"/>
        <rFont val="Noto Sans CJK SC"/>
        <family val="2"/>
      </rPr>
      <t xml:space="preserve">：占比 </t>
    </r>
    <r>
      <rPr>
        <sz val="9"/>
        <color rgb="FF595959"/>
        <rFont val="Arial"/>
        <family val="0"/>
        <charset val="1"/>
      </rPr>
      <t xml:space="preserve">Inputs</t>
    </r>
    <r>
      <rPr>
        <sz val="9"/>
        <color rgb="FF595959"/>
        <rFont val="Noto Sans CJK SC"/>
        <family val="2"/>
      </rPr>
      <t xml:space="preserve">（招股章程 </t>
    </r>
    <r>
      <rPr>
        <sz val="9"/>
        <color rgb="FF595959"/>
        <rFont val="Arial"/>
        <family val="0"/>
        <charset val="1"/>
      </rPr>
      <t xml:space="preserve">1H25 71.8%</t>
    </r>
    <r>
      <rPr>
        <sz val="9"/>
        <color rgb="FF595959"/>
        <rFont val="Noto Sans CJK SC"/>
        <family val="2"/>
      </rPr>
      <t xml:space="preserve">，</t>
    </r>
    <r>
      <rPr>
        <sz val="9"/>
        <color rgb="FF595959"/>
        <rFont val="Arial"/>
        <family val="0"/>
        <charset val="1"/>
      </rPr>
      <t xml:space="preserve">SRC_ZP_640</t>
    </r>
    <r>
      <rPr>
        <sz val="9"/>
        <color rgb="FF595959"/>
        <rFont val="Noto Sans CJK SC"/>
        <family val="2"/>
      </rPr>
      <t xml:space="preserve">；</t>
    </r>
    <r>
      <rPr>
        <sz val="9"/>
        <color rgb="FF595959"/>
        <rFont val="Arial"/>
        <family val="0"/>
        <charset val="1"/>
      </rPr>
      <t xml:space="preserve">Analogy 60–80%</t>
    </r>
    <r>
      <rPr>
        <sz val="9"/>
        <color rgb="FF595959"/>
        <rFont val="Noto Sans CJK SC"/>
        <family val="2"/>
      </rPr>
      <t xml:space="preserve">）；分母為研發開支總額（同招股章程）</t>
    </r>
  </si>
  <si>
    <t xml:space="preserve">G73</t>
  </si>
  <si>
    <r>
      <rPr>
        <sz val="10"/>
        <color rgb="FF000000"/>
        <rFont val="Noto Sans CJK SC"/>
        <family val="2"/>
      </rPr>
      <t xml:space="preserve">研發算力支出（對照：扣除法）＝研發（扣股權報酬）−（薪酬總額 − 股權報酬）</t>
    </r>
    <r>
      <rPr>
        <sz val="10"/>
        <color rgb="FF000000"/>
        <rFont val="Arial"/>
        <family val="0"/>
        <charset val="1"/>
      </rPr>
      <t xml:space="preserve">× </t>
    </r>
    <r>
      <rPr>
        <sz val="10"/>
        <color rgb="FF000000"/>
        <rFont val="Noto Sans CJK SC"/>
        <family val="2"/>
      </rPr>
      <t xml:space="preserve">研發人員占比</t>
    </r>
  </si>
  <si>
    <r>
      <rPr>
        <sz val="9"/>
        <color rgb="FF595959"/>
        <rFont val="Arial"/>
        <family val="0"/>
        <charset val="1"/>
      </rPr>
      <t xml:space="preserve">D10r </t>
    </r>
    <r>
      <rPr>
        <sz val="9"/>
        <color rgb="FF595959"/>
        <rFont val="Noto Sans CJK SC"/>
        <family val="2"/>
      </rPr>
      <t xml:space="preserve">第一法；薪酬 </t>
    </r>
    <r>
      <rPr>
        <sz val="9"/>
        <color rgb="FF595959"/>
        <rFont val="Arial"/>
        <family val="0"/>
        <charset val="1"/>
      </rPr>
      <t xml:space="preserve">SRC_ZP_163</t>
    </r>
    <r>
      <rPr>
        <sz val="9"/>
        <color rgb="FF595959"/>
        <rFont val="Noto Sans CJK SC"/>
        <family val="2"/>
      </rPr>
      <t xml:space="preserve">、</t>
    </r>
    <r>
      <rPr>
        <sz val="9"/>
        <color rgb="FF595959"/>
        <rFont val="Arial"/>
        <family val="0"/>
        <charset val="1"/>
      </rPr>
      <t xml:space="preserve">224</t>
    </r>
    <r>
      <rPr>
        <sz val="9"/>
        <color rgb="FF595959"/>
        <rFont val="Noto Sans CJK SC"/>
        <family val="2"/>
      </rPr>
      <t xml:space="preserve">；研發人員占比 </t>
    </r>
    <r>
      <rPr>
        <sz val="9"/>
        <color rgb="FF595959"/>
        <rFont val="Arial"/>
        <family val="0"/>
        <charset val="1"/>
      </rPr>
      <t xml:space="preserve">SRC_ZP_848</t>
    </r>
    <r>
      <rPr>
        <sz val="9"/>
        <color rgb="FF595959"/>
        <rFont val="Noto Sans CJK SC"/>
        <family val="2"/>
      </rPr>
      <t xml:space="preserve">（招股章程第 </t>
    </r>
    <r>
      <rPr>
        <sz val="9"/>
        <color rgb="FF595959"/>
        <rFont val="Arial"/>
        <family val="0"/>
        <charset val="1"/>
      </rPr>
      <t xml:space="preserve">221 </t>
    </r>
    <r>
      <rPr>
        <sz val="9"/>
        <color rgb="FF595959"/>
        <rFont val="Noto Sans CJK SC"/>
        <family val="2"/>
      </rPr>
      <t xml:space="preserve">頁 </t>
    </r>
    <r>
      <rPr>
        <sz val="9"/>
        <color rgb="FF595959"/>
        <rFont val="Arial"/>
        <family val="0"/>
        <charset val="1"/>
      </rPr>
      <t xml:space="preserve">657</t>
    </r>
    <r>
      <rPr>
        <sz val="9"/>
        <color rgb="FF595959"/>
        <rFont val="Noto Sans CJK SC"/>
        <family val="2"/>
      </rPr>
      <t xml:space="preserve">／</t>
    </r>
    <r>
      <rPr>
        <sz val="9"/>
        <color rgb="FF595959"/>
        <rFont val="Arial"/>
        <family val="0"/>
        <charset val="1"/>
      </rPr>
      <t xml:space="preserve">883</t>
    </r>
    <r>
      <rPr>
        <sz val="9"/>
        <color rgb="FF595959"/>
        <rFont val="Noto Sans CJK SC"/>
        <family val="2"/>
      </rPr>
      <t xml:space="preserve">；</t>
    </r>
    <r>
      <rPr>
        <sz val="9"/>
        <color rgb="FF595959"/>
        <rFont val="Arial"/>
        <family val="0"/>
        <charset val="1"/>
      </rPr>
      <t xml:space="preserve">r2 P2 </t>
    </r>
    <r>
      <rPr>
        <sz val="9"/>
        <color rgb="FF595959"/>
        <rFont val="Noto Sans CJK SC"/>
        <family val="2"/>
      </rPr>
      <t xml:space="preserve">改引用一手列）；扣除法把研發中的非人事非算力費用也算成算力（上限）</t>
    </r>
  </si>
  <si>
    <t xml:space="preserve">G74</t>
  </si>
  <si>
    <r>
      <rPr>
        <sz val="10"/>
        <color rgb="FF000000"/>
        <rFont val="Noto Sans CJK SC"/>
        <family val="2"/>
      </rPr>
      <t xml:space="preserve">對照：</t>
    </r>
    <r>
      <rPr>
        <sz val="10"/>
        <color rgb="FF000000"/>
        <rFont val="Arial"/>
        <family val="0"/>
        <charset val="1"/>
      </rPr>
      <t xml:space="preserve">FY2024 </t>
    </r>
    <r>
      <rPr>
        <sz val="10"/>
        <color rgb="FF000000"/>
        <rFont val="Noto Sans CJK SC"/>
        <family val="2"/>
      </rPr>
      <t xml:space="preserve">研發算力占研發開支（</t>
    </r>
    <r>
      <rPr>
        <sz val="10"/>
        <color rgb="FF000000"/>
        <rFont val="Arial"/>
        <family val="0"/>
        <charset val="1"/>
      </rPr>
      <t xml:space="preserve">SRC</t>
    </r>
    <r>
      <rPr>
        <sz val="10"/>
        <color rgb="FF000000"/>
        <rFont val="Noto Sans CJK SC"/>
        <family val="2"/>
      </rPr>
      <t xml:space="preserve">）</t>
    </r>
  </si>
  <si>
    <r>
      <rPr>
        <sz val="9"/>
        <color rgb="FF595959"/>
        <rFont val="Arial"/>
        <family val="0"/>
        <charset val="1"/>
      </rPr>
      <t xml:space="preserve">SRC_ZP_613</t>
    </r>
    <r>
      <rPr>
        <sz val="9"/>
        <color rgb="FF595959"/>
        <rFont val="Noto Sans CJK SC"/>
        <family val="2"/>
      </rPr>
      <t xml:space="preserve">（招股章程一手；</t>
    </r>
    <r>
      <rPr>
        <sz val="9"/>
        <color rgb="FF595959"/>
        <rFont val="Arial"/>
        <family val="0"/>
        <charset val="1"/>
      </rPr>
      <t xml:space="preserve">r2 P2 </t>
    </r>
    <r>
      <rPr>
        <sz val="9"/>
        <color rgb="FF595959"/>
        <rFont val="Noto Sans CJK SC"/>
        <family val="2"/>
      </rPr>
      <t xml:space="preserve">取代媒體 </t>
    </r>
    <r>
      <rPr>
        <sz val="9"/>
        <color rgb="FF595959"/>
        <rFont val="Arial"/>
        <family val="0"/>
        <charset val="1"/>
      </rPr>
      <t xml:space="preserve">SRC_ZP_232</t>
    </r>
    <r>
      <rPr>
        <sz val="9"/>
        <color rgb="FF595959"/>
        <rFont val="Noto Sans CJK SC"/>
        <family val="2"/>
      </rPr>
      <t xml:space="preserve">）</t>
    </r>
    <r>
      <rPr>
        <sz val="9"/>
        <color rgb="FF595959"/>
        <rFont val="Arial"/>
        <family val="0"/>
        <charset val="1"/>
      </rPr>
      <t xml:space="preserve">÷ SRC_ZP_048</t>
    </r>
  </si>
  <si>
    <t xml:space="preserve">G75</t>
  </si>
  <si>
    <t xml:space="preserve">總算力費＝營業成本計算服務費＋研發項下算力費</t>
  </si>
  <si>
    <r>
      <rPr>
        <sz val="9"/>
        <color rgb="FF595959"/>
        <rFont val="Arial"/>
        <family val="0"/>
        <charset val="1"/>
      </rPr>
      <t xml:space="preserve">r2 P1</t>
    </r>
    <r>
      <rPr>
        <sz val="9"/>
        <color rgb="FF595959"/>
        <rFont val="Noto Sans CJK SC"/>
        <family val="2"/>
      </rPr>
      <t xml:space="preserve">；銷售及營銷項下算力費未揭露（招股章程期間占總算力費 </t>
    </r>
    <r>
      <rPr>
        <sz val="9"/>
        <color rgb="FF595959"/>
        <rFont val="Arial"/>
        <family val="0"/>
        <charset val="1"/>
      </rPr>
      <t xml:space="preserve">0–1.7%</t>
    </r>
    <r>
      <rPr>
        <sz val="9"/>
        <color rgb="FF595959"/>
        <rFont val="Noto Sans CJK SC"/>
        <family val="2"/>
      </rPr>
      <t xml:space="preserve">），不另估（見報告）</t>
    </r>
  </si>
  <si>
    <t xml:space="preserve">G76</t>
  </si>
  <si>
    <t xml:space="preserve">研發科目占總算力費（會計科目；只列）</t>
  </si>
  <si>
    <r>
      <rPr>
        <sz val="9"/>
        <color rgb="FF595959"/>
        <rFont val="Arial"/>
        <family val="0"/>
        <charset val="1"/>
      </rPr>
      <t xml:space="preserve">Z3–Z5b </t>
    </r>
    <r>
      <rPr>
        <sz val="9"/>
        <color rgb="FF595959"/>
        <rFont val="Noto Sans CJK SC"/>
        <family val="2"/>
      </rPr>
      <t xml:space="preserve">以本列為研發占比起點；</t>
    </r>
    <r>
      <rPr>
        <sz val="9"/>
        <color rgb="FF595959"/>
        <rFont val="Arial"/>
        <family val="0"/>
        <charset val="1"/>
      </rPr>
      <t xml:space="preserve">r2 P1 </t>
    </r>
    <r>
      <rPr>
        <sz val="9"/>
        <color rgb="FF595959"/>
        <rFont val="Noto Sans CJK SC"/>
        <family val="2"/>
      </rPr>
      <t xml:space="preserve">起改用研發 </t>
    </r>
    <r>
      <rPr>
        <sz val="9"/>
        <color rgb="FF595959"/>
        <rFont val="Arial"/>
        <family val="0"/>
        <charset val="1"/>
      </rPr>
      <t xml:space="preserve">GW </t>
    </r>
    <r>
      <rPr>
        <sz val="9"/>
        <color rgb="FF595959"/>
        <rFont val="Noto Sans CJK SC"/>
        <family val="2"/>
      </rPr>
      <t xml:space="preserve">殘差占比（第八節）</t>
    </r>
  </si>
  <si>
    <r>
      <rPr>
        <b val="true"/>
        <sz val="10"/>
        <rFont val="Noto Sans CJK SC"/>
        <family val="2"/>
      </rPr>
      <t xml:space="preserve">六、每 </t>
    </r>
    <r>
      <rPr>
        <b val="true"/>
        <sz val="10"/>
        <rFont val="Arial"/>
        <family val="0"/>
        <charset val="1"/>
      </rPr>
      <t xml:space="preserve">GW </t>
    </r>
    <r>
      <rPr>
        <b val="true"/>
        <sz val="10"/>
        <rFont val="Noto Sans CJK SC"/>
        <family val="2"/>
      </rPr>
      <t xml:space="preserve">年算力價格（租用；</t>
    </r>
    <r>
      <rPr>
        <b val="true"/>
        <sz val="10"/>
        <rFont val="Arial"/>
        <family val="0"/>
        <charset val="1"/>
      </rPr>
      <t xml:space="preserve">D9r</t>
    </r>
    <r>
      <rPr>
        <b val="true"/>
        <sz val="10"/>
        <rFont val="Noto Sans CJK SC"/>
        <family val="2"/>
      </rPr>
      <t xml:space="preserve">）＝卡時租價 </t>
    </r>
    <r>
      <rPr>
        <b val="true"/>
        <sz val="10"/>
        <rFont val="Arial"/>
        <family val="0"/>
        <charset val="1"/>
      </rPr>
      <t xml:space="preserve">× </t>
    </r>
    <r>
      <rPr>
        <b val="true"/>
        <sz val="10"/>
        <rFont val="Noto Sans CJK SC"/>
        <family val="2"/>
      </rPr>
      <t xml:space="preserve">每 </t>
    </r>
    <r>
      <rPr>
        <b val="true"/>
        <sz val="10"/>
        <rFont val="Arial"/>
        <family val="0"/>
        <charset val="1"/>
      </rPr>
      <t xml:space="preserve">GW </t>
    </r>
    <r>
      <rPr>
        <b val="true"/>
        <sz val="10"/>
        <rFont val="Noto Sans CJK SC"/>
        <family val="2"/>
      </rPr>
      <t xml:space="preserve">卡數 </t>
    </r>
    <r>
      <rPr>
        <b val="true"/>
        <sz val="10"/>
        <rFont val="Arial"/>
        <family val="0"/>
        <charset val="1"/>
      </rPr>
      <t xml:space="preserve">× </t>
    </r>
    <r>
      <rPr>
        <b val="true"/>
        <sz val="10"/>
        <rFont val="Noto Sans CJK SC"/>
        <family val="2"/>
      </rPr>
      <t xml:space="preserve">每年小時 </t>
    </r>
    <r>
      <rPr>
        <b val="true"/>
        <sz val="10"/>
        <rFont val="Arial"/>
        <family val="0"/>
        <charset val="1"/>
      </rPr>
      <t xml:space="preserve">÷ 10^8</t>
    </r>
    <r>
      <rPr>
        <b val="true"/>
        <sz val="10"/>
        <rFont val="Noto Sans CJK SC"/>
        <family val="2"/>
      </rPr>
      <t xml:space="preserve">（元→億）；</t>
    </r>
    <r>
      <rPr>
        <b val="true"/>
        <sz val="10"/>
        <rFont val="Arial"/>
        <family val="0"/>
        <charset val="1"/>
      </rPr>
      <t xml:space="preserve">2H26 </t>
    </r>
    <r>
      <rPr>
        <b val="true"/>
        <sz val="10"/>
        <rFont val="Noto Sans CJK SC"/>
        <family val="2"/>
      </rPr>
      <t xml:space="preserve">起 </t>
    </r>
    <r>
      <rPr>
        <b val="true"/>
        <sz val="10"/>
        <rFont val="Arial"/>
        <family val="0"/>
        <charset val="1"/>
      </rPr>
      <t xml:space="preserve">×</t>
    </r>
    <r>
      <rPr>
        <b val="true"/>
        <sz val="10"/>
        <rFont val="Noto Sans CJK SC"/>
        <family val="2"/>
      </rPr>
      <t xml:space="preserve">（</t>
    </r>
    <r>
      <rPr>
        <b val="true"/>
        <sz val="10"/>
        <rFont val="Arial"/>
        <family val="0"/>
        <charset val="1"/>
      </rPr>
      <t xml:space="preserve">1</t>
    </r>
    <r>
      <rPr>
        <b val="true"/>
        <sz val="10"/>
        <rFont val="Noto Sans CJK SC"/>
        <family val="2"/>
      </rPr>
      <t xml:space="preserve">＋年變動率），</t>
    </r>
    <r>
      <rPr>
        <b val="true"/>
        <sz val="10"/>
        <rFont val="Arial"/>
        <family val="0"/>
        <charset val="1"/>
      </rPr>
      <t xml:space="preserve">2H26 </t>
    </r>
    <r>
      <rPr>
        <b val="true"/>
        <sz val="10"/>
        <rFont val="Noto Sans CJK SC"/>
        <family val="2"/>
      </rPr>
      <t xml:space="preserve">以半年計</t>
    </r>
  </si>
  <si>
    <t xml:space="preserve">G77</t>
  </si>
  <si>
    <r>
      <rPr>
        <sz val="10"/>
        <color rgb="FF000000"/>
        <rFont val="Noto Sans CJK SC"/>
        <family val="2"/>
      </rPr>
      <t xml:space="preserve">每卡 </t>
    </r>
    <r>
      <rPr>
        <sz val="10"/>
        <color rgb="FF000000"/>
        <rFont val="Arial"/>
        <family val="0"/>
        <charset val="1"/>
      </rPr>
      <t xml:space="preserve">IT </t>
    </r>
    <r>
      <rPr>
        <sz val="10"/>
        <color rgb="FF000000"/>
        <rFont val="Noto Sans CJK SC"/>
        <family val="2"/>
      </rPr>
      <t xml:space="preserve">功耗：</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</si>
  <si>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Analogy</t>
    </r>
    <r>
      <rPr>
        <sz val="9"/>
        <color rgb="FF595959"/>
        <rFont val="Noto Sans CJK SC"/>
        <family val="2"/>
      </rPr>
      <t xml:space="preserve">；</t>
    </r>
    <r>
      <rPr>
        <sz val="9"/>
        <color rgb="FF595959"/>
        <rFont val="Arial"/>
        <family val="0"/>
        <charset val="1"/>
      </rPr>
      <t xml:space="preserve">Hopper </t>
    </r>
    <r>
      <rPr>
        <sz val="9"/>
        <color rgb="FF595959"/>
        <rFont val="Noto Sans CJK SC"/>
        <family val="2"/>
      </rPr>
      <t xml:space="preserve">依 </t>
    </r>
    <r>
      <rPr>
        <sz val="9"/>
        <color rgb="FF595959"/>
        <rFont val="Arial"/>
        <family val="0"/>
        <charset val="1"/>
      </rPr>
      <t xml:space="preserve">TK DC_Cost </t>
    </r>
    <r>
      <rPr>
        <sz val="9"/>
        <color rgb="FF595959"/>
        <rFont val="Noto Sans CJK SC"/>
        <family val="2"/>
      </rPr>
      <t xml:space="preserve">每 </t>
    </r>
    <r>
      <rPr>
        <sz val="9"/>
        <color rgb="FF595959"/>
        <rFont val="Arial"/>
        <family val="0"/>
        <charset val="1"/>
      </rPr>
      <t xml:space="preserve">GW GPU </t>
    </r>
    <r>
      <rPr>
        <sz val="9"/>
        <color rgb="FF595959"/>
        <rFont val="Noto Sans CJK SC"/>
        <family val="2"/>
      </rPr>
      <t xml:space="preserve">數換算）</t>
    </r>
  </si>
  <si>
    <t xml:space="preserve">G78</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</si>
  <si>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卡數：</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</si>
  <si>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r>
      <rPr>
        <sz val="10"/>
        <color rgb="FF000000"/>
        <rFont val="Noto Sans CJK SC"/>
        <family val="2"/>
      </rPr>
      <t xml:space="preserve">卡／</t>
    </r>
    <r>
      <rPr>
        <sz val="10"/>
        <color rgb="FF000000"/>
        <rFont val="Arial"/>
        <family val="0"/>
        <charset val="1"/>
      </rPr>
      <t xml:space="preserve">GW</t>
    </r>
  </si>
  <si>
    <r>
      <rPr>
        <sz val="9"/>
        <color rgb="FF595959"/>
        <rFont val="Arial"/>
        <family val="0"/>
        <charset val="1"/>
      </rPr>
      <t xml:space="preserve">10^6 kW ÷ </t>
    </r>
    <r>
      <rPr>
        <sz val="9"/>
        <color rgb="FF595959"/>
        <rFont val="Noto Sans CJK SC"/>
        <family val="2"/>
      </rPr>
      <t xml:space="preserve">每卡 </t>
    </r>
    <r>
      <rPr>
        <sz val="9"/>
        <color rgb="FF595959"/>
        <rFont val="Arial"/>
        <family val="0"/>
        <charset val="1"/>
      </rPr>
      <t xml:space="preserve">kW</t>
    </r>
  </si>
  <si>
    <t xml:space="preserve">G79</t>
  </si>
  <si>
    <r>
      <rPr>
        <sz val="10"/>
        <color rgb="FF000000"/>
        <rFont val="Noto Sans CJK SC"/>
        <family val="2"/>
      </rPr>
      <t xml:space="preserve">每卡 </t>
    </r>
    <r>
      <rPr>
        <sz val="10"/>
        <color rgb="FF000000"/>
        <rFont val="Arial"/>
        <family val="0"/>
        <charset val="1"/>
      </rPr>
      <t xml:space="preserve">IT </t>
    </r>
    <r>
      <rPr>
        <sz val="10"/>
        <color rgb="FF000000"/>
        <rFont val="Noto Sans CJK SC"/>
        <family val="2"/>
      </rPr>
      <t xml:space="preserve">功耗：</t>
    </r>
    <r>
      <rPr>
        <sz val="10"/>
        <color rgb="FF000000"/>
        <rFont val="Arial"/>
        <family val="0"/>
        <charset val="1"/>
      </rPr>
      <t xml:space="preserve">H20</t>
    </r>
  </si>
  <si>
    <t xml:space="preserve">G80</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</si>
  <si>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卡數：</t>
    </r>
    <r>
      <rPr>
        <sz val="10"/>
        <color rgb="FF000000"/>
        <rFont val="Arial"/>
        <family val="0"/>
        <charset val="1"/>
      </rPr>
      <t xml:space="preserve">H20</t>
    </r>
  </si>
  <si>
    <t xml:space="preserve">G81</t>
  </si>
  <si>
    <r>
      <rPr>
        <sz val="10"/>
        <color rgb="FF000000"/>
        <rFont val="Noto Sans CJK SC"/>
        <family val="2"/>
      </rPr>
      <t xml:space="preserve">每卡 </t>
    </r>
    <r>
      <rPr>
        <sz val="10"/>
        <color rgb="FF000000"/>
        <rFont val="Arial"/>
        <family val="0"/>
        <charset val="1"/>
      </rPr>
      <t xml:space="preserve">IT </t>
    </r>
    <r>
      <rPr>
        <sz val="10"/>
        <color rgb="FF000000"/>
        <rFont val="Noto Sans CJK SC"/>
        <family val="2"/>
      </rPr>
      <t xml:space="preserve">功耗：國產（昇騰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</si>
  <si>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G82</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</si>
  <si>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卡數：國產（昇騰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</si>
  <si>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G83</t>
  </si>
  <si>
    <r>
      <rPr>
        <sz val="10"/>
        <color rgb="FF000000"/>
        <rFont val="Noto Sans CJK SC"/>
        <family val="2"/>
      </rPr>
      <t xml:space="preserve">卡時租價：</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</si>
  <si>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t xml:space="preserve">元／卡／時</t>
  </si>
  <si>
    <r>
      <rPr>
        <sz val="9"/>
        <color rgb="FF595959"/>
        <rFont val="Arial"/>
        <family val="0"/>
        <charset val="1"/>
      </rPr>
      <t xml:space="preserve">SRC_ZP_474 H800</t>
    </r>
    <r>
      <rPr>
        <sz val="9"/>
        <color rgb="FF595959"/>
        <rFont val="Noto Sans CJK SC"/>
        <family val="2"/>
      </rPr>
      <t xml:space="preserve">（</t>
    </r>
    <r>
      <rPr>
        <sz val="9"/>
        <color rgb="FF595959"/>
        <rFont val="Arial"/>
        <family val="0"/>
        <charset val="1"/>
      </rPr>
      <t xml:space="preserve">SMM </t>
    </r>
    <r>
      <rPr>
        <sz val="9"/>
        <color rgb="FF595959"/>
        <rFont val="Noto Sans CJK SC"/>
        <family val="2"/>
      </rPr>
      <t xml:space="preserve">兩年約折算 </t>
    </r>
    <r>
      <rPr>
        <sz val="9"/>
        <color rgb="FF595959"/>
        <rFont val="Arial"/>
        <family val="0"/>
        <charset val="1"/>
      </rPr>
      <t xml:space="preserve">13.36</t>
    </r>
    <r>
      <rPr>
        <sz val="9"/>
        <color rgb="FF595959"/>
        <rFont val="Noto Sans CJK SC"/>
        <family val="2"/>
      </rPr>
      <t xml:space="preserve">；阿里雲 </t>
    </r>
    <r>
      <rPr>
        <sz val="9"/>
        <color rgb="FF595959"/>
        <rFont val="Arial"/>
        <family val="0"/>
        <charset val="1"/>
      </rPr>
      <t xml:space="preserve">18.75</t>
    </r>
    <r>
      <rPr>
        <sz val="9"/>
        <color rgb="FF595959"/>
        <rFont val="Noto Sans CJK SC"/>
        <family val="2"/>
      </rPr>
      <t xml:space="preserve">／圖靈 </t>
    </r>
    <r>
      <rPr>
        <sz val="9"/>
        <color rgb="FF595959"/>
        <rFont val="Arial"/>
        <family val="0"/>
        <charset val="1"/>
      </rPr>
      <t xml:space="preserve">11.83 </t>
    </r>
    <r>
      <rPr>
        <sz val="9"/>
        <color rgb="FF595959"/>
        <rFont val="Noto Sans CJK SC"/>
        <family val="2"/>
      </rPr>
      <t xml:space="preserve">為區間 </t>
    </r>
    <r>
      <rPr>
        <sz val="9"/>
        <color rgb="FF595959"/>
        <rFont val="Arial"/>
        <family val="0"/>
        <charset val="1"/>
      </rPr>
      <t xml:space="preserve">SRC_ZP_472–473</t>
    </r>
    <r>
      <rPr>
        <sz val="9"/>
        <color rgb="FF595959"/>
        <rFont val="Noto Sans CJK SC"/>
        <family val="2"/>
      </rPr>
      <t xml:space="preserve">）；</t>
    </r>
    <r>
      <rPr>
        <sz val="9"/>
        <color rgb="FF595959"/>
        <rFont val="Arial"/>
        <family val="0"/>
        <charset val="1"/>
      </rPr>
      <t xml:space="preserve">2025 </t>
    </r>
    <r>
      <rPr>
        <sz val="9"/>
        <color rgb="FF595959"/>
        <rFont val="Noto Sans CJK SC"/>
        <family val="2"/>
      </rPr>
      <t xml:space="preserve">以 </t>
    </r>
    <r>
      <rPr>
        <sz val="9"/>
        <color rgb="FF595959"/>
        <rFont val="Arial"/>
        <family val="0"/>
        <charset val="1"/>
      </rPr>
      <t xml:space="preserve">2026 </t>
    </r>
    <r>
      <rPr>
        <sz val="9"/>
        <color rgb="FF595959"/>
        <rFont val="Noto Sans CJK SC"/>
        <family val="2"/>
      </rPr>
      <t xml:space="preserve">觀察值計（</t>
    </r>
    <r>
      <rPr>
        <sz val="9"/>
        <color rgb="FF595959"/>
        <rFont val="Arial"/>
        <family val="0"/>
        <charset val="1"/>
      </rPr>
      <t xml:space="preserve">2025 </t>
    </r>
    <r>
      <rPr>
        <sz val="9"/>
        <color rgb="FF595959"/>
        <rFont val="Noto Sans CJK SC"/>
        <family val="2"/>
      </rPr>
      <t xml:space="preserve">租價找不到）</t>
    </r>
  </si>
  <si>
    <t xml:space="preserve">G84</t>
  </si>
  <si>
    <r>
      <rPr>
        <sz val="10"/>
        <color rgb="FF000000"/>
        <rFont val="Noto Sans CJK SC"/>
        <family val="2"/>
      </rPr>
      <t xml:space="preserve">卡時租價：</t>
    </r>
    <r>
      <rPr>
        <sz val="10"/>
        <color rgb="FF000000"/>
        <rFont val="Arial"/>
        <family val="0"/>
        <charset val="1"/>
      </rPr>
      <t xml:space="preserve">H20</t>
    </r>
  </si>
  <si>
    <r>
      <rPr>
        <sz val="9"/>
        <color rgb="FF595959"/>
        <rFont val="Arial"/>
        <family val="0"/>
        <charset val="1"/>
      </rPr>
      <t xml:space="preserve">SRC_ZP_462 H20 </t>
    </r>
    <r>
      <rPr>
        <sz val="9"/>
        <color rgb="FF595959"/>
        <rFont val="Noto Sans CJK SC"/>
        <family val="2"/>
      </rPr>
      <t xml:space="preserve">京津冀均價 </t>
    </r>
    <r>
      <rPr>
        <sz val="9"/>
        <color rgb="FF595959"/>
        <rFont val="Arial"/>
        <family val="0"/>
        <charset val="1"/>
      </rPr>
      <t xml:space="preserve">7.47</t>
    </r>
    <r>
      <rPr>
        <sz val="9"/>
        <color rgb="FF595959"/>
        <rFont val="Noto Sans CJK SC"/>
        <family val="2"/>
      </rPr>
      <t xml:space="preserve">（</t>
    </r>
    <r>
      <rPr>
        <sz val="9"/>
        <color rgb="FF595959"/>
        <rFont val="Arial"/>
        <family val="0"/>
        <charset val="1"/>
      </rPr>
      <t xml:space="preserve">7.03–8.16</t>
    </r>
    <r>
      <rPr>
        <sz val="9"/>
        <color rgb="FF595959"/>
        <rFont val="Noto Sans CJK SC"/>
        <family val="2"/>
      </rPr>
      <t xml:space="preserve">）；</t>
    </r>
    <r>
      <rPr>
        <sz val="9"/>
        <color rgb="FF595959"/>
        <rFont val="Arial"/>
        <family val="0"/>
        <charset val="1"/>
      </rPr>
      <t xml:space="preserve">2025 </t>
    </r>
    <r>
      <rPr>
        <sz val="9"/>
        <color rgb="FF595959"/>
        <rFont val="Noto Sans CJK SC"/>
        <family val="2"/>
      </rPr>
      <t xml:space="preserve">以 </t>
    </r>
    <r>
      <rPr>
        <sz val="9"/>
        <color rgb="FF595959"/>
        <rFont val="Arial"/>
        <family val="0"/>
        <charset val="1"/>
      </rPr>
      <t xml:space="preserve">2026 </t>
    </r>
    <r>
      <rPr>
        <sz val="9"/>
        <color rgb="FF595959"/>
        <rFont val="Noto Sans CJK SC"/>
        <family val="2"/>
      </rPr>
      <t xml:space="preserve">觀察值計（</t>
    </r>
    <r>
      <rPr>
        <sz val="9"/>
        <color rgb="FF595959"/>
        <rFont val="Arial"/>
        <family val="0"/>
        <charset val="1"/>
      </rPr>
      <t xml:space="preserve">2025 </t>
    </r>
    <r>
      <rPr>
        <sz val="9"/>
        <color rgb="FF595959"/>
        <rFont val="Noto Sans CJK SC"/>
        <family val="2"/>
      </rPr>
      <t xml:space="preserve">租價找不到）</t>
    </r>
  </si>
  <si>
    <t xml:space="preserve">G85</t>
  </si>
  <si>
    <r>
      <rPr>
        <sz val="10"/>
        <color rgb="FF000000"/>
        <rFont val="Noto Sans CJK SC"/>
        <family val="2"/>
      </rPr>
      <t xml:space="preserve">卡時租價：國產（昇騰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</si>
  <si>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r>
      <rPr>
        <sz val="9"/>
        <color rgb="FF595959"/>
        <rFont val="Noto Sans CJK SC"/>
        <family val="2"/>
      </rPr>
      <t xml:space="preserve">昇騰 </t>
    </r>
    <r>
      <rPr>
        <sz val="9"/>
        <color rgb="FF595959"/>
        <rFont val="Arial"/>
        <family val="0"/>
        <charset val="1"/>
      </rPr>
      <t xml:space="preserve">910B </t>
    </r>
    <r>
      <rPr>
        <sz val="9"/>
        <color rgb="FF595959"/>
        <rFont val="Noto Sans CJK SC"/>
        <family val="2"/>
      </rPr>
      <t xml:space="preserve">折算卡時價 </t>
    </r>
    <r>
      <rPr>
        <sz val="9"/>
        <color rgb="FF595959"/>
        <rFont val="Arial"/>
        <family val="0"/>
        <charset val="1"/>
      </rPr>
      <t xml:space="preserve">2.74</t>
    </r>
    <r>
      <rPr>
        <sz val="9"/>
        <color rgb="FF595959"/>
        <rFont val="Noto Sans CJK SC"/>
        <family val="2"/>
      </rPr>
      <t xml:space="preserve">／</t>
    </r>
    <r>
      <rPr>
        <sz val="9"/>
        <color rgb="FF595959"/>
        <rFont val="Arial"/>
        <family val="0"/>
        <charset val="1"/>
      </rPr>
      <t xml:space="preserve">4.28 </t>
    </r>
    <r>
      <rPr>
        <sz val="9"/>
        <color rgb="FF595959"/>
        <rFont val="Noto Sans CJK SC"/>
        <family val="2"/>
      </rPr>
      <t xml:space="preserve">的平均（</t>
    </r>
    <r>
      <rPr>
        <sz val="9"/>
        <color rgb="FF595959"/>
        <rFont val="Arial"/>
        <family val="0"/>
        <charset val="1"/>
      </rPr>
      <t xml:space="preserve">SRC_ZP_478</t>
    </r>
    <r>
      <rPr>
        <sz val="9"/>
        <color rgb="FF595959"/>
        <rFont val="Noto Sans CJK SC"/>
        <family val="2"/>
      </rPr>
      <t xml:space="preserve">、</t>
    </r>
    <r>
      <rPr>
        <sz val="9"/>
        <color rgb="FF595959"/>
        <rFont val="Arial"/>
        <family val="0"/>
        <charset val="1"/>
      </rPr>
      <t xml:space="preserve">479</t>
    </r>
    <r>
      <rPr>
        <sz val="9"/>
        <color rgb="FF595959"/>
        <rFont val="Noto Sans CJK SC"/>
        <family val="2"/>
      </rPr>
      <t xml:space="preserve">）</t>
    </r>
    <r>
      <rPr>
        <sz val="9"/>
        <color rgb="FF595959"/>
        <rFont val="Arial"/>
        <family val="0"/>
        <charset val="1"/>
      </rPr>
      <t xml:space="preserve">× </t>
    </r>
    <r>
      <rPr>
        <sz val="9"/>
        <color rgb="FF595959"/>
        <rFont val="Noto Sans CJK SC"/>
        <family val="2"/>
      </rPr>
      <t xml:space="preserve">國產卡別倍數（</t>
    </r>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910C </t>
    </r>
    <r>
      <rPr>
        <sz val="9"/>
        <color rgb="FF595959"/>
        <rFont val="Noto Sans CJK SC"/>
        <family val="2"/>
      </rPr>
      <t xml:space="preserve">租價找不到）；</t>
    </r>
    <r>
      <rPr>
        <sz val="9"/>
        <color rgb="FF595959"/>
        <rFont val="Arial"/>
        <family val="0"/>
        <charset val="1"/>
      </rPr>
      <t xml:space="preserve">2025 </t>
    </r>
    <r>
      <rPr>
        <sz val="9"/>
        <color rgb="FF595959"/>
        <rFont val="Noto Sans CJK SC"/>
        <family val="2"/>
      </rPr>
      <t xml:space="preserve">以 </t>
    </r>
    <r>
      <rPr>
        <sz val="9"/>
        <color rgb="FF595959"/>
        <rFont val="Arial"/>
        <family val="0"/>
        <charset val="1"/>
      </rPr>
      <t xml:space="preserve">2026 </t>
    </r>
    <r>
      <rPr>
        <sz val="9"/>
        <color rgb="FF595959"/>
        <rFont val="Noto Sans CJK SC"/>
        <family val="2"/>
      </rPr>
      <t xml:space="preserve">觀察值計（</t>
    </r>
    <r>
      <rPr>
        <sz val="9"/>
        <color rgb="FF595959"/>
        <rFont val="Arial"/>
        <family val="0"/>
        <charset val="1"/>
      </rPr>
      <t xml:space="preserve">2025 </t>
    </r>
    <r>
      <rPr>
        <sz val="9"/>
        <color rgb="FF595959"/>
        <rFont val="Noto Sans CJK SC"/>
        <family val="2"/>
      </rPr>
      <t xml:space="preserve">租價找不到）</t>
    </r>
  </si>
  <si>
    <t xml:space="preserve">G86</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</si>
  <si>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年價格：</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</si>
  <si>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r>
      <rPr>
        <sz val="10"/>
        <color rgb="FF000000"/>
        <rFont val="Arial"/>
        <family val="0"/>
        <charset val="1"/>
      </rPr>
      <t xml:space="preserve">RMB </t>
    </r>
    <r>
      <rPr>
        <sz val="10"/>
        <color rgb="FF000000"/>
        <rFont val="Noto Sans CJK SC"/>
        <family val="2"/>
      </rPr>
      <t xml:space="preserve">億／</t>
    </r>
    <r>
      <rPr>
        <sz val="10"/>
        <color rgb="FF000000"/>
        <rFont val="Arial"/>
        <family val="0"/>
        <charset val="1"/>
      </rPr>
      <t xml:space="preserve">GW</t>
    </r>
    <r>
      <rPr>
        <sz val="10"/>
        <color rgb="FF000000"/>
        <rFont val="Noto Sans CJK SC"/>
        <family val="2"/>
      </rPr>
      <t xml:space="preserve">／年</t>
    </r>
  </si>
  <si>
    <r>
      <rPr>
        <sz val="9"/>
        <color rgb="FF595959"/>
        <rFont val="Arial"/>
        <family val="0"/>
        <charset val="1"/>
      </rPr>
      <t xml:space="preserve">Z5b V1</t>
    </r>
    <r>
      <rPr>
        <sz val="9"/>
        <color rgb="FF595959"/>
        <rFont val="Noto Sans CJK SC"/>
        <family val="2"/>
      </rPr>
      <t xml:space="preserve">：</t>
    </r>
    <r>
      <rPr>
        <sz val="9"/>
        <color rgb="FF595959"/>
        <rFont val="Arial"/>
        <family val="0"/>
        <charset val="1"/>
      </rPr>
      <t xml:space="preserve">2H26 </t>
    </r>
    <r>
      <rPr>
        <sz val="9"/>
        <color rgb="FF595959"/>
        <rFont val="Noto Sans CJK SC"/>
        <family val="2"/>
      </rPr>
      <t xml:space="preserve">起＝</t>
    </r>
    <r>
      <rPr>
        <sz val="9"/>
        <color rgb="FF595959"/>
        <rFont val="Arial"/>
        <family val="0"/>
        <charset val="1"/>
      </rPr>
      <t xml:space="preserve">MAX</t>
    </r>
    <r>
      <rPr>
        <sz val="9"/>
        <color rgb="FF595959"/>
        <rFont val="Noto Sans CJK SC"/>
        <family val="2"/>
      </rPr>
      <t xml:space="preserve">（觀察租價換算，供應商持有成本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＋最低毛利））（第十四節）；</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＝觀察值</t>
    </r>
  </si>
  <si>
    <t xml:space="preserve">G87</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</si>
  <si>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年價格：</t>
    </r>
    <r>
      <rPr>
        <sz val="10"/>
        <color rgb="FF000000"/>
        <rFont val="Arial"/>
        <family val="0"/>
        <charset val="1"/>
      </rPr>
      <t xml:space="preserve">H20</t>
    </r>
  </si>
  <si>
    <t xml:space="preserve">G88</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</si>
  <si>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年價格：國產（昇騰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</si>
  <si>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G89</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</si>
  <si>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年價格：組合後（</t>
    </r>
    <r>
      <rPr>
        <sz val="10"/>
        <color rgb="FF000000"/>
        <rFont val="Arial"/>
        <family val="0"/>
        <charset val="1"/>
      </rPr>
      <t xml:space="preserve">Σ </t>
    </r>
    <r>
      <rPr>
        <sz val="10"/>
        <color rgb="FF000000"/>
        <rFont val="Noto Sans CJK SC"/>
        <family val="2"/>
      </rPr>
      <t xml:space="preserve">占比 </t>
    </r>
    <r>
      <rPr>
        <sz val="10"/>
        <color rgb="FF000000"/>
        <rFont val="Arial"/>
        <family val="0"/>
        <charset val="1"/>
      </rPr>
      <t xml:space="preserve">× </t>
    </r>
    <r>
      <rPr>
        <sz val="10"/>
        <color rgb="FF000000"/>
        <rFont val="Noto Sans CJK SC"/>
        <family val="2"/>
      </rPr>
      <t xml:space="preserve">各族價格）</t>
    </r>
  </si>
  <si>
    <r>
      <rPr>
        <sz val="9"/>
        <color rgb="FF595959"/>
        <rFont val="Noto Sans CJK SC"/>
        <family val="2"/>
      </rPr>
      <t xml:space="preserve">供給 </t>
    </r>
    <r>
      <rPr>
        <sz val="9"/>
        <color rgb="FF595959"/>
        <rFont val="Arial"/>
        <family val="0"/>
        <charset val="1"/>
      </rPr>
      <t xml:space="preserve">GW </t>
    </r>
    <r>
      <rPr>
        <sz val="9"/>
        <color rgb="FF595959"/>
        <rFont val="Noto Sans CJK SC"/>
        <family val="2"/>
      </rPr>
      <t xml:space="preserve">換算與 </t>
    </r>
    <r>
      <rPr>
        <sz val="9"/>
        <color rgb="FF595959"/>
        <rFont val="Arial"/>
        <family val="0"/>
        <charset val="1"/>
      </rPr>
      <t xml:space="preserve">2H26 </t>
    </r>
    <r>
      <rPr>
        <sz val="9"/>
        <color rgb="FF595959"/>
        <rFont val="Noto Sans CJK SC"/>
        <family val="2"/>
      </rPr>
      <t xml:space="preserve">起算力成本用</t>
    </r>
  </si>
  <si>
    <t xml:space="preserve">G90</t>
  </si>
  <si>
    <r>
      <rPr>
        <sz val="10"/>
        <color rgb="FF000000"/>
        <rFont val="Noto Sans CJK SC"/>
        <family val="2"/>
      </rPr>
      <t xml:space="preserve">對照：組合後每 </t>
    </r>
    <r>
      <rPr>
        <sz val="10"/>
        <color rgb="FF000000"/>
        <rFont val="Arial"/>
        <family val="0"/>
        <charset val="1"/>
      </rPr>
      <t xml:space="preserve">GW </t>
    </r>
    <r>
      <rPr>
        <sz val="10"/>
        <color rgb="FF000000"/>
        <rFont val="Noto Sans CJK SC"/>
        <family val="2"/>
      </rPr>
      <t xml:space="preserve">年價格（美元）</t>
    </r>
  </si>
  <si>
    <r>
      <rPr>
        <sz val="9"/>
        <color rgb="FF595959"/>
        <rFont val="Arial"/>
        <family val="0"/>
        <charset val="1"/>
      </rPr>
      <t xml:space="preserve">÷ USD/CNY ÷ 10</t>
    </r>
    <r>
      <rPr>
        <sz val="9"/>
        <color rgb="FF595959"/>
        <rFont val="Noto Sans CJK SC"/>
        <family val="2"/>
      </rPr>
      <t xml:space="preserve">（億→十億）；</t>
    </r>
    <r>
      <rPr>
        <sz val="9"/>
        <color rgb="FF595959"/>
        <rFont val="Arial"/>
        <family val="0"/>
        <charset val="1"/>
      </rPr>
      <t xml:space="preserve">OpenAI v0.6 </t>
    </r>
    <r>
      <rPr>
        <sz val="9"/>
        <color rgb="FF595959"/>
        <rFont val="Noto Sans CJK SC"/>
        <family val="2"/>
      </rPr>
      <t xml:space="preserve">合約價 </t>
    </r>
    <r>
      <rPr>
        <sz val="9"/>
        <color rgb="FF595959"/>
        <rFont val="Arial"/>
        <family val="0"/>
        <charset val="1"/>
      </rPr>
      <t xml:space="preserve">12</t>
    </r>
    <r>
      <rPr>
        <sz val="9"/>
        <color rgb="FF595959"/>
        <rFont val="Noto Sans CJK SC"/>
        <family val="2"/>
      </rPr>
      <t xml:space="preserve">（</t>
    </r>
    <r>
      <rPr>
        <sz val="9"/>
        <color rgb="FF595959"/>
        <rFont val="Arial"/>
        <family val="0"/>
        <charset val="1"/>
      </rPr>
      <t xml:space="preserve">INP_229</t>
    </r>
    <r>
      <rPr>
        <sz val="9"/>
        <color rgb="FF595959"/>
        <rFont val="Noto Sans CJK SC"/>
        <family val="2"/>
      </rPr>
      <t xml:space="preserve">，</t>
    </r>
    <r>
      <rPr>
        <sz val="9"/>
        <color rgb="FF595959"/>
        <rFont val="Arial"/>
        <family val="0"/>
        <charset val="1"/>
      </rPr>
      <t xml:space="preserve">8–20</t>
    </r>
    <r>
      <rPr>
        <sz val="9"/>
        <color rgb="FF595959"/>
        <rFont val="Noto Sans CJK SC"/>
        <family val="2"/>
      </rPr>
      <t xml:space="preserve">）</t>
    </r>
  </si>
  <si>
    <r>
      <rPr>
        <b val="true"/>
        <sz val="10"/>
        <rFont val="Noto Sans CJK SC"/>
        <family val="2"/>
      </rPr>
      <t xml:space="preserve">七、</t>
    </r>
    <r>
      <rPr>
        <b val="true"/>
        <sz val="10"/>
        <rFont val="Arial"/>
        <family val="0"/>
        <charset val="1"/>
      </rPr>
      <t xml:space="preserve">η</t>
    </r>
    <r>
      <rPr>
        <b val="true"/>
        <sz val="10"/>
        <rFont val="Noto Sans CJK SC"/>
        <family val="2"/>
      </rPr>
      <t xml:space="preserve">（有效產出係數）：</t>
    </r>
    <r>
      <rPr>
        <b val="true"/>
        <sz val="10"/>
        <rFont val="Arial"/>
        <family val="0"/>
        <charset val="1"/>
      </rPr>
      <t xml:space="preserve">r2 P1 </t>
    </r>
    <r>
      <rPr>
        <b val="true"/>
        <sz val="10"/>
        <rFont val="Noto Sans CJK SC"/>
        <family val="2"/>
      </rPr>
      <t xml:space="preserve">基準＝</t>
    </r>
    <r>
      <rPr>
        <b val="true"/>
        <sz val="10"/>
        <rFont val="Arial"/>
        <family val="0"/>
        <charset val="1"/>
      </rPr>
      <t xml:space="preserve">1</t>
    </r>
    <r>
      <rPr>
        <b val="true"/>
        <sz val="10"/>
        <rFont val="Noto Sans CJK SC"/>
        <family val="2"/>
      </rPr>
      <t xml:space="preserve">（信任 </t>
    </r>
    <r>
      <rPr>
        <b val="true"/>
        <sz val="10"/>
        <rFont val="Arial"/>
        <family val="0"/>
        <charset val="1"/>
      </rPr>
      <t xml:space="preserve">TK </t>
    </r>
    <r>
      <rPr>
        <b val="true"/>
        <sz val="10"/>
        <rFont val="Noto Sans CJK SC"/>
        <family val="2"/>
      </rPr>
      <t xml:space="preserve">物理）；校準期研發殘差 </t>
    </r>
    <r>
      <rPr>
        <b val="true"/>
        <sz val="10"/>
        <rFont val="Arial"/>
        <family val="0"/>
        <charset val="1"/>
      </rPr>
      <t xml:space="preserve">&lt; </t>
    </r>
    <r>
      <rPr>
        <b val="true"/>
        <sz val="10"/>
        <rFont val="Noto Sans CJK SC"/>
        <family val="2"/>
      </rPr>
      <t xml:space="preserve">訓練最低占比 </t>
    </r>
    <r>
      <rPr>
        <b val="true"/>
        <sz val="10"/>
        <rFont val="Arial"/>
        <family val="0"/>
        <charset val="1"/>
      </rPr>
      <t xml:space="preserve">× </t>
    </r>
    <r>
      <rPr>
        <b val="true"/>
        <sz val="10"/>
        <rFont val="Noto Sans CJK SC"/>
        <family val="2"/>
      </rPr>
      <t xml:space="preserve">供給時，上調為使殘差＝最低占比的值（</t>
    </r>
    <r>
      <rPr>
        <b val="true"/>
        <sz val="10"/>
        <rFont val="Arial"/>
        <family val="0"/>
        <charset val="1"/>
      </rPr>
      <t xml:space="preserve">WARN</t>
    </r>
    <r>
      <rPr>
        <b val="true"/>
        <sz val="10"/>
        <rFont val="Noto Sans CJK SC"/>
        <family val="2"/>
      </rPr>
      <t xml:space="preserve">）；舊法（</t>
    </r>
    <r>
      <rPr>
        <b val="true"/>
        <sz val="10"/>
        <rFont val="Arial"/>
        <family val="0"/>
        <charset val="1"/>
      </rPr>
      <t xml:space="preserve">D8r</t>
    </r>
    <r>
      <rPr>
        <b val="true"/>
        <sz val="10"/>
        <rFont val="Noto Sans CJK SC"/>
        <family val="2"/>
      </rPr>
      <t xml:space="preserve">：</t>
    </r>
    <r>
      <rPr>
        <b val="true"/>
        <sz val="10"/>
        <rFont val="Arial"/>
        <family val="0"/>
        <charset val="1"/>
      </rPr>
      <t xml:space="preserve">token GW ÷ API </t>
    </r>
    <r>
      <rPr>
        <b val="true"/>
        <sz val="10"/>
        <rFont val="Noto Sans CJK SC"/>
        <family val="2"/>
      </rPr>
      <t xml:space="preserve">銷售成本換算 </t>
    </r>
    <r>
      <rPr>
        <b val="true"/>
        <sz val="10"/>
        <rFont val="Arial"/>
        <family val="0"/>
        <charset val="1"/>
      </rPr>
      <t xml:space="preserve">GW</t>
    </r>
    <r>
      <rPr>
        <b val="true"/>
        <sz val="10"/>
        <rFont val="Noto Sans CJK SC"/>
        <family val="2"/>
      </rPr>
      <t xml:space="preserve">）以開關保留；</t>
    </r>
    <r>
      <rPr>
        <b val="true"/>
        <sz val="10"/>
        <rFont val="Arial"/>
        <family val="0"/>
        <charset val="1"/>
      </rPr>
      <t xml:space="preserve">2H26 </t>
    </r>
    <r>
      <rPr>
        <b val="true"/>
        <sz val="10"/>
        <rFont val="Noto Sans CJK SC"/>
        <family val="2"/>
      </rPr>
      <t xml:space="preserve">起依 </t>
    </r>
    <r>
      <rPr>
        <b val="true"/>
        <sz val="10"/>
        <rFont val="Arial"/>
        <family val="0"/>
        <charset val="1"/>
      </rPr>
      <t xml:space="preserve">Inputs </t>
    </r>
    <r>
      <rPr>
        <b val="true"/>
        <sz val="10"/>
        <rFont val="Noto Sans CJK SC"/>
        <family val="2"/>
      </rPr>
      <t xml:space="preserve">路徑，基準沿用 </t>
    </r>
    <r>
      <rPr>
        <b val="true"/>
        <sz val="10"/>
        <rFont val="Arial"/>
        <family val="0"/>
        <charset val="1"/>
      </rPr>
      <t xml:space="preserve">1H26</t>
    </r>
  </si>
  <si>
    <t xml:space="preserve">G91</t>
  </si>
  <si>
    <r>
      <rPr>
        <sz val="10"/>
        <color rgb="FF000000"/>
        <rFont val="Noto Sans CJK SC"/>
        <family val="2"/>
      </rPr>
      <t xml:space="preserve">對照（舊法 </t>
    </r>
    <r>
      <rPr>
        <sz val="10"/>
        <color rgb="FF000000"/>
        <rFont val="Arial"/>
        <family val="0"/>
        <charset val="1"/>
      </rPr>
      <t xml:space="preserve">D8r</t>
    </r>
    <r>
      <rPr>
        <sz val="10"/>
        <color rgb="FF000000"/>
        <rFont val="Noto Sans CJK SC"/>
        <family val="2"/>
      </rPr>
      <t xml:space="preserve">）：</t>
    </r>
    <r>
      <rPr>
        <sz val="10"/>
        <color rgb="FF000000"/>
        <rFont val="Arial"/>
        <family val="0"/>
        <charset val="1"/>
      </rPr>
      <t xml:space="preserve">API </t>
    </r>
    <r>
      <rPr>
        <sz val="10"/>
        <color rgb="FF000000"/>
        <rFont val="Noto Sans CJK SC"/>
        <family val="2"/>
      </rPr>
      <t xml:space="preserve">銷售成本換算推論 </t>
    </r>
    <r>
      <rPr>
        <sz val="10"/>
        <color rgb="FF000000"/>
        <rFont val="Arial"/>
        <family val="0"/>
        <charset val="1"/>
      </rPr>
      <t xml:space="preserve">GW</t>
    </r>
    <r>
      <rPr>
        <sz val="10"/>
        <color rgb="FF000000"/>
        <rFont val="Noto Sans CJK SC"/>
        <family val="2"/>
      </rPr>
      <t xml:space="preserve">＝營業成本計算服務費 </t>
    </r>
    <r>
      <rPr>
        <sz val="10"/>
        <color rgb="FF000000"/>
        <rFont val="Arial"/>
        <family val="0"/>
        <charset val="1"/>
      </rPr>
      <t xml:space="preserve">÷</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價格 </t>
    </r>
    <r>
      <rPr>
        <sz val="10"/>
        <color rgb="FF000000"/>
        <rFont val="Arial"/>
        <family val="0"/>
        <charset val="1"/>
      </rPr>
      <t xml:space="preserve">× </t>
    </r>
    <r>
      <rPr>
        <sz val="10"/>
        <color rgb="FF000000"/>
        <rFont val="Noto Sans CJK SC"/>
        <family val="2"/>
      </rPr>
      <t xml:space="preserve">期間比例）</t>
    </r>
  </si>
  <si>
    <r>
      <rPr>
        <sz val="9"/>
        <color rgb="FF595959"/>
        <rFont val="Arial"/>
        <family val="0"/>
        <charset val="1"/>
      </rPr>
      <t xml:space="preserve">Z3–Z5b </t>
    </r>
    <r>
      <rPr>
        <sz val="9"/>
        <color rgb="FF595959"/>
        <rFont val="Noto Sans CJK SC"/>
        <family val="2"/>
      </rPr>
      <t xml:space="preserve">的推論支出口徑；</t>
    </r>
    <r>
      <rPr>
        <sz val="9"/>
        <color rgb="FF595959"/>
        <rFont val="Arial"/>
        <family val="0"/>
        <charset val="1"/>
      </rPr>
      <t xml:space="preserve">r2 P1 </t>
    </r>
    <r>
      <rPr>
        <sz val="9"/>
        <color rgb="FF595959"/>
        <rFont val="Noto Sans CJK SC"/>
        <family val="2"/>
      </rPr>
      <t xml:space="preserve">起只用於舊法 </t>
    </r>
    <r>
      <rPr>
        <sz val="9"/>
        <color rgb="FF595959"/>
        <rFont val="Arial"/>
        <family val="0"/>
        <charset val="1"/>
      </rPr>
      <t xml:space="preserve">η </t>
    </r>
    <r>
      <rPr>
        <sz val="9"/>
        <color rgb="FF595959"/>
        <rFont val="Noto Sans CJK SC"/>
        <family val="2"/>
      </rPr>
      <t xml:space="preserve">與 </t>
    </r>
    <r>
      <rPr>
        <sz val="9"/>
        <color rgb="FF595959"/>
        <rFont val="Arial"/>
        <family val="0"/>
        <charset val="1"/>
      </rPr>
      <t xml:space="preserve">R4 </t>
    </r>
    <r>
      <rPr>
        <sz val="9"/>
        <color rgb="FF595959"/>
        <rFont val="Noto Sans CJK SC"/>
        <family val="2"/>
      </rPr>
      <t xml:space="preserve">對照</t>
    </r>
  </si>
  <si>
    <t xml:space="preserve">G92</t>
  </si>
  <si>
    <r>
      <rPr>
        <sz val="10"/>
        <color rgb="FF000000"/>
        <rFont val="Arial"/>
        <family val="0"/>
        <charset val="1"/>
      </rPr>
      <t xml:space="preserve">η</t>
    </r>
    <r>
      <rPr>
        <sz val="10"/>
        <color rgb="FF000000"/>
        <rFont val="Noto Sans CJK SC"/>
        <family val="2"/>
      </rPr>
      <t xml:space="preserve">（校準值）</t>
    </r>
  </si>
  <si>
    <r>
      <rPr>
        <sz val="9"/>
        <color rgb="FF595959"/>
        <rFont val="Arial"/>
        <family val="0"/>
        <charset val="1"/>
      </rPr>
      <t xml:space="preserve">r2 P1</t>
    </r>
    <r>
      <rPr>
        <sz val="9"/>
        <color rgb="FF595959"/>
        <rFont val="Noto Sans CJK SC"/>
        <family val="2"/>
      </rPr>
      <t xml:space="preserve">：＝</t>
    </r>
    <r>
      <rPr>
        <sz val="9"/>
        <color rgb="FF595959"/>
        <rFont val="Arial"/>
        <family val="0"/>
        <charset val="1"/>
      </rPr>
      <t xml:space="preserve">MAX</t>
    </r>
    <r>
      <rPr>
        <sz val="9"/>
        <color rgb="FF595959"/>
        <rFont val="Noto Sans CJK SC"/>
        <family val="2"/>
      </rPr>
      <t xml:space="preserve">（基準 </t>
    </r>
    <r>
      <rPr>
        <sz val="9"/>
        <color rgb="FF595959"/>
        <rFont val="Arial"/>
        <family val="0"/>
        <charset val="1"/>
      </rPr>
      <t xml:space="preserve">1, token </t>
    </r>
    <r>
      <rPr>
        <sz val="9"/>
        <color rgb="FF595959"/>
        <rFont val="Noto Sans CJK SC"/>
        <family val="2"/>
      </rPr>
      <t xml:space="preserve">換算 </t>
    </r>
    <r>
      <rPr>
        <sz val="9"/>
        <color rgb="FF595959"/>
        <rFont val="Arial"/>
        <family val="0"/>
        <charset val="1"/>
      </rPr>
      <t xml:space="preserve">GW ÷</t>
    </r>
    <r>
      <rPr>
        <sz val="9"/>
        <color rgb="FF595959"/>
        <rFont val="Noto Sans CJK SC"/>
        <family val="2"/>
      </rPr>
      <t xml:space="preserve">［供給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訓練最低占比）］）；開關＝</t>
    </r>
    <r>
      <rPr>
        <sz val="9"/>
        <color rgb="FF595959"/>
        <rFont val="Arial"/>
        <family val="0"/>
        <charset val="1"/>
      </rPr>
      <t xml:space="preserve">1 </t>
    </r>
    <r>
      <rPr>
        <sz val="9"/>
        <color rgb="FF595959"/>
        <rFont val="Noto Sans CJK SC"/>
        <family val="2"/>
      </rPr>
      <t xml:space="preserve">時為舊法（</t>
    </r>
    <r>
      <rPr>
        <sz val="9"/>
        <color rgb="FF595959"/>
        <rFont val="Arial"/>
        <family val="0"/>
        <charset val="1"/>
      </rPr>
      <t xml:space="preserve">token GW ÷ API </t>
    </r>
    <r>
      <rPr>
        <sz val="9"/>
        <color rgb="FF595959"/>
        <rFont val="Noto Sans CJK SC"/>
        <family val="2"/>
      </rPr>
      <t xml:space="preserve">銷售成本換算 </t>
    </r>
    <r>
      <rPr>
        <sz val="9"/>
        <color rgb="FF595959"/>
        <rFont val="Arial"/>
        <family val="0"/>
        <charset val="1"/>
      </rPr>
      <t xml:space="preserve">GW</t>
    </r>
    <r>
      <rPr>
        <sz val="9"/>
        <color rgb="FF595959"/>
        <rFont val="Noto Sans CJK SC"/>
        <family val="2"/>
      </rPr>
      <t xml:space="preserve">）。</t>
    </r>
    <r>
      <rPr>
        <sz val="9"/>
        <color rgb="FF595959"/>
        <rFont val="Arial"/>
        <family val="0"/>
        <charset val="1"/>
      </rPr>
      <t xml:space="preserve">D </t>
    </r>
    <r>
      <rPr>
        <sz val="9"/>
        <color rgb="FF595959"/>
        <rFont val="Noto Sans CJK SC"/>
        <family val="2"/>
      </rPr>
      <t xml:space="preserve">欄＝</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K </t>
    </r>
    <r>
      <rPr>
        <sz val="9"/>
        <color rgb="FF595959"/>
        <rFont val="Noto Sans CJK SC"/>
        <family val="2"/>
      </rPr>
      <t xml:space="preserve">欄＝</t>
    </r>
    <r>
      <rPr>
        <sz val="9"/>
        <color rgb="FF595959"/>
        <rFont val="Arial"/>
        <family val="0"/>
        <charset val="1"/>
      </rPr>
      <t xml:space="preserve">1H26</t>
    </r>
  </si>
  <si>
    <t xml:space="preserve">G93</t>
  </si>
  <si>
    <t xml:space="preserve">η 2025</t>
  </si>
  <si>
    <t xml:space="preserve">G94</t>
  </si>
  <si>
    <t xml:space="preserve">η 1H26</t>
  </si>
  <si>
    <t xml:space="preserve">G95</t>
  </si>
  <si>
    <r>
      <rPr>
        <sz val="10"/>
        <color rgb="FF000000"/>
        <rFont val="Noto Sans CJK SC"/>
        <family val="2"/>
      </rPr>
      <t xml:space="preserve">對照：</t>
    </r>
    <r>
      <rPr>
        <sz val="10"/>
        <color rgb="FF000000"/>
        <rFont val="Arial"/>
        <family val="0"/>
        <charset val="1"/>
      </rPr>
      <t xml:space="preserve">Z3 </t>
    </r>
    <r>
      <rPr>
        <sz val="10"/>
        <color rgb="FF000000"/>
        <rFont val="Noto Sans CJK SC"/>
        <family val="2"/>
      </rPr>
      <t xml:space="preserve">舊法 </t>
    </r>
    <r>
      <rPr>
        <sz val="10"/>
        <color rgb="FF000000"/>
        <rFont val="Arial"/>
        <family val="0"/>
        <charset val="1"/>
      </rPr>
      <t xml:space="preserve">η</t>
    </r>
    <r>
      <rPr>
        <sz val="10"/>
        <color rgb="FF000000"/>
        <rFont val="Noto Sans CJK SC"/>
        <family val="2"/>
      </rPr>
      <t xml:space="preserve">（參考組合 </t>
    </r>
    <r>
      <rPr>
        <sz val="10"/>
        <color rgb="FF000000"/>
        <rFont val="Arial"/>
        <family val="0"/>
        <charset val="1"/>
      </rPr>
      <t xml:space="preserve">token GW ÷ API </t>
    </r>
    <r>
      <rPr>
        <sz val="10"/>
        <color rgb="FF000000"/>
        <rFont val="Noto Sans CJK SC"/>
        <family val="2"/>
      </rPr>
      <t xml:space="preserve">銷售成本換算 </t>
    </r>
    <r>
      <rPr>
        <sz val="10"/>
        <color rgb="FF000000"/>
        <rFont val="Arial"/>
        <family val="0"/>
        <charset val="1"/>
      </rPr>
      <t xml:space="preserve">GW</t>
    </r>
    <r>
      <rPr>
        <sz val="10"/>
        <color rgb="FF000000"/>
        <rFont val="Noto Sans CJK SC"/>
        <family val="2"/>
      </rPr>
      <t xml:space="preserve">）</t>
    </r>
  </si>
  <si>
    <r>
      <rPr>
        <sz val="9"/>
        <color rgb="FF595959"/>
        <rFont val="Arial"/>
        <family val="0"/>
        <charset val="1"/>
      </rPr>
      <t xml:space="preserve">Z3b F3</t>
    </r>
    <r>
      <rPr>
        <sz val="9"/>
        <color rgb="FF595959"/>
        <rFont val="Noto Sans CJK SC"/>
        <family val="2"/>
      </rPr>
      <t xml:space="preserve">：只列</t>
    </r>
  </si>
  <si>
    <t xml:space="preserve">G96</t>
  </si>
  <si>
    <r>
      <rPr>
        <sz val="10"/>
        <color rgb="FF000000"/>
        <rFont val="Arial"/>
        <family val="0"/>
        <charset val="1"/>
      </rPr>
      <t xml:space="preserve">η</t>
    </r>
    <r>
      <rPr>
        <sz val="10"/>
        <color rgb="FF000000"/>
        <rFont val="Noto Sans CJK SC"/>
        <family val="2"/>
      </rPr>
      <t xml:space="preserve">（逐年）</t>
    </r>
  </si>
  <si>
    <r>
      <rPr>
        <sz val="9"/>
        <color rgb="FF595959"/>
        <rFont val="Arial"/>
        <family val="0"/>
        <charset val="1"/>
      </rPr>
      <t xml:space="preserve">Z3b F2</t>
    </r>
    <r>
      <rPr>
        <sz val="9"/>
        <color rgb="FF595959"/>
        <rFont val="Noto Sans CJK SC"/>
        <family val="2"/>
      </rPr>
      <t xml:space="preserve">：</t>
    </r>
    <r>
      <rPr>
        <sz val="9"/>
        <color rgb="FF595959"/>
        <rFont val="Arial"/>
        <family val="0"/>
        <charset val="1"/>
      </rPr>
      <t xml:space="preserve">2H26 </t>
    </r>
    <r>
      <rPr>
        <sz val="9"/>
        <color rgb="FF595959"/>
        <rFont val="Noto Sans CJK SC"/>
        <family val="2"/>
      </rPr>
      <t xml:space="preserve">起＝</t>
    </r>
    <r>
      <rPr>
        <sz val="9"/>
        <color rgb="FF595959"/>
        <rFont val="Arial"/>
        <family val="0"/>
        <charset val="1"/>
      </rPr>
      <t xml:space="preserve">η₁H₂₆</t>
    </r>
    <r>
      <rPr>
        <sz val="9"/>
        <color rgb="FF595959"/>
        <rFont val="Noto Sans CJK SC"/>
        <family val="2"/>
      </rPr>
      <t xml:space="preserve">＋開關 </t>
    </r>
    <r>
      <rPr>
        <sz val="9"/>
        <color rgb="FF595959"/>
        <rFont val="Arial"/>
        <family val="0"/>
        <charset val="1"/>
      </rPr>
      <t xml:space="preserve">×</t>
    </r>
    <r>
      <rPr>
        <sz val="9"/>
        <color rgb="FF595959"/>
        <rFont val="Noto Sans CJK SC"/>
        <family val="2"/>
      </rPr>
      <t xml:space="preserve">（目標 </t>
    </r>
    <r>
      <rPr>
        <sz val="9"/>
        <color rgb="FF595959"/>
        <rFont val="Arial"/>
        <family val="0"/>
        <charset val="1"/>
      </rPr>
      <t xml:space="preserve">1 − η₁H₂₆</t>
    </r>
    <r>
      <rPr>
        <sz val="9"/>
        <color rgb="FF595959"/>
        <rFont val="Noto Sans CJK SC"/>
        <family val="2"/>
      </rPr>
      <t xml:space="preserve">）</t>
    </r>
    <r>
      <rPr>
        <sz val="9"/>
        <color rgb="FF595959"/>
        <rFont val="Arial"/>
        <family val="0"/>
        <charset val="1"/>
      </rPr>
      <t xml:space="preserve">× </t>
    </r>
    <r>
      <rPr>
        <sz val="9"/>
        <color rgb="FF595959"/>
        <rFont val="Noto Sans CJK SC"/>
        <family val="2"/>
      </rPr>
      <t xml:space="preserve">進度；開關＝</t>
    </r>
    <r>
      <rPr>
        <sz val="9"/>
        <color rgb="FF595959"/>
        <rFont val="Arial"/>
        <family val="0"/>
        <charset val="1"/>
      </rPr>
      <t xml:space="preserve">η₁H₂₆≤1 </t>
    </r>
    <r>
      <rPr>
        <sz val="9"/>
        <color rgb="FF595959"/>
        <rFont val="Noto Sans CJK SC"/>
        <family val="2"/>
      </rPr>
      <t xml:space="preserve">時 </t>
    </r>
    <r>
      <rPr>
        <sz val="9"/>
        <color rgb="FF595959"/>
        <rFont val="Arial"/>
        <family val="0"/>
        <charset val="1"/>
      </rPr>
      <t xml:space="preserve">INP</t>
    </r>
    <r>
      <rPr>
        <sz val="9"/>
        <color rgb="FF595959"/>
        <rFont val="Noto Sans CJK SC"/>
        <family val="2"/>
      </rPr>
      <t xml:space="preserve">（回升，同 </t>
    </r>
    <r>
      <rPr>
        <sz val="9"/>
        <color rgb="FF595959"/>
        <rFont val="Arial"/>
        <family val="0"/>
        <charset val="1"/>
      </rPr>
      <t xml:space="preserve">OpenAI</t>
    </r>
    <r>
      <rPr>
        <sz val="9"/>
        <color rgb="FF595959"/>
        <rFont val="Noto Sans CJK SC"/>
        <family val="2"/>
      </rPr>
      <t xml:space="preserve">），</t>
    </r>
    <r>
      <rPr>
        <sz val="9"/>
        <color rgb="FF595959"/>
        <rFont val="Arial"/>
        <family val="0"/>
        <charset val="1"/>
      </rPr>
      <t xml:space="preserve">&gt;1 </t>
    </r>
    <r>
      <rPr>
        <sz val="9"/>
        <color rgb="FF595959"/>
        <rFont val="Noto Sans CJK SC"/>
        <family val="2"/>
      </rPr>
      <t xml:space="preserve">時 </t>
    </r>
    <r>
      <rPr>
        <sz val="9"/>
        <color rgb="FF595959"/>
        <rFont val="Arial"/>
        <family val="0"/>
        <charset val="1"/>
      </rPr>
      <t xml:space="preserve">INP</t>
    </r>
    <r>
      <rPr>
        <sz val="9"/>
        <color rgb="FF595959"/>
        <rFont val="Noto Sans CJK SC"/>
        <family val="2"/>
      </rPr>
      <t xml:space="preserve">（基準 </t>
    </r>
    <r>
      <rPr>
        <sz val="9"/>
        <color rgb="FF595959"/>
        <rFont val="Arial"/>
        <family val="0"/>
        <charset val="1"/>
      </rPr>
      <t xml:space="preserve">0</t>
    </r>
    <r>
      <rPr>
        <sz val="9"/>
        <color rgb="FF595959"/>
        <rFont val="Noto Sans CJK SC"/>
        <family val="2"/>
      </rPr>
      <t xml:space="preserve">＝沿用 </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＝收斂至 </t>
    </r>
    <r>
      <rPr>
        <sz val="9"/>
        <color rgb="FF595959"/>
        <rFont val="Arial"/>
        <family val="0"/>
        <charset val="1"/>
      </rPr>
      <t xml:space="preserve">1</t>
    </r>
    <r>
      <rPr>
        <sz val="9"/>
        <color rgb="FF595959"/>
        <rFont val="Noto Sans CJK SC"/>
        <family val="2"/>
      </rPr>
      <t xml:space="preserve">）；</t>
    </r>
    <r>
      <rPr>
        <sz val="9"/>
        <color rgb="FF595959"/>
        <rFont val="Arial"/>
        <family val="0"/>
        <charset val="1"/>
      </rPr>
      <t xml:space="preserve">E </t>
    </r>
    <r>
      <rPr>
        <sz val="9"/>
        <color rgb="FF595959"/>
        <rFont val="Noto Sans CJK SC"/>
        <family val="2"/>
      </rPr>
      <t xml:space="preserve">欄＝</t>
    </r>
    <r>
      <rPr>
        <sz val="9"/>
        <color rgb="FF595959"/>
        <rFont val="Arial"/>
        <family val="0"/>
        <charset val="1"/>
      </rPr>
      <t xml:space="preserve">token GW ÷ </t>
    </r>
    <r>
      <rPr>
        <sz val="9"/>
        <color rgb="FF595959"/>
        <rFont val="Noto Sans CJK SC"/>
        <family val="2"/>
      </rPr>
      <t xml:space="preserve">有效 </t>
    </r>
    <r>
      <rPr>
        <sz val="9"/>
        <color rgb="FF595959"/>
        <rFont val="Arial"/>
        <family val="0"/>
        <charset val="1"/>
      </rPr>
      <t xml:space="preserve">GW</t>
    </r>
  </si>
  <si>
    <t xml:space="preserve">G97</t>
  </si>
  <si>
    <r>
      <rPr>
        <sz val="10"/>
        <color rgb="FF000000"/>
        <rFont val="Noto Sans CJK SC"/>
        <family val="2"/>
      </rPr>
      <t xml:space="preserve">有效推論 </t>
    </r>
    <r>
      <rPr>
        <sz val="10"/>
        <color rgb="FF000000"/>
        <rFont val="Arial"/>
        <family val="0"/>
        <charset val="1"/>
      </rPr>
      <t xml:space="preserve">GW</t>
    </r>
    <r>
      <rPr>
        <sz val="10"/>
        <color rgb="FF000000"/>
        <rFont val="Noto Sans CJK SC"/>
        <family val="2"/>
      </rPr>
      <t xml:space="preserve">（未截頂）＝</t>
    </r>
    <r>
      <rPr>
        <sz val="10"/>
        <color rgb="FF000000"/>
        <rFont val="Arial"/>
        <family val="0"/>
        <charset val="1"/>
      </rPr>
      <t xml:space="preserve">token </t>
    </r>
    <r>
      <rPr>
        <sz val="10"/>
        <color rgb="FF000000"/>
        <rFont val="Noto Sans CJK SC"/>
        <family val="2"/>
      </rPr>
      <t xml:space="preserve">換算 </t>
    </r>
    <r>
      <rPr>
        <sz val="10"/>
        <color rgb="FF000000"/>
        <rFont val="Arial"/>
        <family val="0"/>
        <charset val="1"/>
      </rPr>
      <t xml:space="preserve">GW ÷ η</t>
    </r>
  </si>
  <si>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＝支出換算 </t>
    </r>
    <r>
      <rPr>
        <sz val="9"/>
        <color rgb="FF595959"/>
        <rFont val="Arial"/>
        <family val="0"/>
        <charset val="1"/>
      </rPr>
      <t xml:space="preserve">GW</t>
    </r>
    <r>
      <rPr>
        <sz val="9"/>
        <color rgb="FF595959"/>
        <rFont val="Noto Sans CJK SC"/>
        <family val="2"/>
      </rPr>
      <t xml:space="preserve">（校準恆等式）</t>
    </r>
  </si>
  <si>
    <r>
      <rPr>
        <b val="true"/>
        <sz val="10"/>
        <rFont val="Noto Sans CJK SC"/>
        <family val="2"/>
      </rPr>
      <t xml:space="preserve">八、供給 </t>
    </r>
    <r>
      <rPr>
        <b val="true"/>
        <sz val="10"/>
        <rFont val="Arial"/>
        <family val="0"/>
        <charset val="1"/>
      </rPr>
      <t xml:space="preserve">GW</t>
    </r>
    <r>
      <rPr>
        <b val="true"/>
        <sz val="10"/>
        <rFont val="Noto Sans CJK SC"/>
        <family val="2"/>
      </rPr>
      <t xml:space="preserve">：</t>
    </r>
    <r>
      <rPr>
        <b val="true"/>
        <sz val="10"/>
        <rFont val="Arial"/>
        <family val="0"/>
        <charset val="1"/>
      </rPr>
      <t xml:space="preserve">2025</t>
    </r>
    <r>
      <rPr>
        <b val="true"/>
        <sz val="10"/>
        <rFont val="Noto Sans CJK SC"/>
        <family val="2"/>
      </rPr>
      <t xml:space="preserve">、</t>
    </r>
    <r>
      <rPr>
        <b val="true"/>
        <sz val="10"/>
        <rFont val="Arial"/>
        <family val="0"/>
        <charset val="1"/>
      </rPr>
      <t xml:space="preserve">1H26</t>
    </r>
    <r>
      <rPr>
        <b val="true"/>
        <sz val="10"/>
        <rFont val="Noto Sans CJK SC"/>
        <family val="2"/>
      </rPr>
      <t xml:space="preserve">＝算力服務費 </t>
    </r>
    <r>
      <rPr>
        <b val="true"/>
        <sz val="10"/>
        <rFont val="Arial"/>
        <family val="0"/>
        <charset val="1"/>
      </rPr>
      <t xml:space="preserve">÷ </t>
    </r>
    <r>
      <rPr>
        <b val="true"/>
        <sz val="10"/>
        <rFont val="Noto Sans CJK SC"/>
        <family val="2"/>
      </rPr>
      <t xml:space="preserve">每 </t>
    </r>
    <r>
      <rPr>
        <b val="true"/>
        <sz val="10"/>
        <rFont val="Arial"/>
        <family val="0"/>
        <charset val="1"/>
      </rPr>
      <t xml:space="preserve">GW </t>
    </r>
    <r>
      <rPr>
        <b val="true"/>
        <sz val="10"/>
        <rFont val="Noto Sans CJK SC"/>
        <family val="2"/>
      </rPr>
      <t xml:space="preserve">價格（租用）；</t>
    </r>
    <r>
      <rPr>
        <b val="true"/>
        <sz val="10"/>
        <rFont val="Arial"/>
        <family val="0"/>
        <charset val="1"/>
      </rPr>
      <t xml:space="preserve">2H26 </t>
    </r>
    <r>
      <rPr>
        <b val="true"/>
        <sz val="10"/>
        <rFont val="Noto Sans CJK SC"/>
        <family val="2"/>
      </rPr>
      <t xml:space="preserve">起＝有效推論 </t>
    </r>
    <r>
      <rPr>
        <b val="true"/>
        <sz val="10"/>
        <rFont val="Arial"/>
        <family val="0"/>
        <charset val="1"/>
      </rPr>
      <t xml:space="preserve">GW ÷</t>
    </r>
    <r>
      <rPr>
        <b val="true"/>
        <sz val="10"/>
        <rFont val="Noto Sans CJK SC"/>
        <family val="2"/>
      </rPr>
      <t xml:space="preserve">［</t>
    </r>
    <r>
      <rPr>
        <b val="true"/>
        <sz val="10"/>
        <rFont val="Arial"/>
        <family val="0"/>
        <charset val="1"/>
      </rPr>
      <t xml:space="preserve">(1−</t>
    </r>
    <r>
      <rPr>
        <b val="true"/>
        <sz val="10"/>
        <rFont val="Noto Sans CJK SC"/>
        <family val="2"/>
      </rPr>
      <t xml:space="preserve">閒置</t>
    </r>
    <r>
      <rPr>
        <b val="true"/>
        <sz val="10"/>
        <rFont val="Arial"/>
        <family val="0"/>
        <charset val="1"/>
      </rPr>
      <t xml:space="preserve">)×(1−</t>
    </r>
    <r>
      <rPr>
        <b val="true"/>
        <sz val="10"/>
        <rFont val="Noto Sans CJK SC"/>
        <family val="2"/>
      </rPr>
      <t xml:space="preserve">研發占比</t>
    </r>
    <r>
      <rPr>
        <b val="true"/>
        <sz val="10"/>
        <rFont val="Arial"/>
        <family val="0"/>
        <charset val="1"/>
      </rPr>
      <t xml:space="preserve">)</t>
    </r>
    <r>
      <rPr>
        <b val="true"/>
        <sz val="10"/>
        <rFont val="Noto Sans CJK SC"/>
        <family val="2"/>
      </rPr>
      <t xml:space="preserve">］（依需求配置）；自有 </t>
    </r>
    <r>
      <rPr>
        <b val="true"/>
        <sz val="10"/>
        <rFont val="Arial"/>
        <family val="0"/>
        <charset val="1"/>
      </rPr>
      <t xml:space="preserve">GW </t>
    </r>
    <r>
      <rPr>
        <b val="true"/>
        <sz val="10"/>
        <rFont val="Noto Sans CJK SC"/>
        <family val="2"/>
      </rPr>
      <t xml:space="preserve">依資本支出（</t>
    </r>
    <r>
      <rPr>
        <b val="true"/>
        <sz val="10"/>
        <rFont val="Arial"/>
        <family val="0"/>
        <charset val="1"/>
      </rPr>
      <t xml:space="preserve">D11r </t>
    </r>
    <r>
      <rPr>
        <b val="true"/>
        <sz val="10"/>
        <rFont val="Noto Sans CJK SC"/>
        <family val="2"/>
      </rPr>
      <t xml:space="preserve">基準 </t>
    </r>
    <r>
      <rPr>
        <b val="true"/>
        <sz val="10"/>
        <rFont val="Arial"/>
        <family val="0"/>
        <charset val="1"/>
      </rPr>
      <t xml:space="preserve">0</t>
    </r>
    <r>
      <rPr>
        <b val="true"/>
        <sz val="10"/>
        <rFont val="Noto Sans CJK SC"/>
        <family val="2"/>
      </rPr>
      <t xml:space="preserve">）</t>
    </r>
  </si>
  <si>
    <t xml:space="preserve">G98</t>
  </si>
  <si>
    <t xml:space="preserve">研發占非閒置供給比例（路徑）</t>
  </si>
  <si>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＝研發 </t>
    </r>
    <r>
      <rPr>
        <sz val="9"/>
        <color rgb="FF595959"/>
        <rFont val="Arial"/>
        <family val="0"/>
        <charset val="1"/>
      </rPr>
      <t xml:space="preserve">GW </t>
    </r>
    <r>
      <rPr>
        <sz val="9"/>
        <color rgb="FF595959"/>
        <rFont val="Noto Sans CJK SC"/>
        <family val="2"/>
      </rPr>
      <t xml:space="preserve">殘差 </t>
    </r>
    <r>
      <rPr>
        <sz val="9"/>
        <color rgb="FF595959"/>
        <rFont val="Arial"/>
        <family val="0"/>
        <charset val="1"/>
      </rPr>
      <t xml:space="preserve">÷ </t>
    </r>
    <r>
      <rPr>
        <sz val="9"/>
        <color rgb="FF595959"/>
        <rFont val="Noto Sans CJK SC"/>
        <family val="2"/>
      </rPr>
      <t xml:space="preserve">供給（</t>
    </r>
    <r>
      <rPr>
        <sz val="9"/>
        <color rgb="FF595959"/>
        <rFont val="Arial"/>
        <family val="0"/>
        <charset val="1"/>
      </rPr>
      <t xml:space="preserve">r2 P1</t>
    </r>
    <r>
      <rPr>
        <sz val="9"/>
        <color rgb="FF595959"/>
        <rFont val="Noto Sans CJK SC"/>
        <family val="2"/>
      </rPr>
      <t xml:space="preserve">；</t>
    </r>
    <r>
      <rPr>
        <sz val="9"/>
        <color rgb="FF595959"/>
        <rFont val="Arial"/>
        <family val="0"/>
        <charset val="1"/>
      </rPr>
      <t xml:space="preserve">η </t>
    </r>
    <r>
      <rPr>
        <sz val="9"/>
        <color rgb="FF595959"/>
        <rFont val="Noto Sans CJK SC"/>
        <family val="2"/>
      </rPr>
      <t xml:space="preserve">上調時＝訓練最低占比；</t>
    </r>
    <r>
      <rPr>
        <sz val="9"/>
        <color rgb="FF595959"/>
        <rFont val="Arial"/>
        <family val="0"/>
        <charset val="1"/>
      </rPr>
      <t xml:space="preserve">Z3–Z5b </t>
    </r>
    <r>
      <rPr>
        <sz val="9"/>
        <color rgb="FF595959"/>
        <rFont val="Noto Sans CJK SC"/>
        <family val="2"/>
      </rPr>
      <t xml:space="preserve">為會計科目占比）；</t>
    </r>
    <r>
      <rPr>
        <sz val="9"/>
        <color rgb="FF595959"/>
        <rFont val="Arial"/>
        <family val="0"/>
        <charset val="1"/>
      </rPr>
      <t xml:space="preserve">2H26 </t>
    </r>
    <r>
      <rPr>
        <sz val="9"/>
        <color rgb="FF595959"/>
        <rFont val="Noto Sans CJK SC"/>
        <family val="2"/>
      </rPr>
      <t xml:space="preserve">起＝</t>
    </r>
    <r>
      <rPr>
        <sz val="9"/>
        <color rgb="FF595959"/>
        <rFont val="Arial"/>
        <family val="0"/>
        <charset val="1"/>
      </rPr>
      <t xml:space="preserve">1H26 </t>
    </r>
    <r>
      <rPr>
        <sz val="9"/>
        <color rgb="FF595959"/>
        <rFont val="Noto Sans CJK SC"/>
        <family val="2"/>
      </rPr>
      <t xml:space="preserve">值＋開關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2030 </t>
    </r>
    <r>
      <rPr>
        <sz val="9"/>
        <color rgb="FF595959"/>
        <rFont val="Noto Sans CJK SC"/>
        <family val="2"/>
      </rPr>
      <t xml:space="preserve">目標 − </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 </t>
    </r>
    <r>
      <rPr>
        <sz val="9"/>
        <color rgb="FF595959"/>
        <rFont val="Noto Sans CJK SC"/>
        <family val="2"/>
      </rPr>
      <t xml:space="preserve">進度；開關 </t>
    </r>
    <r>
      <rPr>
        <sz val="9"/>
        <color rgb="FF595959"/>
        <rFont val="Arial"/>
        <family val="0"/>
        <charset val="1"/>
      </rPr>
      <t xml:space="preserve">0</t>
    </r>
    <r>
      <rPr>
        <sz val="9"/>
        <color rgb="FF595959"/>
        <rFont val="Noto Sans CJK SC"/>
        <family val="2"/>
      </rPr>
      <t xml:space="preserve">（基準）＝沿用 </t>
    </r>
    <r>
      <rPr>
        <sz val="9"/>
        <color rgb="FF595959"/>
        <rFont val="Arial"/>
        <family val="0"/>
        <charset val="1"/>
      </rPr>
      <t xml:space="preserve">1H26</t>
    </r>
  </si>
  <si>
    <t xml:space="preserve">G99</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</si>
  <si>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資本支出（國產；</t>
    </r>
    <r>
      <rPr>
        <sz val="10"/>
        <color rgb="FF000000"/>
        <rFont val="Arial"/>
        <family val="0"/>
        <charset val="1"/>
      </rPr>
      <t xml:space="preserve">IT</t>
    </r>
    <r>
      <rPr>
        <sz val="10"/>
        <color rgb="FF000000"/>
        <rFont val="Noto Sans CJK SC"/>
        <family val="2"/>
      </rPr>
      <t xml:space="preserve">＋廠房）</t>
    </r>
  </si>
  <si>
    <r>
      <rPr>
        <sz val="10"/>
        <color rgb="FF000000"/>
        <rFont val="Arial"/>
        <family val="0"/>
        <charset val="1"/>
      </rPr>
      <t xml:space="preserve">RMB </t>
    </r>
    <r>
      <rPr>
        <sz val="10"/>
        <color rgb="FF000000"/>
        <rFont val="Noto Sans CJK SC"/>
        <family val="2"/>
      </rPr>
      <t xml:space="preserve">億／</t>
    </r>
    <r>
      <rPr>
        <sz val="10"/>
        <color rgb="FF000000"/>
        <rFont val="Arial"/>
        <family val="0"/>
        <charset val="1"/>
      </rPr>
      <t xml:space="preserve">GW</t>
    </r>
  </si>
  <si>
    <r>
      <rPr>
        <sz val="9"/>
        <color rgb="FF595959"/>
        <rFont val="Arial"/>
        <family val="0"/>
        <charset val="1"/>
      </rPr>
      <t xml:space="preserve">TK IF_CapexTotal</t>
    </r>
    <r>
      <rPr>
        <sz val="9"/>
        <color rgb="FF595959"/>
        <rFont val="Noto Sans CJK SC"/>
        <family val="2"/>
      </rPr>
      <t xml:space="preserve">（</t>
    </r>
    <r>
      <rPr>
        <sz val="9"/>
        <color rgb="FF595959"/>
        <rFont val="Arial"/>
        <family val="0"/>
        <charset val="1"/>
      </rPr>
      <t xml:space="preserve">Hopper </t>
    </r>
    <r>
      <rPr>
        <sz val="9"/>
        <color rgb="FF595959"/>
        <rFont val="Noto Sans CJK SC"/>
        <family val="2"/>
      </rPr>
      <t xml:space="preserve">基準欄，</t>
    </r>
    <r>
      <rPr>
        <sz val="9"/>
        <color rgb="FF595959"/>
        <rFont val="Arial"/>
        <family val="0"/>
        <charset val="1"/>
      </rPr>
      <t xml:space="preserve">$B/GW</t>
    </r>
    <r>
      <rPr>
        <sz val="9"/>
        <color rgb="FF595959"/>
        <rFont val="Noto Sans CJK SC"/>
        <family val="2"/>
      </rPr>
      <t xml:space="preserve">）</t>
    </r>
    <r>
      <rPr>
        <sz val="9"/>
        <color rgb="FF595959"/>
        <rFont val="Arial"/>
        <family val="0"/>
        <charset val="1"/>
      </rPr>
      <t xml:space="preserve">× </t>
    </r>
    <r>
      <rPr>
        <sz val="9"/>
        <color rgb="FF595959"/>
        <rFont val="Noto Sans CJK SC"/>
        <family val="2"/>
      </rPr>
      <t xml:space="preserve">國產持有比 </t>
    </r>
    <r>
      <rPr>
        <sz val="9"/>
        <color rgb="FF595959"/>
        <rFont val="Arial"/>
        <family val="0"/>
        <charset val="1"/>
      </rPr>
      <t xml:space="preserve">× USD/CNY × 10</t>
    </r>
    <r>
      <rPr>
        <sz val="9"/>
        <color rgb="FF595959"/>
        <rFont val="Noto Sans CJK SC"/>
        <family val="2"/>
      </rPr>
      <t xml:space="preserve">（</t>
    </r>
    <r>
      <rPr>
        <sz val="9"/>
        <color rgb="FF595959"/>
        <rFont val="Arial"/>
        <family val="0"/>
        <charset val="1"/>
      </rPr>
      <t xml:space="preserve">D11</t>
    </r>
    <r>
      <rPr>
        <sz val="9"/>
        <color rgb="FF595959"/>
        <rFont val="Noto Sans CJK SC"/>
        <family val="2"/>
      </rPr>
      <t xml:space="preserve">）</t>
    </r>
  </si>
  <si>
    <t xml:space="preserve">G100</t>
  </si>
  <si>
    <r>
      <rPr>
        <sz val="10"/>
        <color rgb="FF000000"/>
        <rFont val="Noto Sans CJK SC"/>
        <family val="2"/>
      </rPr>
      <t xml:space="preserve">自有資本支出：</t>
    </r>
    <r>
      <rPr>
        <sz val="10"/>
        <color rgb="FF000000"/>
        <rFont val="Arial"/>
        <family val="0"/>
        <charset val="1"/>
      </rPr>
      <t xml:space="preserve">1 GW </t>
    </r>
    <r>
      <rPr>
        <sz val="10"/>
        <color rgb="FF000000"/>
        <rFont val="Noto Sans CJK SC"/>
        <family val="2"/>
      </rPr>
      <t xml:space="preserve">資料中心情境</t>
    </r>
  </si>
  <si>
    <r>
      <rPr>
        <sz val="9"/>
        <color rgb="FF595959"/>
        <rFont val="Noto Sans CJK SC"/>
        <family val="2"/>
      </rPr>
      <t xml:space="preserve">開關 </t>
    </r>
    <r>
      <rPr>
        <sz val="9"/>
        <color rgb="FF595959"/>
        <rFont val="Arial"/>
        <family val="0"/>
        <charset val="1"/>
      </rPr>
      <t xml:space="preserve">× 1 GW</t>
    </r>
    <r>
      <rPr>
        <sz val="9"/>
        <color rgb="FF595959"/>
        <rFont val="Noto Sans CJK SC"/>
        <family val="2"/>
      </rPr>
      <t xml:space="preserve">（</t>
    </r>
    <r>
      <rPr>
        <sz val="9"/>
        <color rgb="FF595959"/>
        <rFont val="Arial"/>
        <family val="0"/>
        <charset val="1"/>
      </rPr>
      <t xml:space="preserve">SRC_ZP_458</t>
    </r>
    <r>
      <rPr>
        <sz val="9"/>
        <color rgb="FF595959"/>
        <rFont val="Noto Sans CJK SC"/>
        <family val="2"/>
      </rPr>
      <t xml:space="preserve">，口徑未明→視為設施）</t>
    </r>
    <r>
      <rPr>
        <sz val="9"/>
        <color rgb="FF595959"/>
        <rFont val="Arial"/>
        <family val="0"/>
        <charset val="1"/>
      </rPr>
      <t xml:space="preserve">÷ PUE × </t>
    </r>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資本支出；計入投產前一年（</t>
    </r>
    <r>
      <rPr>
        <sz val="9"/>
        <color rgb="FF595959"/>
        <rFont val="Arial"/>
        <family val="0"/>
        <charset val="1"/>
      </rPr>
      <t xml:space="preserve">D11r</t>
    </r>
    <r>
      <rPr>
        <sz val="9"/>
        <color rgb="FF595959"/>
        <rFont val="Noto Sans CJK SC"/>
        <family val="2"/>
      </rPr>
      <t xml:space="preserve">：基準關）</t>
    </r>
  </si>
  <si>
    <t xml:space="preserve">G101</t>
  </si>
  <si>
    <t xml:space="preserve">自有資本支出：其他</t>
  </si>
  <si>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D11r</t>
    </r>
    <r>
      <rPr>
        <sz val="9"/>
        <color rgb="FF595959"/>
        <rFont val="Noto Sans CJK SC"/>
        <family val="2"/>
      </rPr>
      <t xml:space="preserve">：基準 </t>
    </r>
    <r>
      <rPr>
        <sz val="9"/>
        <color rgb="FF595959"/>
        <rFont val="Arial"/>
        <family val="0"/>
        <charset val="1"/>
      </rPr>
      <t xml:space="preserve">0</t>
    </r>
    <r>
      <rPr>
        <sz val="9"/>
        <color rgb="FF595959"/>
        <rFont val="Noto Sans CJK SC"/>
        <family val="2"/>
      </rPr>
      <t xml:space="preserve">）</t>
    </r>
  </si>
  <si>
    <t xml:space="preserve">G102</t>
  </si>
  <si>
    <t xml:space="preserve">自有資本支出合計</t>
  </si>
  <si>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2026 </t>
    </r>
    <r>
      <rPr>
        <sz val="9"/>
        <color rgb="FF595959"/>
        <rFont val="Noto Sans CJK SC"/>
        <family val="2"/>
      </rPr>
      <t xml:space="preserve">無（</t>
    </r>
    <r>
      <rPr>
        <sz val="9"/>
        <color rgb="FF595959"/>
        <rFont val="Arial"/>
        <family val="0"/>
        <charset val="1"/>
      </rPr>
      <t xml:space="preserve">1H26 </t>
    </r>
    <r>
      <rPr>
        <sz val="9"/>
        <color rgb="FF595959"/>
        <rFont val="Noto Sans CJK SC"/>
        <family val="2"/>
      </rPr>
      <t xml:space="preserve">資本開支為辦公樓，</t>
    </r>
    <r>
      <rPr>
        <sz val="9"/>
        <color rgb="FF595959"/>
        <rFont val="Arial"/>
        <family val="0"/>
        <charset val="1"/>
      </rPr>
      <t xml:space="preserve">D11r</t>
    </r>
    <r>
      <rPr>
        <sz val="9"/>
        <color rgb="FF595959"/>
        <rFont val="Noto Sans CJK SC"/>
        <family val="2"/>
      </rPr>
      <t xml:space="preserve">）</t>
    </r>
  </si>
  <si>
    <t xml:space="preserve">G103</t>
  </si>
  <si>
    <r>
      <rPr>
        <sz val="10"/>
        <color rgb="FF000000"/>
        <rFont val="Noto Sans CJK SC"/>
        <family val="2"/>
      </rPr>
      <t xml:space="preserve">自有 </t>
    </r>
    <r>
      <rPr>
        <sz val="10"/>
        <color rgb="FF000000"/>
        <rFont val="Arial"/>
        <family val="0"/>
        <charset val="1"/>
      </rPr>
      <t xml:space="preserve">GW</t>
    </r>
    <r>
      <rPr>
        <sz val="10"/>
        <color rgb="FF000000"/>
        <rFont val="Noto Sans CJK SC"/>
        <family val="2"/>
      </rPr>
      <t xml:space="preserve">＝至前一年累計自有資本支出 </t>
    </r>
    <r>
      <rPr>
        <sz val="10"/>
        <color rgb="FF000000"/>
        <rFont val="Arial"/>
        <family val="0"/>
        <charset val="1"/>
      </rPr>
      <t xml:space="preserve">÷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資本支出</t>
    </r>
  </si>
  <si>
    <r>
      <rPr>
        <sz val="9"/>
        <color rgb="FF595959"/>
        <rFont val="Noto Sans CJK SC"/>
        <family val="2"/>
      </rPr>
      <t xml:space="preserve">落後一年投產（同 </t>
    </r>
    <r>
      <rPr>
        <sz val="9"/>
        <color rgb="FF595959"/>
        <rFont val="Arial"/>
        <family val="0"/>
        <charset val="1"/>
      </rPr>
      <t xml:space="preserve">OpenAI v0.6 </t>
    </r>
    <r>
      <rPr>
        <sz val="9"/>
        <color rgb="FF595959"/>
        <rFont val="Noto Sans CJK SC"/>
        <family val="2"/>
      </rPr>
      <t xml:space="preserve">第十三節）</t>
    </r>
  </si>
  <si>
    <t xml:space="preserve">G104</t>
  </si>
  <si>
    <r>
      <rPr>
        <sz val="10"/>
        <color rgb="FF000000"/>
        <rFont val="Noto Sans CJK SC"/>
        <family val="2"/>
      </rPr>
      <t xml:space="preserve">供給 </t>
    </r>
    <r>
      <rPr>
        <sz val="10"/>
        <color rgb="FF000000"/>
        <rFont val="Arial"/>
        <family val="0"/>
        <charset val="1"/>
      </rPr>
      <t xml:space="preserve">GW</t>
    </r>
    <r>
      <rPr>
        <sz val="10"/>
        <color rgb="FF000000"/>
        <rFont val="Noto Sans CJK SC"/>
        <family val="2"/>
      </rPr>
      <t xml:space="preserve">（租用＋自有）</t>
    </r>
  </si>
  <si>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：算力服務費 </t>
    </r>
    <r>
      <rPr>
        <sz val="9"/>
        <color rgb="FF595959"/>
        <rFont val="Arial"/>
        <family val="0"/>
        <charset val="1"/>
      </rPr>
      <t xml:space="preserve">÷</t>
    </r>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價格 </t>
    </r>
    <r>
      <rPr>
        <sz val="9"/>
        <color rgb="FF595959"/>
        <rFont val="Arial"/>
        <family val="0"/>
        <charset val="1"/>
      </rPr>
      <t xml:space="preserve">× </t>
    </r>
    <r>
      <rPr>
        <sz val="9"/>
        <color rgb="FF595959"/>
        <rFont val="Noto Sans CJK SC"/>
        <family val="2"/>
      </rPr>
      <t xml:space="preserve">期間比例）；之後：有效推論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閒置</t>
    </r>
    <r>
      <rPr>
        <sz val="9"/>
        <color rgb="FF595959"/>
        <rFont val="Arial"/>
        <family val="0"/>
        <charset val="1"/>
      </rPr>
      <t xml:space="preserve">)(1−</t>
    </r>
    <r>
      <rPr>
        <sz val="9"/>
        <color rgb="FF595959"/>
        <rFont val="Noto Sans CJK SC"/>
        <family val="2"/>
      </rPr>
      <t xml:space="preserve">研發占比</t>
    </r>
    <r>
      <rPr>
        <sz val="9"/>
        <color rgb="FF595959"/>
        <rFont val="Arial"/>
        <family val="0"/>
        <charset val="1"/>
      </rPr>
      <t xml:space="preserve">)</t>
    </r>
    <r>
      <rPr>
        <sz val="9"/>
        <color rgb="FF595959"/>
        <rFont val="Noto Sans CJK SC"/>
        <family val="2"/>
      </rPr>
      <t xml:space="preserve">］，且不低於自有 </t>
    </r>
    <r>
      <rPr>
        <sz val="9"/>
        <color rgb="FF595959"/>
        <rFont val="Arial"/>
        <family val="0"/>
        <charset val="1"/>
      </rPr>
      <t xml:space="preserve">GW</t>
    </r>
  </si>
  <si>
    <t xml:space="preserve">G105</t>
  </si>
  <si>
    <r>
      <rPr>
        <sz val="10"/>
        <color rgb="FF000000"/>
        <rFont val="Noto Sans CJK SC"/>
        <family val="2"/>
      </rPr>
      <t xml:space="preserve">租用 </t>
    </r>
    <r>
      <rPr>
        <sz val="10"/>
        <color rgb="FF000000"/>
        <rFont val="Arial"/>
        <family val="0"/>
        <charset val="1"/>
      </rPr>
      <t xml:space="preserve">GW</t>
    </r>
    <r>
      <rPr>
        <sz val="10"/>
        <color rgb="FF000000"/>
        <rFont val="Noto Sans CJK SC"/>
        <family val="2"/>
      </rPr>
      <t xml:space="preserve">＝供給 − 自有</t>
    </r>
  </si>
  <si>
    <t xml:space="preserve">G106</t>
  </si>
  <si>
    <r>
      <rPr>
        <sz val="10"/>
        <color rgb="FF000000"/>
        <rFont val="Noto Sans CJK SC"/>
        <family val="2"/>
      </rPr>
      <t xml:space="preserve">閒置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2H26 </t>
    </r>
    <r>
      <rPr>
        <sz val="10"/>
        <color rgb="FF000000"/>
        <rFont val="Noto Sans CJK SC"/>
        <family val="2"/>
      </rPr>
      <t xml:space="preserve">起）</t>
    </r>
  </si>
  <si>
    <r>
      <rPr>
        <sz val="9"/>
        <color rgb="FF595959"/>
        <rFont val="Arial"/>
        <family val="0"/>
        <charset val="1"/>
      </rPr>
      <t xml:space="preserve">OpenAI v0.6</t>
    </r>
    <r>
      <rPr>
        <sz val="9"/>
        <color rgb="FF595959"/>
        <rFont val="Noto Sans CJK SC"/>
        <family val="2"/>
      </rPr>
      <t xml:space="preserve">：閒置保留自校準期後起算；校準期的閒置含在研發殘差內</t>
    </r>
  </si>
  <si>
    <r>
      <rPr>
        <b val="true"/>
        <sz val="10"/>
        <rFont val="Noto Sans CJK SC"/>
        <family val="2"/>
      </rPr>
      <t xml:space="preserve">九、容量上限（</t>
    </r>
    <r>
      <rPr>
        <b val="true"/>
        <sz val="10"/>
        <rFont val="Arial"/>
        <family val="0"/>
        <charset val="1"/>
      </rPr>
      <t xml:space="preserve">V1a </t>
    </r>
    <r>
      <rPr>
        <b val="true"/>
        <sz val="10"/>
        <rFont val="Noto Sans CJK SC"/>
        <family val="2"/>
      </rPr>
      <t xml:space="preserve">同式）、研發 </t>
    </r>
    <r>
      <rPr>
        <b val="true"/>
        <sz val="10"/>
        <rFont val="Arial"/>
        <family val="0"/>
        <charset val="1"/>
      </rPr>
      <t xml:space="preserve">GW</t>
    </r>
    <r>
      <rPr>
        <b val="true"/>
        <sz val="10"/>
        <rFont val="Noto Sans CJK SC"/>
        <family val="2"/>
      </rPr>
      <t xml:space="preserve">（殘差，</t>
    </r>
    <r>
      <rPr>
        <b val="true"/>
        <sz val="10"/>
        <rFont val="Arial"/>
        <family val="0"/>
        <charset val="1"/>
      </rPr>
      <t xml:space="preserve">D12</t>
    </r>
    <r>
      <rPr>
        <b val="true"/>
        <sz val="10"/>
        <rFont val="Noto Sans CJK SC"/>
        <family val="2"/>
      </rPr>
      <t xml:space="preserve">）與總需求 </t>
    </r>
    <r>
      <rPr>
        <b val="true"/>
        <sz val="10"/>
        <rFont val="Arial"/>
        <family val="0"/>
        <charset val="1"/>
      </rPr>
      <t xml:space="preserve">GW</t>
    </r>
  </si>
  <si>
    <t xml:space="preserve">G107</t>
  </si>
  <si>
    <r>
      <rPr>
        <sz val="10"/>
        <color rgb="FF000000"/>
        <rFont val="Noto Sans CJK SC"/>
        <family val="2"/>
      </rPr>
      <t xml:space="preserve">推論可用 </t>
    </r>
    <r>
      <rPr>
        <sz val="10"/>
        <color rgb="FF000000"/>
        <rFont val="Arial"/>
        <family val="0"/>
        <charset val="1"/>
      </rPr>
      <t xml:space="preserve">GW</t>
    </r>
    <r>
      <rPr>
        <sz val="10"/>
        <color rgb="FF000000"/>
        <rFont val="Noto Sans CJK SC"/>
        <family val="2"/>
      </rPr>
      <t xml:space="preserve">＝供給 </t>
    </r>
    <r>
      <rPr>
        <sz val="10"/>
        <color rgb="FF000000"/>
        <rFont val="Arial"/>
        <family val="0"/>
        <charset val="1"/>
      </rPr>
      <t xml:space="preserve">×</t>
    </r>
    <r>
      <rPr>
        <sz val="10"/>
        <color rgb="FF000000"/>
        <rFont val="Noto Sans CJK SC"/>
        <family val="2"/>
      </rPr>
      <t xml:space="preserve">（</t>
    </r>
    <r>
      <rPr>
        <sz val="10"/>
        <color rgb="FF000000"/>
        <rFont val="Arial"/>
        <family val="0"/>
        <charset val="1"/>
      </rPr>
      <t xml:space="preserve">1−</t>
    </r>
    <r>
      <rPr>
        <sz val="10"/>
        <color rgb="FF000000"/>
        <rFont val="Noto Sans CJK SC"/>
        <family val="2"/>
      </rPr>
      <t xml:space="preserve">閒置）</t>
    </r>
    <r>
      <rPr>
        <sz val="10"/>
        <color rgb="FF000000"/>
        <rFont val="Arial"/>
        <family val="0"/>
        <charset val="1"/>
      </rPr>
      <t xml:space="preserve">×</t>
    </r>
    <r>
      <rPr>
        <sz val="10"/>
        <color rgb="FF000000"/>
        <rFont val="Noto Sans CJK SC"/>
        <family val="2"/>
      </rPr>
      <t xml:space="preserve">（</t>
    </r>
    <r>
      <rPr>
        <sz val="10"/>
        <color rgb="FF000000"/>
        <rFont val="Arial"/>
        <family val="0"/>
        <charset val="1"/>
      </rPr>
      <t xml:space="preserve">1−</t>
    </r>
    <r>
      <rPr>
        <sz val="10"/>
        <color rgb="FF000000"/>
        <rFont val="Noto Sans CJK SC"/>
        <family val="2"/>
      </rPr>
      <t xml:space="preserve">訓練最低占比）</t>
    </r>
  </si>
  <si>
    <t xml:space="preserve">G108</t>
  </si>
  <si>
    <r>
      <rPr>
        <sz val="10"/>
        <color rgb="FF000000"/>
        <rFont val="Noto Sans CJK SC"/>
        <family val="2"/>
      </rPr>
      <t xml:space="preserve">推論 </t>
    </r>
    <r>
      <rPr>
        <sz val="10"/>
        <color rgb="FF000000"/>
        <rFont val="Arial"/>
        <family val="0"/>
        <charset val="1"/>
      </rPr>
      <t xml:space="preserve">GW</t>
    </r>
    <r>
      <rPr>
        <sz val="10"/>
        <color rgb="FF000000"/>
        <rFont val="Noto Sans CJK SC"/>
        <family val="2"/>
      </rPr>
      <t xml:space="preserve">（截頂後）</t>
    </r>
  </si>
  <si>
    <r>
      <rPr>
        <sz val="9"/>
        <color rgb="FF595959"/>
        <rFont val="Noto Sans CJK SC"/>
        <family val="2"/>
      </rPr>
      <t xml:space="preserve">校準期＝有效推論（營收＝實際）；之後＝</t>
    </r>
    <r>
      <rPr>
        <sz val="9"/>
        <color rgb="FF595959"/>
        <rFont val="Arial"/>
        <family val="0"/>
        <charset val="1"/>
      </rPr>
      <t xml:space="preserve">MIN</t>
    </r>
    <r>
      <rPr>
        <sz val="9"/>
        <color rgb="FF595959"/>
        <rFont val="Noto Sans CJK SC"/>
        <family val="2"/>
      </rPr>
      <t xml:space="preserve">（可用</t>
    </r>
    <r>
      <rPr>
        <sz val="9"/>
        <color rgb="FF595959"/>
        <rFont val="Arial"/>
        <family val="0"/>
        <charset val="1"/>
      </rPr>
      <t xml:space="preserve">, </t>
    </r>
    <r>
      <rPr>
        <sz val="9"/>
        <color rgb="FF595959"/>
        <rFont val="Noto Sans CJK SC"/>
        <family val="2"/>
      </rPr>
      <t xml:space="preserve">有效）；研發占比 ≥ 訓練最低占比時供給依需求配置、必然足夠，直接取有效推論（</t>
    </r>
    <r>
      <rPr>
        <sz val="9"/>
        <color rgb="FF595959"/>
        <rFont val="Arial"/>
        <family val="0"/>
        <charset val="1"/>
      </rPr>
      <t xml:space="preserve">r2</t>
    </r>
    <r>
      <rPr>
        <sz val="9"/>
        <color rgb="FF595959"/>
        <rFont val="Noto Sans CJK SC"/>
        <family val="2"/>
      </rPr>
      <t xml:space="preserve">：避免浮點誤差翻轉缺口旗標）</t>
    </r>
  </si>
  <si>
    <t xml:space="preserve">G109</t>
  </si>
  <si>
    <r>
      <rPr>
        <sz val="10"/>
        <color rgb="FF000000"/>
        <rFont val="Noto Sans CJK SC"/>
        <family val="2"/>
      </rPr>
      <t xml:space="preserve">容量上限係數（</t>
    </r>
    <r>
      <rPr>
        <sz val="10"/>
        <color rgb="FF000000"/>
        <rFont val="Arial"/>
        <family val="0"/>
        <charset val="1"/>
      </rPr>
      <t xml:space="preserve">1</t>
    </r>
    <r>
      <rPr>
        <sz val="10"/>
        <color rgb="FF000000"/>
        <rFont val="Noto Sans CJK SC"/>
        <family val="2"/>
      </rPr>
      <t xml:space="preserve">＝未受限）</t>
    </r>
  </si>
  <si>
    <r>
      <rPr>
        <sz val="9"/>
        <color rgb="FF595959"/>
        <rFont val="Arial"/>
        <family val="0"/>
        <charset val="1"/>
      </rPr>
      <t xml:space="preserve">Revenue </t>
    </r>
    <r>
      <rPr>
        <sz val="9"/>
        <color rgb="FF595959"/>
        <rFont val="Noto Sans CJK SC"/>
        <family val="2"/>
      </rPr>
      <t xml:space="preserve">容量上限列引用（只回乘雲端營收）</t>
    </r>
  </si>
  <si>
    <t xml:space="preserve">G110</t>
  </si>
  <si>
    <r>
      <rPr>
        <sz val="10"/>
        <color rgb="FF000000"/>
        <rFont val="Noto Sans CJK SC"/>
        <family val="2"/>
      </rPr>
      <t xml:space="preserve">缺口旗標（</t>
    </r>
    <r>
      <rPr>
        <sz val="10"/>
        <color rgb="FF000000"/>
        <rFont val="Arial"/>
        <family val="0"/>
        <charset val="1"/>
      </rPr>
      <t xml:space="preserve">1</t>
    </r>
    <r>
      <rPr>
        <sz val="10"/>
        <color rgb="FF000000"/>
        <rFont val="Noto Sans CJK SC"/>
        <family val="2"/>
      </rPr>
      <t xml:space="preserve">＝需求超過可用 </t>
    </r>
    <r>
      <rPr>
        <sz val="10"/>
        <color rgb="FF000000"/>
        <rFont val="Arial"/>
        <family val="0"/>
        <charset val="1"/>
      </rPr>
      <t xml:space="preserve">GW</t>
    </r>
    <r>
      <rPr>
        <sz val="10"/>
        <color rgb="FF000000"/>
        <rFont val="Noto Sans CJK SC"/>
        <family val="2"/>
      </rPr>
      <t xml:space="preserve">）</t>
    </r>
  </si>
  <si>
    <t xml:space="preserve">旗標</t>
  </si>
  <si>
    <t xml:space="preserve">不自動假設新增算力</t>
  </si>
  <si>
    <t xml:space="preserve">G111</t>
  </si>
  <si>
    <r>
      <rPr>
        <sz val="10"/>
        <color rgb="FF000000"/>
        <rFont val="Noto Sans CJK SC"/>
        <family val="2"/>
      </rPr>
      <t xml:space="preserve">研發 </t>
    </r>
    <r>
      <rPr>
        <sz val="10"/>
        <color rgb="FF000000"/>
        <rFont val="Arial"/>
        <family val="0"/>
        <charset val="1"/>
      </rPr>
      <t xml:space="preserve">GW</t>
    </r>
    <r>
      <rPr>
        <sz val="10"/>
        <color rgb="FF000000"/>
        <rFont val="Noto Sans CJK SC"/>
        <family val="2"/>
      </rPr>
      <t xml:space="preserve">（殘差）</t>
    </r>
  </si>
  <si>
    <r>
      <rPr>
        <sz val="9"/>
        <color rgb="FF595959"/>
        <rFont val="Noto Sans CJK SC"/>
        <family val="2"/>
      </rPr>
      <t xml:space="preserve">校準期＝供給 − 推論（</t>
    </r>
    <r>
      <rPr>
        <sz val="9"/>
        <color rgb="FF595959"/>
        <rFont val="Arial"/>
        <family val="0"/>
        <charset val="1"/>
      </rPr>
      <t xml:space="preserve">r2 P1</t>
    </r>
    <r>
      <rPr>
        <sz val="9"/>
        <color rgb="FF595959"/>
        <rFont val="Noto Sans CJK SC"/>
        <family val="2"/>
      </rPr>
      <t xml:space="preserve">：殘差，同 </t>
    </r>
    <r>
      <rPr>
        <sz val="9"/>
        <color rgb="FF595959"/>
        <rFont val="Arial"/>
        <family val="0"/>
        <charset val="1"/>
      </rPr>
      <t xml:space="preserve">OpenAI</t>
    </r>
    <r>
      <rPr>
        <sz val="9"/>
        <color rgb="FF595959"/>
        <rFont val="Noto Sans CJK SC"/>
        <family val="2"/>
      </rPr>
      <t xml:space="preserve">；不再等於研發算力費 </t>
    </r>
    <r>
      <rPr>
        <sz val="9"/>
        <color rgb="FF595959"/>
        <rFont val="Arial"/>
        <family val="0"/>
        <charset val="1"/>
      </rPr>
      <t xml:space="preserve">÷ </t>
    </r>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價格）；之後＝供給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閒置）− 推論（截頂後）</t>
    </r>
  </si>
  <si>
    <t xml:space="preserve">G112</t>
  </si>
  <si>
    <r>
      <rPr>
        <sz val="10"/>
        <color rgb="FF000000"/>
        <rFont val="Noto Sans CJK SC"/>
        <family val="2"/>
      </rPr>
      <t xml:space="preserve">總需求 </t>
    </r>
    <r>
      <rPr>
        <sz val="10"/>
        <color rgb="FF000000"/>
        <rFont val="Arial"/>
        <family val="0"/>
        <charset val="1"/>
      </rPr>
      <t xml:space="preserve">GW</t>
    </r>
    <r>
      <rPr>
        <sz val="10"/>
        <color rgb="FF000000"/>
        <rFont val="Noto Sans CJK SC"/>
        <family val="2"/>
      </rPr>
      <t xml:space="preserve">＝有效推論（未截頂）＋研發</t>
    </r>
  </si>
  <si>
    <t xml:space="preserve">G113</t>
  </si>
  <si>
    <t xml:space="preserve">檢查：推論（截頂後）＋研發＋閒置 − 供給</t>
  </si>
  <si>
    <r>
      <rPr>
        <sz val="9"/>
        <color rgb="FF595959"/>
        <rFont val="Noto Sans CJK SC"/>
        <family val="2"/>
      </rPr>
      <t xml:space="preserve">各期應為 </t>
    </r>
    <r>
      <rPr>
        <sz val="9"/>
        <color rgb="FF595959"/>
        <rFont val="Arial"/>
        <family val="0"/>
        <charset val="1"/>
      </rPr>
      <t xml:space="preserve">0</t>
    </r>
  </si>
  <si>
    <t xml:space="preserve">G114</t>
  </si>
  <si>
    <r>
      <rPr>
        <sz val="10"/>
        <color rgb="FF000000"/>
        <rFont val="Noto Sans CJK SC"/>
        <family val="2"/>
      </rPr>
      <t xml:space="preserve">對照：研發 </t>
    </r>
    <r>
      <rPr>
        <sz val="10"/>
        <color rgb="FF000000"/>
        <rFont val="Arial"/>
        <family val="0"/>
        <charset val="1"/>
      </rPr>
      <t xml:space="preserve">GW</t>
    </r>
    <r>
      <rPr>
        <sz val="10"/>
        <color rgb="FF000000"/>
        <rFont val="Noto Sans CJK SC"/>
        <family val="2"/>
      </rPr>
      <t xml:space="preserve">（扣除法研發算力費 </t>
    </r>
    <r>
      <rPr>
        <sz val="10"/>
        <color rgb="FF000000"/>
        <rFont val="Arial"/>
        <family val="0"/>
        <charset val="1"/>
      </rPr>
      <t xml:space="preserve">÷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價格）</t>
    </r>
  </si>
  <si>
    <r>
      <rPr>
        <sz val="9"/>
        <color rgb="FF595959"/>
        <rFont val="Arial"/>
        <family val="0"/>
        <charset val="1"/>
      </rPr>
      <t xml:space="preserve">D12</t>
    </r>
    <r>
      <rPr>
        <sz val="9"/>
        <color rgb="FF595959"/>
        <rFont val="Noto Sans CJK SC"/>
        <family val="2"/>
      </rPr>
      <t xml:space="preserve">：智譜揭露研發算力費，可作獨立對照（</t>
    </r>
    <r>
      <rPr>
        <sz val="9"/>
        <color rgb="FF595959"/>
        <rFont val="Arial"/>
        <family val="0"/>
        <charset val="1"/>
      </rPr>
      <t xml:space="preserve">D10r </t>
    </r>
    <r>
      <rPr>
        <sz val="9"/>
        <color rgb="FF595959"/>
        <rFont val="Noto Sans CJK SC"/>
        <family val="2"/>
      </rPr>
      <t xml:space="preserve">第一法）</t>
    </r>
  </si>
  <si>
    <t xml:space="preserve">G115</t>
  </si>
  <si>
    <r>
      <rPr>
        <sz val="10"/>
        <color rgb="FF000000"/>
        <rFont val="Noto Sans CJK SC"/>
        <family val="2"/>
      </rPr>
      <t xml:space="preserve">對照：</t>
    </r>
    <r>
      <rPr>
        <sz val="10"/>
        <color rgb="FF000000"/>
        <rFont val="Arial"/>
        <family val="0"/>
        <charset val="1"/>
      </rPr>
      <t xml:space="preserve">TK IF_AllocRDGW</t>
    </r>
    <r>
      <rPr>
        <sz val="10"/>
        <color rgb="FF000000"/>
        <rFont val="Noto Sans CJK SC"/>
        <family val="2"/>
      </rPr>
      <t xml:space="preserve">（</t>
    </r>
    <r>
      <rPr>
        <sz val="10"/>
        <color rgb="FF000000"/>
        <rFont val="Arial"/>
        <family val="0"/>
        <charset val="1"/>
      </rPr>
      <t xml:space="preserve">OpenAI </t>
    </r>
    <r>
      <rPr>
        <sz val="10"/>
        <color rgb="FF000000"/>
        <rFont val="Noto Sans CJK SC"/>
        <family val="2"/>
      </rPr>
      <t xml:space="preserve">規模研發 </t>
    </r>
    <r>
      <rPr>
        <sz val="10"/>
        <color rgb="FF000000"/>
        <rFont val="Arial"/>
        <family val="0"/>
        <charset val="1"/>
      </rPr>
      <t xml:space="preserve">GW·</t>
    </r>
    <r>
      <rPr>
        <sz val="10"/>
        <color rgb="FF000000"/>
        <rFont val="Noto Sans CJK SC"/>
        <family val="2"/>
      </rPr>
      <t xml:space="preserve">年）</t>
    </r>
  </si>
  <si>
    <r>
      <rPr>
        <sz val="9"/>
        <color rgb="FF595959"/>
        <rFont val="Arial"/>
        <family val="0"/>
        <charset val="1"/>
      </rPr>
      <t xml:space="preserve">Tokenomics Alloc</t>
    </r>
    <r>
      <rPr>
        <sz val="9"/>
        <color rgb="FF595959"/>
        <rFont val="Noto Sans CJK SC"/>
        <family val="2"/>
      </rPr>
      <t xml:space="preserve">（</t>
    </r>
    <r>
      <rPr>
        <sz val="9"/>
        <color rgb="FF595959"/>
        <rFont val="Arial"/>
        <family val="0"/>
        <charset val="1"/>
      </rPr>
      <t xml:space="preserve">k ×</t>
    </r>
    <r>
      <rPr>
        <sz val="9"/>
        <color rgb="FF595959"/>
        <rFont val="Noto Sans CJK SC"/>
        <family val="2"/>
      </rPr>
      <t xml:space="preserve">（</t>
    </r>
    <r>
      <rPr>
        <sz val="9"/>
        <color rgb="FF595959"/>
        <rFont val="Arial"/>
        <family val="0"/>
        <charset val="1"/>
      </rPr>
      <t xml:space="preserve">N_major × </t>
    </r>
    <r>
      <rPr>
        <sz val="9"/>
        <color rgb="FF595959"/>
        <rFont val="Noto Sans CJK SC"/>
        <family val="2"/>
      </rPr>
      <t xml:space="preserve">家族＋</t>
    </r>
    <r>
      <rPr>
        <sz val="9"/>
        <color rgb="FF595959"/>
        <rFont val="Arial"/>
        <family val="0"/>
        <charset val="1"/>
      </rPr>
      <t xml:space="preserve">N_refresh × </t>
    </r>
    <r>
      <rPr>
        <sz val="9"/>
        <color rgb="FF595959"/>
        <rFont val="Noto Sans CJK SC"/>
        <family val="2"/>
      </rPr>
      <t xml:space="preserve">改版））；只並列、不驅動任何輸出。</t>
    </r>
    <r>
      <rPr>
        <sz val="9"/>
        <color rgb="FF595959"/>
        <rFont val="Arial"/>
        <family val="0"/>
        <charset val="1"/>
      </rPr>
      <t xml:space="preserve">v19.0 </t>
    </r>
    <r>
      <rPr>
        <sz val="9"/>
        <color rgb="FF595959"/>
        <rFont val="Noto Sans CJK SC"/>
        <family val="2"/>
      </rPr>
      <t xml:space="preserve">點值 </t>
    </r>
    <r>
      <rPr>
        <sz val="9"/>
        <color rgb="FF595959"/>
        <rFont val="Arial"/>
        <family val="0"/>
        <charset val="1"/>
      </rPr>
      <t xml:space="preserve">0.203</t>
    </r>
    <r>
      <rPr>
        <sz val="9"/>
        <color rgb="FF595959"/>
        <rFont val="Noto Sans CJK SC"/>
        <family val="2"/>
      </rPr>
      <t xml:space="preserve">（</t>
    </r>
    <r>
      <rPr>
        <sz val="9"/>
        <color rgb="FF595959"/>
        <rFont val="Arial"/>
        <family val="0"/>
        <charset val="1"/>
      </rPr>
      <t xml:space="preserve">v5.26 0.0907</t>
    </r>
    <r>
      <rPr>
        <sz val="9"/>
        <color rgb="FF595959"/>
        <rFont val="Noto Sans CJK SC"/>
        <family val="2"/>
      </rPr>
      <t xml:space="preserve">）；</t>
    </r>
    <r>
      <rPr>
        <sz val="9"/>
        <color rgb="FF595959"/>
        <rFont val="Arial"/>
        <family val="0"/>
        <charset val="1"/>
      </rPr>
      <t xml:space="preserve">v13.0 </t>
    </r>
    <r>
      <rPr>
        <sz val="9"/>
        <color rgb="FF595959"/>
        <rFont val="Noto Sans CJK SC"/>
        <family val="2"/>
      </rPr>
      <t xml:space="preserve">起視為區間 </t>
    </r>
    <r>
      <rPr>
        <sz val="9"/>
        <color rgb="FF595959"/>
        <rFont val="Arial"/>
        <family val="0"/>
        <charset val="1"/>
      </rPr>
      <t xml:space="preserve">RNG_IF_AllocRDGW_Lo</t>
    </r>
    <r>
      <rPr>
        <sz val="9"/>
        <color rgb="FF595959"/>
        <rFont val="Noto Sans CJK SC"/>
        <family val="2"/>
      </rPr>
      <t xml:space="preserve">／</t>
    </r>
    <r>
      <rPr>
        <sz val="9"/>
        <color rgb="FF595959"/>
        <rFont val="Arial"/>
        <family val="0"/>
        <charset val="1"/>
      </rPr>
      <t xml:space="preserve">_Hi</t>
    </r>
    <r>
      <rPr>
        <sz val="9"/>
        <color rgb="FF595959"/>
        <rFont val="Noto Sans CJK SC"/>
        <family val="2"/>
      </rPr>
      <t xml:space="preserve">（</t>
    </r>
    <r>
      <rPr>
        <sz val="9"/>
        <color rgb="FF595959"/>
        <rFont val="Arial"/>
        <family val="0"/>
        <charset val="1"/>
      </rPr>
      <t xml:space="preserve">Checks C97–C98</t>
    </r>
    <r>
      <rPr>
        <sz val="9"/>
        <color rgb="FF595959"/>
        <rFont val="Noto Sans CJK SC"/>
        <family val="2"/>
      </rPr>
      <t xml:space="preserve">；使用前確認 </t>
    </r>
    <r>
      <rPr>
        <sz val="9"/>
        <color rgb="FF595959"/>
        <rFont val="Arial"/>
        <family val="0"/>
        <charset val="1"/>
      </rPr>
      <t xml:space="preserve">RNG_StaleFlag</t>
    </r>
    <r>
      <rPr>
        <sz val="9"/>
        <color rgb="FF595959"/>
        <rFont val="Noto Sans CJK SC"/>
        <family val="2"/>
      </rPr>
      <t xml:space="preserve">＝『一致』，</t>
    </r>
    <r>
      <rPr>
        <sz val="9"/>
        <color rgb="FF595959"/>
        <rFont val="Arial"/>
        <family val="0"/>
        <charset val="1"/>
      </rPr>
      <t xml:space="preserve">C99</t>
    </r>
    <r>
      <rPr>
        <sz val="9"/>
        <color rgb="FF595959"/>
        <rFont val="Noto Sans CJK SC"/>
        <family val="2"/>
      </rPr>
      <t xml:space="preserve">）。</t>
    </r>
    <r>
      <rPr>
        <sz val="9"/>
        <color rgb="FF595959"/>
        <rFont val="Arial"/>
        <family val="0"/>
        <charset val="1"/>
      </rPr>
      <t xml:space="preserve">OpenAI </t>
    </r>
    <r>
      <rPr>
        <sz val="9"/>
        <color rgb="FF595959"/>
        <rFont val="Noto Sans CJK SC"/>
        <family val="2"/>
      </rPr>
      <t xml:space="preserve">規模的物理下限，與本模型研發 </t>
    </r>
    <r>
      <rPr>
        <sz val="9"/>
        <color rgb="FF595959"/>
        <rFont val="Arial"/>
        <family val="0"/>
        <charset val="1"/>
      </rPr>
      <t xml:space="preserve">GW </t>
    </r>
    <r>
      <rPr>
        <sz val="9"/>
        <color rgb="FF595959"/>
        <rFont val="Noto Sans CJK SC"/>
        <family val="2"/>
      </rPr>
      <t xml:space="preserve">的口徑不同，不可互相驗證</t>
    </r>
  </si>
  <si>
    <r>
      <rPr>
        <b val="true"/>
        <sz val="10"/>
        <rFont val="Noto Sans CJK SC"/>
        <family val="2"/>
      </rPr>
      <t xml:space="preserve">十、</t>
    </r>
    <r>
      <rPr>
        <b val="true"/>
        <sz val="10"/>
        <rFont val="Arial"/>
        <family val="0"/>
        <charset val="1"/>
      </rPr>
      <t xml:space="preserve">VR </t>
    </r>
    <r>
      <rPr>
        <b val="true"/>
        <sz val="10"/>
        <rFont val="Noto Sans CJK SC"/>
        <family val="2"/>
      </rPr>
      <t xml:space="preserve">等值換算（各族 </t>
    </r>
    <r>
      <rPr>
        <b val="true"/>
        <sz val="10"/>
        <rFont val="Arial"/>
        <family val="0"/>
        <charset val="1"/>
      </rPr>
      <t xml:space="preserve">Sol </t>
    </r>
    <r>
      <rPr>
        <b val="true"/>
        <sz val="10"/>
        <rFont val="Noto Sans CJK SC"/>
        <family val="2"/>
      </rPr>
      <t xml:space="preserve">層級每 </t>
    </r>
    <r>
      <rPr>
        <b val="true"/>
        <sz val="10"/>
        <rFont val="Arial"/>
        <family val="0"/>
        <charset val="1"/>
      </rPr>
      <t xml:space="preserve">GW </t>
    </r>
    <r>
      <rPr>
        <b val="true"/>
        <sz val="10"/>
        <rFont val="Noto Sans CJK SC"/>
        <family val="2"/>
      </rPr>
      <t xml:space="preserve">產能 </t>
    </r>
    <r>
      <rPr>
        <b val="true"/>
        <sz val="10"/>
        <rFont val="Arial"/>
        <family val="0"/>
        <charset val="1"/>
      </rPr>
      <t xml:space="preserve">÷ VR200 Sol</t>
    </r>
    <r>
      <rPr>
        <b val="true"/>
        <sz val="10"/>
        <rFont val="Noto Sans CJK SC"/>
        <family val="2"/>
      </rPr>
      <t xml:space="preserve">；同 </t>
    </r>
    <r>
      <rPr>
        <b val="true"/>
        <sz val="10"/>
        <rFont val="Arial"/>
        <family val="0"/>
        <charset val="1"/>
      </rPr>
      <t xml:space="preserve">OpenAI v0.6</t>
    </r>
    <r>
      <rPr>
        <b val="true"/>
        <sz val="10"/>
        <rFont val="Noto Sans CJK SC"/>
        <family val="2"/>
      </rPr>
      <t xml:space="preserve">）</t>
    </r>
  </si>
  <si>
    <t xml:space="preserve">G116</t>
  </si>
  <si>
    <r>
      <rPr>
        <sz val="10"/>
        <color rgb="FF000000"/>
        <rFont val="Arial"/>
        <family val="0"/>
        <charset val="1"/>
      </rPr>
      <t xml:space="preserve">VR200 </t>
    </r>
    <r>
      <rPr>
        <sz val="10"/>
        <color rgb="FF000000"/>
        <rFont val="Noto Sans CJK SC"/>
        <family val="2"/>
      </rPr>
      <t xml:space="preserve">等值係數：</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</si>
  <si>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t xml:space="preserve">G117</t>
  </si>
  <si>
    <r>
      <rPr>
        <sz val="10"/>
        <color rgb="FF000000"/>
        <rFont val="Arial"/>
        <family val="0"/>
        <charset val="1"/>
      </rPr>
      <t xml:space="preserve">VR200 </t>
    </r>
    <r>
      <rPr>
        <sz val="10"/>
        <color rgb="FF000000"/>
        <rFont val="Noto Sans CJK SC"/>
        <family val="2"/>
      </rPr>
      <t xml:space="preserve">等值係數：</t>
    </r>
    <r>
      <rPr>
        <sz val="10"/>
        <color rgb="FF000000"/>
        <rFont val="Arial"/>
        <family val="0"/>
        <charset val="1"/>
      </rPr>
      <t xml:space="preserve">H20</t>
    </r>
  </si>
  <si>
    <t xml:space="preserve">G118</t>
  </si>
  <si>
    <r>
      <rPr>
        <sz val="10"/>
        <color rgb="FF000000"/>
        <rFont val="Arial"/>
        <family val="0"/>
        <charset val="1"/>
      </rPr>
      <t xml:space="preserve">VR200 </t>
    </r>
    <r>
      <rPr>
        <sz val="10"/>
        <color rgb="FF000000"/>
        <rFont val="Noto Sans CJK SC"/>
        <family val="2"/>
      </rPr>
      <t xml:space="preserve">等值係數：國產（昇騰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</si>
  <si>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G119</t>
  </si>
  <si>
    <r>
      <rPr>
        <sz val="10"/>
        <color rgb="FF000000"/>
        <rFont val="Noto Sans CJK SC"/>
        <family val="2"/>
      </rPr>
      <t xml:space="preserve">機隊 </t>
    </r>
    <r>
      <rPr>
        <sz val="10"/>
        <color rgb="FF000000"/>
        <rFont val="Arial"/>
        <family val="0"/>
        <charset val="1"/>
      </rPr>
      <t xml:space="preserve">VR </t>
    </r>
    <r>
      <rPr>
        <sz val="10"/>
        <color rgb="FF000000"/>
        <rFont val="Noto Sans CJK SC"/>
        <family val="2"/>
      </rPr>
      <t xml:space="preserve">等值係數＝</t>
    </r>
    <r>
      <rPr>
        <sz val="10"/>
        <color rgb="FF000000"/>
        <rFont val="Arial"/>
        <family val="0"/>
        <charset val="1"/>
      </rPr>
      <t xml:space="preserve">Σ </t>
    </r>
    <r>
      <rPr>
        <sz val="10"/>
        <color rgb="FF000000"/>
        <rFont val="Noto Sans CJK SC"/>
        <family val="2"/>
      </rPr>
      <t xml:space="preserve">占比 </t>
    </r>
    <r>
      <rPr>
        <sz val="10"/>
        <color rgb="FF000000"/>
        <rFont val="Arial"/>
        <family val="0"/>
        <charset val="1"/>
      </rPr>
      <t xml:space="preserve">× </t>
    </r>
    <r>
      <rPr>
        <sz val="10"/>
        <color rgb="FF000000"/>
        <rFont val="Noto Sans CJK SC"/>
        <family val="2"/>
      </rPr>
      <t xml:space="preserve">係數</t>
    </r>
  </si>
  <si>
    <t xml:space="preserve">G120</t>
  </si>
  <si>
    <r>
      <rPr>
        <sz val="10"/>
        <color rgb="FF000000"/>
        <rFont val="Noto Sans CJK SC"/>
        <family val="2"/>
      </rPr>
      <t xml:space="preserve">供給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（命題分母）</t>
    </r>
  </si>
  <si>
    <t xml:space="preserve">G121</t>
  </si>
  <si>
    <r>
      <rPr>
        <sz val="10"/>
        <color rgb="FF000000"/>
        <rFont val="Noto Sans CJK SC"/>
        <family val="2"/>
      </rPr>
      <t xml:space="preserve">推論 </t>
    </r>
    <r>
      <rPr>
        <sz val="10"/>
        <color rgb="FF000000"/>
        <rFont val="Arial"/>
        <family val="0"/>
        <charset val="1"/>
      </rPr>
      <t xml:space="preserve">GW</t>
    </r>
    <r>
      <rPr>
        <sz val="10"/>
        <color rgb="FF000000"/>
        <rFont val="Noto Sans CJK SC"/>
        <family val="2"/>
      </rPr>
      <t xml:space="preserve">（截頂後）</t>
    </r>
    <r>
      <rPr>
        <sz val="10"/>
        <color rgb="FF000000"/>
        <rFont val="Arial"/>
        <family val="0"/>
        <charset val="1"/>
      </rPr>
      <t xml:space="preserve">VR </t>
    </r>
    <r>
      <rPr>
        <sz val="10"/>
        <color rgb="FF000000"/>
        <rFont val="Noto Sans CJK SC"/>
        <family val="2"/>
      </rPr>
      <t xml:space="preserve">等值</t>
    </r>
  </si>
  <si>
    <t xml:space="preserve">G122</t>
  </si>
  <si>
    <r>
      <rPr>
        <sz val="10"/>
        <color rgb="FF000000"/>
        <rFont val="Noto Sans CJK SC"/>
        <family val="2"/>
      </rPr>
      <t xml:space="preserve">研發 </t>
    </r>
    <r>
      <rPr>
        <sz val="10"/>
        <color rgb="FF000000"/>
        <rFont val="Arial"/>
        <family val="0"/>
        <charset val="1"/>
      </rPr>
      <t xml:space="preserve">GW VR </t>
    </r>
    <r>
      <rPr>
        <sz val="10"/>
        <color rgb="FF000000"/>
        <rFont val="Noto Sans CJK SC"/>
        <family val="2"/>
      </rPr>
      <t xml:space="preserve">等值</t>
    </r>
  </si>
  <si>
    <r>
      <rPr>
        <b val="true"/>
        <sz val="10"/>
        <rFont val="Noto Sans CJK SC"/>
        <family val="2"/>
      </rPr>
      <t xml:space="preserve">十一、對照：『</t>
    </r>
    <r>
      <rPr>
        <b val="true"/>
        <sz val="10"/>
        <rFont val="Arial"/>
        <family val="0"/>
        <charset val="1"/>
      </rPr>
      <t xml:space="preserve">10 </t>
    </r>
    <r>
      <rPr>
        <b val="true"/>
        <sz val="10"/>
        <rFont val="Noto Sans CJK SC"/>
        <family val="2"/>
      </rPr>
      <t xml:space="preserve">萬級國產晶片』換算 </t>
    </r>
    <r>
      <rPr>
        <b val="true"/>
        <sz val="10"/>
        <rFont val="Arial"/>
        <family val="0"/>
        <charset val="1"/>
      </rPr>
      <t xml:space="preserve">GW</t>
    </r>
    <r>
      <rPr>
        <b val="true"/>
        <sz val="10"/>
        <rFont val="Noto Sans CJK SC"/>
        <family val="2"/>
      </rPr>
      <t xml:space="preserve">（卡數 </t>
    </r>
    <r>
      <rPr>
        <b val="true"/>
        <sz val="10"/>
        <rFont val="Arial"/>
        <family val="0"/>
        <charset val="1"/>
      </rPr>
      <t xml:space="preserve">× </t>
    </r>
    <r>
      <rPr>
        <b val="true"/>
        <sz val="10"/>
        <rFont val="Noto Sans CJK SC"/>
        <family val="2"/>
      </rPr>
      <t xml:space="preserve">每卡 </t>
    </r>
    <r>
      <rPr>
        <b val="true"/>
        <sz val="10"/>
        <rFont val="Arial"/>
        <family val="0"/>
        <charset val="1"/>
      </rPr>
      <t xml:space="preserve">IT </t>
    </r>
    <r>
      <rPr>
        <b val="true"/>
        <sz val="10"/>
        <rFont val="Noto Sans CJK SC"/>
        <family val="2"/>
      </rPr>
      <t xml:space="preserve">功耗）與『</t>
    </r>
    <r>
      <rPr>
        <b val="true"/>
        <sz val="10"/>
        <rFont val="Arial"/>
        <family val="0"/>
        <charset val="1"/>
      </rPr>
      <t xml:space="preserve">1 GW </t>
    </r>
    <r>
      <rPr>
        <b val="true"/>
        <sz val="10"/>
        <rFont val="Noto Sans CJK SC"/>
        <family val="2"/>
      </rPr>
      <t xml:space="preserve">國產算力資料中心』（只列差距，不校準）</t>
    </r>
  </si>
  <si>
    <t xml:space="preserve">G123</t>
  </si>
  <si>
    <t xml:space="preserve">公司揭露：推論用國產晶片（張）</t>
  </si>
  <si>
    <t xml:space="preserve">張</t>
  </si>
  <si>
    <r>
      <rPr>
        <sz val="9"/>
        <color rgb="FF595959"/>
        <rFont val="Arial"/>
        <family val="0"/>
        <charset val="1"/>
      </rPr>
      <t xml:space="preserve">SRC_ZP_452</t>
    </r>
    <r>
      <rPr>
        <sz val="9"/>
        <color rgb="FF595959"/>
        <rFont val="Noto Sans CJK SC"/>
        <family val="2"/>
      </rPr>
      <t xml:space="preserve">（截至 </t>
    </r>
    <r>
      <rPr>
        <sz val="9"/>
        <color rgb="FF595959"/>
        <rFont val="Arial"/>
        <family val="0"/>
        <charset val="1"/>
      </rPr>
      <t xml:space="preserve">2026-08-31</t>
    </r>
    <r>
      <rPr>
        <sz val="9"/>
        <color rgb="FF595959"/>
        <rFont val="Noto Sans CJK SC"/>
        <family val="2"/>
      </rPr>
      <t xml:space="preserve">；</t>
    </r>
    <r>
      <rPr>
        <sz val="9"/>
        <color rgb="FF595959"/>
        <rFont val="Arial"/>
        <family val="0"/>
        <charset val="1"/>
      </rPr>
      <t xml:space="preserve">Interested-party</t>
    </r>
    <r>
      <rPr>
        <sz val="9"/>
        <color rgb="FF595959"/>
        <rFont val="Noto Sans CJK SC"/>
        <family val="2"/>
      </rPr>
      <t xml:space="preserve">；下限）</t>
    </r>
  </si>
  <si>
    <t xml:space="preserve">G124</t>
  </si>
  <si>
    <r>
      <rPr>
        <sz val="10"/>
        <color rgb="FF000000"/>
        <rFont val="Noto Sans CJK SC"/>
        <family val="2"/>
      </rPr>
      <t xml:space="preserve">換算 </t>
    </r>
    <r>
      <rPr>
        <sz val="10"/>
        <color rgb="FF000000"/>
        <rFont val="Arial"/>
        <family val="0"/>
        <charset val="1"/>
      </rPr>
      <t xml:space="preserve">IT GW</t>
    </r>
    <r>
      <rPr>
        <sz val="10"/>
        <color rgb="FF000000"/>
        <rFont val="Noto Sans CJK SC"/>
        <family val="2"/>
      </rPr>
      <t xml:space="preserve">＝卡數 </t>
    </r>
    <r>
      <rPr>
        <sz val="10"/>
        <color rgb="FF000000"/>
        <rFont val="Arial"/>
        <family val="0"/>
        <charset val="1"/>
      </rPr>
      <t xml:space="preserve">× </t>
    </r>
    <r>
      <rPr>
        <sz val="10"/>
        <color rgb="FF000000"/>
        <rFont val="Noto Sans CJK SC"/>
        <family val="2"/>
      </rPr>
      <t xml:space="preserve">每卡 </t>
    </r>
    <r>
      <rPr>
        <sz val="10"/>
        <color rgb="FF000000"/>
        <rFont val="Arial"/>
        <family val="0"/>
        <charset val="1"/>
      </rPr>
      <t xml:space="preserve">IT </t>
    </r>
    <r>
      <rPr>
        <sz val="10"/>
        <color rgb="FF000000"/>
        <rFont val="Noto Sans CJK SC"/>
        <family val="2"/>
      </rPr>
      <t xml:space="preserve">功耗 </t>
    </r>
    <r>
      <rPr>
        <sz val="10"/>
        <color rgb="FF000000"/>
        <rFont val="Arial"/>
        <family val="0"/>
        <charset val="1"/>
      </rPr>
      <t xml:space="preserve">÷ 10^6</t>
    </r>
  </si>
  <si>
    <r>
      <rPr>
        <sz val="9"/>
        <color rgb="FF595959"/>
        <rFont val="Noto Sans CJK SC"/>
        <family val="2"/>
      </rPr>
      <t xml:space="preserve">每卡 </t>
    </r>
    <r>
      <rPr>
        <sz val="9"/>
        <color rgb="FF595959"/>
        <rFont val="Arial"/>
        <family val="0"/>
        <charset val="1"/>
      </rPr>
      <t xml:space="preserve">IT </t>
    </r>
    <r>
      <rPr>
        <sz val="9"/>
        <color rgb="FF595959"/>
        <rFont val="Noto Sans CJK SC"/>
        <family val="2"/>
      </rPr>
      <t xml:space="preserve">功耗 </t>
    </r>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0.65–1.4 kW</t>
    </r>
    <r>
      <rPr>
        <sz val="9"/>
        <color rgb="FF595959"/>
        <rFont val="Noto Sans CJK SC"/>
        <family val="2"/>
      </rPr>
      <t xml:space="preserve">）</t>
    </r>
  </si>
  <si>
    <t xml:space="preserve">G125</t>
  </si>
  <si>
    <r>
      <rPr>
        <sz val="10"/>
        <color rgb="FF000000"/>
        <rFont val="Noto Sans CJK SC"/>
        <family val="2"/>
      </rPr>
      <t xml:space="preserve">換算設施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 PUE</t>
    </r>
    <r>
      <rPr>
        <sz val="10"/>
        <color rgb="FF000000"/>
        <rFont val="Noto Sans CJK SC"/>
        <family val="2"/>
      </rPr>
      <t xml:space="preserve">）</t>
    </r>
  </si>
  <si>
    <t xml:space="preserve">G126</t>
  </si>
  <si>
    <r>
      <rPr>
        <sz val="10"/>
        <color rgb="FF000000"/>
        <rFont val="Noto Sans CJK SC"/>
        <family val="2"/>
      </rPr>
      <t xml:space="preserve">模型：</t>
    </r>
    <r>
      <rPr>
        <sz val="10"/>
        <color rgb="FF000000"/>
        <rFont val="Arial"/>
        <family val="0"/>
        <charset val="1"/>
      </rPr>
      <t xml:space="preserve">2H26 </t>
    </r>
    <r>
      <rPr>
        <sz val="10"/>
        <color rgb="FF000000"/>
        <rFont val="Noto Sans CJK SC"/>
        <family val="2"/>
      </rPr>
      <t xml:space="preserve">國產供給 </t>
    </r>
    <r>
      <rPr>
        <sz val="10"/>
        <color rgb="FF000000"/>
        <rFont val="Arial"/>
        <family val="0"/>
        <charset val="1"/>
      </rPr>
      <t xml:space="preserve">GW</t>
    </r>
    <r>
      <rPr>
        <sz val="10"/>
        <color rgb="FF000000"/>
        <rFont val="Noto Sans CJK SC"/>
        <family val="2"/>
      </rPr>
      <t xml:space="preserve">＝供給 </t>
    </r>
    <r>
      <rPr>
        <sz val="10"/>
        <color rgb="FF000000"/>
        <rFont val="Arial"/>
        <family val="0"/>
        <charset val="1"/>
      </rPr>
      <t xml:space="preserve">× </t>
    </r>
    <r>
      <rPr>
        <sz val="10"/>
        <color rgb="FF000000"/>
        <rFont val="Noto Sans CJK SC"/>
        <family val="2"/>
      </rPr>
      <t xml:space="preserve">國產占比</t>
    </r>
  </si>
  <si>
    <t xml:space="preserve">G127</t>
  </si>
  <si>
    <r>
      <rPr>
        <sz val="10"/>
        <color rgb="FF000000"/>
        <rFont val="Noto Sans CJK SC"/>
        <family val="2"/>
      </rPr>
      <t xml:space="preserve">模型：</t>
    </r>
    <r>
      <rPr>
        <sz val="10"/>
        <color rgb="FF000000"/>
        <rFont val="Arial"/>
        <family val="0"/>
        <charset val="1"/>
      </rPr>
      <t xml:space="preserve">2H26 </t>
    </r>
    <r>
      <rPr>
        <sz val="10"/>
        <color rgb="FF000000"/>
        <rFont val="Noto Sans CJK SC"/>
        <family val="2"/>
      </rPr>
      <t xml:space="preserve">國產推論 </t>
    </r>
    <r>
      <rPr>
        <sz val="10"/>
        <color rgb="FF000000"/>
        <rFont val="Arial"/>
        <family val="0"/>
        <charset val="1"/>
      </rPr>
      <t xml:space="preserve">GW</t>
    </r>
    <r>
      <rPr>
        <sz val="10"/>
        <color rgb="FF000000"/>
        <rFont val="Noto Sans CJK SC"/>
        <family val="2"/>
      </rPr>
      <t xml:space="preserve">＝推論（截頂後）</t>
    </r>
    <r>
      <rPr>
        <sz val="10"/>
        <color rgb="FF000000"/>
        <rFont val="Arial"/>
        <family val="0"/>
        <charset val="1"/>
      </rPr>
      <t xml:space="preserve">× </t>
    </r>
    <r>
      <rPr>
        <sz val="10"/>
        <color rgb="FF000000"/>
        <rFont val="Noto Sans CJK SC"/>
        <family val="2"/>
      </rPr>
      <t xml:space="preserve">國產占比</t>
    </r>
  </si>
  <si>
    <t xml:space="preserve">國產晶片用於推論（公司說法）</t>
  </si>
  <si>
    <t xml:space="preserve">G128</t>
  </si>
  <si>
    <r>
      <rPr>
        <sz val="10"/>
        <color rgb="FF000000"/>
        <rFont val="Noto Sans CJK SC"/>
        <family val="2"/>
      </rPr>
      <t xml:space="preserve">差距：模型 </t>
    </r>
    <r>
      <rPr>
        <sz val="10"/>
        <color rgb="FF000000"/>
        <rFont val="Arial"/>
        <family val="0"/>
        <charset val="1"/>
      </rPr>
      <t xml:space="preserve">2H26 </t>
    </r>
    <r>
      <rPr>
        <sz val="10"/>
        <color rgb="FF000000"/>
        <rFont val="Noto Sans CJK SC"/>
        <family val="2"/>
      </rPr>
      <t xml:space="preserve">國產供給 </t>
    </r>
    <r>
      <rPr>
        <sz val="10"/>
        <color rgb="FF000000"/>
        <rFont val="Arial"/>
        <family val="0"/>
        <charset val="1"/>
      </rPr>
      <t xml:space="preserve">GW ÷ </t>
    </r>
    <r>
      <rPr>
        <sz val="10"/>
        <color rgb="FF000000"/>
        <rFont val="Noto Sans CJK SC"/>
        <family val="2"/>
      </rPr>
      <t xml:space="preserve">換算 </t>
    </r>
    <r>
      <rPr>
        <sz val="10"/>
        <color rgb="FF000000"/>
        <rFont val="Arial"/>
        <family val="0"/>
        <charset val="1"/>
      </rPr>
      <t xml:space="preserve">GW − 1</t>
    </r>
  </si>
  <si>
    <r>
      <rPr>
        <sz val="9"/>
        <color rgb="FF595959"/>
        <rFont val="Arial"/>
        <family val="0"/>
        <charset val="1"/>
      </rPr>
      <t xml:space="preserve">Checks WARN </t>
    </r>
    <r>
      <rPr>
        <sz val="9"/>
        <color rgb="FF595959"/>
        <rFont val="Noto Sans CJK SC"/>
        <family val="2"/>
      </rPr>
      <t xml:space="preserve">門檻 </t>
    </r>
    <r>
      <rPr>
        <sz val="9"/>
        <color rgb="FF595959"/>
        <rFont val="Arial"/>
        <family val="0"/>
        <charset val="1"/>
      </rPr>
      <t xml:space="preserve">50%</t>
    </r>
  </si>
  <si>
    <t xml:space="preserve">G129</t>
  </si>
  <si>
    <r>
      <rPr>
        <sz val="10"/>
        <color rgb="FF000000"/>
        <rFont val="Noto Sans CJK SC"/>
        <family val="2"/>
      </rPr>
      <t xml:space="preserve">差距：模型 </t>
    </r>
    <r>
      <rPr>
        <sz val="10"/>
        <color rgb="FF000000"/>
        <rFont val="Arial"/>
        <family val="0"/>
        <charset val="1"/>
      </rPr>
      <t xml:space="preserve">2H26 </t>
    </r>
    <r>
      <rPr>
        <sz val="10"/>
        <color rgb="FF000000"/>
        <rFont val="Noto Sans CJK SC"/>
        <family val="2"/>
      </rPr>
      <t xml:space="preserve">國產推論 </t>
    </r>
    <r>
      <rPr>
        <sz val="10"/>
        <color rgb="FF000000"/>
        <rFont val="Arial"/>
        <family val="0"/>
        <charset val="1"/>
      </rPr>
      <t xml:space="preserve">GW ÷ </t>
    </r>
    <r>
      <rPr>
        <sz val="10"/>
        <color rgb="FF000000"/>
        <rFont val="Noto Sans CJK SC"/>
        <family val="2"/>
      </rPr>
      <t xml:space="preserve">換算 </t>
    </r>
    <r>
      <rPr>
        <sz val="10"/>
        <color rgb="FF000000"/>
        <rFont val="Arial"/>
        <family val="0"/>
        <charset val="1"/>
      </rPr>
      <t xml:space="preserve">GW − 1</t>
    </r>
  </si>
  <si>
    <t xml:space="preserve">只列</t>
  </si>
  <si>
    <t xml:space="preserve">G130</t>
  </si>
  <si>
    <r>
      <rPr>
        <sz val="10"/>
        <color rgb="FF000000"/>
        <rFont val="Noto Sans CJK SC"/>
        <family val="2"/>
      </rPr>
      <t xml:space="preserve">公司說法：</t>
    </r>
    <r>
      <rPr>
        <sz val="10"/>
        <color rgb="FF000000"/>
        <rFont val="Arial"/>
        <family val="0"/>
        <charset val="1"/>
      </rPr>
      <t xml:space="preserve">1 GW </t>
    </r>
    <r>
      <rPr>
        <sz val="10"/>
        <color rgb="FF000000"/>
        <rFont val="Noto Sans CJK SC"/>
        <family val="2"/>
      </rPr>
      <t xml:space="preserve">國產算力資料中心 </t>
    </r>
    <r>
      <rPr>
        <sz val="10"/>
        <color rgb="FF000000"/>
        <rFont val="Arial"/>
        <family val="0"/>
        <charset val="1"/>
      </rPr>
      <t xml:space="preserve">÷ PUE</t>
    </r>
    <r>
      <rPr>
        <sz val="10"/>
        <color rgb="FF000000"/>
        <rFont val="Noto Sans CJK SC"/>
        <family val="2"/>
      </rPr>
      <t xml:space="preserve">（</t>
    </r>
    <r>
      <rPr>
        <sz val="10"/>
        <color rgb="FF000000"/>
        <rFont val="Arial"/>
        <family val="0"/>
        <charset val="1"/>
      </rPr>
      <t xml:space="preserve">IT GW</t>
    </r>
    <r>
      <rPr>
        <sz val="10"/>
        <color rgb="FF000000"/>
        <rFont val="Noto Sans CJK SC"/>
        <family val="2"/>
      </rPr>
      <t xml:space="preserve">）</t>
    </r>
  </si>
  <si>
    <r>
      <rPr>
        <sz val="9"/>
        <color rgb="FF595959"/>
        <rFont val="Arial"/>
        <family val="0"/>
        <charset val="1"/>
      </rPr>
      <t xml:space="preserve">SRC_ZP_458</t>
    </r>
    <r>
      <rPr>
        <sz val="9"/>
        <color rgb="FF595959"/>
        <rFont val="Noto Sans CJK SC"/>
        <family val="2"/>
      </rPr>
      <t xml:space="preserve">（口徑未明，視為設施）；</t>
    </r>
    <r>
      <rPr>
        <sz val="9"/>
        <color rgb="FF595959"/>
        <rFont val="Arial"/>
        <family val="0"/>
        <charset val="1"/>
      </rPr>
      <t xml:space="preserve">D11r </t>
    </r>
    <r>
      <rPr>
        <sz val="9"/>
        <color rgb="FF595959"/>
        <rFont val="Noto Sans CJK SC"/>
        <family val="2"/>
      </rPr>
      <t xml:space="preserve">只列情境</t>
    </r>
  </si>
  <si>
    <r>
      <rPr>
        <b val="true"/>
        <sz val="10"/>
        <rFont val="Noto Sans CJK SC"/>
        <family val="2"/>
      </rPr>
      <t xml:space="preserve">十二、</t>
    </r>
    <r>
      <rPr>
        <b val="true"/>
        <sz val="10"/>
        <rFont val="Arial"/>
        <family val="0"/>
        <charset val="1"/>
      </rPr>
      <t xml:space="preserve">R4 </t>
    </r>
    <r>
      <rPr>
        <b val="true"/>
        <sz val="10"/>
        <rFont val="Noto Sans CJK SC"/>
        <family val="2"/>
      </rPr>
      <t xml:space="preserve">對帳：</t>
    </r>
    <r>
      <rPr>
        <b val="true"/>
        <sz val="10"/>
        <rFont val="Arial"/>
        <family val="0"/>
        <charset val="1"/>
      </rPr>
      <t xml:space="preserve">Coding Plan token </t>
    </r>
    <r>
      <rPr>
        <b val="true"/>
        <sz val="10"/>
        <rFont val="Noto Sans CJK SC"/>
        <family val="2"/>
      </rPr>
      <t xml:space="preserve">換算 </t>
    </r>
    <r>
      <rPr>
        <b val="true"/>
        <sz val="10"/>
        <rFont val="Arial"/>
        <family val="0"/>
        <charset val="1"/>
      </rPr>
      <t xml:space="preserve">GW </t>
    </r>
    <r>
      <rPr>
        <b val="true"/>
        <sz val="10"/>
        <rFont val="Noto Sans CJK SC"/>
        <family val="2"/>
      </rPr>
      <t xml:space="preserve">與 </t>
    </r>
    <r>
      <rPr>
        <b val="true"/>
        <sz val="10"/>
        <rFont val="Arial"/>
        <family val="0"/>
        <charset val="1"/>
      </rPr>
      <t xml:space="preserve">API </t>
    </r>
    <r>
      <rPr>
        <b val="true"/>
        <sz val="10"/>
        <rFont val="Noto Sans CJK SC"/>
        <family val="2"/>
      </rPr>
      <t xml:space="preserve">銷售成本推得的推論 </t>
    </r>
    <r>
      <rPr>
        <b val="true"/>
        <sz val="10"/>
        <rFont val="Arial"/>
        <family val="0"/>
        <charset val="1"/>
      </rPr>
      <t xml:space="preserve">GW</t>
    </r>
    <r>
      <rPr>
        <b val="true"/>
        <sz val="10"/>
        <rFont val="Noto Sans CJK SC"/>
        <family val="2"/>
      </rPr>
      <t xml:space="preserve">（</t>
    </r>
    <r>
      <rPr>
        <b val="true"/>
        <sz val="10"/>
        <rFont val="Arial"/>
        <family val="0"/>
        <charset val="1"/>
      </rPr>
      <t xml:space="preserve">2025</t>
    </r>
    <r>
      <rPr>
        <b val="true"/>
        <sz val="10"/>
        <rFont val="Noto Sans CJK SC"/>
        <family val="2"/>
      </rPr>
      <t xml:space="preserve">、</t>
    </r>
    <r>
      <rPr>
        <b val="true"/>
        <sz val="10"/>
        <rFont val="Arial"/>
        <family val="0"/>
        <charset val="1"/>
      </rPr>
      <t xml:space="preserve">1H26</t>
    </r>
    <r>
      <rPr>
        <b val="true"/>
        <sz val="10"/>
        <rFont val="Noto Sans CJK SC"/>
        <family val="2"/>
      </rPr>
      <t xml:space="preserve">；不自動調整，見報告）</t>
    </r>
  </si>
  <si>
    <t xml:space="preserve">G131</t>
  </si>
  <si>
    <r>
      <rPr>
        <sz val="10"/>
        <color rgb="FF000000"/>
        <rFont val="Arial"/>
        <family val="0"/>
        <charset val="1"/>
      </rPr>
      <t xml:space="preserve">Coding Plan token</t>
    </r>
    <r>
      <rPr>
        <sz val="10"/>
        <color rgb="FF000000"/>
        <rFont val="Noto Sans CJK SC"/>
        <family val="2"/>
      </rPr>
      <t xml:space="preserve">（</t>
    </r>
    <r>
      <rPr>
        <sz val="10"/>
        <color rgb="FF000000"/>
        <rFont val="Arial"/>
        <family val="0"/>
        <charset val="1"/>
      </rPr>
      <t xml:space="preserve">T</t>
    </r>
    <r>
      <rPr>
        <sz val="10"/>
        <color rgb="FF000000"/>
        <rFont val="Noto Sans CJK SC"/>
        <family val="2"/>
      </rPr>
      <t xml:space="preserve">）</t>
    </r>
  </si>
  <si>
    <t xml:space="preserve">Demand DEM_Tok_CP</t>
  </si>
  <si>
    <t xml:space="preserve">G132</t>
  </si>
  <si>
    <r>
      <rPr>
        <sz val="10"/>
        <color rgb="FF000000"/>
        <rFont val="Arial"/>
        <family val="0"/>
        <charset val="1"/>
      </rPr>
      <t xml:space="preserve">Coding Plan token </t>
    </r>
    <r>
      <rPr>
        <sz val="10"/>
        <color rgb="FF000000"/>
        <rFont val="Noto Sans CJK SC"/>
        <family val="2"/>
      </rPr>
      <t xml:space="preserve">換算 </t>
    </r>
    <r>
      <rPr>
        <sz val="10"/>
        <color rgb="FF000000"/>
        <rFont val="Arial"/>
        <family val="0"/>
        <charset val="1"/>
      </rPr>
      <t xml:space="preserve">GW</t>
    </r>
    <r>
      <rPr>
        <sz val="10"/>
        <color rgb="FF000000"/>
        <rFont val="Noto Sans CJK SC"/>
        <family val="2"/>
      </rPr>
      <t xml:space="preserve">（類型加權，第四節）</t>
    </r>
  </si>
  <si>
    <t xml:space="preserve">G133</t>
  </si>
  <si>
    <r>
      <rPr>
        <sz val="10"/>
        <color rgb="FF000000"/>
        <rFont val="Noto Sans CJK SC"/>
        <family val="2"/>
      </rPr>
      <t xml:space="preserve">對照：舊法 </t>
    </r>
    <r>
      <rPr>
        <sz val="10"/>
        <color rgb="FF000000"/>
        <rFont val="Arial"/>
        <family val="0"/>
        <charset val="1"/>
      </rPr>
      <t xml:space="preserve">Coding Plan token </t>
    </r>
    <r>
      <rPr>
        <sz val="10"/>
        <color rgb="FF000000"/>
        <rFont val="Noto Sans CJK SC"/>
        <family val="2"/>
      </rPr>
      <t xml:space="preserve">換算 </t>
    </r>
    <r>
      <rPr>
        <sz val="10"/>
        <color rgb="FF000000"/>
        <rFont val="Arial"/>
        <family val="0"/>
        <charset val="1"/>
      </rPr>
      <t xml:space="preserve">GW</t>
    </r>
    <r>
      <rPr>
        <sz val="10"/>
        <color rgb="FF000000"/>
        <rFont val="Noto Sans CJK SC"/>
        <family val="2"/>
      </rPr>
      <t xml:space="preserve">（參考組合產能）</t>
    </r>
  </si>
  <si>
    <t xml:space="preserve">G134</t>
  </si>
  <si>
    <r>
      <rPr>
        <sz val="10"/>
        <color rgb="FF000000"/>
        <rFont val="Arial"/>
        <family val="0"/>
        <charset val="1"/>
      </rPr>
      <t xml:space="preserve">Coding Plan </t>
    </r>
    <r>
      <rPr>
        <sz val="10"/>
        <color rgb="FF000000"/>
        <rFont val="Noto Sans CJK SC"/>
        <family val="2"/>
      </rPr>
      <t xml:space="preserve">占 </t>
    </r>
    <r>
      <rPr>
        <sz val="10"/>
        <color rgb="FF000000"/>
        <rFont val="Arial"/>
        <family val="0"/>
        <charset val="1"/>
      </rPr>
      <t xml:space="preserve">token </t>
    </r>
    <r>
      <rPr>
        <sz val="10"/>
        <color rgb="FF000000"/>
        <rFont val="Noto Sans CJK SC"/>
        <family val="2"/>
      </rPr>
      <t xml:space="preserve">換算推論 </t>
    </r>
    <r>
      <rPr>
        <sz val="10"/>
        <color rgb="FF000000"/>
        <rFont val="Arial"/>
        <family val="0"/>
        <charset val="1"/>
      </rPr>
      <t xml:space="preserve">GW</t>
    </r>
  </si>
  <si>
    <t xml:space="preserve">G135</t>
  </si>
  <si>
    <r>
      <rPr>
        <sz val="10"/>
        <color rgb="FF000000"/>
        <rFont val="Noto Sans CJK SC"/>
        <family val="2"/>
      </rPr>
      <t xml:space="preserve">倍數：</t>
    </r>
    <r>
      <rPr>
        <sz val="10"/>
        <color rgb="FF000000"/>
        <rFont val="Arial"/>
        <family val="0"/>
        <charset val="1"/>
      </rPr>
      <t xml:space="preserve">Coding Plan token GW ÷ </t>
    </r>
    <r>
      <rPr>
        <sz val="10"/>
        <color rgb="FF000000"/>
        <rFont val="Noto Sans CJK SC"/>
        <family val="2"/>
      </rPr>
      <t xml:space="preserve">支出換算推論 </t>
    </r>
    <r>
      <rPr>
        <sz val="10"/>
        <color rgb="FF000000"/>
        <rFont val="Arial"/>
        <family val="0"/>
        <charset val="1"/>
      </rPr>
      <t xml:space="preserve">GW</t>
    </r>
  </si>
  <si>
    <r>
      <rPr>
        <sz val="9"/>
        <color rgb="FF595959"/>
        <rFont val="Arial"/>
        <family val="0"/>
        <charset val="1"/>
      </rPr>
      <t xml:space="preserve">&gt;1</t>
    </r>
    <r>
      <rPr>
        <sz val="9"/>
        <color rgb="FF595959"/>
        <rFont val="Noto Sans CJK SC"/>
        <family val="2"/>
      </rPr>
      <t xml:space="preserve">＝</t>
    </r>
    <r>
      <rPr>
        <sz val="9"/>
        <color rgb="FF595959"/>
        <rFont val="Arial"/>
        <family val="0"/>
        <charset val="1"/>
      </rPr>
      <t xml:space="preserve">Coding Plan </t>
    </r>
    <r>
      <rPr>
        <sz val="9"/>
        <color rgb="FF595959"/>
        <rFont val="Noto Sans CJK SC"/>
        <family val="2"/>
      </rPr>
      <t xml:space="preserve">單項已超過推論算力支出買得到的 </t>
    </r>
    <r>
      <rPr>
        <sz val="9"/>
        <color rgb="FF595959"/>
        <rFont val="Arial"/>
        <family val="0"/>
        <charset val="1"/>
      </rPr>
      <t xml:space="preserve">GW</t>
    </r>
  </si>
  <si>
    <t xml:space="preserve">G136</t>
  </si>
  <si>
    <r>
      <rPr>
        <sz val="10"/>
        <color rgb="FF000000"/>
        <rFont val="Noto Sans CJK SC"/>
        <family val="2"/>
      </rPr>
      <t xml:space="preserve">對照：使 </t>
    </r>
    <r>
      <rPr>
        <sz val="10"/>
        <color rgb="FF000000"/>
        <rFont val="Arial"/>
        <family val="0"/>
        <charset val="1"/>
      </rPr>
      <t xml:space="preserve">token GW</t>
    </r>
    <r>
      <rPr>
        <sz val="10"/>
        <color rgb="FF000000"/>
        <rFont val="Noto Sans CJK SC"/>
        <family val="2"/>
      </rPr>
      <t xml:space="preserve">＝支出 </t>
    </r>
    <r>
      <rPr>
        <sz val="10"/>
        <color rgb="FF000000"/>
        <rFont val="Arial"/>
        <family val="0"/>
        <charset val="1"/>
      </rPr>
      <t xml:space="preserve">GW </t>
    </r>
    <r>
      <rPr>
        <sz val="10"/>
        <color rgb="FF000000"/>
        <rFont val="Noto Sans CJK SC"/>
        <family val="2"/>
      </rPr>
      <t xml:space="preserve">的 </t>
    </r>
    <r>
      <rPr>
        <sz val="10"/>
        <color rgb="FF000000"/>
        <rFont val="Arial"/>
        <family val="0"/>
        <charset val="1"/>
      </rPr>
      <t xml:space="preserve">Coding Plan </t>
    </r>
    <r>
      <rPr>
        <sz val="10"/>
        <color rgb="FF000000"/>
        <rFont val="Noto Sans CJK SC"/>
        <family val="2"/>
      </rPr>
      <t xml:space="preserve">額度使用率</t>
    </r>
  </si>
  <si>
    <r>
      <rPr>
        <sz val="9"/>
        <color rgb="FF595959"/>
        <rFont val="Noto Sans CJK SC"/>
        <family val="2"/>
      </rPr>
      <t xml:space="preserve">＝</t>
    </r>
    <r>
      <rPr>
        <sz val="9"/>
        <color rgb="FF595959"/>
        <rFont val="Arial"/>
        <family val="0"/>
        <charset val="1"/>
      </rPr>
      <t xml:space="preserve">Inputs </t>
    </r>
    <r>
      <rPr>
        <sz val="9"/>
        <color rgb="FF595959"/>
        <rFont val="Noto Sans CJK SC"/>
        <family val="2"/>
      </rPr>
      <t xml:space="preserve">使用率 </t>
    </r>
    <r>
      <rPr>
        <sz val="9"/>
        <color rgb="FF595959"/>
        <rFont val="Arial"/>
        <family val="0"/>
        <charset val="1"/>
      </rPr>
      <t xml:space="preserve">×</t>
    </r>
    <r>
      <rPr>
        <sz val="9"/>
        <color rgb="FF595959"/>
        <rFont val="Noto Sans CJK SC"/>
        <family val="2"/>
      </rPr>
      <t xml:space="preserve">（支出 </t>
    </r>
    <r>
      <rPr>
        <sz val="9"/>
        <color rgb="FF595959"/>
        <rFont val="Arial"/>
        <family val="0"/>
        <charset val="1"/>
      </rPr>
      <t xml:space="preserve">GW − </t>
    </r>
    <r>
      <rPr>
        <sz val="9"/>
        <color rgb="FF595959"/>
        <rFont val="Noto Sans CJK SC"/>
        <family val="2"/>
      </rPr>
      <t xml:space="preserve">非 </t>
    </r>
    <r>
      <rPr>
        <sz val="9"/>
        <color rgb="FF595959"/>
        <rFont val="Arial"/>
        <family val="0"/>
        <charset val="1"/>
      </rPr>
      <t xml:space="preserve">Coding Plan token GW</t>
    </r>
    <r>
      <rPr>
        <sz val="9"/>
        <color rgb="FF595959"/>
        <rFont val="Noto Sans CJK SC"/>
        <family val="2"/>
      </rPr>
      <t xml:space="preserve">）</t>
    </r>
    <r>
      <rPr>
        <sz val="9"/>
        <color rgb="FF595959"/>
        <rFont val="Arial"/>
        <family val="0"/>
        <charset val="1"/>
      </rPr>
      <t xml:space="preserve">÷ Coding Plan token GW</t>
    </r>
    <r>
      <rPr>
        <sz val="9"/>
        <color rgb="FF595959"/>
        <rFont val="Noto Sans CJK SC"/>
        <family val="2"/>
      </rPr>
      <t xml:space="preserve">；負值＝其他 </t>
    </r>
    <r>
      <rPr>
        <sz val="9"/>
        <color rgb="FF595959"/>
        <rFont val="Arial"/>
        <family val="0"/>
        <charset val="1"/>
      </rPr>
      <t xml:space="preserve">token </t>
    </r>
    <r>
      <rPr>
        <sz val="9"/>
        <color rgb="FF595959"/>
        <rFont val="Noto Sans CJK SC"/>
        <family val="2"/>
      </rPr>
      <t xml:space="preserve">已超過；只對照，不回饋（</t>
    </r>
    <r>
      <rPr>
        <sz val="9"/>
        <color rgb="FF595959"/>
        <rFont val="Arial"/>
        <family val="0"/>
        <charset val="1"/>
      </rPr>
      <t xml:space="preserve">R4</t>
    </r>
    <r>
      <rPr>
        <sz val="9"/>
        <color rgb="FF595959"/>
        <rFont val="Noto Sans CJK SC"/>
        <family val="2"/>
      </rPr>
      <t xml:space="preserve">）</t>
    </r>
  </si>
  <si>
    <t xml:space="preserve">G137</t>
  </si>
  <si>
    <r>
      <rPr>
        <sz val="10"/>
        <color rgb="FF000000"/>
        <rFont val="Noto Sans CJK SC"/>
        <family val="2"/>
      </rPr>
      <t xml:space="preserve">對照：使 </t>
    </r>
    <r>
      <rPr>
        <sz val="10"/>
        <color rgb="FF000000"/>
        <rFont val="Arial"/>
        <family val="0"/>
        <charset val="1"/>
      </rPr>
      <t xml:space="preserve">token GW</t>
    </r>
    <r>
      <rPr>
        <sz val="10"/>
        <color rgb="FF000000"/>
        <rFont val="Noto Sans CJK SC"/>
        <family val="2"/>
      </rPr>
      <t xml:space="preserve">＝支出 </t>
    </r>
    <r>
      <rPr>
        <sz val="10"/>
        <color rgb="FF000000"/>
        <rFont val="Arial"/>
        <family val="0"/>
        <charset val="1"/>
      </rPr>
      <t xml:space="preserve">GW </t>
    </r>
    <r>
      <rPr>
        <sz val="10"/>
        <color rgb="FF000000"/>
        <rFont val="Noto Sans CJK SC"/>
        <family val="2"/>
      </rPr>
      <t xml:space="preserve">的 </t>
    </r>
    <r>
      <rPr>
        <sz val="10"/>
        <color rgb="FF000000"/>
        <rFont val="Arial"/>
        <family val="0"/>
        <charset val="1"/>
      </rPr>
      <t xml:space="preserve">Coding Plan </t>
    </r>
    <r>
      <rPr>
        <sz val="10"/>
        <color rgb="FF000000"/>
        <rFont val="Noto Sans CJK SC"/>
        <family val="2"/>
      </rPr>
      <t xml:space="preserve">快取命中占比（其他不變）</t>
    </r>
  </si>
  <si>
    <r>
      <rPr>
        <sz val="9"/>
        <color rgb="FF595959"/>
        <rFont val="Noto Sans CJK SC"/>
        <family val="2"/>
      </rPr>
      <t xml:space="preserve">以 </t>
    </r>
    <r>
      <rPr>
        <sz val="9"/>
        <color rgb="FF595959"/>
        <rFont val="Arial"/>
        <family val="0"/>
        <charset val="1"/>
      </rPr>
      <t xml:space="preserve">Sol </t>
    </r>
    <r>
      <rPr>
        <sz val="9"/>
        <color rgb="FF595959"/>
        <rFont val="Noto Sans CJK SC"/>
        <family val="2"/>
      </rPr>
      <t xml:space="preserve">單位成本近似：解 </t>
    </r>
    <r>
      <rPr>
        <sz val="9"/>
        <color rgb="FF595959"/>
        <rFont val="Arial"/>
        <family val="0"/>
        <charset val="1"/>
      </rPr>
      <t xml:space="preserve">Coding Plan GW </t>
    </r>
    <r>
      <rPr>
        <sz val="9"/>
        <color rgb="FF595959"/>
        <rFont val="Noto Sans CJK SC"/>
        <family val="2"/>
      </rPr>
      <t xml:space="preserve">使總 </t>
    </r>
    <r>
      <rPr>
        <sz val="9"/>
        <color rgb="FF595959"/>
        <rFont val="Arial"/>
        <family val="0"/>
        <charset val="1"/>
      </rPr>
      <t xml:space="preserve">token GW</t>
    </r>
    <r>
      <rPr>
        <sz val="9"/>
        <color rgb="FF595959"/>
        <rFont val="Noto Sans CJK SC"/>
        <family val="2"/>
      </rPr>
      <t xml:space="preserve">＝支出 </t>
    </r>
    <r>
      <rPr>
        <sz val="9"/>
        <color rgb="FF595959"/>
        <rFont val="Arial"/>
        <family val="0"/>
        <charset val="1"/>
      </rPr>
      <t xml:space="preserve">GW</t>
    </r>
    <r>
      <rPr>
        <sz val="9"/>
        <color rgb="FF595959"/>
        <rFont val="Noto Sans CJK SC"/>
        <family val="2"/>
      </rPr>
      <t xml:space="preserve">；</t>
    </r>
    <r>
      <rPr>
        <sz val="9"/>
        <color rgb="FF595959"/>
        <rFont val="Arial"/>
        <family val="0"/>
        <charset val="1"/>
      </rPr>
      <t xml:space="preserve">&gt;1 </t>
    </r>
    <r>
      <rPr>
        <sz val="9"/>
        <color rgb="FF595959"/>
        <rFont val="Noto Sans CJK SC"/>
        <family val="2"/>
      </rPr>
      <t xml:space="preserve">或 </t>
    </r>
    <r>
      <rPr>
        <sz val="9"/>
        <color rgb="FF595959"/>
        <rFont val="Arial"/>
        <family val="0"/>
        <charset val="1"/>
      </rPr>
      <t xml:space="preserve">&lt;0</t>
    </r>
    <r>
      <rPr>
        <sz val="9"/>
        <color rgb="FF595959"/>
        <rFont val="Noto Sans CJK SC"/>
        <family val="2"/>
      </rPr>
      <t xml:space="preserve">＝無解（只對照）</t>
    </r>
  </si>
  <si>
    <r>
      <rPr>
        <b val="true"/>
        <sz val="10"/>
        <rFont val="Noto Sans CJK SC"/>
        <family val="2"/>
      </rPr>
      <t xml:space="preserve">十三、敏感度（</t>
    </r>
    <r>
      <rPr>
        <b val="true"/>
        <sz val="10"/>
        <rFont val="Arial"/>
        <family val="0"/>
        <charset val="1"/>
      </rPr>
      <t xml:space="preserve">Excel </t>
    </r>
    <r>
      <rPr>
        <b val="true"/>
        <sz val="10"/>
        <rFont val="Noto Sans CJK SC"/>
        <family val="2"/>
      </rPr>
      <t xml:space="preserve">公式；引用 </t>
    </r>
    <r>
      <rPr>
        <b val="true"/>
        <sz val="10"/>
        <rFont val="Arial"/>
        <family val="0"/>
        <charset val="1"/>
      </rPr>
      <t xml:space="preserve">Inputs </t>
    </r>
    <r>
      <rPr>
        <b val="true"/>
        <sz val="10"/>
        <rFont val="Noto Sans CJK SC"/>
        <family val="2"/>
      </rPr>
      <t xml:space="preserve">低／高欄與 </t>
    </r>
    <r>
      <rPr>
        <b val="true"/>
        <sz val="10"/>
        <rFont val="Arial"/>
        <family val="0"/>
        <charset val="1"/>
      </rPr>
      <t xml:space="preserve">SRC </t>
    </r>
    <r>
      <rPr>
        <b val="true"/>
        <sz val="10"/>
        <rFont val="Noto Sans CJK SC"/>
        <family val="2"/>
      </rPr>
      <t xml:space="preserve">區間；</t>
    </r>
    <r>
      <rPr>
        <b val="true"/>
        <sz val="10"/>
        <rFont val="Arial"/>
        <family val="0"/>
        <charset val="1"/>
      </rPr>
      <t xml:space="preserve">K</t>
    </r>
    <r>
      <rPr>
        <b val="true"/>
        <sz val="10"/>
        <rFont val="Noto Sans CJK SC"/>
        <family val="2"/>
      </rPr>
      <t xml:space="preserve">＝</t>
    </r>
    <r>
      <rPr>
        <b val="true"/>
        <sz val="10"/>
        <rFont val="Arial"/>
        <family val="0"/>
        <charset val="1"/>
      </rPr>
      <t xml:space="preserve">1H26</t>
    </r>
    <r>
      <rPr>
        <b val="true"/>
        <sz val="10"/>
        <rFont val="Noto Sans CJK SC"/>
        <family val="2"/>
      </rPr>
      <t xml:space="preserve">、</t>
    </r>
    <r>
      <rPr>
        <b val="true"/>
        <sz val="10"/>
        <rFont val="Arial"/>
        <family val="0"/>
        <charset val="1"/>
      </rPr>
      <t xml:space="preserve">I</t>
    </r>
    <r>
      <rPr>
        <b val="true"/>
        <sz val="10"/>
        <rFont val="Noto Sans CJK SC"/>
        <family val="2"/>
      </rPr>
      <t xml:space="preserve">＝</t>
    </r>
    <r>
      <rPr>
        <b val="true"/>
        <sz val="10"/>
        <rFont val="Arial"/>
        <family val="0"/>
        <charset val="1"/>
      </rPr>
      <t xml:space="preserve">2030</t>
    </r>
    <r>
      <rPr>
        <b val="true"/>
        <sz val="10"/>
        <rFont val="Noto Sans CJK SC"/>
        <family val="2"/>
      </rPr>
      <t xml:space="preserve">）：</t>
    </r>
    <r>
      <rPr>
        <b val="true"/>
        <sz val="10"/>
        <rFont val="Arial"/>
        <family val="0"/>
        <charset val="1"/>
      </rPr>
      <t xml:space="preserve">A </t>
    </r>
    <r>
      <rPr>
        <b val="true"/>
        <sz val="10"/>
        <rFont val="Noto Sans CJK SC"/>
        <family val="2"/>
      </rPr>
      <t xml:space="preserve">每 </t>
    </r>
    <r>
      <rPr>
        <b val="true"/>
        <sz val="10"/>
        <rFont val="Arial"/>
        <family val="0"/>
        <charset val="1"/>
      </rPr>
      <t xml:space="preserve">GW </t>
    </r>
    <r>
      <rPr>
        <b val="true"/>
        <sz val="10"/>
        <rFont val="Noto Sans CJK SC"/>
        <family val="2"/>
      </rPr>
      <t xml:space="preserve">價格、</t>
    </r>
    <r>
      <rPr>
        <b val="true"/>
        <sz val="10"/>
        <rFont val="Arial"/>
        <family val="0"/>
        <charset val="1"/>
      </rPr>
      <t xml:space="preserve">B η </t>
    </r>
    <r>
      <rPr>
        <b val="true"/>
        <sz val="10"/>
        <rFont val="Noto Sans CJK SC"/>
        <family val="2"/>
      </rPr>
      <t xml:space="preserve">路徑、</t>
    </r>
    <r>
      <rPr>
        <b val="true"/>
        <sz val="10"/>
        <rFont val="Arial"/>
        <family val="0"/>
        <charset val="1"/>
      </rPr>
      <t xml:space="preserve">C </t>
    </r>
    <r>
      <rPr>
        <b val="true"/>
        <sz val="10"/>
        <rFont val="Noto Sans CJK SC"/>
        <family val="2"/>
      </rPr>
      <t xml:space="preserve">國產產出比</t>
    </r>
  </si>
  <si>
    <t xml:space="preserve">G138</t>
  </si>
  <si>
    <r>
      <rPr>
        <sz val="10"/>
        <color rgb="FF000000"/>
        <rFont val="Arial"/>
        <family val="0"/>
        <charset val="1"/>
      </rPr>
      <t xml:space="preserve">A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價格（低端租價）</t>
    </r>
  </si>
  <si>
    <r>
      <rPr>
        <sz val="9"/>
        <color rgb="FF595959"/>
        <rFont val="Noto Sans CJK SC"/>
        <family val="2"/>
      </rPr>
      <t xml:space="preserve">各族租價取區間端點（</t>
    </r>
    <r>
      <rPr>
        <sz val="9"/>
        <color rgb="FF595959"/>
        <rFont val="Arial"/>
        <family val="0"/>
        <charset val="1"/>
      </rPr>
      <t xml:space="preserve">Hopper 11.83</t>
    </r>
    <r>
      <rPr>
        <sz val="9"/>
        <color rgb="FF595959"/>
        <rFont val="Noto Sans CJK SC"/>
        <family val="2"/>
      </rPr>
      <t xml:space="preserve">／</t>
    </r>
    <r>
      <rPr>
        <sz val="9"/>
        <color rgb="FF595959"/>
        <rFont val="Arial"/>
        <family val="0"/>
        <charset val="1"/>
      </rPr>
      <t xml:space="preserve">18.75</t>
    </r>
    <r>
      <rPr>
        <sz val="9"/>
        <color rgb="FF595959"/>
        <rFont val="Noto Sans CJK SC"/>
        <family val="2"/>
      </rPr>
      <t xml:space="preserve">；</t>
    </r>
    <r>
      <rPr>
        <sz val="9"/>
        <color rgb="FF595959"/>
        <rFont val="Arial"/>
        <family val="0"/>
        <charset val="1"/>
      </rPr>
      <t xml:space="preserve">H20 7.03</t>
    </r>
    <r>
      <rPr>
        <sz val="9"/>
        <color rgb="FF595959"/>
        <rFont val="Noto Sans CJK SC"/>
        <family val="2"/>
      </rPr>
      <t xml:space="preserve">／</t>
    </r>
    <r>
      <rPr>
        <sz val="9"/>
        <color rgb="FF595959"/>
        <rFont val="Arial"/>
        <family val="0"/>
        <charset val="1"/>
      </rPr>
      <t xml:space="preserve">8.16</t>
    </r>
    <r>
      <rPr>
        <sz val="9"/>
        <color rgb="FF595959"/>
        <rFont val="Noto Sans CJK SC"/>
        <family val="2"/>
      </rPr>
      <t xml:space="preserve">；</t>
    </r>
    <r>
      <rPr>
        <sz val="9"/>
        <color rgb="FF595959"/>
        <rFont val="Arial"/>
        <family val="0"/>
        <charset val="1"/>
      </rPr>
      <t xml:space="preserve">910B 2.74</t>
    </r>
    <r>
      <rPr>
        <sz val="9"/>
        <color rgb="FF595959"/>
        <rFont val="Noto Sans CJK SC"/>
        <family val="2"/>
      </rPr>
      <t xml:space="preserve">／</t>
    </r>
    <r>
      <rPr>
        <sz val="9"/>
        <color rgb="FF595959"/>
        <rFont val="Arial"/>
        <family val="0"/>
        <charset val="1"/>
      </rPr>
      <t xml:space="preserve">4.28</t>
    </r>
    <r>
      <rPr>
        <sz val="9"/>
        <color rgb="FF595959"/>
        <rFont val="Noto Sans CJK SC"/>
        <family val="2"/>
      </rPr>
      <t xml:space="preserve">）</t>
    </r>
  </si>
  <si>
    <t xml:space="preserve">G139</t>
  </si>
  <si>
    <r>
      <rPr>
        <sz val="10"/>
        <color rgb="FF000000"/>
        <rFont val="Arial"/>
        <family val="0"/>
        <charset val="1"/>
      </rPr>
      <t xml:space="preserve">A </t>
    </r>
    <r>
      <rPr>
        <sz val="10"/>
        <color rgb="FF000000"/>
        <rFont val="Noto Sans CJK SC"/>
        <family val="2"/>
      </rPr>
      <t xml:space="preserve">供給 </t>
    </r>
    <r>
      <rPr>
        <sz val="10"/>
        <color rgb="FF000000"/>
        <rFont val="Arial"/>
        <family val="0"/>
        <charset val="1"/>
      </rPr>
      <t xml:space="preserve">GW</t>
    </r>
    <r>
      <rPr>
        <sz val="10"/>
        <color rgb="FF000000"/>
        <rFont val="Noto Sans CJK SC"/>
        <family val="2"/>
      </rPr>
      <t xml:space="preserve">（低端）</t>
    </r>
  </si>
  <si>
    <r>
      <rPr>
        <sz val="9"/>
        <color rgb="FF595959"/>
        <rFont val="Arial"/>
        <family val="0"/>
        <charset val="1"/>
      </rPr>
      <t xml:space="preserve">1H26</t>
    </r>
    <r>
      <rPr>
        <sz val="9"/>
        <color rgb="FF595959"/>
        <rFont val="Noto Sans CJK SC"/>
        <family val="2"/>
      </rPr>
      <t xml:space="preserve">＝總算力費 </t>
    </r>
    <r>
      <rPr>
        <sz val="9"/>
        <color rgb="FF595959"/>
        <rFont val="Arial"/>
        <family val="0"/>
        <charset val="1"/>
      </rPr>
      <t xml:space="preserve">÷ </t>
    </r>
    <r>
      <rPr>
        <sz val="9"/>
        <color rgb="FF595959"/>
        <rFont val="Noto Sans CJK SC"/>
        <family val="2"/>
      </rPr>
      <t xml:space="preserve">價格</t>
    </r>
  </si>
  <si>
    <t xml:space="preserve">G140</t>
  </si>
  <si>
    <r>
      <rPr>
        <sz val="10"/>
        <color rgb="FF000000"/>
        <rFont val="Arial"/>
        <family val="0"/>
        <charset val="1"/>
      </rPr>
      <t xml:space="preserve">A η 1H26</t>
    </r>
    <r>
      <rPr>
        <sz val="10"/>
        <color rgb="FF000000"/>
        <rFont val="Noto Sans CJK SC"/>
        <family val="2"/>
      </rPr>
      <t xml:space="preserve">（低端）</t>
    </r>
  </si>
  <si>
    <r>
      <rPr>
        <sz val="9"/>
        <color rgb="FF595959"/>
        <rFont val="Noto Sans CJK SC"/>
        <family val="2"/>
      </rPr>
      <t xml:space="preserve">同第七節（</t>
    </r>
    <r>
      <rPr>
        <sz val="9"/>
        <color rgb="FF595959"/>
        <rFont val="Arial"/>
        <family val="0"/>
        <charset val="1"/>
      </rPr>
      <t xml:space="preserve">r2 P1</t>
    </r>
    <r>
      <rPr>
        <sz val="9"/>
        <color rgb="FF595959"/>
        <rFont val="Noto Sans CJK SC"/>
        <family val="2"/>
      </rPr>
      <t xml:space="preserve">）</t>
    </r>
  </si>
  <si>
    <t xml:space="preserve">G141</t>
  </si>
  <si>
    <r>
      <rPr>
        <sz val="10"/>
        <color rgb="FF000000"/>
        <rFont val="Arial"/>
        <family val="0"/>
        <charset val="1"/>
      </rPr>
      <t xml:space="preserve">A </t>
    </r>
    <r>
      <rPr>
        <sz val="10"/>
        <color rgb="FF000000"/>
        <rFont val="Noto Sans CJK SC"/>
        <family val="2"/>
      </rPr>
      <t xml:space="preserve">研發占比 </t>
    </r>
    <r>
      <rPr>
        <sz val="10"/>
        <color rgb="FF000000"/>
        <rFont val="Arial"/>
        <family val="0"/>
        <charset val="1"/>
      </rPr>
      <t xml:space="preserve">1H26→2030</t>
    </r>
    <r>
      <rPr>
        <sz val="10"/>
        <color rgb="FF000000"/>
        <rFont val="Noto Sans CJK SC"/>
        <family val="2"/>
      </rPr>
      <t xml:space="preserve">（低端）</t>
    </r>
  </si>
  <si>
    <r>
      <rPr>
        <sz val="9"/>
        <color rgb="FF595959"/>
        <rFont val="Arial"/>
        <family val="0"/>
        <charset val="1"/>
      </rPr>
      <t xml:space="preserve">1H26</t>
    </r>
    <r>
      <rPr>
        <sz val="9"/>
        <color rgb="FF595959"/>
        <rFont val="Noto Sans CJK SC"/>
        <family val="2"/>
      </rPr>
      <t xml:space="preserve">＝研發殘差 </t>
    </r>
    <r>
      <rPr>
        <sz val="9"/>
        <color rgb="FF595959"/>
        <rFont val="Arial"/>
        <family val="0"/>
        <charset val="1"/>
      </rPr>
      <t xml:space="preserve">÷ </t>
    </r>
    <r>
      <rPr>
        <sz val="9"/>
        <color rgb="FF595959"/>
        <rFont val="Noto Sans CJK SC"/>
        <family val="2"/>
      </rPr>
      <t xml:space="preserve">供給；</t>
    </r>
    <r>
      <rPr>
        <sz val="9"/>
        <color rgb="FF595959"/>
        <rFont val="Arial"/>
        <family val="0"/>
        <charset val="1"/>
      </rPr>
      <t xml:space="preserve">2030</t>
    </r>
    <r>
      <rPr>
        <sz val="9"/>
        <color rgb="FF595959"/>
        <rFont val="Noto Sans CJK SC"/>
        <family val="2"/>
      </rPr>
      <t xml:space="preserve">＝同第八節路徑</t>
    </r>
  </si>
  <si>
    <t xml:space="preserve">G142</t>
  </si>
  <si>
    <r>
      <rPr>
        <sz val="10"/>
        <color rgb="FF000000"/>
        <rFont val="Arial"/>
        <family val="0"/>
        <charset val="1"/>
      </rPr>
      <t xml:space="preserve">A 2030 </t>
    </r>
    <r>
      <rPr>
        <sz val="10"/>
        <color rgb="FF000000"/>
        <rFont val="Noto Sans CJK SC"/>
        <family val="2"/>
      </rPr>
      <t xml:space="preserve">供給 </t>
    </r>
    <r>
      <rPr>
        <sz val="10"/>
        <color rgb="FF000000"/>
        <rFont val="Arial"/>
        <family val="0"/>
        <charset val="1"/>
      </rPr>
      <t xml:space="preserve">GW</t>
    </r>
    <r>
      <rPr>
        <sz val="10"/>
        <color rgb="FF000000"/>
        <rFont val="Noto Sans CJK SC"/>
        <family val="2"/>
      </rPr>
      <t xml:space="preserve">（低端）</t>
    </r>
  </si>
  <si>
    <r>
      <rPr>
        <sz val="9"/>
        <color rgb="FF595959"/>
        <rFont val="Noto Sans CJK SC"/>
        <family val="2"/>
      </rPr>
      <t xml:space="preserve">有效推論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閒置</t>
    </r>
    <r>
      <rPr>
        <sz val="9"/>
        <color rgb="FF595959"/>
        <rFont val="Arial"/>
        <family val="0"/>
        <charset val="1"/>
      </rPr>
      <t xml:space="preserve">)(1−</t>
    </r>
    <r>
      <rPr>
        <sz val="9"/>
        <color rgb="FF595959"/>
        <rFont val="Noto Sans CJK SC"/>
        <family val="2"/>
      </rPr>
      <t xml:space="preserve">研發占比</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η </t>
    </r>
    <r>
      <rPr>
        <sz val="9"/>
        <color rgb="FF595959"/>
        <rFont val="Noto Sans CJK SC"/>
        <family val="2"/>
      </rPr>
      <t xml:space="preserve">沿用）</t>
    </r>
  </si>
  <si>
    <t xml:space="preserve">G143</t>
  </si>
  <si>
    <r>
      <rPr>
        <sz val="10"/>
        <color rgb="FF000000"/>
        <rFont val="Arial"/>
        <family val="0"/>
        <charset val="1"/>
      </rPr>
      <t xml:space="preserve">A </t>
    </r>
    <r>
      <rPr>
        <sz val="10"/>
        <color rgb="FF000000"/>
        <rFont val="Noto Sans CJK SC"/>
        <family val="2"/>
      </rPr>
      <t xml:space="preserve">供給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（低端）</t>
    </r>
  </si>
  <si>
    <t xml:space="preserve">G144</t>
  </si>
  <si>
    <r>
      <rPr>
        <sz val="10"/>
        <color rgb="FF000000"/>
        <rFont val="Arial"/>
        <family val="0"/>
        <charset val="1"/>
      </rPr>
      <t xml:space="preserve">A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價格（高端租價）</t>
    </r>
  </si>
  <si>
    <t xml:space="preserve">G145</t>
  </si>
  <si>
    <r>
      <rPr>
        <sz val="10"/>
        <color rgb="FF000000"/>
        <rFont val="Arial"/>
        <family val="0"/>
        <charset val="1"/>
      </rPr>
      <t xml:space="preserve">A </t>
    </r>
    <r>
      <rPr>
        <sz val="10"/>
        <color rgb="FF000000"/>
        <rFont val="Noto Sans CJK SC"/>
        <family val="2"/>
      </rPr>
      <t xml:space="preserve">供給 </t>
    </r>
    <r>
      <rPr>
        <sz val="10"/>
        <color rgb="FF000000"/>
        <rFont val="Arial"/>
        <family val="0"/>
        <charset val="1"/>
      </rPr>
      <t xml:space="preserve">GW</t>
    </r>
    <r>
      <rPr>
        <sz val="10"/>
        <color rgb="FF000000"/>
        <rFont val="Noto Sans CJK SC"/>
        <family val="2"/>
      </rPr>
      <t xml:space="preserve">（高端）</t>
    </r>
  </si>
  <si>
    <t xml:space="preserve">G146</t>
  </si>
  <si>
    <r>
      <rPr>
        <sz val="10"/>
        <color rgb="FF000000"/>
        <rFont val="Arial"/>
        <family val="0"/>
        <charset val="1"/>
      </rPr>
      <t xml:space="preserve">A η 1H26</t>
    </r>
    <r>
      <rPr>
        <sz val="10"/>
        <color rgb="FF000000"/>
        <rFont val="Noto Sans CJK SC"/>
        <family val="2"/>
      </rPr>
      <t xml:space="preserve">（高端）</t>
    </r>
  </si>
  <si>
    <t xml:space="preserve">G147</t>
  </si>
  <si>
    <r>
      <rPr>
        <sz val="10"/>
        <color rgb="FF000000"/>
        <rFont val="Arial"/>
        <family val="0"/>
        <charset val="1"/>
      </rPr>
      <t xml:space="preserve">A </t>
    </r>
    <r>
      <rPr>
        <sz val="10"/>
        <color rgb="FF000000"/>
        <rFont val="Noto Sans CJK SC"/>
        <family val="2"/>
      </rPr>
      <t xml:space="preserve">研發占比 </t>
    </r>
    <r>
      <rPr>
        <sz val="10"/>
        <color rgb="FF000000"/>
        <rFont val="Arial"/>
        <family val="0"/>
        <charset val="1"/>
      </rPr>
      <t xml:space="preserve">1H26→2030</t>
    </r>
    <r>
      <rPr>
        <sz val="10"/>
        <color rgb="FF000000"/>
        <rFont val="Noto Sans CJK SC"/>
        <family val="2"/>
      </rPr>
      <t xml:space="preserve">（高端）</t>
    </r>
  </si>
  <si>
    <t xml:space="preserve">G148</t>
  </si>
  <si>
    <r>
      <rPr>
        <sz val="10"/>
        <color rgb="FF000000"/>
        <rFont val="Arial"/>
        <family val="0"/>
        <charset val="1"/>
      </rPr>
      <t xml:space="preserve">A 2030 </t>
    </r>
    <r>
      <rPr>
        <sz val="10"/>
        <color rgb="FF000000"/>
        <rFont val="Noto Sans CJK SC"/>
        <family val="2"/>
      </rPr>
      <t xml:space="preserve">供給 </t>
    </r>
    <r>
      <rPr>
        <sz val="10"/>
        <color rgb="FF000000"/>
        <rFont val="Arial"/>
        <family val="0"/>
        <charset val="1"/>
      </rPr>
      <t xml:space="preserve">GW</t>
    </r>
    <r>
      <rPr>
        <sz val="10"/>
        <color rgb="FF000000"/>
        <rFont val="Noto Sans CJK SC"/>
        <family val="2"/>
      </rPr>
      <t xml:space="preserve">（高端）</t>
    </r>
  </si>
  <si>
    <t xml:space="preserve">G149</t>
  </si>
  <si>
    <r>
      <rPr>
        <sz val="10"/>
        <color rgb="FF000000"/>
        <rFont val="Arial"/>
        <family val="0"/>
        <charset val="1"/>
      </rPr>
      <t xml:space="preserve">A </t>
    </r>
    <r>
      <rPr>
        <sz val="10"/>
        <color rgb="FF000000"/>
        <rFont val="Noto Sans CJK SC"/>
        <family val="2"/>
      </rPr>
      <t xml:space="preserve">供給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（高端）</t>
    </r>
  </si>
  <si>
    <t xml:space="preserve">G150</t>
  </si>
  <si>
    <r>
      <rPr>
        <sz val="10"/>
        <color rgb="FF000000"/>
        <rFont val="Arial"/>
        <family val="0"/>
        <charset val="1"/>
      </rPr>
      <t xml:space="preserve">B η </t>
    </r>
    <r>
      <rPr>
        <sz val="10"/>
        <color rgb="FF000000"/>
        <rFont val="Noto Sans CJK SC"/>
        <family val="2"/>
      </rPr>
      <t xml:space="preserve">收斂至 </t>
    </r>
    <r>
      <rPr>
        <sz val="10"/>
        <color rgb="FF000000"/>
        <rFont val="Arial"/>
        <family val="0"/>
        <charset val="1"/>
      </rPr>
      <t xml:space="preserve">2030</t>
    </r>
    <r>
      <rPr>
        <sz val="10"/>
        <color rgb="FF000000"/>
        <rFont val="Noto Sans CJK SC"/>
        <family val="2"/>
      </rPr>
      <t xml:space="preserve">＝目標：</t>
    </r>
    <r>
      <rPr>
        <sz val="10"/>
        <color rgb="FF000000"/>
        <rFont val="Arial"/>
        <family val="0"/>
        <charset val="1"/>
      </rPr>
      <t xml:space="preserve">2030 </t>
    </r>
    <r>
      <rPr>
        <sz val="10"/>
        <color rgb="FF000000"/>
        <rFont val="Noto Sans CJK SC"/>
        <family val="2"/>
      </rPr>
      <t xml:space="preserve">有效推論 </t>
    </r>
    <r>
      <rPr>
        <sz val="10"/>
        <color rgb="FF000000"/>
        <rFont val="Arial"/>
        <family val="0"/>
        <charset val="1"/>
      </rPr>
      <t xml:space="preserve">GW</t>
    </r>
  </si>
  <si>
    <r>
      <rPr>
        <sz val="9"/>
        <color rgb="FF595959"/>
        <rFont val="Arial"/>
        <family val="0"/>
        <charset val="1"/>
      </rPr>
      <t xml:space="preserve">η </t>
    </r>
    <r>
      <rPr>
        <sz val="9"/>
        <color rgb="FF595959"/>
        <rFont val="Noto Sans CJK SC"/>
        <family val="2"/>
      </rPr>
      <t xml:space="preserve">線性收斂至 </t>
    </r>
    <r>
      <rPr>
        <sz val="9"/>
        <color rgb="FF595959"/>
        <rFont val="Arial"/>
        <family val="0"/>
        <charset val="1"/>
      </rPr>
      <t xml:space="preserve">1 </t>
    </r>
    <r>
      <rPr>
        <sz val="9"/>
        <color rgb="FF595959"/>
        <rFont val="Noto Sans CJK SC"/>
        <family val="2"/>
      </rPr>
      <t xml:space="preserve">的情境（</t>
    </r>
    <r>
      <rPr>
        <sz val="9"/>
        <color rgb="FF595959"/>
        <rFont val="Arial"/>
        <family val="0"/>
        <charset val="1"/>
      </rPr>
      <t xml:space="preserve">η&gt;1 </t>
    </r>
    <r>
      <rPr>
        <sz val="9"/>
        <color rgb="FF595959"/>
        <rFont val="Noto Sans CJK SC"/>
        <family val="2"/>
      </rPr>
      <t xml:space="preserve">時開關＝</t>
    </r>
    <r>
      <rPr>
        <sz val="9"/>
        <color rgb="FF595959"/>
        <rFont val="Arial"/>
        <family val="0"/>
        <charset val="1"/>
      </rPr>
      <t xml:space="preserve">1</t>
    </r>
    <r>
      <rPr>
        <sz val="9"/>
        <color rgb="FF595959"/>
        <rFont val="Noto Sans CJK SC"/>
        <family val="2"/>
      </rPr>
      <t xml:space="preserve">）</t>
    </r>
  </si>
  <si>
    <t xml:space="preserve">G151</t>
  </si>
  <si>
    <r>
      <rPr>
        <sz val="10"/>
        <color rgb="FF000000"/>
        <rFont val="Arial"/>
        <family val="0"/>
        <charset val="1"/>
      </rPr>
      <t xml:space="preserve">B η </t>
    </r>
    <r>
      <rPr>
        <sz val="10"/>
        <color rgb="FF000000"/>
        <rFont val="Noto Sans CJK SC"/>
        <family val="2"/>
      </rPr>
      <t xml:space="preserve">收斂：</t>
    </r>
    <r>
      <rPr>
        <sz val="10"/>
        <color rgb="FF000000"/>
        <rFont val="Arial"/>
        <family val="0"/>
        <charset val="1"/>
      </rPr>
      <t xml:space="preserve">2030 </t>
    </r>
    <r>
      <rPr>
        <sz val="10"/>
        <color rgb="FF000000"/>
        <rFont val="Noto Sans CJK SC"/>
        <family val="2"/>
      </rPr>
      <t xml:space="preserve">供給 </t>
    </r>
    <r>
      <rPr>
        <sz val="10"/>
        <color rgb="FF000000"/>
        <rFont val="Arial"/>
        <family val="0"/>
        <charset val="1"/>
      </rPr>
      <t xml:space="preserve">GW</t>
    </r>
  </si>
  <si>
    <t xml:space="preserve">G152</t>
  </si>
  <si>
    <r>
      <rPr>
        <sz val="10"/>
        <color rgb="FF000000"/>
        <rFont val="Arial"/>
        <family val="0"/>
        <charset val="1"/>
      </rPr>
      <t xml:space="preserve">B η </t>
    </r>
    <r>
      <rPr>
        <sz val="10"/>
        <color rgb="FF000000"/>
        <rFont val="Noto Sans CJK SC"/>
        <family val="2"/>
      </rPr>
      <t xml:space="preserve">收斂：</t>
    </r>
    <r>
      <rPr>
        <sz val="10"/>
        <color rgb="FF000000"/>
        <rFont val="Arial"/>
        <family val="0"/>
        <charset val="1"/>
      </rPr>
      <t xml:space="preserve">2030 </t>
    </r>
    <r>
      <rPr>
        <sz val="10"/>
        <color rgb="FF000000"/>
        <rFont val="Noto Sans CJK SC"/>
        <family val="2"/>
      </rPr>
      <t xml:space="preserve">供給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</si>
  <si>
    <t xml:space="preserve">G153</t>
  </si>
  <si>
    <r>
      <rPr>
        <sz val="10"/>
        <color rgb="FF000000"/>
        <rFont val="Arial"/>
        <family val="0"/>
        <charset val="1"/>
      </rPr>
      <t xml:space="preserve">C </t>
    </r>
    <r>
      <rPr>
        <sz val="10"/>
        <color rgb="FF000000"/>
        <rFont val="Noto Sans CJK SC"/>
        <family val="2"/>
      </rPr>
      <t xml:space="preserve">國產產出比（低端）</t>
    </r>
  </si>
  <si>
    <r>
      <rPr>
        <sz val="9"/>
        <color rgb="FF595959"/>
        <rFont val="Arial"/>
        <family val="0"/>
        <charset val="1"/>
      </rPr>
      <t xml:space="preserve">Inputs </t>
    </r>
    <r>
      <rPr>
        <sz val="9"/>
        <color rgb="FF595959"/>
        <rFont val="Noto Sans CJK SC"/>
        <family val="2"/>
      </rPr>
      <t xml:space="preserve">國產產出比的低端欄</t>
    </r>
  </si>
  <si>
    <t xml:space="preserve">G154</t>
  </si>
  <si>
    <r>
      <rPr>
        <sz val="10"/>
        <color rgb="FF000000"/>
        <rFont val="Arial"/>
        <family val="0"/>
        <charset val="1"/>
      </rPr>
      <t xml:space="preserve">C </t>
    </r>
    <r>
      <rPr>
        <sz val="10"/>
        <color rgb="FF000000"/>
        <rFont val="Noto Sans CJK SC"/>
        <family val="2"/>
      </rPr>
      <t xml:space="preserve">組合產出係數（低端）</t>
    </r>
  </si>
  <si>
    <t xml:space="preserve">G155</t>
  </si>
  <si>
    <r>
      <rPr>
        <sz val="10"/>
        <color rgb="FF000000"/>
        <rFont val="Arial"/>
        <family val="0"/>
        <charset val="1"/>
      </rPr>
      <t xml:space="preserve">C token </t>
    </r>
    <r>
      <rPr>
        <sz val="10"/>
        <color rgb="FF000000"/>
        <rFont val="Noto Sans CJK SC"/>
        <family val="2"/>
      </rPr>
      <t xml:space="preserve">換算 </t>
    </r>
    <r>
      <rPr>
        <sz val="10"/>
        <color rgb="FF000000"/>
        <rFont val="Arial"/>
        <family val="0"/>
        <charset val="1"/>
      </rPr>
      <t xml:space="preserve">GW</t>
    </r>
    <r>
      <rPr>
        <sz val="10"/>
        <color rgb="FF000000"/>
        <rFont val="Noto Sans CJK SC"/>
        <family val="2"/>
      </rPr>
      <t xml:space="preserve">（低端）</t>
    </r>
  </si>
  <si>
    <r>
      <rPr>
        <sz val="9"/>
        <color rgb="FF595959"/>
        <rFont val="Noto Sans CJK SC"/>
        <family val="2"/>
      </rPr>
      <t xml:space="preserve">各族產能同比例變動：</t>
    </r>
    <r>
      <rPr>
        <sz val="9"/>
        <color rgb="FF595959"/>
        <rFont val="Arial"/>
        <family val="0"/>
        <charset val="1"/>
      </rPr>
      <t xml:space="preserve">token GW ∝ 1 ÷ </t>
    </r>
    <r>
      <rPr>
        <sz val="9"/>
        <color rgb="FF595959"/>
        <rFont val="Noto Sans CJK SC"/>
        <family val="2"/>
      </rPr>
      <t xml:space="preserve">組合產出係數</t>
    </r>
  </si>
  <si>
    <t xml:space="preserve">G156</t>
  </si>
  <si>
    <r>
      <rPr>
        <sz val="10"/>
        <color rgb="FF000000"/>
        <rFont val="Arial"/>
        <family val="0"/>
        <charset val="1"/>
      </rPr>
      <t xml:space="preserve">C η 1H26</t>
    </r>
    <r>
      <rPr>
        <sz val="10"/>
        <color rgb="FF000000"/>
        <rFont val="Noto Sans CJK SC"/>
        <family val="2"/>
      </rPr>
      <t xml:space="preserve">（低端）</t>
    </r>
  </si>
  <si>
    <t xml:space="preserve">G157</t>
  </si>
  <si>
    <r>
      <rPr>
        <sz val="10"/>
        <color rgb="FF000000"/>
        <rFont val="Arial"/>
        <family val="0"/>
        <charset val="1"/>
      </rPr>
      <t xml:space="preserve">C </t>
    </r>
    <r>
      <rPr>
        <sz val="10"/>
        <color rgb="FF000000"/>
        <rFont val="Noto Sans CJK SC"/>
        <family val="2"/>
      </rPr>
      <t xml:space="preserve">研發占比 </t>
    </r>
    <r>
      <rPr>
        <sz val="10"/>
        <color rgb="FF000000"/>
        <rFont val="Arial"/>
        <family val="0"/>
        <charset val="1"/>
      </rPr>
      <t xml:space="preserve">1H26→2030</t>
    </r>
    <r>
      <rPr>
        <sz val="10"/>
        <color rgb="FF000000"/>
        <rFont val="Noto Sans CJK SC"/>
        <family val="2"/>
      </rPr>
      <t xml:space="preserve">（低端）</t>
    </r>
  </si>
  <si>
    <t xml:space="preserve">G158</t>
  </si>
  <si>
    <r>
      <rPr>
        <sz val="10"/>
        <color rgb="FF000000"/>
        <rFont val="Arial"/>
        <family val="0"/>
        <charset val="1"/>
      </rPr>
      <t xml:space="preserve">C 2030 </t>
    </r>
    <r>
      <rPr>
        <sz val="10"/>
        <color rgb="FF000000"/>
        <rFont val="Noto Sans CJK SC"/>
        <family val="2"/>
      </rPr>
      <t xml:space="preserve">供給 </t>
    </r>
    <r>
      <rPr>
        <sz val="10"/>
        <color rgb="FF000000"/>
        <rFont val="Arial"/>
        <family val="0"/>
        <charset val="1"/>
      </rPr>
      <t xml:space="preserve">GW</t>
    </r>
    <r>
      <rPr>
        <sz val="10"/>
        <color rgb="FF000000"/>
        <rFont val="Noto Sans CJK SC"/>
        <family val="2"/>
      </rPr>
      <t xml:space="preserve">（低端）</t>
    </r>
  </si>
  <si>
    <t xml:space="preserve">G159</t>
  </si>
  <si>
    <r>
      <rPr>
        <sz val="10"/>
        <color rgb="FF000000"/>
        <rFont val="Arial"/>
        <family val="0"/>
        <charset val="1"/>
      </rPr>
      <t xml:space="preserve">C 2030 </t>
    </r>
    <r>
      <rPr>
        <sz val="10"/>
        <color rgb="FF000000"/>
        <rFont val="Noto Sans CJK SC"/>
        <family val="2"/>
      </rPr>
      <t xml:space="preserve">供給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（低端）</t>
    </r>
  </si>
  <si>
    <t xml:space="preserve">G160</t>
  </si>
  <si>
    <r>
      <rPr>
        <sz val="10"/>
        <color rgb="FF000000"/>
        <rFont val="Arial"/>
        <family val="0"/>
        <charset val="1"/>
      </rPr>
      <t xml:space="preserve">C </t>
    </r>
    <r>
      <rPr>
        <sz val="10"/>
        <color rgb="FF000000"/>
        <rFont val="Noto Sans CJK SC"/>
        <family val="2"/>
      </rPr>
      <t xml:space="preserve">國產產出比（高端）</t>
    </r>
  </si>
  <si>
    <r>
      <rPr>
        <sz val="9"/>
        <color rgb="FF595959"/>
        <rFont val="Arial"/>
        <family val="0"/>
        <charset val="1"/>
      </rPr>
      <t xml:space="preserve">Inputs </t>
    </r>
    <r>
      <rPr>
        <sz val="9"/>
        <color rgb="FF595959"/>
        <rFont val="Noto Sans CJK SC"/>
        <family val="2"/>
      </rPr>
      <t xml:space="preserve">國產產出比的高端欄</t>
    </r>
  </si>
  <si>
    <t xml:space="preserve">G161</t>
  </si>
  <si>
    <r>
      <rPr>
        <sz val="10"/>
        <color rgb="FF000000"/>
        <rFont val="Arial"/>
        <family val="0"/>
        <charset val="1"/>
      </rPr>
      <t xml:space="preserve">C </t>
    </r>
    <r>
      <rPr>
        <sz val="10"/>
        <color rgb="FF000000"/>
        <rFont val="Noto Sans CJK SC"/>
        <family val="2"/>
      </rPr>
      <t xml:space="preserve">組合產出係數（高端）</t>
    </r>
  </si>
  <si>
    <t xml:space="preserve">G162</t>
  </si>
  <si>
    <r>
      <rPr>
        <sz val="10"/>
        <color rgb="FF000000"/>
        <rFont val="Arial"/>
        <family val="0"/>
        <charset val="1"/>
      </rPr>
      <t xml:space="preserve">C token </t>
    </r>
    <r>
      <rPr>
        <sz val="10"/>
        <color rgb="FF000000"/>
        <rFont val="Noto Sans CJK SC"/>
        <family val="2"/>
      </rPr>
      <t xml:space="preserve">換算 </t>
    </r>
    <r>
      <rPr>
        <sz val="10"/>
        <color rgb="FF000000"/>
        <rFont val="Arial"/>
        <family val="0"/>
        <charset val="1"/>
      </rPr>
      <t xml:space="preserve">GW</t>
    </r>
    <r>
      <rPr>
        <sz val="10"/>
        <color rgb="FF000000"/>
        <rFont val="Noto Sans CJK SC"/>
        <family val="2"/>
      </rPr>
      <t xml:space="preserve">（高端）</t>
    </r>
  </si>
  <si>
    <t xml:space="preserve">G163</t>
  </si>
  <si>
    <r>
      <rPr>
        <sz val="10"/>
        <color rgb="FF000000"/>
        <rFont val="Arial"/>
        <family val="0"/>
        <charset val="1"/>
      </rPr>
      <t xml:space="preserve">C η 1H26</t>
    </r>
    <r>
      <rPr>
        <sz val="10"/>
        <color rgb="FF000000"/>
        <rFont val="Noto Sans CJK SC"/>
        <family val="2"/>
      </rPr>
      <t xml:space="preserve">（高端）</t>
    </r>
  </si>
  <si>
    <t xml:space="preserve">G164</t>
  </si>
  <si>
    <r>
      <rPr>
        <sz val="10"/>
        <color rgb="FF000000"/>
        <rFont val="Arial"/>
        <family val="0"/>
        <charset val="1"/>
      </rPr>
      <t xml:space="preserve">C </t>
    </r>
    <r>
      <rPr>
        <sz val="10"/>
        <color rgb="FF000000"/>
        <rFont val="Noto Sans CJK SC"/>
        <family val="2"/>
      </rPr>
      <t xml:space="preserve">研發占比 </t>
    </r>
    <r>
      <rPr>
        <sz val="10"/>
        <color rgb="FF000000"/>
        <rFont val="Arial"/>
        <family val="0"/>
        <charset val="1"/>
      </rPr>
      <t xml:space="preserve">1H26→2030</t>
    </r>
    <r>
      <rPr>
        <sz val="10"/>
        <color rgb="FF000000"/>
        <rFont val="Noto Sans CJK SC"/>
        <family val="2"/>
      </rPr>
      <t xml:space="preserve">（高端）</t>
    </r>
  </si>
  <si>
    <t xml:space="preserve">G165</t>
  </si>
  <si>
    <r>
      <rPr>
        <sz val="10"/>
        <color rgb="FF000000"/>
        <rFont val="Arial"/>
        <family val="0"/>
        <charset val="1"/>
      </rPr>
      <t xml:space="preserve">C 2030 </t>
    </r>
    <r>
      <rPr>
        <sz val="10"/>
        <color rgb="FF000000"/>
        <rFont val="Noto Sans CJK SC"/>
        <family val="2"/>
      </rPr>
      <t xml:space="preserve">供給 </t>
    </r>
    <r>
      <rPr>
        <sz val="10"/>
        <color rgb="FF000000"/>
        <rFont val="Arial"/>
        <family val="0"/>
        <charset val="1"/>
      </rPr>
      <t xml:space="preserve">GW</t>
    </r>
    <r>
      <rPr>
        <sz val="10"/>
        <color rgb="FF000000"/>
        <rFont val="Noto Sans CJK SC"/>
        <family val="2"/>
      </rPr>
      <t xml:space="preserve">（高端）</t>
    </r>
  </si>
  <si>
    <t xml:space="preserve">G166</t>
  </si>
  <si>
    <r>
      <rPr>
        <sz val="10"/>
        <color rgb="FF000000"/>
        <rFont val="Arial"/>
        <family val="0"/>
        <charset val="1"/>
      </rPr>
      <t xml:space="preserve">C 2030 </t>
    </r>
    <r>
      <rPr>
        <sz val="10"/>
        <color rgb="FF000000"/>
        <rFont val="Noto Sans CJK SC"/>
        <family val="2"/>
      </rPr>
      <t xml:space="preserve">供給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（高端）</t>
    </r>
  </si>
  <si>
    <r>
      <rPr>
        <b val="true"/>
        <sz val="10"/>
        <rFont val="Noto Sans CJK SC"/>
        <family val="2"/>
      </rPr>
      <t xml:space="preserve">十四、</t>
    </r>
    <r>
      <rPr>
        <b val="true"/>
        <sz val="10"/>
        <rFont val="Arial"/>
        <family val="0"/>
        <charset val="1"/>
      </rPr>
      <t xml:space="preserve">Z5b </t>
    </r>
    <r>
      <rPr>
        <b val="true"/>
        <sz val="10"/>
        <rFont val="Noto Sans CJK SC"/>
        <family val="2"/>
      </rPr>
      <t xml:space="preserve">修正：每 </t>
    </r>
    <r>
      <rPr>
        <b val="true"/>
        <sz val="10"/>
        <rFont val="Arial"/>
        <family val="0"/>
        <charset val="1"/>
      </rPr>
      <t xml:space="preserve">GW </t>
    </r>
    <r>
      <rPr>
        <b val="true"/>
        <sz val="10"/>
        <rFont val="Noto Sans CJK SC"/>
        <family val="2"/>
      </rPr>
      <t xml:space="preserve">租價下限＝供應商持有成本 </t>
    </r>
    <r>
      <rPr>
        <b val="true"/>
        <sz val="10"/>
        <rFont val="Arial"/>
        <family val="0"/>
        <charset val="1"/>
      </rPr>
      <t xml:space="preserve">×</t>
    </r>
    <r>
      <rPr>
        <b val="true"/>
        <sz val="10"/>
        <rFont val="Noto Sans CJK SC"/>
        <family val="2"/>
      </rPr>
      <t xml:space="preserve">（</t>
    </r>
    <r>
      <rPr>
        <b val="true"/>
        <sz val="10"/>
        <rFont val="Arial"/>
        <family val="0"/>
        <charset val="1"/>
      </rPr>
      <t xml:space="preserve">1</t>
    </r>
    <r>
      <rPr>
        <b val="true"/>
        <sz val="10"/>
        <rFont val="Noto Sans CJK SC"/>
        <family val="2"/>
      </rPr>
      <t xml:space="preserve">＋最低毛利）（</t>
    </r>
    <r>
      <rPr>
        <b val="true"/>
        <sz val="10"/>
        <rFont val="Arial"/>
        <family val="0"/>
        <charset val="1"/>
      </rPr>
      <t xml:space="preserve">V1</t>
    </r>
    <r>
      <rPr>
        <b val="true"/>
        <sz val="10"/>
        <rFont val="Noto Sans CJK SC"/>
        <family val="2"/>
      </rPr>
      <t xml:space="preserve">）；自有算力營運費用與資本支出攤提（</t>
    </r>
    <r>
      <rPr>
        <b val="true"/>
        <sz val="10"/>
        <rFont val="Arial"/>
        <family val="0"/>
        <charset val="1"/>
      </rPr>
      <t xml:space="preserve">V2</t>
    </r>
    <r>
      <rPr>
        <b val="true"/>
        <sz val="10"/>
        <rFont val="Noto Sans CJK SC"/>
        <family val="2"/>
      </rPr>
      <t xml:space="preserve">；</t>
    </r>
    <r>
      <rPr>
        <b val="true"/>
        <sz val="10"/>
        <rFont val="Arial"/>
        <family val="0"/>
        <charset val="1"/>
      </rPr>
      <t xml:space="preserve">TK IF_OpexGW</t>
    </r>
    <r>
      <rPr>
        <b val="true"/>
        <sz val="10"/>
        <rFont val="Noto Sans CJK SC"/>
        <family val="2"/>
      </rPr>
      <t xml:space="preserve">、</t>
    </r>
    <r>
      <rPr>
        <b val="true"/>
        <sz val="10"/>
        <rFont val="Arial"/>
        <family val="0"/>
        <charset val="1"/>
      </rPr>
      <t xml:space="preserve">IF_DeprLifeIT</t>
    </r>
    <r>
      <rPr>
        <b val="true"/>
        <sz val="10"/>
        <rFont val="Noto Sans CJK SC"/>
        <family val="2"/>
      </rPr>
      <t xml:space="preserve">）</t>
    </r>
  </si>
  <si>
    <t xml:space="preserve">G167</t>
  </si>
  <si>
    <r>
      <rPr>
        <sz val="10"/>
        <color rgb="FF000000"/>
        <rFont val="Noto Sans CJK SC"/>
        <family val="2"/>
      </rPr>
      <t xml:space="preserve">觀察租價換算每 </t>
    </r>
    <r>
      <rPr>
        <sz val="10"/>
        <color rgb="FF000000"/>
        <rFont val="Arial"/>
        <family val="0"/>
        <charset val="1"/>
      </rPr>
      <t xml:space="preserve">GW </t>
    </r>
    <r>
      <rPr>
        <sz val="10"/>
        <color rgb="FF000000"/>
        <rFont val="Noto Sans CJK SC"/>
        <family val="2"/>
      </rPr>
      <t xml:space="preserve">年價格（未設下限）：</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</si>
  <si>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r>
      <rPr>
        <sz val="9"/>
        <color rgb="FF595959"/>
        <rFont val="Noto Sans CJK SC"/>
        <family val="2"/>
      </rPr>
      <t xml:space="preserve">卡時租價 </t>
    </r>
    <r>
      <rPr>
        <sz val="9"/>
        <color rgb="FF595959"/>
        <rFont val="Arial"/>
        <family val="0"/>
        <charset val="1"/>
      </rPr>
      <t xml:space="preserve">× </t>
    </r>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卡數 </t>
    </r>
    <r>
      <rPr>
        <sz val="9"/>
        <color rgb="FF595959"/>
        <rFont val="Arial"/>
        <family val="0"/>
        <charset val="1"/>
      </rPr>
      <t xml:space="preserve">× </t>
    </r>
    <r>
      <rPr>
        <sz val="9"/>
        <color rgb="FF595959"/>
        <rFont val="Noto Sans CJK SC"/>
        <family val="2"/>
      </rPr>
      <t xml:space="preserve">每年小時 </t>
    </r>
    <r>
      <rPr>
        <sz val="9"/>
        <color rgb="FF595959"/>
        <rFont val="Arial"/>
        <family val="0"/>
        <charset val="1"/>
      </rPr>
      <t xml:space="preserve">÷ 10^8</t>
    </r>
    <r>
      <rPr>
        <sz val="9"/>
        <color rgb="FF595959"/>
        <rFont val="Noto Sans CJK SC"/>
        <family val="2"/>
      </rPr>
      <t xml:space="preserve">（</t>
    </r>
    <r>
      <rPr>
        <sz val="9"/>
        <color rgb="FF595959"/>
        <rFont val="Arial"/>
        <family val="0"/>
        <charset val="1"/>
      </rPr>
      <t xml:space="preserve">Z5b </t>
    </r>
    <r>
      <rPr>
        <sz val="9"/>
        <color rgb="FF595959"/>
        <rFont val="Noto Sans CJK SC"/>
        <family val="2"/>
      </rPr>
      <t xml:space="preserve">前的每 </t>
    </r>
    <r>
      <rPr>
        <sz val="9"/>
        <color rgb="FF595959"/>
        <rFont val="Arial"/>
        <family val="0"/>
        <charset val="1"/>
      </rPr>
      <t xml:space="preserve">GW </t>
    </r>
    <r>
      <rPr>
        <sz val="9"/>
        <color rgb="FF595959"/>
        <rFont val="Noto Sans CJK SC"/>
        <family val="2"/>
      </rPr>
      <t xml:space="preserve">價格）</t>
    </r>
  </si>
  <si>
    <t xml:space="preserve">G168</t>
  </si>
  <si>
    <r>
      <rPr>
        <sz val="10"/>
        <color rgb="FF000000"/>
        <rFont val="Noto Sans CJK SC"/>
        <family val="2"/>
      </rPr>
      <t xml:space="preserve">觀察租價換算每 </t>
    </r>
    <r>
      <rPr>
        <sz val="10"/>
        <color rgb="FF000000"/>
        <rFont val="Arial"/>
        <family val="0"/>
        <charset val="1"/>
      </rPr>
      <t xml:space="preserve">GW </t>
    </r>
    <r>
      <rPr>
        <sz val="10"/>
        <color rgb="FF000000"/>
        <rFont val="Noto Sans CJK SC"/>
        <family val="2"/>
      </rPr>
      <t xml:space="preserve">年價格（未設下限）：</t>
    </r>
    <r>
      <rPr>
        <sz val="10"/>
        <color rgb="FF000000"/>
        <rFont val="Arial"/>
        <family val="0"/>
        <charset val="1"/>
      </rPr>
      <t xml:space="preserve">H20</t>
    </r>
  </si>
  <si>
    <t xml:space="preserve">G169</t>
  </si>
  <si>
    <r>
      <rPr>
        <sz val="10"/>
        <color rgb="FF000000"/>
        <rFont val="Noto Sans CJK SC"/>
        <family val="2"/>
      </rPr>
      <t xml:space="preserve">觀察租價換算每 </t>
    </r>
    <r>
      <rPr>
        <sz val="10"/>
        <color rgb="FF000000"/>
        <rFont val="Arial"/>
        <family val="0"/>
        <charset val="1"/>
      </rPr>
      <t xml:space="preserve">GW </t>
    </r>
    <r>
      <rPr>
        <sz val="10"/>
        <color rgb="FF000000"/>
        <rFont val="Noto Sans CJK SC"/>
        <family val="2"/>
      </rPr>
      <t xml:space="preserve">年價格（未設下限）：國產（昇騰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</si>
  <si>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G170</t>
  </si>
  <si>
    <r>
      <rPr>
        <sz val="10"/>
        <color rgb="FF000000"/>
        <rFont val="Noto Sans CJK SC"/>
        <family val="2"/>
      </rPr>
      <t xml:space="preserve">供應商每 </t>
    </r>
    <r>
      <rPr>
        <sz val="10"/>
        <color rgb="FF000000"/>
        <rFont val="Arial"/>
        <family val="0"/>
        <charset val="1"/>
      </rPr>
      <t xml:space="preserve">GW </t>
    </r>
    <r>
      <rPr>
        <sz val="10"/>
        <color rgb="FF000000"/>
        <rFont val="Noto Sans CJK SC"/>
        <family val="2"/>
      </rPr>
      <t xml:space="preserve">年持有成本：</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</si>
  <si>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r>
      <rPr>
        <sz val="9"/>
        <color rgb="FF595959"/>
        <rFont val="Arial"/>
        <family val="0"/>
        <charset val="1"/>
      </rPr>
      <t xml:space="preserve">TK IF_HoldEcon</t>
    </r>
    <r>
      <rPr>
        <sz val="9"/>
        <color rgb="FF595959"/>
        <rFont val="Noto Sans CJK SC"/>
        <family val="2"/>
      </rPr>
      <t xml:space="preserve">（</t>
    </r>
    <r>
      <rPr>
        <sz val="9"/>
        <color rgb="FF595959"/>
        <rFont val="Arial"/>
        <family val="0"/>
        <charset val="1"/>
      </rPr>
      <t xml:space="preserve">Hopper </t>
    </r>
    <r>
      <rPr>
        <sz val="9"/>
        <color rgb="FF595959"/>
        <rFont val="Noto Sans CJK SC"/>
        <family val="2"/>
      </rPr>
      <t xml:space="preserve">基準欄，經濟口徑）</t>
    </r>
    <r>
      <rPr>
        <sz val="9"/>
        <color rgb="FF595959"/>
        <rFont val="Arial"/>
        <family val="0"/>
        <charset val="1"/>
      </rPr>
      <t xml:space="preserve">× </t>
    </r>
    <r>
      <rPr>
        <sz val="9"/>
        <color rgb="FF595959"/>
        <rFont val="Noto Sans CJK SC"/>
        <family val="2"/>
      </rPr>
      <t xml:space="preserve">持有比（</t>
    </r>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Hopper</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t>
    </r>
    <r>
      <rPr>
        <sz val="9"/>
        <color rgb="FF595959"/>
        <rFont val="Arial"/>
        <family val="0"/>
        <charset val="1"/>
      </rPr>
      <t xml:space="preserve">× USD/CNY × 10</t>
    </r>
    <r>
      <rPr>
        <sz val="9"/>
        <color rgb="FF595959"/>
        <rFont val="Noto Sans CJK SC"/>
        <family val="2"/>
      </rPr>
      <t xml:space="preserve">；</t>
    </r>
    <r>
      <rPr>
        <sz val="9"/>
        <color rgb="FF595959"/>
        <rFont val="Arial"/>
        <family val="0"/>
        <charset val="1"/>
      </rPr>
      <t xml:space="preserve">Cost </t>
    </r>
    <r>
      <rPr>
        <sz val="9"/>
        <color rgb="FF595959"/>
        <rFont val="Noto Sans CJK SC"/>
        <family val="2"/>
      </rPr>
      <t xml:space="preserve">第二節引用</t>
    </r>
  </si>
  <si>
    <t xml:space="preserve">G171</t>
  </si>
  <si>
    <r>
      <rPr>
        <sz val="10"/>
        <color rgb="FF000000"/>
        <rFont val="Noto Sans CJK SC"/>
        <family val="2"/>
      </rPr>
      <t xml:space="preserve">供應商每 </t>
    </r>
    <r>
      <rPr>
        <sz val="10"/>
        <color rgb="FF000000"/>
        <rFont val="Arial"/>
        <family val="0"/>
        <charset val="1"/>
      </rPr>
      <t xml:space="preserve">GW </t>
    </r>
    <r>
      <rPr>
        <sz val="10"/>
        <color rgb="FF000000"/>
        <rFont val="Noto Sans CJK SC"/>
        <family val="2"/>
      </rPr>
      <t xml:space="preserve">年持有成本：</t>
    </r>
    <r>
      <rPr>
        <sz val="10"/>
        <color rgb="FF000000"/>
        <rFont val="Arial"/>
        <family val="0"/>
        <charset val="1"/>
      </rPr>
      <t xml:space="preserve">H20</t>
    </r>
  </si>
  <si>
    <t xml:space="preserve">G172</t>
  </si>
  <si>
    <r>
      <rPr>
        <sz val="10"/>
        <color rgb="FF000000"/>
        <rFont val="Noto Sans CJK SC"/>
        <family val="2"/>
      </rPr>
      <t xml:space="preserve">供應商每 </t>
    </r>
    <r>
      <rPr>
        <sz val="10"/>
        <color rgb="FF000000"/>
        <rFont val="Arial"/>
        <family val="0"/>
        <charset val="1"/>
      </rPr>
      <t xml:space="preserve">GW </t>
    </r>
    <r>
      <rPr>
        <sz val="10"/>
        <color rgb="FF000000"/>
        <rFont val="Noto Sans CJK SC"/>
        <family val="2"/>
      </rPr>
      <t xml:space="preserve">年持有成本：國產（昇騰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</si>
  <si>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G173</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</si>
  <si>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年價格下限：</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</si>
  <si>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r>
      <rPr>
        <sz val="9"/>
        <color rgb="FF595959"/>
        <rFont val="Noto Sans CJK SC"/>
        <family val="2"/>
      </rPr>
      <t xml:space="preserve">供應商持有成本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＋最低毛利，</t>
    </r>
    <r>
      <rPr>
        <sz val="9"/>
        <color rgb="FF595959"/>
        <rFont val="Arial"/>
        <family val="0"/>
        <charset val="1"/>
      </rPr>
      <t xml:space="preserve">Inputs </t>
    </r>
    <r>
      <rPr>
        <sz val="9"/>
        <color rgb="FF595959"/>
        <rFont val="Noto Sans CJK SC"/>
        <family val="2"/>
      </rPr>
      <t xml:space="preserve">基準 </t>
    </r>
    <r>
      <rPr>
        <sz val="9"/>
        <color rgb="FF595959"/>
        <rFont val="Arial"/>
        <family val="0"/>
        <charset val="1"/>
      </rPr>
      <t xml:space="preserve">0</t>
    </r>
    <r>
      <rPr>
        <sz val="9"/>
        <color rgb="FF595959"/>
        <rFont val="Noto Sans CJK SC"/>
        <family val="2"/>
      </rPr>
      <t xml:space="preserve">）</t>
    </r>
  </si>
  <si>
    <t xml:space="preserve">G174</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</si>
  <si>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年價格下限：</t>
    </r>
    <r>
      <rPr>
        <sz val="10"/>
        <color rgb="FF000000"/>
        <rFont val="Arial"/>
        <family val="0"/>
        <charset val="1"/>
      </rPr>
      <t xml:space="preserve">H20</t>
    </r>
  </si>
  <si>
    <t xml:space="preserve">G175</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</si>
  <si>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年價格下限：國產（昇騰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</si>
  <si>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G176</t>
  </si>
  <si>
    <r>
      <rPr>
        <sz val="10"/>
        <color rgb="FF000000"/>
        <rFont val="Noto Sans CJK SC"/>
        <family val="2"/>
      </rPr>
      <t xml:space="preserve">組合後每 </t>
    </r>
    <r>
      <rPr>
        <sz val="10"/>
        <color rgb="FF000000"/>
        <rFont val="Arial"/>
        <family val="0"/>
        <charset val="1"/>
      </rPr>
      <t xml:space="preserve">GW </t>
    </r>
    <r>
      <rPr>
        <sz val="10"/>
        <color rgb="FF000000"/>
        <rFont val="Noto Sans CJK SC"/>
        <family val="2"/>
      </rPr>
      <t xml:space="preserve">年價格（未設下限；對照）</t>
    </r>
  </si>
  <si>
    <r>
      <rPr>
        <sz val="9"/>
        <color rgb="FF595959"/>
        <rFont val="Arial"/>
        <family val="0"/>
        <charset val="1"/>
      </rPr>
      <t xml:space="preserve">Z5b </t>
    </r>
    <r>
      <rPr>
        <sz val="9"/>
        <color rgb="FF595959"/>
        <rFont val="Noto Sans CJK SC"/>
        <family val="2"/>
      </rPr>
      <t xml:space="preserve">前口徑</t>
    </r>
  </si>
  <si>
    <t xml:space="preserve">G177</t>
  </si>
  <si>
    <r>
      <rPr>
        <sz val="10"/>
        <color rgb="FF000000"/>
        <rFont val="Noto Sans CJK SC"/>
        <family val="2"/>
      </rPr>
      <t xml:space="preserve">下限生效的晶片族數（</t>
    </r>
    <r>
      <rPr>
        <sz val="10"/>
        <color rgb="FF000000"/>
        <rFont val="Arial"/>
        <family val="0"/>
        <charset val="1"/>
      </rPr>
      <t xml:space="preserve">2H26 </t>
    </r>
    <r>
      <rPr>
        <sz val="10"/>
        <color rgb="FF000000"/>
        <rFont val="Noto Sans CJK SC"/>
        <family val="2"/>
      </rPr>
      <t xml:space="preserve">起）</t>
    </r>
  </si>
  <si>
    <t xml:space="preserve">族</t>
  </si>
  <si>
    <r>
      <rPr>
        <sz val="9"/>
        <color rgb="FF595959"/>
        <rFont val="Arial"/>
        <family val="0"/>
        <charset val="1"/>
      </rPr>
      <t xml:space="preserve">0</t>
    </r>
    <r>
      <rPr>
        <sz val="9"/>
        <color rgb="FF595959"/>
        <rFont val="Noto Sans CJK SC"/>
        <family val="2"/>
      </rPr>
      <t xml:space="preserve">＝觀察租價全部高於下限</t>
    </r>
  </si>
  <si>
    <t xml:space="preserve">G178</t>
  </si>
  <si>
    <r>
      <rPr>
        <sz val="10"/>
        <color rgb="FF000000"/>
        <rFont val="Noto Sans CJK SC"/>
        <family val="2"/>
      </rPr>
      <t xml:space="preserve">自有算力每 </t>
    </r>
    <r>
      <rPr>
        <sz val="10"/>
        <color rgb="FF000000"/>
        <rFont val="Arial"/>
        <family val="0"/>
        <charset val="1"/>
      </rPr>
      <t xml:space="preserve">GW </t>
    </r>
    <r>
      <rPr>
        <sz val="10"/>
        <color rgb="FF000000"/>
        <rFont val="Noto Sans CJK SC"/>
        <family val="2"/>
      </rPr>
      <t xml:space="preserve">年營運費用（不含折舊；含電費）</t>
    </r>
  </si>
  <si>
    <r>
      <rPr>
        <sz val="9"/>
        <color rgb="FF595959"/>
        <rFont val="Arial"/>
        <family val="0"/>
        <charset val="1"/>
      </rPr>
      <t xml:space="preserve">TK IF_OpexGW</t>
    </r>
    <r>
      <rPr>
        <sz val="9"/>
        <color rgb="FF595959"/>
        <rFont val="Noto Sans CJK SC"/>
        <family val="2"/>
      </rPr>
      <t xml:space="preserve">（</t>
    </r>
    <r>
      <rPr>
        <sz val="9"/>
        <color rgb="FF595959"/>
        <rFont val="Arial"/>
        <family val="0"/>
        <charset val="1"/>
      </rPr>
      <t xml:space="preserve">Hopper </t>
    </r>
    <r>
      <rPr>
        <sz val="9"/>
        <color rgb="FF595959"/>
        <rFont val="Noto Sans CJK SC"/>
        <family val="2"/>
      </rPr>
      <t xml:space="preserve">基準欄，</t>
    </r>
    <r>
      <rPr>
        <sz val="9"/>
        <color rgb="FF595959"/>
        <rFont val="Arial"/>
        <family val="0"/>
        <charset val="1"/>
      </rPr>
      <t xml:space="preserve">$B/GW/</t>
    </r>
    <r>
      <rPr>
        <sz val="9"/>
        <color rgb="FF595959"/>
        <rFont val="Noto Sans CJK SC"/>
        <family val="2"/>
      </rPr>
      <t xml:space="preserve">年）</t>
    </r>
    <r>
      <rPr>
        <sz val="9"/>
        <color rgb="FF595959"/>
        <rFont val="Arial"/>
        <family val="0"/>
        <charset val="1"/>
      </rPr>
      <t xml:space="preserve">× </t>
    </r>
    <r>
      <rPr>
        <sz val="9"/>
        <color rgb="FF595959"/>
        <rFont val="Noto Sans CJK SC"/>
        <family val="2"/>
      </rPr>
      <t xml:space="preserve">國產持有比 </t>
    </r>
    <r>
      <rPr>
        <sz val="9"/>
        <color rgb="FF595959"/>
        <rFont val="Arial"/>
        <family val="0"/>
        <charset val="1"/>
      </rPr>
      <t xml:space="preserve">× USD/CNY × 10</t>
    </r>
    <r>
      <rPr>
        <sz val="9"/>
        <color rgb="FF595959"/>
        <rFont val="Noto Sans CJK SC"/>
        <family val="2"/>
      </rPr>
      <t xml:space="preserve">（</t>
    </r>
    <r>
      <rPr>
        <sz val="9"/>
        <color rgb="FF595959"/>
        <rFont val="Arial"/>
        <family val="0"/>
        <charset val="1"/>
      </rPr>
      <t xml:space="preserve">Z5b V2</t>
    </r>
    <r>
      <rPr>
        <sz val="9"/>
        <color rgb="FF595959"/>
        <rFont val="Noto Sans CJK SC"/>
        <family val="2"/>
      </rPr>
      <t xml:space="preserve">）</t>
    </r>
  </si>
  <si>
    <t xml:space="preserve">G179</t>
  </si>
  <si>
    <r>
      <rPr>
        <sz val="10"/>
        <color rgb="FF000000"/>
        <rFont val="Noto Sans CJK SC"/>
        <family val="2"/>
      </rPr>
      <t xml:space="preserve">自有算力營運費用＝自有 </t>
    </r>
    <r>
      <rPr>
        <sz val="10"/>
        <color rgb="FF000000"/>
        <rFont val="Arial"/>
        <family val="0"/>
        <charset val="1"/>
      </rPr>
      <t xml:space="preserve">GW ×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營運費用</t>
    </r>
  </si>
  <si>
    <r>
      <rPr>
        <sz val="9"/>
        <color rgb="FF595959"/>
        <rFont val="Noto Sans CJK SC"/>
        <family val="2"/>
      </rPr>
      <t xml:space="preserve">投產後（自有 </t>
    </r>
    <r>
      <rPr>
        <sz val="9"/>
        <color rgb="FF595959"/>
        <rFont val="Arial"/>
        <family val="0"/>
        <charset val="1"/>
      </rPr>
      <t xml:space="preserve">GW</t>
    </r>
    <r>
      <rPr>
        <sz val="9"/>
        <color rgb="FF595959"/>
        <rFont val="Noto Sans CJK SC"/>
        <family val="2"/>
      </rPr>
      <t xml:space="preserve">＞</t>
    </r>
    <r>
      <rPr>
        <sz val="9"/>
        <color rgb="FF595959"/>
        <rFont val="Arial"/>
        <family val="0"/>
        <charset val="1"/>
      </rPr>
      <t xml:space="preserve">0</t>
    </r>
    <r>
      <rPr>
        <sz val="9"/>
        <color rgb="FF595959"/>
        <rFont val="Noto Sans CJK SC"/>
        <family val="2"/>
      </rPr>
      <t xml:space="preserve">）計入算力成本（現金）</t>
    </r>
  </si>
  <si>
    <t xml:space="preserve">G180</t>
  </si>
  <si>
    <r>
      <rPr>
        <sz val="10"/>
        <color rgb="FF000000"/>
        <rFont val="Arial"/>
        <family val="0"/>
        <charset val="1"/>
      </rPr>
      <t xml:space="preserve">IT </t>
    </r>
    <r>
      <rPr>
        <sz val="10"/>
        <color rgb="FF000000"/>
        <rFont val="Noto Sans CJK SC"/>
        <family val="2"/>
      </rPr>
      <t xml:space="preserve">折舊年限（攤提用）</t>
    </r>
  </si>
  <si>
    <r>
      <rPr>
        <sz val="9"/>
        <color rgb="FF595959"/>
        <rFont val="Arial"/>
        <family val="0"/>
        <charset val="1"/>
      </rPr>
      <t xml:space="preserve">TK IF_DeprLifeIT</t>
    </r>
    <r>
      <rPr>
        <sz val="9"/>
        <color rgb="FF595959"/>
        <rFont val="Noto Sans CJK SC"/>
        <family val="2"/>
      </rPr>
      <t xml:space="preserve">（</t>
    </r>
    <r>
      <rPr>
        <sz val="9"/>
        <color rgb="FF595959"/>
        <rFont val="Arial"/>
        <family val="0"/>
        <charset val="1"/>
      </rPr>
      <t xml:space="preserve">Hopper </t>
    </r>
    <r>
      <rPr>
        <sz val="9"/>
        <color rgb="FF595959"/>
        <rFont val="Noto Sans CJK SC"/>
        <family val="2"/>
      </rPr>
      <t xml:space="preserve">基準欄）</t>
    </r>
  </si>
  <si>
    <t xml:space="preserve">G181</t>
  </si>
  <si>
    <r>
      <rPr>
        <sz val="10"/>
        <color rgb="FF000000"/>
        <rFont val="Noto Sans CJK SC"/>
        <family val="2"/>
      </rPr>
      <t xml:space="preserve">自有資本支出攤提＝已投產累計自有資本支出 </t>
    </r>
    <r>
      <rPr>
        <sz val="10"/>
        <color rgb="FF000000"/>
        <rFont val="Arial"/>
        <family val="0"/>
        <charset val="1"/>
      </rPr>
      <t xml:space="preserve">÷ </t>
    </r>
    <r>
      <rPr>
        <sz val="10"/>
        <color rgb="FF000000"/>
        <rFont val="Noto Sans CJK SC"/>
        <family val="2"/>
      </rPr>
      <t xml:space="preserve">折舊年限</t>
    </r>
  </si>
  <si>
    <r>
      <rPr>
        <sz val="9"/>
        <color rgb="FF595959"/>
        <rFont val="Noto Sans CJK SC"/>
        <family val="2"/>
      </rPr>
      <t xml:space="preserve">只用於 </t>
    </r>
    <r>
      <rPr>
        <sz val="9"/>
        <color rgb="FF595959"/>
        <rFont val="Arial"/>
        <family val="0"/>
        <charset val="1"/>
      </rPr>
      <t xml:space="preserve">Cost </t>
    </r>
    <r>
      <rPr>
        <sz val="9"/>
        <color rgb="FF595959"/>
        <rFont val="Noto Sans CJK SC"/>
        <family val="2"/>
      </rPr>
      <t xml:space="preserve">第十節攤提口徑並列；現金口徑（命題、</t>
    </r>
    <r>
      <rPr>
        <sz val="9"/>
        <color rgb="FF595959"/>
        <rFont val="Arial"/>
        <family val="0"/>
        <charset val="1"/>
      </rPr>
      <t xml:space="preserve">Funding</t>
    </r>
    <r>
      <rPr>
        <sz val="9"/>
        <color rgb="FF595959"/>
        <rFont val="Noto Sans CJK SC"/>
        <family val="2"/>
      </rPr>
      <t xml:space="preserve">）仍以資本支出實付計</t>
    </r>
  </si>
  <si>
    <r>
      <rPr>
        <b val="true"/>
        <sz val="10"/>
        <rFont val="Noto Sans CJK SC"/>
        <family val="2"/>
      </rPr>
      <t xml:space="preserve">十五、</t>
    </r>
    <r>
      <rPr>
        <b val="true"/>
        <sz val="10"/>
        <rFont val="Arial"/>
        <family val="0"/>
        <charset val="1"/>
      </rPr>
      <t xml:space="preserve">r2 P1</t>
    </r>
    <r>
      <rPr>
        <b val="true"/>
        <sz val="10"/>
        <rFont val="Noto Sans CJK SC"/>
        <family val="2"/>
      </rPr>
      <t xml:space="preserve">：招股章程的算力費去向（</t>
    </r>
    <r>
      <rPr>
        <b val="true"/>
        <sz val="10"/>
        <rFont val="Arial"/>
        <family val="0"/>
        <charset val="1"/>
      </rPr>
      <t xml:space="preserve">FY2024</t>
    </r>
    <r>
      <rPr>
        <b val="true"/>
        <sz val="10"/>
        <rFont val="Noto Sans CJK SC"/>
        <family val="2"/>
      </rPr>
      <t xml:space="preserve">、</t>
    </r>
    <r>
      <rPr>
        <b val="true"/>
        <sz val="10"/>
        <rFont val="Arial"/>
        <family val="0"/>
        <charset val="1"/>
      </rPr>
      <t xml:space="preserve">1H2025</t>
    </r>
    <r>
      <rPr>
        <b val="true"/>
        <sz val="10"/>
        <rFont val="Noto Sans CJK SC"/>
        <family val="2"/>
      </rPr>
      <t xml:space="preserve">；只列）、</t>
    </r>
    <r>
      <rPr>
        <b val="true"/>
        <sz val="10"/>
        <rFont val="Arial"/>
        <family val="0"/>
        <charset val="1"/>
      </rPr>
      <t xml:space="preserve">η </t>
    </r>
    <r>
      <rPr>
        <b val="true"/>
        <sz val="10"/>
        <rFont val="Noto Sans CJK SC"/>
        <family val="2"/>
      </rPr>
      <t xml:space="preserve">上調判斷、舊法（</t>
    </r>
    <r>
      <rPr>
        <b val="true"/>
        <sz val="10"/>
        <rFont val="Arial"/>
        <family val="0"/>
        <charset val="1"/>
      </rPr>
      <t xml:space="preserve">D8r</t>
    </r>
    <r>
      <rPr>
        <b val="true"/>
        <sz val="10"/>
        <rFont val="Noto Sans CJK SC"/>
        <family val="2"/>
      </rPr>
      <t xml:space="preserve">：</t>
    </r>
    <r>
      <rPr>
        <b val="true"/>
        <sz val="10"/>
        <rFont val="Arial"/>
        <family val="0"/>
        <charset val="1"/>
      </rPr>
      <t xml:space="preserve">API </t>
    </r>
    <r>
      <rPr>
        <b val="true"/>
        <sz val="10"/>
        <rFont val="Noto Sans CJK SC"/>
        <family val="2"/>
      </rPr>
      <t xml:space="preserve">銷售成本＝推論支出）對照</t>
    </r>
  </si>
  <si>
    <t xml:space="preserve">G182</t>
  </si>
  <si>
    <r>
      <rPr>
        <sz val="10"/>
        <color rgb="FF000000"/>
        <rFont val="Noto Sans CJK SC"/>
        <family val="2"/>
      </rPr>
      <t xml:space="preserve">招股章程 </t>
    </r>
    <r>
      <rPr>
        <sz val="10"/>
        <color rgb="FF000000"/>
        <rFont val="Arial"/>
        <family val="0"/>
        <charset val="1"/>
      </rPr>
      <t xml:space="preserve">FY2024</t>
    </r>
    <r>
      <rPr>
        <sz val="10"/>
        <color rgb="FF000000"/>
        <rFont val="Noto Sans CJK SC"/>
        <family val="2"/>
      </rPr>
      <t xml:space="preserve">：研發項下算力服務費</t>
    </r>
  </si>
  <si>
    <r>
      <rPr>
        <sz val="9"/>
        <color rgb="FF595959"/>
        <rFont val="Arial"/>
        <family val="0"/>
        <charset val="1"/>
      </rPr>
      <t xml:space="preserve">SRC_ZP</t>
    </r>
    <r>
      <rPr>
        <sz val="9"/>
        <color rgb="FF595959"/>
        <rFont val="Noto Sans CJK SC"/>
        <family val="2"/>
      </rPr>
      <t xml:space="preserve">（</t>
    </r>
    <r>
      <rPr>
        <sz val="9"/>
        <color rgb="FF595959"/>
        <rFont val="Arial"/>
        <family val="0"/>
        <charset val="1"/>
      </rPr>
      <t xml:space="preserve">Verified</t>
    </r>
    <r>
      <rPr>
        <sz val="9"/>
        <color rgb="FF595959"/>
        <rFont val="Noto Sans CJK SC"/>
        <family val="2"/>
      </rPr>
      <t xml:space="preserve">；第 </t>
    </r>
    <r>
      <rPr>
        <sz val="9"/>
        <color rgb="FF595959"/>
        <rFont val="Arial"/>
        <family val="0"/>
        <charset val="1"/>
      </rPr>
      <t xml:space="preserve">267 </t>
    </r>
    <r>
      <rPr>
        <sz val="9"/>
        <color rgb="FF595959"/>
        <rFont val="Noto Sans CJK SC"/>
        <family val="2"/>
      </rPr>
      <t xml:space="preserve">頁）</t>
    </r>
  </si>
  <si>
    <t xml:space="preserve">G183</t>
  </si>
  <si>
    <r>
      <rPr>
        <sz val="10"/>
        <color rgb="FF000000"/>
        <rFont val="Noto Sans CJK SC"/>
        <family val="2"/>
      </rPr>
      <t xml:space="preserve">招股章程 </t>
    </r>
    <r>
      <rPr>
        <sz val="10"/>
        <color rgb="FF000000"/>
        <rFont val="Arial"/>
        <family val="0"/>
        <charset val="1"/>
      </rPr>
      <t xml:space="preserve">FY2024</t>
    </r>
    <r>
      <rPr>
        <sz val="10"/>
        <color rgb="FF000000"/>
        <rFont val="Noto Sans CJK SC"/>
        <family val="2"/>
      </rPr>
      <t xml:space="preserve">：營業成本中的計算服務費</t>
    </r>
  </si>
  <si>
    <r>
      <rPr>
        <sz val="9"/>
        <color rgb="FF595959"/>
        <rFont val="Arial"/>
        <family val="0"/>
        <charset val="1"/>
      </rPr>
      <t xml:space="preserve">SRC_ZP</t>
    </r>
    <r>
      <rPr>
        <sz val="9"/>
        <color rgb="FF595959"/>
        <rFont val="Noto Sans CJK SC"/>
        <family val="2"/>
      </rPr>
      <t xml:space="preserve">（</t>
    </r>
    <r>
      <rPr>
        <sz val="9"/>
        <color rgb="FF595959"/>
        <rFont val="Arial"/>
        <family val="0"/>
        <charset val="1"/>
      </rPr>
      <t xml:space="preserve">Verified</t>
    </r>
    <r>
      <rPr>
        <sz val="9"/>
        <color rgb="FF595959"/>
        <rFont val="Noto Sans CJK SC"/>
        <family val="2"/>
      </rPr>
      <t xml:space="preserve">；第 </t>
    </r>
    <r>
      <rPr>
        <sz val="9"/>
        <color rgb="FF595959"/>
        <rFont val="Arial"/>
        <family val="0"/>
        <charset val="1"/>
      </rPr>
      <t xml:space="preserve">264 </t>
    </r>
    <r>
      <rPr>
        <sz val="9"/>
        <color rgb="FF595959"/>
        <rFont val="Noto Sans CJK SC"/>
        <family val="2"/>
      </rPr>
      <t xml:space="preserve">頁：本地化交付前訓練微調＋雲端推論）</t>
    </r>
  </si>
  <si>
    <t xml:space="preserve">G184</t>
  </si>
  <si>
    <r>
      <rPr>
        <sz val="10"/>
        <color rgb="FF000000"/>
        <rFont val="Noto Sans CJK SC"/>
        <family val="2"/>
      </rPr>
      <t xml:space="preserve">招股章程 </t>
    </r>
    <r>
      <rPr>
        <sz val="10"/>
        <color rgb="FF000000"/>
        <rFont val="Arial"/>
        <family val="0"/>
        <charset val="1"/>
      </rPr>
      <t xml:space="preserve">FY2024</t>
    </r>
    <r>
      <rPr>
        <sz val="10"/>
        <color rgb="FF000000"/>
        <rFont val="Noto Sans CJK SC"/>
        <family val="2"/>
      </rPr>
      <t xml:space="preserve">：銷售及營銷項下算力服務費</t>
    </r>
  </si>
  <si>
    <t xml:space="preserve">G185</t>
  </si>
  <si>
    <r>
      <rPr>
        <sz val="10"/>
        <color rgb="FF000000"/>
        <rFont val="Noto Sans CJK SC"/>
        <family val="2"/>
      </rPr>
      <t xml:space="preserve">招股章程 </t>
    </r>
    <r>
      <rPr>
        <sz val="10"/>
        <color rgb="FF000000"/>
        <rFont val="Arial"/>
        <family val="0"/>
        <charset val="1"/>
      </rPr>
      <t xml:space="preserve">FY2024</t>
    </r>
    <r>
      <rPr>
        <sz val="10"/>
        <color rgb="FF000000"/>
        <rFont val="Noto Sans CJK SC"/>
        <family val="2"/>
      </rPr>
      <t xml:space="preserve">：算力服務費合計</t>
    </r>
  </si>
  <si>
    <r>
      <rPr>
        <sz val="9"/>
        <color rgb="FF595959"/>
        <rFont val="Arial"/>
        <family val="0"/>
        <charset val="1"/>
      </rPr>
      <t xml:space="preserve">SRC_ZP</t>
    </r>
    <r>
      <rPr>
        <sz val="9"/>
        <color rgb="FF595959"/>
        <rFont val="Noto Sans CJK SC"/>
        <family val="2"/>
      </rPr>
      <t xml:space="preserve">（</t>
    </r>
    <r>
      <rPr>
        <sz val="9"/>
        <color rgb="FF595959"/>
        <rFont val="Arial"/>
        <family val="0"/>
        <charset val="1"/>
      </rPr>
      <t xml:space="preserve">Derived</t>
    </r>
    <r>
      <rPr>
        <sz val="9"/>
        <color rgb="FF595959"/>
        <rFont val="Noto Sans CJK SC"/>
        <family val="2"/>
      </rPr>
      <t xml:space="preserve">：三科目加總）</t>
    </r>
  </si>
  <si>
    <t xml:space="preserve">G186</t>
  </si>
  <si>
    <r>
      <rPr>
        <sz val="10"/>
        <color rgb="FF000000"/>
        <rFont val="Noto Sans CJK SC"/>
        <family val="2"/>
      </rPr>
      <t xml:space="preserve">招股章程 </t>
    </r>
    <r>
      <rPr>
        <sz val="10"/>
        <color rgb="FF000000"/>
        <rFont val="Arial"/>
        <family val="0"/>
        <charset val="1"/>
      </rPr>
      <t xml:space="preserve">FY2024</t>
    </r>
    <r>
      <rPr>
        <sz val="10"/>
        <color rgb="FF000000"/>
        <rFont val="Noto Sans CJK SC"/>
        <family val="2"/>
      </rPr>
      <t xml:space="preserve">：營業成本計算服務費占合計</t>
    </r>
  </si>
  <si>
    <r>
      <rPr>
        <sz val="9"/>
        <color rgb="FF595959"/>
        <rFont val="Arial"/>
        <family val="0"/>
        <charset val="1"/>
      </rPr>
      <t xml:space="preserve">P1 </t>
    </r>
    <r>
      <rPr>
        <sz val="9"/>
        <color rgb="FF595959"/>
        <rFont val="Noto Sans CJK SC"/>
        <family val="2"/>
      </rPr>
      <t xml:space="preserve">理由：只占 </t>
    </r>
    <r>
      <rPr>
        <sz val="9"/>
        <color rgb="FF595959"/>
        <rFont val="Arial"/>
        <family val="0"/>
        <charset val="1"/>
      </rPr>
      <t xml:space="preserve">2–3%</t>
    </r>
  </si>
  <si>
    <t xml:space="preserve">G187</t>
  </si>
  <si>
    <r>
      <rPr>
        <sz val="10"/>
        <color rgb="FF000000"/>
        <rFont val="Noto Sans CJK SC"/>
        <family val="2"/>
      </rPr>
      <t xml:space="preserve">招股章程 </t>
    </r>
    <r>
      <rPr>
        <sz val="10"/>
        <color rgb="FF000000"/>
        <rFont val="Arial"/>
        <family val="0"/>
        <charset val="1"/>
      </rPr>
      <t xml:space="preserve">FY2024</t>
    </r>
    <r>
      <rPr>
        <sz val="10"/>
        <color rgb="FF000000"/>
        <rFont val="Noto Sans CJK SC"/>
        <family val="2"/>
      </rPr>
      <t xml:space="preserve">：研發項下算力費 </t>
    </r>
    <r>
      <rPr>
        <sz val="10"/>
        <color rgb="FF000000"/>
        <rFont val="Arial"/>
        <family val="0"/>
        <charset val="1"/>
      </rPr>
      <t xml:space="preserve">÷ </t>
    </r>
    <r>
      <rPr>
        <sz val="10"/>
        <color rgb="FF000000"/>
        <rFont val="Noto Sans CJK SC"/>
        <family val="2"/>
      </rPr>
      <t xml:space="preserve">研發開支</t>
    </r>
  </si>
  <si>
    <r>
      <rPr>
        <sz val="9"/>
        <color rgb="FF595959"/>
        <rFont val="Arial"/>
        <family val="0"/>
        <charset val="1"/>
      </rPr>
      <t xml:space="preserve">SRC_ZP_638</t>
    </r>
    <r>
      <rPr>
        <sz val="9"/>
        <color rgb="FF595959"/>
        <rFont val="Noto Sans CJK SC"/>
        <family val="2"/>
      </rPr>
      <t xml:space="preserve">／</t>
    </r>
    <r>
      <rPr>
        <sz val="9"/>
        <color rgb="FF595959"/>
        <rFont val="Arial"/>
        <family val="0"/>
        <charset val="1"/>
      </rPr>
      <t xml:space="preserve">640</t>
    </r>
    <r>
      <rPr>
        <sz val="9"/>
        <color rgb="FF595959"/>
        <rFont val="Noto Sans CJK SC"/>
        <family val="2"/>
      </rPr>
      <t xml:space="preserve">；</t>
    </r>
    <r>
      <rPr>
        <sz val="9"/>
        <color rgb="FF595959"/>
        <rFont val="Arial"/>
        <family val="0"/>
        <charset val="1"/>
      </rPr>
      <t xml:space="preserve">1H25 </t>
    </r>
    <r>
      <rPr>
        <sz val="9"/>
        <color rgb="FF595959"/>
        <rFont val="Noto Sans CJK SC"/>
        <family val="2"/>
      </rPr>
      <t xml:space="preserve">值為 </t>
    </r>
    <r>
      <rPr>
        <sz val="9"/>
        <color rgb="FF595959"/>
        <rFont val="Arial"/>
        <family val="0"/>
        <charset val="1"/>
      </rPr>
      <t xml:space="preserve">Inputs </t>
    </r>
    <r>
      <rPr>
        <sz val="9"/>
        <color rgb="FF595959"/>
        <rFont val="Noto Sans CJK SC"/>
        <family val="2"/>
      </rPr>
      <t xml:space="preserve">研發占比基準</t>
    </r>
  </si>
  <si>
    <t xml:space="preserve">G188</t>
  </si>
  <si>
    <r>
      <rPr>
        <sz val="10"/>
        <color rgb="FF000000"/>
        <rFont val="Noto Sans CJK SC"/>
        <family val="2"/>
      </rPr>
      <t xml:space="preserve">招股章程 </t>
    </r>
    <r>
      <rPr>
        <sz val="10"/>
        <color rgb="FF000000"/>
        <rFont val="Arial"/>
        <family val="0"/>
        <charset val="1"/>
      </rPr>
      <t xml:space="preserve">1H2025</t>
    </r>
    <r>
      <rPr>
        <sz val="10"/>
        <color rgb="FF000000"/>
        <rFont val="Noto Sans CJK SC"/>
        <family val="2"/>
      </rPr>
      <t xml:space="preserve">：研發項下算力服務費</t>
    </r>
  </si>
  <si>
    <t xml:space="preserve">G189</t>
  </si>
  <si>
    <r>
      <rPr>
        <sz val="10"/>
        <color rgb="FF000000"/>
        <rFont val="Noto Sans CJK SC"/>
        <family val="2"/>
      </rPr>
      <t xml:space="preserve">招股章程 </t>
    </r>
    <r>
      <rPr>
        <sz val="10"/>
        <color rgb="FF000000"/>
        <rFont val="Arial"/>
        <family val="0"/>
        <charset val="1"/>
      </rPr>
      <t xml:space="preserve">1H2025</t>
    </r>
    <r>
      <rPr>
        <sz val="10"/>
        <color rgb="FF000000"/>
        <rFont val="Noto Sans CJK SC"/>
        <family val="2"/>
      </rPr>
      <t xml:space="preserve">：營業成本中的計算服務費</t>
    </r>
  </si>
  <si>
    <t xml:space="preserve">G190</t>
  </si>
  <si>
    <r>
      <rPr>
        <sz val="10"/>
        <color rgb="FF000000"/>
        <rFont val="Noto Sans CJK SC"/>
        <family val="2"/>
      </rPr>
      <t xml:space="preserve">招股章程 </t>
    </r>
    <r>
      <rPr>
        <sz val="10"/>
        <color rgb="FF000000"/>
        <rFont val="Arial"/>
        <family val="0"/>
        <charset val="1"/>
      </rPr>
      <t xml:space="preserve">1H2025</t>
    </r>
    <r>
      <rPr>
        <sz val="10"/>
        <color rgb="FF000000"/>
        <rFont val="Noto Sans CJK SC"/>
        <family val="2"/>
      </rPr>
      <t xml:space="preserve">：銷售及營銷項下算力服務費</t>
    </r>
  </si>
  <si>
    <t xml:space="preserve">G191</t>
  </si>
  <si>
    <r>
      <rPr>
        <sz val="10"/>
        <color rgb="FF000000"/>
        <rFont val="Noto Sans CJK SC"/>
        <family val="2"/>
      </rPr>
      <t xml:space="preserve">招股章程 </t>
    </r>
    <r>
      <rPr>
        <sz val="10"/>
        <color rgb="FF000000"/>
        <rFont val="Arial"/>
        <family val="0"/>
        <charset val="1"/>
      </rPr>
      <t xml:space="preserve">1H2025</t>
    </r>
    <r>
      <rPr>
        <sz val="10"/>
        <color rgb="FF000000"/>
        <rFont val="Noto Sans CJK SC"/>
        <family val="2"/>
      </rPr>
      <t xml:space="preserve">：算力服務費合計</t>
    </r>
  </si>
  <si>
    <t xml:space="preserve">G192</t>
  </si>
  <si>
    <r>
      <rPr>
        <sz val="10"/>
        <color rgb="FF000000"/>
        <rFont val="Noto Sans CJK SC"/>
        <family val="2"/>
      </rPr>
      <t xml:space="preserve">招股章程 </t>
    </r>
    <r>
      <rPr>
        <sz val="10"/>
        <color rgb="FF000000"/>
        <rFont val="Arial"/>
        <family val="0"/>
        <charset val="1"/>
      </rPr>
      <t xml:space="preserve">1H2025</t>
    </r>
    <r>
      <rPr>
        <sz val="10"/>
        <color rgb="FF000000"/>
        <rFont val="Noto Sans CJK SC"/>
        <family val="2"/>
      </rPr>
      <t xml:space="preserve">：營業成本計算服務費占合計</t>
    </r>
  </si>
  <si>
    <t xml:space="preserve">G193</t>
  </si>
  <si>
    <r>
      <rPr>
        <sz val="10"/>
        <color rgb="FF000000"/>
        <rFont val="Noto Sans CJK SC"/>
        <family val="2"/>
      </rPr>
      <t xml:space="preserve">招股章程 </t>
    </r>
    <r>
      <rPr>
        <sz val="10"/>
        <color rgb="FF000000"/>
        <rFont val="Arial"/>
        <family val="0"/>
        <charset val="1"/>
      </rPr>
      <t xml:space="preserve">1H2025</t>
    </r>
    <r>
      <rPr>
        <sz val="10"/>
        <color rgb="FF000000"/>
        <rFont val="Noto Sans CJK SC"/>
        <family val="2"/>
      </rPr>
      <t xml:space="preserve">：研發項下算力費 </t>
    </r>
    <r>
      <rPr>
        <sz val="10"/>
        <color rgb="FF000000"/>
        <rFont val="Arial"/>
        <family val="0"/>
        <charset val="1"/>
      </rPr>
      <t xml:space="preserve">÷ </t>
    </r>
    <r>
      <rPr>
        <sz val="10"/>
        <color rgb="FF000000"/>
        <rFont val="Noto Sans CJK SC"/>
        <family val="2"/>
      </rPr>
      <t xml:space="preserve">研發開支</t>
    </r>
  </si>
  <si>
    <t xml:space="preserve">G194</t>
  </si>
  <si>
    <r>
      <rPr>
        <sz val="10"/>
        <color rgb="FF000000"/>
        <rFont val="Noto Sans CJK SC"/>
        <family val="2"/>
      </rPr>
      <t xml:space="preserve">對照：</t>
    </r>
    <r>
      <rPr>
        <sz val="10"/>
        <color rgb="FF000000"/>
        <rFont val="Arial"/>
        <family val="0"/>
        <charset val="1"/>
      </rPr>
      <t xml:space="preserve">Z3 </t>
    </r>
    <r>
      <rPr>
        <sz val="10"/>
        <color rgb="FF000000"/>
        <rFont val="Noto Sans CJK SC"/>
        <family val="2"/>
      </rPr>
      <t xml:space="preserve">占比法（研發算力費）＝研發（扣股權報酬）</t>
    </r>
    <r>
      <rPr>
        <sz val="10"/>
        <color rgb="FF000000"/>
        <rFont val="Arial"/>
        <family val="0"/>
        <charset val="1"/>
      </rPr>
      <t xml:space="preserve">× 0.707</t>
    </r>
    <r>
      <rPr>
        <sz val="10"/>
        <color rgb="FF000000"/>
        <rFont val="Noto Sans CJK SC"/>
        <family val="2"/>
      </rPr>
      <t xml:space="preserve">（</t>
    </r>
    <r>
      <rPr>
        <sz val="10"/>
        <color rgb="FF000000"/>
        <rFont val="Arial"/>
        <family val="0"/>
        <charset val="1"/>
      </rPr>
      <t xml:space="preserve">D10r</t>
    </r>
    <r>
      <rPr>
        <sz val="10"/>
        <color rgb="FF000000"/>
        <rFont val="Noto Sans CJK SC"/>
        <family val="2"/>
      </rPr>
      <t xml:space="preserve">）</t>
    </r>
  </si>
  <si>
    <r>
      <rPr>
        <sz val="9"/>
        <color rgb="FF595959"/>
        <rFont val="Arial"/>
        <family val="0"/>
        <charset val="1"/>
      </rPr>
      <t xml:space="preserve">Z3–Z5b </t>
    </r>
    <r>
      <rPr>
        <sz val="9"/>
        <color rgb="FF595959"/>
        <rFont val="Noto Sans CJK SC"/>
        <family val="2"/>
      </rPr>
      <t xml:space="preserve">基準（</t>
    </r>
    <r>
      <rPr>
        <sz val="9"/>
        <color rgb="FF595959"/>
        <rFont val="Arial"/>
        <family val="0"/>
        <charset val="1"/>
      </rPr>
      <t xml:space="preserve">D10r</t>
    </r>
    <r>
      <rPr>
        <sz val="9"/>
        <color rgb="FF595959"/>
        <rFont val="Noto Sans CJK SC"/>
        <family val="2"/>
      </rPr>
      <t xml:space="preserve">；</t>
    </r>
    <r>
      <rPr>
        <sz val="9"/>
        <color rgb="FF595959"/>
        <rFont val="Arial"/>
        <family val="0"/>
        <charset val="1"/>
      </rPr>
      <t xml:space="preserve">FY2024 70.7%</t>
    </r>
    <r>
      <rPr>
        <sz val="9"/>
        <color rgb="FF595959"/>
        <rFont val="Noto Sans CJK SC"/>
        <family val="2"/>
      </rPr>
      <t xml:space="preserve">）；</t>
    </r>
    <r>
      <rPr>
        <sz val="9"/>
        <color rgb="FF595959"/>
        <rFont val="Arial"/>
        <family val="0"/>
        <charset val="1"/>
      </rPr>
      <t xml:space="preserve">r2 P1 </t>
    </r>
    <r>
      <rPr>
        <sz val="9"/>
        <color rgb="FF595959"/>
        <rFont val="Noto Sans CJK SC"/>
        <family val="2"/>
      </rPr>
      <t xml:space="preserve">起只列</t>
    </r>
  </si>
  <si>
    <t xml:space="preserve">G195</t>
  </si>
  <si>
    <r>
      <rPr>
        <sz val="10"/>
        <color rgb="FF000000"/>
        <rFont val="Arial"/>
        <family val="0"/>
        <charset val="1"/>
      </rPr>
      <t xml:space="preserve">η </t>
    </r>
    <r>
      <rPr>
        <sz val="10"/>
        <color rgb="FF000000"/>
        <rFont val="Noto Sans CJK SC"/>
        <family val="2"/>
      </rPr>
      <t xml:space="preserve">上調前研發殘差＝供給 − </t>
    </r>
    <r>
      <rPr>
        <sz val="10"/>
        <color rgb="FF000000"/>
        <rFont val="Arial"/>
        <family val="0"/>
        <charset val="1"/>
      </rPr>
      <t xml:space="preserve">token </t>
    </r>
    <r>
      <rPr>
        <sz val="10"/>
        <color rgb="FF000000"/>
        <rFont val="Noto Sans CJK SC"/>
        <family val="2"/>
      </rPr>
      <t xml:space="preserve">換算 </t>
    </r>
    <r>
      <rPr>
        <sz val="10"/>
        <color rgb="FF000000"/>
        <rFont val="Arial"/>
        <family val="0"/>
        <charset val="1"/>
      </rPr>
      <t xml:space="preserve">GW ÷ η </t>
    </r>
    <r>
      <rPr>
        <sz val="10"/>
        <color rgb="FF000000"/>
        <rFont val="Noto Sans CJK SC"/>
        <family val="2"/>
      </rPr>
      <t xml:space="preserve">基準</t>
    </r>
  </si>
  <si>
    <r>
      <rPr>
        <sz val="9"/>
        <color rgb="FF595959"/>
        <rFont val="Noto Sans CJK SC"/>
        <family val="2"/>
      </rPr>
      <t xml:space="preserve">負＝以 </t>
    </r>
    <r>
      <rPr>
        <sz val="9"/>
        <color rgb="FF595959"/>
        <rFont val="Arial"/>
        <family val="0"/>
        <charset val="1"/>
      </rPr>
      <t xml:space="preserve">TK </t>
    </r>
    <r>
      <rPr>
        <sz val="9"/>
        <color rgb="FF595959"/>
        <rFont val="Noto Sans CJK SC"/>
        <family val="2"/>
      </rPr>
      <t xml:space="preserve">物理計，</t>
    </r>
    <r>
      <rPr>
        <sz val="9"/>
        <color rgb="FF595959"/>
        <rFont val="Arial"/>
        <family val="0"/>
        <charset val="1"/>
      </rPr>
      <t xml:space="preserve">token </t>
    </r>
    <r>
      <rPr>
        <sz val="9"/>
        <color rgb="FF595959"/>
        <rFont val="Noto Sans CJK SC"/>
        <family val="2"/>
      </rPr>
      <t xml:space="preserve">已超過全部供給</t>
    </r>
  </si>
  <si>
    <t xml:space="preserve">G196</t>
  </si>
  <si>
    <r>
      <rPr>
        <sz val="10"/>
        <color rgb="FF000000"/>
        <rFont val="Arial"/>
        <family val="0"/>
        <charset val="1"/>
      </rPr>
      <t xml:space="preserve">η </t>
    </r>
    <r>
      <rPr>
        <sz val="10"/>
        <color rgb="FF000000"/>
        <rFont val="Noto Sans CJK SC"/>
        <family val="2"/>
      </rPr>
      <t xml:space="preserve">上調前研發殘差占供給</t>
    </r>
  </si>
  <si>
    <r>
      <rPr>
        <sz val="9"/>
        <color rgb="FF595959"/>
        <rFont val="Arial"/>
        <family val="0"/>
        <charset val="1"/>
      </rPr>
      <t xml:space="preserve">&lt; </t>
    </r>
    <r>
      <rPr>
        <sz val="9"/>
        <color rgb="FF595959"/>
        <rFont val="Noto Sans CJK SC"/>
        <family val="2"/>
      </rPr>
      <t xml:space="preserve">訓練最低占比 → </t>
    </r>
    <r>
      <rPr>
        <sz val="9"/>
        <color rgb="FF595959"/>
        <rFont val="Arial"/>
        <family val="0"/>
        <charset val="1"/>
      </rPr>
      <t xml:space="preserve">η </t>
    </r>
    <r>
      <rPr>
        <sz val="9"/>
        <color rgb="FF595959"/>
        <rFont val="Noto Sans CJK SC"/>
        <family val="2"/>
      </rPr>
      <t xml:space="preserve">上調（</t>
    </r>
    <r>
      <rPr>
        <sz val="9"/>
        <color rgb="FF595959"/>
        <rFont val="Arial"/>
        <family val="0"/>
        <charset val="1"/>
      </rPr>
      <t xml:space="preserve">WARN</t>
    </r>
    <r>
      <rPr>
        <sz val="9"/>
        <color rgb="FF595959"/>
        <rFont val="Noto Sans CJK SC"/>
        <family val="2"/>
      </rPr>
      <t xml:space="preserve">）</t>
    </r>
  </si>
  <si>
    <t xml:space="preserve">G197</t>
  </si>
  <si>
    <r>
      <rPr>
        <sz val="10"/>
        <color rgb="FF000000"/>
        <rFont val="Arial"/>
        <family val="0"/>
        <charset val="1"/>
      </rPr>
      <t xml:space="preserve">η </t>
    </r>
    <r>
      <rPr>
        <sz val="10"/>
        <color rgb="FF000000"/>
        <rFont val="Noto Sans CJK SC"/>
        <family val="2"/>
      </rPr>
      <t xml:space="preserve">上調旗標（</t>
    </r>
    <r>
      <rPr>
        <sz val="10"/>
        <color rgb="FF000000"/>
        <rFont val="Arial"/>
        <family val="0"/>
        <charset val="1"/>
      </rPr>
      <t xml:space="preserve">1</t>
    </r>
    <r>
      <rPr>
        <sz val="10"/>
        <color rgb="FF000000"/>
        <rFont val="Noto Sans CJK SC"/>
        <family val="2"/>
      </rPr>
      <t xml:space="preserve">＝殘差觸及訓練最低占比、</t>
    </r>
    <r>
      <rPr>
        <sz val="10"/>
        <color rgb="FF000000"/>
        <rFont val="Arial"/>
        <family val="0"/>
        <charset val="1"/>
      </rPr>
      <t xml:space="preserve">η </t>
    </r>
    <r>
      <rPr>
        <sz val="10"/>
        <color rgb="FF000000"/>
        <rFont val="Noto Sans CJK SC"/>
        <family val="2"/>
      </rPr>
      <t xml:space="preserve">高於基準）</t>
    </r>
  </si>
  <si>
    <r>
      <rPr>
        <sz val="9"/>
        <color rgb="FF595959"/>
        <rFont val="Arial"/>
        <family val="0"/>
        <charset val="1"/>
      </rPr>
      <t xml:space="preserve">Checks WARN</t>
    </r>
    <r>
      <rPr>
        <sz val="9"/>
        <color rgb="FF595959"/>
        <rFont val="Noto Sans CJK SC"/>
        <family val="2"/>
      </rPr>
      <t xml:space="preserve">；舊法開關＝</t>
    </r>
    <r>
      <rPr>
        <sz val="9"/>
        <color rgb="FF595959"/>
        <rFont val="Arial"/>
        <family val="0"/>
        <charset val="1"/>
      </rPr>
      <t xml:space="preserve">1 </t>
    </r>
    <r>
      <rPr>
        <sz val="9"/>
        <color rgb="FF595959"/>
        <rFont val="Noto Sans CJK SC"/>
        <family val="2"/>
      </rPr>
      <t xml:space="preserve">時為 </t>
    </r>
    <r>
      <rPr>
        <sz val="9"/>
        <color rgb="FF595959"/>
        <rFont val="Arial"/>
        <family val="0"/>
        <charset val="1"/>
      </rPr>
      <t xml:space="preserve">0</t>
    </r>
  </si>
  <si>
    <t xml:space="preserve">G198</t>
  </si>
  <si>
    <r>
      <rPr>
        <sz val="10"/>
        <color rgb="FF000000"/>
        <rFont val="Noto Sans CJK SC"/>
        <family val="2"/>
      </rPr>
      <t xml:space="preserve">舊法（</t>
    </r>
    <r>
      <rPr>
        <sz val="10"/>
        <color rgb="FF000000"/>
        <rFont val="Arial"/>
        <family val="0"/>
        <charset val="1"/>
      </rPr>
      <t xml:space="preserve">D8r</t>
    </r>
    <r>
      <rPr>
        <sz val="10"/>
        <color rgb="FF000000"/>
        <rFont val="Noto Sans CJK SC"/>
        <family val="2"/>
      </rPr>
      <t xml:space="preserve">）：</t>
    </r>
    <r>
      <rPr>
        <sz val="10"/>
        <color rgb="FF000000"/>
        <rFont val="Arial"/>
        <family val="0"/>
        <charset val="1"/>
      </rPr>
      <t xml:space="preserve">η</t>
    </r>
    <r>
      <rPr>
        <sz val="10"/>
        <color rgb="FF000000"/>
        <rFont val="Noto Sans CJK SC"/>
        <family val="2"/>
      </rPr>
      <t xml:space="preserve">＝</t>
    </r>
    <r>
      <rPr>
        <sz val="10"/>
        <color rgb="FF000000"/>
        <rFont val="Arial"/>
        <family val="0"/>
        <charset val="1"/>
      </rPr>
      <t xml:space="preserve">token </t>
    </r>
    <r>
      <rPr>
        <sz val="10"/>
        <color rgb="FF000000"/>
        <rFont val="Noto Sans CJK SC"/>
        <family val="2"/>
      </rPr>
      <t xml:space="preserve">換算 </t>
    </r>
    <r>
      <rPr>
        <sz val="10"/>
        <color rgb="FF000000"/>
        <rFont val="Arial"/>
        <family val="0"/>
        <charset val="1"/>
      </rPr>
      <t xml:space="preserve">GW ÷ API </t>
    </r>
    <r>
      <rPr>
        <sz val="10"/>
        <color rgb="FF000000"/>
        <rFont val="Noto Sans CJK SC"/>
        <family val="2"/>
      </rPr>
      <t xml:space="preserve">銷售成本換算 </t>
    </r>
    <r>
      <rPr>
        <sz val="10"/>
        <color rgb="FF000000"/>
        <rFont val="Arial"/>
        <family val="0"/>
        <charset val="1"/>
      </rPr>
      <t xml:space="preserve">GW</t>
    </r>
  </si>
  <si>
    <r>
      <rPr>
        <sz val="9"/>
        <color rgb="FF595959"/>
        <rFont val="Arial"/>
        <family val="0"/>
        <charset val="1"/>
      </rPr>
      <t xml:space="preserve">Z3b–Z5b </t>
    </r>
    <r>
      <rPr>
        <sz val="9"/>
        <color rgb="FF595959"/>
        <rFont val="Noto Sans CJK SC"/>
        <family val="2"/>
      </rPr>
      <t xml:space="preserve">基準 </t>
    </r>
    <r>
      <rPr>
        <sz val="9"/>
        <color rgb="FF595959"/>
        <rFont val="Arial"/>
        <family val="0"/>
        <charset val="1"/>
      </rPr>
      <t xml:space="preserve">η</t>
    </r>
    <r>
      <rPr>
        <sz val="9"/>
        <color rgb="FF595959"/>
        <rFont val="Noto Sans CJK SC"/>
        <family val="2"/>
      </rPr>
      <t xml:space="preserve">（</t>
    </r>
    <r>
      <rPr>
        <sz val="9"/>
        <color rgb="FF595959"/>
        <rFont val="Arial"/>
        <family val="0"/>
        <charset val="1"/>
      </rPr>
      <t xml:space="preserve">η </t>
    </r>
    <r>
      <rPr>
        <sz val="9"/>
        <color rgb="FF595959"/>
        <rFont val="Noto Sans CJK SC"/>
        <family val="2"/>
      </rPr>
      <t xml:space="preserve">開關＝</t>
    </r>
    <r>
      <rPr>
        <sz val="9"/>
        <color rgb="FF595959"/>
        <rFont val="Arial"/>
        <family val="0"/>
        <charset val="1"/>
      </rPr>
      <t xml:space="preserve">1 </t>
    </r>
    <r>
      <rPr>
        <sz val="9"/>
        <color rgb="FF595959"/>
        <rFont val="Noto Sans CJK SC"/>
        <family val="2"/>
      </rPr>
      <t xml:space="preserve">時第七節採用）</t>
    </r>
  </si>
  <si>
    <t xml:space="preserve">G199</t>
  </si>
  <si>
    <r>
      <rPr>
        <sz val="10"/>
        <color rgb="FF000000"/>
        <rFont val="Noto Sans CJK SC"/>
        <family val="2"/>
      </rPr>
      <t xml:space="preserve">舊法（</t>
    </r>
    <r>
      <rPr>
        <sz val="10"/>
        <color rgb="FF000000"/>
        <rFont val="Arial"/>
        <family val="0"/>
        <charset val="1"/>
      </rPr>
      <t xml:space="preserve">D8r</t>
    </r>
    <r>
      <rPr>
        <sz val="10"/>
        <color rgb="FF000000"/>
        <rFont val="Noto Sans CJK SC"/>
        <family val="2"/>
      </rPr>
      <t xml:space="preserve">）：推論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API </t>
    </r>
    <r>
      <rPr>
        <sz val="10"/>
        <color rgb="FF000000"/>
        <rFont val="Noto Sans CJK SC"/>
        <family val="2"/>
      </rPr>
      <t xml:space="preserve">銷售成本換算 </t>
    </r>
    <r>
      <rPr>
        <sz val="10"/>
        <color rgb="FF000000"/>
        <rFont val="Arial"/>
        <family val="0"/>
        <charset val="1"/>
      </rPr>
      <t xml:space="preserve">GW</t>
    </r>
  </si>
  <si>
    <t xml:space="preserve">G200</t>
  </si>
  <si>
    <r>
      <rPr>
        <sz val="10"/>
        <color rgb="FF000000"/>
        <rFont val="Noto Sans CJK SC"/>
        <family val="2"/>
      </rPr>
      <t xml:space="preserve">舊法（</t>
    </r>
    <r>
      <rPr>
        <sz val="10"/>
        <color rgb="FF000000"/>
        <rFont val="Arial"/>
        <family val="0"/>
        <charset val="1"/>
      </rPr>
      <t xml:space="preserve">D8r</t>
    </r>
    <r>
      <rPr>
        <sz val="10"/>
        <color rgb="FF000000"/>
        <rFont val="Noto Sans CJK SC"/>
        <family val="2"/>
      </rPr>
      <t xml:space="preserve">）：研發 </t>
    </r>
    <r>
      <rPr>
        <sz val="10"/>
        <color rgb="FF000000"/>
        <rFont val="Arial"/>
        <family val="0"/>
        <charset val="1"/>
      </rPr>
      <t xml:space="preserve">GW</t>
    </r>
    <r>
      <rPr>
        <sz val="10"/>
        <color rgb="FF000000"/>
        <rFont val="Noto Sans CJK SC"/>
        <family val="2"/>
      </rPr>
      <t xml:space="preserve">＝供給 − 推論</t>
    </r>
  </si>
  <si>
    <r>
      <rPr>
        <sz val="9"/>
        <color rgb="FF595959"/>
        <rFont val="Noto Sans CJK SC"/>
        <family val="2"/>
      </rPr>
      <t xml:space="preserve">供給同第八節（</t>
    </r>
    <r>
      <rPr>
        <sz val="9"/>
        <color rgb="FF595959"/>
        <rFont val="Arial"/>
        <family val="0"/>
        <charset val="1"/>
      </rPr>
      <t xml:space="preserve">r2 P1 </t>
    </r>
    <r>
      <rPr>
        <sz val="9"/>
        <color rgb="FF595959"/>
        <rFont val="Noto Sans CJK SC"/>
        <family val="2"/>
      </rPr>
      <t xml:space="preserve">總算力費 </t>
    </r>
    <r>
      <rPr>
        <sz val="9"/>
        <color rgb="FF595959"/>
        <rFont val="Arial"/>
        <family val="0"/>
        <charset val="1"/>
      </rPr>
      <t xml:space="preserve">÷ </t>
    </r>
    <r>
      <rPr>
        <sz val="9"/>
        <color rgb="FF595959"/>
        <rFont val="Noto Sans CJK SC"/>
        <family val="2"/>
      </rPr>
      <t xml:space="preserve">價格）</t>
    </r>
  </si>
  <si>
    <t xml:space="preserve">G201</t>
  </si>
  <si>
    <r>
      <rPr>
        <sz val="10"/>
        <color rgb="FF000000"/>
        <rFont val="Noto Sans CJK SC"/>
        <family val="2"/>
      </rPr>
      <t xml:space="preserve">舊法（</t>
    </r>
    <r>
      <rPr>
        <sz val="10"/>
        <color rgb="FF000000"/>
        <rFont val="Arial"/>
        <family val="0"/>
        <charset val="1"/>
      </rPr>
      <t xml:space="preserve">D8r</t>
    </r>
    <r>
      <rPr>
        <sz val="10"/>
        <color rgb="FF000000"/>
        <rFont val="Noto Sans CJK SC"/>
        <family val="2"/>
      </rPr>
      <t xml:space="preserve">）：研發占供給</t>
    </r>
  </si>
  <si>
    <r>
      <rPr>
        <sz val="9"/>
        <color rgb="FF595959"/>
        <rFont val="Arial"/>
        <family val="0"/>
        <charset val="1"/>
      </rPr>
      <t xml:space="preserve">Z3–Z5b </t>
    </r>
    <r>
      <rPr>
        <sz val="9"/>
        <color rgb="FF595959"/>
        <rFont val="Noto Sans CJK SC"/>
        <family val="2"/>
      </rPr>
      <t xml:space="preserve">的研發占比起點（會計科目）</t>
    </r>
  </si>
  <si>
    <r>
      <rPr>
        <b val="true"/>
        <sz val="13"/>
        <rFont val="Arial"/>
        <family val="0"/>
        <charset val="1"/>
      </rPr>
      <t xml:space="preserve">Cost — </t>
    </r>
    <r>
      <rPr>
        <b val="true"/>
        <sz val="13"/>
        <rFont val="Noto Sans CJK SC"/>
        <family val="2"/>
      </rPr>
      <t xml:space="preserve">成本與命題表：算力成本（</t>
    </r>
    <r>
      <rPr>
        <b val="true"/>
        <sz val="13"/>
        <rFont val="Arial"/>
        <family val="0"/>
        <charset val="1"/>
      </rPr>
      <t xml:space="preserve">2025</t>
    </r>
    <r>
      <rPr>
        <b val="true"/>
        <sz val="13"/>
        <rFont val="Noto Sans CJK SC"/>
        <family val="2"/>
      </rPr>
      <t xml:space="preserve">、</t>
    </r>
    <r>
      <rPr>
        <b val="true"/>
        <sz val="13"/>
        <rFont val="Arial"/>
        <family val="0"/>
        <charset val="1"/>
      </rPr>
      <t xml:space="preserve">1H26</t>
    </r>
    <r>
      <rPr>
        <b val="true"/>
        <sz val="13"/>
        <rFont val="Noto Sans CJK SC"/>
        <family val="2"/>
      </rPr>
      <t xml:space="preserve">＝算力服務費實付；之後＝租用 </t>
    </r>
    <r>
      <rPr>
        <b val="true"/>
        <sz val="13"/>
        <rFont val="Arial"/>
        <family val="0"/>
        <charset val="1"/>
      </rPr>
      <t xml:space="preserve">GW × </t>
    </r>
    <r>
      <rPr>
        <b val="true"/>
        <sz val="13"/>
        <rFont val="Noto Sans CJK SC"/>
        <family val="2"/>
      </rPr>
      <t xml:space="preserve">每 </t>
    </r>
    <r>
      <rPr>
        <b val="true"/>
        <sz val="13"/>
        <rFont val="Arial"/>
        <family val="0"/>
        <charset val="1"/>
      </rPr>
      <t xml:space="preserve">GW </t>
    </r>
    <r>
      <rPr>
        <b val="true"/>
        <sz val="13"/>
        <rFont val="Noto Sans CJK SC"/>
        <family val="2"/>
      </rPr>
      <t xml:space="preserve">價格＋自有資本支出）、供應商持有成本與雲端毛利、本地化部署交付成本、非算力成本、股權報酬、每 </t>
    </r>
    <r>
      <rPr>
        <b val="true"/>
        <sz val="13"/>
        <rFont val="Arial"/>
        <family val="0"/>
        <charset val="1"/>
      </rPr>
      <t xml:space="preserve">VR </t>
    </r>
    <r>
      <rPr>
        <b val="true"/>
        <sz val="13"/>
        <rFont val="Noto Sans CJK SC"/>
        <family val="2"/>
      </rPr>
      <t xml:space="preserve">等值 </t>
    </r>
    <r>
      <rPr>
        <b val="true"/>
        <sz val="13"/>
        <rFont val="Arial"/>
        <family val="0"/>
        <charset val="1"/>
      </rPr>
      <t xml:space="preserve">GW </t>
    </r>
    <r>
      <rPr>
        <b val="true"/>
        <sz val="13"/>
        <rFont val="Noto Sans CJK SC"/>
        <family val="2"/>
      </rPr>
      <t xml:space="preserve">命題表（人民幣與美元）</t>
    </r>
  </si>
  <si>
    <r>
      <rPr>
        <sz val="9"/>
        <color rgb="FF595959"/>
        <rFont val="Noto Sans CJK SC"/>
        <family val="2"/>
      </rPr>
      <t xml:space="preserve">規格 </t>
    </r>
    <r>
      <rPr>
        <sz val="9"/>
        <color rgb="FF595959"/>
        <rFont val="Arial"/>
        <family val="0"/>
        <charset val="1"/>
      </rPr>
      <t xml:space="preserve">D4</t>
    </r>
    <r>
      <rPr>
        <sz val="9"/>
        <color rgb="FF595959"/>
        <rFont val="Noto Sans CJK SC"/>
        <family val="2"/>
      </rPr>
      <t xml:space="preserve">、</t>
    </r>
    <r>
      <rPr>
        <sz val="9"/>
        <color rgb="FF595959"/>
        <rFont val="Arial"/>
        <family val="0"/>
        <charset val="1"/>
      </rPr>
      <t xml:space="preserve">D10</t>
    </r>
    <r>
      <rPr>
        <sz val="9"/>
        <color rgb="FF595959"/>
        <rFont val="Noto Sans CJK SC"/>
        <family val="2"/>
      </rPr>
      <t xml:space="preserve">、</t>
    </r>
    <r>
      <rPr>
        <sz val="9"/>
        <color rgb="FF595959"/>
        <rFont val="Arial"/>
        <family val="0"/>
        <charset val="1"/>
      </rPr>
      <t xml:space="preserve">D11r</t>
    </r>
    <r>
      <rPr>
        <sz val="9"/>
        <color rgb="FF595959"/>
        <rFont val="Noto Sans CJK SC"/>
        <family val="2"/>
      </rPr>
      <t xml:space="preserve">、</t>
    </r>
    <r>
      <rPr>
        <sz val="9"/>
        <color rgb="FF595959"/>
        <rFont val="Arial"/>
        <family val="0"/>
        <charset val="1"/>
      </rPr>
      <t xml:space="preserve">D13</t>
    </r>
    <r>
      <rPr>
        <sz val="9"/>
        <color rgb="FF595959"/>
        <rFont val="Noto Sans CJK SC"/>
        <family val="2"/>
      </rPr>
      <t xml:space="preserve">、</t>
    </r>
    <r>
      <rPr>
        <sz val="9"/>
        <color rgb="FF595959"/>
        <rFont val="Arial"/>
        <family val="0"/>
        <charset val="1"/>
      </rPr>
      <t xml:space="preserve">D23</t>
    </r>
    <r>
      <rPr>
        <sz val="9"/>
        <color rgb="FF595959"/>
        <rFont val="Noto Sans CJK SC"/>
        <family val="2"/>
      </rPr>
      <t xml:space="preserve">。全成本＝算力成本＋本地化部署交付成本＋非算力成本（不含股權報酬）＋股權報酬（命題含股權報酬，較保守；另列不含者）。</t>
    </r>
    <r>
      <rPr>
        <sz val="9"/>
        <color rgb="FF595959"/>
        <rFont val="Arial"/>
        <family val="0"/>
        <charset val="1"/>
      </rPr>
      <t xml:space="preserve">2025 </t>
    </r>
    <r>
      <rPr>
        <sz val="9"/>
        <color rgb="FF595959"/>
        <rFont val="Noto Sans CJK SC"/>
        <family val="2"/>
      </rPr>
      <t xml:space="preserve">全成本對財報（銷售成本＋研發＋銷售＋管理）差距＝</t>
    </r>
    <r>
      <rPr>
        <sz val="9"/>
        <color rgb="FF595959"/>
        <rFont val="Arial"/>
        <family val="0"/>
        <charset val="1"/>
      </rPr>
      <t xml:space="preserve">0</t>
    </r>
    <r>
      <rPr>
        <sz val="9"/>
        <color rgb="FF595959"/>
        <rFont val="Noto Sans CJK SC"/>
        <family val="2"/>
      </rPr>
      <t xml:space="preserve">（非算力成本為財報減項的殘差）。</t>
    </r>
  </si>
  <si>
    <r>
      <rPr>
        <sz val="9"/>
        <color rgb="FF595959"/>
        <rFont val="Noto Sans CJK SC"/>
        <family val="2"/>
      </rPr>
      <t xml:space="preserve">金額 </t>
    </r>
    <r>
      <rPr>
        <sz val="9"/>
        <color rgb="FF595959"/>
        <rFont val="Arial"/>
        <family val="0"/>
        <charset val="1"/>
      </rPr>
      <t xml:space="preserve">RMB </t>
    </r>
    <r>
      <rPr>
        <sz val="9"/>
        <color rgb="FF595959"/>
        <rFont val="Noto Sans CJK SC"/>
        <family val="2"/>
      </rPr>
      <t xml:space="preserve">億；命題表 </t>
    </r>
    <r>
      <rPr>
        <sz val="9"/>
        <color rgb="FF595959"/>
        <rFont val="Arial"/>
        <family val="0"/>
        <charset val="1"/>
      </rPr>
      <t xml:space="preserve">RMB </t>
    </r>
    <r>
      <rPr>
        <sz val="9"/>
        <color rgb="FF595959"/>
        <rFont val="Noto Sans CJK SC"/>
        <family val="2"/>
      </rPr>
      <t xml:space="preserve">億／</t>
    </r>
    <r>
      <rPr>
        <sz val="9"/>
        <color rgb="FF595959"/>
        <rFont val="Arial"/>
        <family val="0"/>
        <charset val="1"/>
      </rPr>
      <t xml:space="preserve">VR </t>
    </r>
    <r>
      <rPr>
        <sz val="9"/>
        <color rgb="FF595959"/>
        <rFont val="Noto Sans CJK SC"/>
        <family val="2"/>
      </rPr>
      <t xml:space="preserve">等值 </t>
    </r>
    <r>
      <rPr>
        <sz val="9"/>
        <color rgb="FF595959"/>
        <rFont val="Arial"/>
        <family val="0"/>
        <charset val="1"/>
      </rPr>
      <t xml:space="preserve">GW</t>
    </r>
    <r>
      <rPr>
        <sz val="9"/>
        <color rgb="FF595959"/>
        <rFont val="Noto Sans CJK SC"/>
        <family val="2"/>
      </rPr>
      <t xml:space="preserve">／年，美元口徑 </t>
    </r>
    <r>
      <rPr>
        <sz val="9"/>
        <color rgb="FF595959"/>
        <rFont val="Arial"/>
        <family val="0"/>
        <charset val="1"/>
      </rPr>
      <t xml:space="preserve">$B</t>
    </r>
    <r>
      <rPr>
        <sz val="9"/>
        <color rgb="FF595959"/>
        <rFont val="Noto Sans CJK SC"/>
        <family val="2"/>
      </rPr>
      <t xml:space="preserve">／</t>
    </r>
    <r>
      <rPr>
        <sz val="9"/>
        <color rgb="FF595959"/>
        <rFont val="Arial"/>
        <family val="0"/>
        <charset val="1"/>
      </rPr>
      <t xml:space="preserve">VR </t>
    </r>
    <r>
      <rPr>
        <sz val="9"/>
        <color rgb="FF595959"/>
        <rFont val="Noto Sans CJK SC"/>
        <family val="2"/>
      </rPr>
      <t xml:space="preserve">等值 </t>
    </r>
    <r>
      <rPr>
        <sz val="9"/>
        <color rgb="FF595959"/>
        <rFont val="Arial"/>
        <family val="0"/>
        <charset val="1"/>
      </rPr>
      <t xml:space="preserve">GW</t>
    </r>
    <r>
      <rPr>
        <sz val="9"/>
        <color rgb="FF595959"/>
        <rFont val="Noto Sans CJK SC"/>
        <family val="2"/>
      </rPr>
      <t xml:space="preserve">／年（</t>
    </r>
    <r>
      <rPr>
        <sz val="9"/>
        <color rgb="FF595959"/>
        <rFont val="Arial"/>
        <family val="0"/>
        <charset val="1"/>
      </rPr>
      <t xml:space="preserve">÷ USD/CNY ÷ 10</t>
    </r>
    <r>
      <rPr>
        <sz val="9"/>
        <color rgb="FF595959"/>
        <rFont val="Noto Sans CJK SC"/>
        <family val="2"/>
      </rPr>
      <t xml:space="preserve">）。</t>
    </r>
    <r>
      <rPr>
        <sz val="9"/>
        <color rgb="FF595959"/>
        <rFont val="Arial"/>
        <family val="0"/>
        <charset val="1"/>
      </rPr>
      <t xml:space="preserve">2026</t>
    </r>
    <r>
      <rPr>
        <sz val="9"/>
        <color rgb="FF595959"/>
        <rFont val="Noto Sans CJK SC"/>
        <family val="2"/>
      </rPr>
      <t xml:space="preserve">（</t>
    </r>
    <r>
      <rPr>
        <sz val="9"/>
        <color rgb="FF595959"/>
        <rFont val="Arial"/>
        <family val="0"/>
        <charset val="1"/>
      </rPr>
      <t xml:space="preserve">E</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2H26</t>
    </r>
    <r>
      <rPr>
        <sz val="9"/>
        <color rgb="FF595959"/>
        <rFont val="Noto Sans CJK SC"/>
        <family val="2"/>
      </rPr>
      <t xml:space="preserve">。</t>
    </r>
  </si>
  <si>
    <r>
      <rPr>
        <b val="true"/>
        <sz val="10"/>
        <rFont val="Noto Sans CJK SC"/>
        <family val="2"/>
      </rPr>
      <t xml:space="preserve">一、算力成本（</t>
    </r>
    <r>
      <rPr>
        <b val="true"/>
        <sz val="10"/>
        <rFont val="Arial"/>
        <family val="0"/>
        <charset val="1"/>
      </rPr>
      <t xml:space="preserve">D10</t>
    </r>
    <r>
      <rPr>
        <b val="true"/>
        <sz val="10"/>
        <rFont val="Noto Sans CJK SC"/>
        <family val="2"/>
      </rPr>
      <t xml:space="preserve">）：</t>
    </r>
    <r>
      <rPr>
        <b val="true"/>
        <sz val="10"/>
        <rFont val="Arial"/>
        <family val="0"/>
        <charset val="1"/>
      </rPr>
      <t xml:space="preserve">2025</t>
    </r>
    <r>
      <rPr>
        <b val="true"/>
        <sz val="10"/>
        <rFont val="Noto Sans CJK SC"/>
        <family val="2"/>
      </rPr>
      <t xml:space="preserve">、</t>
    </r>
    <r>
      <rPr>
        <b val="true"/>
        <sz val="10"/>
        <rFont val="Arial"/>
        <family val="0"/>
        <charset val="1"/>
      </rPr>
      <t xml:space="preserve">1H26</t>
    </r>
    <r>
      <rPr>
        <b val="true"/>
        <sz val="10"/>
        <rFont val="Noto Sans CJK SC"/>
        <family val="2"/>
      </rPr>
      <t xml:space="preserve">＝算力服務費實付（</t>
    </r>
    <r>
      <rPr>
        <b val="true"/>
        <sz val="10"/>
        <rFont val="Arial"/>
        <family val="0"/>
        <charset val="1"/>
      </rPr>
      <t xml:space="preserve">Compute </t>
    </r>
    <r>
      <rPr>
        <b val="true"/>
        <sz val="10"/>
        <rFont val="Noto Sans CJK SC"/>
        <family val="2"/>
      </rPr>
      <t xml:space="preserve">第五節）；</t>
    </r>
    <r>
      <rPr>
        <b val="true"/>
        <sz val="10"/>
        <rFont val="Arial"/>
        <family val="0"/>
        <charset val="1"/>
      </rPr>
      <t xml:space="preserve">2H26 </t>
    </r>
    <r>
      <rPr>
        <b val="true"/>
        <sz val="10"/>
        <rFont val="Noto Sans CJK SC"/>
        <family val="2"/>
      </rPr>
      <t xml:space="preserve">起＝租用 </t>
    </r>
    <r>
      <rPr>
        <b val="true"/>
        <sz val="10"/>
        <rFont val="Arial"/>
        <family val="0"/>
        <charset val="1"/>
      </rPr>
      <t xml:space="preserve">GW × </t>
    </r>
    <r>
      <rPr>
        <b val="true"/>
        <sz val="10"/>
        <rFont val="Noto Sans CJK SC"/>
        <family val="2"/>
      </rPr>
      <t xml:space="preserve">每 </t>
    </r>
    <r>
      <rPr>
        <b val="true"/>
        <sz val="10"/>
        <rFont val="Arial"/>
        <family val="0"/>
        <charset val="1"/>
      </rPr>
      <t xml:space="preserve">GW </t>
    </r>
    <r>
      <rPr>
        <b val="true"/>
        <sz val="10"/>
        <rFont val="Noto Sans CJK SC"/>
        <family val="2"/>
      </rPr>
      <t xml:space="preserve">價格 </t>
    </r>
    <r>
      <rPr>
        <b val="true"/>
        <sz val="10"/>
        <rFont val="Arial"/>
        <family val="0"/>
        <charset val="1"/>
      </rPr>
      <t xml:space="preserve">× </t>
    </r>
    <r>
      <rPr>
        <b val="true"/>
        <sz val="10"/>
        <rFont val="Noto Sans CJK SC"/>
        <family val="2"/>
      </rPr>
      <t xml:space="preserve">期間比例＋自有資本支出</t>
    </r>
  </si>
  <si>
    <t xml:space="preserve">K01</t>
  </si>
  <si>
    <t xml:space="preserve">營業成本中的計算服務費（實付推估）</t>
  </si>
  <si>
    <r>
      <rPr>
        <sz val="9"/>
        <color rgb="FF595959"/>
        <rFont val="Arial"/>
        <family val="0"/>
        <charset val="1"/>
      </rPr>
      <t xml:space="preserve">r2 P1</t>
    </r>
    <r>
      <rPr>
        <sz val="9"/>
        <color rgb="FF595959"/>
        <rFont val="Noto Sans CJK SC"/>
        <family val="2"/>
      </rPr>
      <t xml:space="preserve">：不再等於推論支出</t>
    </r>
  </si>
  <si>
    <t xml:space="preserve">K02</t>
  </si>
  <si>
    <t xml:space="preserve">研發項下算力服務費（實付推估）</t>
  </si>
  <si>
    <r>
      <rPr>
        <sz val="9"/>
        <color rgb="FF595959"/>
        <rFont val="Arial"/>
        <family val="0"/>
        <charset val="1"/>
      </rPr>
      <t xml:space="preserve">r2 P1</t>
    </r>
    <r>
      <rPr>
        <sz val="9"/>
        <color rgb="FF595959"/>
        <rFont val="Noto Sans CJK SC"/>
        <family val="2"/>
      </rPr>
      <t xml:space="preserve">：研發開支 </t>
    </r>
    <r>
      <rPr>
        <sz val="9"/>
        <color rgb="FF595959"/>
        <rFont val="Arial"/>
        <family val="0"/>
        <charset val="1"/>
      </rPr>
      <t xml:space="preserve">× 71.8%</t>
    </r>
    <r>
      <rPr>
        <sz val="9"/>
        <color rgb="FF595959"/>
        <rFont val="Noto Sans CJK SC"/>
        <family val="2"/>
      </rPr>
      <t xml:space="preserve">；含推理</t>
    </r>
  </si>
  <si>
    <t xml:space="preserve">K03</t>
  </si>
  <si>
    <t xml:space="preserve">算力服務費（租用）</t>
  </si>
  <si>
    <r>
      <rPr>
        <sz val="9"/>
        <color rgb="FF595959"/>
        <rFont val="Arial"/>
        <family val="0"/>
        <charset val="1"/>
      </rPr>
      <t xml:space="preserve">2H26 </t>
    </r>
    <r>
      <rPr>
        <sz val="9"/>
        <color rgb="FF595959"/>
        <rFont val="Noto Sans CJK SC"/>
        <family val="2"/>
      </rPr>
      <t xml:space="preserve">起＝租用 </t>
    </r>
    <r>
      <rPr>
        <sz val="9"/>
        <color rgb="FF595959"/>
        <rFont val="Arial"/>
        <family val="0"/>
        <charset val="1"/>
      </rPr>
      <t xml:space="preserve">GW × </t>
    </r>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年價格 </t>
    </r>
    <r>
      <rPr>
        <sz val="9"/>
        <color rgb="FF595959"/>
        <rFont val="Arial"/>
        <family val="0"/>
        <charset val="1"/>
      </rPr>
      <t xml:space="preserve">× </t>
    </r>
    <r>
      <rPr>
        <sz val="9"/>
        <color rgb="FF595959"/>
        <rFont val="Noto Sans CJK SC"/>
        <family val="2"/>
      </rPr>
      <t xml:space="preserve">期間比例</t>
    </r>
  </si>
  <si>
    <t xml:space="preserve">K04</t>
  </si>
  <si>
    <t xml:space="preserve">自有資本支出（現金）</t>
  </si>
  <si>
    <r>
      <rPr>
        <sz val="9"/>
        <color rgb="FF595959"/>
        <rFont val="Arial"/>
        <family val="0"/>
        <charset val="1"/>
      </rPr>
      <t xml:space="preserve">Compute </t>
    </r>
    <r>
      <rPr>
        <sz val="9"/>
        <color rgb="FF595959"/>
        <rFont val="Noto Sans CJK SC"/>
        <family val="2"/>
      </rPr>
      <t xml:space="preserve">第八節（</t>
    </r>
    <r>
      <rPr>
        <sz val="9"/>
        <color rgb="FF595959"/>
        <rFont val="Arial"/>
        <family val="0"/>
        <charset val="1"/>
      </rPr>
      <t xml:space="preserve">D11r</t>
    </r>
    <r>
      <rPr>
        <sz val="9"/>
        <color rgb="FF595959"/>
        <rFont val="Noto Sans CJK SC"/>
        <family val="2"/>
      </rPr>
      <t xml:space="preserve">：基準 </t>
    </r>
    <r>
      <rPr>
        <sz val="9"/>
        <color rgb="FF595959"/>
        <rFont val="Arial"/>
        <family val="0"/>
        <charset val="1"/>
      </rPr>
      <t xml:space="preserve">0</t>
    </r>
    <r>
      <rPr>
        <sz val="9"/>
        <color rgb="FF595959"/>
        <rFont val="Noto Sans CJK SC"/>
        <family val="2"/>
      </rPr>
      <t xml:space="preserve">）</t>
    </r>
  </si>
  <si>
    <t xml:space="preserve">K05</t>
  </si>
  <si>
    <t xml:space="preserve">算力成本（現金口徑）＝租用＋自有資本支出＋自有營運費用</t>
  </si>
  <si>
    <r>
      <rPr>
        <sz val="9"/>
        <color rgb="FF595959"/>
        <rFont val="Noto Sans CJK SC"/>
        <family val="2"/>
      </rPr>
      <t xml:space="preserve">命題輸出基準；</t>
    </r>
    <r>
      <rPr>
        <sz val="9"/>
        <color rgb="FF595959"/>
        <rFont val="Arial"/>
        <family val="0"/>
        <charset val="1"/>
      </rPr>
      <t xml:space="preserve">Z5b V2</t>
    </r>
    <r>
      <rPr>
        <sz val="9"/>
        <color rgb="FF595959"/>
        <rFont val="Noto Sans CJK SC"/>
        <family val="2"/>
      </rPr>
      <t xml:space="preserve">：</t>
    </r>
    <r>
      <rPr>
        <sz val="9"/>
        <color rgb="FF595959"/>
        <rFont val="Arial"/>
        <family val="0"/>
        <charset val="1"/>
      </rPr>
      <t xml:space="preserve">2027 </t>
    </r>
    <r>
      <rPr>
        <sz val="9"/>
        <color rgb="FF595959"/>
        <rFont val="Noto Sans CJK SC"/>
        <family val="2"/>
      </rPr>
      <t xml:space="preserve">起＋自有算力營運費用（第十節）</t>
    </r>
  </si>
  <si>
    <t xml:space="preserve">K06</t>
  </si>
  <si>
    <t xml:space="preserve">算力成本拆分：推論</t>
  </si>
  <si>
    <r>
      <rPr>
        <sz val="9"/>
        <color rgb="FF595959"/>
        <rFont val="Noto Sans CJK SC"/>
        <family val="2"/>
      </rPr>
      <t xml:space="preserve">依 </t>
    </r>
    <r>
      <rPr>
        <sz val="9"/>
        <color rgb="FF595959"/>
        <rFont val="Arial"/>
        <family val="0"/>
        <charset val="1"/>
      </rPr>
      <t xml:space="preserve">GW </t>
    </r>
    <r>
      <rPr>
        <sz val="9"/>
        <color rgb="FF595959"/>
        <rFont val="Noto Sans CJK SC"/>
        <family val="2"/>
      </rPr>
      <t xml:space="preserve">占比拆分（</t>
    </r>
    <r>
      <rPr>
        <sz val="9"/>
        <color rgb="FF595959"/>
        <rFont val="Arial"/>
        <family val="0"/>
        <charset val="1"/>
      </rPr>
      <t xml:space="preserve">r2 P1</t>
    </r>
    <r>
      <rPr>
        <sz val="9"/>
        <color rgb="FF595959"/>
        <rFont val="Noto Sans CJK SC"/>
        <family val="2"/>
      </rPr>
      <t xml:space="preserve">：校準期也依 </t>
    </r>
    <r>
      <rPr>
        <sz val="9"/>
        <color rgb="FF595959"/>
        <rFont val="Arial"/>
        <family val="0"/>
        <charset val="1"/>
      </rPr>
      <t xml:space="preserve">GW </t>
    </r>
    <r>
      <rPr>
        <sz val="9"/>
        <color rgb="FF595959"/>
        <rFont val="Noto Sans CJK SC"/>
        <family val="2"/>
      </rPr>
      <t xml:space="preserve">占比，不再等於會計科目）；供給為 </t>
    </r>
    <r>
      <rPr>
        <sz val="9"/>
        <color rgb="FF595959"/>
        <rFont val="Arial"/>
        <family val="0"/>
        <charset val="1"/>
      </rPr>
      <t xml:space="preserve">0 </t>
    </r>
    <r>
      <rPr>
        <sz val="9"/>
        <color rgb="FF595959"/>
        <rFont val="Noto Sans CJK SC"/>
        <family val="2"/>
      </rPr>
      <t xml:space="preserve">時顯示 </t>
    </r>
    <r>
      <rPr>
        <sz val="9"/>
        <color rgb="FF595959"/>
        <rFont val="Arial"/>
        <family val="0"/>
        <charset val="1"/>
      </rPr>
      <t xml:space="preserve">0</t>
    </r>
  </si>
  <si>
    <t xml:space="preserve">K07</t>
  </si>
  <si>
    <t xml:space="preserve">算力成本拆分：研發</t>
  </si>
  <si>
    <t xml:space="preserve">K08</t>
  </si>
  <si>
    <t xml:space="preserve">算力成本拆分：閒置</t>
  </si>
  <si>
    <t xml:space="preserve">K09</t>
  </si>
  <si>
    <t xml:space="preserve">檢查：算力成本 −（營業成本計算服務費＋研發項下算力費）</t>
  </si>
  <si>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應為 </t>
    </r>
    <r>
      <rPr>
        <sz val="9"/>
        <color rgb="FF595959"/>
        <rFont val="Arial"/>
        <family val="0"/>
        <charset val="1"/>
      </rPr>
      <t xml:space="preserve">0</t>
    </r>
    <r>
      <rPr>
        <sz val="9"/>
        <color rgb="FF595959"/>
        <rFont val="Noto Sans CJK SC"/>
        <family val="2"/>
      </rPr>
      <t xml:space="preserve">（</t>
    </r>
    <r>
      <rPr>
        <sz val="9"/>
        <color rgb="FF595959"/>
        <rFont val="Arial"/>
        <family val="0"/>
        <charset val="1"/>
      </rPr>
      <t xml:space="preserve">Checks</t>
    </r>
    <r>
      <rPr>
        <sz val="9"/>
        <color rgb="FF595959"/>
        <rFont val="Noto Sans CJK SC"/>
        <family val="2"/>
      </rPr>
      <t xml:space="preserve">）</t>
    </r>
  </si>
  <si>
    <r>
      <rPr>
        <b val="true"/>
        <sz val="10"/>
        <rFont val="Noto Sans CJK SC"/>
        <family val="2"/>
      </rPr>
      <t xml:space="preserve">二、供應商持有成本與供應商推算毛利（</t>
    </r>
    <r>
      <rPr>
        <b val="true"/>
        <sz val="10"/>
        <rFont val="Arial"/>
        <family val="0"/>
        <charset val="1"/>
      </rPr>
      <t xml:space="preserve">D10</t>
    </r>
    <r>
      <rPr>
        <b val="true"/>
        <sz val="10"/>
        <rFont val="Noto Sans CJK SC"/>
        <family val="2"/>
      </rPr>
      <t xml:space="preserve">：持有成本＝租用 </t>
    </r>
    <r>
      <rPr>
        <b val="true"/>
        <sz val="10"/>
        <rFont val="Arial"/>
        <family val="0"/>
        <charset val="1"/>
      </rPr>
      <t xml:space="preserve">GW × TK IF_HoldEcon</t>
    </r>
    <r>
      <rPr>
        <b val="true"/>
        <sz val="10"/>
        <rFont val="Noto Sans CJK SC"/>
        <family val="2"/>
      </rPr>
      <t xml:space="preserve">（</t>
    </r>
    <r>
      <rPr>
        <b val="true"/>
        <sz val="10"/>
        <rFont val="Arial"/>
        <family val="0"/>
        <charset val="1"/>
      </rPr>
      <t xml:space="preserve">Hopper</t>
    </r>
    <r>
      <rPr>
        <b val="true"/>
        <sz val="10"/>
        <rFont val="Noto Sans CJK SC"/>
        <family val="2"/>
      </rPr>
      <t xml:space="preserve">）</t>
    </r>
    <r>
      <rPr>
        <b val="true"/>
        <sz val="10"/>
        <rFont val="Arial"/>
        <family val="0"/>
        <charset val="1"/>
      </rPr>
      <t xml:space="preserve">× </t>
    </r>
    <r>
      <rPr>
        <b val="true"/>
        <sz val="10"/>
        <rFont val="Noto Sans CJK SC"/>
        <family val="2"/>
      </rPr>
      <t xml:space="preserve">持有比 </t>
    </r>
    <r>
      <rPr>
        <b val="true"/>
        <sz val="10"/>
        <rFont val="Arial"/>
        <family val="0"/>
        <charset val="1"/>
      </rPr>
      <t xml:space="preserve">× </t>
    </r>
    <r>
      <rPr>
        <b val="true"/>
        <sz val="10"/>
        <rFont val="Noto Sans CJK SC"/>
        <family val="2"/>
      </rPr>
      <t xml:space="preserve">匯率；差額＝供應商推算毛利，只作參考；</t>
    </r>
    <r>
      <rPr>
        <b val="true"/>
        <sz val="10"/>
        <rFont val="Arial"/>
        <family val="0"/>
        <charset val="1"/>
      </rPr>
      <t xml:space="preserve">Z5b V1</t>
    </r>
    <r>
      <rPr>
        <b val="true"/>
        <sz val="10"/>
        <rFont val="Noto Sans CJK SC"/>
        <family val="2"/>
      </rPr>
      <t xml:space="preserve">：</t>
    </r>
    <r>
      <rPr>
        <b val="true"/>
        <sz val="10"/>
        <rFont val="Arial"/>
        <family val="0"/>
        <charset val="1"/>
      </rPr>
      <t xml:space="preserve">2H26 </t>
    </r>
    <r>
      <rPr>
        <b val="true"/>
        <sz val="10"/>
        <rFont val="Noto Sans CJK SC"/>
        <family val="2"/>
      </rPr>
      <t xml:space="preserve">起不得為負）</t>
    </r>
  </si>
  <si>
    <t xml:space="preserve">K10</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</si>
  <si>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年持有成本：</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</si>
  <si>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r>
      <rPr>
        <sz val="9"/>
        <color rgb="FF595959"/>
        <rFont val="Arial"/>
        <family val="0"/>
        <charset val="1"/>
      </rPr>
      <t xml:space="preserve">Compute </t>
    </r>
    <r>
      <rPr>
        <sz val="9"/>
        <color rgb="FF595959"/>
        <rFont val="Noto Sans CJK SC"/>
        <family val="2"/>
      </rPr>
      <t xml:space="preserve">第十四節（</t>
    </r>
    <r>
      <rPr>
        <sz val="9"/>
        <color rgb="FF595959"/>
        <rFont val="Arial"/>
        <family val="0"/>
        <charset val="1"/>
      </rPr>
      <t xml:space="preserve">TK IF_HoldEcon</t>
    </r>
    <r>
      <rPr>
        <sz val="9"/>
        <color rgb="FF595959"/>
        <rFont val="Noto Sans CJK SC"/>
        <family val="2"/>
      </rPr>
      <t xml:space="preserve">（</t>
    </r>
    <r>
      <rPr>
        <sz val="9"/>
        <color rgb="FF595959"/>
        <rFont val="Arial"/>
        <family val="0"/>
        <charset val="1"/>
      </rPr>
      <t xml:space="preserve">Hopper </t>
    </r>
    <r>
      <rPr>
        <sz val="9"/>
        <color rgb="FF595959"/>
        <rFont val="Noto Sans CJK SC"/>
        <family val="2"/>
      </rPr>
      <t xml:space="preserve">基準欄，經濟口徑）</t>
    </r>
    <r>
      <rPr>
        <sz val="9"/>
        <color rgb="FF595959"/>
        <rFont val="Arial"/>
        <family val="0"/>
        <charset val="1"/>
      </rPr>
      <t xml:space="preserve">× </t>
    </r>
    <r>
      <rPr>
        <sz val="9"/>
        <color rgb="FF595959"/>
        <rFont val="Noto Sans CJK SC"/>
        <family val="2"/>
      </rPr>
      <t xml:space="preserve">持有比 </t>
    </r>
    <r>
      <rPr>
        <sz val="9"/>
        <color rgb="FF595959"/>
        <rFont val="Arial"/>
        <family val="0"/>
        <charset val="1"/>
      </rPr>
      <t xml:space="preserve">× USD/CNY × 10</t>
    </r>
    <r>
      <rPr>
        <sz val="9"/>
        <color rgb="FF595959"/>
        <rFont val="Noto Sans CJK SC"/>
        <family val="2"/>
      </rPr>
      <t xml:space="preserve">）；亦為 </t>
    </r>
    <r>
      <rPr>
        <sz val="9"/>
        <color rgb="FF595959"/>
        <rFont val="Arial"/>
        <family val="0"/>
        <charset val="1"/>
      </rPr>
      <t xml:space="preserve">2H26 </t>
    </r>
    <r>
      <rPr>
        <sz val="9"/>
        <color rgb="FF595959"/>
        <rFont val="Noto Sans CJK SC"/>
        <family val="2"/>
      </rPr>
      <t xml:space="preserve">起每 </t>
    </r>
    <r>
      <rPr>
        <sz val="9"/>
        <color rgb="FF595959"/>
        <rFont val="Arial"/>
        <family val="0"/>
        <charset val="1"/>
      </rPr>
      <t xml:space="preserve">GW </t>
    </r>
    <r>
      <rPr>
        <sz val="9"/>
        <color rgb="FF595959"/>
        <rFont val="Noto Sans CJK SC"/>
        <family val="2"/>
      </rPr>
      <t xml:space="preserve">租價下限（</t>
    </r>
    <r>
      <rPr>
        <sz val="9"/>
        <color rgb="FF595959"/>
        <rFont val="Arial"/>
        <family val="0"/>
        <charset val="1"/>
      </rPr>
      <t xml:space="preserve">Z5b V1</t>
    </r>
    <r>
      <rPr>
        <sz val="9"/>
        <color rgb="FF595959"/>
        <rFont val="Noto Sans CJK SC"/>
        <family val="2"/>
      </rPr>
      <t xml:space="preserve">）</t>
    </r>
  </si>
  <si>
    <t xml:space="preserve">K11</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</si>
  <si>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年持有成本：</t>
    </r>
    <r>
      <rPr>
        <sz val="10"/>
        <color rgb="FF000000"/>
        <rFont val="Arial"/>
        <family val="0"/>
        <charset val="1"/>
      </rPr>
      <t xml:space="preserve">H20</t>
    </r>
  </si>
  <si>
    <t xml:space="preserve">K12</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</si>
  <si>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年持有成本：國產（昇騰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</si>
  <si>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K13</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</si>
  <si>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年持有成本：組合後</t>
    </r>
  </si>
  <si>
    <t xml:space="preserve">K14</t>
  </si>
  <si>
    <r>
      <rPr>
        <sz val="10"/>
        <color rgb="FF000000"/>
        <rFont val="Noto Sans CJK SC"/>
        <family val="2"/>
      </rPr>
      <t xml:space="preserve">供應商持有成本＝租用 </t>
    </r>
    <r>
      <rPr>
        <sz val="10"/>
        <color rgb="FF000000"/>
        <rFont val="Arial"/>
        <family val="0"/>
        <charset val="1"/>
      </rPr>
      <t xml:space="preserve">GW × </t>
    </r>
    <r>
      <rPr>
        <sz val="10"/>
        <color rgb="FF000000"/>
        <rFont val="Noto Sans CJK SC"/>
        <family val="2"/>
      </rPr>
      <t xml:space="preserve">持有成本 </t>
    </r>
    <r>
      <rPr>
        <sz val="10"/>
        <color rgb="FF000000"/>
        <rFont val="Arial"/>
        <family val="0"/>
        <charset val="1"/>
      </rPr>
      <t xml:space="preserve">× </t>
    </r>
    <r>
      <rPr>
        <sz val="10"/>
        <color rgb="FF000000"/>
        <rFont val="Noto Sans CJK SC"/>
        <family val="2"/>
      </rPr>
      <t xml:space="preserve">期間比例</t>
    </r>
  </si>
  <si>
    <t xml:space="preserve">K15</t>
  </si>
  <si>
    <t xml:space="preserve">供應商推算毛利＝算力服務費 − 供應商持有成本</t>
  </si>
  <si>
    <t xml:space="preserve">K16</t>
  </si>
  <si>
    <t xml:space="preserve">供應商推算毛利率</t>
  </si>
  <si>
    <r>
      <rPr>
        <sz val="9"/>
        <color rgb="FF595959"/>
        <rFont val="Noto Sans CJK SC"/>
        <family val="2"/>
      </rPr>
      <t xml:space="preserve">租用為 </t>
    </r>
    <r>
      <rPr>
        <sz val="9"/>
        <color rgb="FF595959"/>
        <rFont val="Arial"/>
        <family val="0"/>
        <charset val="1"/>
      </rPr>
      <t xml:space="preserve">0</t>
    </r>
    <r>
      <rPr>
        <sz val="9"/>
        <color rgb="FF595959"/>
        <rFont val="Noto Sans CJK SC"/>
        <family val="2"/>
      </rPr>
      <t xml:space="preserve">（全自有）時顯示 </t>
    </r>
    <r>
      <rPr>
        <sz val="9"/>
        <color rgb="FF595959"/>
        <rFont val="Arial"/>
        <family val="0"/>
        <charset val="1"/>
      </rPr>
      <t xml:space="preserve">0</t>
    </r>
  </si>
  <si>
    <r>
      <rPr>
        <b val="true"/>
        <sz val="10"/>
        <rFont val="Noto Sans CJK SC"/>
        <family val="2"/>
      </rPr>
      <t xml:space="preserve">三、本地化部署交付成本（</t>
    </r>
    <r>
      <rPr>
        <b val="true"/>
        <sz val="10"/>
        <rFont val="Arial"/>
        <family val="0"/>
        <charset val="1"/>
      </rPr>
      <t xml:space="preserve">D4</t>
    </r>
    <r>
      <rPr>
        <b val="true"/>
        <sz val="10"/>
        <rFont val="Noto Sans CJK SC"/>
        <family val="2"/>
      </rPr>
      <t xml:space="preserve">：不耗智譜算力；</t>
    </r>
    <r>
      <rPr>
        <b val="true"/>
        <sz val="10"/>
        <rFont val="Arial"/>
        <family val="0"/>
        <charset val="1"/>
      </rPr>
      <t xml:space="preserve">2025</t>
    </r>
    <r>
      <rPr>
        <b val="true"/>
        <sz val="10"/>
        <rFont val="Noto Sans CJK SC"/>
        <family val="2"/>
      </rPr>
      <t xml:space="preserve">、</t>
    </r>
    <r>
      <rPr>
        <b val="true"/>
        <sz val="10"/>
        <rFont val="Arial"/>
        <family val="0"/>
        <charset val="1"/>
      </rPr>
      <t xml:space="preserve">1H26</t>
    </r>
    <r>
      <rPr>
        <b val="true"/>
        <sz val="10"/>
        <rFont val="Noto Sans CJK SC"/>
        <family val="2"/>
      </rPr>
      <t xml:space="preserve">＝財報推算；</t>
    </r>
    <r>
      <rPr>
        <b val="true"/>
        <sz val="10"/>
        <rFont val="Arial"/>
        <family val="0"/>
        <charset val="1"/>
      </rPr>
      <t xml:space="preserve">2H26 </t>
    </r>
    <r>
      <rPr>
        <b val="true"/>
        <sz val="10"/>
        <rFont val="Noto Sans CJK SC"/>
        <family val="2"/>
      </rPr>
      <t xml:space="preserve">起＝本地化營收 </t>
    </r>
    <r>
      <rPr>
        <b val="true"/>
        <sz val="10"/>
        <rFont val="Arial"/>
        <family val="0"/>
        <charset val="1"/>
      </rPr>
      <t xml:space="preserve">× 1H26 </t>
    </r>
    <r>
      <rPr>
        <b val="true"/>
        <sz val="10"/>
        <rFont val="Noto Sans CJK SC"/>
        <family val="2"/>
      </rPr>
      <t xml:space="preserve">成本率）</t>
    </r>
  </si>
  <si>
    <t xml:space="preserve">K17</t>
  </si>
  <si>
    <r>
      <rPr>
        <sz val="9"/>
        <color rgb="FF595959"/>
        <rFont val="Arial"/>
        <family val="0"/>
        <charset val="1"/>
      </rPr>
      <t xml:space="preserve">SRC_ZP_198</t>
    </r>
    <r>
      <rPr>
        <sz val="9"/>
        <color rgb="FF595959"/>
        <rFont val="Noto Sans CJK SC"/>
        <family val="2"/>
      </rPr>
      <t xml:space="preserve">、</t>
    </r>
    <r>
      <rPr>
        <sz val="9"/>
        <color rgb="FF595959"/>
        <rFont val="Arial"/>
        <family val="0"/>
        <charset val="1"/>
      </rPr>
      <t xml:space="preserve">196</t>
    </r>
    <r>
      <rPr>
        <sz val="9"/>
        <color rgb="FF595959"/>
        <rFont val="Noto Sans CJK SC"/>
        <family val="2"/>
      </rPr>
      <t xml:space="preserve">（</t>
    </r>
    <r>
      <rPr>
        <sz val="9"/>
        <color rgb="FF595959"/>
        <rFont val="Arial"/>
        <family val="0"/>
        <charset val="1"/>
      </rPr>
      <t xml:space="preserve">Derived</t>
    </r>
    <r>
      <rPr>
        <sz val="9"/>
        <color rgb="FF595959"/>
        <rFont val="Noto Sans CJK SC"/>
        <family val="2"/>
      </rPr>
      <t xml:space="preserve">）</t>
    </r>
  </si>
  <si>
    <t xml:space="preserve">K18</t>
  </si>
  <si>
    <t xml:space="preserve">本地化部署成本率</t>
  </si>
  <si>
    <r>
      <rPr>
        <sz val="9"/>
        <color rgb="FF595959"/>
        <rFont val="Arial"/>
        <family val="0"/>
        <charset val="1"/>
      </rPr>
      <t xml:space="preserve">2025 0.51</t>
    </r>
    <r>
      <rPr>
        <sz val="9"/>
        <color rgb="FF595959"/>
        <rFont val="Noto Sans CJK SC"/>
        <family val="2"/>
      </rPr>
      <t xml:space="preserve">、</t>
    </r>
    <r>
      <rPr>
        <sz val="9"/>
        <color rgb="FF595959"/>
        <rFont val="Arial"/>
        <family val="0"/>
        <charset val="1"/>
      </rPr>
      <t xml:space="preserve">1H26 0.62</t>
    </r>
    <r>
      <rPr>
        <sz val="9"/>
        <color rgb="FF595959"/>
        <rFont val="Noto Sans CJK SC"/>
        <family val="2"/>
      </rPr>
      <t xml:space="preserve">；</t>
    </r>
    <r>
      <rPr>
        <sz val="9"/>
        <color rgb="FF595959"/>
        <rFont val="Arial"/>
        <family val="0"/>
        <charset val="1"/>
      </rPr>
      <t xml:space="preserve">2H26 </t>
    </r>
    <r>
      <rPr>
        <sz val="9"/>
        <color rgb="FF595959"/>
        <rFont val="Noto Sans CJK SC"/>
        <family val="2"/>
      </rPr>
      <t xml:space="preserve">起沿用 </t>
    </r>
    <r>
      <rPr>
        <sz val="9"/>
        <color rgb="FF595959"/>
        <rFont val="Arial"/>
        <family val="0"/>
        <charset val="1"/>
      </rPr>
      <t xml:space="preserve">1H26</t>
    </r>
    <r>
      <rPr>
        <sz val="9"/>
        <color rgb="FF595959"/>
        <rFont val="Noto Sans CJK SC"/>
        <family val="2"/>
      </rPr>
      <t xml:space="preserve">（最新實際值，較保守）</t>
    </r>
  </si>
  <si>
    <t xml:space="preserve">K19</t>
  </si>
  <si>
    <t xml:space="preserve">本地化部署交付成本</t>
  </si>
  <si>
    <r>
      <rPr>
        <b val="true"/>
        <sz val="10"/>
        <rFont val="Noto Sans CJK SC"/>
        <family val="2"/>
      </rPr>
      <t xml:space="preserve">四、非算力成本（</t>
    </r>
    <r>
      <rPr>
        <b val="true"/>
        <sz val="10"/>
        <rFont val="Arial"/>
        <family val="0"/>
        <charset val="1"/>
      </rPr>
      <t xml:space="preserve">D13</t>
    </r>
    <r>
      <rPr>
        <b val="true"/>
        <sz val="10"/>
        <rFont val="Noto Sans CJK SC"/>
        <family val="2"/>
      </rPr>
      <t xml:space="preserve">）：</t>
    </r>
    <r>
      <rPr>
        <b val="true"/>
        <sz val="10"/>
        <rFont val="Arial"/>
        <family val="0"/>
        <charset val="1"/>
      </rPr>
      <t xml:space="preserve">2025</t>
    </r>
    <r>
      <rPr>
        <b val="true"/>
        <sz val="10"/>
        <rFont val="Noto Sans CJK SC"/>
        <family val="2"/>
      </rPr>
      <t xml:space="preserve">、</t>
    </r>
    <r>
      <rPr>
        <b val="true"/>
        <sz val="10"/>
        <rFont val="Arial"/>
        <family val="0"/>
        <charset val="1"/>
      </rPr>
      <t xml:space="preserve">1H26</t>
    </r>
    <r>
      <rPr>
        <b val="true"/>
        <sz val="10"/>
        <rFont val="Noto Sans CJK SC"/>
        <family val="2"/>
      </rPr>
      <t xml:space="preserve">＝財報費用 − 算力服務費 − 本地化交付成本 − 股權報酬（殘差）；</t>
    </r>
    <r>
      <rPr>
        <b val="true"/>
        <sz val="10"/>
        <rFont val="Arial"/>
        <family val="0"/>
        <charset val="1"/>
      </rPr>
      <t xml:space="preserve">2H26 </t>
    </r>
    <r>
      <rPr>
        <b val="true"/>
        <sz val="10"/>
        <rFont val="Noto Sans CJK SC"/>
        <family val="2"/>
      </rPr>
      <t xml:space="preserve">起＝人數 </t>
    </r>
    <r>
      <rPr>
        <b val="true"/>
        <sz val="10"/>
        <rFont val="Arial"/>
        <family val="0"/>
        <charset val="1"/>
      </rPr>
      <t xml:space="preserve">× </t>
    </r>
    <r>
      <rPr>
        <b val="true"/>
        <sz val="10"/>
        <rFont val="Noto Sans CJK SC"/>
        <family val="2"/>
      </rPr>
      <t xml:space="preserve">每人年成本；股權報酬單列</t>
    </r>
  </si>
  <si>
    <t xml:space="preserve">K20</t>
  </si>
  <si>
    <r>
      <rPr>
        <sz val="9"/>
        <color rgb="FF595959"/>
        <rFont val="Arial"/>
        <family val="0"/>
        <charset val="1"/>
      </rPr>
      <t xml:space="preserve">SRC_ZP_123</t>
    </r>
    <r>
      <rPr>
        <sz val="9"/>
        <color rgb="FF595959"/>
        <rFont val="Noto Sans CJK SC"/>
        <family val="2"/>
      </rPr>
      <t xml:space="preserve">、</t>
    </r>
    <r>
      <rPr>
        <sz val="9"/>
        <color rgb="FF595959"/>
        <rFont val="Arial"/>
        <family val="0"/>
        <charset val="1"/>
      </rPr>
      <t xml:space="preserve">182</t>
    </r>
  </si>
  <si>
    <t xml:space="preserve">K21</t>
  </si>
  <si>
    <t xml:space="preserve">K22</t>
  </si>
  <si>
    <r>
      <rPr>
        <sz val="9"/>
        <color rgb="FF595959"/>
        <rFont val="Arial"/>
        <family val="0"/>
        <charset val="1"/>
      </rPr>
      <t xml:space="preserve">SRC_ZP_140</t>
    </r>
    <r>
      <rPr>
        <sz val="9"/>
        <color rgb="FF595959"/>
        <rFont val="Noto Sans CJK SC"/>
        <family val="2"/>
      </rPr>
      <t xml:space="preserve">、</t>
    </r>
    <r>
      <rPr>
        <sz val="9"/>
        <color rgb="FF595959"/>
        <rFont val="Arial"/>
        <family val="0"/>
        <charset val="1"/>
      </rPr>
      <t xml:space="preserve">200</t>
    </r>
  </si>
  <si>
    <t xml:space="preserve">K23</t>
  </si>
  <si>
    <r>
      <rPr>
        <sz val="9"/>
        <color rgb="FF595959"/>
        <rFont val="Arial"/>
        <family val="0"/>
        <charset val="1"/>
      </rPr>
      <t xml:space="preserve">SRC_ZP_141</t>
    </r>
    <r>
      <rPr>
        <sz val="9"/>
        <color rgb="FF595959"/>
        <rFont val="Noto Sans CJK SC"/>
        <family val="2"/>
      </rPr>
      <t xml:space="preserve">、</t>
    </r>
    <r>
      <rPr>
        <sz val="9"/>
        <color rgb="FF595959"/>
        <rFont val="Arial"/>
        <family val="0"/>
        <charset val="1"/>
      </rPr>
      <t xml:space="preserve">201</t>
    </r>
  </si>
  <si>
    <t xml:space="preserve">K24</t>
  </si>
  <si>
    <t xml:space="preserve">財報費用合計（銷售成本＋研發＋銷售＋管理）</t>
  </si>
  <si>
    <t xml:space="preserve">K25</t>
  </si>
  <si>
    <t xml:space="preserve">股權報酬（財報）</t>
  </si>
  <si>
    <t xml:space="preserve">K26</t>
  </si>
  <si>
    <t xml:space="preserve">非算力成本（不含股權報酬；財報殘差）</t>
  </si>
  <si>
    <r>
      <rPr>
        <sz val="9"/>
        <color rgb="FF595959"/>
        <rFont val="Noto Sans CJK SC"/>
        <family val="2"/>
      </rPr>
      <t xml:space="preserve">＝研發、銷售、管理扣算力服務費與股權報酬，加 </t>
    </r>
    <r>
      <rPr>
        <sz val="9"/>
        <color rgb="FF595959"/>
        <rFont val="Arial"/>
        <family val="0"/>
        <charset val="1"/>
      </rPr>
      <t xml:space="preserve">API </t>
    </r>
    <r>
      <rPr>
        <sz val="9"/>
        <color rgb="FF595959"/>
        <rFont val="Noto Sans CJK SC"/>
        <family val="2"/>
      </rPr>
      <t xml:space="preserve">銷售成本中非算力部分（推論占比 </t>
    </r>
    <r>
      <rPr>
        <sz val="9"/>
        <color rgb="FF595959"/>
        <rFont val="Arial"/>
        <family val="0"/>
        <charset val="1"/>
      </rPr>
      <t xml:space="preserve">&lt;1 </t>
    </r>
    <r>
      <rPr>
        <sz val="9"/>
        <color rgb="FF595959"/>
        <rFont val="Noto Sans CJK SC"/>
        <family val="2"/>
      </rPr>
      <t xml:space="preserve">時）</t>
    </r>
  </si>
  <si>
    <t xml:space="preserve">K27</t>
  </si>
  <si>
    <t xml:space="preserve">員工人數（期間平均）</t>
  </si>
  <si>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AVERAGE</t>
    </r>
    <r>
      <rPr>
        <sz val="9"/>
        <color rgb="FF595959"/>
        <rFont val="Noto Sans CJK SC"/>
        <family val="2"/>
      </rPr>
      <t xml:space="preserve">（</t>
    </r>
    <r>
      <rPr>
        <sz val="9"/>
        <color rgb="FF595959"/>
        <rFont val="Arial"/>
        <family val="0"/>
        <charset val="1"/>
      </rPr>
      <t xml:space="preserve">2025-06-30 883, 2025-12-31 1,094</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AVERAGE</t>
    </r>
    <r>
      <rPr>
        <sz val="9"/>
        <color rgb="FF595959"/>
        <rFont val="Noto Sans CJK SC"/>
        <family val="2"/>
      </rPr>
      <t xml:space="preserve">（</t>
    </r>
    <r>
      <rPr>
        <sz val="9"/>
        <color rgb="FF595959"/>
        <rFont val="Arial"/>
        <family val="0"/>
        <charset val="1"/>
      </rPr>
      <t xml:space="preserve">1,094, 2026-06-30 981</t>
    </r>
    <r>
      <rPr>
        <sz val="9"/>
        <color rgb="FF595959"/>
        <rFont val="Noto Sans CJK SC"/>
        <family val="2"/>
      </rPr>
      <t xml:space="preserve">）（</t>
    </r>
    <r>
      <rPr>
        <sz val="9"/>
        <color rgb="FF595959"/>
        <rFont val="Arial"/>
        <family val="0"/>
        <charset val="1"/>
      </rPr>
      <t xml:space="preserve">SRC_ZP_844 </t>
    </r>
    <r>
      <rPr>
        <sz val="9"/>
        <color rgb="FF595959"/>
        <rFont val="Noto Sans CJK SC"/>
        <family val="2"/>
      </rPr>
      <t xml:space="preserve">招股章程、</t>
    </r>
    <r>
      <rPr>
        <sz val="9"/>
        <color rgb="FF595959"/>
        <rFont val="Arial"/>
        <family val="0"/>
        <charset val="1"/>
      </rPr>
      <t xml:space="preserve">162</t>
    </r>
    <r>
      <rPr>
        <sz val="9"/>
        <color rgb="FF595959"/>
        <rFont val="Noto Sans CJK SC"/>
        <family val="2"/>
      </rPr>
      <t xml:space="preserve">、</t>
    </r>
    <r>
      <rPr>
        <sz val="9"/>
        <color rgb="FF595959"/>
        <rFont val="Arial"/>
        <family val="0"/>
        <charset val="1"/>
      </rPr>
      <t xml:space="preserve">222</t>
    </r>
    <r>
      <rPr>
        <sz val="9"/>
        <color rgb="FF595959"/>
        <rFont val="Noto Sans CJK SC"/>
        <family val="2"/>
      </rPr>
      <t xml:space="preserve">；</t>
    </r>
    <r>
      <rPr>
        <sz val="9"/>
        <color rgb="FF595959"/>
        <rFont val="Arial"/>
        <family val="0"/>
        <charset val="1"/>
      </rPr>
      <t xml:space="preserve">r2 P2 </t>
    </r>
    <r>
      <rPr>
        <sz val="9"/>
        <color rgb="FF595959"/>
        <rFont val="Noto Sans CJK SC"/>
        <family val="2"/>
      </rPr>
      <t xml:space="preserve">改引用一手列）；之後 </t>
    </r>
    <r>
      <rPr>
        <sz val="9"/>
        <color rgb="FF595959"/>
        <rFont val="Arial"/>
        <family val="0"/>
        <charset val="1"/>
      </rPr>
      <t xml:space="preserve">Inputs </t>
    </r>
    <r>
      <rPr>
        <sz val="9"/>
        <color rgb="FF595959"/>
        <rFont val="Noto Sans CJK SC"/>
        <family val="2"/>
      </rPr>
      <t xml:space="preserve">成長率</t>
    </r>
  </si>
  <si>
    <t xml:space="preserve">K28</t>
  </si>
  <si>
    <t xml:space="preserve">每人年成本（不含股權報酬）</t>
  </si>
  <si>
    <r>
      <rPr>
        <sz val="10"/>
        <color rgb="FF000000"/>
        <rFont val="Arial"/>
        <family val="0"/>
        <charset val="1"/>
      </rPr>
      <t xml:space="preserve">RMB </t>
    </r>
    <r>
      <rPr>
        <sz val="10"/>
        <color rgb="FF000000"/>
        <rFont val="Noto Sans CJK SC"/>
        <family val="2"/>
      </rPr>
      <t xml:space="preserve">億／人／年</t>
    </r>
  </si>
  <si>
    <r>
      <rPr>
        <sz val="9"/>
        <color rgb="FF595959"/>
        <rFont val="Noto Sans CJK SC"/>
        <family val="2"/>
      </rPr>
      <t xml:space="preserve">校準期＝財報殘差 </t>
    </r>
    <r>
      <rPr>
        <sz val="9"/>
        <color rgb="FF595959"/>
        <rFont val="Arial"/>
        <family val="0"/>
        <charset val="1"/>
      </rPr>
      <t xml:space="preserve">÷ </t>
    </r>
    <r>
      <rPr>
        <sz val="9"/>
        <color rgb="FF595959"/>
        <rFont val="Noto Sans CJK SC"/>
        <family val="2"/>
      </rPr>
      <t xml:space="preserve">人數（</t>
    </r>
    <r>
      <rPr>
        <sz val="9"/>
        <color rgb="FF595959"/>
        <rFont val="Arial"/>
        <family val="0"/>
        <charset val="1"/>
      </rPr>
      <t xml:space="preserve">1H26 </t>
    </r>
    <r>
      <rPr>
        <sz val="9"/>
        <color rgb="FF595959"/>
        <rFont val="Noto Sans CJK SC"/>
        <family val="2"/>
      </rPr>
      <t xml:space="preserve">年化）；</t>
    </r>
    <r>
      <rPr>
        <sz val="9"/>
        <color rgb="FF595959"/>
        <rFont val="Arial"/>
        <family val="0"/>
        <charset val="1"/>
      </rPr>
      <t xml:space="preserve">2H26 </t>
    </r>
    <r>
      <rPr>
        <sz val="9"/>
        <color rgb="FF595959"/>
        <rFont val="Noto Sans CJK SC"/>
        <family val="2"/>
      </rPr>
      <t xml:space="preserve">起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＋年變動率；</t>
    </r>
    <r>
      <rPr>
        <sz val="9"/>
        <color rgb="FF595959"/>
        <rFont val="Arial"/>
        <family val="0"/>
        <charset val="1"/>
      </rPr>
      <t xml:space="preserve">2H26 </t>
    </r>
    <r>
      <rPr>
        <sz val="9"/>
        <color rgb="FF595959"/>
        <rFont val="Noto Sans CJK SC"/>
        <family val="2"/>
      </rPr>
      <t xml:space="preserve">為半年）</t>
    </r>
  </si>
  <si>
    <t xml:space="preserve">K29</t>
  </si>
  <si>
    <t xml:space="preserve">每人年股權報酬</t>
  </si>
  <si>
    <r>
      <rPr>
        <sz val="9"/>
        <color rgb="FF595959"/>
        <rFont val="Arial"/>
        <family val="0"/>
        <charset val="1"/>
      </rPr>
      <t xml:space="preserve">1H26 </t>
    </r>
    <r>
      <rPr>
        <sz val="9"/>
        <color rgb="FF595959"/>
        <rFont val="Noto Sans CJK SC"/>
        <family val="2"/>
      </rPr>
      <t xml:space="preserve">年化為基期（上市後）；</t>
    </r>
    <r>
      <rPr>
        <sz val="9"/>
        <color rgb="FF595959"/>
        <rFont val="Arial"/>
        <family val="0"/>
        <charset val="1"/>
      </rPr>
      <t xml:space="preserve">2025 </t>
    </r>
    <r>
      <rPr>
        <sz val="9"/>
        <color rgb="FF595959"/>
        <rFont val="Noto Sans CJK SC"/>
        <family val="2"/>
      </rPr>
      <t xml:space="preserve">含上市前授予，只列</t>
    </r>
  </si>
  <si>
    <t xml:space="preserve">K30</t>
  </si>
  <si>
    <t xml:space="preserve">非算力成本（不含股權報酬）</t>
  </si>
  <si>
    <r>
      <rPr>
        <sz val="9"/>
        <color rgb="FF595959"/>
        <rFont val="Noto Sans CJK SC"/>
        <family val="2"/>
      </rPr>
      <t xml:space="preserve">校準期＝財報殘差；</t>
    </r>
    <r>
      <rPr>
        <sz val="9"/>
        <color rgb="FF595959"/>
        <rFont val="Arial"/>
        <family val="0"/>
        <charset val="1"/>
      </rPr>
      <t xml:space="preserve">2H26 </t>
    </r>
    <r>
      <rPr>
        <sz val="9"/>
        <color rgb="FF595959"/>
        <rFont val="Noto Sans CJK SC"/>
        <family val="2"/>
      </rPr>
      <t xml:space="preserve">起＝人數 </t>
    </r>
    <r>
      <rPr>
        <sz val="9"/>
        <color rgb="FF595959"/>
        <rFont val="Arial"/>
        <family val="0"/>
        <charset val="1"/>
      </rPr>
      <t xml:space="preserve">× </t>
    </r>
    <r>
      <rPr>
        <sz val="9"/>
        <color rgb="FF595959"/>
        <rFont val="Noto Sans CJK SC"/>
        <family val="2"/>
      </rPr>
      <t xml:space="preserve">每人年成本 </t>
    </r>
    <r>
      <rPr>
        <sz val="9"/>
        <color rgb="FF595959"/>
        <rFont val="Arial"/>
        <family val="0"/>
        <charset val="1"/>
      </rPr>
      <t xml:space="preserve">× </t>
    </r>
    <r>
      <rPr>
        <sz val="9"/>
        <color rgb="FF595959"/>
        <rFont val="Noto Sans CJK SC"/>
        <family val="2"/>
      </rPr>
      <t xml:space="preserve">期間比例</t>
    </r>
  </si>
  <si>
    <t xml:space="preserve">K31</t>
  </si>
  <si>
    <t xml:space="preserve">股權報酬</t>
  </si>
  <si>
    <r>
      <rPr>
        <sz val="9"/>
        <color rgb="FF595959"/>
        <rFont val="Noto Sans CJK SC"/>
        <family val="2"/>
      </rPr>
      <t xml:space="preserve">校準期＝財報；</t>
    </r>
    <r>
      <rPr>
        <sz val="9"/>
        <color rgb="FF595959"/>
        <rFont val="Arial"/>
        <family val="0"/>
        <charset val="1"/>
      </rPr>
      <t xml:space="preserve">2H26 </t>
    </r>
    <r>
      <rPr>
        <sz val="9"/>
        <color rgb="FF595959"/>
        <rFont val="Noto Sans CJK SC"/>
        <family val="2"/>
      </rPr>
      <t xml:space="preserve">起＝人數 </t>
    </r>
    <r>
      <rPr>
        <sz val="9"/>
        <color rgb="FF595959"/>
        <rFont val="Arial"/>
        <family val="0"/>
        <charset val="1"/>
      </rPr>
      <t xml:space="preserve">× </t>
    </r>
    <r>
      <rPr>
        <sz val="9"/>
        <color rgb="FF595959"/>
        <rFont val="Noto Sans CJK SC"/>
        <family val="2"/>
      </rPr>
      <t xml:space="preserve">每人股權報酬 </t>
    </r>
    <r>
      <rPr>
        <sz val="9"/>
        <color rgb="FF595959"/>
        <rFont val="Arial"/>
        <family val="0"/>
        <charset val="1"/>
      </rPr>
      <t xml:space="preserve">× </t>
    </r>
    <r>
      <rPr>
        <sz val="9"/>
        <color rgb="FF595959"/>
        <rFont val="Noto Sans CJK SC"/>
        <family val="2"/>
      </rPr>
      <t xml:space="preserve">期間比例</t>
    </r>
  </si>
  <si>
    <r>
      <rPr>
        <b val="true"/>
        <sz val="10"/>
        <rFont val="Noto Sans CJK SC"/>
        <family val="2"/>
      </rPr>
      <t xml:space="preserve">五、全成本與對帳（命題全成本含股權報酬；</t>
    </r>
    <r>
      <rPr>
        <b val="true"/>
        <sz val="10"/>
        <rFont val="Arial"/>
        <family val="0"/>
        <charset val="1"/>
      </rPr>
      <t xml:space="preserve">2025</t>
    </r>
    <r>
      <rPr>
        <b val="true"/>
        <sz val="10"/>
        <rFont val="Noto Sans CJK SC"/>
        <family val="2"/>
      </rPr>
      <t xml:space="preserve">、</t>
    </r>
    <r>
      <rPr>
        <b val="true"/>
        <sz val="10"/>
        <rFont val="Arial"/>
        <family val="0"/>
        <charset val="1"/>
      </rPr>
      <t xml:space="preserve">1H26 </t>
    </r>
    <r>
      <rPr>
        <b val="true"/>
        <sz val="10"/>
        <rFont val="Noto Sans CJK SC"/>
        <family val="2"/>
      </rPr>
      <t xml:space="preserve">對財報差距應為 </t>
    </r>
    <r>
      <rPr>
        <b val="true"/>
        <sz val="10"/>
        <rFont val="Arial"/>
        <family val="0"/>
        <charset val="1"/>
      </rPr>
      <t xml:space="preserve">0</t>
    </r>
    <r>
      <rPr>
        <b val="true"/>
        <sz val="10"/>
        <rFont val="Noto Sans CJK SC"/>
        <family val="2"/>
      </rPr>
      <t xml:space="preserve">）</t>
    </r>
  </si>
  <si>
    <t xml:space="preserve">K32</t>
  </si>
  <si>
    <t xml:space="preserve">全成本（含股權報酬）＝算力＋本地化交付＋非算力＋股權報酬</t>
  </si>
  <si>
    <t xml:space="preserve">K33</t>
  </si>
  <si>
    <t xml:space="preserve">全成本（不含股權報酬）</t>
  </si>
  <si>
    <t xml:space="preserve">K34</t>
  </si>
  <si>
    <r>
      <rPr>
        <sz val="10"/>
        <color rgb="FF000000"/>
        <rFont val="Noto Sans CJK SC"/>
        <family val="2"/>
      </rPr>
      <t xml:space="preserve">對帳：全成本 − 財報費用合計（應為 </t>
    </r>
    <r>
      <rPr>
        <sz val="10"/>
        <color rgb="FF000000"/>
        <rFont val="Arial"/>
        <family val="0"/>
        <charset val="1"/>
      </rPr>
      <t xml:space="preserve">0</t>
    </r>
    <r>
      <rPr>
        <sz val="10"/>
        <color rgb="FF000000"/>
        <rFont val="Noto Sans CJK SC"/>
        <family val="2"/>
      </rPr>
      <t xml:space="preserve">）</t>
    </r>
  </si>
  <si>
    <r>
      <rPr>
        <sz val="9"/>
        <color rgb="FF595959"/>
        <rFont val="Noto Sans CJK SC"/>
        <family val="2"/>
      </rPr>
      <t xml:space="preserve">工作單 </t>
    </r>
    <r>
      <rPr>
        <sz val="9"/>
        <color rgb="FF595959"/>
        <rFont val="Arial"/>
        <family val="0"/>
        <charset val="1"/>
      </rPr>
      <t xml:space="preserve">Z3 </t>
    </r>
    <r>
      <rPr>
        <sz val="9"/>
        <color rgb="FF595959"/>
        <rFont val="Noto Sans CJK SC"/>
        <family val="2"/>
      </rPr>
      <t xml:space="preserve">第 </t>
    </r>
    <r>
      <rPr>
        <sz val="9"/>
        <color rgb="FF595959"/>
        <rFont val="Arial"/>
        <family val="0"/>
        <charset val="1"/>
      </rPr>
      <t xml:space="preserve">2 </t>
    </r>
    <r>
      <rPr>
        <sz val="9"/>
        <color rgb="FF595959"/>
        <rFont val="Noto Sans CJK SC"/>
        <family val="2"/>
      </rPr>
      <t xml:space="preserve">步：</t>
    </r>
    <r>
      <rPr>
        <sz val="9"/>
        <color rgb="FF595959"/>
        <rFont val="Arial"/>
        <family val="0"/>
        <charset val="1"/>
      </rPr>
      <t xml:space="preserve">2025 </t>
    </r>
    <r>
      <rPr>
        <sz val="9"/>
        <color rgb="FF595959"/>
        <rFont val="Noto Sans CJK SC"/>
        <family val="2"/>
      </rPr>
      <t xml:space="preserve">差距＝</t>
    </r>
    <r>
      <rPr>
        <sz val="9"/>
        <color rgb="FF595959"/>
        <rFont val="Arial"/>
        <family val="0"/>
        <charset val="1"/>
      </rPr>
      <t xml:space="preserve">0</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同）</t>
    </r>
  </si>
  <si>
    <t xml:space="preserve">K35</t>
  </si>
  <si>
    <t xml:space="preserve">K36</t>
  </si>
  <si>
    <r>
      <rPr>
        <sz val="10"/>
        <color rgb="FF000000"/>
        <rFont val="Noto Sans CJK SC"/>
        <family val="2"/>
      </rPr>
      <t xml:space="preserve">雲端營收（截頂後）＝雲端 </t>
    </r>
    <r>
      <rPr>
        <sz val="10"/>
        <color rgb="FF000000"/>
        <rFont val="Arial"/>
        <family val="0"/>
        <charset val="1"/>
      </rPr>
      <t xml:space="preserve">× </t>
    </r>
    <r>
      <rPr>
        <sz val="10"/>
        <color rgb="FF000000"/>
        <rFont val="Noto Sans CJK SC"/>
        <family val="2"/>
      </rPr>
      <t xml:space="preserve">容量上限係數</t>
    </r>
  </si>
  <si>
    <t xml:space="preserve">K37</t>
  </si>
  <si>
    <t xml:space="preserve">差額＝營收淨額 − 全成本（含股權報酬）</t>
  </si>
  <si>
    <r>
      <rPr>
        <sz val="9"/>
        <color rgb="FF595959"/>
        <rFont val="Noto Sans CJK SC"/>
        <family val="2"/>
      </rPr>
      <t xml:space="preserve">負＝缺口（</t>
    </r>
    <r>
      <rPr>
        <sz val="9"/>
        <color rgb="FF595959"/>
        <rFont val="Arial"/>
        <family val="0"/>
        <charset val="1"/>
      </rPr>
      <t xml:space="preserve">Z4 </t>
    </r>
    <r>
      <rPr>
        <sz val="9"/>
        <color rgb="FF595959"/>
        <rFont val="Noto Sans CJK SC"/>
        <family val="2"/>
      </rPr>
      <t xml:space="preserve">融資）</t>
    </r>
  </si>
  <si>
    <t xml:space="preserve">K38</t>
  </si>
  <si>
    <r>
      <rPr>
        <sz val="10"/>
        <color rgb="FF000000"/>
        <rFont val="Noto Sans CJK SC"/>
        <family val="2"/>
      </rPr>
      <t xml:space="preserve">對照：財報年內虧損（</t>
    </r>
    <r>
      <rPr>
        <sz val="10"/>
        <color rgb="FF000000"/>
        <rFont val="Arial"/>
        <family val="0"/>
        <charset val="1"/>
      </rPr>
      <t xml:space="preserve">2025</t>
    </r>
    <r>
      <rPr>
        <sz val="10"/>
        <color rgb="FF000000"/>
        <rFont val="Noto Sans CJK SC"/>
        <family val="2"/>
      </rPr>
      <t xml:space="preserve">）</t>
    </r>
  </si>
  <si>
    <r>
      <rPr>
        <sz val="9"/>
        <color rgb="FF595959"/>
        <rFont val="Arial"/>
        <family val="0"/>
        <charset val="1"/>
      </rPr>
      <t xml:space="preserve">SRC_ZP_145</t>
    </r>
    <r>
      <rPr>
        <sz val="9"/>
        <color rgb="FF595959"/>
        <rFont val="Noto Sans CJK SC"/>
        <family val="2"/>
      </rPr>
      <t xml:space="preserve">；差額另含其他收入、財務成本、投資人金融工具公允值變動等</t>
    </r>
  </si>
  <si>
    <r>
      <rPr>
        <b val="true"/>
        <sz val="10"/>
        <rFont val="Noto Sans CJK SC"/>
        <family val="2"/>
      </rPr>
      <t xml:space="preserve">六、命題表（人民幣；每 </t>
    </r>
    <r>
      <rPr>
        <b val="true"/>
        <sz val="10"/>
        <rFont val="Arial"/>
        <family val="0"/>
        <charset val="1"/>
      </rPr>
      <t xml:space="preserve">VR </t>
    </r>
    <r>
      <rPr>
        <b val="true"/>
        <sz val="10"/>
        <rFont val="Noto Sans CJK SC"/>
        <family val="2"/>
      </rPr>
      <t xml:space="preserve">等值 </t>
    </r>
    <r>
      <rPr>
        <b val="true"/>
        <sz val="10"/>
        <rFont val="Arial"/>
        <family val="0"/>
        <charset val="1"/>
      </rPr>
      <t xml:space="preserve">GW</t>
    </r>
    <r>
      <rPr>
        <b val="true"/>
        <sz val="10"/>
        <rFont val="Noto Sans CJK SC"/>
        <family val="2"/>
      </rPr>
      <t xml:space="preserve">；分母＝供給 </t>
    </r>
    <r>
      <rPr>
        <b val="true"/>
        <sz val="10"/>
        <rFont val="Arial"/>
        <family val="0"/>
        <charset val="1"/>
      </rPr>
      <t xml:space="preserve">VR </t>
    </r>
    <r>
      <rPr>
        <b val="true"/>
        <sz val="10"/>
        <rFont val="Noto Sans CJK SC"/>
        <family val="2"/>
      </rPr>
      <t xml:space="preserve">等值 </t>
    </r>
    <r>
      <rPr>
        <b val="true"/>
        <sz val="10"/>
        <rFont val="Arial"/>
        <family val="0"/>
        <charset val="1"/>
      </rPr>
      <t xml:space="preserve">GW</t>
    </r>
    <r>
      <rPr>
        <b val="true"/>
        <sz val="10"/>
        <rFont val="Noto Sans CJK SC"/>
        <family val="2"/>
      </rPr>
      <t xml:space="preserve">）</t>
    </r>
  </si>
  <si>
    <t xml:space="preserve">K39</t>
  </si>
  <si>
    <r>
      <rPr>
        <sz val="10"/>
        <color rgb="FF000000"/>
        <rFont val="Noto Sans CJK SC"/>
        <family val="2"/>
      </rPr>
      <t xml:space="preserve">分母：供給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</si>
  <si>
    <t xml:space="preserve">K40</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</si>
  <si>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：營收淨額</t>
    </r>
  </si>
  <si>
    <r>
      <rPr>
        <sz val="9"/>
        <color rgb="FF595959"/>
        <rFont val="Noto Sans CJK SC"/>
        <family val="2"/>
      </rPr>
      <t xml:space="preserve">分母為 </t>
    </r>
    <r>
      <rPr>
        <sz val="9"/>
        <color rgb="FF595959"/>
        <rFont val="Arial"/>
        <family val="0"/>
        <charset val="1"/>
      </rPr>
      <t xml:space="preserve">0</t>
    </r>
    <r>
      <rPr>
        <sz val="9"/>
        <color rgb="FF595959"/>
        <rFont val="Noto Sans CJK SC"/>
        <family val="2"/>
      </rPr>
      <t xml:space="preserve">（壓力情境）時顯示 </t>
    </r>
    <r>
      <rPr>
        <sz val="9"/>
        <color rgb="FF595959"/>
        <rFont val="Arial"/>
        <family val="0"/>
        <charset val="1"/>
      </rPr>
      <t xml:space="preserve">0</t>
    </r>
  </si>
  <si>
    <t xml:space="preserve">K41</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</si>
  <si>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：雲端營收</t>
    </r>
  </si>
  <si>
    <t xml:space="preserve">K42</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</si>
  <si>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：算力成本</t>
    </r>
  </si>
  <si>
    <t xml:space="preserve">K43</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</si>
  <si>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：本地化部署交付成本</t>
    </r>
  </si>
  <si>
    <t xml:space="preserve">K44</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</si>
  <si>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：非算力成本（不含股權報酬）</t>
    </r>
  </si>
  <si>
    <t xml:space="preserve">K45</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</si>
  <si>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：股權報酬</t>
    </r>
  </si>
  <si>
    <t xml:space="preserve">K46</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</si>
  <si>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：全成本（含股權報酬）</t>
    </r>
  </si>
  <si>
    <t xml:space="preserve">K47</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</si>
  <si>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：全成本（不含股權報酬）</t>
    </r>
  </si>
  <si>
    <t xml:space="preserve">K48</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</si>
  <si>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：差額（含股權報酬）</t>
    </r>
  </si>
  <si>
    <t xml:space="preserve">命題：負＝營收不足以覆蓋全成本</t>
  </si>
  <si>
    <t xml:space="preserve">K49</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</si>
  <si>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：差額（不含股權報酬）</t>
    </r>
  </si>
  <si>
    <t xml:space="preserve">K50</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</si>
  <si>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：雲端口徑差額＝雲端營收 −（全成本 − 本地化交付成本）</t>
    </r>
  </si>
  <si>
    <r>
      <rPr>
        <sz val="9"/>
        <color rgb="FF595959"/>
        <rFont val="Arial"/>
        <family val="0"/>
        <charset val="1"/>
      </rPr>
      <t xml:space="preserve">D4</t>
    </r>
    <r>
      <rPr>
        <sz val="9"/>
        <color rgb="FF595959"/>
        <rFont val="Noto Sans CJK SC"/>
        <family val="2"/>
      </rPr>
      <t xml:space="preserve">：分子只計雲端營收、分母不變；本地化交付成本隨本地化營收一併排除（其餘成本全留，較保守）</t>
    </r>
  </si>
  <si>
    <t xml:space="preserve">K51</t>
  </si>
  <si>
    <r>
      <rPr>
        <sz val="10"/>
        <color rgb="FF000000"/>
        <rFont val="Noto Sans CJK SC"/>
        <family val="2"/>
      </rPr>
      <t xml:space="preserve">覆蓋率＝營收淨額 </t>
    </r>
    <r>
      <rPr>
        <sz val="10"/>
        <color rgb="FF000000"/>
        <rFont val="Arial"/>
        <family val="0"/>
        <charset val="1"/>
      </rPr>
      <t xml:space="preserve">÷ </t>
    </r>
    <r>
      <rPr>
        <sz val="10"/>
        <color rgb="FF000000"/>
        <rFont val="Noto Sans CJK SC"/>
        <family val="2"/>
      </rPr>
      <t xml:space="preserve">全成本（含股權報酬）</t>
    </r>
  </si>
  <si>
    <t xml:space="preserve">K52</t>
  </si>
  <si>
    <r>
      <rPr>
        <sz val="10"/>
        <color rgb="FF000000"/>
        <rFont val="Noto Sans CJK SC"/>
        <family val="2"/>
      </rPr>
      <t xml:space="preserve">雲端覆蓋率＝雲端營收 </t>
    </r>
    <r>
      <rPr>
        <sz val="10"/>
        <color rgb="FF000000"/>
        <rFont val="Arial"/>
        <family val="0"/>
        <charset val="1"/>
      </rPr>
      <t xml:space="preserve">÷</t>
    </r>
    <r>
      <rPr>
        <sz val="10"/>
        <color rgb="FF000000"/>
        <rFont val="Noto Sans CJK SC"/>
        <family val="2"/>
      </rPr>
      <t xml:space="preserve">（全成本 − 本地化交付成本）</t>
    </r>
  </si>
  <si>
    <r>
      <rPr>
        <b val="true"/>
        <sz val="10"/>
        <rFont val="Noto Sans CJK SC"/>
        <family val="2"/>
      </rPr>
      <t xml:space="preserve">七、命題表（美元；</t>
    </r>
    <r>
      <rPr>
        <b val="true"/>
        <sz val="10"/>
        <rFont val="Arial"/>
        <family val="0"/>
        <charset val="1"/>
      </rPr>
      <t xml:space="preserve">$B</t>
    </r>
    <r>
      <rPr>
        <b val="true"/>
        <sz val="10"/>
        <rFont val="Noto Sans CJK SC"/>
        <family val="2"/>
      </rPr>
      <t xml:space="preserve">／</t>
    </r>
    <r>
      <rPr>
        <b val="true"/>
        <sz val="10"/>
        <rFont val="Arial"/>
        <family val="0"/>
        <charset val="1"/>
      </rPr>
      <t xml:space="preserve">VR </t>
    </r>
    <r>
      <rPr>
        <b val="true"/>
        <sz val="10"/>
        <rFont val="Noto Sans CJK SC"/>
        <family val="2"/>
      </rPr>
      <t xml:space="preserve">等值 </t>
    </r>
    <r>
      <rPr>
        <b val="true"/>
        <sz val="10"/>
        <rFont val="Arial"/>
        <family val="0"/>
        <charset val="1"/>
      </rPr>
      <t xml:space="preserve">GW</t>
    </r>
    <r>
      <rPr>
        <b val="true"/>
        <sz val="10"/>
        <rFont val="Noto Sans CJK SC"/>
        <family val="2"/>
      </rPr>
      <t xml:space="preserve">／年＝人民幣億 </t>
    </r>
    <r>
      <rPr>
        <b val="true"/>
        <sz val="10"/>
        <rFont val="Arial"/>
        <family val="0"/>
        <charset val="1"/>
      </rPr>
      <t xml:space="preserve">÷ USD/CNY ÷ 10</t>
    </r>
    <r>
      <rPr>
        <b val="true"/>
        <sz val="10"/>
        <rFont val="Noto Sans CJK SC"/>
        <family val="2"/>
      </rPr>
      <t xml:space="preserve">；同一匯率，</t>
    </r>
    <r>
      <rPr>
        <b val="true"/>
        <sz val="10"/>
        <rFont val="Arial"/>
        <family val="0"/>
        <charset val="1"/>
      </rPr>
      <t xml:space="preserve">D23</t>
    </r>
    <r>
      <rPr>
        <b val="true"/>
        <sz val="10"/>
        <rFont val="Noto Sans CJK SC"/>
        <family val="2"/>
      </rPr>
      <t xml:space="preserve">）</t>
    </r>
  </si>
  <si>
    <t xml:space="preserve">K53</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</si>
  <si>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：營收淨額（美元）</t>
    </r>
  </si>
  <si>
    <t xml:space="preserve">K54</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</si>
  <si>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：雲端營收（美元）</t>
    </r>
  </si>
  <si>
    <t xml:space="preserve">K55</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</si>
  <si>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：算力成本（美元）</t>
    </r>
  </si>
  <si>
    <t xml:space="preserve">K56</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</si>
  <si>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：全成本（含股權報酬）（美元）</t>
    </r>
  </si>
  <si>
    <t xml:space="preserve">K57</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</si>
  <si>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：差額（含股權報酬）（美元）</t>
    </r>
  </si>
  <si>
    <t xml:space="preserve">K58</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</si>
  <si>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：差額（不含股權報酬）（美元）</t>
    </r>
  </si>
  <si>
    <t xml:space="preserve">K59</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</si>
  <si>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：雲端口徑差額（美元）</t>
    </r>
  </si>
  <si>
    <t xml:space="preserve">K60</t>
  </si>
  <si>
    <t xml:space="preserve">營收淨額（美元）</t>
  </si>
  <si>
    <t xml:space="preserve">K61</t>
  </si>
  <si>
    <t xml:space="preserve">全成本（含股權報酬；美元）</t>
  </si>
  <si>
    <t xml:space="preserve">K62</t>
  </si>
  <si>
    <t xml:space="preserve">差額（美元）</t>
  </si>
  <si>
    <r>
      <rPr>
        <b val="true"/>
        <sz val="10"/>
        <rFont val="Noto Sans CJK SC"/>
        <family val="2"/>
      </rPr>
      <t xml:space="preserve">八、</t>
    </r>
    <r>
      <rPr>
        <b val="true"/>
        <sz val="10"/>
        <rFont val="Arial"/>
        <family val="0"/>
        <charset val="1"/>
      </rPr>
      <t xml:space="preserve">Tokenomics </t>
    </r>
    <r>
      <rPr>
        <b val="true"/>
        <sz val="10"/>
        <rFont val="Noto Sans CJK SC"/>
        <family val="2"/>
      </rPr>
      <t xml:space="preserve">單位成本參考（每 </t>
    </r>
    <r>
      <rPr>
        <b val="true"/>
        <sz val="10"/>
        <rFont val="Arial"/>
        <family val="0"/>
        <charset val="1"/>
      </rPr>
      <t xml:space="preserve">VR200 GW </t>
    </r>
    <r>
      <rPr>
        <b val="true"/>
        <sz val="10"/>
        <rFont val="Noto Sans CJK SC"/>
        <family val="2"/>
      </rPr>
      <t xml:space="preserve">年全成本＝</t>
    </r>
    <r>
      <rPr>
        <b val="true"/>
        <sz val="10"/>
        <rFont val="Arial"/>
        <family val="0"/>
        <charset val="1"/>
      </rPr>
      <t xml:space="preserve">TK $/M × </t>
    </r>
    <r>
      <rPr>
        <b val="true"/>
        <sz val="10"/>
        <rFont val="Noto Sans CJK SC"/>
        <family val="2"/>
      </rPr>
      <t xml:space="preserve">每 </t>
    </r>
    <r>
      <rPr>
        <b val="true"/>
        <sz val="10"/>
        <rFont val="Arial"/>
        <family val="0"/>
        <charset val="1"/>
      </rPr>
      <t xml:space="preserve">GW </t>
    </r>
    <r>
      <rPr>
        <b val="true"/>
        <sz val="10"/>
        <rFont val="Noto Sans CJK SC"/>
        <family val="2"/>
      </rPr>
      <t xml:space="preserve">年產出（</t>
    </r>
    <r>
      <rPr>
        <b val="true"/>
        <sz val="10"/>
        <rFont val="Arial"/>
        <family val="0"/>
        <charset val="1"/>
      </rPr>
      <t xml:space="preserve">Sol</t>
    </r>
    <r>
      <rPr>
        <b val="true"/>
        <sz val="10"/>
        <rFont val="Noto Sans CJK SC"/>
        <family val="2"/>
      </rPr>
      <t xml:space="preserve">）</t>
    </r>
    <r>
      <rPr>
        <b val="true"/>
        <sz val="10"/>
        <rFont val="Arial"/>
        <family val="0"/>
        <charset val="1"/>
      </rPr>
      <t xml:space="preserve">× </t>
    </r>
    <r>
      <rPr>
        <b val="true"/>
        <sz val="10"/>
        <rFont val="Noto Sans CJK SC"/>
        <family val="2"/>
      </rPr>
      <t xml:space="preserve">基準利用率；只作參考，算力成本仍＝實付）</t>
    </r>
  </si>
  <si>
    <t xml:space="preserve">K63</t>
  </si>
  <si>
    <r>
      <rPr>
        <sz val="10"/>
        <color rgb="FF000000"/>
        <rFont val="Arial"/>
        <family val="0"/>
        <charset val="1"/>
      </rPr>
      <t xml:space="preserve">TK </t>
    </r>
    <r>
      <rPr>
        <sz val="10"/>
        <color rgb="FF000000"/>
        <rFont val="Noto Sans CJK SC"/>
        <family val="2"/>
      </rPr>
      <t xml:space="preserve">參考：每 </t>
    </r>
    <r>
      <rPr>
        <sz val="10"/>
        <color rgb="FF000000"/>
        <rFont val="Arial"/>
        <family val="0"/>
        <charset val="1"/>
      </rPr>
      <t xml:space="preserve">VR200 GW </t>
    </r>
    <r>
      <rPr>
        <sz val="10"/>
        <color rgb="FF000000"/>
        <rFont val="Noto Sans CJK SC"/>
        <family val="2"/>
      </rPr>
      <t xml:space="preserve">年全成本（下游預設 </t>
    </r>
    <r>
      <rPr>
        <sz val="10"/>
        <color rgb="FF000000"/>
        <rFont val="Arial"/>
        <family val="0"/>
        <charset val="1"/>
      </rPr>
      <t xml:space="preserve">IF_FullCostDefault_Sol</t>
    </r>
    <r>
      <rPr>
        <sz val="10"/>
        <color rgb="FF000000"/>
        <rFont val="Noto Sans CJK SC"/>
        <family val="2"/>
      </rPr>
      <t xml:space="preserve">；基準）</t>
    </r>
  </si>
  <si>
    <r>
      <rPr>
        <sz val="9"/>
        <color rgb="FF595959"/>
        <rFont val="Arial"/>
        <family val="0"/>
        <charset val="1"/>
      </rPr>
      <t xml:space="preserve">TK $/M</t>
    </r>
    <r>
      <rPr>
        <sz val="9"/>
        <color rgb="FF595959"/>
        <rFont val="Noto Sans CJK SC"/>
        <family val="2"/>
      </rPr>
      <t xml:space="preserve">（</t>
    </r>
    <r>
      <rPr>
        <sz val="9"/>
        <color rgb="FF595959"/>
        <rFont val="Arial"/>
        <family val="0"/>
        <charset val="1"/>
      </rPr>
      <t xml:space="preserve">VR200 Sol </t>
    </r>
    <r>
      <rPr>
        <sz val="9"/>
        <color rgb="FF595959"/>
        <rFont val="Noto Sans CJK SC"/>
        <family val="2"/>
      </rPr>
      <t xml:space="preserve">基準欄）</t>
    </r>
    <r>
      <rPr>
        <sz val="9"/>
        <color rgb="FF595959"/>
        <rFont val="Arial"/>
        <family val="0"/>
        <charset val="1"/>
      </rPr>
      <t xml:space="preserve">× </t>
    </r>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年產出 </t>
    </r>
    <r>
      <rPr>
        <sz val="9"/>
        <color rgb="FF595959"/>
        <rFont val="Arial"/>
        <family val="0"/>
        <charset val="1"/>
      </rPr>
      <t xml:space="preserve">× IF_Util ÷ 10^9 × USD/CNY × 10</t>
    </r>
  </si>
  <si>
    <t xml:space="preserve">K64</t>
  </si>
  <si>
    <r>
      <rPr>
        <sz val="10"/>
        <color rgb="FF000000"/>
        <rFont val="Arial"/>
        <family val="0"/>
        <charset val="1"/>
      </rPr>
      <t xml:space="preserve">TK </t>
    </r>
    <r>
      <rPr>
        <sz val="10"/>
        <color rgb="FF000000"/>
        <rFont val="Noto Sans CJK SC"/>
        <family val="2"/>
      </rPr>
      <t xml:space="preserve">參考：每 </t>
    </r>
    <r>
      <rPr>
        <sz val="10"/>
        <color rgb="FF000000"/>
        <rFont val="Arial"/>
        <family val="0"/>
        <charset val="1"/>
      </rPr>
      <t xml:space="preserve">VR200 GW </t>
    </r>
    <r>
      <rPr>
        <sz val="10"/>
        <color rgb="FF000000"/>
        <rFont val="Noto Sans CJK SC"/>
        <family val="2"/>
      </rPr>
      <t xml:space="preserve">年全成本（</t>
    </r>
    <r>
      <rPr>
        <sz val="10"/>
        <color rgb="FF000000"/>
        <rFont val="Arial"/>
        <family val="0"/>
        <charset val="1"/>
      </rPr>
      <t xml:space="preserve">IF_FullCost_Sol</t>
    </r>
    <r>
      <rPr>
        <sz val="10"/>
        <color rgb="FF000000"/>
        <rFont val="Noto Sans CJK SC"/>
        <family val="2"/>
      </rPr>
      <t xml:space="preserve">；並列）</t>
    </r>
  </si>
  <si>
    <t xml:space="preserve">K65</t>
  </si>
  <si>
    <r>
      <rPr>
        <sz val="10"/>
        <color rgb="FF000000"/>
        <rFont val="Noto Sans CJK SC"/>
        <family val="2"/>
      </rPr>
      <t xml:space="preserve">差距：每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t>
    </r>
    <r>
      <rPr>
        <sz val="10"/>
        <color rgb="FF000000"/>
        <rFont val="Noto Sans CJK SC"/>
        <family val="2"/>
      </rPr>
      <t xml:space="preserve">算力成本 − </t>
    </r>
    <r>
      <rPr>
        <sz val="10"/>
        <color rgb="FF000000"/>
        <rFont val="Arial"/>
        <family val="0"/>
        <charset val="1"/>
      </rPr>
      <t xml:space="preserve">TK </t>
    </r>
    <r>
      <rPr>
        <sz val="10"/>
        <color rgb="FF000000"/>
        <rFont val="Noto Sans CJK SC"/>
        <family val="2"/>
      </rPr>
      <t xml:space="preserve">參考（下游預設）</t>
    </r>
  </si>
  <si>
    <r>
      <rPr>
        <b val="true"/>
        <sz val="10"/>
        <rFont val="Noto Sans CJK SC"/>
        <family val="2"/>
      </rPr>
      <t xml:space="preserve">九、對照：每實體 </t>
    </r>
    <r>
      <rPr>
        <b val="true"/>
        <sz val="10"/>
        <rFont val="Arial"/>
        <family val="0"/>
        <charset val="1"/>
      </rPr>
      <t xml:space="preserve">GW </t>
    </r>
    <r>
      <rPr>
        <b val="true"/>
        <sz val="10"/>
        <rFont val="Noto Sans CJK SC"/>
        <family val="2"/>
      </rPr>
      <t xml:space="preserve">口徑（</t>
    </r>
    <r>
      <rPr>
        <b val="true"/>
        <sz val="10"/>
        <rFont val="Arial"/>
        <family val="0"/>
        <charset val="1"/>
      </rPr>
      <t xml:space="preserve">Z4 </t>
    </r>
    <r>
      <rPr>
        <b val="true"/>
        <sz val="10"/>
        <rFont val="Noto Sans CJK SC"/>
        <family val="2"/>
      </rPr>
      <t xml:space="preserve">報告第二種讀法；分母＝供給 </t>
    </r>
    <r>
      <rPr>
        <b val="true"/>
        <sz val="10"/>
        <rFont val="Arial"/>
        <family val="0"/>
        <charset val="1"/>
      </rPr>
      <t xml:space="preserve">GW</t>
    </r>
    <r>
      <rPr>
        <b val="true"/>
        <sz val="10"/>
        <rFont val="Noto Sans CJK SC"/>
        <family val="2"/>
      </rPr>
      <t xml:space="preserve">（實體、</t>
    </r>
    <r>
      <rPr>
        <b val="true"/>
        <sz val="10"/>
        <rFont val="Arial"/>
        <family val="0"/>
        <charset val="1"/>
      </rPr>
      <t xml:space="preserve">IT</t>
    </r>
    <r>
      <rPr>
        <b val="true"/>
        <sz val="10"/>
        <rFont val="Noto Sans CJK SC"/>
        <family val="2"/>
      </rPr>
      <t xml:space="preserve">），不換 </t>
    </r>
    <r>
      <rPr>
        <b val="true"/>
        <sz val="10"/>
        <rFont val="Arial"/>
        <family val="0"/>
        <charset val="1"/>
      </rPr>
      <t xml:space="preserve">VR </t>
    </r>
    <r>
      <rPr>
        <b val="true"/>
        <sz val="10"/>
        <rFont val="Noto Sans CJK SC"/>
        <family val="2"/>
      </rPr>
      <t xml:space="preserve">等值；命題仍以每 </t>
    </r>
    <r>
      <rPr>
        <b val="true"/>
        <sz val="10"/>
        <rFont val="Arial"/>
        <family val="0"/>
        <charset val="1"/>
      </rPr>
      <t xml:space="preserve">VR </t>
    </r>
    <r>
      <rPr>
        <b val="true"/>
        <sz val="10"/>
        <rFont val="Noto Sans CJK SC"/>
        <family val="2"/>
      </rPr>
      <t xml:space="preserve">等值 </t>
    </r>
    <r>
      <rPr>
        <b val="true"/>
        <sz val="10"/>
        <rFont val="Arial"/>
        <family val="0"/>
        <charset val="1"/>
      </rPr>
      <t xml:space="preserve">GW </t>
    </r>
    <r>
      <rPr>
        <b val="true"/>
        <sz val="10"/>
        <rFont val="Noto Sans CJK SC"/>
        <family val="2"/>
      </rPr>
      <t xml:space="preserve">為準）</t>
    </r>
  </si>
  <si>
    <t xml:space="preserve">K66</t>
  </si>
  <si>
    <r>
      <rPr>
        <sz val="10"/>
        <color rgb="FF000000"/>
        <rFont val="Noto Sans CJK SC"/>
        <family val="2"/>
      </rPr>
      <t xml:space="preserve">分母：供給 </t>
    </r>
    <r>
      <rPr>
        <sz val="10"/>
        <color rgb="FF000000"/>
        <rFont val="Arial"/>
        <family val="0"/>
        <charset val="1"/>
      </rPr>
      <t xml:space="preserve">GW</t>
    </r>
    <r>
      <rPr>
        <sz val="10"/>
        <color rgb="FF000000"/>
        <rFont val="Noto Sans CJK SC"/>
        <family val="2"/>
      </rPr>
      <t xml:space="preserve">（實體）</t>
    </r>
  </si>
  <si>
    <r>
      <rPr>
        <sz val="9"/>
        <color rgb="FF595959"/>
        <rFont val="Arial"/>
        <family val="0"/>
        <charset val="1"/>
      </rPr>
      <t xml:space="preserve">CMP_SupplyGW</t>
    </r>
    <r>
      <rPr>
        <sz val="9"/>
        <color rgb="FF595959"/>
        <rFont val="Noto Sans CJK SC"/>
        <family val="2"/>
      </rPr>
      <t xml:space="preserve">（期間平均）</t>
    </r>
  </si>
  <si>
    <t xml:space="preserve">K67</t>
  </si>
  <si>
    <r>
      <rPr>
        <sz val="10"/>
        <color rgb="FF000000"/>
        <rFont val="Noto Sans CJK SC"/>
        <family val="2"/>
      </rPr>
      <t xml:space="preserve">機隊 </t>
    </r>
    <r>
      <rPr>
        <sz val="10"/>
        <color rgb="FF000000"/>
        <rFont val="Arial"/>
        <family val="0"/>
        <charset val="1"/>
      </rPr>
      <t xml:space="preserve">VR </t>
    </r>
    <r>
      <rPr>
        <sz val="10"/>
        <color rgb="FF000000"/>
        <rFont val="Noto Sans CJK SC"/>
        <family val="2"/>
      </rPr>
      <t xml:space="preserve">等值係數＝</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 </t>
    </r>
    <r>
      <rPr>
        <sz val="10"/>
        <color rgb="FF000000"/>
        <rFont val="Noto Sans CJK SC"/>
        <family val="2"/>
      </rPr>
      <t xml:space="preserve">實體 </t>
    </r>
    <r>
      <rPr>
        <sz val="10"/>
        <color rgb="FF000000"/>
        <rFont val="Arial"/>
        <family val="0"/>
        <charset val="1"/>
      </rPr>
      <t xml:space="preserve">GW</t>
    </r>
  </si>
  <si>
    <r>
      <rPr>
        <sz val="9"/>
        <color rgb="FF595959"/>
        <rFont val="Noto Sans CJK SC"/>
        <family val="2"/>
      </rPr>
      <t xml:space="preserve">中國晶片組合換成 </t>
    </r>
    <r>
      <rPr>
        <sz val="9"/>
        <color rgb="FF595959"/>
        <rFont val="Arial"/>
        <family val="0"/>
        <charset val="1"/>
      </rPr>
      <t xml:space="preserve">VR200 </t>
    </r>
    <r>
      <rPr>
        <sz val="9"/>
        <color rgb="FF595959"/>
        <rFont val="Noto Sans CJK SC"/>
        <family val="2"/>
      </rPr>
      <t xml:space="preserve">等值只值約此倍數；分母為 </t>
    </r>
    <r>
      <rPr>
        <sz val="9"/>
        <color rgb="FF595959"/>
        <rFont val="Arial"/>
        <family val="0"/>
        <charset val="1"/>
      </rPr>
      <t xml:space="preserve">0 </t>
    </r>
    <r>
      <rPr>
        <sz val="9"/>
        <color rgb="FF595959"/>
        <rFont val="Noto Sans CJK SC"/>
        <family val="2"/>
      </rPr>
      <t xml:space="preserve">時顯示 </t>
    </r>
    <r>
      <rPr>
        <sz val="9"/>
        <color rgb="FF595959"/>
        <rFont val="Arial"/>
        <family val="0"/>
        <charset val="1"/>
      </rPr>
      <t xml:space="preserve">0</t>
    </r>
  </si>
  <si>
    <t xml:space="preserve">K68</t>
  </si>
  <si>
    <r>
      <rPr>
        <sz val="10"/>
        <color rgb="FF000000"/>
        <rFont val="Noto Sans CJK SC"/>
        <family val="2"/>
      </rPr>
      <t xml:space="preserve">每實體 </t>
    </r>
    <r>
      <rPr>
        <sz val="10"/>
        <color rgb="FF000000"/>
        <rFont val="Arial"/>
        <family val="0"/>
        <charset val="1"/>
      </rPr>
      <t xml:space="preserve">GW</t>
    </r>
    <r>
      <rPr>
        <sz val="10"/>
        <color rgb="FF000000"/>
        <rFont val="Noto Sans CJK SC"/>
        <family val="2"/>
      </rPr>
      <t xml:space="preserve">：營收淨額</t>
    </r>
  </si>
  <si>
    <t xml:space="preserve">K69</t>
  </si>
  <si>
    <r>
      <rPr>
        <sz val="10"/>
        <color rgb="FF000000"/>
        <rFont val="Noto Sans CJK SC"/>
        <family val="2"/>
      </rPr>
      <t xml:space="preserve">每實體 </t>
    </r>
    <r>
      <rPr>
        <sz val="10"/>
        <color rgb="FF000000"/>
        <rFont val="Arial"/>
        <family val="0"/>
        <charset val="1"/>
      </rPr>
      <t xml:space="preserve">GW</t>
    </r>
    <r>
      <rPr>
        <sz val="10"/>
        <color rgb="FF000000"/>
        <rFont val="Noto Sans CJK SC"/>
        <family val="2"/>
      </rPr>
      <t xml:space="preserve">：全成本（含股權報酬）</t>
    </r>
  </si>
  <si>
    <t xml:space="preserve">K70</t>
  </si>
  <si>
    <r>
      <rPr>
        <sz val="10"/>
        <color rgb="FF000000"/>
        <rFont val="Noto Sans CJK SC"/>
        <family val="2"/>
      </rPr>
      <t xml:space="preserve">每實體 </t>
    </r>
    <r>
      <rPr>
        <sz val="10"/>
        <color rgb="FF000000"/>
        <rFont val="Arial"/>
        <family val="0"/>
        <charset val="1"/>
      </rPr>
      <t xml:space="preserve">GW</t>
    </r>
    <r>
      <rPr>
        <sz val="10"/>
        <color rgb="FF000000"/>
        <rFont val="Noto Sans CJK SC"/>
        <family val="2"/>
      </rPr>
      <t xml:space="preserve">：差額</t>
    </r>
  </si>
  <si>
    <r>
      <rPr>
        <sz val="9"/>
        <color rgb="FF595959"/>
        <rFont val="Noto Sans CJK SC"/>
        <family val="2"/>
      </rPr>
      <t xml:space="preserve">＝每 </t>
    </r>
    <r>
      <rPr>
        <sz val="9"/>
        <color rgb="FF595959"/>
        <rFont val="Arial"/>
        <family val="0"/>
        <charset val="1"/>
      </rPr>
      <t xml:space="preserve">VR </t>
    </r>
    <r>
      <rPr>
        <sz val="9"/>
        <color rgb="FF595959"/>
        <rFont val="Noto Sans CJK SC"/>
        <family val="2"/>
      </rPr>
      <t xml:space="preserve">等值 </t>
    </r>
    <r>
      <rPr>
        <sz val="9"/>
        <color rgb="FF595959"/>
        <rFont val="Arial"/>
        <family val="0"/>
        <charset val="1"/>
      </rPr>
      <t xml:space="preserve">GW </t>
    </r>
    <r>
      <rPr>
        <sz val="9"/>
        <color rgb="FF595959"/>
        <rFont val="Noto Sans CJK SC"/>
        <family val="2"/>
      </rPr>
      <t xml:space="preserve">差額 </t>
    </r>
    <r>
      <rPr>
        <sz val="9"/>
        <color rgb="FF595959"/>
        <rFont val="Arial"/>
        <family val="0"/>
        <charset val="1"/>
      </rPr>
      <t xml:space="preserve">× </t>
    </r>
    <r>
      <rPr>
        <sz val="9"/>
        <color rgb="FF595959"/>
        <rFont val="Noto Sans CJK SC"/>
        <family val="2"/>
      </rPr>
      <t xml:space="preserve">機隊 </t>
    </r>
    <r>
      <rPr>
        <sz val="9"/>
        <color rgb="FF595959"/>
        <rFont val="Arial"/>
        <family val="0"/>
        <charset val="1"/>
      </rPr>
      <t xml:space="preserve">VR </t>
    </r>
    <r>
      <rPr>
        <sz val="9"/>
        <color rgb="FF595959"/>
        <rFont val="Noto Sans CJK SC"/>
        <family val="2"/>
      </rPr>
      <t xml:space="preserve">等值係數</t>
    </r>
  </si>
  <si>
    <t xml:space="preserve">K71</t>
  </si>
  <si>
    <r>
      <rPr>
        <sz val="10"/>
        <color rgb="FF000000"/>
        <rFont val="Noto Sans CJK SC"/>
        <family val="2"/>
      </rPr>
      <t xml:space="preserve">每實體 </t>
    </r>
    <r>
      <rPr>
        <sz val="10"/>
        <color rgb="FF000000"/>
        <rFont val="Arial"/>
        <family val="0"/>
        <charset val="1"/>
      </rPr>
      <t xml:space="preserve">GW</t>
    </r>
    <r>
      <rPr>
        <sz val="10"/>
        <color rgb="FF000000"/>
        <rFont val="Noto Sans CJK SC"/>
        <family val="2"/>
      </rPr>
      <t xml:space="preserve">：營收淨額（美元）</t>
    </r>
  </si>
  <si>
    <t xml:space="preserve">K72</t>
  </si>
  <si>
    <r>
      <rPr>
        <sz val="10"/>
        <color rgb="FF000000"/>
        <rFont val="Noto Sans CJK SC"/>
        <family val="2"/>
      </rPr>
      <t xml:space="preserve">每實體 </t>
    </r>
    <r>
      <rPr>
        <sz val="10"/>
        <color rgb="FF000000"/>
        <rFont val="Arial"/>
        <family val="0"/>
        <charset val="1"/>
      </rPr>
      <t xml:space="preserve">GW</t>
    </r>
    <r>
      <rPr>
        <sz val="10"/>
        <color rgb="FF000000"/>
        <rFont val="Noto Sans CJK SC"/>
        <family val="2"/>
      </rPr>
      <t xml:space="preserve">：全成本（美元）</t>
    </r>
  </si>
  <si>
    <t xml:space="preserve">K73</t>
  </si>
  <si>
    <r>
      <rPr>
        <sz val="10"/>
        <color rgb="FF000000"/>
        <rFont val="Noto Sans CJK SC"/>
        <family val="2"/>
      </rPr>
      <t xml:space="preserve">每實體 </t>
    </r>
    <r>
      <rPr>
        <sz val="10"/>
        <color rgb="FF000000"/>
        <rFont val="Arial"/>
        <family val="0"/>
        <charset val="1"/>
      </rPr>
      <t xml:space="preserve">GW</t>
    </r>
    <r>
      <rPr>
        <sz val="10"/>
        <color rgb="FF000000"/>
        <rFont val="Noto Sans CJK SC"/>
        <family val="2"/>
      </rPr>
      <t xml:space="preserve">：差額（美元）</t>
    </r>
  </si>
  <si>
    <r>
      <rPr>
        <b val="true"/>
        <sz val="10"/>
        <rFont val="Noto Sans CJK SC"/>
        <family val="2"/>
      </rPr>
      <t xml:space="preserve">十、</t>
    </r>
    <r>
      <rPr>
        <b val="true"/>
        <sz val="10"/>
        <rFont val="Arial"/>
        <family val="0"/>
        <charset val="1"/>
      </rPr>
      <t xml:space="preserve">Z5b V2</t>
    </r>
    <r>
      <rPr>
        <b val="true"/>
        <sz val="10"/>
        <rFont val="Noto Sans CJK SC"/>
        <family val="2"/>
      </rPr>
      <t xml:space="preserve">：自有算力營運費用（現金，已含於算力成本）與攤提口徑並列（自有資本支出依 </t>
    </r>
    <r>
      <rPr>
        <b val="true"/>
        <sz val="10"/>
        <rFont val="Arial"/>
        <family val="0"/>
        <charset val="1"/>
      </rPr>
      <t xml:space="preserve">TK IF_DeprLifeIT </t>
    </r>
    <r>
      <rPr>
        <b val="true"/>
        <sz val="10"/>
        <rFont val="Noto Sans CJK SC"/>
        <family val="2"/>
      </rPr>
      <t xml:space="preserve">攤提；只並列，命題與 </t>
    </r>
    <r>
      <rPr>
        <b val="true"/>
        <sz val="10"/>
        <rFont val="Arial"/>
        <family val="0"/>
        <charset val="1"/>
      </rPr>
      <t xml:space="preserve">Funding </t>
    </r>
    <r>
      <rPr>
        <b val="true"/>
        <sz val="10"/>
        <rFont val="Noto Sans CJK SC"/>
        <family val="2"/>
      </rPr>
      <t xml:space="preserve">仍以現金口徑）</t>
    </r>
  </si>
  <si>
    <t xml:space="preserve">K74</t>
  </si>
  <si>
    <t xml:space="preserve">自有算力營運費用（現金）</t>
  </si>
  <si>
    <r>
      <rPr>
        <sz val="9"/>
        <color rgb="FF595959"/>
        <rFont val="Arial"/>
        <family val="0"/>
        <charset val="1"/>
      </rPr>
      <t xml:space="preserve">Compute </t>
    </r>
    <r>
      <rPr>
        <sz val="9"/>
        <color rgb="FF595959"/>
        <rFont val="Noto Sans CJK SC"/>
        <family val="2"/>
      </rPr>
      <t xml:space="preserve">第十四節；投產後計入</t>
    </r>
  </si>
  <si>
    <t xml:space="preserve">K75</t>
  </si>
  <si>
    <t xml:space="preserve">自有資本支出攤提</t>
  </si>
  <si>
    <r>
      <rPr>
        <sz val="9"/>
        <color rgb="FF595959"/>
        <rFont val="Arial"/>
        <family val="0"/>
        <charset val="1"/>
      </rPr>
      <t xml:space="preserve">Compute </t>
    </r>
    <r>
      <rPr>
        <sz val="9"/>
        <color rgb="FF595959"/>
        <rFont val="Noto Sans CJK SC"/>
        <family val="2"/>
      </rPr>
      <t xml:space="preserve">第十四節</t>
    </r>
  </si>
  <si>
    <t xml:space="preserve">K76</t>
  </si>
  <si>
    <t xml:space="preserve">算力成本（攤提口徑）＝租用＋自有營運費用＋攤提</t>
  </si>
  <si>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2026 </t>
    </r>
    <r>
      <rPr>
        <sz val="9"/>
        <color rgb="FF595959"/>
        <rFont val="Noto Sans CJK SC"/>
        <family val="2"/>
      </rPr>
      <t xml:space="preserve">同現金口徑</t>
    </r>
  </si>
  <si>
    <t xml:space="preserve">K77</t>
  </si>
  <si>
    <t xml:space="preserve">全成本（攤提口徑）</t>
  </si>
  <si>
    <t xml:space="preserve">K78</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</si>
  <si>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：差額（攤提口徑）</t>
    </r>
  </si>
  <si>
    <r>
      <rPr>
        <sz val="9"/>
        <color rgb="FF595959"/>
        <rFont val="Arial"/>
        <family val="0"/>
        <charset val="1"/>
      </rPr>
      <t xml:space="preserve">1 GW </t>
    </r>
    <r>
      <rPr>
        <sz val="9"/>
        <color rgb="FF595959"/>
        <rFont val="Noto Sans CJK SC"/>
        <family val="2"/>
      </rPr>
      <t xml:space="preserve">資料中心情境下，一次性資本支出不進『每 </t>
    </r>
    <r>
      <rPr>
        <sz val="9"/>
        <color rgb="FF595959"/>
        <rFont val="Arial"/>
        <family val="0"/>
        <charset val="1"/>
      </rPr>
      <t xml:space="preserve">GW </t>
    </r>
    <r>
      <rPr>
        <sz val="9"/>
        <color rgb="FF595959"/>
        <rFont val="Noto Sans CJK SC"/>
        <family val="2"/>
      </rPr>
      <t xml:space="preserve">年』</t>
    </r>
  </si>
  <si>
    <t xml:space="preserve">K79</t>
  </si>
  <si>
    <t xml:space="preserve">覆蓋率（攤提口徑）</t>
  </si>
  <si>
    <r>
      <rPr>
        <b val="true"/>
        <sz val="13"/>
        <rFont val="Arial"/>
        <family val="0"/>
        <charset val="1"/>
      </rPr>
      <t xml:space="preserve">Funding — </t>
    </r>
    <r>
      <rPr>
        <b val="true"/>
        <sz val="13"/>
        <rFont val="Noto Sans CJK SC"/>
        <family val="2"/>
      </rPr>
      <t xml:space="preserve">融資：自由現金流、投資活動（非算力資本支出、併購）、已到位融資（</t>
    </r>
    <r>
      <rPr>
        <b val="true"/>
        <sz val="13"/>
        <rFont val="Arial"/>
        <family val="0"/>
        <charset val="1"/>
      </rPr>
      <t xml:space="preserve">IPO</t>
    </r>
    <r>
      <rPr>
        <b val="true"/>
        <sz val="13"/>
        <rFont val="Noto Sans CJK SC"/>
        <family val="2"/>
      </rPr>
      <t xml:space="preserve">、</t>
    </r>
    <r>
      <rPr>
        <b val="true"/>
        <sz val="13"/>
        <rFont val="Arial"/>
        <family val="0"/>
        <charset val="1"/>
      </rPr>
      <t xml:space="preserve">2026-07</t>
    </r>
    <r>
      <rPr>
        <b val="true"/>
        <sz val="13"/>
        <rFont val="Noto Sans CJK SC"/>
        <family val="2"/>
      </rPr>
      <t xml:space="preserve">／</t>
    </r>
    <r>
      <rPr>
        <b val="true"/>
        <sz val="13"/>
        <rFont val="Arial"/>
        <family val="0"/>
        <charset val="1"/>
      </rPr>
      <t xml:space="preserve">09 </t>
    </r>
    <r>
      <rPr>
        <b val="true"/>
        <sz val="13"/>
        <rFont val="Noto Sans CJK SC"/>
        <family val="2"/>
      </rPr>
      <t xml:space="preserve">配售、可換股債券、銀行借款）、最低現金與外部資金需求、可換股債券轉股情境、或有、配售用途對照、回流對照、</t>
    </r>
    <r>
      <rPr>
        <b val="true"/>
        <sz val="13"/>
        <rFont val="Arial"/>
        <family val="0"/>
        <charset val="1"/>
      </rPr>
      <t xml:space="preserve">2025</t>
    </r>
    <r>
      <rPr>
        <b val="true"/>
        <sz val="13"/>
        <rFont val="Noto Sans CJK SC"/>
        <family val="2"/>
      </rPr>
      <t xml:space="preserve">／</t>
    </r>
    <r>
      <rPr>
        <b val="true"/>
        <sz val="13"/>
        <rFont val="Arial"/>
        <family val="0"/>
        <charset val="1"/>
      </rPr>
      <t xml:space="preserve">1H26 </t>
    </r>
    <r>
      <rPr>
        <b val="true"/>
        <sz val="13"/>
        <rFont val="Noto Sans CJK SC"/>
        <family val="2"/>
      </rPr>
      <t xml:space="preserve">現金對帳</t>
    </r>
  </si>
  <si>
    <r>
      <rPr>
        <sz val="9"/>
        <color rgb="FF595959"/>
        <rFont val="Noto Sans CJK SC"/>
        <family val="2"/>
      </rPr>
      <t xml:space="preserve">規格 </t>
    </r>
    <r>
      <rPr>
        <sz val="9"/>
        <color rgb="FF595959"/>
        <rFont val="Arial"/>
        <family val="0"/>
        <charset val="1"/>
      </rPr>
      <t xml:space="preserve">D16–D20</t>
    </r>
    <r>
      <rPr>
        <sz val="9"/>
        <color rgb="FF595959"/>
        <rFont val="Noto Sans CJK SC"/>
        <family val="2"/>
      </rPr>
      <t xml:space="preserve">、</t>
    </r>
    <r>
      <rPr>
        <sz val="9"/>
        <color rgb="FF595959"/>
        <rFont val="Arial"/>
        <family val="0"/>
        <charset val="1"/>
      </rPr>
      <t xml:space="preserve">D16r</t>
    </r>
    <r>
      <rPr>
        <sz val="9"/>
        <color rgb="FF595959"/>
        <rFont val="Noto Sans CJK SC"/>
        <family val="2"/>
      </rPr>
      <t xml:space="preserve">；工作單 </t>
    </r>
    <r>
      <rPr>
        <sz val="9"/>
        <color rgb="FF595959"/>
        <rFont val="Arial"/>
        <family val="0"/>
        <charset val="1"/>
      </rPr>
      <t xml:space="preserve">Z4</t>
    </r>
    <r>
      <rPr>
        <sz val="9"/>
        <color rgb="FF595959"/>
        <rFont val="Noto Sans CJK SC"/>
        <family val="2"/>
      </rPr>
      <t xml:space="preserve">。自由現金流＝營收淨額（截頂後）− 算力成本 − 本地化部署交付成本 − 非算力成本（不含股權報酬；股權報酬非現金，加回）＋其他收益（</t>
    </r>
    <r>
      <rPr>
        <sz val="9"/>
        <color rgb="FF595959"/>
        <rFont val="Arial"/>
        <family val="0"/>
        <charset val="1"/>
      </rPr>
      <t xml:space="preserve">D20</t>
    </r>
    <r>
      <rPr>
        <sz val="9"/>
        <color rgb="FF595959"/>
        <rFont val="Noto Sans CJK SC"/>
        <family val="2"/>
      </rPr>
      <t xml:space="preserve">：</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實際，之後 </t>
    </r>
    <r>
      <rPr>
        <sz val="9"/>
        <color rgb="FF595959"/>
        <rFont val="Arial"/>
        <family val="0"/>
        <charset val="1"/>
      </rPr>
      <t xml:space="preserve">Inputs</t>
    </r>
    <r>
      <rPr>
        <sz val="9"/>
        <color rgb="FF595959"/>
        <rFont val="Noto Sans CJK SC"/>
        <family val="2"/>
      </rPr>
      <t xml:space="preserve">，基準 </t>
    </r>
    <r>
      <rPr>
        <sz val="9"/>
        <color rgb="FF595959"/>
        <rFont val="Arial"/>
        <family val="0"/>
        <charset val="1"/>
      </rPr>
      <t xml:space="preserve">0</t>
    </r>
    <r>
      <rPr>
        <sz val="9"/>
        <color rgb="FF595959"/>
        <rFont val="Noto Sans CJK SC"/>
        <family val="2"/>
      </rPr>
      <t xml:space="preserve">）− 利息（</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＝財報財務成本；之後銀行借款餘額 </t>
    </r>
    <r>
      <rPr>
        <sz val="9"/>
        <color rgb="FF595959"/>
        <rFont val="Arial"/>
        <family val="0"/>
        <charset val="1"/>
      </rPr>
      <t xml:space="preserve">× </t>
    </r>
    <r>
      <rPr>
        <sz val="9"/>
        <color rgb="FF595959"/>
        <rFont val="Noto Sans CJK SC"/>
        <family val="2"/>
      </rPr>
      <t xml:space="preserve">利率）。來源順序：①期初現金 ②已到位股權（港幣淨額 </t>
    </r>
    <r>
      <rPr>
        <sz val="9"/>
        <color rgb="FF595959"/>
        <rFont val="Arial"/>
        <family val="0"/>
        <charset val="1"/>
      </rPr>
      <t xml:space="preserve">× HKD/CNY</t>
    </r>
    <r>
      <rPr>
        <sz val="9"/>
        <color rgb="FF595959"/>
        <rFont val="Noto Sans CJK SC"/>
        <family val="2"/>
      </rPr>
      <t xml:space="preserve">；入帳時點＝完成日）③已提用債務（銀行借款到期續借；可換股債券淨額 </t>
    </r>
    <r>
      <rPr>
        <sz val="9"/>
        <color rgb="FF595959"/>
        <rFont val="Arial"/>
        <family val="0"/>
        <charset val="1"/>
      </rPr>
      <t xml:space="preserve">2H26 </t>
    </r>
    <r>
      <rPr>
        <sz val="9"/>
        <color rgb="FF595959"/>
        <rFont val="Noto Sans CJK SC"/>
        <family val="2"/>
      </rPr>
      <t xml:space="preserve">流入、</t>
    </r>
    <r>
      <rPr>
        <sz val="9"/>
        <color rgb="FF595959"/>
        <rFont val="Arial"/>
        <family val="0"/>
        <charset val="1"/>
      </rPr>
      <t xml:space="preserve">2027-09 </t>
    </r>
    <r>
      <rPr>
        <sz val="9"/>
        <color rgb="FF595959"/>
        <rFont val="Noto Sans CJK SC"/>
        <family val="2"/>
      </rPr>
      <t xml:space="preserve">到期現金償還，</t>
    </r>
    <r>
      <rPr>
        <sz val="9"/>
        <color rgb="FF595959"/>
        <rFont val="Arial"/>
        <family val="0"/>
        <charset val="1"/>
      </rPr>
      <t xml:space="preserve">D16r</t>
    </r>
    <r>
      <rPr>
        <sz val="9"/>
        <color rgb="FF595959"/>
        <rFont val="Noto Sans CJK SC"/>
        <family val="2"/>
      </rPr>
      <t xml:space="preserve">）④外部資金需求（年底現金補足至最低現金）。</t>
    </r>
  </si>
  <si>
    <r>
      <rPr>
        <sz val="9"/>
        <color rgb="FF595959"/>
        <rFont val="Noto Sans CJK SC"/>
        <family val="2"/>
      </rPr>
      <t xml:space="preserve">金額 </t>
    </r>
    <r>
      <rPr>
        <sz val="9"/>
        <color rgb="FF595959"/>
        <rFont val="Arial"/>
        <family val="0"/>
        <charset val="1"/>
      </rPr>
      <t xml:space="preserve">RMB </t>
    </r>
    <r>
      <rPr>
        <sz val="9"/>
        <color rgb="FF595959"/>
        <rFont val="Noto Sans CJK SC"/>
        <family val="2"/>
      </rPr>
      <t xml:space="preserve">億。</t>
    </r>
    <r>
      <rPr>
        <sz val="9"/>
        <color rgb="FF595959"/>
        <rFont val="Arial"/>
        <family val="0"/>
        <charset val="1"/>
      </rPr>
      <t xml:space="preserve">K</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（實際；期末現金＝中期報告 </t>
    </r>
    <r>
      <rPr>
        <sz val="9"/>
        <color rgb="FF595959"/>
        <rFont val="Arial"/>
        <family val="0"/>
        <charset val="1"/>
      </rPr>
      <t xml:space="preserve">39.94 </t>
    </r>
    <r>
      <rPr>
        <sz val="9"/>
        <color rgb="FF595959"/>
        <rFont val="Noto Sans CJK SC"/>
        <family val="2"/>
      </rPr>
      <t xml:space="preserve">億，</t>
    </r>
    <r>
      <rPr>
        <sz val="9"/>
        <color rgb="FF595959"/>
        <rFont val="Arial"/>
        <family val="0"/>
        <charset val="1"/>
      </rPr>
      <t xml:space="preserve">IPO </t>
    </r>
    <r>
      <rPr>
        <sz val="9"/>
        <color rgb="FF595959"/>
        <rFont val="Noto Sans CJK SC"/>
        <family val="2"/>
      </rPr>
      <t xml:space="preserve">淨額已全數動用並已反映）；</t>
    </r>
    <r>
      <rPr>
        <sz val="9"/>
        <color rgb="FF595959"/>
        <rFont val="Arial"/>
        <family val="0"/>
        <charset val="1"/>
      </rPr>
      <t xml:space="preserve">L</t>
    </r>
    <r>
      <rPr>
        <sz val="9"/>
        <color rgb="FF595959"/>
        <rFont val="Noto Sans CJK SC"/>
        <family val="2"/>
      </rPr>
      <t xml:space="preserve">＝</t>
    </r>
    <r>
      <rPr>
        <sz val="9"/>
        <color rgb="FF595959"/>
        <rFont val="Arial"/>
        <family val="0"/>
        <charset val="1"/>
      </rPr>
      <t xml:space="preserve">2H26</t>
    </r>
    <r>
      <rPr>
        <sz val="9"/>
        <color rgb="FF595959"/>
        <rFont val="Noto Sans CJK SC"/>
        <family val="2"/>
      </rPr>
      <t xml:space="preserve">（驅動）；</t>
    </r>
    <r>
      <rPr>
        <sz val="9"/>
        <color rgb="FF595959"/>
        <rFont val="Arial"/>
        <family val="0"/>
        <charset val="1"/>
      </rPr>
      <t xml:space="preserve">E</t>
    </r>
    <r>
      <rPr>
        <sz val="9"/>
        <color rgb="FF595959"/>
        <rFont val="Noto Sans CJK SC"/>
        <family val="2"/>
      </rPr>
      <t xml:space="preserve">＝</t>
    </r>
    <r>
      <rPr>
        <sz val="9"/>
        <color rgb="FF595959"/>
        <rFont val="Arial"/>
        <family val="0"/>
        <charset val="1"/>
      </rPr>
      <t xml:space="preserve">2026 </t>
    </r>
    <r>
      <rPr>
        <sz val="9"/>
        <color rgb="FF595959"/>
        <rFont val="Noto Sans CJK SC"/>
        <family val="2"/>
      </rPr>
      <t xml:space="preserve">全年（流量＝</t>
    </r>
    <r>
      <rPr>
        <sz val="9"/>
        <color rgb="FF595959"/>
        <rFont val="Arial"/>
        <family val="0"/>
        <charset val="1"/>
      </rPr>
      <t xml:space="preserve">K</t>
    </r>
    <r>
      <rPr>
        <sz val="9"/>
        <color rgb="FF595959"/>
        <rFont val="Noto Sans CJK SC"/>
        <family val="2"/>
      </rPr>
      <t xml:space="preserve">＋</t>
    </r>
    <r>
      <rPr>
        <sz val="9"/>
        <color rgb="FF595959"/>
        <rFont val="Arial"/>
        <family val="0"/>
        <charset val="1"/>
      </rPr>
      <t xml:space="preserve">L</t>
    </r>
    <r>
      <rPr>
        <sz val="9"/>
        <color rgb="FF595959"/>
        <rFont val="Noto Sans CJK SC"/>
        <family val="2"/>
      </rPr>
      <t xml:space="preserve">；現金＝年底）。外部資金需求只在年底（</t>
    </r>
    <r>
      <rPr>
        <sz val="9"/>
        <color rgb="FF595959"/>
        <rFont val="Arial"/>
        <family val="0"/>
        <charset val="1"/>
      </rPr>
      <t xml:space="preserve">E–I</t>
    </r>
    <r>
      <rPr>
        <sz val="9"/>
        <color rgb="FF595959"/>
        <rFont val="Noto Sans CJK SC"/>
        <family val="2"/>
      </rPr>
      <t xml:space="preserve">）判斷。</t>
    </r>
  </si>
  <si>
    <r>
      <rPr>
        <b val="true"/>
        <sz val="10"/>
        <rFont val="Noto Sans CJK SC"/>
        <family val="2"/>
      </rPr>
      <t xml:space="preserve">一、自由現金流（</t>
    </r>
    <r>
      <rPr>
        <b val="true"/>
        <sz val="10"/>
        <rFont val="Arial"/>
        <family val="0"/>
        <charset val="1"/>
      </rPr>
      <t xml:space="preserve">Cost COST_GapCash </t>
    </r>
    <r>
      <rPr>
        <b val="true"/>
        <sz val="10"/>
        <rFont val="Noto Sans CJK SC"/>
        <family val="2"/>
      </rPr>
      <t xml:space="preserve">為起點：營收 − 全成本；股權報酬非現金，加回；加其他收益、減利息）</t>
    </r>
  </si>
  <si>
    <t xml:space="preserve">F01</t>
  </si>
  <si>
    <r>
      <rPr>
        <sz val="9"/>
        <color rgb="FF595959"/>
        <rFont val="Arial"/>
        <family val="0"/>
        <charset val="1"/>
      </rPr>
      <t xml:space="preserve">REV_NetCapped</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＝實際（不截頂）；</t>
    </r>
    <r>
      <rPr>
        <sz val="9"/>
        <color rgb="FF595959"/>
        <rFont val="Arial"/>
        <family val="0"/>
        <charset val="1"/>
      </rPr>
      <t xml:space="preserve">2H26</t>
    </r>
    <r>
      <rPr>
        <sz val="9"/>
        <color rgb="FF595959"/>
        <rFont val="Noto Sans CJK SC"/>
        <family val="2"/>
      </rPr>
      <t xml:space="preserve">＝雲端 </t>
    </r>
    <r>
      <rPr>
        <sz val="9"/>
        <color rgb="FF595959"/>
        <rFont val="Arial"/>
        <family val="0"/>
        <charset val="1"/>
      </rPr>
      <t xml:space="preserve">× </t>
    </r>
    <r>
      <rPr>
        <sz val="9"/>
        <color rgb="FF595959"/>
        <rFont val="Noto Sans CJK SC"/>
        <family val="2"/>
      </rPr>
      <t xml:space="preserve">容量上限係數＋本地化＋廣告；</t>
    </r>
    <r>
      <rPr>
        <sz val="9"/>
        <color rgb="FF595959"/>
        <rFont val="Arial"/>
        <family val="0"/>
        <charset val="1"/>
      </rPr>
      <t xml:space="preserve">2026</t>
    </r>
    <r>
      <rPr>
        <sz val="9"/>
        <color rgb="FF595959"/>
        <rFont val="Noto Sans CJK SC"/>
        <family val="2"/>
      </rPr>
      <t xml:space="preserve">＝</t>
    </r>
    <r>
      <rPr>
        <sz val="9"/>
        <color rgb="FF595959"/>
        <rFont val="Arial"/>
        <family val="0"/>
        <charset val="1"/>
      </rPr>
      <t xml:space="preserve">1H</t>
    </r>
    <r>
      <rPr>
        <sz val="9"/>
        <color rgb="FF595959"/>
        <rFont val="Noto Sans CJK SC"/>
        <family val="2"/>
      </rPr>
      <t xml:space="preserve">＋</t>
    </r>
    <r>
      <rPr>
        <sz val="9"/>
        <color rgb="FF595959"/>
        <rFont val="Arial"/>
        <family val="0"/>
        <charset val="1"/>
      </rPr>
      <t xml:space="preserve">2H</t>
    </r>
  </si>
  <si>
    <t xml:space="preserve">F02</t>
  </si>
  <si>
    <t xml:space="preserve">算力成本（現金口徑）</t>
  </si>
  <si>
    <t xml:space="preserve">F03</t>
  </si>
  <si>
    <t xml:space="preserve">COST_OnPremDelivery</t>
  </si>
  <si>
    <t xml:space="preserve">F04</t>
  </si>
  <si>
    <t xml:space="preserve">COST_NonCompExSBC</t>
  </si>
  <si>
    <t xml:space="preserve">F05</t>
  </si>
  <si>
    <t xml:space="preserve">股權報酬（非現金；只列示，現金流加回）</t>
  </si>
  <si>
    <t xml:space="preserve">COST_SBC</t>
  </si>
  <si>
    <t xml:space="preserve">F06</t>
  </si>
  <si>
    <t xml:space="preserve">差額（含股權報酬；命題口徑）＝營收 − 全成本</t>
  </si>
  <si>
    <r>
      <rPr>
        <sz val="9"/>
        <color rgb="FF595959"/>
        <rFont val="Noto Sans CJK SC"/>
        <family val="2"/>
      </rPr>
      <t xml:space="preserve">年度欄＝</t>
    </r>
    <r>
      <rPr>
        <sz val="9"/>
        <color rgb="FF595959"/>
        <rFont val="Arial"/>
        <family val="0"/>
        <charset val="1"/>
      </rPr>
      <t xml:space="preserve">COST_GapCash</t>
    </r>
    <r>
      <rPr>
        <sz val="9"/>
        <color rgb="FF595959"/>
        <rFont val="Noto Sans CJK SC"/>
        <family val="2"/>
      </rPr>
      <t xml:space="preserve">（</t>
    </r>
    <r>
      <rPr>
        <sz val="9"/>
        <color rgb="FF595959"/>
        <rFont val="Arial"/>
        <family val="0"/>
        <charset val="1"/>
      </rPr>
      <t xml:space="preserve">Checks </t>
    </r>
    <r>
      <rPr>
        <sz val="9"/>
        <color rgb="FF595959"/>
        <rFont val="Noto Sans CJK SC"/>
        <family val="2"/>
      </rPr>
      <t xml:space="preserve">對帳）</t>
    </r>
  </si>
  <si>
    <t xml:space="preserve">F07</t>
  </si>
  <si>
    <t xml:space="preserve">其他收益（其他收入：利息收入等；政府補助沖減開支，不在本列）</t>
  </si>
  <si>
    <r>
      <rPr>
        <sz val="9"/>
        <color rgb="FF595959"/>
        <rFont val="Arial"/>
        <family val="0"/>
        <charset val="1"/>
      </rPr>
      <t xml:space="preserve">D20</t>
    </r>
    <r>
      <rPr>
        <sz val="9"/>
        <color rgb="FF595959"/>
        <rFont val="Noto Sans CJK SC"/>
        <family val="2"/>
      </rPr>
      <t xml:space="preserve">（</t>
    </r>
    <r>
      <rPr>
        <sz val="9"/>
        <color rgb="FF595959"/>
        <rFont val="Arial"/>
        <family val="0"/>
        <charset val="1"/>
      </rPr>
      <t xml:space="preserve">r2 P4 </t>
    </r>
    <r>
      <rPr>
        <sz val="9"/>
        <color rgb="FF595959"/>
        <rFont val="Noto Sans CJK SC"/>
        <family val="2"/>
      </rPr>
      <t xml:space="preserve">改寫）：其他收入主要是利息收入；政府補助依招股章程沖減相關開支（主要研發），已含在費用淨額，不在本列、模型不另加（第十一節對照）。</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SRC_ZP_143</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SRC_ZP_203</t>
    </r>
    <r>
      <rPr>
        <sz val="9"/>
        <color rgb="FF595959"/>
        <rFont val="Noto Sans CJK SC"/>
        <family val="2"/>
      </rPr>
      <t xml:space="preserve">）實際；</t>
    </r>
    <r>
      <rPr>
        <sz val="9"/>
        <color rgb="FF595959"/>
        <rFont val="Arial"/>
        <family val="0"/>
        <charset val="1"/>
      </rPr>
      <t xml:space="preserve">2H26 </t>
    </r>
    <r>
      <rPr>
        <sz val="9"/>
        <color rgb="FF595959"/>
        <rFont val="Noto Sans CJK SC"/>
        <family val="2"/>
      </rPr>
      <t xml:space="preserve">起 </t>
    </r>
    <r>
      <rPr>
        <sz val="9"/>
        <color rgb="FF595959"/>
        <rFont val="Arial"/>
        <family val="0"/>
        <charset val="1"/>
      </rPr>
      <t xml:space="preserve">Inputs</t>
    </r>
    <r>
      <rPr>
        <sz val="9"/>
        <color rgb="FF595959"/>
        <rFont val="Noto Sans CJK SC"/>
        <family val="2"/>
      </rPr>
      <t xml:space="preserve">（基準 </t>
    </r>
    <r>
      <rPr>
        <sz val="9"/>
        <color rgb="FF595959"/>
        <rFont val="Arial"/>
        <family val="0"/>
        <charset val="1"/>
      </rPr>
      <t xml:space="preserve">0</t>
    </r>
    <r>
      <rPr>
        <sz val="9"/>
        <color rgb="FF595959"/>
        <rFont val="Noto Sans CJK SC"/>
        <family val="2"/>
      </rPr>
      <t xml:space="preserve">，</t>
    </r>
    <r>
      <rPr>
        <sz val="9"/>
        <color rgb="FF595959"/>
        <rFont val="Arial"/>
        <family val="0"/>
        <charset val="1"/>
      </rPr>
      <t xml:space="preserve">Decision</t>
    </r>
    <r>
      <rPr>
        <sz val="9"/>
        <color rgb="FF595959"/>
        <rFont val="Noto Sans CJK SC"/>
        <family val="2"/>
      </rPr>
      <t xml:space="preserve">）</t>
    </r>
  </si>
  <si>
    <t xml:space="preserve">F08</t>
  </si>
  <si>
    <t xml:space="preserve">利息支出（非算力現金成本）</t>
  </si>
  <si>
    <r>
      <rPr>
        <sz val="9"/>
        <color rgb="FF595959"/>
        <rFont val="Noto Sans CJK SC"/>
        <family val="2"/>
      </rPr>
      <t xml:space="preserve">工作單 </t>
    </r>
    <r>
      <rPr>
        <sz val="9"/>
        <color rgb="FF595959"/>
        <rFont val="Arial"/>
        <family val="0"/>
        <charset val="1"/>
      </rPr>
      <t xml:space="preserve">Z4</t>
    </r>
    <r>
      <rPr>
        <sz val="9"/>
        <color rgb="FF595959"/>
        <rFont val="Noto Sans CJK SC"/>
        <family val="2"/>
      </rPr>
      <t xml:space="preserve">：</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＝財報財務成本（</t>
    </r>
    <r>
      <rPr>
        <sz val="9"/>
        <color rgb="FF595959"/>
        <rFont val="Arial"/>
        <family val="0"/>
        <charset val="1"/>
      </rPr>
      <t xml:space="preserve">SRC_ZP_144</t>
    </r>
    <r>
      <rPr>
        <sz val="9"/>
        <color rgb="FF595959"/>
        <rFont val="Noto Sans CJK SC"/>
        <family val="2"/>
      </rPr>
      <t xml:space="preserve">、</t>
    </r>
    <r>
      <rPr>
        <sz val="9"/>
        <color rgb="FF595959"/>
        <rFont val="Arial"/>
        <family val="0"/>
        <charset val="1"/>
      </rPr>
      <t xml:space="preserve">204</t>
    </r>
    <r>
      <rPr>
        <sz val="9"/>
        <color rgb="FF595959"/>
        <rFont val="Noto Sans CJK SC"/>
        <family val="2"/>
      </rPr>
      <t xml:space="preserve">；含匯兌損失與租賃利息）；之後＝期初銀行借款餘額 </t>
    </r>
    <r>
      <rPr>
        <sz val="9"/>
        <color rgb="FF595959"/>
        <rFont val="Arial"/>
        <family val="0"/>
        <charset val="1"/>
      </rPr>
      <t xml:space="preserve">× </t>
    </r>
    <r>
      <rPr>
        <sz val="9"/>
        <color rgb="FF595959"/>
        <rFont val="Noto Sans CJK SC"/>
        <family val="2"/>
      </rPr>
      <t xml:space="preserve">利率（</t>
    </r>
    <r>
      <rPr>
        <sz val="9"/>
        <color rgb="FF595959"/>
        <rFont val="Arial"/>
        <family val="0"/>
        <charset val="1"/>
      </rPr>
      <t xml:space="preserve">Inputs</t>
    </r>
    <r>
      <rPr>
        <sz val="9"/>
        <color rgb="FF595959"/>
        <rFont val="Noto Sans CJK SC"/>
        <family val="2"/>
      </rPr>
      <t xml:space="preserve">，利率未揭露 → </t>
    </r>
    <r>
      <rPr>
        <sz val="9"/>
        <color rgb="FF595959"/>
        <rFont val="Arial"/>
        <family val="0"/>
        <charset val="1"/>
      </rPr>
      <t xml:space="preserve">LPR Analogy</t>
    </r>
    <r>
      <rPr>
        <sz val="9"/>
        <color rgb="FF595959"/>
        <rFont val="Noto Sans CJK SC"/>
        <family val="2"/>
      </rPr>
      <t xml:space="preserve">）；可換股債券零息</t>
    </r>
  </si>
  <si>
    <t xml:space="preserve">F09</t>
  </si>
  <si>
    <t xml:space="preserve">自由現金流＝差額＋股權報酬＋其他收益 − 利息</t>
  </si>
  <si>
    <r>
      <rPr>
        <sz val="9"/>
        <color rgb="FF595959"/>
        <rFont val="Noto Sans CJK SC"/>
        <family val="2"/>
      </rPr>
      <t xml:space="preserve">＝營收 − 算力成本 − 本地化交付成本 − 非算力成本（不含股權報酬）＋其他收益 − 利息（</t>
    </r>
    <r>
      <rPr>
        <sz val="9"/>
        <color rgb="FF595959"/>
        <rFont val="Arial"/>
        <family val="0"/>
        <charset val="1"/>
      </rPr>
      <t xml:space="preserve">Checks </t>
    </r>
    <r>
      <rPr>
        <sz val="9"/>
        <color rgb="FF595959"/>
        <rFont val="Noto Sans CJK SC"/>
        <family val="2"/>
      </rPr>
      <t xml:space="preserve">恆等式）</t>
    </r>
  </si>
  <si>
    <r>
      <rPr>
        <b val="true"/>
        <sz val="10"/>
        <rFont val="Noto Sans CJK SC"/>
        <family val="2"/>
      </rPr>
      <t xml:space="preserve">二、投資活動（</t>
    </r>
    <r>
      <rPr>
        <b val="true"/>
        <sz val="10"/>
        <rFont val="Arial"/>
        <family val="0"/>
        <charset val="1"/>
      </rPr>
      <t xml:space="preserve">D18</t>
    </r>
    <r>
      <rPr>
        <b val="true"/>
        <sz val="10"/>
        <rFont val="Noto Sans CJK SC"/>
        <family val="2"/>
      </rPr>
      <t xml:space="preserve">）：非算力資本支出、併購現金支出（自有算力資本支出已在算力成本內，</t>
    </r>
    <r>
      <rPr>
        <b val="true"/>
        <sz val="10"/>
        <rFont val="Arial"/>
        <family val="0"/>
        <charset val="1"/>
      </rPr>
      <t xml:space="preserve">D11r </t>
    </r>
    <r>
      <rPr>
        <b val="true"/>
        <sz val="10"/>
        <rFont val="Noto Sans CJK SC"/>
        <family val="2"/>
      </rPr>
      <t xml:space="preserve">基準 </t>
    </r>
    <r>
      <rPr>
        <b val="true"/>
        <sz val="10"/>
        <rFont val="Arial"/>
        <family val="0"/>
        <charset val="1"/>
      </rPr>
      <t xml:space="preserve">0</t>
    </r>
    <r>
      <rPr>
        <b val="true"/>
        <sz val="10"/>
        <rFont val="Noto Sans CJK SC"/>
        <family val="2"/>
      </rPr>
      <t xml:space="preserve">）</t>
    </r>
  </si>
  <si>
    <t xml:space="preserve">F10</t>
  </si>
  <si>
    <t xml:space="preserve">非算力資本支出</t>
  </si>
  <si>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＝財報公告資本開支（</t>
    </r>
    <r>
      <rPr>
        <sz val="9"/>
        <color rgb="FF595959"/>
        <rFont val="Arial"/>
        <family val="0"/>
        <charset val="1"/>
      </rPr>
      <t xml:space="preserve">SRC_ZP_149</t>
    </r>
    <r>
      <rPr>
        <sz val="9"/>
        <color rgb="FF595959"/>
        <rFont val="Noto Sans CJK SC"/>
        <family val="2"/>
      </rPr>
      <t xml:space="preserve">、</t>
    </r>
    <r>
      <rPr>
        <sz val="9"/>
        <color rgb="FF595959"/>
        <rFont val="Arial"/>
        <family val="0"/>
        <charset val="1"/>
      </rPr>
      <t xml:space="preserve">209</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主要為北京紅鑽物業；</t>
    </r>
    <r>
      <rPr>
        <sz val="9"/>
        <color rgb="FF595959"/>
        <rFont val="Arial"/>
        <family val="0"/>
        <charset val="1"/>
      </rPr>
      <t xml:space="preserve">r2 P2</t>
    </r>
    <r>
      <rPr>
        <sz val="9"/>
        <color rgb="FF595959"/>
        <rFont val="Noto Sans CJK SC"/>
        <family val="2"/>
      </rPr>
      <t xml:space="preserve">：公告口徑可能含使用權資產添置，</t>
    </r>
    <r>
      <rPr>
        <sz val="9"/>
        <color rgb="FF595959"/>
        <rFont val="Arial"/>
        <family val="0"/>
        <charset val="1"/>
      </rPr>
      <t xml:space="preserve">FY2025</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現金口徑未揭露，見第十一節）；</t>
    </r>
    <r>
      <rPr>
        <sz val="9"/>
        <color rgb="FF595959"/>
        <rFont val="Arial"/>
        <family val="0"/>
        <charset val="1"/>
      </rPr>
      <t xml:space="preserve">2H26 </t>
    </r>
    <r>
      <rPr>
        <sz val="9"/>
        <color rgb="FF595959"/>
        <rFont val="Noto Sans CJK SC"/>
        <family val="2"/>
      </rPr>
      <t xml:space="preserve">起 </t>
    </r>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FY2025 </t>
    </r>
    <r>
      <rPr>
        <sz val="9"/>
        <color rgb="FF595959"/>
        <rFont val="Noto Sans CJK SC"/>
        <family val="2"/>
      </rPr>
      <t xml:space="preserve">水準延續）</t>
    </r>
  </si>
  <si>
    <t xml:space="preserve">F11</t>
  </si>
  <si>
    <r>
      <rPr>
        <sz val="10"/>
        <color rgb="FF000000"/>
        <rFont val="Noto Sans CJK SC"/>
        <family val="2"/>
      </rPr>
      <t xml:space="preserve">對照：北京紅鑽 </t>
    </r>
    <r>
      <rPr>
        <sz val="10"/>
        <color rgb="FF000000"/>
        <rFont val="Arial"/>
        <family val="0"/>
        <charset val="1"/>
      </rPr>
      <t xml:space="preserve">100% </t>
    </r>
    <r>
      <rPr>
        <sz val="10"/>
        <color rgb="FF000000"/>
        <rFont val="Noto Sans CJK SC"/>
        <family val="2"/>
      </rPr>
      <t xml:space="preserve">總代價上限（已含於 </t>
    </r>
    <r>
      <rPr>
        <sz val="10"/>
        <color rgb="FF000000"/>
        <rFont val="Arial"/>
        <family val="0"/>
        <charset val="1"/>
      </rPr>
      <t xml:space="preserve">1H26 </t>
    </r>
    <r>
      <rPr>
        <sz val="10"/>
        <color rgb="FF000000"/>
        <rFont val="Noto Sans CJK SC"/>
        <family val="2"/>
      </rPr>
      <t xml:space="preserve">資本開支，只列）</t>
    </r>
  </si>
  <si>
    <r>
      <rPr>
        <sz val="9"/>
        <color rgb="FF595959"/>
        <rFont val="Arial"/>
        <family val="0"/>
        <charset val="1"/>
      </rPr>
      <t xml:space="preserve">SRC_ZP_555</t>
    </r>
    <r>
      <rPr>
        <sz val="9"/>
        <color rgb="FF595959"/>
        <rFont val="Noto Sans CJK SC"/>
        <family val="2"/>
      </rPr>
      <t xml:space="preserve">（股權現金 </t>
    </r>
    <r>
      <rPr>
        <sz val="9"/>
        <color rgb="FF595959"/>
        <rFont val="Arial"/>
        <family val="0"/>
        <charset val="1"/>
      </rPr>
      <t xml:space="preserve">0.82 </t>
    </r>
    <r>
      <rPr>
        <sz val="9"/>
        <color rgb="FF595959"/>
        <rFont val="Noto Sans CJK SC"/>
        <family val="2"/>
      </rPr>
      <t xml:space="preserve">億＋承接債務約 </t>
    </r>
    <r>
      <rPr>
        <sz val="9"/>
        <color rgb="FF595959"/>
        <rFont val="Arial"/>
        <family val="0"/>
        <charset val="1"/>
      </rPr>
      <t xml:space="preserve">2.79 </t>
    </r>
    <r>
      <rPr>
        <sz val="9"/>
        <color rgb="FF595959"/>
        <rFont val="Noto Sans CJK SC"/>
        <family val="2"/>
      </rPr>
      <t xml:space="preserve">億；海淀辦公樓，自用）</t>
    </r>
  </si>
  <si>
    <t xml:space="preserve">F12</t>
  </si>
  <si>
    <r>
      <rPr>
        <sz val="10"/>
        <color rgb="FF000000"/>
        <rFont val="Noto Sans CJK SC"/>
        <family val="2"/>
      </rPr>
      <t xml:space="preserve">併購現金支出：中科加禾約 </t>
    </r>
    <r>
      <rPr>
        <sz val="10"/>
        <color rgb="FF000000"/>
        <rFont val="Arial"/>
        <family val="0"/>
        <charset val="1"/>
      </rPr>
      <t xml:space="preserve">60%</t>
    </r>
  </si>
  <si>
    <r>
      <rPr>
        <sz val="9"/>
        <color rgb="FF595959"/>
        <rFont val="Arial"/>
        <family val="0"/>
        <charset val="1"/>
      </rPr>
      <t xml:space="preserve">D18</t>
    </r>
    <r>
      <rPr>
        <sz val="9"/>
        <color rgb="FF595959"/>
        <rFont val="Noto Sans CJK SC"/>
        <family val="2"/>
      </rPr>
      <t xml:space="preserve">；對價未揭露（『數億元』，</t>
    </r>
    <r>
      <rPr>
        <sz val="9"/>
        <color rgb="FF595959"/>
        <rFont val="Arial"/>
        <family val="0"/>
        <charset val="1"/>
      </rPr>
      <t xml:space="preserve">SRC_ZP_559</t>
    </r>
    <r>
      <rPr>
        <sz val="9"/>
        <color rgb="FF595959"/>
        <rFont val="Noto Sans CJK SC"/>
        <family val="2"/>
      </rPr>
      <t xml:space="preserve">）→ </t>
    </r>
    <r>
      <rPr>
        <sz val="9"/>
        <color rgb="FF595959"/>
        <rFont val="Arial"/>
        <family val="0"/>
        <charset val="1"/>
      </rPr>
      <t xml:space="preserve">Inputs</t>
    </r>
    <r>
      <rPr>
        <sz val="9"/>
        <color rgb="FF595959"/>
        <rFont val="Noto Sans CJK SC"/>
        <family val="2"/>
      </rPr>
      <t xml:space="preserve">；被併公司營收與成本不併入驅動</t>
    </r>
  </si>
  <si>
    <t xml:space="preserve">F13</t>
  </si>
  <si>
    <t xml:space="preserve">融資前淨現金流＝自由現金流 − 資本支出 − 併購</t>
  </si>
  <si>
    <r>
      <rPr>
        <b val="true"/>
        <sz val="10"/>
        <rFont val="Noto Sans CJK SC"/>
        <family val="2"/>
      </rPr>
      <t xml:space="preserve">三、已到位融資（來源順序 ②③；港幣、美元淨額 </t>
    </r>
    <r>
      <rPr>
        <b val="true"/>
        <sz val="10"/>
        <rFont val="Arial"/>
        <family val="0"/>
        <charset val="1"/>
      </rPr>
      <t xml:space="preserve">× Inputs </t>
    </r>
    <r>
      <rPr>
        <b val="true"/>
        <sz val="10"/>
        <rFont val="Noto Sans CJK SC"/>
        <family val="2"/>
      </rPr>
      <t xml:space="preserve">匯率；入帳時點＝完成日）</t>
    </r>
  </si>
  <si>
    <t xml:space="preserve">F14</t>
  </si>
  <si>
    <r>
      <rPr>
        <sz val="10"/>
        <color rgb="FF000000"/>
        <rFont val="Arial"/>
        <family val="0"/>
        <charset val="1"/>
      </rPr>
      <t xml:space="preserve">2026-01 IPO </t>
    </r>
    <r>
      <rPr>
        <sz val="10"/>
        <color rgb="FF000000"/>
        <rFont val="Noto Sans CJK SC"/>
        <family val="2"/>
      </rPr>
      <t xml:space="preserve">淨額（含超額配股；</t>
    </r>
    <r>
      <rPr>
        <sz val="10"/>
        <color rgb="FF000000"/>
        <rFont val="Arial"/>
        <family val="0"/>
        <charset val="1"/>
      </rPr>
      <t xml:space="preserve">1H26 </t>
    </r>
    <r>
      <rPr>
        <sz val="10"/>
        <color rgb="FF000000"/>
        <rFont val="Noto Sans CJK SC"/>
        <family val="2"/>
      </rPr>
      <t xml:space="preserve">已全數動用）</t>
    </r>
  </si>
  <si>
    <r>
      <rPr>
        <sz val="9"/>
        <color rgb="FF595959"/>
        <rFont val="Arial"/>
        <family val="0"/>
        <charset val="1"/>
      </rPr>
      <t xml:space="preserve">SRC_ZP_522 HK$4,896.2 </t>
    </r>
    <r>
      <rPr>
        <sz val="9"/>
        <color rgb="FF595959"/>
        <rFont val="Noto Sans CJK SC"/>
        <family val="2"/>
      </rPr>
      <t xml:space="preserve">百萬 </t>
    </r>
    <r>
      <rPr>
        <sz val="9"/>
        <color rgb="FF595959"/>
        <rFont val="Arial"/>
        <family val="0"/>
        <charset val="1"/>
      </rPr>
      <t xml:space="preserve">× HKD/CNY ÷ 100</t>
    </r>
    <r>
      <rPr>
        <sz val="9"/>
        <color rgb="FF595959"/>
        <rFont val="Noto Sans CJK SC"/>
        <family val="2"/>
      </rPr>
      <t xml:space="preserve">；已反映於 </t>
    </r>
    <r>
      <rPr>
        <sz val="9"/>
        <color rgb="FF595959"/>
        <rFont val="Arial"/>
        <family val="0"/>
        <charset val="1"/>
      </rPr>
      <t xml:space="preserve">2026-06-30 </t>
    </r>
    <r>
      <rPr>
        <sz val="9"/>
        <color rgb="FF595959"/>
        <rFont val="Noto Sans CJK SC"/>
        <family val="2"/>
      </rPr>
      <t xml:space="preserve">現金</t>
    </r>
  </si>
  <si>
    <t xml:space="preserve">F15</t>
  </si>
  <si>
    <r>
      <rPr>
        <sz val="10"/>
        <color rgb="FF000000"/>
        <rFont val="Arial"/>
        <family val="0"/>
        <charset val="1"/>
      </rPr>
      <t xml:space="preserve">2026-07 H </t>
    </r>
    <r>
      <rPr>
        <sz val="10"/>
        <color rgb="FF000000"/>
        <rFont val="Noto Sans CJK SC"/>
        <family val="2"/>
      </rPr>
      <t xml:space="preserve">股配售淨額（</t>
    </r>
    <r>
      <rPr>
        <sz val="10"/>
        <color rgb="FF000000"/>
        <rFont val="Arial"/>
        <family val="0"/>
        <charset val="1"/>
      </rPr>
      <t xml:space="preserve">2026-07-13 </t>
    </r>
    <r>
      <rPr>
        <sz val="10"/>
        <color rgb="FF000000"/>
        <rFont val="Noto Sans CJK SC"/>
        <family val="2"/>
      </rPr>
      <t xml:space="preserve">完成）</t>
    </r>
  </si>
  <si>
    <r>
      <rPr>
        <sz val="9"/>
        <color rgb="FF595959"/>
        <rFont val="Arial"/>
        <family val="0"/>
        <charset val="1"/>
      </rPr>
      <t xml:space="preserve">SRC_ZP_536 HK$31,374.95 </t>
    </r>
    <r>
      <rPr>
        <sz val="9"/>
        <color rgb="FF595959"/>
        <rFont val="Noto Sans CJK SC"/>
        <family val="2"/>
      </rPr>
      <t xml:space="preserve">百萬 </t>
    </r>
    <r>
      <rPr>
        <sz val="9"/>
        <color rgb="FF595959"/>
        <rFont val="Arial"/>
        <family val="0"/>
        <charset val="1"/>
      </rPr>
      <t xml:space="preserve">× HKD/CNY ÷ 100</t>
    </r>
  </si>
  <si>
    <t xml:space="preserve">F16</t>
  </si>
  <si>
    <r>
      <rPr>
        <sz val="10"/>
        <color rgb="FF000000"/>
        <rFont val="Arial"/>
        <family val="0"/>
        <charset val="1"/>
      </rPr>
      <t xml:space="preserve">2026-09 H </t>
    </r>
    <r>
      <rPr>
        <sz val="10"/>
        <color rgb="FF000000"/>
        <rFont val="Noto Sans CJK SC"/>
        <family val="2"/>
      </rPr>
      <t xml:space="preserve">股配售淨額（</t>
    </r>
    <r>
      <rPr>
        <sz val="10"/>
        <color rgb="FF000000"/>
        <rFont val="Arial"/>
        <family val="0"/>
        <charset val="1"/>
      </rPr>
      <t xml:space="preserve">2026-09-16 </t>
    </r>
    <r>
      <rPr>
        <sz val="10"/>
        <color rgb="FF000000"/>
        <rFont val="Noto Sans CJK SC"/>
        <family val="2"/>
      </rPr>
      <t xml:space="preserve">完成）</t>
    </r>
  </si>
  <si>
    <r>
      <rPr>
        <sz val="9"/>
        <color rgb="FF595959"/>
        <rFont val="Arial"/>
        <family val="0"/>
        <charset val="1"/>
      </rPr>
      <t xml:space="preserve">SRC_ZP_544 HK$15,664.13 </t>
    </r>
    <r>
      <rPr>
        <sz val="9"/>
        <color rgb="FF595959"/>
        <rFont val="Noto Sans CJK SC"/>
        <family val="2"/>
      </rPr>
      <t xml:space="preserve">百萬 </t>
    </r>
    <r>
      <rPr>
        <sz val="9"/>
        <color rgb="FF595959"/>
        <rFont val="Arial"/>
        <family val="0"/>
        <charset val="1"/>
      </rPr>
      <t xml:space="preserve">× HKD/CNY ÷ 100</t>
    </r>
  </si>
  <si>
    <t xml:space="preserve">F17</t>
  </si>
  <si>
    <t xml:space="preserve">已到位股權合計</t>
  </si>
  <si>
    <t xml:space="preserve">F18</t>
  </si>
  <si>
    <r>
      <rPr>
        <sz val="10"/>
        <color rgb="FF000000"/>
        <rFont val="Arial"/>
        <family val="0"/>
        <charset val="1"/>
      </rPr>
      <t xml:space="preserve">2026-09 </t>
    </r>
    <r>
      <rPr>
        <sz val="10"/>
        <color rgb="FF000000"/>
        <rFont val="Noto Sans CJK SC"/>
        <family val="2"/>
      </rPr>
      <t xml:space="preserve">可換股債券淨額（</t>
    </r>
    <r>
      <rPr>
        <sz val="10"/>
        <color rgb="FF000000"/>
        <rFont val="Arial"/>
        <family val="0"/>
        <charset val="1"/>
      </rPr>
      <t xml:space="preserve">2026-09-18 </t>
    </r>
    <r>
      <rPr>
        <sz val="10"/>
        <color rgb="FF000000"/>
        <rFont val="Noto Sans CJK SC"/>
        <family val="2"/>
      </rPr>
      <t xml:space="preserve">發行；零息）</t>
    </r>
  </si>
  <si>
    <r>
      <rPr>
        <sz val="9"/>
        <color rgb="FF595959"/>
        <rFont val="Arial"/>
        <family val="0"/>
        <charset val="1"/>
      </rPr>
      <t xml:space="preserve">SRC_ZP_547 US$3,010.77 </t>
    </r>
    <r>
      <rPr>
        <sz val="9"/>
        <color rgb="FF595959"/>
        <rFont val="Noto Sans CJK SC"/>
        <family val="2"/>
      </rPr>
      <t xml:space="preserve">百萬 </t>
    </r>
    <r>
      <rPr>
        <sz val="9"/>
        <color rgb="FF595959"/>
        <rFont val="Arial"/>
        <family val="0"/>
        <charset val="1"/>
      </rPr>
      <t xml:space="preserve">× USD/CNY ÷ 100</t>
    </r>
    <r>
      <rPr>
        <sz val="9"/>
        <color rgb="FF595959"/>
        <rFont val="Noto Sans CJK SC"/>
        <family val="2"/>
      </rPr>
      <t xml:space="preserve">（本金 </t>
    </r>
    <r>
      <rPr>
        <sz val="9"/>
        <color rgb="FF595959"/>
        <rFont val="Arial"/>
        <family val="0"/>
        <charset val="1"/>
      </rPr>
      <t xml:space="preserve">RMB 201.4 </t>
    </r>
    <r>
      <rPr>
        <sz val="9"/>
        <color rgb="FF595959"/>
        <rFont val="Noto Sans CJK SC"/>
        <family val="2"/>
      </rPr>
      <t xml:space="preserve">億、發行價 </t>
    </r>
    <r>
      <rPr>
        <sz val="9"/>
        <color rgb="FF595959"/>
        <rFont val="Arial"/>
        <family val="0"/>
        <charset val="1"/>
      </rPr>
      <t xml:space="preserve">100.5%</t>
    </r>
    <r>
      <rPr>
        <sz val="9"/>
        <color rgb="FF595959"/>
        <rFont val="Noto Sans CJK SC"/>
        <family val="2"/>
      </rPr>
      <t xml:space="preserve">）</t>
    </r>
  </si>
  <si>
    <t xml:space="preserve">F19</t>
  </si>
  <si>
    <r>
      <rPr>
        <sz val="10"/>
        <color rgb="FF000000"/>
        <rFont val="Noto Sans CJK SC"/>
        <family val="2"/>
      </rPr>
      <t xml:space="preserve">銀行借款償還（開關＝</t>
    </r>
    <r>
      <rPr>
        <sz val="10"/>
        <color rgb="FF000000"/>
        <rFont val="Arial"/>
        <family val="0"/>
        <charset val="1"/>
      </rPr>
      <t xml:space="preserve">1 </t>
    </r>
    <r>
      <rPr>
        <sz val="10"/>
        <color rgb="FF000000"/>
        <rFont val="Noto Sans CJK SC"/>
        <family val="2"/>
      </rPr>
      <t xml:space="preserve">時：流動部分 </t>
    </r>
    <r>
      <rPr>
        <sz val="10"/>
        <color rgb="FF000000"/>
        <rFont val="Arial"/>
        <family val="0"/>
        <charset val="1"/>
      </rPr>
      <t xml:space="preserve">2027</t>
    </r>
    <r>
      <rPr>
        <sz val="10"/>
        <color rgb="FF000000"/>
        <rFont val="Noto Sans CJK SC"/>
        <family val="2"/>
      </rPr>
      <t xml:space="preserve">、非流動部分 </t>
    </r>
    <r>
      <rPr>
        <sz val="10"/>
        <color rgb="FF000000"/>
        <rFont val="Arial"/>
        <family val="0"/>
        <charset val="1"/>
      </rPr>
      <t xml:space="preserve">2028</t>
    </r>
    <r>
      <rPr>
        <sz val="10"/>
        <color rgb="FF000000"/>
        <rFont val="Noto Sans CJK SC"/>
        <family val="2"/>
      </rPr>
      <t xml:space="preserve">）</t>
    </r>
  </si>
  <si>
    <r>
      <rPr>
        <sz val="9"/>
        <color rgb="FF595959"/>
        <rFont val="Noto Sans CJK SC"/>
        <family val="2"/>
      </rPr>
      <t xml:space="preserve">工作單 </t>
    </r>
    <r>
      <rPr>
        <sz val="9"/>
        <color rgb="FF595959"/>
        <rFont val="Arial"/>
        <family val="0"/>
        <charset val="1"/>
      </rPr>
      <t xml:space="preserve">Z4 </t>
    </r>
    <r>
      <rPr>
        <sz val="9"/>
        <color rgb="FF595959"/>
        <rFont val="Noto Sans CJK SC"/>
        <family val="2"/>
      </rPr>
      <t xml:space="preserve">預設：到期續借（開關 </t>
    </r>
    <r>
      <rPr>
        <sz val="9"/>
        <color rgb="FF595959"/>
        <rFont val="Arial"/>
        <family val="0"/>
        <charset val="1"/>
      </rPr>
      <t xml:space="preserve">0</t>
    </r>
    <r>
      <rPr>
        <sz val="9"/>
        <color rgb="FF595959"/>
        <rFont val="Noto Sans CJK SC"/>
        <family val="2"/>
      </rPr>
      <t xml:space="preserve">）；</t>
    </r>
    <r>
      <rPr>
        <sz val="9"/>
        <color rgb="FF595959"/>
        <rFont val="Arial"/>
        <family val="0"/>
        <charset val="1"/>
      </rPr>
      <t xml:space="preserve">SRC_ZP_214</t>
    </r>
    <r>
      <rPr>
        <sz val="9"/>
        <color rgb="FF595959"/>
        <rFont val="Noto Sans CJK SC"/>
        <family val="2"/>
      </rPr>
      <t xml:space="preserve">、</t>
    </r>
    <r>
      <rPr>
        <sz val="9"/>
        <color rgb="FF595959"/>
        <rFont val="Arial"/>
        <family val="0"/>
        <charset val="1"/>
      </rPr>
      <t xml:space="preserve">215</t>
    </r>
  </si>
  <si>
    <t xml:space="preserve">F20</t>
  </si>
  <si>
    <t xml:space="preserve">銀行借款餘額（期末）</t>
  </si>
  <si>
    <r>
      <rPr>
        <sz val="9"/>
        <color rgb="FF595959"/>
        <rFont val="Arial"/>
        <family val="0"/>
        <charset val="1"/>
      </rPr>
      <t xml:space="preserve">2025-12-31</t>
    </r>
    <r>
      <rPr>
        <sz val="9"/>
        <color rgb="FF595959"/>
        <rFont val="Noto Sans CJK SC"/>
        <family val="2"/>
      </rPr>
      <t xml:space="preserve">、</t>
    </r>
    <r>
      <rPr>
        <sz val="9"/>
        <color rgb="FF595959"/>
        <rFont val="Arial"/>
        <family val="0"/>
        <charset val="1"/>
      </rPr>
      <t xml:space="preserve">2026-06-30</t>
    </r>
    <r>
      <rPr>
        <sz val="9"/>
        <color rgb="FF595959"/>
        <rFont val="Noto Sans CJK SC"/>
        <family val="2"/>
      </rPr>
      <t xml:space="preserve">＝財報（</t>
    </r>
    <r>
      <rPr>
        <sz val="9"/>
        <color rgb="FF595959"/>
        <rFont val="Arial"/>
        <family val="0"/>
        <charset val="1"/>
      </rPr>
      <t xml:space="preserve">SRC_ZP_155</t>
    </r>
    <r>
      <rPr>
        <sz val="9"/>
        <color rgb="FF595959"/>
        <rFont val="Noto Sans CJK SC"/>
        <family val="2"/>
      </rPr>
      <t xml:space="preserve">、</t>
    </r>
    <r>
      <rPr>
        <sz val="9"/>
        <color rgb="FF595959"/>
        <rFont val="Arial"/>
        <family val="0"/>
        <charset val="1"/>
      </rPr>
      <t xml:space="preserve">213</t>
    </r>
    <r>
      <rPr>
        <sz val="9"/>
        <color rgb="FF595959"/>
        <rFont val="Noto Sans CJK SC"/>
        <family val="2"/>
      </rPr>
      <t xml:space="preserve">；無擔保、主要人民幣、利率與到期未揭露）；之後續借</t>
    </r>
  </si>
  <si>
    <t xml:space="preserve">F21</t>
  </si>
  <si>
    <t xml:space="preserve">銀行借款淨增（減）</t>
  </si>
  <si>
    <r>
      <rPr>
        <sz val="9"/>
        <color rgb="FF595959"/>
        <rFont val="Arial"/>
        <family val="0"/>
        <charset val="1"/>
      </rPr>
      <t xml:space="preserve">1H26 +15.35 </t>
    </r>
    <r>
      <rPr>
        <sz val="9"/>
        <color rgb="FF595959"/>
        <rFont val="Noto Sans CJK SC"/>
        <family val="2"/>
      </rPr>
      <t xml:space="preserve">已反映於 </t>
    </r>
    <r>
      <rPr>
        <sz val="9"/>
        <color rgb="FF595959"/>
        <rFont val="Arial"/>
        <family val="0"/>
        <charset val="1"/>
      </rPr>
      <t xml:space="preserve">2026-06-30 </t>
    </r>
    <r>
      <rPr>
        <sz val="9"/>
        <color rgb="FF595959"/>
        <rFont val="Noto Sans CJK SC"/>
        <family val="2"/>
      </rPr>
      <t xml:space="preserve">現金</t>
    </r>
  </si>
  <si>
    <t xml:space="preserve">F22</t>
  </si>
  <si>
    <t xml:space="preserve">已到位融資合計（股權＋可換股債券＋銀行借款淨增）</t>
  </si>
  <si>
    <t xml:space="preserve">來源順序 ②③</t>
  </si>
  <si>
    <t xml:space="preserve">F23</t>
  </si>
  <si>
    <r>
      <rPr>
        <sz val="10"/>
        <color rgb="FF000000"/>
        <rFont val="Noto Sans CJK SC"/>
        <family val="2"/>
      </rPr>
      <t xml:space="preserve">可換股債券到期償還（基準：現金償還；開關＝</t>
    </r>
    <r>
      <rPr>
        <sz val="10"/>
        <color rgb="FF000000"/>
        <rFont val="Arial"/>
        <family val="0"/>
        <charset val="1"/>
      </rPr>
      <t xml:space="preserve">1 </t>
    </r>
    <r>
      <rPr>
        <sz val="10"/>
        <color rgb="FF000000"/>
        <rFont val="Noto Sans CJK SC"/>
        <family val="2"/>
      </rPr>
      <t xml:space="preserve">時轉股不償還）</t>
    </r>
  </si>
  <si>
    <r>
      <rPr>
        <sz val="9"/>
        <color rgb="FF595959"/>
        <rFont val="Arial"/>
        <family val="0"/>
        <charset val="1"/>
      </rPr>
      <t xml:space="preserve">D16r</t>
    </r>
    <r>
      <rPr>
        <sz val="9"/>
        <color rgb="FF595959"/>
        <rFont val="Noto Sans CJK SC"/>
        <family val="2"/>
      </rPr>
      <t xml:space="preserve">：本金 </t>
    </r>
    <r>
      <rPr>
        <sz val="9"/>
        <color rgb="FF595959"/>
        <rFont val="Arial"/>
        <family val="0"/>
        <charset val="1"/>
      </rPr>
      <t xml:space="preserve">RMB 201.4 </t>
    </r>
    <r>
      <rPr>
        <sz val="9"/>
        <color rgb="FF595959"/>
        <rFont val="Noto Sans CJK SC"/>
        <family val="2"/>
      </rPr>
      <t xml:space="preserve">億（</t>
    </r>
    <r>
      <rPr>
        <sz val="9"/>
        <color rgb="FF595959"/>
        <rFont val="Arial"/>
        <family val="0"/>
        <charset val="1"/>
      </rPr>
      <t xml:space="preserve">SRC_ZP_545</t>
    </r>
    <r>
      <rPr>
        <sz val="9"/>
        <color rgb="FF595959"/>
        <rFont val="Noto Sans CJK SC"/>
        <family val="2"/>
      </rPr>
      <t xml:space="preserve">）</t>
    </r>
    <r>
      <rPr>
        <sz val="9"/>
        <color rgb="FF595959"/>
        <rFont val="Arial"/>
        <family val="0"/>
        <charset val="1"/>
      </rPr>
      <t xml:space="preserve">× </t>
    </r>
    <r>
      <rPr>
        <sz val="9"/>
        <color rgb="FF595959"/>
        <rFont val="Noto Sans CJK SC"/>
        <family val="2"/>
      </rPr>
      <t xml:space="preserve">贖回價（</t>
    </r>
    <r>
      <rPr>
        <sz val="9"/>
        <color rgb="FF595959"/>
        <rFont val="Arial"/>
        <family val="0"/>
        <charset val="1"/>
      </rPr>
      <t xml:space="preserve">Inputs 1</t>
    </r>
    <r>
      <rPr>
        <sz val="9"/>
        <color rgb="FF595959"/>
        <rFont val="Noto Sans CJK SC"/>
        <family val="2"/>
      </rPr>
      <t xml:space="preserve">）；</t>
    </r>
    <r>
      <rPr>
        <sz val="9"/>
        <color rgb="FF595959"/>
        <rFont val="Arial"/>
        <family val="0"/>
        <charset val="1"/>
      </rPr>
      <t xml:space="preserve">2027-09-16 </t>
    </r>
    <r>
      <rPr>
        <sz val="9"/>
        <color rgb="FF595959"/>
        <rFont val="Noto Sans CJK SC"/>
        <family val="2"/>
      </rPr>
      <t xml:space="preserve">到期</t>
    </r>
  </si>
  <si>
    <r>
      <rPr>
        <b val="true"/>
        <sz val="10"/>
        <rFont val="Noto Sans CJK SC"/>
        <family val="2"/>
      </rPr>
      <t xml:space="preserve">四、現金與外部資金需求（命題 </t>
    </r>
    <r>
      <rPr>
        <b val="true"/>
        <sz val="10"/>
        <rFont val="Arial"/>
        <family val="0"/>
        <charset val="1"/>
      </rPr>
      <t xml:space="preserve">2</t>
    </r>
    <r>
      <rPr>
        <b val="true"/>
        <sz val="10"/>
        <rFont val="Noto Sans CJK SC"/>
        <family val="2"/>
      </rPr>
      <t xml:space="preserve">；</t>
    </r>
    <r>
      <rPr>
        <b val="true"/>
        <sz val="10"/>
        <rFont val="Arial"/>
        <family val="0"/>
        <charset val="1"/>
      </rPr>
      <t xml:space="preserve">D17 </t>
    </r>
    <r>
      <rPr>
        <b val="true"/>
        <sz val="10"/>
        <rFont val="Noto Sans CJK SC"/>
        <family val="2"/>
      </rPr>
      <t xml:space="preserve">最低現金；年底現金低於最低現金的差額＝當年外部資金需求）</t>
    </r>
  </si>
  <si>
    <t xml:space="preserve">F24</t>
  </si>
  <si>
    <r>
      <rPr>
        <sz val="10"/>
        <color rgb="FF000000"/>
        <rFont val="Noto Sans CJK SC"/>
        <family val="2"/>
      </rPr>
      <t xml:space="preserve">最低現金＝次年（算力成本＋非算力成本不含股權報酬）</t>
    </r>
    <r>
      <rPr>
        <sz val="10"/>
        <color rgb="FF000000"/>
        <rFont val="Arial"/>
        <family val="0"/>
        <charset val="1"/>
      </rPr>
      <t xml:space="preserve">× </t>
    </r>
    <r>
      <rPr>
        <sz val="10"/>
        <color rgb="FF000000"/>
        <rFont val="Noto Sans CJK SC"/>
        <family val="2"/>
      </rPr>
      <t xml:space="preserve">月數 </t>
    </r>
    <r>
      <rPr>
        <sz val="10"/>
        <color rgb="FF000000"/>
        <rFont val="Arial"/>
        <family val="0"/>
        <charset val="1"/>
      </rPr>
      <t xml:space="preserve">÷ 12</t>
    </r>
  </si>
  <si>
    <r>
      <rPr>
        <sz val="9"/>
        <color rgb="FF595959"/>
        <rFont val="Arial"/>
        <family val="0"/>
        <charset val="1"/>
      </rPr>
      <t xml:space="preserve">D17</t>
    </r>
    <r>
      <rPr>
        <sz val="9"/>
        <color rgb="FF595959"/>
        <rFont val="Noto Sans CJK SC"/>
        <family val="2"/>
      </rPr>
      <t xml:space="preserve">（</t>
    </r>
    <r>
      <rPr>
        <sz val="9"/>
        <color rgb="FF595959"/>
        <rFont val="Arial"/>
        <family val="0"/>
        <charset val="1"/>
      </rPr>
      <t xml:space="preserve">Inputs 6 </t>
    </r>
    <r>
      <rPr>
        <sz val="9"/>
        <color rgb="FF595959"/>
        <rFont val="Noto Sans CJK SC"/>
        <family val="2"/>
      </rPr>
      <t xml:space="preserve">個月，</t>
    </r>
    <r>
      <rPr>
        <sz val="9"/>
        <color rgb="FF595959"/>
        <rFont val="Arial"/>
        <family val="0"/>
        <charset val="1"/>
      </rPr>
      <t xml:space="preserve">3–12</t>
    </r>
    <r>
      <rPr>
        <sz val="9"/>
        <color rgb="FF595959"/>
        <rFont val="Noto Sans CJK SC"/>
        <family val="2"/>
      </rPr>
      <t xml:space="preserve">）；</t>
    </r>
    <r>
      <rPr>
        <sz val="9"/>
        <color rgb="FF595959"/>
        <rFont val="Arial"/>
        <family val="0"/>
        <charset val="1"/>
      </rPr>
      <t xml:space="preserve">2030 </t>
    </r>
    <r>
      <rPr>
        <sz val="9"/>
        <color rgb="FF595959"/>
        <rFont val="Noto Sans CJK SC"/>
        <family val="2"/>
      </rPr>
      <t xml:space="preserve">以當年代替次年；</t>
    </r>
    <r>
      <rPr>
        <sz val="9"/>
        <color rgb="FF595959"/>
        <rFont val="Arial"/>
        <family val="0"/>
        <charset val="1"/>
      </rPr>
      <t xml:space="preserve">2025 </t>
    </r>
    <r>
      <rPr>
        <sz val="9"/>
        <color rgb="FF595959"/>
        <rFont val="Noto Sans CJK SC"/>
        <family val="2"/>
      </rPr>
      <t xml:space="preserve">欄只列示</t>
    </r>
  </si>
  <si>
    <t xml:space="preserve">F25</t>
  </si>
  <si>
    <t xml:space="preserve">期初現金（來源順序 ①）</t>
  </si>
  <si>
    <r>
      <rPr>
        <sz val="9"/>
        <color rgb="FF595959"/>
        <rFont val="Arial"/>
        <family val="0"/>
        <charset val="1"/>
      </rPr>
      <t xml:space="preserve">2026 </t>
    </r>
    <r>
      <rPr>
        <sz val="9"/>
        <color rgb="FF595959"/>
        <rFont val="Noto Sans CJK SC"/>
        <family val="2"/>
      </rPr>
      <t xml:space="preserve">期初＝</t>
    </r>
    <r>
      <rPr>
        <sz val="9"/>
        <color rgb="FF595959"/>
        <rFont val="Arial"/>
        <family val="0"/>
        <charset val="1"/>
      </rPr>
      <t xml:space="preserve">2025-12-31 </t>
    </r>
    <r>
      <rPr>
        <sz val="9"/>
        <color rgb="FF595959"/>
        <rFont val="Noto Sans CJK SC"/>
        <family val="2"/>
      </rPr>
      <t xml:space="preserve">現金（</t>
    </r>
    <r>
      <rPr>
        <sz val="9"/>
        <color rgb="FF595959"/>
        <rFont val="Arial"/>
        <family val="0"/>
        <charset val="1"/>
      </rPr>
      <t xml:space="preserve">SRC_ZP_151</t>
    </r>
    <r>
      <rPr>
        <sz val="9"/>
        <color rgb="FF595959"/>
        <rFont val="Noto Sans CJK SC"/>
        <family val="2"/>
      </rPr>
      <t xml:space="preserve">）</t>
    </r>
  </si>
  <si>
    <t xml:space="preserve">F26</t>
  </si>
  <si>
    <r>
      <rPr>
        <sz val="10"/>
        <color rgb="FF000000"/>
        <rFont val="Arial"/>
        <family val="0"/>
        <charset val="1"/>
      </rPr>
      <t xml:space="preserve">1H26 </t>
    </r>
    <r>
      <rPr>
        <sz val="10"/>
        <color rgb="FF000000"/>
        <rFont val="Noto Sans CJK SC"/>
        <family val="2"/>
      </rPr>
      <t xml:space="preserve">其他現金流（對帳差＝實際期末 − 模型推算）</t>
    </r>
  </si>
  <si>
    <r>
      <rPr>
        <sz val="9"/>
        <color rgb="FF595959"/>
        <rFont val="Noto Sans CJK SC"/>
        <family val="2"/>
      </rPr>
      <t xml:space="preserve">營運資金、租賃付款、匯兌、定期存款到期等未建模項目；使 </t>
    </r>
    <r>
      <rPr>
        <sz val="9"/>
        <color rgb="FF595959"/>
        <rFont val="Arial"/>
        <family val="0"/>
        <charset val="1"/>
      </rPr>
      <t xml:space="preserve">1H26 </t>
    </r>
    <r>
      <rPr>
        <sz val="9"/>
        <color rgb="FF595959"/>
        <rFont val="Noto Sans CJK SC"/>
        <family val="2"/>
      </rPr>
      <t xml:space="preserve">期末＝中期報告 </t>
    </r>
    <r>
      <rPr>
        <sz val="9"/>
        <color rgb="FF595959"/>
        <rFont val="Arial"/>
        <family val="0"/>
        <charset val="1"/>
      </rPr>
      <t xml:space="preserve">39.94 </t>
    </r>
    <r>
      <rPr>
        <sz val="9"/>
        <color rgb="FF595959"/>
        <rFont val="Noto Sans CJK SC"/>
        <family val="2"/>
      </rPr>
      <t xml:space="preserve">億（</t>
    </r>
    <r>
      <rPr>
        <sz val="9"/>
        <color rgb="FF595959"/>
        <rFont val="Arial"/>
        <family val="0"/>
        <charset val="1"/>
      </rPr>
      <t xml:space="preserve">SRC_ZP_211</t>
    </r>
    <r>
      <rPr>
        <sz val="9"/>
        <color rgb="FF595959"/>
        <rFont val="Noto Sans CJK SC"/>
        <family val="2"/>
      </rPr>
      <t xml:space="preserve">）</t>
    </r>
  </si>
  <si>
    <t xml:space="preserve">F27</t>
  </si>
  <si>
    <t xml:space="preserve">補足前期末現金＝期初＋融資前淨現金流＋已到位融資 − 債務償還</t>
  </si>
  <si>
    <r>
      <rPr>
        <sz val="9"/>
        <color rgb="FF595959"/>
        <rFont val="Arial"/>
        <family val="0"/>
        <charset val="1"/>
      </rPr>
      <t xml:space="preserve">K</t>
    </r>
    <r>
      <rPr>
        <sz val="9"/>
        <color rgb="FF595959"/>
        <rFont val="Noto Sans CJK SC"/>
        <family val="2"/>
      </rPr>
      <t xml:space="preserve">＝</t>
    </r>
    <r>
      <rPr>
        <sz val="9"/>
        <color rgb="FF595959"/>
        <rFont val="Arial"/>
        <family val="0"/>
        <charset val="1"/>
      </rPr>
      <t xml:space="preserve">2026-06-30 </t>
    </r>
    <r>
      <rPr>
        <sz val="9"/>
        <color rgb="FF595959"/>
        <rFont val="Noto Sans CJK SC"/>
        <family val="2"/>
      </rPr>
      <t xml:space="preserve">實際；</t>
    </r>
    <r>
      <rPr>
        <sz val="9"/>
        <color rgb="FF595959"/>
        <rFont val="Arial"/>
        <family val="0"/>
        <charset val="1"/>
      </rPr>
      <t xml:space="preserve">E</t>
    </r>
    <r>
      <rPr>
        <sz val="9"/>
        <color rgb="FF595959"/>
        <rFont val="Noto Sans CJK SC"/>
        <family val="2"/>
      </rPr>
      <t xml:space="preserve">＝</t>
    </r>
    <r>
      <rPr>
        <sz val="9"/>
        <color rgb="FF595959"/>
        <rFont val="Arial"/>
        <family val="0"/>
        <charset val="1"/>
      </rPr>
      <t xml:space="preserve">2026 </t>
    </r>
    <r>
      <rPr>
        <sz val="9"/>
        <color rgb="FF595959"/>
        <rFont val="Noto Sans CJK SC"/>
        <family val="2"/>
      </rPr>
      <t xml:space="preserve">年底（＝</t>
    </r>
    <r>
      <rPr>
        <sz val="9"/>
        <color rgb="FF595959"/>
        <rFont val="Arial"/>
        <family val="0"/>
        <charset val="1"/>
      </rPr>
      <t xml:space="preserve">L</t>
    </r>
    <r>
      <rPr>
        <sz val="9"/>
        <color rgb="FF595959"/>
        <rFont val="Noto Sans CJK SC"/>
        <family val="2"/>
      </rPr>
      <t xml:space="preserve">）</t>
    </r>
  </si>
  <si>
    <t xml:space="preserve">F28</t>
  </si>
  <si>
    <r>
      <rPr>
        <sz val="10"/>
        <color rgb="FF000000"/>
        <rFont val="Noto Sans CJK SC"/>
        <family val="2"/>
      </rPr>
      <t xml:space="preserve">當年外部資金需求（來源順序 ④）＝最低現金 − 補足前（低於時；否則 </t>
    </r>
    <r>
      <rPr>
        <sz val="10"/>
        <color rgb="FF000000"/>
        <rFont val="Arial"/>
        <family val="0"/>
        <charset val="1"/>
      </rPr>
      <t xml:space="preserve">0</t>
    </r>
    <r>
      <rPr>
        <sz val="10"/>
        <color rgb="FF000000"/>
        <rFont val="Noto Sans CJK SC"/>
        <family val="2"/>
      </rPr>
      <t xml:space="preserve">）</t>
    </r>
  </si>
  <si>
    <r>
      <rPr>
        <sz val="9"/>
        <color rgb="FF595959"/>
        <rFont val="Noto Sans CJK SC"/>
        <family val="2"/>
      </rPr>
      <t xml:space="preserve">新股權、債務或其他（不分種類；同 </t>
    </r>
    <r>
      <rPr>
        <sz val="9"/>
        <color rgb="FF595959"/>
        <rFont val="Arial"/>
        <family val="0"/>
        <charset val="1"/>
      </rPr>
      <t xml:space="preserve">OpenAI v0.6</t>
    </r>
    <r>
      <rPr>
        <sz val="9"/>
        <color rgb="FF595959"/>
        <rFont val="Noto Sans CJK SC"/>
        <family val="2"/>
      </rPr>
      <t xml:space="preserve">）</t>
    </r>
  </si>
  <si>
    <t xml:space="preserve">F29</t>
  </si>
  <si>
    <t xml:space="preserve">期末現金</t>
  </si>
  <si>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SRC_ZP_151</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SRC_ZP_211</t>
    </r>
    <r>
      <rPr>
        <sz val="9"/>
        <color rgb="FF595959"/>
        <rFont val="Noto Sans CJK SC"/>
        <family val="2"/>
      </rPr>
      <t xml:space="preserve">（實際）；</t>
    </r>
    <r>
      <rPr>
        <sz val="9"/>
        <color rgb="FF595959"/>
        <rFont val="Arial"/>
        <family val="0"/>
        <charset val="1"/>
      </rPr>
      <t xml:space="preserve">2026 </t>
    </r>
    <r>
      <rPr>
        <sz val="9"/>
        <color rgb="FF595959"/>
        <rFont val="Noto Sans CJK SC"/>
        <family val="2"/>
      </rPr>
      <t xml:space="preserve">起＝補足前＋外部資金</t>
    </r>
  </si>
  <si>
    <t xml:space="preserve">F30</t>
  </si>
  <si>
    <t xml:space="preserve">累計外部資金需求</t>
  </si>
  <si>
    <r>
      <rPr>
        <sz val="9"/>
        <color rgb="FF595959"/>
        <rFont val="Noto Sans CJK SC"/>
        <family val="2"/>
      </rPr>
      <t xml:space="preserve">命題 </t>
    </r>
    <r>
      <rPr>
        <sz val="9"/>
        <color rgb="FF595959"/>
        <rFont val="Arial"/>
        <family val="0"/>
        <charset val="1"/>
      </rPr>
      <t xml:space="preserve">2</t>
    </r>
  </si>
  <si>
    <t xml:space="preserve">F31</t>
  </si>
  <si>
    <r>
      <rPr>
        <sz val="10"/>
        <color rgb="FF000000"/>
        <rFont val="Noto Sans CJK SC"/>
        <family val="2"/>
      </rPr>
      <t xml:space="preserve">缺口旗標（</t>
    </r>
    <r>
      <rPr>
        <sz val="10"/>
        <color rgb="FF000000"/>
        <rFont val="Arial"/>
        <family val="0"/>
        <charset val="1"/>
      </rPr>
      <t xml:space="preserve">1</t>
    </r>
    <r>
      <rPr>
        <sz val="10"/>
        <color rgb="FF000000"/>
        <rFont val="Noto Sans CJK SC"/>
        <family val="2"/>
      </rPr>
      <t xml:space="preserve">＝當年需要外部資金）</t>
    </r>
  </si>
  <si>
    <t xml:space="preserve">F32</t>
  </si>
  <si>
    <t xml:space="preserve">缺口年度標示</t>
  </si>
  <si>
    <t xml:space="preserve">F33</t>
  </si>
  <si>
    <r>
      <rPr>
        <sz val="10"/>
        <color rgb="FF000000"/>
        <rFont val="Noto Sans CJK SC"/>
        <family val="2"/>
      </rPr>
      <t xml:space="preserve">峰值年度標示（當年外部資金需求＝</t>
    </r>
    <r>
      <rPr>
        <sz val="10"/>
        <color rgb="FF000000"/>
        <rFont val="Arial"/>
        <family val="0"/>
        <charset val="1"/>
      </rPr>
      <t xml:space="preserve">2026–2030 </t>
    </r>
    <r>
      <rPr>
        <sz val="10"/>
        <color rgb="FF000000"/>
        <rFont val="Noto Sans CJK SC"/>
        <family val="2"/>
      </rPr>
      <t xml:space="preserve">最大且 </t>
    </r>
    <r>
      <rPr>
        <sz val="10"/>
        <color rgb="FF000000"/>
        <rFont val="Arial"/>
        <family val="0"/>
        <charset val="1"/>
      </rPr>
      <t xml:space="preserve">&gt;0</t>
    </r>
    <r>
      <rPr>
        <sz val="10"/>
        <color rgb="FF000000"/>
        <rFont val="Noto Sans CJK SC"/>
        <family val="2"/>
      </rPr>
      <t xml:space="preserve">）</t>
    </r>
  </si>
  <si>
    <t xml:space="preserve">F34</t>
  </si>
  <si>
    <t xml:space="preserve">只靠已到位融資（不另募）的年底現金</t>
  </si>
  <si>
    <t xml:space="preserve">已到位融資能撐到哪一年（可為負）</t>
  </si>
  <si>
    <t xml:space="preserve">F35</t>
  </si>
  <si>
    <t xml:space="preserve">只靠已到位融資：低於最低現金的年度標示</t>
  </si>
  <si>
    <t xml:space="preserve">F36</t>
  </si>
  <si>
    <t xml:space="preserve">摘要：首次缺口年</t>
  </si>
  <si>
    <t xml:space="preserve">F37</t>
  </si>
  <si>
    <t xml:space="preserve">摘要：峰值年（當年外部資金需求最大）</t>
  </si>
  <si>
    <t xml:space="preserve">F38</t>
  </si>
  <si>
    <t xml:space="preserve">摘要：峰值（當年外部資金需求最大值）</t>
  </si>
  <si>
    <t xml:space="preserve">F39</t>
  </si>
  <si>
    <t xml:space="preserve">摘要：只靠已到位融資撐不過的第一年</t>
  </si>
  <si>
    <t xml:space="preserve">F40</t>
  </si>
  <si>
    <r>
      <rPr>
        <sz val="10"/>
        <color rgb="FF000000"/>
        <rFont val="Noto Sans CJK SC"/>
        <family val="2"/>
      </rPr>
      <t xml:space="preserve">摘要：</t>
    </r>
    <r>
      <rPr>
        <sz val="10"/>
        <color rgb="FF000000"/>
        <rFont val="Arial"/>
        <family val="0"/>
        <charset val="1"/>
      </rPr>
      <t xml:space="preserve">2030 </t>
    </r>
    <r>
      <rPr>
        <sz val="10"/>
        <color rgb="FF000000"/>
        <rFont val="Noto Sans CJK SC"/>
        <family val="2"/>
      </rPr>
      <t xml:space="preserve">年後跑道＝</t>
    </r>
    <r>
      <rPr>
        <sz val="10"/>
        <color rgb="FF000000"/>
        <rFont val="Arial"/>
        <family val="0"/>
        <charset val="1"/>
      </rPr>
      <t xml:space="preserve">2030 </t>
    </r>
    <r>
      <rPr>
        <sz val="10"/>
        <color rgb="FF000000"/>
        <rFont val="Noto Sans CJK SC"/>
        <family val="2"/>
      </rPr>
      <t xml:space="preserve">年底現金 </t>
    </r>
    <r>
      <rPr>
        <sz val="10"/>
        <color rgb="FF000000"/>
        <rFont val="Arial"/>
        <family val="0"/>
        <charset val="1"/>
      </rPr>
      <t xml:space="preserve">÷ 2030 </t>
    </r>
    <r>
      <rPr>
        <sz val="10"/>
        <color rgb="FF000000"/>
        <rFont val="Noto Sans CJK SC"/>
        <family val="2"/>
      </rPr>
      <t xml:space="preserve">融資前淨現金流出</t>
    </r>
  </si>
  <si>
    <r>
      <rPr>
        <sz val="9"/>
        <color rgb="FF595959"/>
        <rFont val="Noto Sans CJK SC"/>
        <family val="2"/>
      </rPr>
      <t xml:space="preserve">粗估：以 </t>
    </r>
    <r>
      <rPr>
        <sz val="9"/>
        <color rgb="FF595959"/>
        <rFont val="Arial"/>
        <family val="0"/>
        <charset val="1"/>
      </rPr>
      <t xml:space="preserve">2030 </t>
    </r>
    <r>
      <rPr>
        <sz val="9"/>
        <color rgb="FF595959"/>
        <rFont val="Noto Sans CJK SC"/>
        <family val="2"/>
      </rPr>
      <t xml:space="preserve">年流出速度計</t>
    </r>
  </si>
  <si>
    <r>
      <rPr>
        <b val="true"/>
        <sz val="10"/>
        <rFont val="Noto Sans CJK SC"/>
        <family val="2"/>
      </rPr>
      <t xml:space="preserve">五、情境：可換股債券轉股（</t>
    </r>
    <r>
      <rPr>
        <b val="true"/>
        <sz val="10"/>
        <rFont val="Arial"/>
        <family val="0"/>
        <charset val="1"/>
      </rPr>
      <t xml:space="preserve">D16r</t>
    </r>
    <r>
      <rPr>
        <b val="true"/>
        <sz val="10"/>
        <rFont val="Noto Sans CJK SC"/>
        <family val="2"/>
      </rPr>
      <t xml:space="preserve">；</t>
    </r>
    <r>
      <rPr>
        <b val="true"/>
        <sz val="10"/>
        <rFont val="Arial"/>
        <family val="0"/>
        <charset val="1"/>
      </rPr>
      <t xml:space="preserve">2027-07-01 </t>
    </r>
    <r>
      <rPr>
        <b val="true"/>
        <sz val="10"/>
        <rFont val="Noto Sans CJK SC"/>
        <family val="2"/>
      </rPr>
      <t xml:space="preserve">起可換股，不需現金償還；不受 </t>
    </r>
    <r>
      <rPr>
        <b val="true"/>
        <sz val="10"/>
        <rFont val="Arial"/>
        <family val="0"/>
        <charset val="1"/>
      </rPr>
      <t xml:space="preserve">Inputs </t>
    </r>
    <r>
      <rPr>
        <b val="true"/>
        <sz val="10"/>
        <rFont val="Noto Sans CJK SC"/>
        <family val="2"/>
      </rPr>
      <t xml:space="preserve">開關影響）</t>
    </r>
  </si>
  <si>
    <t xml:space="preserve">F41</t>
  </si>
  <si>
    <t xml:space="preserve">補足前期末現金（轉股）</t>
  </si>
  <si>
    <t xml:space="preserve">F42</t>
  </si>
  <si>
    <t xml:space="preserve">當年外部資金需求（轉股）</t>
  </si>
  <si>
    <t xml:space="preserve">F43</t>
  </si>
  <si>
    <t xml:space="preserve">期末現金（轉股）</t>
  </si>
  <si>
    <t xml:space="preserve">F44</t>
  </si>
  <si>
    <t xml:space="preserve">累計外部資金需求（轉股）</t>
  </si>
  <si>
    <t xml:space="preserve">F45</t>
  </si>
  <si>
    <r>
      <rPr>
        <sz val="10"/>
        <color rgb="FF000000"/>
        <rFont val="Noto Sans CJK SC"/>
        <family val="2"/>
      </rPr>
      <t xml:space="preserve">轉股稀釋：換股股數 </t>
    </r>
    <r>
      <rPr>
        <sz val="10"/>
        <color rgb="FF000000"/>
        <rFont val="Arial"/>
        <family val="0"/>
        <charset val="1"/>
      </rPr>
      <t xml:space="preserve">÷ </t>
    </r>
    <r>
      <rPr>
        <sz val="10"/>
        <color rgb="FF000000"/>
        <rFont val="Noto Sans CJK SC"/>
        <family val="2"/>
      </rPr>
      <t xml:space="preserve">全面攤薄總股數</t>
    </r>
  </si>
  <si>
    <r>
      <rPr>
        <sz val="9"/>
        <color rgb="FF595959"/>
        <rFont val="Arial"/>
        <family val="0"/>
        <charset val="1"/>
      </rPr>
      <t xml:space="preserve">SRC_ZP_549</t>
    </r>
    <r>
      <rPr>
        <sz val="9"/>
        <color rgb="FF595959"/>
        <rFont val="Noto Sans CJK SC"/>
        <family val="2"/>
      </rPr>
      <t xml:space="preserve">、</t>
    </r>
    <r>
      <rPr>
        <sz val="9"/>
        <color rgb="FF595959"/>
        <rFont val="Arial"/>
        <family val="0"/>
        <charset val="1"/>
      </rPr>
      <t xml:space="preserve">563</t>
    </r>
  </si>
  <si>
    <t xml:space="preserve">六、或有與承諾（只列示；不作資金來源、不進外部資金需求）</t>
  </si>
  <si>
    <t xml:space="preserve">F46</t>
  </si>
  <si>
    <t xml:space="preserve">或有：可換股債券本金（轉股則免償還）</t>
  </si>
  <si>
    <r>
      <rPr>
        <sz val="9"/>
        <color rgb="FF595959"/>
        <rFont val="Noto Sans CJK SC"/>
        <family val="2"/>
      </rPr>
      <t xml:space="preserve">基準視為債務；換股價 </t>
    </r>
    <r>
      <rPr>
        <sz val="9"/>
        <color rgb="FF595959"/>
        <rFont val="Arial"/>
        <family val="0"/>
        <charset val="1"/>
      </rPr>
      <t xml:space="preserve">HK$892.50</t>
    </r>
  </si>
  <si>
    <t xml:space="preserve">F47</t>
  </si>
  <si>
    <r>
      <rPr>
        <sz val="10"/>
        <color rgb="FF000000"/>
        <rFont val="Noto Sans CJK SC"/>
        <family val="2"/>
      </rPr>
      <t xml:space="preserve">現價 </t>
    </r>
    <r>
      <rPr>
        <sz val="10"/>
        <color rgb="FF000000"/>
        <rFont val="Arial"/>
        <family val="0"/>
        <charset val="1"/>
      </rPr>
      <t xml:space="preserve">÷ </t>
    </r>
    <r>
      <rPr>
        <sz val="10"/>
        <color rgb="FF000000"/>
        <rFont val="Noto Sans CJK SC"/>
        <family val="2"/>
      </rPr>
      <t xml:space="preserve">換股價</t>
    </r>
  </si>
  <si>
    <r>
      <rPr>
        <sz val="9"/>
        <color rgb="FF595959"/>
        <rFont val="Arial"/>
        <family val="0"/>
        <charset val="1"/>
      </rPr>
      <t xml:space="preserve">SRC_ZP_569 ÷ SRC_ZP_548</t>
    </r>
    <r>
      <rPr>
        <sz val="9"/>
        <color rgb="FF595959"/>
        <rFont val="Noto Sans CJK SC"/>
        <family val="2"/>
      </rPr>
      <t xml:space="preserve">；</t>
    </r>
    <r>
      <rPr>
        <sz val="9"/>
        <color rgb="FF595959"/>
        <rFont val="Arial"/>
        <family val="0"/>
        <charset val="1"/>
      </rPr>
      <t xml:space="preserve">&lt;1</t>
    </r>
    <r>
      <rPr>
        <sz val="9"/>
        <color rgb="FF595959"/>
        <rFont val="Noto Sans CJK SC"/>
        <family val="2"/>
      </rPr>
      <t xml:space="preserve">＝價外（偏向償還）</t>
    </r>
  </si>
  <si>
    <t xml:space="preserve">F48</t>
  </si>
  <si>
    <r>
      <rPr>
        <sz val="10"/>
        <color rgb="FF000000"/>
        <rFont val="Noto Sans CJK SC"/>
        <family val="2"/>
      </rPr>
      <t xml:space="preserve">對照：</t>
    </r>
    <r>
      <rPr>
        <sz val="10"/>
        <color rgb="FF000000"/>
        <rFont val="Arial"/>
        <family val="0"/>
        <charset val="1"/>
      </rPr>
      <t xml:space="preserve">2025-10-31 </t>
    </r>
    <r>
      <rPr>
        <sz val="10"/>
        <color rgb="FF000000"/>
        <rFont val="Noto Sans CJK SC"/>
        <family val="2"/>
      </rPr>
      <t xml:space="preserve">現金＋短期投資＋可用承諾銀行授信合計（未拆）</t>
    </r>
  </si>
  <si>
    <r>
      <rPr>
        <sz val="9"/>
        <color rgb="FF595959"/>
        <rFont val="Arial"/>
        <family val="0"/>
        <charset val="1"/>
      </rPr>
      <t xml:space="preserve">SRC_ZP_110</t>
    </r>
    <r>
      <rPr>
        <sz val="9"/>
        <color rgb="FF595959"/>
        <rFont val="Noto Sans CJK SC"/>
        <family val="2"/>
      </rPr>
      <t xml:space="preserve">（</t>
    </r>
    <r>
      <rPr>
        <sz val="9"/>
        <color rgb="FF595959"/>
        <rFont val="Arial"/>
        <family val="0"/>
        <charset val="1"/>
      </rPr>
      <t xml:space="preserve">Interested-party</t>
    </r>
    <r>
      <rPr>
        <sz val="9"/>
        <color rgb="FF595959"/>
        <rFont val="Noto Sans CJK SC"/>
        <family val="2"/>
      </rPr>
      <t xml:space="preserve">）；未提用授信額度單獨金額找不到 → 只列</t>
    </r>
  </si>
  <si>
    <t xml:space="preserve">F49</t>
  </si>
  <si>
    <t xml:space="preserve">未提用授信額度、合約承諾（算力採購等）</t>
  </si>
  <si>
    <r>
      <rPr>
        <sz val="9"/>
        <color rgb="FF595959"/>
        <rFont val="Noto Sans CJK SC"/>
        <family val="2"/>
      </rPr>
      <t xml:space="preserve">找不到（中期公告未列；</t>
    </r>
    <r>
      <rPr>
        <sz val="9"/>
        <color rgb="FF595959"/>
        <rFont val="Arial"/>
        <family val="0"/>
        <charset val="1"/>
      </rPr>
      <t xml:space="preserve">Z1 not_found</t>
    </r>
    <r>
      <rPr>
        <sz val="9"/>
        <color rgb="FF595959"/>
        <rFont val="Noto Sans CJK SC"/>
        <family val="2"/>
      </rPr>
      <t xml:space="preserve">）</t>
    </r>
  </si>
  <si>
    <t xml:space="preserve">F50</t>
  </si>
  <si>
    <r>
      <rPr>
        <sz val="10"/>
        <color rgb="FF000000"/>
        <rFont val="Noto Sans CJK SC"/>
        <family val="2"/>
      </rPr>
      <t xml:space="preserve">對照：</t>
    </r>
    <r>
      <rPr>
        <sz val="10"/>
        <color rgb="FF000000"/>
        <rFont val="Arial"/>
        <family val="0"/>
        <charset val="1"/>
      </rPr>
      <t xml:space="preserve">2027-01-08 </t>
    </r>
    <r>
      <rPr>
        <sz val="10"/>
        <color rgb="FF000000"/>
        <rFont val="Noto Sans CJK SC"/>
        <family val="2"/>
      </rPr>
      <t xml:space="preserve">解禁占總股本（媒體估算）</t>
    </r>
  </si>
  <si>
    <r>
      <rPr>
        <sz val="9"/>
        <color rgb="FF595959"/>
        <rFont val="Arial"/>
        <family val="0"/>
        <charset val="1"/>
      </rPr>
      <t xml:space="preserve">SRC_ZP_568</t>
    </r>
    <r>
      <rPr>
        <sz val="9"/>
        <color rgb="FF595959"/>
        <rFont val="Noto Sans CJK SC"/>
        <family val="2"/>
      </rPr>
      <t xml:space="preserve">（</t>
    </r>
    <r>
      <rPr>
        <sz val="9"/>
        <color rgb="FF595959"/>
        <rFont val="Arial"/>
        <family val="0"/>
        <charset val="1"/>
      </rPr>
      <t xml:space="preserve">Interested-party</t>
    </r>
    <r>
      <rPr>
        <sz val="9"/>
        <color rgb="FF595959"/>
        <rFont val="Noto Sans CJK SC"/>
        <family val="2"/>
      </rPr>
      <t xml:space="preserve">）；可能影響 </t>
    </r>
    <r>
      <rPr>
        <sz val="9"/>
        <color rgb="FF595959"/>
        <rFont val="Arial"/>
        <family val="0"/>
        <charset val="1"/>
      </rPr>
      <t xml:space="preserve">2027 </t>
    </r>
    <r>
      <rPr>
        <sz val="9"/>
        <color rgb="FF595959"/>
        <rFont val="Noto Sans CJK SC"/>
        <family val="2"/>
      </rPr>
      <t xml:space="preserve">年再融資條件</t>
    </r>
  </si>
  <si>
    <r>
      <rPr>
        <b val="true"/>
        <sz val="10"/>
        <rFont val="Noto Sans CJK SC"/>
        <family val="2"/>
      </rPr>
      <t xml:space="preserve">七、配售用途對照（</t>
    </r>
    <r>
      <rPr>
        <b val="true"/>
        <sz val="10"/>
        <rFont val="Arial"/>
        <family val="0"/>
        <charset val="1"/>
      </rPr>
      <t xml:space="preserve">D16r</t>
    </r>
    <r>
      <rPr>
        <b val="true"/>
        <sz val="10"/>
        <rFont val="Noto Sans CJK SC"/>
        <family val="2"/>
      </rPr>
      <t xml:space="preserve">；公告用途 </t>
    </r>
    <r>
      <rPr>
        <b val="true"/>
        <sz val="10"/>
        <rFont val="Arial"/>
        <family val="0"/>
        <charset val="1"/>
      </rPr>
      <t xml:space="preserve">vs </t>
    </r>
    <r>
      <rPr>
        <b val="true"/>
        <sz val="10"/>
        <rFont val="Noto Sans CJK SC"/>
        <family val="2"/>
      </rPr>
      <t xml:space="preserve">模型支出；只列）</t>
    </r>
  </si>
  <si>
    <t xml:space="preserve">F51</t>
  </si>
  <si>
    <r>
      <rPr>
        <sz val="10"/>
        <color rgb="FF000000"/>
        <rFont val="Arial"/>
        <family val="0"/>
        <charset val="1"/>
      </rPr>
      <t xml:space="preserve">2026-07 </t>
    </r>
    <r>
      <rPr>
        <sz val="10"/>
        <color rgb="FF000000"/>
        <rFont val="Noto Sans CJK SC"/>
        <family val="2"/>
      </rPr>
      <t xml:space="preserve">配售：研發（模型、人才、算力）用途金額</t>
    </r>
  </si>
  <si>
    <r>
      <rPr>
        <sz val="9"/>
        <color rgb="FF595959"/>
        <rFont val="Arial"/>
        <family val="0"/>
        <charset val="1"/>
      </rPr>
      <t xml:space="preserve">SRC_ZP_539</t>
    </r>
    <r>
      <rPr>
        <sz val="9"/>
        <color rgb="FF595959"/>
        <rFont val="Noto Sans CJK SC"/>
        <family val="2"/>
      </rPr>
      <t xml:space="preserve">：</t>
    </r>
    <r>
      <rPr>
        <sz val="9"/>
        <color rgb="FF595959"/>
        <rFont val="Arial"/>
        <family val="0"/>
        <charset val="1"/>
      </rPr>
      <t xml:space="preserve">55%</t>
    </r>
    <r>
      <rPr>
        <sz val="9"/>
        <color rgb="FF595959"/>
        <rFont val="Noto Sans CJK SC"/>
        <family val="2"/>
      </rPr>
      <t xml:space="preserve">；預計 </t>
    </r>
    <r>
      <rPr>
        <sz val="9"/>
        <color rgb="FF595959"/>
        <rFont val="Arial"/>
        <family val="0"/>
        <charset val="1"/>
      </rPr>
      <t xml:space="preserve">2027 </t>
    </r>
    <r>
      <rPr>
        <sz val="9"/>
        <color rgb="FF595959"/>
        <rFont val="Noto Sans CJK SC"/>
        <family val="2"/>
      </rPr>
      <t xml:space="preserve">年底前用畢</t>
    </r>
  </si>
  <si>
    <t xml:space="preserve">F52</t>
  </si>
  <si>
    <r>
      <rPr>
        <sz val="10"/>
        <color rgb="FF000000"/>
        <rFont val="Arial"/>
        <family val="0"/>
        <charset val="1"/>
      </rPr>
      <t xml:space="preserve">2026-07 </t>
    </r>
    <r>
      <rPr>
        <sz val="10"/>
        <color rgb="FF000000"/>
        <rFont val="Noto Sans CJK SC"/>
        <family val="2"/>
      </rPr>
      <t xml:space="preserve">配售：截至 </t>
    </r>
    <r>
      <rPr>
        <sz val="10"/>
        <color rgb="FF000000"/>
        <rFont val="Arial"/>
        <family val="0"/>
        <charset val="1"/>
      </rPr>
      <t xml:space="preserve">2026-08-31 </t>
    </r>
    <r>
      <rPr>
        <sz val="10"/>
        <color rgb="FF000000"/>
        <rFont val="Noto Sans CJK SC"/>
        <family val="2"/>
      </rPr>
      <t xml:space="preserve">已動用</t>
    </r>
  </si>
  <si>
    <r>
      <rPr>
        <sz val="9"/>
        <color rgb="FF595959"/>
        <rFont val="Arial"/>
        <family val="0"/>
        <charset val="1"/>
      </rPr>
      <t xml:space="preserve">SRC_ZP_540</t>
    </r>
    <r>
      <rPr>
        <sz val="9"/>
        <color rgb="FF595959"/>
        <rFont val="Noto Sans CJK SC"/>
        <family val="2"/>
      </rPr>
      <t xml:space="preserve">：</t>
    </r>
    <r>
      <rPr>
        <sz val="9"/>
        <color rgb="FF595959"/>
        <rFont val="Arial"/>
        <family val="0"/>
        <charset val="1"/>
      </rPr>
      <t xml:space="preserve">HK$10,954.8 </t>
    </r>
    <r>
      <rPr>
        <sz val="9"/>
        <color rgb="FF595959"/>
        <rFont val="Noto Sans CJK SC"/>
        <family val="2"/>
      </rPr>
      <t xml:space="preserve">百萬（</t>
    </r>
    <r>
      <rPr>
        <sz val="9"/>
        <color rgb="FF595959"/>
        <rFont val="Arial"/>
        <family val="0"/>
        <charset val="1"/>
      </rPr>
      <t xml:space="preserve">34.92%</t>
    </r>
    <r>
      <rPr>
        <sz val="9"/>
        <color rgb="FF595959"/>
        <rFont val="Noto Sans CJK SC"/>
        <family val="2"/>
      </rPr>
      <t xml:space="preserve">）</t>
    </r>
  </si>
  <si>
    <t xml:space="preserve">F53</t>
  </si>
  <si>
    <r>
      <rPr>
        <sz val="10"/>
        <color rgb="FF000000"/>
        <rFont val="Noto Sans CJK SC"/>
        <family val="2"/>
      </rPr>
      <t xml:space="preserve">模型：</t>
    </r>
    <r>
      <rPr>
        <sz val="10"/>
        <color rgb="FF000000"/>
        <rFont val="Arial"/>
        <family val="0"/>
        <charset val="1"/>
      </rPr>
      <t xml:space="preserve">2026-07-01</t>
    </r>
    <r>
      <rPr>
        <sz val="10"/>
        <color rgb="FF000000"/>
        <rFont val="Noto Sans CJK SC"/>
        <family val="2"/>
      </rPr>
      <t xml:space="preserve">～</t>
    </r>
    <r>
      <rPr>
        <sz val="10"/>
        <color rgb="FF000000"/>
        <rFont val="Arial"/>
        <family val="0"/>
        <charset val="1"/>
      </rPr>
      <t xml:space="preserve">08-31 </t>
    </r>
    <r>
      <rPr>
        <sz val="10"/>
        <color rgb="FF000000"/>
        <rFont val="Noto Sans CJK SC"/>
        <family val="2"/>
      </rPr>
      <t xml:space="preserve">融資前淨現金流出（</t>
    </r>
    <r>
      <rPr>
        <sz val="10"/>
        <color rgb="FF000000"/>
        <rFont val="Arial"/>
        <family val="0"/>
        <charset val="1"/>
      </rPr>
      <t xml:space="preserve">2H26 </t>
    </r>
    <r>
      <rPr>
        <sz val="10"/>
        <color rgb="FF000000"/>
        <rFont val="Noto Sans CJK SC"/>
        <family val="2"/>
      </rPr>
      <t xml:space="preserve">按天數）</t>
    </r>
  </si>
  <si>
    <t xml:space="preserve">含中科加禾併購</t>
  </si>
  <si>
    <t xml:space="preserve">F54</t>
  </si>
  <si>
    <r>
      <rPr>
        <sz val="10"/>
        <color rgb="FF000000"/>
        <rFont val="Noto Sans CJK SC"/>
        <family val="2"/>
      </rPr>
      <t xml:space="preserve">倍數：已動用 </t>
    </r>
    <r>
      <rPr>
        <sz val="10"/>
        <color rgb="FF000000"/>
        <rFont val="Arial"/>
        <family val="0"/>
        <charset val="1"/>
      </rPr>
      <t xml:space="preserve">÷ </t>
    </r>
    <r>
      <rPr>
        <sz val="10"/>
        <color rgb="FF000000"/>
        <rFont val="Noto Sans CJK SC"/>
        <family val="2"/>
      </rPr>
      <t xml:space="preserve">模型同期流出</t>
    </r>
  </si>
  <si>
    <r>
      <rPr>
        <sz val="9"/>
        <color rgb="FF595959"/>
        <rFont val="Arial"/>
        <family val="0"/>
        <charset val="1"/>
      </rPr>
      <t xml:space="preserve">&gt;1</t>
    </r>
    <r>
      <rPr>
        <sz val="9"/>
        <color rgb="FF595959"/>
        <rFont val="Noto Sans CJK SC"/>
        <family val="2"/>
      </rPr>
      <t xml:space="preserve">＝公司實際動用速度高於模型支出（可能含預付、押金、理財或模型低估的支出）</t>
    </r>
  </si>
  <si>
    <t xml:space="preserve">F55</t>
  </si>
  <si>
    <r>
      <rPr>
        <sz val="10"/>
        <color rgb="FF000000"/>
        <rFont val="Arial"/>
        <family val="0"/>
        <charset val="1"/>
      </rPr>
      <t xml:space="preserve">2026-09 </t>
    </r>
    <r>
      <rPr>
        <sz val="10"/>
        <color rgb="FF000000"/>
        <rFont val="Noto Sans CJK SC"/>
        <family val="2"/>
      </rPr>
      <t xml:space="preserve">配售＋可換股債券：研發、訓練推論、算力基建、人才用途金額</t>
    </r>
  </si>
  <si>
    <r>
      <rPr>
        <sz val="9"/>
        <color rgb="FF595959"/>
        <rFont val="Arial"/>
        <family val="0"/>
        <charset val="1"/>
      </rPr>
      <t xml:space="preserve">SRC_ZP_550</t>
    </r>
    <r>
      <rPr>
        <sz val="9"/>
        <color rgb="FF595959"/>
        <rFont val="Noto Sans CJK SC"/>
        <family val="2"/>
      </rPr>
      <t xml:space="preserve">：</t>
    </r>
    <r>
      <rPr>
        <sz val="9"/>
        <color rgb="FF595959"/>
        <rFont val="Arial"/>
        <family val="0"/>
        <charset val="1"/>
      </rPr>
      <t xml:space="preserve">60%</t>
    </r>
    <r>
      <rPr>
        <sz val="9"/>
        <color rgb="FF595959"/>
        <rFont val="Noto Sans CJK SC"/>
        <family val="2"/>
      </rPr>
      <t xml:space="preserve">；</t>
    </r>
    <r>
      <rPr>
        <sz val="9"/>
        <color rgb="FF595959"/>
        <rFont val="Arial"/>
        <family val="0"/>
        <charset val="1"/>
      </rPr>
      <t xml:space="preserve">2028-06-30 </t>
    </r>
    <r>
      <rPr>
        <sz val="9"/>
        <color rgb="FF595959"/>
        <rFont val="Noto Sans CJK SC"/>
        <family val="2"/>
      </rPr>
      <t xml:space="preserve">前用畢</t>
    </r>
  </si>
  <si>
    <t xml:space="preserve">F56</t>
  </si>
  <si>
    <r>
      <rPr>
        <sz val="10"/>
        <color rgb="FF000000"/>
        <rFont val="Noto Sans CJK SC"/>
        <family val="2"/>
      </rPr>
      <t xml:space="preserve">模型：</t>
    </r>
    <r>
      <rPr>
        <sz val="10"/>
        <color rgb="FF000000"/>
        <rFont val="Arial"/>
        <family val="0"/>
        <charset val="1"/>
      </rPr>
      <t xml:space="preserve">2H26–2028 </t>
    </r>
    <r>
      <rPr>
        <sz val="10"/>
        <color rgb="FF000000"/>
        <rFont val="Noto Sans CJK SC"/>
        <family val="2"/>
      </rPr>
      <t xml:space="preserve">算力成本＋非算力成本（不含股權報酬）合計</t>
    </r>
  </si>
  <si>
    <r>
      <rPr>
        <sz val="9"/>
        <color rgb="FF595959"/>
        <rFont val="Noto Sans CJK SC"/>
        <family val="2"/>
      </rPr>
      <t xml:space="preserve">對照兩次用途合計（期間至 </t>
    </r>
    <r>
      <rPr>
        <sz val="9"/>
        <color rgb="FF595959"/>
        <rFont val="Arial"/>
        <family val="0"/>
        <charset val="1"/>
      </rPr>
      <t xml:space="preserve">2028-06 vs 2028 </t>
    </r>
    <r>
      <rPr>
        <sz val="9"/>
        <color rgb="FF595959"/>
        <rFont val="Noto Sans CJK SC"/>
        <family val="2"/>
      </rPr>
      <t xml:space="preserve">全年，模型較寬）</t>
    </r>
  </si>
  <si>
    <t xml:space="preserve">F57</t>
  </si>
  <si>
    <r>
      <rPr>
        <sz val="10"/>
        <color rgb="FF000000"/>
        <rFont val="Noto Sans CJK SC"/>
        <family val="2"/>
      </rPr>
      <t xml:space="preserve">倍數：兩次用途（研發與算力）合計 </t>
    </r>
    <r>
      <rPr>
        <sz val="10"/>
        <color rgb="FF000000"/>
        <rFont val="Arial"/>
        <family val="0"/>
        <charset val="1"/>
      </rPr>
      <t xml:space="preserve">÷ </t>
    </r>
    <r>
      <rPr>
        <sz val="10"/>
        <color rgb="FF000000"/>
        <rFont val="Noto Sans CJK SC"/>
        <family val="2"/>
      </rPr>
      <t xml:space="preserve">模型同期支出</t>
    </r>
  </si>
  <si>
    <r>
      <rPr>
        <b val="true"/>
        <sz val="10"/>
        <rFont val="Noto Sans CJK SC"/>
        <family val="2"/>
      </rPr>
      <t xml:space="preserve">八、回流對照（</t>
    </r>
    <r>
      <rPr>
        <b val="true"/>
        <sz val="10"/>
        <rFont val="Arial"/>
        <family val="0"/>
        <charset val="1"/>
      </rPr>
      <t xml:space="preserve">D19</t>
    </r>
    <r>
      <rPr>
        <b val="true"/>
        <sz val="10"/>
        <rFont val="Noto Sans CJK SC"/>
        <family val="2"/>
      </rPr>
      <t xml:space="preserve">：誰出錢；只列對照、不沖銷）</t>
    </r>
  </si>
  <si>
    <t xml:space="preserve">F58</t>
  </si>
  <si>
    <r>
      <rPr>
        <sz val="10"/>
        <color rgb="FF000000"/>
        <rFont val="Noto Sans CJK SC"/>
        <family val="2"/>
      </rPr>
      <t xml:space="preserve">最大客戶 </t>
    </r>
    <r>
      <rPr>
        <sz val="10"/>
        <color rgb="FF000000"/>
        <rFont val="Arial"/>
        <family val="0"/>
        <charset val="1"/>
      </rPr>
      <t xml:space="preserve">A</t>
    </r>
    <r>
      <rPr>
        <sz val="10"/>
        <color rgb="FF000000"/>
        <rFont val="Noto Sans CJK SC"/>
        <family val="2"/>
      </rPr>
      <t xml:space="preserve">：智譜對其銷售（</t>
    </r>
    <r>
      <rPr>
        <sz val="10"/>
        <color rgb="FF000000"/>
        <rFont val="Arial"/>
        <family val="0"/>
        <charset val="1"/>
      </rPr>
      <t xml:space="preserve">FY2024</t>
    </r>
    <r>
      <rPr>
        <sz val="10"/>
        <color rgb="FF000000"/>
        <rFont val="Noto Sans CJK SC"/>
        <family val="2"/>
      </rPr>
      <t xml:space="preserve">＋</t>
    </r>
    <r>
      <rPr>
        <sz val="10"/>
        <color rgb="FF000000"/>
        <rFont val="Arial"/>
        <family val="0"/>
        <charset val="1"/>
      </rPr>
      <t xml:space="preserve">1H25</t>
    </r>
    <r>
      <rPr>
        <sz val="10"/>
        <color rgb="FF000000"/>
        <rFont val="Noto Sans CJK SC"/>
        <family val="2"/>
      </rPr>
      <t xml:space="preserve">）</t>
    </r>
  </si>
  <si>
    <r>
      <rPr>
        <sz val="9"/>
        <color rgb="FF595959"/>
        <rFont val="Arial"/>
        <family val="0"/>
        <charset val="1"/>
      </rPr>
      <t xml:space="preserve">SRC_ZP_785</t>
    </r>
    <r>
      <rPr>
        <sz val="9"/>
        <color rgb="FF595959"/>
        <rFont val="Noto Sans CJK SC"/>
        <family val="2"/>
      </rPr>
      <t xml:space="preserve">（招股章程會計師報告，</t>
    </r>
    <r>
      <rPr>
        <sz val="9"/>
        <color rgb="FF595959"/>
        <rFont val="Arial"/>
        <family val="0"/>
        <charset val="1"/>
      </rPr>
      <t xml:space="preserve">Verified</t>
    </r>
    <r>
      <rPr>
        <sz val="9"/>
        <color rgb="FF595959"/>
        <rFont val="Noto Sans CJK SC"/>
        <family val="2"/>
      </rPr>
      <t xml:space="preserve">；</t>
    </r>
    <r>
      <rPr>
        <sz val="9"/>
        <color rgb="FF595959"/>
        <rFont val="Arial"/>
        <family val="0"/>
        <charset val="1"/>
      </rPr>
      <t xml:space="preserve">r2 P2</t>
    </r>
    <r>
      <rPr>
        <sz val="9"/>
        <color rgb="FF595959"/>
        <rFont val="Noto Sans CJK SC"/>
        <family val="2"/>
      </rPr>
      <t xml:space="preserve">：媒體 </t>
    </r>
    <r>
      <rPr>
        <sz val="9"/>
        <color rgb="FF595959"/>
        <rFont val="Arial"/>
        <family val="0"/>
        <charset val="1"/>
      </rPr>
      <t xml:space="preserve">SRC_ZP_433 </t>
    </r>
    <r>
      <rPr>
        <sz val="9"/>
        <color rgb="FF595959"/>
        <rFont val="Noto Sans CJK SC"/>
        <family val="2"/>
      </rPr>
      <t xml:space="preserve">的 </t>
    </r>
    <r>
      <rPr>
        <sz val="9"/>
        <color rgb="FF595959"/>
        <rFont val="Arial"/>
        <family val="0"/>
        <charset val="1"/>
      </rPr>
      <t xml:space="preserve">2.42 </t>
    </r>
    <r>
      <rPr>
        <sz val="9"/>
        <color rgb="FF595959"/>
        <rFont val="Noto Sans CJK SC"/>
        <family val="2"/>
      </rPr>
      <t xml:space="preserve">億差 </t>
    </r>
    <r>
      <rPr>
        <sz val="9"/>
        <color rgb="FF595959"/>
        <rFont val="Arial"/>
        <family val="0"/>
        <charset val="1"/>
      </rPr>
      <t xml:space="preserve">10 </t>
    </r>
    <r>
      <rPr>
        <sz val="9"/>
        <color rgb="FF595959"/>
        <rFont val="Noto Sans CJK SC"/>
        <family val="2"/>
      </rPr>
      <t xml:space="preserve">倍）</t>
    </r>
  </si>
  <si>
    <t xml:space="preserve">F59</t>
  </si>
  <si>
    <r>
      <rPr>
        <sz val="10"/>
        <color rgb="FF000000"/>
        <rFont val="Noto Sans CJK SC"/>
        <family val="2"/>
      </rPr>
      <t xml:space="preserve">最大客戶 </t>
    </r>
    <r>
      <rPr>
        <sz val="10"/>
        <color rgb="FF000000"/>
        <rFont val="Arial"/>
        <family val="0"/>
        <charset val="1"/>
      </rPr>
      <t xml:space="preserve">A</t>
    </r>
    <r>
      <rPr>
        <sz val="10"/>
        <color rgb="FF000000"/>
        <rFont val="Noto Sans CJK SC"/>
        <family val="2"/>
      </rPr>
      <t xml:space="preserve">：智譜向其採購（同期）</t>
    </r>
  </si>
  <si>
    <r>
      <rPr>
        <sz val="9"/>
        <color rgb="FF595959"/>
        <rFont val="Arial"/>
        <family val="0"/>
        <charset val="1"/>
      </rPr>
      <t xml:space="preserve">SRC_ZP_786</t>
    </r>
    <r>
      <rPr>
        <sz val="9"/>
        <color rgb="FF595959"/>
        <rFont val="Noto Sans CJK SC"/>
        <family val="2"/>
      </rPr>
      <t xml:space="preserve">（</t>
    </r>
    <r>
      <rPr>
        <sz val="9"/>
        <color rgb="FF595959"/>
        <rFont val="Arial"/>
        <family val="0"/>
        <charset val="1"/>
      </rPr>
      <t xml:space="preserve">Verified</t>
    </r>
    <r>
      <rPr>
        <sz val="9"/>
        <color rgb="FF595959"/>
        <rFont val="Noto Sans CJK SC"/>
        <family val="2"/>
      </rPr>
      <t xml:space="preserve">；採購內容為數據庫及知識產權授權）；客戶兼供應商</t>
    </r>
  </si>
  <si>
    <t xml:space="preserve">F60</t>
  </si>
  <si>
    <r>
      <rPr>
        <sz val="10"/>
        <color rgb="FF000000"/>
        <rFont val="Noto Sans CJK SC"/>
        <family val="2"/>
      </rPr>
      <t xml:space="preserve">採購 </t>
    </r>
    <r>
      <rPr>
        <sz val="10"/>
        <color rgb="FF000000"/>
        <rFont val="Arial"/>
        <family val="0"/>
        <charset val="1"/>
      </rPr>
      <t xml:space="preserve">÷ </t>
    </r>
    <r>
      <rPr>
        <sz val="10"/>
        <color rgb="FF000000"/>
        <rFont val="Noto Sans CJK SC"/>
        <family val="2"/>
      </rPr>
      <t xml:space="preserve">銷售</t>
    </r>
  </si>
  <si>
    <r>
      <rPr>
        <sz val="9"/>
        <color rgb="FF595959"/>
        <rFont val="Arial"/>
        <family val="0"/>
        <charset val="1"/>
      </rPr>
      <t xml:space="preserve">≈1</t>
    </r>
    <r>
      <rPr>
        <sz val="9"/>
        <color rgb="FF595959"/>
        <rFont val="Noto Sans CJK SC"/>
        <family val="2"/>
      </rPr>
      <t xml:space="preserve">：營收與採購互相抵銷</t>
    </r>
  </si>
  <si>
    <t xml:space="preserve">F61</t>
  </si>
  <si>
    <r>
      <rPr>
        <sz val="10"/>
        <color rgb="FF000000"/>
        <rFont val="Arial"/>
        <family val="0"/>
        <charset val="1"/>
      </rPr>
      <t xml:space="preserve">2025 </t>
    </r>
    <r>
      <rPr>
        <sz val="10"/>
        <color rgb="FF000000"/>
        <rFont val="Noto Sans CJK SC"/>
        <family val="2"/>
      </rPr>
      <t xml:space="preserve">地方國資投資（杭州≥</t>
    </r>
    <r>
      <rPr>
        <sz val="10"/>
        <color rgb="FF000000"/>
        <rFont val="Arial"/>
        <family val="0"/>
        <charset val="1"/>
      </rPr>
      <t xml:space="preserve">10</t>
    </r>
    <r>
      <rPr>
        <sz val="10"/>
        <color rgb="FF000000"/>
        <rFont val="Noto Sans CJK SC"/>
        <family val="2"/>
      </rPr>
      <t xml:space="preserve">、珠海華發 </t>
    </r>
    <r>
      <rPr>
        <sz val="10"/>
        <color rgb="FF000000"/>
        <rFont val="Arial"/>
        <family val="0"/>
        <charset val="1"/>
      </rPr>
      <t xml:space="preserve">5</t>
    </r>
    <r>
      <rPr>
        <sz val="10"/>
        <color rgb="FF000000"/>
        <rFont val="Noto Sans CJK SC"/>
        <family val="2"/>
      </rPr>
      <t xml:space="preserve">、成都高新 </t>
    </r>
    <r>
      <rPr>
        <sz val="10"/>
        <color rgb="FF000000"/>
        <rFont val="Arial"/>
        <family val="0"/>
        <charset val="1"/>
      </rPr>
      <t xml:space="preserve">3</t>
    </r>
    <r>
      <rPr>
        <sz val="10"/>
        <color rgb="FF000000"/>
        <rFont val="Noto Sans CJK SC"/>
        <family val="2"/>
      </rPr>
      <t xml:space="preserve">、上海浦東張江 </t>
    </r>
    <r>
      <rPr>
        <sz val="10"/>
        <color rgb="FF000000"/>
        <rFont val="Arial"/>
        <family val="0"/>
        <charset val="1"/>
      </rPr>
      <t xml:space="preserve">10</t>
    </r>
    <r>
      <rPr>
        <sz val="10"/>
        <color rgb="FF000000"/>
        <rFont val="Noto Sans CJK SC"/>
        <family val="2"/>
      </rPr>
      <t xml:space="preserve">）</t>
    </r>
  </si>
  <si>
    <r>
      <rPr>
        <sz val="9"/>
        <color rgb="FF595959"/>
        <rFont val="Arial"/>
        <family val="0"/>
        <charset val="1"/>
      </rPr>
      <t xml:space="preserve">SRC_ZP_510–513</t>
    </r>
    <r>
      <rPr>
        <sz val="9"/>
        <color rgb="FF595959"/>
        <rFont val="Noto Sans CJK SC"/>
        <family val="2"/>
      </rPr>
      <t xml:space="preserve">（</t>
    </r>
    <r>
      <rPr>
        <sz val="9"/>
        <color rgb="FF595959"/>
        <rFont val="Arial"/>
        <family val="0"/>
        <charset val="1"/>
      </rPr>
      <t xml:space="preserve">Interested-party</t>
    </r>
    <r>
      <rPr>
        <sz val="9"/>
        <color rgb="FF595959"/>
        <rFont val="Noto Sans CJK SC"/>
        <family val="2"/>
      </rPr>
      <t xml:space="preserve">）；對這些股東（或其算力平台）的採購額找不到</t>
    </r>
  </si>
  <si>
    <r>
      <rPr>
        <b val="true"/>
        <sz val="10"/>
        <rFont val="Noto Sans CJK SC"/>
        <family val="2"/>
      </rPr>
      <t xml:space="preserve">九、</t>
    </r>
    <r>
      <rPr>
        <b val="true"/>
        <sz val="10"/>
        <rFont val="Arial"/>
        <family val="0"/>
        <charset val="1"/>
      </rPr>
      <t xml:space="preserve">2025</t>
    </r>
    <r>
      <rPr>
        <b val="true"/>
        <sz val="10"/>
        <rFont val="Noto Sans CJK SC"/>
        <family val="2"/>
      </rPr>
      <t xml:space="preserve">、</t>
    </r>
    <r>
      <rPr>
        <b val="true"/>
        <sz val="10"/>
        <rFont val="Arial"/>
        <family val="0"/>
        <charset val="1"/>
      </rPr>
      <t xml:space="preserve">1H26 </t>
    </r>
    <r>
      <rPr>
        <b val="true"/>
        <sz val="10"/>
        <rFont val="Noto Sans CJK SC"/>
        <family val="2"/>
      </rPr>
      <t xml:space="preserve">現金對帳（經營現金流量表找不到 → 以期末現金變動 − 已知融資推得隱含經營＋投資＋其他）</t>
    </r>
  </si>
  <si>
    <t xml:space="preserve">F62</t>
  </si>
  <si>
    <t xml:space="preserve">期末現金變動</t>
  </si>
  <si>
    <r>
      <rPr>
        <sz val="9"/>
        <color rgb="FF595959"/>
        <rFont val="Arial"/>
        <family val="0"/>
        <charset val="1"/>
      </rPr>
      <t xml:space="preserve">SRC_ZP_151</t>
    </r>
    <r>
      <rPr>
        <sz val="9"/>
        <color rgb="FF595959"/>
        <rFont val="Noto Sans CJK SC"/>
        <family val="2"/>
      </rPr>
      <t xml:space="preserve">、</t>
    </r>
    <r>
      <rPr>
        <sz val="9"/>
        <color rgb="FF595959"/>
        <rFont val="Arial"/>
        <family val="0"/>
        <charset val="1"/>
      </rPr>
      <t xml:space="preserve">152</t>
    </r>
    <r>
      <rPr>
        <sz val="9"/>
        <color rgb="FF595959"/>
        <rFont val="Noto Sans CJK SC"/>
        <family val="2"/>
      </rPr>
      <t xml:space="preserve">、</t>
    </r>
    <r>
      <rPr>
        <sz val="9"/>
        <color rgb="FF595959"/>
        <rFont val="Arial"/>
        <family val="0"/>
        <charset val="1"/>
      </rPr>
      <t xml:space="preserve">211</t>
    </r>
  </si>
  <si>
    <t xml:space="preserve">F63</t>
  </si>
  <si>
    <r>
      <rPr>
        <sz val="10"/>
        <color rgb="FF000000"/>
        <rFont val="Noto Sans CJK SC"/>
        <family val="2"/>
      </rPr>
      <t xml:space="preserve">已知融資流入（</t>
    </r>
    <r>
      <rPr>
        <sz val="10"/>
        <color rgb="FF000000"/>
        <rFont val="Arial"/>
        <family val="0"/>
        <charset val="1"/>
      </rPr>
      <t xml:space="preserve">2025</t>
    </r>
    <r>
      <rPr>
        <sz val="10"/>
        <color rgb="FF000000"/>
        <rFont val="Noto Sans CJK SC"/>
        <family val="2"/>
      </rPr>
      <t xml:space="preserve">：上市前各輪（國資）＋銀行借款淨增；</t>
    </r>
    <r>
      <rPr>
        <sz val="10"/>
        <color rgb="FF000000"/>
        <rFont val="Arial"/>
        <family val="0"/>
        <charset val="1"/>
      </rPr>
      <t xml:space="preserve">1H26</t>
    </r>
    <r>
      <rPr>
        <sz val="10"/>
        <color rgb="FF000000"/>
        <rFont val="Noto Sans CJK SC"/>
        <family val="2"/>
      </rPr>
      <t xml:space="preserve">：</t>
    </r>
    <r>
      <rPr>
        <sz val="10"/>
        <color rgb="FF000000"/>
        <rFont val="Arial"/>
        <family val="0"/>
        <charset val="1"/>
      </rPr>
      <t xml:space="preserve">IPO </t>
    </r>
    <r>
      <rPr>
        <sz val="10"/>
        <color rgb="FF000000"/>
        <rFont val="Noto Sans CJK SC"/>
        <family val="2"/>
      </rPr>
      <t xml:space="preserve">淨額＋銀行借款淨增）</t>
    </r>
  </si>
  <si>
    <r>
      <rPr>
        <sz val="9"/>
        <color rgb="FF595959"/>
        <rFont val="Arial"/>
        <family val="0"/>
        <charset val="1"/>
      </rPr>
      <t xml:space="preserve">2025 </t>
    </r>
    <r>
      <rPr>
        <sz val="9"/>
        <color rgb="FF595959"/>
        <rFont val="Noto Sans CJK SC"/>
        <family val="2"/>
      </rPr>
      <t xml:space="preserve">各輪到帳時點與金額部分為媒體轉述（下限）</t>
    </r>
  </si>
  <si>
    <t xml:space="preserve">F64</t>
  </si>
  <si>
    <t xml:space="preserve">隱含：經營＋投資＋其他現金流＝現金變動 − 已知融資</t>
  </si>
  <si>
    <t xml:space="preserve">F65</t>
  </si>
  <si>
    <t xml:space="preserve">模型：融資前淨現金流</t>
  </si>
  <si>
    <t xml:space="preserve">F66</t>
  </si>
  <si>
    <t xml:space="preserve">差異（隱含 − 模型）</t>
  </si>
  <si>
    <r>
      <rPr>
        <sz val="9"/>
        <color rgb="FF595959"/>
        <rFont val="Arial"/>
        <family val="0"/>
        <charset val="1"/>
      </rPr>
      <t xml:space="preserve">1H26</t>
    </r>
    <r>
      <rPr>
        <sz val="9"/>
        <color rgb="FF595959"/>
        <rFont val="Noto Sans CJK SC"/>
        <family val="2"/>
      </rPr>
      <t xml:space="preserve">＝第四節對帳差；</t>
    </r>
    <r>
      <rPr>
        <sz val="9"/>
        <color rgb="FF595959"/>
        <rFont val="Arial"/>
        <family val="0"/>
        <charset val="1"/>
      </rPr>
      <t xml:space="preserve">2025 </t>
    </r>
    <r>
      <rPr>
        <sz val="9"/>
        <color rgb="FF595959"/>
        <rFont val="Noto Sans CJK SC"/>
        <family val="2"/>
      </rPr>
      <t xml:space="preserve">含理財、定期存款、營運資金與融資到帳時點差</t>
    </r>
  </si>
  <si>
    <t xml:space="preserve">F67</t>
  </si>
  <si>
    <r>
      <rPr>
        <sz val="10"/>
        <color rgb="FF000000"/>
        <rFont val="Noto Sans CJK SC"/>
        <family val="2"/>
      </rPr>
      <t xml:space="preserve">對照：經調整淨虧損（非 </t>
    </r>
    <r>
      <rPr>
        <sz val="10"/>
        <color rgb="FF000000"/>
        <rFont val="Arial"/>
        <family val="0"/>
        <charset val="1"/>
      </rPr>
      <t xml:space="preserve">IFRS</t>
    </r>
    <r>
      <rPr>
        <sz val="10"/>
        <color rgb="FF000000"/>
        <rFont val="Noto Sans CJK SC"/>
        <family val="2"/>
      </rPr>
      <t xml:space="preserve">，負值）</t>
    </r>
  </si>
  <si>
    <r>
      <rPr>
        <sz val="9"/>
        <color rgb="FF595959"/>
        <rFont val="Arial"/>
        <family val="0"/>
        <charset val="1"/>
      </rPr>
      <t xml:space="preserve">SRC_ZP_146</t>
    </r>
    <r>
      <rPr>
        <sz val="9"/>
        <color rgb="FF595959"/>
        <rFont val="Noto Sans CJK SC"/>
        <family val="2"/>
      </rPr>
      <t xml:space="preserve">、</t>
    </r>
    <r>
      <rPr>
        <sz val="9"/>
        <color rgb="FF595959"/>
        <rFont val="Arial"/>
        <family val="0"/>
        <charset val="1"/>
      </rPr>
      <t xml:space="preserve">206</t>
    </r>
  </si>
  <si>
    <r>
      <rPr>
        <b val="true"/>
        <sz val="10"/>
        <rFont val="Noto Sans CJK SC"/>
        <family val="2"/>
      </rPr>
      <t xml:space="preserve">十、美元口徑（與 </t>
    </r>
    <r>
      <rPr>
        <b val="true"/>
        <sz val="10"/>
        <rFont val="Arial"/>
        <family val="0"/>
        <charset val="1"/>
      </rPr>
      <t xml:space="preserve">OpenAI v0.6 </t>
    </r>
    <r>
      <rPr>
        <b val="true"/>
        <sz val="10"/>
        <rFont val="Noto Sans CJK SC"/>
        <family val="2"/>
      </rPr>
      <t xml:space="preserve">並排；</t>
    </r>
    <r>
      <rPr>
        <b val="true"/>
        <sz val="10"/>
        <rFont val="Arial"/>
        <family val="0"/>
        <charset val="1"/>
      </rPr>
      <t xml:space="preserve">÷ USD/CNY ÷ 10</t>
    </r>
    <r>
      <rPr>
        <b val="true"/>
        <sz val="10"/>
        <rFont val="Noto Sans CJK SC"/>
        <family val="2"/>
      </rPr>
      <t xml:space="preserve">，同一匯率 </t>
    </r>
    <r>
      <rPr>
        <b val="true"/>
        <sz val="10"/>
        <rFont val="Arial"/>
        <family val="0"/>
        <charset val="1"/>
      </rPr>
      <t xml:space="preserve">D23</t>
    </r>
    <r>
      <rPr>
        <b val="true"/>
        <sz val="10"/>
        <rFont val="Noto Sans CJK SC"/>
        <family val="2"/>
      </rPr>
      <t xml:space="preserve">）</t>
    </r>
  </si>
  <si>
    <t xml:space="preserve">F68</t>
  </si>
  <si>
    <t xml:space="preserve">自由現金流（美元）</t>
  </si>
  <si>
    <t xml:space="preserve">F69</t>
  </si>
  <si>
    <t xml:space="preserve">已到位融資合計（美元）</t>
  </si>
  <si>
    <t xml:space="preserve">F70</t>
  </si>
  <si>
    <t xml:space="preserve">當年外部資金需求（美元）</t>
  </si>
  <si>
    <t xml:space="preserve">F71</t>
  </si>
  <si>
    <t xml:space="preserve">累計外部資金需求（美元）</t>
  </si>
  <si>
    <t xml:space="preserve">F72</t>
  </si>
  <si>
    <t xml:space="preserve">年底現金（美元）</t>
  </si>
  <si>
    <t xml:space="preserve">F73</t>
  </si>
  <si>
    <t xml:space="preserve">累計外部資金需求（轉股）（美元）</t>
  </si>
  <si>
    <t xml:space="preserve">F74</t>
  </si>
  <si>
    <t xml:space="preserve">年底現金（轉股）（美元）</t>
  </si>
  <si>
    <r>
      <rPr>
        <b val="true"/>
        <sz val="10"/>
        <rFont val="Noto Sans CJK SC"/>
        <family val="2"/>
      </rPr>
      <t xml:space="preserve">十一、</t>
    </r>
    <r>
      <rPr>
        <b val="true"/>
        <sz val="10"/>
        <rFont val="Arial"/>
        <family val="0"/>
        <charset val="1"/>
      </rPr>
      <t xml:space="preserve">r2 P2–P4</t>
    </r>
    <r>
      <rPr>
        <b val="true"/>
        <sz val="10"/>
        <rFont val="Noto Sans CJK SC"/>
        <family val="2"/>
      </rPr>
      <t xml:space="preserve">（招股章程，只列對照，不進現金流）：資本開支口徑、租賃（使用權資產、租賃負債、售後租回）、政府補助</t>
    </r>
  </si>
  <si>
    <t xml:space="preserve">F75</t>
  </si>
  <si>
    <r>
      <rPr>
        <sz val="10"/>
        <color rgb="FF000000"/>
        <rFont val="Arial"/>
        <family val="0"/>
        <charset val="1"/>
      </rPr>
      <t xml:space="preserve">P2 </t>
    </r>
    <r>
      <rPr>
        <sz val="10"/>
        <color rgb="FF000000"/>
        <rFont val="Noto Sans CJK SC"/>
        <family val="2"/>
      </rPr>
      <t xml:space="preserve">公告資本開支（權責口徑；含使用權資產添置）：</t>
    </r>
    <r>
      <rPr>
        <sz val="10"/>
        <color rgb="FF000000"/>
        <rFont val="Arial"/>
        <family val="0"/>
        <charset val="1"/>
      </rPr>
      <t xml:space="preserve">FY2024</t>
    </r>
  </si>
  <si>
    <r>
      <rPr>
        <sz val="9"/>
        <color rgb="FF595959"/>
        <rFont val="Arial"/>
        <family val="0"/>
        <charset val="1"/>
      </rPr>
      <t xml:space="preserve">SRC_ZP_150</t>
    </r>
    <r>
      <rPr>
        <sz val="9"/>
        <color rgb="FF595959"/>
        <rFont val="Noto Sans CJK SC"/>
        <family val="2"/>
      </rPr>
      <t xml:space="preserve">（年度公告比較數）</t>
    </r>
  </si>
  <si>
    <t xml:space="preserve">F76</t>
  </si>
  <si>
    <r>
      <rPr>
        <sz val="10"/>
        <color rgb="FF000000"/>
        <rFont val="Arial"/>
        <family val="0"/>
        <charset val="1"/>
      </rPr>
      <t xml:space="preserve">P2 </t>
    </r>
    <r>
      <rPr>
        <sz val="10"/>
        <color rgb="FF000000"/>
        <rFont val="Noto Sans CJK SC"/>
        <family val="2"/>
      </rPr>
      <t xml:space="preserve">公告資本開支（權責口徑）：</t>
    </r>
    <r>
      <rPr>
        <sz val="10"/>
        <color rgb="FF000000"/>
        <rFont val="Arial"/>
        <family val="0"/>
        <charset val="1"/>
      </rPr>
      <t xml:space="preserve">1H2025</t>
    </r>
  </si>
  <si>
    <r>
      <rPr>
        <sz val="9"/>
        <color rgb="FF595959"/>
        <rFont val="Arial"/>
        <family val="0"/>
        <charset val="1"/>
      </rPr>
      <t xml:space="preserve">SRC_ZP_210</t>
    </r>
    <r>
      <rPr>
        <sz val="9"/>
        <color rgb="FF595959"/>
        <rFont val="Noto Sans CJK SC"/>
        <family val="2"/>
      </rPr>
      <t xml:space="preserve">（中期公告比較數）</t>
    </r>
  </si>
  <si>
    <t xml:space="preserve">F77</t>
  </si>
  <si>
    <r>
      <rPr>
        <sz val="10"/>
        <color rgb="FF000000"/>
        <rFont val="Arial"/>
        <family val="0"/>
        <charset val="1"/>
      </rPr>
      <t xml:space="preserve">P2 </t>
    </r>
    <r>
      <rPr>
        <sz val="10"/>
        <color rgb="FF000000"/>
        <rFont val="Noto Sans CJK SC"/>
        <family val="2"/>
      </rPr>
      <t xml:space="preserve">現金資本開支（購買物業及設備＋無形資產）：</t>
    </r>
    <r>
      <rPr>
        <sz val="10"/>
        <color rgb="FF000000"/>
        <rFont val="Arial"/>
        <family val="0"/>
        <charset val="1"/>
      </rPr>
      <t xml:space="preserve">FY2024</t>
    </r>
  </si>
  <si>
    <r>
      <rPr>
        <sz val="9"/>
        <color rgb="FF595959"/>
        <rFont val="Arial"/>
        <family val="0"/>
        <charset val="1"/>
      </rPr>
      <t xml:space="preserve">SRC_ZP_889</t>
    </r>
    <r>
      <rPr>
        <sz val="9"/>
        <color rgb="FF595959"/>
        <rFont val="Noto Sans CJK SC"/>
        <family val="2"/>
      </rPr>
      <t xml:space="preserve">／</t>
    </r>
    <r>
      <rPr>
        <sz val="9"/>
        <color rgb="FF595959"/>
        <rFont val="Arial"/>
        <family val="0"/>
        <charset val="1"/>
      </rPr>
      <t xml:space="preserve">891</t>
    </r>
    <r>
      <rPr>
        <sz val="9"/>
        <color rgb="FF595959"/>
        <rFont val="Noto Sans CJK SC"/>
        <family val="2"/>
      </rPr>
      <t xml:space="preserve">（招股章程現金流量表）</t>
    </r>
  </si>
  <si>
    <t xml:space="preserve">F78</t>
  </si>
  <si>
    <r>
      <rPr>
        <sz val="10"/>
        <color rgb="FF000000"/>
        <rFont val="Arial"/>
        <family val="0"/>
        <charset val="1"/>
      </rPr>
      <t xml:space="preserve">P2 </t>
    </r>
    <r>
      <rPr>
        <sz val="10"/>
        <color rgb="FF000000"/>
        <rFont val="Noto Sans CJK SC"/>
        <family val="2"/>
      </rPr>
      <t xml:space="preserve">其中使用權資產添置（不是現金資本開支）：</t>
    </r>
    <r>
      <rPr>
        <sz val="10"/>
        <color rgb="FF000000"/>
        <rFont val="Arial"/>
        <family val="0"/>
        <charset val="1"/>
      </rPr>
      <t xml:space="preserve">FY2024</t>
    </r>
  </si>
  <si>
    <r>
      <rPr>
        <sz val="9"/>
        <color rgb="FF595959"/>
        <rFont val="Arial"/>
        <family val="0"/>
        <charset val="1"/>
      </rPr>
      <t xml:space="preserve">SRC_ZP_898</t>
    </r>
    <r>
      <rPr>
        <sz val="9"/>
        <color rgb="FF595959"/>
        <rFont val="Noto Sans CJK SC"/>
        <family val="2"/>
      </rPr>
      <t xml:space="preserve">／</t>
    </r>
    <r>
      <rPr>
        <sz val="9"/>
        <color rgb="FF595959"/>
        <rFont val="Arial"/>
        <family val="0"/>
        <charset val="1"/>
      </rPr>
      <t xml:space="preserve">899</t>
    </r>
  </si>
  <si>
    <t xml:space="preserve">F79</t>
  </si>
  <si>
    <r>
      <rPr>
        <sz val="10"/>
        <color rgb="FF000000"/>
        <rFont val="Arial"/>
        <family val="0"/>
        <charset val="1"/>
      </rPr>
      <t xml:space="preserve">P2 </t>
    </r>
    <r>
      <rPr>
        <sz val="10"/>
        <color rgb="FF000000"/>
        <rFont val="Noto Sans CJK SC"/>
        <family val="2"/>
      </rPr>
      <t xml:space="preserve">權責 − 現金：</t>
    </r>
    <r>
      <rPr>
        <sz val="10"/>
        <color rgb="FF000000"/>
        <rFont val="Arial"/>
        <family val="0"/>
        <charset val="1"/>
      </rPr>
      <t xml:space="preserve">FY2024</t>
    </r>
  </si>
  <si>
    <t xml:space="preserve">差額主要是使用權資產（租賃算力硬件與辦公室）</t>
  </si>
  <si>
    <t xml:space="preserve">F80</t>
  </si>
  <si>
    <r>
      <rPr>
        <sz val="10"/>
        <color rgb="FF000000"/>
        <rFont val="Arial"/>
        <family val="0"/>
        <charset val="1"/>
      </rPr>
      <t xml:space="preserve">P2 </t>
    </r>
    <r>
      <rPr>
        <sz val="10"/>
        <color rgb="FF000000"/>
        <rFont val="Noto Sans CJK SC"/>
        <family val="2"/>
      </rPr>
      <t xml:space="preserve">現金資本開支（購買物業及設備＋無形資產）：</t>
    </r>
    <r>
      <rPr>
        <sz val="10"/>
        <color rgb="FF000000"/>
        <rFont val="Arial"/>
        <family val="0"/>
        <charset val="1"/>
      </rPr>
      <t xml:space="preserve">1H2025</t>
    </r>
  </si>
  <si>
    <t xml:space="preserve">F81</t>
  </si>
  <si>
    <r>
      <rPr>
        <sz val="10"/>
        <color rgb="FF000000"/>
        <rFont val="Arial"/>
        <family val="0"/>
        <charset val="1"/>
      </rPr>
      <t xml:space="preserve">P2 </t>
    </r>
    <r>
      <rPr>
        <sz val="10"/>
        <color rgb="FF000000"/>
        <rFont val="Noto Sans CJK SC"/>
        <family val="2"/>
      </rPr>
      <t xml:space="preserve">其中使用權資產添置（不是現金資本開支）：</t>
    </r>
    <r>
      <rPr>
        <sz val="10"/>
        <color rgb="FF000000"/>
        <rFont val="Arial"/>
        <family val="0"/>
        <charset val="1"/>
      </rPr>
      <t xml:space="preserve">1H2025</t>
    </r>
  </si>
  <si>
    <t xml:space="preserve">F82</t>
  </si>
  <si>
    <r>
      <rPr>
        <sz val="10"/>
        <color rgb="FF000000"/>
        <rFont val="Arial"/>
        <family val="0"/>
        <charset val="1"/>
      </rPr>
      <t xml:space="preserve">P2 </t>
    </r>
    <r>
      <rPr>
        <sz val="10"/>
        <color rgb="FF000000"/>
        <rFont val="Noto Sans CJK SC"/>
        <family val="2"/>
      </rPr>
      <t xml:space="preserve">權責 − 現金：</t>
    </r>
    <r>
      <rPr>
        <sz val="10"/>
        <color rgb="FF000000"/>
        <rFont val="Arial"/>
        <family val="0"/>
        <charset val="1"/>
      </rPr>
      <t xml:space="preserve">1H2025</t>
    </r>
  </si>
  <si>
    <t xml:space="preserve">F83</t>
  </si>
  <si>
    <r>
      <rPr>
        <sz val="10"/>
        <color rgb="FF000000"/>
        <rFont val="Arial"/>
        <family val="0"/>
        <charset val="1"/>
      </rPr>
      <t xml:space="preserve">P3 </t>
    </r>
    <r>
      <rPr>
        <sz val="10"/>
        <color rgb="FF000000"/>
        <rFont val="Noto Sans CJK SC"/>
        <family val="2"/>
      </rPr>
      <t xml:space="preserve">使用權資產：電子設備（租賃算力硬件）賬面值 </t>
    </r>
    <r>
      <rPr>
        <sz val="10"/>
        <color rgb="FF000000"/>
        <rFont val="Arial"/>
        <family val="0"/>
        <charset val="1"/>
      </rPr>
      <t xml:space="preserve">2025-06-30</t>
    </r>
  </si>
  <si>
    <r>
      <rPr>
        <sz val="9"/>
        <color rgb="FF595959"/>
        <rFont val="Arial"/>
        <family val="0"/>
        <charset val="1"/>
      </rPr>
      <t xml:space="preserve">SRC_ZP_925</t>
    </r>
    <r>
      <rPr>
        <sz val="9"/>
        <color rgb="FF595959"/>
        <rFont val="Noto Sans CJK SC"/>
        <family val="2"/>
      </rPr>
      <t xml:space="preserve">；</t>
    </r>
    <r>
      <rPr>
        <sz val="9"/>
        <color rgb="FF595959"/>
        <rFont val="Arial"/>
        <family val="0"/>
        <charset val="1"/>
      </rPr>
      <t xml:space="preserve">FY2024 4.84</t>
    </r>
    <r>
      <rPr>
        <sz val="9"/>
        <color rgb="FF595959"/>
        <rFont val="Noto Sans CJK SC"/>
        <family val="2"/>
      </rPr>
      <t xml:space="preserve">（</t>
    </r>
    <r>
      <rPr>
        <sz val="9"/>
        <color rgb="FF595959"/>
        <rFont val="Arial"/>
        <family val="0"/>
        <charset val="1"/>
      </rPr>
      <t xml:space="preserve">SRC_ZP_924</t>
    </r>
    <r>
      <rPr>
        <sz val="9"/>
        <color rgb="FF595959"/>
        <rFont val="Noto Sans CJK SC"/>
        <family val="2"/>
      </rPr>
      <t xml:space="preserve">）</t>
    </r>
  </si>
  <si>
    <t xml:space="preserve">F84</t>
  </si>
  <si>
    <r>
      <rPr>
        <sz val="10"/>
        <color rgb="FF000000"/>
        <rFont val="Arial"/>
        <family val="0"/>
        <charset val="1"/>
      </rPr>
      <t xml:space="preserve">P3 </t>
    </r>
    <r>
      <rPr>
        <sz val="10"/>
        <color rgb="FF000000"/>
        <rFont val="Noto Sans CJK SC"/>
        <family val="2"/>
      </rPr>
      <t xml:space="preserve">租賃負債合計（債務；</t>
    </r>
    <r>
      <rPr>
        <sz val="10"/>
        <color rgb="FF000000"/>
        <rFont val="Arial"/>
        <family val="0"/>
        <charset val="1"/>
      </rPr>
      <t xml:space="preserve">2025-12-31</t>
    </r>
    <r>
      <rPr>
        <sz val="10"/>
        <color rgb="FF000000"/>
        <rFont val="Noto Sans CJK SC"/>
        <family val="2"/>
      </rPr>
      <t xml:space="preserve">）</t>
    </r>
  </si>
  <si>
    <r>
      <rPr>
        <sz val="9"/>
        <color rgb="FF595959"/>
        <rFont val="Arial"/>
        <family val="0"/>
        <charset val="1"/>
      </rPr>
      <t xml:space="preserve">D</t>
    </r>
    <r>
      <rPr>
        <sz val="9"/>
        <color rgb="FF595959"/>
        <rFont val="Noto Sans CJK SC"/>
        <family val="2"/>
      </rPr>
      <t xml:space="preserve">＝</t>
    </r>
    <r>
      <rPr>
        <sz val="9"/>
        <color rgb="FF595959"/>
        <rFont val="Arial"/>
        <family val="0"/>
        <charset val="1"/>
      </rPr>
      <t xml:space="preserve">2025-12-31</t>
    </r>
    <r>
      <rPr>
        <sz val="9"/>
        <color rgb="FF595959"/>
        <rFont val="Noto Sans CJK SC"/>
        <family val="2"/>
      </rPr>
      <t xml:space="preserve">（</t>
    </r>
    <r>
      <rPr>
        <sz val="9"/>
        <color rgb="FF595959"/>
        <rFont val="Arial"/>
        <family val="0"/>
        <charset val="1"/>
      </rPr>
      <t xml:space="preserve">SRC_ZP_157</t>
    </r>
    <r>
      <rPr>
        <sz val="9"/>
        <color rgb="FF595959"/>
        <rFont val="Noto Sans CJK SC"/>
        <family val="2"/>
      </rPr>
      <t xml:space="preserve">）；</t>
    </r>
    <r>
      <rPr>
        <sz val="9"/>
        <color rgb="FF595959"/>
        <rFont val="Arial"/>
        <family val="0"/>
        <charset val="1"/>
      </rPr>
      <t xml:space="preserve">2024-12-31 6.71</t>
    </r>
    <r>
      <rPr>
        <sz val="9"/>
        <color rgb="FF595959"/>
        <rFont val="Noto Sans CJK SC"/>
        <family val="2"/>
      </rPr>
      <t xml:space="preserve">（</t>
    </r>
    <r>
      <rPr>
        <sz val="9"/>
        <color rgb="FF595959"/>
        <rFont val="Arial"/>
        <family val="0"/>
        <charset val="1"/>
      </rPr>
      <t xml:space="preserve">SRC_ZP_813</t>
    </r>
    <r>
      <rPr>
        <sz val="9"/>
        <color rgb="FF595959"/>
        <rFont val="Noto Sans CJK SC"/>
        <family val="2"/>
      </rPr>
      <t xml:space="preserve">）、</t>
    </r>
    <r>
      <rPr>
        <sz val="9"/>
        <color rgb="FF595959"/>
        <rFont val="Arial"/>
        <family val="0"/>
        <charset val="1"/>
      </rPr>
      <t xml:space="preserve">2025-06-30 6.00</t>
    </r>
    <r>
      <rPr>
        <sz val="9"/>
        <color rgb="FF595959"/>
        <rFont val="Noto Sans CJK SC"/>
        <family val="2"/>
      </rPr>
      <t xml:space="preserve">（</t>
    </r>
    <r>
      <rPr>
        <sz val="9"/>
        <color rgb="FF595959"/>
        <rFont val="Arial"/>
        <family val="0"/>
        <charset val="1"/>
      </rPr>
      <t xml:space="preserve">SRC_ZP_814</t>
    </r>
    <r>
      <rPr>
        <sz val="9"/>
        <color rgb="FF595959"/>
        <rFont val="Noto Sans CJK SC"/>
        <family val="2"/>
      </rPr>
      <t xml:space="preserve">）、</t>
    </r>
    <r>
      <rPr>
        <sz val="9"/>
        <color rgb="FF595959"/>
        <rFont val="Arial"/>
        <family val="0"/>
        <charset val="1"/>
      </rPr>
      <t xml:space="preserve">2025-10-31 5.65</t>
    </r>
    <r>
      <rPr>
        <sz val="9"/>
        <color rgb="FF595959"/>
        <rFont val="Noto Sans CJK SC"/>
        <family val="2"/>
      </rPr>
      <t xml:space="preserve">（</t>
    </r>
    <r>
      <rPr>
        <sz val="9"/>
        <color rgb="FF595959"/>
        <rFont val="Arial"/>
        <family val="0"/>
        <charset val="1"/>
      </rPr>
      <t xml:space="preserve">SRC_ZP_815</t>
    </r>
    <r>
      <rPr>
        <sz val="9"/>
        <color rgb="FF595959"/>
        <rFont val="Noto Sans CJK SC"/>
        <family val="2"/>
      </rPr>
      <t xml:space="preserve">）</t>
    </r>
  </si>
  <si>
    <t xml:space="preserve">F85</t>
  </si>
  <si>
    <r>
      <rPr>
        <sz val="10"/>
        <color rgb="FF000000"/>
        <rFont val="Arial"/>
        <family val="0"/>
        <charset val="1"/>
      </rPr>
      <t xml:space="preserve">P3 </t>
    </r>
    <r>
      <rPr>
        <sz val="10"/>
        <color rgb="FF000000"/>
        <rFont val="Noto Sans CJK SC"/>
        <family val="2"/>
      </rPr>
      <t xml:space="preserve">租賃負債到期（</t>
    </r>
    <r>
      <rPr>
        <sz val="10"/>
        <color rgb="FF000000"/>
        <rFont val="Arial"/>
        <family val="0"/>
        <charset val="1"/>
      </rPr>
      <t xml:space="preserve">2025-06-30</t>
    </r>
    <r>
      <rPr>
        <sz val="10"/>
        <color rgb="FF000000"/>
        <rFont val="Noto Sans CJK SC"/>
        <family val="2"/>
      </rPr>
      <t xml:space="preserve">）：</t>
    </r>
    <r>
      <rPr>
        <sz val="10"/>
        <color rgb="FF000000"/>
        <rFont val="Arial"/>
        <family val="0"/>
        <charset val="1"/>
      </rPr>
      <t xml:space="preserve">1 </t>
    </r>
    <r>
      <rPr>
        <sz val="10"/>
        <color rgb="FF000000"/>
        <rFont val="Noto Sans CJK SC"/>
        <family val="2"/>
      </rPr>
      <t xml:space="preserve">年內</t>
    </r>
  </si>
  <si>
    <t xml:space="preserve">F86</t>
  </si>
  <si>
    <r>
      <rPr>
        <sz val="10"/>
        <color rgb="FF000000"/>
        <rFont val="Arial"/>
        <family val="0"/>
        <charset val="1"/>
      </rPr>
      <t xml:space="preserve">P3 </t>
    </r>
    <r>
      <rPr>
        <sz val="10"/>
        <color rgb="FF000000"/>
        <rFont val="Noto Sans CJK SC"/>
        <family val="2"/>
      </rPr>
      <t xml:space="preserve">租賃負債到期（</t>
    </r>
    <r>
      <rPr>
        <sz val="10"/>
        <color rgb="FF000000"/>
        <rFont val="Arial"/>
        <family val="0"/>
        <charset val="1"/>
      </rPr>
      <t xml:space="preserve">2025-06-30</t>
    </r>
    <r>
      <rPr>
        <sz val="10"/>
        <color rgb="FF000000"/>
        <rFont val="Noto Sans CJK SC"/>
        <family val="2"/>
      </rPr>
      <t xml:space="preserve">）：</t>
    </r>
    <r>
      <rPr>
        <sz val="10"/>
        <color rgb="FF000000"/>
        <rFont val="Arial"/>
        <family val="0"/>
        <charset val="1"/>
      </rPr>
      <t xml:space="preserve">1–2 </t>
    </r>
    <r>
      <rPr>
        <sz val="10"/>
        <color rgb="FF000000"/>
        <rFont val="Noto Sans CJK SC"/>
        <family val="2"/>
      </rPr>
      <t xml:space="preserve">年</t>
    </r>
  </si>
  <si>
    <t xml:space="preserve">F87</t>
  </si>
  <si>
    <r>
      <rPr>
        <sz val="10"/>
        <color rgb="FF000000"/>
        <rFont val="Arial"/>
        <family val="0"/>
        <charset val="1"/>
      </rPr>
      <t xml:space="preserve">P3 </t>
    </r>
    <r>
      <rPr>
        <sz val="10"/>
        <color rgb="FF000000"/>
        <rFont val="Noto Sans CJK SC"/>
        <family val="2"/>
      </rPr>
      <t xml:space="preserve">租賃負債到期（</t>
    </r>
    <r>
      <rPr>
        <sz val="10"/>
        <color rgb="FF000000"/>
        <rFont val="Arial"/>
        <family val="0"/>
        <charset val="1"/>
      </rPr>
      <t xml:space="preserve">2025-06-30</t>
    </r>
    <r>
      <rPr>
        <sz val="10"/>
        <color rgb="FF000000"/>
        <rFont val="Noto Sans CJK SC"/>
        <family val="2"/>
      </rPr>
      <t xml:space="preserve">）：</t>
    </r>
    <r>
      <rPr>
        <sz val="10"/>
        <color rgb="FF000000"/>
        <rFont val="Arial"/>
        <family val="0"/>
        <charset val="1"/>
      </rPr>
      <t xml:space="preserve">2–5 </t>
    </r>
    <r>
      <rPr>
        <sz val="10"/>
        <color rgb="FF000000"/>
        <rFont val="Noto Sans CJK SC"/>
        <family val="2"/>
      </rPr>
      <t xml:space="preserve">年</t>
    </r>
  </si>
  <si>
    <t xml:space="preserve">F88</t>
  </si>
  <si>
    <r>
      <rPr>
        <sz val="10"/>
        <color rgb="FF000000"/>
        <rFont val="Arial"/>
        <family val="0"/>
        <charset val="1"/>
      </rPr>
      <t xml:space="preserve">P3 </t>
    </r>
    <r>
      <rPr>
        <sz val="10"/>
        <color rgb="FF000000"/>
        <rFont val="Noto Sans CJK SC"/>
        <family val="2"/>
      </rPr>
      <t xml:space="preserve">租賃負債實際利率</t>
    </r>
  </si>
  <si>
    <r>
      <rPr>
        <sz val="9"/>
        <color rgb="FF595959"/>
        <rFont val="Arial"/>
        <family val="0"/>
        <charset val="1"/>
      </rPr>
      <t xml:space="preserve">SRC_ZP_828</t>
    </r>
    <r>
      <rPr>
        <sz val="9"/>
        <color rgb="FF595959"/>
        <rFont val="Noto Sans CJK SC"/>
        <family val="2"/>
      </rPr>
      <t xml:space="preserve">（</t>
    </r>
    <r>
      <rPr>
        <sz val="9"/>
        <color rgb="FF595959"/>
        <rFont val="Arial"/>
        <family val="0"/>
        <charset val="1"/>
      </rPr>
      <t xml:space="preserve">4.75%</t>
    </r>
    <r>
      <rPr>
        <sz val="9"/>
        <color rgb="FF595959"/>
        <rFont val="Noto Sans CJK SC"/>
        <family val="2"/>
      </rPr>
      <t xml:space="preserve">）</t>
    </r>
  </si>
  <si>
    <t xml:space="preserve">F89</t>
  </si>
  <si>
    <r>
      <rPr>
        <sz val="10"/>
        <color rgb="FF000000"/>
        <rFont val="Arial"/>
        <family val="0"/>
        <charset val="1"/>
      </rPr>
      <t xml:space="preserve">P3 </t>
    </r>
    <r>
      <rPr>
        <sz val="10"/>
        <color rgb="FF000000"/>
        <rFont val="Noto Sans CJK SC"/>
        <family val="2"/>
      </rPr>
      <t xml:space="preserve">售後租回（</t>
    </r>
    <r>
      <rPr>
        <sz val="10"/>
        <color rgb="FF000000"/>
        <rFont val="Arial"/>
        <family val="0"/>
        <charset val="1"/>
      </rPr>
      <t xml:space="preserve">FY2024</t>
    </r>
    <r>
      <rPr>
        <sz val="10"/>
        <color rgb="FF000000"/>
        <rFont val="Noto Sans CJK SC"/>
        <family val="2"/>
      </rPr>
      <t xml:space="preserve">）：電子設備轉出原值（或有：租期 </t>
    </r>
    <r>
      <rPr>
        <sz val="10"/>
        <color rgb="FF000000"/>
        <rFont val="Arial"/>
        <family val="0"/>
        <charset val="1"/>
      </rPr>
      <t xml:space="preserve">4 </t>
    </r>
    <r>
      <rPr>
        <sz val="10"/>
        <color rgb="FF000000"/>
        <rFont val="Noto Sans CJK SC"/>
        <family val="2"/>
      </rPr>
      <t xml:space="preserve">年、融資性質）</t>
    </r>
  </si>
  <si>
    <r>
      <rPr>
        <sz val="9"/>
        <color rgb="FF595959"/>
        <rFont val="Arial"/>
        <family val="0"/>
        <charset val="1"/>
      </rPr>
      <t xml:space="preserve">SRC_ZP_904</t>
    </r>
    <r>
      <rPr>
        <sz val="9"/>
        <color rgb="FF595959"/>
        <rFont val="Noto Sans CJK SC"/>
        <family val="2"/>
      </rPr>
      <t xml:space="preserve">；第 </t>
    </r>
    <r>
      <rPr>
        <sz val="9"/>
        <color rgb="FF595959"/>
        <rFont val="Arial"/>
        <family val="0"/>
        <charset val="1"/>
      </rPr>
      <t xml:space="preserve">279 </t>
    </r>
    <r>
      <rPr>
        <sz val="9"/>
        <color rgb="FF595959"/>
        <rFont val="Noto Sans CJK SC"/>
        <family val="2"/>
      </rPr>
      <t xml:space="preserve">頁「將部分電子設備從自有轉向租賃」；已含於租賃負債</t>
    </r>
  </si>
  <si>
    <t xml:space="preserve">F90</t>
  </si>
  <si>
    <r>
      <rPr>
        <sz val="10"/>
        <color rgb="FF000000"/>
        <rFont val="Arial"/>
        <family val="0"/>
        <charset val="1"/>
      </rPr>
      <t xml:space="preserve">P3 </t>
    </r>
    <r>
      <rPr>
        <sz val="10"/>
        <color rgb="FF000000"/>
        <rFont val="Noto Sans CJK SC"/>
        <family val="2"/>
      </rPr>
      <t xml:space="preserve">租賃現金流出（經營＋融資）：</t>
    </r>
    <r>
      <rPr>
        <sz val="10"/>
        <color rgb="FF000000"/>
        <rFont val="Arial"/>
        <family val="0"/>
        <charset val="1"/>
      </rPr>
      <t xml:space="preserve">FY2024</t>
    </r>
  </si>
  <si>
    <r>
      <rPr>
        <sz val="9"/>
        <color rgb="FF595959"/>
        <rFont val="Arial"/>
        <family val="0"/>
        <charset val="1"/>
      </rPr>
      <t xml:space="preserve">SRC_ZP_831</t>
    </r>
    <r>
      <rPr>
        <sz val="9"/>
        <color rgb="FF595959"/>
        <rFont val="Noto Sans CJK SC"/>
        <family val="2"/>
      </rPr>
      <t xml:space="preserve">／</t>
    </r>
    <r>
      <rPr>
        <sz val="9"/>
        <color rgb="FF595959"/>
        <rFont val="Arial"/>
        <family val="0"/>
        <charset val="1"/>
      </rPr>
      <t xml:space="preserve">833</t>
    </r>
  </si>
  <si>
    <t xml:space="preserve">F91</t>
  </si>
  <si>
    <r>
      <rPr>
        <sz val="10"/>
        <color rgb="FF000000"/>
        <rFont val="Arial"/>
        <family val="0"/>
        <charset val="1"/>
      </rPr>
      <t xml:space="preserve">P3 </t>
    </r>
    <r>
      <rPr>
        <sz val="10"/>
        <color rgb="FF000000"/>
        <rFont val="Noto Sans CJK SC"/>
        <family val="2"/>
      </rPr>
      <t xml:space="preserve">使用權資產（電子設備）折舊：</t>
    </r>
    <r>
      <rPr>
        <sz val="10"/>
        <color rgb="FF000000"/>
        <rFont val="Arial"/>
        <family val="0"/>
        <charset val="1"/>
      </rPr>
      <t xml:space="preserve">FY2024</t>
    </r>
  </si>
  <si>
    <r>
      <rPr>
        <sz val="9"/>
        <color rgb="FF595959"/>
        <rFont val="Arial"/>
        <family val="0"/>
        <charset val="1"/>
      </rPr>
      <t xml:space="preserve">SRC_ZP_937</t>
    </r>
    <r>
      <rPr>
        <sz val="9"/>
        <color rgb="FF595959"/>
        <rFont val="Noto Sans CJK SC"/>
        <family val="2"/>
      </rPr>
      <t xml:space="preserve">／</t>
    </r>
    <r>
      <rPr>
        <sz val="9"/>
        <color rgb="FF595959"/>
        <rFont val="Arial"/>
        <family val="0"/>
        <charset val="1"/>
      </rPr>
      <t xml:space="preserve">939</t>
    </r>
    <r>
      <rPr>
        <sz val="9"/>
        <color rgb="FF595959"/>
        <rFont val="Noto Sans CJK SC"/>
        <family val="2"/>
      </rPr>
      <t xml:space="preserve">；計入研發折舊攤銷（非算力服務費）</t>
    </r>
  </si>
  <si>
    <t xml:space="preserve">F92</t>
  </si>
  <si>
    <r>
      <rPr>
        <sz val="10"/>
        <color rgb="FF000000"/>
        <rFont val="Arial"/>
        <family val="0"/>
        <charset val="1"/>
      </rPr>
      <t xml:space="preserve">P3 </t>
    </r>
    <r>
      <rPr>
        <sz val="10"/>
        <color rgb="FF000000"/>
        <rFont val="Noto Sans CJK SC"/>
        <family val="2"/>
      </rPr>
      <t xml:space="preserve">租賃現金流出（經營＋融資）：</t>
    </r>
    <r>
      <rPr>
        <sz val="10"/>
        <color rgb="FF000000"/>
        <rFont val="Arial"/>
        <family val="0"/>
        <charset val="1"/>
      </rPr>
      <t xml:space="preserve">1H2025</t>
    </r>
  </si>
  <si>
    <t xml:space="preserve">F93</t>
  </si>
  <si>
    <r>
      <rPr>
        <sz val="10"/>
        <color rgb="FF000000"/>
        <rFont val="Arial"/>
        <family val="0"/>
        <charset val="1"/>
      </rPr>
      <t xml:space="preserve">P3 </t>
    </r>
    <r>
      <rPr>
        <sz val="10"/>
        <color rgb="FF000000"/>
        <rFont val="Noto Sans CJK SC"/>
        <family val="2"/>
      </rPr>
      <t xml:space="preserve">使用權資產（電子設備）折舊：</t>
    </r>
    <r>
      <rPr>
        <sz val="10"/>
        <color rgb="FF000000"/>
        <rFont val="Arial"/>
        <family val="0"/>
        <charset val="1"/>
      </rPr>
      <t xml:space="preserve">1H2025</t>
    </r>
  </si>
  <si>
    <t xml:space="preserve">F94</t>
  </si>
  <si>
    <r>
      <rPr>
        <sz val="10"/>
        <color rgb="FF000000"/>
        <rFont val="Arial"/>
        <family val="0"/>
        <charset val="1"/>
      </rPr>
      <t xml:space="preserve">P3 </t>
    </r>
    <r>
      <rPr>
        <sz val="10"/>
        <color rgb="FF000000"/>
        <rFont val="Noto Sans CJK SC"/>
        <family val="2"/>
      </rPr>
      <t xml:space="preserve">判斷：租賃付款是否已在模型現金流中</t>
    </r>
  </si>
  <si>
    <r>
      <rPr>
        <sz val="9"/>
        <color rgb="FF595959"/>
        <rFont val="Noto Sans CJK SC"/>
        <family val="2"/>
      </rPr>
      <t xml:space="preserve">否，不在算力服務費內（</t>
    </r>
    <r>
      <rPr>
        <sz val="9"/>
        <color rgb="FF595959"/>
        <rFont val="Arial"/>
        <family val="0"/>
        <charset val="1"/>
      </rPr>
      <t xml:space="preserve">IFRS 16</t>
    </r>
    <r>
      <rPr>
        <sz val="9"/>
        <color rgb="FF595959"/>
        <rFont val="Noto Sans CJK SC"/>
        <family val="2"/>
      </rPr>
      <t xml:space="preserve">：使用權資產折舊入研發折舊攤銷、利息入財務成本）；但校準期非算力成本＝財報費用殘差，已含使用權資產折舊（≈本金償還），利息在財務成本（</t>
    </r>
    <r>
      <rPr>
        <sz val="9"/>
        <color rgb="FF595959"/>
        <rFont val="Arial"/>
        <family val="0"/>
        <charset val="1"/>
      </rPr>
      <t xml:space="preserve">Funding </t>
    </r>
    <r>
      <rPr>
        <sz val="9"/>
        <color rgb="FF595959"/>
        <rFont val="Noto Sans CJK SC"/>
        <family val="2"/>
      </rPr>
      <t xml:space="preserve">利息列 </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實付），</t>
    </r>
    <r>
      <rPr>
        <sz val="9"/>
        <color rgb="FF595959"/>
        <rFont val="Arial"/>
        <family val="0"/>
        <charset val="1"/>
      </rPr>
      <t xml:space="preserve">2H26 </t>
    </r>
    <r>
      <rPr>
        <sz val="9"/>
        <color rgb="FF595959"/>
        <rFont val="Noto Sans CJK SC"/>
        <family val="2"/>
      </rPr>
      <t xml:space="preserve">起非算力成本依人數外推亦含此部分 → 不另加付款，避免重複；租賃負債只列債務與或有（見報告）</t>
    </r>
  </si>
  <si>
    <t xml:space="preserve">F95</t>
  </si>
  <si>
    <r>
      <rPr>
        <sz val="10"/>
        <color rgb="FF000000"/>
        <rFont val="Arial"/>
        <family val="0"/>
        <charset val="1"/>
      </rPr>
      <t xml:space="preserve">P4 </t>
    </r>
    <r>
      <rPr>
        <sz val="10"/>
        <color rgb="FF000000"/>
        <rFont val="Noto Sans CJK SC"/>
        <family val="2"/>
      </rPr>
      <t xml:space="preserve">政府補助撥入損益（沖減開支，不在其他收入）：</t>
    </r>
    <r>
      <rPr>
        <sz val="10"/>
        <color rgb="FF000000"/>
        <rFont val="Arial"/>
        <family val="0"/>
        <charset val="1"/>
      </rPr>
      <t xml:space="preserve">FY2024</t>
    </r>
  </si>
  <si>
    <r>
      <rPr>
        <sz val="9"/>
        <color rgb="FF595959"/>
        <rFont val="Arial"/>
        <family val="0"/>
        <charset val="1"/>
      </rPr>
      <t xml:space="preserve">SRC_ZP_1035</t>
    </r>
    <r>
      <rPr>
        <sz val="9"/>
        <color rgb="FF595959"/>
        <rFont val="Noto Sans CJK SC"/>
        <family val="2"/>
      </rPr>
      <t xml:space="preserve">／</t>
    </r>
    <r>
      <rPr>
        <sz val="9"/>
        <color rgb="FF595959"/>
        <rFont val="Arial"/>
        <family val="0"/>
        <charset val="1"/>
      </rPr>
      <t xml:space="preserve">1036</t>
    </r>
    <r>
      <rPr>
        <sz val="9"/>
        <color rgb="FF595959"/>
        <rFont val="Noto Sans CJK SC"/>
        <family val="2"/>
      </rPr>
      <t xml:space="preserve">；已含在費用淨額，模型不另加</t>
    </r>
  </si>
  <si>
    <t xml:space="preserve">F96</t>
  </si>
  <si>
    <r>
      <rPr>
        <sz val="10"/>
        <color rgb="FF000000"/>
        <rFont val="Arial"/>
        <family val="0"/>
        <charset val="1"/>
      </rPr>
      <t xml:space="preserve">P4 </t>
    </r>
    <r>
      <rPr>
        <sz val="10"/>
        <color rgb="FF000000"/>
        <rFont val="Noto Sans CJK SC"/>
        <family val="2"/>
      </rPr>
      <t xml:space="preserve">政府補助收取額（推算）：</t>
    </r>
    <r>
      <rPr>
        <sz val="10"/>
        <color rgb="FF000000"/>
        <rFont val="Arial"/>
        <family val="0"/>
        <charset val="1"/>
      </rPr>
      <t xml:space="preserve">FY2024</t>
    </r>
  </si>
  <si>
    <r>
      <rPr>
        <sz val="9"/>
        <color rgb="FF595959"/>
        <rFont val="Arial"/>
        <family val="0"/>
        <charset val="1"/>
      </rPr>
      <t xml:space="preserve">SRC_ZP_1043</t>
    </r>
    <r>
      <rPr>
        <sz val="9"/>
        <color rgb="FF595959"/>
        <rFont val="Noto Sans CJK SC"/>
        <family val="2"/>
      </rPr>
      <t xml:space="preserve">／</t>
    </r>
    <r>
      <rPr>
        <sz val="9"/>
        <color rgb="FF595959"/>
        <rFont val="Arial"/>
        <family val="0"/>
        <charset val="1"/>
      </rPr>
      <t xml:space="preserve">1044</t>
    </r>
    <r>
      <rPr>
        <sz val="9"/>
        <color rgb="FF595959"/>
        <rFont val="Noto Sans CJK SC"/>
        <family val="2"/>
      </rPr>
      <t xml:space="preserve">（</t>
    </r>
    <r>
      <rPr>
        <sz val="9"/>
        <color rgb="FF595959"/>
        <rFont val="Arial"/>
        <family val="0"/>
        <charset val="1"/>
      </rPr>
      <t xml:space="preserve">Derived</t>
    </r>
    <r>
      <rPr>
        <sz val="9"/>
        <color rgb="FF595959"/>
        <rFont val="Noto Sans CJK SC"/>
        <family val="2"/>
      </rPr>
      <t xml:space="preserve">）</t>
    </r>
  </si>
  <si>
    <t xml:space="preserve">F97</t>
  </si>
  <si>
    <r>
      <rPr>
        <sz val="10"/>
        <color rgb="FF000000"/>
        <rFont val="Arial"/>
        <family val="0"/>
        <charset val="1"/>
      </rPr>
      <t xml:space="preserve">P4 </t>
    </r>
    <r>
      <rPr>
        <sz val="10"/>
        <color rgb="FF000000"/>
        <rFont val="Noto Sans CJK SC"/>
        <family val="2"/>
      </rPr>
      <t xml:space="preserve">政府補助撥入損益（沖減開支，不在其他收入）：</t>
    </r>
    <r>
      <rPr>
        <sz val="10"/>
        <color rgb="FF000000"/>
        <rFont val="Arial"/>
        <family val="0"/>
        <charset val="1"/>
      </rPr>
      <t xml:space="preserve">1H2025</t>
    </r>
  </si>
  <si>
    <t xml:space="preserve">F98</t>
  </si>
  <si>
    <r>
      <rPr>
        <sz val="10"/>
        <color rgb="FF000000"/>
        <rFont val="Arial"/>
        <family val="0"/>
        <charset val="1"/>
      </rPr>
      <t xml:space="preserve">P4 </t>
    </r>
    <r>
      <rPr>
        <sz val="10"/>
        <color rgb="FF000000"/>
        <rFont val="Noto Sans CJK SC"/>
        <family val="2"/>
      </rPr>
      <t xml:space="preserve">政府補助收取額（推算）：</t>
    </r>
    <r>
      <rPr>
        <sz val="10"/>
        <color rgb="FF000000"/>
        <rFont val="Arial"/>
        <family val="0"/>
        <charset val="1"/>
      </rPr>
      <t xml:space="preserve">1H2025</t>
    </r>
  </si>
  <si>
    <t xml:space="preserve">F99</t>
  </si>
  <si>
    <r>
      <rPr>
        <sz val="10"/>
        <color rgb="FF000000"/>
        <rFont val="Arial"/>
        <family val="0"/>
        <charset val="1"/>
      </rPr>
      <t xml:space="preserve">P4 </t>
    </r>
    <r>
      <rPr>
        <sz val="10"/>
        <color rgb="FF000000"/>
        <rFont val="Noto Sans CJK SC"/>
        <family val="2"/>
      </rPr>
      <t xml:space="preserve">補助占研發開支（</t>
    </r>
    <r>
      <rPr>
        <sz val="10"/>
        <color rgb="FF000000"/>
        <rFont val="Arial"/>
        <family val="0"/>
        <charset val="1"/>
      </rPr>
      <t xml:space="preserve">FY2024</t>
    </r>
    <r>
      <rPr>
        <sz val="10"/>
        <color rgb="FF000000"/>
        <rFont val="Noto Sans CJK SC"/>
        <family val="2"/>
      </rPr>
      <t xml:space="preserve">）</t>
    </r>
  </si>
  <si>
    <r>
      <rPr>
        <sz val="9"/>
        <color rgb="FF595959"/>
        <rFont val="Arial"/>
        <family val="0"/>
        <charset val="1"/>
      </rPr>
      <t xml:space="preserve">SRC_ZP_1035 ÷ SRC_ZP_048</t>
    </r>
    <r>
      <rPr>
        <sz val="9"/>
        <color rgb="FF595959"/>
        <rFont val="Noto Sans CJK SC"/>
        <family val="2"/>
      </rPr>
      <t xml:space="preserve">；不到 </t>
    </r>
    <r>
      <rPr>
        <sz val="9"/>
        <color rgb="FF595959"/>
        <rFont val="Arial"/>
        <family val="0"/>
        <charset val="1"/>
      </rPr>
      <t xml:space="preserve">2%</t>
    </r>
  </si>
  <si>
    <r>
      <rPr>
        <b val="true"/>
        <sz val="13"/>
        <rFont val="Arial"/>
        <family val="0"/>
        <charset val="1"/>
      </rPr>
      <t xml:space="preserve">Reverse — </t>
    </r>
    <r>
      <rPr>
        <b val="true"/>
        <sz val="13"/>
        <rFont val="Noto Sans CJK SC"/>
        <family val="2"/>
      </rPr>
      <t xml:space="preserve">反向模式（</t>
    </r>
    <r>
      <rPr>
        <b val="true"/>
        <sz val="13"/>
        <rFont val="Arial"/>
        <family val="0"/>
        <charset val="1"/>
      </rPr>
      <t xml:space="preserve">D22</t>
    </r>
    <r>
      <rPr>
        <b val="true"/>
        <sz val="13"/>
        <rFont val="Noto Sans CJK SC"/>
        <family val="2"/>
      </rPr>
      <t xml:space="preserve">、</t>
    </r>
    <r>
      <rPr>
        <b val="true"/>
        <sz val="13"/>
        <rFont val="Arial"/>
        <family val="0"/>
        <charset val="1"/>
      </rPr>
      <t xml:space="preserve">D22r</t>
    </r>
    <r>
      <rPr>
        <b val="true"/>
        <sz val="13"/>
        <rFont val="Noto Sans CJK SC"/>
        <family val="2"/>
      </rPr>
      <t xml:space="preserve">）：①管理層量化目標 ②分析師共識營收 → 所需倍數與反向外部資金 ③市值隱含營收；只作對照區塊，不回饋基準</t>
    </r>
  </si>
  <si>
    <r>
      <rPr>
        <sz val="9"/>
        <color rgb="FF595959"/>
        <rFont val="Noto Sans CJK SC"/>
        <family val="2"/>
      </rPr>
      <t xml:space="preserve">共同規則第 </t>
    </r>
    <r>
      <rPr>
        <sz val="9"/>
        <color rgb="FF595959"/>
        <rFont val="Arial"/>
        <family val="0"/>
        <charset val="1"/>
      </rPr>
      <t xml:space="preserve">4 </t>
    </r>
    <r>
      <rPr>
        <sz val="9"/>
        <color rgb="FF595959"/>
        <rFont val="Noto Sans CJK SC"/>
        <family val="2"/>
      </rPr>
      <t xml:space="preserve">節：不以公司或分析師數字反推參數。本頁不被任何計算頁引用（只被 </t>
    </r>
    <r>
      <rPr>
        <sz val="9"/>
        <color rgb="FF595959"/>
        <rFont val="Arial"/>
        <family val="0"/>
        <charset val="1"/>
      </rPr>
      <t xml:space="preserve">Checks </t>
    </r>
    <r>
      <rPr>
        <sz val="9"/>
        <color rgb="FF595959"/>
        <rFont val="Noto Sans CJK SC"/>
        <family val="2"/>
      </rPr>
      <t xml:space="preserve">引用；</t>
    </r>
    <r>
      <rPr>
        <sz val="9"/>
        <color rgb="FF595959"/>
        <rFont val="Arial"/>
        <family val="0"/>
        <charset val="1"/>
      </rPr>
      <t xml:space="preserve">test_reverse_not_fed_back</t>
    </r>
    <r>
      <rPr>
        <sz val="9"/>
        <color rgb="FF595959"/>
        <rFont val="Noto Sans CJK SC"/>
        <family val="2"/>
      </rPr>
      <t xml:space="preserve">）。共識：全部登錄（</t>
    </r>
    <r>
      <rPr>
        <sz val="9"/>
        <color rgb="FF595959"/>
        <rFont val="Arial"/>
        <family val="0"/>
        <charset val="1"/>
      </rPr>
      <t xml:space="preserve">Simply Wall St </t>
    </r>
    <r>
      <rPr>
        <sz val="9"/>
        <color rgb="FF595959"/>
        <rFont val="Noto Sans CJK SC"/>
        <family val="2"/>
      </rPr>
      <t xml:space="preserve">聚合共識＋國信、國證國際兩家券商），取平均為基準、最高最低為區間（工作單 </t>
    </r>
    <r>
      <rPr>
        <sz val="9"/>
        <color rgb="FF595959"/>
        <rFont val="Arial"/>
        <family val="0"/>
        <charset val="1"/>
      </rPr>
      <t xml:space="preserve">Z4</t>
    </r>
    <r>
      <rPr>
        <sz val="9"/>
        <color rgb="FF595959"/>
        <rFont val="Noto Sans CJK SC"/>
        <family val="2"/>
      </rPr>
      <t xml:space="preserve">）；</t>
    </r>
    <r>
      <rPr>
        <sz val="9"/>
        <color rgb="FF595959"/>
        <rFont val="Arial"/>
        <family val="0"/>
        <charset val="1"/>
      </rPr>
      <t xml:space="preserve">2029–2030 </t>
    </r>
    <r>
      <rPr>
        <sz val="9"/>
        <color rgb="FF595959"/>
        <rFont val="Noto Sans CJK SC"/>
        <family val="2"/>
      </rPr>
      <t xml:space="preserve">依 </t>
    </r>
    <r>
      <rPr>
        <sz val="9"/>
        <color rgb="FF595959"/>
        <rFont val="Arial"/>
        <family val="0"/>
        <charset val="1"/>
      </rPr>
      <t xml:space="preserve">Inputs</t>
    </r>
    <r>
      <rPr>
        <sz val="9"/>
        <color rgb="FF595959"/>
        <rFont val="Noto Sans CJK SC"/>
        <family val="2"/>
      </rPr>
      <t xml:space="preserve">（基準持平於 </t>
    </r>
    <r>
      <rPr>
        <sz val="9"/>
        <color rgb="FF595959"/>
        <rFont val="Arial"/>
        <family val="0"/>
        <charset val="1"/>
      </rPr>
      <t xml:space="preserve">FY2028</t>
    </r>
    <r>
      <rPr>
        <sz val="9"/>
        <color rgb="FF595959"/>
        <rFont val="Noto Sans CJK SC"/>
        <family val="2"/>
      </rPr>
      <t xml:space="preserve">）。</t>
    </r>
  </si>
  <si>
    <r>
      <rPr>
        <sz val="9"/>
        <color rgb="FF595959"/>
        <rFont val="Noto Sans CJK SC"/>
        <family val="2"/>
      </rPr>
      <t xml:space="preserve">反向資金＝同一支出（算力、本地化交付、非算力成本、利息、資本支出、融資與債務償還皆同 </t>
    </r>
    <r>
      <rPr>
        <sz val="9"/>
        <color rgb="FF595959"/>
        <rFont val="Arial"/>
        <family val="0"/>
        <charset val="1"/>
      </rPr>
      <t xml:space="preserve">Funding</t>
    </r>
    <r>
      <rPr>
        <sz val="9"/>
        <color rgb="FF595959"/>
        <rFont val="Noto Sans CJK SC"/>
        <family val="2"/>
      </rPr>
      <t xml:space="preserve">）、營收換成目標營收；同一最低現金規則。金額 </t>
    </r>
    <r>
      <rPr>
        <sz val="9"/>
        <color rgb="FF595959"/>
        <rFont val="Arial"/>
        <family val="0"/>
        <charset val="1"/>
      </rPr>
      <t xml:space="preserve">RMB </t>
    </r>
    <r>
      <rPr>
        <sz val="9"/>
        <color rgb="FF595959"/>
        <rFont val="Noto Sans CJK SC"/>
        <family val="2"/>
      </rPr>
      <t xml:space="preserve">億。</t>
    </r>
  </si>
  <si>
    <r>
      <rPr>
        <b val="true"/>
        <sz val="10"/>
        <rFont val="Noto Sans CJK SC"/>
        <family val="2"/>
      </rPr>
      <t xml:space="preserve">一、管理層目標（</t>
    </r>
    <r>
      <rPr>
        <b val="true"/>
        <sz val="10"/>
        <rFont val="Arial"/>
        <family val="0"/>
        <charset val="1"/>
      </rPr>
      <t xml:space="preserve">D22 ①</t>
    </r>
    <r>
      <rPr>
        <b val="true"/>
        <sz val="10"/>
        <rFont val="Noto Sans CJK SC"/>
        <family val="2"/>
      </rPr>
      <t xml:space="preserve">）：營收、獲利時點、毛利率的量化目標不存在（</t>
    </r>
    <r>
      <rPr>
        <b val="true"/>
        <sz val="10"/>
        <rFont val="Arial"/>
        <family val="0"/>
        <charset val="1"/>
      </rPr>
      <t xml:space="preserve">SRC_ZP_581</t>
    </r>
    <r>
      <rPr>
        <b val="true"/>
        <sz val="10"/>
        <rFont val="Noto Sans CJK SC"/>
        <family val="2"/>
      </rPr>
      <t xml:space="preserve">）；只有 </t>
    </r>
    <r>
      <rPr>
        <b val="true"/>
        <sz val="10"/>
        <rFont val="Arial"/>
        <family val="0"/>
        <charset val="1"/>
      </rPr>
      <t xml:space="preserve">ARR </t>
    </r>
    <r>
      <rPr>
        <b val="true"/>
        <sz val="10"/>
        <rFont val="Noto Sans CJK SC"/>
        <family val="2"/>
      </rPr>
      <t xml:space="preserve">指引（</t>
    </r>
    <r>
      <rPr>
        <b val="true"/>
        <sz val="10"/>
        <rFont val="Arial"/>
        <family val="0"/>
        <charset val="1"/>
      </rPr>
      <t xml:space="preserve">D14r</t>
    </r>
    <r>
      <rPr>
        <b val="true"/>
        <sz val="10"/>
        <rFont val="Noto Sans CJK SC"/>
        <family val="2"/>
      </rPr>
      <t xml:space="preserve">，只對照）</t>
    </r>
  </si>
  <si>
    <t xml:space="preserve">X01</t>
  </si>
  <si>
    <t xml:space="preserve">管理層量化營收／獲利目標</t>
  </si>
  <si>
    <r>
      <rPr>
        <sz val="9"/>
        <color rgb="FF595959"/>
        <rFont val="Noto Sans CJK SC"/>
        <family val="2"/>
      </rPr>
      <t xml:space="preserve">不存在：中期業績公告與 </t>
    </r>
    <r>
      <rPr>
        <sz val="9"/>
        <color rgb="FF595959"/>
        <rFont val="Arial"/>
        <family val="0"/>
        <charset val="1"/>
      </rPr>
      <t xml:space="preserve">2026-09-16 </t>
    </r>
    <r>
      <rPr>
        <sz val="9"/>
        <color rgb="FF595959"/>
        <rFont val="Noto Sans CJK SC"/>
        <family val="2"/>
      </rPr>
      <t xml:space="preserve">電話會只有 </t>
    </r>
    <r>
      <rPr>
        <sz val="9"/>
        <color rgb="FF595959"/>
        <rFont val="Arial"/>
        <family val="0"/>
        <charset val="1"/>
      </rPr>
      <t xml:space="preserve">ARR </t>
    </r>
    <r>
      <rPr>
        <sz val="9"/>
        <color rgb="FF595959"/>
        <rFont val="Noto Sans CJK SC"/>
        <family val="2"/>
      </rPr>
      <t xml:space="preserve">指引；『毛利率有望企穩回升』為質化說法（</t>
    </r>
    <r>
      <rPr>
        <sz val="9"/>
        <color rgb="FF595959"/>
        <rFont val="Arial"/>
        <family val="0"/>
        <charset val="1"/>
      </rPr>
      <t xml:space="preserve">SRC_ZP_581</t>
    </r>
    <r>
      <rPr>
        <sz val="9"/>
        <color rgb="FF595959"/>
        <rFont val="Noto Sans CJK SC"/>
        <family val="2"/>
      </rPr>
      <t xml:space="preserve">、</t>
    </r>
    <r>
      <rPr>
        <sz val="9"/>
        <color rgb="FF595959"/>
        <rFont val="Arial"/>
        <family val="0"/>
        <charset val="1"/>
      </rPr>
      <t xml:space="preserve">Z1 not_found</t>
    </r>
    <r>
      <rPr>
        <sz val="9"/>
        <color rgb="FF595959"/>
        <rFont val="Noto Sans CJK SC"/>
        <family val="2"/>
      </rPr>
      <t xml:space="preserve">）</t>
    </r>
  </si>
  <si>
    <t xml:space="preserve">X02</t>
  </si>
  <si>
    <r>
      <rPr>
        <sz val="10"/>
        <color rgb="FF000000"/>
        <rFont val="Arial"/>
        <family val="0"/>
        <charset val="1"/>
      </rPr>
      <t xml:space="preserve">ARR </t>
    </r>
    <r>
      <rPr>
        <sz val="10"/>
        <color rgb="FF000000"/>
        <rFont val="Noto Sans CJK SC"/>
        <family val="2"/>
      </rPr>
      <t xml:space="preserve">指引：</t>
    </r>
    <r>
      <rPr>
        <sz val="10"/>
        <color rgb="FF000000"/>
        <rFont val="Arial"/>
        <family val="0"/>
        <charset val="1"/>
      </rPr>
      <t xml:space="preserve">2026 </t>
    </r>
    <r>
      <rPr>
        <sz val="10"/>
        <color rgb="FF000000"/>
        <rFont val="Noto Sans CJK SC"/>
        <family val="2"/>
      </rPr>
      <t xml:space="preserve">年末（美元十億 </t>
    </r>
    <r>
      <rPr>
        <sz val="10"/>
        <color rgb="FF000000"/>
        <rFont val="Arial"/>
        <family val="0"/>
        <charset val="1"/>
      </rPr>
      <t xml:space="preserve">× USD/CNY × 10</t>
    </r>
    <r>
      <rPr>
        <sz val="10"/>
        <color rgb="FF000000"/>
        <rFont val="Noto Sans CJK SC"/>
        <family val="2"/>
      </rPr>
      <t xml:space="preserve">）</t>
    </r>
  </si>
  <si>
    <r>
      <rPr>
        <sz val="9"/>
        <color rgb="FF595959"/>
        <rFont val="Arial"/>
        <family val="0"/>
        <charset val="1"/>
      </rPr>
      <t xml:space="preserve">SRC_ZP_576</t>
    </r>
    <r>
      <rPr>
        <sz val="9"/>
        <color rgb="FF595959"/>
        <rFont val="Noto Sans CJK SC"/>
        <family val="2"/>
      </rPr>
      <t xml:space="preserve">（</t>
    </r>
    <r>
      <rPr>
        <sz val="9"/>
        <color rgb="FF595959"/>
        <rFont val="Arial"/>
        <family val="0"/>
        <charset val="1"/>
      </rPr>
      <t xml:space="preserve">Interested-party</t>
    </r>
    <r>
      <rPr>
        <sz val="9"/>
        <color rgb="FF595959"/>
        <rFont val="Noto Sans CJK SC"/>
        <family val="2"/>
      </rPr>
      <t xml:space="preserve">；</t>
    </r>
    <r>
      <rPr>
        <sz val="9"/>
        <color rgb="FF595959"/>
        <rFont val="Arial"/>
        <family val="0"/>
        <charset val="1"/>
      </rPr>
      <t xml:space="preserve">ARR </t>
    </r>
    <r>
      <rPr>
        <sz val="9"/>
        <color rgb="FF595959"/>
        <rFont val="Noto Sans CJK SC"/>
        <family val="2"/>
      </rPr>
      <t xml:space="preserve">定義未揭露）</t>
    </r>
  </si>
  <si>
    <t xml:space="preserve">X03</t>
  </si>
  <si>
    <r>
      <rPr>
        <sz val="10"/>
        <color rgb="FF000000"/>
        <rFont val="Noto Sans CJK SC"/>
        <family val="2"/>
      </rPr>
      <t xml:space="preserve">模型：</t>
    </r>
    <r>
      <rPr>
        <sz val="10"/>
        <color rgb="FF000000"/>
        <rFont val="Arial"/>
        <family val="0"/>
        <charset val="1"/>
      </rPr>
      <t xml:space="preserve">2H26 </t>
    </r>
    <r>
      <rPr>
        <sz val="10"/>
        <color rgb="FF000000"/>
        <rFont val="Noto Sans CJK SC"/>
        <family val="2"/>
      </rPr>
      <t xml:space="preserve">年化營收（</t>
    </r>
    <r>
      <rPr>
        <sz val="10"/>
        <color rgb="FF000000"/>
        <rFont val="Arial"/>
        <family val="0"/>
        <charset val="1"/>
      </rPr>
      <t xml:space="preserve">× </t>
    </r>
    <r>
      <rPr>
        <sz val="10"/>
        <color rgb="FF000000"/>
        <rFont val="Noto Sans CJK SC"/>
        <family val="2"/>
      </rPr>
      <t xml:space="preserve">半年數）</t>
    </r>
  </si>
  <si>
    <t xml:space="preserve">X04</t>
  </si>
  <si>
    <r>
      <rPr>
        <sz val="10"/>
        <color rgb="FF000000"/>
        <rFont val="Noto Sans CJK SC"/>
        <family val="2"/>
      </rPr>
      <t xml:space="preserve">差距：模型 </t>
    </r>
    <r>
      <rPr>
        <sz val="10"/>
        <color rgb="FF000000"/>
        <rFont val="Arial"/>
        <family val="0"/>
        <charset val="1"/>
      </rPr>
      <t xml:space="preserve">÷ ARR </t>
    </r>
    <r>
      <rPr>
        <sz val="10"/>
        <color rgb="FF000000"/>
        <rFont val="Noto Sans CJK SC"/>
        <family val="2"/>
      </rPr>
      <t xml:space="preserve">指引 − </t>
    </r>
    <r>
      <rPr>
        <sz val="10"/>
        <color rgb="FF000000"/>
        <rFont val="Arial"/>
        <family val="0"/>
        <charset val="1"/>
      </rPr>
      <t xml:space="preserve">1</t>
    </r>
  </si>
  <si>
    <r>
      <rPr>
        <sz val="9"/>
        <color rgb="FF595959"/>
        <rFont val="Noto Sans CJK SC"/>
        <family val="2"/>
      </rPr>
      <t xml:space="preserve">只對照（年末 </t>
    </r>
    <r>
      <rPr>
        <sz val="9"/>
        <color rgb="FF595959"/>
        <rFont val="Arial"/>
        <family val="0"/>
        <charset val="1"/>
      </rPr>
      <t xml:space="preserve">ARR </t>
    </r>
    <r>
      <rPr>
        <sz val="9"/>
        <color rgb="FF595959"/>
        <rFont val="Noto Sans CJK SC"/>
        <family val="2"/>
      </rPr>
      <t xml:space="preserve">為時點年化，模型為下半年平均）</t>
    </r>
  </si>
  <si>
    <r>
      <rPr>
        <b val="true"/>
        <sz val="10"/>
        <rFont val="Noto Sans CJK SC"/>
        <family val="2"/>
      </rPr>
      <t xml:space="preserve">二、分析師共識營收（</t>
    </r>
    <r>
      <rPr>
        <b val="true"/>
        <sz val="10"/>
        <rFont val="Arial"/>
        <family val="0"/>
        <charset val="1"/>
      </rPr>
      <t xml:space="preserve">D22 ②</t>
    </r>
    <r>
      <rPr>
        <b val="true"/>
        <sz val="10"/>
        <rFont val="Noto Sans CJK SC"/>
        <family val="2"/>
      </rPr>
      <t xml:space="preserve">；</t>
    </r>
    <r>
      <rPr>
        <b val="true"/>
        <sz val="10"/>
        <rFont val="Arial"/>
        <family val="0"/>
        <charset val="1"/>
      </rPr>
      <t xml:space="preserve">Interested-party</t>
    </r>
    <r>
      <rPr>
        <b val="true"/>
        <sz val="10"/>
        <rFont val="Noto Sans CJK SC"/>
        <family val="2"/>
      </rPr>
      <t xml:space="preserve">：券商有承銷與交易誘因；</t>
    </r>
    <r>
      <rPr>
        <b val="true"/>
        <sz val="10"/>
        <rFont val="Arial"/>
        <family val="0"/>
        <charset val="1"/>
      </rPr>
      <t xml:space="preserve">2026-09 </t>
    </r>
    <r>
      <rPr>
        <b val="true"/>
        <sz val="10"/>
        <rFont val="Noto Sans CJK SC"/>
        <family val="2"/>
      </rPr>
      <t xml:space="preserve">配售承銷商為中金、國泰君安國際）</t>
    </r>
  </si>
  <si>
    <t xml:space="preserve">X05</t>
  </si>
  <si>
    <r>
      <rPr>
        <sz val="10"/>
        <color rgb="FF000000"/>
        <rFont val="Arial"/>
        <family val="0"/>
        <charset val="1"/>
      </rPr>
      <t xml:space="preserve">Simply Wall St </t>
    </r>
    <r>
      <rPr>
        <sz val="10"/>
        <color rgb="FF000000"/>
        <rFont val="Noto Sans CJK SC"/>
        <family val="2"/>
      </rPr>
      <t xml:space="preserve">聚合共識（</t>
    </r>
    <r>
      <rPr>
        <sz val="10"/>
        <color rgb="FF000000"/>
        <rFont val="Arial"/>
        <family val="0"/>
        <charset val="1"/>
      </rPr>
      <t xml:space="preserve">21–23 </t>
    </r>
    <r>
      <rPr>
        <sz val="10"/>
        <color rgb="FF000000"/>
        <rFont val="Noto Sans CJK SC"/>
        <family val="2"/>
      </rPr>
      <t xml:space="preserve">位分析師）</t>
    </r>
  </si>
  <si>
    <r>
      <rPr>
        <sz val="9"/>
        <color rgb="FF595959"/>
        <rFont val="Arial"/>
        <family val="0"/>
        <charset val="1"/>
      </rPr>
      <t xml:space="preserve">SRC_ZP_582–584</t>
    </r>
    <r>
      <rPr>
        <sz val="9"/>
        <color rgb="FF595959"/>
        <rFont val="Noto Sans CJK SC"/>
        <family val="2"/>
      </rPr>
      <t xml:space="preserve">（</t>
    </r>
    <r>
      <rPr>
        <sz val="9"/>
        <color rgb="FF595959"/>
        <rFont val="Arial"/>
        <family val="0"/>
        <charset val="1"/>
      </rPr>
      <t xml:space="preserve">2026-10-06</t>
    </r>
    <r>
      <rPr>
        <sz val="9"/>
        <color rgb="FF595959"/>
        <rFont val="Noto Sans CJK SC"/>
        <family val="2"/>
      </rPr>
      <t xml:space="preserve">）；百萬元 </t>
    </r>
    <r>
      <rPr>
        <sz val="9"/>
        <color rgb="FF595959"/>
        <rFont val="Arial"/>
        <family val="0"/>
        <charset val="1"/>
      </rPr>
      <t xml:space="preserve">÷ 100</t>
    </r>
  </si>
  <si>
    <t xml:space="preserve">X06</t>
  </si>
  <si>
    <t xml:space="preserve">國信證券</t>
  </si>
  <si>
    <r>
      <rPr>
        <sz val="9"/>
        <color rgb="FF595959"/>
        <rFont val="Arial"/>
        <family val="0"/>
        <charset val="1"/>
      </rPr>
      <t xml:space="preserve">SRC_ZP_591</t>
    </r>
    <r>
      <rPr>
        <sz val="9"/>
        <color rgb="FF595959"/>
        <rFont val="Noto Sans CJK SC"/>
        <family val="2"/>
      </rPr>
      <t xml:space="preserve">、</t>
    </r>
    <r>
      <rPr>
        <sz val="9"/>
        <color rgb="FF595959"/>
        <rFont val="Arial"/>
        <family val="0"/>
        <charset val="1"/>
      </rPr>
      <t xml:space="preserve">606</t>
    </r>
    <r>
      <rPr>
        <sz val="9"/>
        <color rgb="FF595959"/>
        <rFont val="Noto Sans CJK SC"/>
        <family val="2"/>
      </rPr>
      <t xml:space="preserve">、</t>
    </r>
    <r>
      <rPr>
        <sz val="9"/>
        <color rgb="FF595959"/>
        <rFont val="Arial"/>
        <family val="0"/>
        <charset val="1"/>
      </rPr>
      <t xml:space="preserve">607</t>
    </r>
    <r>
      <rPr>
        <sz val="9"/>
        <color rgb="FF595959"/>
        <rFont val="Noto Sans CJK SC"/>
        <family val="2"/>
      </rPr>
      <t xml:space="preserve">（</t>
    </r>
    <r>
      <rPr>
        <sz val="9"/>
        <color rgb="FF595959"/>
        <rFont val="Arial"/>
        <family val="0"/>
        <charset val="1"/>
      </rPr>
      <t xml:space="preserve">2026-09-04</t>
    </r>
    <r>
      <rPr>
        <sz val="9"/>
        <color rgb="FF595959"/>
        <rFont val="Noto Sans CJK SC"/>
        <family val="2"/>
      </rPr>
      <t xml:space="preserve">）</t>
    </r>
  </si>
  <si>
    <t xml:space="preserve">X07</t>
  </si>
  <si>
    <t xml:space="preserve">國證國際</t>
  </si>
  <si>
    <r>
      <rPr>
        <sz val="9"/>
        <color rgb="FF595959"/>
        <rFont val="Arial"/>
        <family val="0"/>
        <charset val="1"/>
      </rPr>
      <t xml:space="preserve">SRC_ZP_592</t>
    </r>
    <r>
      <rPr>
        <sz val="9"/>
        <color rgb="FF595959"/>
        <rFont val="Noto Sans CJK SC"/>
        <family val="2"/>
      </rPr>
      <t xml:space="preserve">、</t>
    </r>
    <r>
      <rPr>
        <sz val="9"/>
        <color rgb="FF595959"/>
        <rFont val="Arial"/>
        <family val="0"/>
        <charset val="1"/>
      </rPr>
      <t xml:space="preserve">608</t>
    </r>
    <r>
      <rPr>
        <sz val="9"/>
        <color rgb="FF595959"/>
        <rFont val="Noto Sans CJK SC"/>
        <family val="2"/>
      </rPr>
      <t xml:space="preserve">、</t>
    </r>
    <r>
      <rPr>
        <sz val="9"/>
        <color rgb="FF595959"/>
        <rFont val="Arial"/>
        <family val="0"/>
        <charset val="1"/>
      </rPr>
      <t xml:space="preserve">609</t>
    </r>
  </si>
  <si>
    <t xml:space="preserve">X08</t>
  </si>
  <si>
    <r>
      <rPr>
        <sz val="10"/>
        <color rgb="FF000000"/>
        <rFont val="Noto Sans CJK SC"/>
        <family val="2"/>
      </rPr>
      <t xml:space="preserve">對照：大和 </t>
    </r>
    <r>
      <rPr>
        <sz val="10"/>
        <color rgb="FF000000"/>
        <rFont val="Arial"/>
        <family val="0"/>
        <charset val="1"/>
      </rPr>
      <t xml:space="preserve">2029 </t>
    </r>
    <r>
      <rPr>
        <sz val="10"/>
        <color rgb="FF000000"/>
        <rFont val="Noto Sans CJK SC"/>
        <family val="2"/>
      </rPr>
      <t xml:space="preserve">年營收預測（單一券商）</t>
    </r>
  </si>
  <si>
    <r>
      <rPr>
        <sz val="9"/>
        <color rgb="FF595959"/>
        <rFont val="Arial"/>
        <family val="0"/>
        <charset val="1"/>
      </rPr>
      <t xml:space="preserve">SRC_ZP_610</t>
    </r>
    <r>
      <rPr>
        <sz val="9"/>
        <color rgb="FF595959"/>
        <rFont val="Noto Sans CJK SC"/>
        <family val="2"/>
      </rPr>
      <t xml:space="preserve">；只對照</t>
    </r>
  </si>
  <si>
    <t xml:space="preserve">X09</t>
  </si>
  <si>
    <r>
      <rPr>
        <sz val="10"/>
        <color rgb="FF000000"/>
        <rFont val="Noto Sans CJK SC"/>
        <family val="2"/>
      </rPr>
      <t xml:space="preserve">登錄筆數（家數：聚合共識 </t>
    </r>
    <r>
      <rPr>
        <sz val="10"/>
        <color rgb="FF000000"/>
        <rFont val="Arial"/>
        <family val="0"/>
        <charset val="1"/>
      </rPr>
      <t xml:space="preserve">1 </t>
    </r>
    <r>
      <rPr>
        <sz val="10"/>
        <color rgb="FF000000"/>
        <rFont val="Noto Sans CJK SC"/>
        <family val="2"/>
      </rPr>
      <t xml:space="preserve">筆＋券商 </t>
    </r>
    <r>
      <rPr>
        <sz val="10"/>
        <color rgb="FF000000"/>
        <rFont val="Arial"/>
        <family val="0"/>
        <charset val="1"/>
      </rPr>
      <t xml:space="preserve">2 </t>
    </r>
    <r>
      <rPr>
        <sz val="10"/>
        <color rgb="FF000000"/>
        <rFont val="Noto Sans CJK SC"/>
        <family val="2"/>
      </rPr>
      <t xml:space="preserve">家）</t>
    </r>
  </si>
  <si>
    <t xml:space="preserve">筆</t>
  </si>
  <si>
    <r>
      <rPr>
        <sz val="9"/>
        <color rgb="FF595959"/>
        <rFont val="Noto Sans CJK SC"/>
        <family val="2"/>
      </rPr>
      <t xml:space="preserve">工作單 </t>
    </r>
    <r>
      <rPr>
        <sz val="9"/>
        <color rgb="FF595959"/>
        <rFont val="Arial"/>
        <family val="0"/>
        <charset val="1"/>
      </rPr>
      <t xml:space="preserve">Z4</t>
    </r>
    <r>
      <rPr>
        <sz val="9"/>
        <color rgb="FF595959"/>
        <rFont val="Noto Sans CJK SC"/>
        <family val="2"/>
      </rPr>
      <t xml:space="preserve">：全部登錄</t>
    </r>
  </si>
  <si>
    <t xml:space="preserve">X10</t>
  </si>
  <si>
    <t xml:space="preserve">平均（基準）</t>
  </si>
  <si>
    <r>
      <rPr>
        <sz val="9"/>
        <color rgb="FF595959"/>
        <rFont val="Noto Sans CJK SC"/>
        <family val="2"/>
      </rPr>
      <t xml:space="preserve">工作單 </t>
    </r>
    <r>
      <rPr>
        <sz val="9"/>
        <color rgb="FF595959"/>
        <rFont val="Arial"/>
        <family val="0"/>
        <charset val="1"/>
      </rPr>
      <t xml:space="preserve">Z4</t>
    </r>
    <r>
      <rPr>
        <sz val="9"/>
        <color rgb="FF595959"/>
        <rFont val="Noto Sans CJK SC"/>
        <family val="2"/>
      </rPr>
      <t xml:space="preserve">：取平均為基準</t>
    </r>
  </si>
  <si>
    <t xml:space="preserve">X11</t>
  </si>
  <si>
    <t xml:space="preserve">最低</t>
  </si>
  <si>
    <t xml:space="preserve">X12</t>
  </si>
  <si>
    <t xml:space="preserve">最高</t>
  </si>
  <si>
    <t xml:space="preserve">X13</t>
  </si>
  <si>
    <r>
      <rPr>
        <sz val="10"/>
        <color rgb="FF000000"/>
        <rFont val="Noto Sans CJK SC"/>
        <family val="2"/>
      </rPr>
      <t xml:space="preserve">目標營收（反向；</t>
    </r>
    <r>
      <rPr>
        <sz val="10"/>
        <color rgb="FF000000"/>
        <rFont val="Arial"/>
        <family val="0"/>
        <charset val="1"/>
      </rPr>
      <t xml:space="preserve">2025</t>
    </r>
    <r>
      <rPr>
        <sz val="10"/>
        <color rgb="FF000000"/>
        <rFont val="Noto Sans CJK SC"/>
        <family val="2"/>
      </rPr>
      <t xml:space="preserve">＝實際、</t>
    </r>
    <r>
      <rPr>
        <sz val="10"/>
        <color rgb="FF000000"/>
        <rFont val="Arial"/>
        <family val="0"/>
        <charset val="1"/>
      </rPr>
      <t xml:space="preserve">2026–2028</t>
    </r>
    <r>
      <rPr>
        <sz val="10"/>
        <color rgb="FF000000"/>
        <rFont val="Noto Sans CJK SC"/>
        <family val="2"/>
      </rPr>
      <t xml:space="preserve">＝共識平均、</t>
    </r>
    <r>
      <rPr>
        <sz val="10"/>
        <color rgb="FF000000"/>
        <rFont val="Arial"/>
        <family val="0"/>
        <charset val="1"/>
      </rPr>
      <t xml:space="preserve">2029–2030</t>
    </r>
    <r>
      <rPr>
        <sz val="10"/>
        <color rgb="FF000000"/>
        <rFont val="Noto Sans CJK SC"/>
        <family val="2"/>
      </rPr>
      <t xml:space="preserve">＝</t>
    </r>
    <r>
      <rPr>
        <sz val="10"/>
        <color rgb="FF000000"/>
        <rFont val="Arial"/>
        <family val="0"/>
        <charset val="1"/>
      </rPr>
      <t xml:space="preserve">FY2028 ×</t>
    </r>
    <r>
      <rPr>
        <sz val="10"/>
        <color rgb="FF000000"/>
        <rFont val="Noto Sans CJK SC"/>
        <family val="2"/>
      </rPr>
      <t xml:space="preserve">（</t>
    </r>
    <r>
      <rPr>
        <sz val="10"/>
        <color rgb="FF000000"/>
        <rFont val="Arial"/>
        <family val="0"/>
        <charset val="1"/>
      </rPr>
      <t xml:space="preserve">1</t>
    </r>
    <r>
      <rPr>
        <sz val="10"/>
        <color rgb="FF000000"/>
        <rFont val="Noto Sans CJK SC"/>
        <family val="2"/>
      </rPr>
      <t xml:space="preserve">＋</t>
    </r>
    <r>
      <rPr>
        <sz val="10"/>
        <color rgb="FF000000"/>
        <rFont val="Arial"/>
        <family val="0"/>
        <charset val="1"/>
      </rPr>
      <t xml:space="preserve">Inputs </t>
    </r>
    <r>
      <rPr>
        <sz val="10"/>
        <color rgb="FF000000"/>
        <rFont val="Noto Sans CJK SC"/>
        <family val="2"/>
      </rPr>
      <t xml:space="preserve">年增率））</t>
    </r>
  </si>
  <si>
    <t xml:space="preserve">X14</t>
  </si>
  <si>
    <t xml:space="preserve">目標營收：共識最低路徑</t>
  </si>
  <si>
    <t xml:space="preserve">X15</t>
  </si>
  <si>
    <t xml:space="preserve">目標營收：共識最高路徑</t>
  </si>
  <si>
    <t xml:space="preserve">三、正向對照（本模型基準；截頂後，容量上限只回乘雲端）</t>
  </si>
  <si>
    <t xml:space="preserve">X16</t>
  </si>
  <si>
    <t xml:space="preserve">正向營收淨額（截頂後）</t>
  </si>
  <si>
    <r>
      <rPr>
        <sz val="9"/>
        <color rgb="FF595959"/>
        <rFont val="Arial"/>
        <family val="0"/>
        <charset val="1"/>
      </rPr>
      <t xml:space="preserve">Funding</t>
    </r>
    <r>
      <rPr>
        <sz val="9"/>
        <color rgb="FF595959"/>
        <rFont val="Noto Sans CJK SC"/>
        <family val="2"/>
      </rPr>
      <t xml:space="preserve">（</t>
    </r>
    <r>
      <rPr>
        <sz val="9"/>
        <color rgb="FF595959"/>
        <rFont val="Arial"/>
        <family val="0"/>
        <charset val="1"/>
      </rPr>
      <t xml:space="preserve">REV_NetCapped</t>
    </r>
    <r>
      <rPr>
        <sz val="9"/>
        <color rgb="FF595959"/>
        <rFont val="Noto Sans CJK SC"/>
        <family val="2"/>
      </rPr>
      <t xml:space="preserve">）</t>
    </r>
  </si>
  <si>
    <t xml:space="preserve">X17</t>
  </si>
  <si>
    <t xml:space="preserve">正向：按量計費（截頂後）</t>
  </si>
  <si>
    <t xml:space="preserve">X18</t>
  </si>
  <si>
    <r>
      <rPr>
        <sz val="10"/>
        <color rgb="FF000000"/>
        <rFont val="Noto Sans CJK SC"/>
        <family val="2"/>
      </rPr>
      <t xml:space="preserve">正向：</t>
    </r>
    <r>
      <rPr>
        <sz val="10"/>
        <color rgb="FF000000"/>
        <rFont val="Arial"/>
        <family val="0"/>
        <charset val="1"/>
      </rPr>
      <t xml:space="preserve">Coding Plan </t>
    </r>
    <r>
      <rPr>
        <sz val="10"/>
        <color rgb="FF000000"/>
        <rFont val="Noto Sans CJK SC"/>
        <family val="2"/>
      </rPr>
      <t xml:space="preserve">訂閱（截頂後）</t>
    </r>
  </si>
  <si>
    <t xml:space="preserve">X19</t>
  </si>
  <si>
    <t xml:space="preserve">正向：本地化部署＋廣告（不截頂）</t>
  </si>
  <si>
    <t xml:space="preserve">X20</t>
  </si>
  <si>
    <t xml:space="preserve">差距（目標 − 正向）</t>
  </si>
  <si>
    <t xml:space="preserve">X21</t>
  </si>
  <si>
    <r>
      <rPr>
        <sz val="10"/>
        <color rgb="FF000000"/>
        <rFont val="Noto Sans CJK SC"/>
        <family val="2"/>
      </rPr>
      <t xml:space="preserve">目標 </t>
    </r>
    <r>
      <rPr>
        <sz val="10"/>
        <color rgb="FF000000"/>
        <rFont val="Arial"/>
        <family val="0"/>
        <charset val="1"/>
      </rPr>
      <t xml:space="preserve">÷ </t>
    </r>
    <r>
      <rPr>
        <sz val="10"/>
        <color rgb="FF000000"/>
        <rFont val="Noto Sans CJK SC"/>
        <family val="2"/>
      </rPr>
      <t xml:space="preserve">正向</t>
    </r>
  </si>
  <si>
    <t xml:space="preserve">X22</t>
  </si>
  <si>
    <r>
      <rPr>
        <sz val="10"/>
        <color rgb="FF000000"/>
        <rFont val="Noto Sans CJK SC"/>
        <family val="2"/>
      </rPr>
      <t xml:space="preserve">對照：共識最低 </t>
    </r>
    <r>
      <rPr>
        <sz val="10"/>
        <color rgb="FF000000"/>
        <rFont val="Arial"/>
        <family val="0"/>
        <charset val="1"/>
      </rPr>
      <t xml:space="preserve">÷ </t>
    </r>
    <r>
      <rPr>
        <sz val="10"/>
        <color rgb="FF000000"/>
        <rFont val="Noto Sans CJK SC"/>
        <family val="2"/>
      </rPr>
      <t xml:space="preserve">正向</t>
    </r>
  </si>
  <si>
    <t xml:space="preserve">X23</t>
  </si>
  <si>
    <r>
      <rPr>
        <sz val="10"/>
        <color rgb="FF000000"/>
        <rFont val="Noto Sans CJK SC"/>
        <family val="2"/>
      </rPr>
      <t xml:space="preserve">對照：共識最高 </t>
    </r>
    <r>
      <rPr>
        <sz val="10"/>
        <color rgb="FF000000"/>
        <rFont val="Arial"/>
        <family val="0"/>
        <charset val="1"/>
      </rPr>
      <t xml:space="preserve">÷ </t>
    </r>
    <r>
      <rPr>
        <sz val="10"/>
        <color rgb="FF000000"/>
        <rFont val="Noto Sans CJK SC"/>
        <family val="2"/>
      </rPr>
      <t xml:space="preserve">正向</t>
    </r>
  </si>
  <si>
    <r>
      <rPr>
        <b val="true"/>
        <sz val="10"/>
        <rFont val="Noto Sans CJK SC"/>
        <family val="2"/>
      </rPr>
      <t xml:space="preserve">四、所需倍數（相對正向；</t>
    </r>
    <r>
      <rPr>
        <b val="true"/>
        <sz val="10"/>
        <rFont val="Arial"/>
        <family val="0"/>
        <charset val="1"/>
      </rPr>
      <t xml:space="preserve">1</t>
    </r>
    <r>
      <rPr>
        <b val="true"/>
        <sz val="10"/>
        <rFont val="Noto Sans CJK SC"/>
        <family val="2"/>
      </rPr>
      <t xml:space="preserve">＝正向已足夠；本地化部署不耗算力，固定為正向值）</t>
    </r>
  </si>
  <si>
    <t xml:space="preserve">X24</t>
  </si>
  <si>
    <r>
      <rPr>
        <sz val="10"/>
        <color rgb="FF000000"/>
        <rFont val="Noto Sans CJK SC"/>
        <family val="2"/>
      </rPr>
      <t xml:space="preserve">只靠 </t>
    </r>
    <r>
      <rPr>
        <sz val="10"/>
        <color rgb="FF000000"/>
        <rFont val="Arial"/>
        <family val="0"/>
        <charset val="1"/>
      </rPr>
      <t xml:space="preserve">API </t>
    </r>
    <r>
      <rPr>
        <sz val="10"/>
        <color rgb="FF000000"/>
        <rFont val="Noto Sans CJK SC"/>
        <family val="2"/>
      </rPr>
      <t xml:space="preserve">按量計費：所需倍數</t>
    </r>
  </si>
  <si>
    <t xml:space="preserve">X25</t>
  </si>
  <si>
    <r>
      <rPr>
        <sz val="10"/>
        <color rgb="FF000000"/>
        <rFont val="Noto Sans CJK SC"/>
        <family val="2"/>
      </rPr>
      <t xml:space="preserve">只靠 </t>
    </r>
    <r>
      <rPr>
        <sz val="10"/>
        <color rgb="FF000000"/>
        <rFont val="Arial"/>
        <family val="0"/>
        <charset val="1"/>
      </rPr>
      <t xml:space="preserve">Coding Plan </t>
    </r>
    <r>
      <rPr>
        <sz val="10"/>
        <color rgb="FF000000"/>
        <rFont val="Noto Sans CJK SC"/>
        <family val="2"/>
      </rPr>
      <t xml:space="preserve">訂閱：所需倍數</t>
    </r>
  </si>
  <si>
    <t xml:space="preserve">X26</t>
  </si>
  <si>
    <r>
      <rPr>
        <sz val="10"/>
        <color rgb="FF000000"/>
        <rFont val="Noto Sans CJK SC"/>
        <family val="2"/>
      </rPr>
      <t xml:space="preserve">兩線等比例：</t>
    </r>
    <r>
      <rPr>
        <sz val="10"/>
        <color rgb="FF000000"/>
        <rFont val="Arial"/>
        <family val="0"/>
        <charset val="1"/>
      </rPr>
      <t xml:space="preserve">API </t>
    </r>
    <r>
      <rPr>
        <sz val="10"/>
        <color rgb="FF000000"/>
        <rFont val="Noto Sans CJK SC"/>
        <family val="2"/>
      </rPr>
      <t xml:space="preserve">與訂閱共同倍數</t>
    </r>
  </si>
  <si>
    <t xml:space="preserve">X27</t>
  </si>
  <si>
    <r>
      <rPr>
        <sz val="10"/>
        <color rgb="FF000000"/>
        <rFont val="Arial"/>
        <family val="0"/>
        <charset val="1"/>
      </rPr>
      <t xml:space="preserve">2028</t>
    </r>
    <r>
      <rPr>
        <sz val="10"/>
        <color rgb="FF000000"/>
        <rFont val="Noto Sans CJK SC"/>
        <family val="2"/>
      </rPr>
      <t xml:space="preserve">：只靠 </t>
    </r>
    <r>
      <rPr>
        <sz val="10"/>
        <color rgb="FF000000"/>
        <rFont val="Arial"/>
        <family val="0"/>
        <charset val="1"/>
      </rPr>
      <t xml:space="preserve">API </t>
    </r>
    <r>
      <rPr>
        <sz val="10"/>
        <color rgb="FF000000"/>
        <rFont val="Noto Sans CJK SC"/>
        <family val="2"/>
      </rPr>
      <t xml:space="preserve">所需按量計費 </t>
    </r>
    <r>
      <rPr>
        <sz val="10"/>
        <color rgb="FF000000"/>
        <rFont val="Arial"/>
        <family val="0"/>
        <charset val="1"/>
      </rPr>
      <t xml:space="preserve">token</t>
    </r>
    <r>
      <rPr>
        <sz val="10"/>
        <color rgb="FF000000"/>
        <rFont val="Noto Sans CJK SC"/>
        <family val="2"/>
      </rPr>
      <t xml:space="preserve">（同單價路徑）</t>
    </r>
  </si>
  <si>
    <r>
      <rPr>
        <sz val="9"/>
        <color rgb="FF595959"/>
        <rFont val="Arial"/>
        <family val="0"/>
        <charset val="1"/>
      </rPr>
      <t xml:space="preserve">REV_ApiPrice</t>
    </r>
    <r>
      <rPr>
        <sz val="9"/>
        <color rgb="FF595959"/>
        <rFont val="Noto Sans CJK SC"/>
        <family val="2"/>
      </rPr>
      <t xml:space="preserve">（元／百萬 </t>
    </r>
    <r>
      <rPr>
        <sz val="9"/>
        <color rgb="FF595959"/>
        <rFont val="Arial"/>
        <family val="0"/>
        <charset val="1"/>
      </rPr>
      <t xml:space="preserve">token</t>
    </r>
    <r>
      <rPr>
        <sz val="9"/>
        <color rgb="FF595959"/>
        <rFont val="Noto Sans CJK SC"/>
        <family val="2"/>
      </rPr>
      <t xml:space="preserve">）</t>
    </r>
  </si>
  <si>
    <t xml:space="preserve">X28</t>
  </si>
  <si>
    <r>
      <rPr>
        <sz val="10"/>
        <color rgb="FF000000"/>
        <rFont val="Arial"/>
        <family val="0"/>
        <charset val="1"/>
      </rPr>
      <t xml:space="preserve">2028</t>
    </r>
    <r>
      <rPr>
        <sz val="10"/>
        <color rgb="FF000000"/>
        <rFont val="Noto Sans CJK SC"/>
        <family val="2"/>
      </rPr>
      <t xml:space="preserve">：正向按量計費 </t>
    </r>
    <r>
      <rPr>
        <sz val="10"/>
        <color rgb="FF000000"/>
        <rFont val="Arial"/>
        <family val="0"/>
        <charset val="1"/>
      </rPr>
      <t xml:space="preserve">token</t>
    </r>
  </si>
  <si>
    <t xml:space="preserve">DEM_Tok_API</t>
  </si>
  <si>
    <t xml:space="preserve">X29</t>
  </si>
  <si>
    <r>
      <rPr>
        <sz val="10"/>
        <color rgb="FF000000"/>
        <rFont val="Arial"/>
        <family val="0"/>
        <charset val="1"/>
      </rPr>
      <t xml:space="preserve">2028</t>
    </r>
    <r>
      <rPr>
        <sz val="10"/>
        <color rgb="FF000000"/>
        <rFont val="Noto Sans CJK SC"/>
        <family val="2"/>
      </rPr>
      <t xml:space="preserve">：只靠訂閱所需 </t>
    </r>
    <r>
      <rPr>
        <sz val="10"/>
        <color rgb="FF000000"/>
        <rFont val="Arial"/>
        <family val="0"/>
        <charset val="1"/>
      </rPr>
      <t xml:space="preserve">Coding Plan </t>
    </r>
    <r>
      <rPr>
        <sz val="10"/>
        <color rgb="FF000000"/>
        <rFont val="Noto Sans CJK SC"/>
        <family val="2"/>
      </rPr>
      <t xml:space="preserve">訂閱者（同 </t>
    </r>
    <r>
      <rPr>
        <sz val="10"/>
        <color rgb="FF000000"/>
        <rFont val="Arial"/>
        <family val="0"/>
        <charset val="1"/>
      </rPr>
      <t xml:space="preserve">ARPU</t>
    </r>
    <r>
      <rPr>
        <sz val="10"/>
        <color rgb="FF000000"/>
        <rFont val="Noto Sans CJK SC"/>
        <family val="2"/>
      </rPr>
      <t xml:space="preserve">）</t>
    </r>
  </si>
  <si>
    <r>
      <rPr>
        <sz val="9"/>
        <color rgb="FF595959"/>
        <rFont val="Arial"/>
        <family val="0"/>
        <charset val="1"/>
      </rPr>
      <t xml:space="preserve">DEM_Subs_CP × </t>
    </r>
    <r>
      <rPr>
        <sz val="9"/>
        <color rgb="FF595959"/>
        <rFont val="Noto Sans CJK SC"/>
        <family val="2"/>
      </rPr>
      <t xml:space="preserve">倍數</t>
    </r>
  </si>
  <si>
    <t xml:space="preserve">X30</t>
  </si>
  <si>
    <r>
      <rPr>
        <sz val="10"/>
        <color rgb="FF000000"/>
        <rFont val="Arial"/>
        <family val="0"/>
        <charset val="1"/>
      </rPr>
      <t xml:space="preserve">2028</t>
    </r>
    <r>
      <rPr>
        <sz val="10"/>
        <color rgb="FF000000"/>
        <rFont val="Noto Sans CJK SC"/>
        <family val="2"/>
      </rPr>
      <t xml:space="preserve">：兩線等比例所需有效推論 </t>
    </r>
    <r>
      <rPr>
        <sz val="10"/>
        <color rgb="FF000000"/>
        <rFont val="Arial"/>
        <family val="0"/>
        <charset val="1"/>
      </rPr>
      <t xml:space="preserve">GW</t>
    </r>
    <r>
      <rPr>
        <sz val="10"/>
        <color rgb="FF000000"/>
        <rFont val="Noto Sans CJK SC"/>
        <family val="2"/>
      </rPr>
      <t xml:space="preserve">（同 </t>
    </r>
    <r>
      <rPr>
        <sz val="10"/>
        <color rgb="FF000000"/>
        <rFont val="Arial"/>
        <family val="0"/>
        <charset val="1"/>
      </rPr>
      <t xml:space="preserve">η</t>
    </r>
    <r>
      <rPr>
        <sz val="10"/>
        <color rgb="FF000000"/>
        <rFont val="Noto Sans CJK SC"/>
        <family val="2"/>
      </rPr>
      <t xml:space="preserve">、同 </t>
    </r>
    <r>
      <rPr>
        <sz val="10"/>
        <color rgb="FF000000"/>
        <rFont val="Arial"/>
        <family val="0"/>
        <charset val="1"/>
      </rPr>
      <t xml:space="preserve">token </t>
    </r>
    <r>
      <rPr>
        <sz val="10"/>
        <color rgb="FF000000"/>
        <rFont val="Noto Sans CJK SC"/>
        <family val="2"/>
      </rPr>
      <t xml:space="preserve">結構）</t>
    </r>
  </si>
  <si>
    <r>
      <rPr>
        <sz val="9"/>
        <color rgb="FF595959"/>
        <rFont val="Noto Sans CJK SC"/>
        <family val="2"/>
      </rPr>
      <t xml:space="preserve">正向有效推論 </t>
    </r>
    <r>
      <rPr>
        <sz val="9"/>
        <color rgb="FF595959"/>
        <rFont val="Arial"/>
        <family val="0"/>
        <charset val="1"/>
      </rPr>
      <t xml:space="preserve">GW × </t>
    </r>
    <r>
      <rPr>
        <sz val="9"/>
        <color rgb="FF595959"/>
        <rFont val="Noto Sans CJK SC"/>
        <family val="2"/>
      </rPr>
      <t xml:space="preserve">等比例倍數；只對照（反向資金不增加算力，見第五節說明）</t>
    </r>
  </si>
  <si>
    <t xml:space="preserve">X31</t>
  </si>
  <si>
    <r>
      <rPr>
        <sz val="10"/>
        <color rgb="FF000000"/>
        <rFont val="Noto Sans CJK SC"/>
        <family val="2"/>
      </rPr>
      <t xml:space="preserve">反向覆蓋率（目標營收 </t>
    </r>
    <r>
      <rPr>
        <sz val="10"/>
        <color rgb="FF000000"/>
        <rFont val="Arial"/>
        <family val="0"/>
        <charset val="1"/>
      </rPr>
      <t xml:space="preserve">÷ </t>
    </r>
    <r>
      <rPr>
        <sz val="10"/>
        <color rgb="FF000000"/>
        <rFont val="Noto Sans CJK SC"/>
        <family val="2"/>
      </rPr>
      <t xml:space="preserve">正向全成本）</t>
    </r>
  </si>
  <si>
    <t xml:space="preserve">同一支出下的覆蓋率；目標營收若需更多算力，實際覆蓋率較低</t>
  </si>
  <si>
    <t xml:space="preserve">五、反向資金（目標營收＋同一支出；同一最低現金規則；只作對照）</t>
  </si>
  <si>
    <t xml:space="preserve">X32</t>
  </si>
  <si>
    <t xml:space="preserve">自由現金流（反向）＝正向自由現金流＋（目標 − 正向）</t>
  </si>
  <si>
    <t xml:space="preserve">X33</t>
  </si>
  <si>
    <t xml:space="preserve">期初現金</t>
  </si>
  <si>
    <t xml:space="preserve">X34</t>
  </si>
  <si>
    <t xml:space="preserve">補足前期末現金</t>
  </si>
  <si>
    <r>
      <rPr>
        <sz val="9"/>
        <color rgb="FF595959"/>
        <rFont val="Arial"/>
        <family val="0"/>
        <charset val="1"/>
      </rPr>
      <t xml:space="preserve">2026</t>
    </r>
    <r>
      <rPr>
        <sz val="9"/>
        <color rgb="FF595959"/>
        <rFont val="Noto Sans CJK SC"/>
        <family val="2"/>
      </rPr>
      <t xml:space="preserve">＝</t>
    </r>
    <r>
      <rPr>
        <sz val="9"/>
        <color rgb="FF595959"/>
        <rFont val="Arial"/>
        <family val="0"/>
        <charset val="1"/>
      </rPr>
      <t xml:space="preserve">Funding </t>
    </r>
    <r>
      <rPr>
        <sz val="9"/>
        <color rgb="FF595959"/>
        <rFont val="Noto Sans CJK SC"/>
        <family val="2"/>
      </rPr>
      <t xml:space="preserve">補足前＋（目標 − 正向）</t>
    </r>
  </si>
  <si>
    <t xml:space="preserve">X35</t>
  </si>
  <si>
    <t xml:space="preserve">當年外部資金需求</t>
  </si>
  <si>
    <t xml:space="preserve">X36</t>
  </si>
  <si>
    <t xml:space="preserve">X37</t>
  </si>
  <si>
    <t xml:space="preserve">累計外部資金需求（反向）</t>
  </si>
  <si>
    <r>
      <rPr>
        <b val="true"/>
        <sz val="10"/>
        <rFont val="Noto Sans CJK SC"/>
        <family val="2"/>
      </rPr>
      <t xml:space="preserve">六、市值隱含營收（</t>
    </r>
    <r>
      <rPr>
        <b val="true"/>
        <sz val="10"/>
        <rFont val="Arial"/>
        <family val="0"/>
        <charset val="1"/>
      </rPr>
      <t xml:space="preserve">D22 ③</t>
    </r>
    <r>
      <rPr>
        <b val="true"/>
        <sz val="10"/>
        <rFont val="Noto Sans CJK SC"/>
        <family val="2"/>
      </rPr>
      <t xml:space="preserve">、</t>
    </r>
    <r>
      <rPr>
        <b val="true"/>
        <sz val="10"/>
        <rFont val="Arial"/>
        <family val="0"/>
        <charset val="1"/>
      </rPr>
      <t xml:space="preserve">D21r</t>
    </r>
    <r>
      <rPr>
        <b val="true"/>
        <sz val="10"/>
        <rFont val="Noto Sans CJK SC"/>
        <family val="2"/>
      </rPr>
      <t xml:space="preserve">）：</t>
    </r>
    <r>
      <rPr>
        <b val="true"/>
        <sz val="10"/>
        <rFont val="Arial"/>
        <family val="0"/>
        <charset val="1"/>
      </rPr>
      <t xml:space="preserve">EV ÷ </t>
    </r>
    <r>
      <rPr>
        <b val="true"/>
        <sz val="10"/>
        <rFont val="Noto Sans CJK SC"/>
        <family val="2"/>
      </rPr>
      <t xml:space="preserve">同業 </t>
    </r>
    <r>
      <rPr>
        <b val="true"/>
        <sz val="10"/>
        <rFont val="Arial"/>
        <family val="0"/>
        <charset val="1"/>
      </rPr>
      <t xml:space="preserve">EV</t>
    </r>
    <r>
      <rPr>
        <b val="true"/>
        <sz val="10"/>
        <rFont val="Noto Sans CJK SC"/>
        <family val="2"/>
      </rPr>
      <t xml:space="preserve">／年化營收倍數（</t>
    </r>
    <r>
      <rPr>
        <b val="true"/>
        <sz val="10"/>
        <rFont val="Arial"/>
        <family val="0"/>
        <charset val="1"/>
      </rPr>
      <t xml:space="preserve">MiniMax</t>
    </r>
    <r>
      <rPr>
        <b val="true"/>
        <sz val="10"/>
        <rFont val="Noto Sans CJK SC"/>
        <family val="2"/>
      </rPr>
      <t xml:space="preserve">，</t>
    </r>
    <r>
      <rPr>
        <b val="true"/>
        <sz val="10"/>
        <rFont val="Arial"/>
        <family val="0"/>
        <charset val="1"/>
      </rPr>
      <t xml:space="preserve">Analogy</t>
    </r>
    <r>
      <rPr>
        <b val="true"/>
        <sz val="10"/>
        <rFont val="Noto Sans CJK SC"/>
        <family val="2"/>
      </rPr>
      <t xml:space="preserve">）→ 與正向營收比較</t>
    </r>
  </si>
  <si>
    <t xml:space="preserve">X38</t>
  </si>
  <si>
    <r>
      <rPr>
        <sz val="10"/>
        <color rgb="FF000000"/>
        <rFont val="Noto Sans CJK SC"/>
        <family val="2"/>
      </rPr>
      <t xml:space="preserve">收盤價（</t>
    </r>
    <r>
      <rPr>
        <sz val="10"/>
        <color rgb="FF000000"/>
        <rFont val="Arial"/>
        <family val="0"/>
        <charset val="1"/>
      </rPr>
      <t xml:space="preserve">2026-10-07</t>
    </r>
    <r>
      <rPr>
        <sz val="10"/>
        <color rgb="FF000000"/>
        <rFont val="Noto Sans CJK SC"/>
        <family val="2"/>
      </rPr>
      <t xml:space="preserve">）</t>
    </r>
  </si>
  <si>
    <t xml:space="preserve">X39</t>
  </si>
  <si>
    <r>
      <rPr>
        <sz val="10"/>
        <color rgb="FF000000"/>
        <rFont val="Noto Sans CJK SC"/>
        <family val="2"/>
      </rPr>
      <t xml:space="preserve">總股本（</t>
    </r>
    <r>
      <rPr>
        <sz val="10"/>
        <color rgb="FF000000"/>
        <rFont val="Arial"/>
        <family val="0"/>
        <charset val="1"/>
      </rPr>
      <t xml:space="preserve">2026-09-16 </t>
    </r>
    <r>
      <rPr>
        <sz val="10"/>
        <color rgb="FF000000"/>
        <rFont val="Noto Sans CJK SC"/>
        <family val="2"/>
      </rPr>
      <t xml:space="preserve">配售後）</t>
    </r>
  </si>
  <si>
    <r>
      <rPr>
        <sz val="9"/>
        <color rgb="FF595959"/>
        <rFont val="Arial"/>
        <family val="0"/>
        <charset val="1"/>
      </rPr>
      <t xml:space="preserve">SRC_ZP_563</t>
    </r>
    <r>
      <rPr>
        <sz val="9"/>
        <color rgb="FF595959"/>
        <rFont val="Noto Sans CJK SC"/>
        <family val="2"/>
      </rPr>
      <t xml:space="preserve">（含非上市股份，同價計）</t>
    </r>
  </si>
  <si>
    <t xml:space="preserve">X40</t>
  </si>
  <si>
    <r>
      <rPr>
        <sz val="10"/>
        <color rgb="FF000000"/>
        <rFont val="Noto Sans CJK SC"/>
        <family val="2"/>
      </rPr>
      <t xml:space="preserve">市值（港幣）＝股價 </t>
    </r>
    <r>
      <rPr>
        <sz val="10"/>
        <color rgb="FF000000"/>
        <rFont val="Arial"/>
        <family val="0"/>
        <charset val="1"/>
      </rPr>
      <t xml:space="preserve">× </t>
    </r>
    <r>
      <rPr>
        <sz val="10"/>
        <color rgb="FF000000"/>
        <rFont val="Noto Sans CJK SC"/>
        <family val="2"/>
      </rPr>
      <t xml:space="preserve">股數 </t>
    </r>
    <r>
      <rPr>
        <sz val="10"/>
        <color rgb="FF000000"/>
        <rFont val="Arial"/>
        <family val="0"/>
        <charset val="1"/>
      </rPr>
      <t xml:space="preserve">÷ 10^8</t>
    </r>
  </si>
  <si>
    <r>
      <rPr>
        <sz val="9"/>
        <color rgb="FF595959"/>
        <rFont val="Noto Sans CJK SC"/>
        <family val="2"/>
      </rPr>
      <t xml:space="preserve">對照：行情頁 </t>
    </r>
    <r>
      <rPr>
        <sz val="9"/>
        <color rgb="FF595959"/>
        <rFont val="Arial"/>
        <family val="0"/>
        <charset val="1"/>
      </rPr>
      <t xml:space="preserve">3,396.48</t>
    </r>
    <r>
      <rPr>
        <sz val="9"/>
        <color rgb="FF595959"/>
        <rFont val="Noto Sans CJK SC"/>
        <family val="2"/>
      </rPr>
      <t xml:space="preserve">（</t>
    </r>
    <r>
      <rPr>
        <sz val="9"/>
        <color rgb="FF595959"/>
        <rFont val="Arial"/>
        <family val="0"/>
        <charset val="1"/>
      </rPr>
      <t xml:space="preserve">SRC_ZP_571</t>
    </r>
    <r>
      <rPr>
        <sz val="9"/>
        <color rgb="FF595959"/>
        <rFont val="Noto Sans CJK SC"/>
        <family val="2"/>
      </rPr>
      <t xml:space="preserve">）</t>
    </r>
  </si>
  <si>
    <t xml:space="preserve">X41</t>
  </si>
  <si>
    <t xml:space="preserve">市值（人民幣）</t>
  </si>
  <si>
    <t xml:space="preserve">× HKD/CNY</t>
  </si>
  <si>
    <t xml:space="preserve">X42</t>
  </si>
  <si>
    <r>
      <rPr>
        <sz val="10"/>
        <color rgb="FF000000"/>
        <rFont val="Noto Sans CJK SC"/>
        <family val="2"/>
      </rPr>
      <t xml:space="preserve">淨現金（估計，</t>
    </r>
    <r>
      <rPr>
        <sz val="10"/>
        <color rgb="FF000000"/>
        <rFont val="Arial"/>
        <family val="0"/>
        <charset val="1"/>
      </rPr>
      <t xml:space="preserve">Derived</t>
    </r>
    <r>
      <rPr>
        <sz val="10"/>
        <color rgb="FF000000"/>
        <rFont val="Noto Sans CJK SC"/>
        <family val="2"/>
      </rPr>
      <t xml:space="preserve">）＝</t>
    </r>
    <r>
      <rPr>
        <sz val="10"/>
        <color rgb="FF000000"/>
        <rFont val="Arial"/>
        <family val="0"/>
        <charset val="1"/>
      </rPr>
      <t xml:space="preserve">2026-06-30 </t>
    </r>
    <r>
      <rPr>
        <sz val="10"/>
        <color rgb="FF000000"/>
        <rFont val="Noto Sans CJK SC"/>
        <family val="2"/>
      </rPr>
      <t xml:space="preserve">現金＋</t>
    </r>
    <r>
      <rPr>
        <sz val="10"/>
        <color rgb="FF000000"/>
        <rFont val="Arial"/>
        <family val="0"/>
        <charset val="1"/>
      </rPr>
      <t xml:space="preserve">2H26 </t>
    </r>
    <r>
      <rPr>
        <sz val="10"/>
        <color rgb="FF000000"/>
        <rFont val="Noto Sans CJK SC"/>
        <family val="2"/>
      </rPr>
      <t xml:space="preserve">配售與可換股債券淨額 − </t>
    </r>
    <r>
      <rPr>
        <sz val="10"/>
        <color rgb="FF000000"/>
        <rFont val="Arial"/>
        <family val="0"/>
        <charset val="1"/>
      </rPr>
      <t xml:space="preserve">2026-07 </t>
    </r>
    <r>
      <rPr>
        <sz val="10"/>
        <color rgb="FF000000"/>
        <rFont val="Noto Sans CJK SC"/>
        <family val="2"/>
      </rPr>
      <t xml:space="preserve">配售款已動用 − 銀行借款 − 可換股債券本金</t>
    </r>
  </si>
  <si>
    <r>
      <rPr>
        <sz val="9"/>
        <color rgb="FF595959"/>
        <rFont val="Arial"/>
        <family val="0"/>
        <charset val="1"/>
      </rPr>
      <t xml:space="preserve">chat </t>
    </r>
    <r>
      <rPr>
        <sz val="9"/>
        <color rgb="FF595959"/>
        <rFont val="Noto Sans CJK SC"/>
        <family val="2"/>
      </rPr>
      <t xml:space="preserve">端補充：含 </t>
    </r>
    <r>
      <rPr>
        <sz val="9"/>
        <color rgb="FF595959"/>
        <rFont val="Arial"/>
        <family val="0"/>
        <charset val="1"/>
      </rPr>
      <t xml:space="preserve">2026-07</t>
    </r>
    <r>
      <rPr>
        <sz val="9"/>
        <color rgb="FF595959"/>
        <rFont val="Noto Sans CJK SC"/>
        <family val="2"/>
      </rPr>
      <t xml:space="preserve">、</t>
    </r>
    <r>
      <rPr>
        <sz val="9"/>
        <color rgb="FF595959"/>
        <rFont val="Arial"/>
        <family val="0"/>
        <charset val="1"/>
      </rPr>
      <t xml:space="preserve">09 </t>
    </r>
    <r>
      <rPr>
        <sz val="9"/>
        <color rgb="FF595959"/>
        <rFont val="Noto Sans CJK SC"/>
        <family val="2"/>
      </rPr>
      <t xml:space="preserve">新資金；</t>
    </r>
    <r>
      <rPr>
        <sz val="9"/>
        <color rgb="FF595959"/>
        <rFont val="Arial"/>
        <family val="0"/>
        <charset val="1"/>
      </rPr>
      <t xml:space="preserve">Z5b V3</t>
    </r>
    <r>
      <rPr>
        <sz val="9"/>
        <color rgb="FF595959"/>
        <rFont val="Noto Sans CJK SC"/>
        <family val="2"/>
      </rPr>
      <t xml:space="preserve">：扣 </t>
    </r>
    <r>
      <rPr>
        <sz val="9"/>
        <color rgb="FF595959"/>
        <rFont val="Arial"/>
        <family val="0"/>
        <charset val="1"/>
      </rPr>
      <t xml:space="preserve">2026-07 </t>
    </r>
    <r>
      <rPr>
        <sz val="9"/>
        <color rgb="FF595959"/>
        <rFont val="Noto Sans CJK SC"/>
        <family val="2"/>
      </rPr>
      <t xml:space="preserve">配售款截至 </t>
    </r>
    <r>
      <rPr>
        <sz val="9"/>
        <color rgb="FF595959"/>
        <rFont val="Arial"/>
        <family val="0"/>
        <charset val="1"/>
      </rPr>
      <t xml:space="preserve">2026-08-31 </t>
    </r>
    <r>
      <rPr>
        <sz val="9"/>
        <color rgb="FF595959"/>
        <rFont val="Noto Sans CJK SC"/>
        <family val="2"/>
      </rPr>
      <t xml:space="preserve">已動用（</t>
    </r>
    <r>
      <rPr>
        <sz val="9"/>
        <color rgb="FF595959"/>
        <rFont val="Arial"/>
        <family val="0"/>
        <charset val="1"/>
      </rPr>
      <t xml:space="preserve">Funding </t>
    </r>
    <r>
      <rPr>
        <sz val="9"/>
        <color rgb="FF595959"/>
        <rFont val="Noto Sans CJK SC"/>
        <family val="2"/>
      </rPr>
      <t xml:space="preserve">第七節，</t>
    </r>
    <r>
      <rPr>
        <sz val="9"/>
        <color rgb="FF595959"/>
        <rFont val="Arial"/>
        <family val="0"/>
        <charset val="1"/>
      </rPr>
      <t xml:space="preserve">SRC_ZP_540 × HKD/CNY</t>
    </r>
    <r>
      <rPr>
        <sz val="9"/>
        <color rgb="FF595959"/>
        <rFont val="Noto Sans CJK SC"/>
        <family val="2"/>
      </rPr>
      <t xml:space="preserve">）</t>
    </r>
  </si>
  <si>
    <t xml:space="preserve">X43</t>
  </si>
  <si>
    <r>
      <rPr>
        <sz val="10"/>
        <color rgb="FF000000"/>
        <rFont val="Noto Sans CJK SC"/>
        <family val="2"/>
      </rPr>
      <t xml:space="preserve">對照：模型 </t>
    </r>
    <r>
      <rPr>
        <sz val="10"/>
        <color rgb="FF000000"/>
        <rFont val="Arial"/>
        <family val="0"/>
        <charset val="1"/>
      </rPr>
      <t xml:space="preserve">2026 </t>
    </r>
    <r>
      <rPr>
        <sz val="10"/>
        <color rgb="FF000000"/>
        <rFont val="Noto Sans CJK SC"/>
        <family val="2"/>
      </rPr>
      <t xml:space="preserve">年底淨現金（期末現金 − 銀行借款 − 可換股債券本金）</t>
    </r>
  </si>
  <si>
    <r>
      <rPr>
        <sz val="9"/>
        <color rgb="FF595959"/>
        <rFont val="Noto Sans CJK SC"/>
        <family val="2"/>
      </rPr>
      <t xml:space="preserve">含 </t>
    </r>
    <r>
      <rPr>
        <sz val="9"/>
        <color rgb="FF595959"/>
        <rFont val="Arial"/>
        <family val="0"/>
        <charset val="1"/>
      </rPr>
      <t xml:space="preserve">2H26 </t>
    </r>
    <r>
      <rPr>
        <sz val="9"/>
        <color rgb="FF595959"/>
        <rFont val="Noto Sans CJK SC"/>
        <family val="2"/>
      </rPr>
      <t xml:space="preserve">模型營運消耗與中科加禾</t>
    </r>
  </si>
  <si>
    <t xml:space="preserve">X44</t>
  </si>
  <si>
    <r>
      <rPr>
        <sz val="10"/>
        <color rgb="FF000000"/>
        <rFont val="Noto Sans CJK SC"/>
        <family val="2"/>
      </rPr>
      <t xml:space="preserve">企業價值 </t>
    </r>
    <r>
      <rPr>
        <sz val="10"/>
        <color rgb="FF000000"/>
        <rFont val="Arial"/>
        <family val="0"/>
        <charset val="1"/>
      </rPr>
      <t xml:space="preserve">EV</t>
    </r>
    <r>
      <rPr>
        <sz val="10"/>
        <color rgb="FF000000"/>
        <rFont val="Noto Sans CJK SC"/>
        <family val="2"/>
      </rPr>
      <t xml:space="preserve">＝市值 − 淨現金</t>
    </r>
  </si>
  <si>
    <t xml:space="preserve">X45</t>
  </si>
  <si>
    <r>
      <rPr>
        <sz val="10"/>
        <color rgb="FF000000"/>
        <rFont val="Arial"/>
        <family val="0"/>
        <charset val="1"/>
      </rPr>
      <t xml:space="preserve">MiniMax </t>
    </r>
    <r>
      <rPr>
        <sz val="10"/>
        <color rgb="FF000000"/>
        <rFont val="Noto Sans CJK SC"/>
        <family val="2"/>
      </rPr>
      <t xml:space="preserve">市值（美元）＝港幣市值 </t>
    </r>
    <r>
      <rPr>
        <sz val="10"/>
        <color rgb="FF000000"/>
        <rFont val="Arial"/>
        <family val="0"/>
        <charset val="1"/>
      </rPr>
      <t xml:space="preserve">× HKD/CNY ÷ USD/CNY</t>
    </r>
  </si>
  <si>
    <r>
      <rPr>
        <sz val="9"/>
        <color rgb="FF595959"/>
        <rFont val="Arial"/>
        <family val="0"/>
        <charset val="1"/>
      </rPr>
      <t xml:space="preserve">SRC_ZP_596</t>
    </r>
    <r>
      <rPr>
        <sz val="9"/>
        <color rgb="FF595959"/>
        <rFont val="Noto Sans CJK SC"/>
        <family val="2"/>
      </rPr>
      <t xml:space="preserve">（</t>
    </r>
    <r>
      <rPr>
        <sz val="9"/>
        <color rgb="FF595959"/>
        <rFont val="Arial"/>
        <family val="0"/>
        <charset val="1"/>
      </rPr>
      <t xml:space="preserve">2026-10-07 </t>
    </r>
    <r>
      <rPr>
        <sz val="9"/>
        <color rgb="FF595959"/>
        <rFont val="Noto Sans CJK SC"/>
        <family val="2"/>
      </rPr>
      <t xml:space="preserve">盤中）</t>
    </r>
  </si>
  <si>
    <t xml:space="preserve">X46</t>
  </si>
  <si>
    <r>
      <rPr>
        <sz val="9"/>
        <color rgb="FF595959"/>
        <rFont val="Arial"/>
        <family val="0"/>
        <charset val="1"/>
      </rPr>
      <t xml:space="preserve">SRC_ZP_603</t>
    </r>
    <r>
      <rPr>
        <sz val="9"/>
        <color rgb="FF595959"/>
        <rFont val="Noto Sans CJK SC"/>
        <family val="2"/>
      </rPr>
      <t xml:space="preserve">（</t>
    </r>
    <r>
      <rPr>
        <sz val="9"/>
        <color rgb="FF595959"/>
        <rFont val="Arial"/>
        <family val="0"/>
        <charset val="1"/>
      </rPr>
      <t xml:space="preserve">2026-06-30</t>
    </r>
    <r>
      <rPr>
        <sz val="9"/>
        <color rgb="FF595959"/>
        <rFont val="Noto Sans CJK SC"/>
        <family val="2"/>
      </rPr>
      <t xml:space="preserve">；未扣債務，資料缺口）</t>
    </r>
  </si>
  <si>
    <t xml:space="preserve">X47</t>
  </si>
  <si>
    <t xml:space="preserve">MiniMax EV</t>
  </si>
  <si>
    <t xml:space="preserve">X48</t>
  </si>
  <si>
    <r>
      <rPr>
        <sz val="10"/>
        <color rgb="FF000000"/>
        <rFont val="Arial"/>
        <family val="0"/>
        <charset val="1"/>
      </rPr>
      <t xml:space="preserve">MiniMax </t>
    </r>
    <r>
      <rPr>
        <sz val="10"/>
        <color rgb="FF000000"/>
        <rFont val="Noto Sans CJK SC"/>
        <family val="2"/>
      </rPr>
      <t xml:space="preserve">年化營收＝</t>
    </r>
    <r>
      <rPr>
        <sz val="10"/>
        <color rgb="FF000000"/>
        <rFont val="Arial"/>
        <family val="0"/>
        <charset val="1"/>
      </rPr>
      <t xml:space="preserve">1H26 × </t>
    </r>
    <r>
      <rPr>
        <sz val="10"/>
        <color rgb="FF000000"/>
        <rFont val="Noto Sans CJK SC"/>
        <family val="2"/>
      </rPr>
      <t xml:space="preserve">半年數</t>
    </r>
  </si>
  <si>
    <t xml:space="preserve">X49</t>
  </si>
  <si>
    <r>
      <rPr>
        <sz val="10"/>
        <color rgb="FF000000"/>
        <rFont val="Arial"/>
        <family val="0"/>
        <charset val="1"/>
      </rPr>
      <t xml:space="preserve">MiniMax EV ÷ </t>
    </r>
    <r>
      <rPr>
        <sz val="10"/>
        <color rgb="FF000000"/>
        <rFont val="Noto Sans CJK SC"/>
        <family val="2"/>
      </rPr>
      <t xml:space="preserve">年化營收（推導值）</t>
    </r>
  </si>
  <si>
    <r>
      <rPr>
        <sz val="9"/>
        <color rgb="FF595959"/>
        <rFont val="Arial"/>
        <family val="0"/>
        <charset val="1"/>
      </rPr>
      <t xml:space="preserve">SRC_ZP_604 </t>
    </r>
    <r>
      <rPr>
        <sz val="9"/>
        <color rgb="FF595959"/>
        <rFont val="Noto Sans CJK SC"/>
        <family val="2"/>
      </rPr>
      <t xml:space="preserve">所述公式，改用年化營收（</t>
    </r>
    <r>
      <rPr>
        <sz val="9"/>
        <color rgb="FF595959"/>
        <rFont val="Arial"/>
        <family val="0"/>
        <charset val="1"/>
      </rPr>
      <t xml:space="preserve">chat </t>
    </r>
    <r>
      <rPr>
        <sz val="9"/>
        <color rgb="FF595959"/>
        <rFont val="Noto Sans CJK SC"/>
        <family val="2"/>
      </rPr>
      <t xml:space="preserve">端補充）</t>
    </r>
  </si>
  <si>
    <t xml:space="preserve">X50</t>
  </si>
  <si>
    <r>
      <rPr>
        <sz val="10"/>
        <color rgb="FF000000"/>
        <rFont val="Noto Sans CJK SC"/>
        <family val="2"/>
      </rPr>
      <t xml:space="preserve">同業倍數：基準（推導值 </t>
    </r>
    <r>
      <rPr>
        <sz val="10"/>
        <color rgb="FF000000"/>
        <rFont val="Arial"/>
        <family val="0"/>
        <charset val="1"/>
      </rPr>
      <t xml:space="preserve">× Inputs </t>
    </r>
    <r>
      <rPr>
        <sz val="10"/>
        <color rgb="FF000000"/>
        <rFont val="Noto Sans CJK SC"/>
        <family val="2"/>
      </rPr>
      <t xml:space="preserve">係數）</t>
    </r>
  </si>
  <si>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Analogy</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t>
    </r>
    <r>
      <rPr>
        <sz val="9"/>
        <color rgb="FF595959"/>
        <rFont val="Arial"/>
        <family val="0"/>
        <charset val="1"/>
      </rPr>
      <t xml:space="preserve">0.5–2.0</t>
    </r>
    <r>
      <rPr>
        <sz val="9"/>
        <color rgb="FF595959"/>
        <rFont val="Noto Sans CJK SC"/>
        <family val="2"/>
      </rPr>
      <t xml:space="preserve">）</t>
    </r>
  </si>
  <si>
    <t xml:space="preserve">X51</t>
  </si>
  <si>
    <t xml:space="preserve">同業倍數：低端</t>
  </si>
  <si>
    <r>
      <rPr>
        <sz val="9"/>
        <color rgb="FF595959"/>
        <rFont val="Arial"/>
        <family val="0"/>
        <charset val="1"/>
      </rPr>
      <t xml:space="preserve">Inputs </t>
    </r>
    <r>
      <rPr>
        <sz val="9"/>
        <color rgb="FF595959"/>
        <rFont val="Noto Sans CJK SC"/>
        <family val="2"/>
      </rPr>
      <t xml:space="preserve">低欄</t>
    </r>
  </si>
  <si>
    <t xml:space="preserve">X52</t>
  </si>
  <si>
    <t xml:space="preserve">同業倍數：高端</t>
  </si>
  <si>
    <r>
      <rPr>
        <sz val="9"/>
        <color rgb="FF595959"/>
        <rFont val="Arial"/>
        <family val="0"/>
        <charset val="1"/>
      </rPr>
      <t xml:space="preserve">Inputs </t>
    </r>
    <r>
      <rPr>
        <sz val="9"/>
        <color rgb="FF595959"/>
        <rFont val="Noto Sans CJK SC"/>
        <family val="2"/>
      </rPr>
      <t xml:space="preserve">高欄</t>
    </r>
  </si>
  <si>
    <t xml:space="preserve">X53</t>
  </si>
  <si>
    <r>
      <rPr>
        <sz val="10"/>
        <color rgb="FF000000"/>
        <rFont val="Noto Sans CJK SC"/>
        <family val="2"/>
      </rPr>
      <t xml:space="preserve">市值隱含營收（基準）＝</t>
    </r>
    <r>
      <rPr>
        <sz val="10"/>
        <color rgb="FF000000"/>
        <rFont val="Arial"/>
        <family val="0"/>
        <charset val="1"/>
      </rPr>
      <t xml:space="preserve">EV ÷ </t>
    </r>
    <r>
      <rPr>
        <sz val="10"/>
        <color rgb="FF000000"/>
        <rFont val="Noto Sans CJK SC"/>
        <family val="2"/>
      </rPr>
      <t xml:space="preserve">同業倍數</t>
    </r>
  </si>
  <si>
    <t xml:space="preserve">市值『要求』的年營收（以同業當前倍數計）</t>
  </si>
  <si>
    <t xml:space="preserve">X54</t>
  </si>
  <si>
    <t xml:space="preserve">市值隱含營收（倍數低端 → 營收高端）</t>
  </si>
  <si>
    <t xml:space="preserve">X55</t>
  </si>
  <si>
    <t xml:space="preserve">市值隱含營收（倍數高端 → 營收低端）</t>
  </si>
  <si>
    <t xml:space="preserve">X56</t>
  </si>
  <si>
    <t xml:space="preserve">市值隱含營收（美元）</t>
  </si>
  <si>
    <t xml:space="preserve">÷ USD/CNY ÷ 10</t>
  </si>
  <si>
    <t xml:space="preserve">X57</t>
  </si>
  <si>
    <r>
      <rPr>
        <sz val="10"/>
        <color rgb="FF000000"/>
        <rFont val="Noto Sans CJK SC"/>
        <family val="2"/>
      </rPr>
      <t xml:space="preserve">對照：智譜 </t>
    </r>
    <r>
      <rPr>
        <sz val="10"/>
        <color rgb="FF000000"/>
        <rFont val="Arial"/>
        <family val="0"/>
        <charset val="1"/>
      </rPr>
      <t xml:space="preserve">EV ÷ 1H26 </t>
    </r>
    <r>
      <rPr>
        <sz val="10"/>
        <color rgb="FF000000"/>
        <rFont val="Noto Sans CJK SC"/>
        <family val="2"/>
      </rPr>
      <t xml:space="preserve">年化營收（實際）</t>
    </r>
  </si>
  <si>
    <t xml:space="preserve">X58</t>
  </si>
  <si>
    <r>
      <rPr>
        <sz val="10"/>
        <color rgb="FF000000"/>
        <rFont val="Noto Sans CJK SC"/>
        <family val="2"/>
      </rPr>
      <t xml:space="preserve">對照：智譜 </t>
    </r>
    <r>
      <rPr>
        <sz val="10"/>
        <color rgb="FF000000"/>
        <rFont val="Arial"/>
        <family val="0"/>
        <charset val="1"/>
      </rPr>
      <t xml:space="preserve">EV ÷ </t>
    </r>
    <r>
      <rPr>
        <sz val="10"/>
        <color rgb="FF000000"/>
        <rFont val="Noto Sans CJK SC"/>
        <family val="2"/>
      </rPr>
      <t xml:space="preserve">模型 </t>
    </r>
    <r>
      <rPr>
        <sz val="10"/>
        <color rgb="FF000000"/>
        <rFont val="Arial"/>
        <family val="0"/>
        <charset val="1"/>
      </rPr>
      <t xml:space="preserve">2H26 </t>
    </r>
    <r>
      <rPr>
        <sz val="10"/>
        <color rgb="FF000000"/>
        <rFont val="Noto Sans CJK SC"/>
        <family val="2"/>
      </rPr>
      <t xml:space="preserve">年化營收</t>
    </r>
  </si>
  <si>
    <t xml:space="preserve">X59</t>
  </si>
  <si>
    <r>
      <rPr>
        <sz val="10"/>
        <color rgb="FF000000"/>
        <rFont val="Noto Sans CJK SC"/>
        <family val="2"/>
      </rPr>
      <t xml:space="preserve">正向營收 </t>
    </r>
    <r>
      <rPr>
        <sz val="10"/>
        <color rgb="FF000000"/>
        <rFont val="Arial"/>
        <family val="0"/>
        <charset val="1"/>
      </rPr>
      <t xml:space="preserve">÷ </t>
    </r>
    <r>
      <rPr>
        <sz val="10"/>
        <color rgb="FF000000"/>
        <rFont val="Noto Sans CJK SC"/>
        <family val="2"/>
      </rPr>
      <t xml:space="preserve">市值隱含營收（基準）</t>
    </r>
  </si>
  <si>
    <r>
      <rPr>
        <sz val="9"/>
        <color rgb="FF595959"/>
        <rFont val="Arial"/>
        <family val="0"/>
        <charset val="1"/>
      </rPr>
      <t xml:space="preserve">&gt;1</t>
    </r>
    <r>
      <rPr>
        <sz val="9"/>
        <color rgb="FF595959"/>
        <rFont val="Noto Sans CJK SC"/>
        <family val="2"/>
      </rPr>
      <t xml:space="preserve">＝正向該年營收已達市值要求（以同業當前倍數計）</t>
    </r>
  </si>
  <si>
    <t xml:space="preserve">X60</t>
  </si>
  <si>
    <t xml:space="preserve">正向營收 ≥ 市值隱含營收的年度標示</t>
  </si>
  <si>
    <t xml:space="preserve">X61</t>
  </si>
  <si>
    <t xml:space="preserve">摘要：正向營收首次達到市值隱含營收的年度</t>
  </si>
  <si>
    <t xml:space="preserve">X62</t>
  </si>
  <si>
    <r>
      <rPr>
        <sz val="10"/>
        <color rgb="FF000000"/>
        <rFont val="Noto Sans CJK SC"/>
        <family val="2"/>
      </rPr>
      <t xml:space="preserve">共識 </t>
    </r>
    <r>
      <rPr>
        <sz val="10"/>
        <color rgb="FF000000"/>
        <rFont val="Arial"/>
        <family val="0"/>
        <charset val="1"/>
      </rPr>
      <t xml:space="preserve">FY2028 ÷ </t>
    </r>
    <r>
      <rPr>
        <sz val="10"/>
        <color rgb="FF000000"/>
        <rFont val="Noto Sans CJK SC"/>
        <family val="2"/>
      </rPr>
      <t xml:space="preserve">市值隱含營收</t>
    </r>
  </si>
  <si>
    <r>
      <rPr>
        <b val="true"/>
        <sz val="13"/>
        <rFont val="Arial"/>
        <family val="0"/>
        <charset val="1"/>
      </rPr>
      <t xml:space="preserve">Checks — v0.1.2 </t>
    </r>
    <r>
      <rPr>
        <b val="true"/>
        <sz val="13"/>
        <rFont val="Noto Sans CJK SC"/>
        <family val="2"/>
      </rPr>
      <t xml:space="preserve">檢查（公式；結果 </t>
    </r>
    <r>
      <rPr>
        <b val="true"/>
        <sz val="13"/>
        <rFont val="Arial"/>
        <family val="0"/>
        <charset val="1"/>
      </rPr>
      <t xml:space="preserve">ERR </t>
    </r>
    <r>
      <rPr>
        <b val="true"/>
        <sz val="13"/>
        <rFont val="Noto Sans CJK SC"/>
        <family val="2"/>
      </rPr>
      <t xml:space="preserve">的格數＝</t>
    </r>
    <r>
      <rPr>
        <b val="true"/>
        <sz val="13"/>
        <rFont val="Arial"/>
        <family val="0"/>
        <charset val="1"/>
      </rPr>
      <t xml:space="preserve">CHK_Errors</t>
    </r>
    <r>
      <rPr>
        <b val="true"/>
        <sz val="13"/>
        <rFont val="Noto Sans CJK SC"/>
        <family val="2"/>
      </rPr>
      <t xml:space="preserve">，必須為 </t>
    </r>
    <r>
      <rPr>
        <b val="true"/>
        <sz val="13"/>
        <rFont val="Arial"/>
        <family val="0"/>
        <charset val="1"/>
      </rPr>
      <t xml:space="preserve">0</t>
    </r>
    <r>
      <rPr>
        <b val="true"/>
        <sz val="13"/>
        <rFont val="Noto Sans CJK SC"/>
        <family val="2"/>
      </rPr>
      <t xml:space="preserve">）</t>
    </r>
  </si>
  <si>
    <r>
      <rPr>
        <sz val="9"/>
        <color rgb="FF595959"/>
        <rFont val="Arial"/>
        <family val="0"/>
        <charset val="1"/>
      </rPr>
      <t xml:space="preserve">OK</t>
    </r>
    <r>
      <rPr>
        <sz val="9"/>
        <color rgb="FF595959"/>
        <rFont val="Noto Sans CJK SC"/>
        <family val="2"/>
      </rPr>
      <t xml:space="preserve">／</t>
    </r>
    <r>
      <rPr>
        <sz val="9"/>
        <color rgb="FF595959"/>
        <rFont val="Arial"/>
        <family val="0"/>
        <charset val="1"/>
      </rPr>
      <t xml:space="preserve">ERR</t>
    </r>
    <r>
      <rPr>
        <sz val="9"/>
        <color rgb="FF595959"/>
        <rFont val="Noto Sans CJK SC"/>
        <family val="2"/>
      </rPr>
      <t xml:space="preserve">：比對期望值；</t>
    </r>
    <r>
      <rPr>
        <sz val="9"/>
        <color rgb="FF595959"/>
        <rFont val="Arial"/>
        <family val="0"/>
        <charset val="1"/>
      </rPr>
      <t xml:space="preserve">WARN</t>
    </r>
    <r>
      <rPr>
        <sz val="9"/>
        <color rgb="FF595959"/>
        <rFont val="Noto Sans CJK SC"/>
        <family val="2"/>
      </rPr>
      <t xml:space="preserve">：超出門檻只提示（不計入 </t>
    </r>
    <r>
      <rPr>
        <sz val="9"/>
        <color rgb="FF595959"/>
        <rFont val="Arial"/>
        <family val="0"/>
        <charset val="1"/>
      </rPr>
      <t xml:space="preserve">CHK_Errors</t>
    </r>
    <r>
      <rPr>
        <sz val="9"/>
        <color rgb="FF595959"/>
        <rFont val="Noto Sans CJK SC"/>
        <family val="2"/>
      </rPr>
      <t xml:space="preserve">）；</t>
    </r>
    <r>
      <rPr>
        <sz val="9"/>
        <color rgb="FF595959"/>
        <rFont val="Arial"/>
        <family val="0"/>
        <charset val="1"/>
      </rPr>
      <t xml:space="preserve">INFO</t>
    </r>
    <r>
      <rPr>
        <sz val="9"/>
        <color rgb="FF595959"/>
        <rFont val="Noto Sans CJK SC"/>
        <family val="2"/>
      </rPr>
      <t xml:space="preserve">：只列示。編號（</t>
    </r>
    <r>
      <rPr>
        <sz val="9"/>
        <color rgb="FF595959"/>
        <rFont val="Arial"/>
        <family val="0"/>
        <charset val="1"/>
      </rPr>
      <t xml:space="preserve">C##</t>
    </r>
    <r>
      <rPr>
        <sz val="9"/>
        <color rgb="FF595959"/>
        <rFont val="Noto Sans CJK SC"/>
        <family val="2"/>
      </rPr>
      <t xml:space="preserve">）由 </t>
    </r>
    <r>
      <rPr>
        <sz val="9"/>
        <color rgb="FF595959"/>
        <rFont val="Arial"/>
        <family val="0"/>
        <charset val="1"/>
      </rPr>
      <t xml:space="preserve">builder/id_registry.json </t>
    </r>
    <r>
      <rPr>
        <sz val="9"/>
        <color rgb="FF595959"/>
        <rFont val="Noto Sans CJK SC"/>
        <family val="2"/>
      </rPr>
      <t xml:space="preserve">固定，新檢查取下一號，退役號碼不重用。期望值為 </t>
    </r>
    <r>
      <rPr>
        <sz val="9"/>
        <color rgb="FF595959"/>
        <rFont val="Arial"/>
        <family val="0"/>
        <charset val="1"/>
      </rPr>
      <t xml:space="preserve">builder </t>
    </r>
    <r>
      <rPr>
        <sz val="9"/>
        <color rgb="FF595959"/>
        <rFont val="Noto Sans CJK SC"/>
        <family val="2"/>
      </rPr>
      <t xml:space="preserve">寫入的常數。</t>
    </r>
  </si>
  <si>
    <t xml:space="preserve">檢查項</t>
  </si>
  <si>
    <t xml:space="preserve">值（公式）</t>
  </si>
  <si>
    <t xml:space="preserve">期望</t>
  </si>
  <si>
    <t xml:space="preserve">結果</t>
  </si>
  <si>
    <t xml:space="preserve">C01</t>
  </si>
  <si>
    <r>
      <rPr>
        <sz val="10"/>
        <color rgb="FF000000"/>
        <rFont val="Arial"/>
        <family val="0"/>
        <charset val="1"/>
      </rPr>
      <t xml:space="preserve">SRC_ZP </t>
    </r>
    <r>
      <rPr>
        <sz val="10"/>
        <color rgb="FF000000"/>
        <rFont val="Noto Sans CJK SC"/>
        <family val="2"/>
      </rPr>
      <t xml:space="preserve">列數</t>
    </r>
  </si>
  <si>
    <r>
      <rPr>
        <sz val="9"/>
        <color rgb="FF595959"/>
        <rFont val="Arial"/>
        <family val="0"/>
        <charset val="1"/>
      </rPr>
      <t xml:space="preserve">Z1 604 </t>
    </r>
    <r>
      <rPr>
        <sz val="9"/>
        <color rgb="FF595959"/>
        <rFont val="Noto Sans CJK SC"/>
        <family val="2"/>
      </rPr>
      <t xml:space="preserve">筆（</t>
    </r>
    <r>
      <rPr>
        <sz val="9"/>
        <color rgb="FF595959"/>
        <rFont val="Arial"/>
        <family val="0"/>
        <charset val="1"/>
      </rPr>
      <t xml:space="preserve">SRC_ZP_001–604</t>
    </r>
    <r>
      <rPr>
        <sz val="9"/>
        <color rgb="FF595959"/>
        <rFont val="Noto Sans CJK SC"/>
        <family val="2"/>
      </rPr>
      <t xml:space="preserve">）＋ </t>
    </r>
    <r>
      <rPr>
        <sz val="9"/>
        <color rgb="FF595959"/>
        <rFont val="Arial"/>
        <family val="0"/>
        <charset val="1"/>
      </rPr>
      <t xml:space="preserve">Z4 </t>
    </r>
    <r>
      <rPr>
        <sz val="9"/>
        <color rgb="FF595959"/>
        <rFont val="Noto Sans CJK SC"/>
        <family val="2"/>
      </rPr>
      <t xml:space="preserve">補 </t>
    </r>
    <r>
      <rPr>
        <sz val="9"/>
        <color rgb="FF595959"/>
        <rFont val="Arial"/>
        <family val="0"/>
        <charset val="1"/>
      </rPr>
      <t xml:space="preserve">6 </t>
    </r>
    <r>
      <rPr>
        <sz val="9"/>
        <color rgb="FF595959"/>
        <rFont val="Noto Sans CJK SC"/>
        <family val="2"/>
      </rPr>
      <t xml:space="preserve">筆＋招股章程 </t>
    </r>
    <r>
      <rPr>
        <sz val="9"/>
        <color rgb="FF595959"/>
        <rFont val="Arial"/>
        <family val="0"/>
        <charset val="1"/>
      </rPr>
      <t xml:space="preserve">Z1-P 444 </t>
    </r>
    <r>
      <rPr>
        <sz val="9"/>
        <color rgb="FF595959"/>
        <rFont val="Noto Sans CJK SC"/>
        <family val="2"/>
      </rPr>
      <t xml:space="preserve">筆（</t>
    </r>
    <r>
      <rPr>
        <sz val="9"/>
        <color rgb="FF595959"/>
        <rFont val="Arial"/>
        <family val="0"/>
        <charset val="1"/>
      </rPr>
      <t xml:space="preserve">SRC_ZP_611–1054</t>
    </r>
    <r>
      <rPr>
        <sz val="9"/>
        <color rgb="FF595959"/>
        <rFont val="Noto Sans CJK SC"/>
        <family val="2"/>
      </rPr>
      <t xml:space="preserve">）</t>
    </r>
  </si>
  <si>
    <t xml:space="preserve">C02</t>
  </si>
  <si>
    <r>
      <rPr>
        <sz val="10"/>
        <color rgb="FF000000"/>
        <rFont val="Arial"/>
        <family val="0"/>
        <charset val="1"/>
      </rPr>
      <t xml:space="preserve">SRC_ZP </t>
    </r>
    <r>
      <rPr>
        <sz val="10"/>
        <color rgb="FF000000"/>
        <rFont val="Noto Sans CJK SC"/>
        <family val="2"/>
      </rPr>
      <t xml:space="preserve">無數值列數（日期、事件、找不到數值的說明列）</t>
    </r>
  </si>
  <si>
    <r>
      <rPr>
        <sz val="9"/>
        <color rgb="FF595959"/>
        <rFont val="Noto Sans CJK SC"/>
        <family val="2"/>
      </rPr>
      <t xml:space="preserve">值、低、高皆空的列數；與 </t>
    </r>
    <r>
      <rPr>
        <sz val="9"/>
        <color rgb="FF595959"/>
        <rFont val="Arial"/>
        <family val="0"/>
        <charset val="1"/>
      </rPr>
      <t xml:space="preserve">yaml </t>
    </r>
    <r>
      <rPr>
        <sz val="9"/>
        <color rgb="FF595959"/>
        <rFont val="Noto Sans CJK SC"/>
        <family val="2"/>
      </rPr>
      <t xml:space="preserve">一致（列被誤刪或誤填時轉 </t>
    </r>
    <r>
      <rPr>
        <sz val="9"/>
        <color rgb="FF595959"/>
        <rFont val="Arial"/>
        <family val="0"/>
        <charset val="1"/>
      </rPr>
      <t xml:space="preserve">ERR</t>
    </r>
    <r>
      <rPr>
        <sz val="9"/>
        <color rgb="FF595959"/>
        <rFont val="Noto Sans CJK SC"/>
        <family val="2"/>
      </rPr>
      <t xml:space="preserve">）</t>
    </r>
  </si>
  <si>
    <t xml:space="preserve">C03</t>
  </si>
  <si>
    <r>
      <rPr>
        <sz val="10"/>
        <color rgb="FF000000"/>
        <rFont val="Arial"/>
        <family val="0"/>
        <charset val="1"/>
      </rPr>
      <t xml:space="preserve">SRC_ZP </t>
    </r>
    <r>
      <rPr>
        <sz val="10"/>
        <color rgb="FF000000"/>
        <rFont val="Noto Sans CJK SC"/>
        <family val="2"/>
      </rPr>
      <t xml:space="preserve">缺出處列數</t>
    </r>
  </si>
  <si>
    <t xml:space="preserve">C04</t>
  </si>
  <si>
    <r>
      <rPr>
        <sz val="10"/>
        <color rgb="FF000000"/>
        <rFont val="Arial"/>
        <family val="0"/>
        <charset val="1"/>
      </rPr>
      <t xml:space="preserve">SRC_ZP </t>
    </r>
    <r>
      <rPr>
        <sz val="10"/>
        <color rgb="FF000000"/>
        <rFont val="Noto Sans CJK SC"/>
        <family val="2"/>
      </rPr>
      <t xml:space="preserve">區間順序異常列數（低 ≤ 值 ≤ 高）</t>
    </r>
  </si>
  <si>
    <t xml:space="preserve">C05</t>
  </si>
  <si>
    <r>
      <rPr>
        <sz val="10"/>
        <color rgb="FF000000"/>
        <rFont val="Arial"/>
        <family val="0"/>
        <charset val="1"/>
      </rPr>
      <t xml:space="preserve">Inputs </t>
    </r>
    <r>
      <rPr>
        <sz val="10"/>
        <color rgb="FF000000"/>
        <rFont val="Noto Sans CJK SC"/>
        <family val="2"/>
      </rPr>
      <t xml:space="preserve">列數</t>
    </r>
  </si>
  <si>
    <t xml:space="preserve">data/zhipu_inputs.yaml</t>
  </si>
  <si>
    <t xml:space="preserve">C06</t>
  </si>
  <si>
    <r>
      <rPr>
        <sz val="10"/>
        <color rgb="FF000000"/>
        <rFont val="Arial"/>
        <family val="0"/>
        <charset val="1"/>
      </rPr>
      <t xml:space="preserve">Inputs </t>
    </r>
    <r>
      <rPr>
        <sz val="10"/>
        <color rgb="FF000000"/>
        <rFont val="Noto Sans CJK SC"/>
        <family val="2"/>
      </rPr>
      <t xml:space="preserve">區間順序異常列數</t>
    </r>
  </si>
  <si>
    <t xml:space="preserve">低 ≤ 值 ≤ 高</t>
  </si>
  <si>
    <t xml:space="preserve">C07</t>
  </si>
  <si>
    <r>
      <rPr>
        <sz val="10"/>
        <color rgb="FF000000"/>
        <rFont val="Arial"/>
        <family val="0"/>
        <charset val="1"/>
      </rPr>
      <t xml:space="preserve">Inputs Analogy</t>
    </r>
    <r>
      <rPr>
        <sz val="10"/>
        <color rgb="FF000000"/>
        <rFont val="Noto Sans CJK SC"/>
        <family val="2"/>
      </rPr>
      <t xml:space="preserve">／</t>
    </r>
    <r>
      <rPr>
        <sz val="10"/>
        <color rgb="FF000000"/>
        <rFont val="Arial"/>
        <family val="0"/>
        <charset val="1"/>
      </rPr>
      <t xml:space="preserve">Assumed </t>
    </r>
    <r>
      <rPr>
        <sz val="10"/>
        <color rgb="FF000000"/>
        <rFont val="Noto Sans CJK SC"/>
        <family val="2"/>
      </rPr>
      <t xml:space="preserve">缺區間列數</t>
    </r>
  </si>
  <si>
    <r>
      <rPr>
        <sz val="9"/>
        <color rgb="FF595959"/>
        <rFont val="Noto Sans CJK SC"/>
        <family val="2"/>
      </rPr>
      <t xml:space="preserve">共同規則第 </t>
    </r>
    <r>
      <rPr>
        <sz val="9"/>
        <color rgb="FF595959"/>
        <rFont val="Arial"/>
        <family val="0"/>
        <charset val="1"/>
      </rPr>
      <t xml:space="preserve">4 </t>
    </r>
    <r>
      <rPr>
        <sz val="9"/>
        <color rgb="FF595959"/>
        <rFont val="Noto Sans CJK SC"/>
        <family val="2"/>
      </rPr>
      <t xml:space="preserve">節：</t>
    </r>
    <r>
      <rPr>
        <sz val="9"/>
        <color rgb="FF595959"/>
        <rFont val="Arial"/>
        <family val="0"/>
        <charset val="1"/>
      </rPr>
      <t xml:space="preserve">Analogy</t>
    </r>
    <r>
      <rPr>
        <sz val="9"/>
        <color rgb="FF595959"/>
        <rFont val="Noto Sans CJK SC"/>
        <family val="2"/>
      </rPr>
      <t xml:space="preserve">／</t>
    </r>
    <r>
      <rPr>
        <sz val="9"/>
        <color rgb="FF595959"/>
        <rFont val="Arial"/>
        <family val="0"/>
        <charset val="1"/>
      </rPr>
      <t xml:space="preserve">Assumed </t>
    </r>
    <r>
      <rPr>
        <sz val="9"/>
        <color rgb="FF595959"/>
        <rFont val="Noto Sans CJK SC"/>
        <family val="2"/>
      </rPr>
      <t xml:space="preserve">一律給區間</t>
    </r>
  </si>
  <si>
    <t xml:space="preserve">C09</t>
  </si>
  <si>
    <r>
      <rPr>
        <sz val="10"/>
        <color rgb="FF000000"/>
        <rFont val="Arial"/>
        <family val="0"/>
        <charset val="1"/>
      </rPr>
      <t xml:space="preserve">TK_Link </t>
    </r>
    <r>
      <rPr>
        <sz val="10"/>
        <color rgb="FF000000"/>
        <rFont val="Noto Sans CJK SC"/>
        <family val="2"/>
      </rPr>
      <t xml:space="preserve">讀表列數（</t>
    </r>
    <r>
      <rPr>
        <sz val="10"/>
        <color rgb="FF000000"/>
        <rFont val="Arial"/>
        <family val="0"/>
        <charset val="1"/>
      </rPr>
      <t xml:space="preserve">Cap_In</t>
    </r>
    <r>
      <rPr>
        <sz val="10"/>
        <color rgb="FF000000"/>
        <rFont val="Noto Sans CJK SC"/>
        <family val="2"/>
      </rPr>
      <t xml:space="preserve">／</t>
    </r>
    <r>
      <rPr>
        <sz val="10"/>
        <color rgb="FF000000"/>
        <rFont val="Arial"/>
        <family val="0"/>
        <charset val="1"/>
      </rPr>
      <t xml:space="preserve">Price_Frontier </t>
    </r>
    <r>
      <rPr>
        <sz val="10"/>
        <color rgb="FF000000"/>
        <rFont val="Noto Sans CJK SC"/>
        <family val="2"/>
      </rPr>
      <t xml:space="preserve">的 </t>
    </r>
    <r>
      <rPr>
        <sz val="10"/>
        <color rgb="FF000000"/>
        <rFont val="Arial"/>
        <family val="0"/>
        <charset val="1"/>
      </rPr>
      <t xml:space="preserve">GLM </t>
    </r>
    <r>
      <rPr>
        <sz val="10"/>
        <color rgb="FF000000"/>
        <rFont val="Noto Sans CJK SC"/>
        <family val="2"/>
      </rPr>
      <t xml:space="preserve">列與中國合格前緣）</t>
    </r>
  </si>
  <si>
    <r>
      <rPr>
        <sz val="9"/>
        <color rgb="FF595959"/>
        <rFont val="Noto Sans CJK SC"/>
        <family val="2"/>
      </rPr>
      <t xml:space="preserve">以列標籤讀表；</t>
    </r>
    <r>
      <rPr>
        <sz val="9"/>
        <color rgb="FF595959"/>
        <rFont val="Arial"/>
        <family val="0"/>
        <charset val="1"/>
      </rPr>
      <t xml:space="preserve">Tokenomics </t>
    </r>
    <r>
      <rPr>
        <sz val="9"/>
        <color rgb="FF595959"/>
        <rFont val="Noto Sans CJK SC"/>
        <family val="2"/>
      </rPr>
      <t xml:space="preserve">改版找不到標籤時狀態轉 </t>
    </r>
    <r>
      <rPr>
        <sz val="9"/>
        <color rgb="FF595959"/>
        <rFont val="Arial"/>
        <family val="0"/>
        <charset val="1"/>
      </rPr>
      <t xml:space="preserve">MISSING</t>
    </r>
  </si>
  <si>
    <t xml:space="preserve">C10</t>
  </si>
  <si>
    <r>
      <rPr>
        <sz val="10"/>
        <color rgb="FF000000"/>
        <rFont val="Arial"/>
        <family val="0"/>
        <charset val="1"/>
      </rPr>
      <t xml:space="preserve">TK_Link </t>
    </r>
    <r>
      <rPr>
        <sz val="10"/>
        <color rgb="FF000000"/>
        <rFont val="Noto Sans CJK SC"/>
        <family val="2"/>
      </rPr>
      <t xml:space="preserve">錯誤值格數</t>
    </r>
  </si>
  <si>
    <t xml:space="preserve">C11</t>
  </si>
  <si>
    <r>
      <rPr>
        <sz val="10"/>
        <color rgb="FF000000"/>
        <rFont val="Arial"/>
        <family val="0"/>
        <charset val="1"/>
      </rPr>
      <t xml:space="preserve">TK </t>
    </r>
    <r>
      <rPr>
        <sz val="10"/>
        <color rgb="FF000000"/>
        <rFont val="Noto Sans CJK SC"/>
        <family val="2"/>
      </rPr>
      <t xml:space="preserve">快照版本</t>
    </r>
  </si>
  <si>
    <r>
      <rPr>
        <sz val="9"/>
        <color rgb="FF595959"/>
        <rFont val="Noto Sans CJK SC"/>
        <family val="2"/>
      </rPr>
      <t xml:space="preserve">共同規則第 </t>
    </r>
    <r>
      <rPr>
        <sz val="9"/>
        <color rgb="FF595959"/>
        <rFont val="Arial"/>
        <family val="0"/>
        <charset val="1"/>
      </rPr>
      <t xml:space="preserve">8 </t>
    </r>
    <r>
      <rPr>
        <sz val="9"/>
        <color rgb="FF595959"/>
        <rFont val="Noto Sans CJK SC"/>
        <family val="2"/>
      </rPr>
      <t xml:space="preserve">節：</t>
    </r>
    <r>
      <rPr>
        <sz val="9"/>
        <color rgb="FF595959"/>
        <rFont val="Arial"/>
        <family val="0"/>
        <charset val="1"/>
      </rPr>
      <t xml:space="preserve">master 1916a06</t>
    </r>
    <r>
      <rPr>
        <sz val="9"/>
        <color rgb="FF595959"/>
        <rFont val="Noto Sans CJK SC"/>
        <family val="2"/>
      </rPr>
      <t xml:space="preserve">；</t>
    </r>
    <r>
      <rPr>
        <sz val="9"/>
        <color rgb="FF595959"/>
        <rFont val="Arial"/>
        <family val="0"/>
        <charset val="1"/>
      </rPr>
      <t xml:space="preserve">tools/check_tk_snapshot.py </t>
    </r>
    <r>
      <rPr>
        <sz val="9"/>
        <color rgb="FF595959"/>
        <rFont val="Noto Sans CJK SC"/>
        <family val="2"/>
      </rPr>
      <t xml:space="preserve">結果見報告</t>
    </r>
  </si>
  <si>
    <t xml:space="preserve">C12</t>
  </si>
  <si>
    <r>
      <rPr>
        <sz val="10"/>
        <color rgb="FF000000"/>
        <rFont val="Arial"/>
        <family val="0"/>
        <charset val="1"/>
      </rPr>
      <t xml:space="preserve">OAI_Link </t>
    </r>
    <r>
      <rPr>
        <sz val="10"/>
        <color rgb="FF000000"/>
        <rFont val="Noto Sans CJK SC"/>
        <family val="2"/>
      </rPr>
      <t xml:space="preserve">已取值列數</t>
    </r>
  </si>
  <si>
    <r>
      <rPr>
        <sz val="9"/>
        <color rgb="FF595959"/>
        <rFont val="Arial"/>
        <family val="0"/>
        <charset val="1"/>
      </rPr>
      <t xml:space="preserve">OpenAI </t>
    </r>
    <r>
      <rPr>
        <sz val="9"/>
        <color rgb="FF595959"/>
        <rFont val="Noto Sans CJK SC"/>
        <family val="2"/>
      </rPr>
      <t xml:space="preserve">命題輸出（美元；版本見 </t>
    </r>
    <r>
      <rPr>
        <sz val="9"/>
        <color rgb="FF595959"/>
        <rFont val="Arial"/>
        <family val="0"/>
        <charset val="1"/>
      </rPr>
      <t xml:space="preserve">OAI_Link </t>
    </r>
    <r>
      <rPr>
        <sz val="9"/>
        <color rgb="FF595959"/>
        <rFont val="Noto Sans CJK SC"/>
        <family val="2"/>
      </rPr>
      <t xml:space="preserve">頁）</t>
    </r>
  </si>
  <si>
    <t xml:space="preserve">C13</t>
  </si>
  <si>
    <r>
      <rPr>
        <sz val="10"/>
        <color rgb="FF000000"/>
        <rFont val="Arial"/>
        <family val="0"/>
        <charset val="1"/>
      </rPr>
      <t xml:space="preserve">OAI_Link </t>
    </r>
    <r>
      <rPr>
        <sz val="10"/>
        <color rgb="FF000000"/>
        <rFont val="Noto Sans CJK SC"/>
        <family val="2"/>
      </rPr>
      <t xml:space="preserve">被計算頁引用的公式格數（</t>
    </r>
    <r>
      <rPr>
        <sz val="10"/>
        <color rgb="FF000000"/>
        <rFont val="Arial"/>
        <family val="0"/>
        <charset val="1"/>
      </rPr>
      <t xml:space="preserve">builder </t>
    </r>
    <r>
      <rPr>
        <sz val="10"/>
        <color rgb="FF000000"/>
        <rFont val="Noto Sans CJK SC"/>
        <family val="2"/>
      </rPr>
      <t xml:space="preserve">掃描）</t>
    </r>
  </si>
  <si>
    <r>
      <rPr>
        <sz val="9"/>
        <color rgb="FF595959"/>
        <rFont val="Noto Sans CJK SC"/>
        <family val="2"/>
      </rPr>
      <t xml:space="preserve">規格 </t>
    </r>
    <r>
      <rPr>
        <sz val="9"/>
        <color rgb="FF595959"/>
        <rFont val="Arial"/>
        <family val="0"/>
        <charset val="1"/>
      </rPr>
      <t xml:space="preserve">D26</t>
    </r>
    <r>
      <rPr>
        <sz val="9"/>
        <color rgb="FF595959"/>
        <rFont val="Noto Sans CJK SC"/>
        <family val="2"/>
      </rPr>
      <t xml:space="preserve">：</t>
    </r>
    <r>
      <rPr>
        <sz val="9"/>
        <color rgb="FF595959"/>
        <rFont val="Arial"/>
        <family val="0"/>
        <charset val="1"/>
      </rPr>
      <t xml:space="preserve">OAI_Link </t>
    </r>
    <r>
      <rPr>
        <sz val="9"/>
        <color rgb="FF595959"/>
        <rFont val="Noto Sans CJK SC"/>
        <family val="2"/>
      </rPr>
      <t xml:space="preserve">只被 </t>
    </r>
    <r>
      <rPr>
        <sz val="9"/>
        <color rgb="FF595959"/>
        <rFont val="Arial"/>
        <family val="0"/>
        <charset val="1"/>
      </rPr>
      <t xml:space="preserve">Checks </t>
    </r>
    <r>
      <rPr>
        <sz val="9"/>
        <color rgb="FF595959"/>
        <rFont val="Noto Sans CJK SC"/>
        <family val="2"/>
      </rPr>
      <t xml:space="preserve">與 </t>
    </r>
    <r>
      <rPr>
        <sz val="9"/>
        <color rgb="FF595959"/>
        <rFont val="Arial"/>
        <family val="0"/>
        <charset val="1"/>
      </rPr>
      <t xml:space="preserve">HTML </t>
    </r>
    <r>
      <rPr>
        <sz val="9"/>
        <color rgb="FF595959"/>
        <rFont val="Noto Sans CJK SC"/>
        <family val="2"/>
      </rPr>
      <t xml:space="preserve">引用；值為 </t>
    </r>
    <r>
      <rPr>
        <sz val="9"/>
        <color rgb="FF595959"/>
        <rFont val="Arial"/>
        <family val="0"/>
        <charset val="1"/>
      </rPr>
      <t xml:space="preserve">builder </t>
    </r>
    <r>
      <rPr>
        <sz val="9"/>
        <color rgb="FF595959"/>
        <rFont val="Noto Sans CJK SC"/>
        <family val="2"/>
      </rPr>
      <t xml:space="preserve">建置時掃描結果，</t>
    </r>
    <r>
      <rPr>
        <sz val="9"/>
        <color rgb="FF595959"/>
        <rFont val="Arial"/>
        <family val="0"/>
        <charset val="1"/>
      </rPr>
      <t xml:space="preserve">tests/parity/test_builder.py </t>
    </r>
    <r>
      <rPr>
        <sz val="9"/>
        <color rgb="FF595959"/>
        <rFont val="Noto Sans CJK SC"/>
        <family val="2"/>
      </rPr>
      <t xml:space="preserve">每次逐格重驗</t>
    </r>
  </si>
  <si>
    <t xml:space="preserve">C14</t>
  </si>
  <si>
    <r>
      <rPr>
        <sz val="10"/>
        <color rgb="FF000000"/>
        <rFont val="Arial"/>
        <family val="0"/>
        <charset val="1"/>
      </rPr>
      <t xml:space="preserve">E6</t>
    </r>
    <r>
      <rPr>
        <sz val="10"/>
        <color rgb="FF000000"/>
        <rFont val="Noto Sans CJK SC"/>
        <family val="2"/>
      </rPr>
      <t xml:space="preserve">：計算頁公式含常數的格數（</t>
    </r>
    <r>
      <rPr>
        <sz val="10"/>
        <color rgb="FF000000"/>
        <rFont val="Arial"/>
        <family val="0"/>
        <charset val="1"/>
      </rPr>
      <t xml:space="preserve">builder </t>
    </r>
    <r>
      <rPr>
        <sz val="10"/>
        <color rgb="FF000000"/>
        <rFont val="Noto Sans CJK SC"/>
        <family val="2"/>
      </rPr>
      <t xml:space="preserve">掃描）</t>
    </r>
  </si>
  <si>
    <r>
      <rPr>
        <sz val="9"/>
        <color rgb="FF595959"/>
        <rFont val="Arial"/>
        <family val="0"/>
        <charset val="1"/>
      </rPr>
      <t xml:space="preserve">Demand</t>
    </r>
    <r>
      <rPr>
        <sz val="9"/>
        <color rgb="FF595959"/>
        <rFont val="Noto Sans CJK SC"/>
        <family val="2"/>
      </rPr>
      <t xml:space="preserve">、</t>
    </r>
    <r>
      <rPr>
        <sz val="9"/>
        <color rgb="FF595959"/>
        <rFont val="Arial"/>
        <family val="0"/>
        <charset val="1"/>
      </rPr>
      <t xml:space="preserve">Revenue</t>
    </r>
    <r>
      <rPr>
        <sz val="9"/>
        <color rgb="FF595959"/>
        <rFont val="Noto Sans CJK SC"/>
        <family val="2"/>
      </rPr>
      <t xml:space="preserve">（</t>
    </r>
    <r>
      <rPr>
        <sz val="9"/>
        <color rgb="FF595959"/>
        <rFont val="Arial"/>
        <family val="0"/>
        <charset val="1"/>
      </rPr>
      <t xml:space="preserve">Z3 </t>
    </r>
    <r>
      <rPr>
        <sz val="9"/>
        <color rgb="FF595959"/>
        <rFont val="Noto Sans CJK SC"/>
        <family val="2"/>
      </rPr>
      <t xml:space="preserve">起含 </t>
    </r>
    <r>
      <rPr>
        <sz val="9"/>
        <color rgb="FF595959"/>
        <rFont val="Arial"/>
        <family val="0"/>
        <charset val="1"/>
      </rPr>
      <t xml:space="preserve">Compute</t>
    </r>
    <r>
      <rPr>
        <sz val="9"/>
        <color rgb="FF595959"/>
        <rFont val="Noto Sans CJK SC"/>
        <family val="2"/>
      </rPr>
      <t xml:space="preserve">、</t>
    </r>
    <r>
      <rPr>
        <sz val="9"/>
        <color rgb="FF595959"/>
        <rFont val="Arial"/>
        <family val="0"/>
        <charset val="1"/>
      </rPr>
      <t xml:space="preserve">Cost</t>
    </r>
    <r>
      <rPr>
        <sz val="9"/>
        <color rgb="FF595959"/>
        <rFont val="Noto Sans CJK SC"/>
        <family val="2"/>
      </rPr>
      <t xml:space="preserve">）；</t>
    </r>
    <r>
      <rPr>
        <sz val="9"/>
        <color rgb="FF595959"/>
        <rFont val="Arial"/>
        <family val="0"/>
        <charset val="1"/>
      </rPr>
      <t xml:space="preserve">tests/parity/test_builder.py </t>
    </r>
    <r>
      <rPr>
        <sz val="9"/>
        <color rgb="FF595959"/>
        <rFont val="Noto Sans CJK SC"/>
        <family val="2"/>
      </rPr>
      <t xml:space="preserve">每次逐格重驗</t>
    </r>
  </si>
  <si>
    <t xml:space="preserve">C15</t>
  </si>
  <si>
    <r>
      <rPr>
        <sz val="10"/>
        <color rgb="FF000000"/>
        <rFont val="Arial"/>
        <family val="0"/>
        <charset val="1"/>
      </rPr>
      <t xml:space="preserve">2025 </t>
    </r>
    <r>
      <rPr>
        <sz val="10"/>
        <color rgb="FF000000"/>
        <rFont val="Noto Sans CJK SC"/>
        <family val="2"/>
      </rPr>
      <t xml:space="preserve">各分部校準差距（四線絕對值合計，</t>
    </r>
    <r>
      <rPr>
        <sz val="10"/>
        <color rgb="FF000000"/>
        <rFont val="Arial"/>
        <family val="0"/>
        <charset val="1"/>
      </rPr>
      <t xml:space="preserve">RMB </t>
    </r>
    <r>
      <rPr>
        <sz val="10"/>
        <color rgb="FF000000"/>
        <rFont val="Noto Sans CJK SC"/>
        <family val="2"/>
      </rPr>
      <t xml:space="preserve">億）</t>
    </r>
  </si>
  <si>
    <r>
      <rPr>
        <sz val="9"/>
        <color rgb="FF595959"/>
        <rFont val="Arial"/>
        <family val="0"/>
        <charset val="1"/>
      </rPr>
      <t xml:space="preserve">①API</t>
    </r>
    <r>
      <rPr>
        <sz val="9"/>
        <color rgb="FF595959"/>
        <rFont val="Noto Sans CJK SC"/>
        <family val="2"/>
      </rPr>
      <t xml:space="preserve">（含 </t>
    </r>
    <r>
      <rPr>
        <sz val="9"/>
        <color rgb="FF595959"/>
        <rFont val="Arial"/>
        <family val="0"/>
        <charset val="1"/>
      </rPr>
      <t xml:space="preserve">Coding Plan</t>
    </r>
    <r>
      <rPr>
        <sz val="9"/>
        <color rgb="FF595959"/>
        <rFont val="Noto Sans CJK SC"/>
        <family val="2"/>
      </rPr>
      <t xml:space="preserve">）②③④ 模型 − 年報；按量計費為倒推項，恆為 </t>
    </r>
    <r>
      <rPr>
        <sz val="9"/>
        <color rgb="FF595959"/>
        <rFont val="Arial"/>
        <family val="0"/>
        <charset val="1"/>
      </rPr>
      <t xml:space="preserve">0</t>
    </r>
  </si>
  <si>
    <t xml:space="preserve">C16</t>
  </si>
  <si>
    <r>
      <rPr>
        <sz val="10"/>
        <color rgb="FF000000"/>
        <rFont val="Arial"/>
        <family val="0"/>
        <charset val="1"/>
      </rPr>
      <t xml:space="preserve">1H26 </t>
    </r>
    <r>
      <rPr>
        <sz val="10"/>
        <color rgb="FF000000"/>
        <rFont val="Noto Sans CJK SC"/>
        <family val="2"/>
      </rPr>
      <t xml:space="preserve">各分部校準差距（四線絕對值合計，</t>
    </r>
    <r>
      <rPr>
        <sz val="10"/>
        <color rgb="FF000000"/>
        <rFont val="Arial"/>
        <family val="0"/>
        <charset val="1"/>
      </rPr>
      <t xml:space="preserve">RMB </t>
    </r>
    <r>
      <rPr>
        <sz val="10"/>
        <color rgb="FF000000"/>
        <rFont val="Noto Sans CJK SC"/>
        <family val="2"/>
      </rPr>
      <t xml:space="preserve">億）</t>
    </r>
  </si>
  <si>
    <t xml:space="preserve">模型 − 中期公告</t>
  </si>
  <si>
    <t xml:space="preserve">C17</t>
  </si>
  <si>
    <r>
      <rPr>
        <sz val="10"/>
        <color rgb="FF000000"/>
        <rFont val="Arial"/>
        <family val="0"/>
        <charset val="1"/>
      </rPr>
      <t xml:space="preserve">2025 </t>
    </r>
    <r>
      <rPr>
        <sz val="10"/>
        <color rgb="FF000000"/>
        <rFont val="Noto Sans CJK SC"/>
        <family val="2"/>
      </rPr>
      <t xml:space="preserve">營收總額校準差距（</t>
    </r>
    <r>
      <rPr>
        <sz val="10"/>
        <color rgb="FF000000"/>
        <rFont val="Arial"/>
        <family val="0"/>
        <charset val="1"/>
      </rPr>
      <t xml:space="preserve">RMB </t>
    </r>
    <r>
      <rPr>
        <sz val="10"/>
        <color rgb="FF000000"/>
        <rFont val="Noto Sans CJK SC"/>
        <family val="2"/>
      </rPr>
      <t xml:space="preserve">億）</t>
    </r>
  </si>
  <si>
    <r>
      <rPr>
        <sz val="9"/>
        <color rgb="FF595959"/>
        <rFont val="Noto Sans CJK SC"/>
        <family val="2"/>
      </rPr>
      <t xml:space="preserve">四線合計＝年報總額 </t>
    </r>
    <r>
      <rPr>
        <sz val="9"/>
        <color rgb="FF595959"/>
        <rFont val="Arial"/>
        <family val="0"/>
        <charset val="1"/>
      </rPr>
      <t xml:space="preserve">7.2433</t>
    </r>
  </si>
  <si>
    <t xml:space="preserve">C18</t>
  </si>
  <si>
    <r>
      <rPr>
        <sz val="10"/>
        <color rgb="FF000000"/>
        <rFont val="Arial"/>
        <family val="0"/>
        <charset val="1"/>
      </rPr>
      <t xml:space="preserve">1H26 </t>
    </r>
    <r>
      <rPr>
        <sz val="10"/>
        <color rgb="FF000000"/>
        <rFont val="Noto Sans CJK SC"/>
        <family val="2"/>
      </rPr>
      <t xml:space="preserve">營收總額校準差距（</t>
    </r>
    <r>
      <rPr>
        <sz val="10"/>
        <color rgb="FF000000"/>
        <rFont val="Arial"/>
        <family val="0"/>
        <charset val="1"/>
      </rPr>
      <t xml:space="preserve">RMB </t>
    </r>
    <r>
      <rPr>
        <sz val="10"/>
        <color rgb="FF000000"/>
        <rFont val="Noto Sans CJK SC"/>
        <family val="2"/>
      </rPr>
      <t xml:space="preserve">億；公告四捨五入容差 </t>
    </r>
    <r>
      <rPr>
        <sz val="10"/>
        <color rgb="FF000000"/>
        <rFont val="Arial"/>
        <family val="0"/>
        <charset val="1"/>
      </rPr>
      <t xml:space="preserve">0.0005</t>
    </r>
    <r>
      <rPr>
        <sz val="10"/>
        <color rgb="FF000000"/>
        <rFont val="Noto Sans CJK SC"/>
        <family val="2"/>
      </rPr>
      <t xml:space="preserve">）</t>
    </r>
  </si>
  <si>
    <r>
      <rPr>
        <sz val="9"/>
        <color rgb="FF595959"/>
        <rFont val="Noto Sans CJK SC"/>
        <family val="2"/>
      </rPr>
      <t xml:space="preserve">四線合計 </t>
    </r>
    <r>
      <rPr>
        <sz val="9"/>
        <color rgb="FF595959"/>
        <rFont val="Arial"/>
        <family val="0"/>
        <charset val="1"/>
      </rPr>
      <t xml:space="preserve">9.53892</t>
    </r>
    <r>
      <rPr>
        <sz val="9"/>
        <color rgb="FF595959"/>
        <rFont val="Noto Sans CJK SC"/>
        <family val="2"/>
      </rPr>
      <t xml:space="preserve">（千元加總）</t>
    </r>
    <r>
      <rPr>
        <sz val="9"/>
        <color rgb="FF595959"/>
        <rFont val="Arial"/>
        <family val="0"/>
        <charset val="1"/>
      </rPr>
      <t xml:space="preserve">vs </t>
    </r>
    <r>
      <rPr>
        <sz val="9"/>
        <color rgb="FF595959"/>
        <rFont val="Noto Sans CJK SC"/>
        <family val="2"/>
      </rPr>
      <t xml:space="preserve">總額 </t>
    </r>
    <r>
      <rPr>
        <sz val="9"/>
        <color rgb="FF595959"/>
        <rFont val="Arial"/>
        <family val="0"/>
        <charset val="1"/>
      </rPr>
      <t xml:space="preserve">9.5389</t>
    </r>
  </si>
  <si>
    <t xml:space="preserve">C19</t>
  </si>
  <si>
    <r>
      <rPr>
        <sz val="10"/>
        <color rgb="FF000000"/>
        <rFont val="Noto Sans CJK SC"/>
        <family val="2"/>
      </rPr>
      <t xml:space="preserve">分部合計＝總營收（</t>
    </r>
    <r>
      <rPr>
        <sz val="10"/>
        <color rgb="FF000000"/>
        <rFont val="Arial"/>
        <family val="0"/>
        <charset val="1"/>
      </rPr>
      <t xml:space="preserve">API</t>
    </r>
    <r>
      <rPr>
        <sz val="10"/>
        <color rgb="FF000000"/>
        <rFont val="Noto Sans CJK SC"/>
        <family val="2"/>
      </rPr>
      <t xml:space="preserve">＋本地化＋廣告 − 總額；各期絕對值合計）</t>
    </r>
  </si>
  <si>
    <r>
      <rPr>
        <sz val="9"/>
        <color rgb="FF595959"/>
        <rFont val="Arial"/>
        <family val="0"/>
        <charset val="1"/>
      </rPr>
      <t xml:space="preserve">2025–2030 </t>
    </r>
    <r>
      <rPr>
        <sz val="9"/>
        <color rgb="FF595959"/>
        <rFont val="Noto Sans CJK SC"/>
        <family val="2"/>
      </rPr>
      <t xml:space="preserve">與 </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2H26</t>
    </r>
  </si>
  <si>
    <t xml:space="preserve">C20</t>
  </si>
  <si>
    <t xml:space="preserve">企業＋個人＋廣告 − 總額（各期絕對值合計）</t>
  </si>
  <si>
    <r>
      <rPr>
        <sz val="9"/>
        <color rgb="FF595959"/>
        <rFont val="Arial"/>
        <family val="0"/>
        <charset val="1"/>
      </rPr>
      <t xml:space="preserve">D2 </t>
    </r>
    <r>
      <rPr>
        <sz val="9"/>
        <color rgb="FF595959"/>
        <rFont val="Noto Sans CJK SC"/>
        <family val="2"/>
      </rPr>
      <t xml:space="preserve">彙總列</t>
    </r>
  </si>
  <si>
    <t xml:space="preserve">C21</t>
  </si>
  <si>
    <r>
      <rPr>
        <sz val="10"/>
        <color rgb="FF000000"/>
        <rFont val="Noto Sans CJK SC"/>
        <family val="2"/>
      </rPr>
      <t xml:space="preserve">校準期按量計費營收 ≤</t>
    </r>
    <r>
      <rPr>
        <sz val="10"/>
        <color rgb="FF000000"/>
        <rFont val="Arial"/>
        <family val="0"/>
        <charset val="1"/>
      </rPr>
      <t xml:space="preserve">0 </t>
    </r>
    <r>
      <rPr>
        <sz val="10"/>
        <color rgb="FF000000"/>
        <rFont val="Noto Sans CJK SC"/>
        <family val="2"/>
      </rPr>
      <t xml:space="preserve">的期數（</t>
    </r>
    <r>
      <rPr>
        <sz val="10"/>
        <color rgb="FF000000"/>
        <rFont val="Arial"/>
        <family val="0"/>
        <charset val="1"/>
      </rPr>
      <t xml:space="preserve">Coding Plan </t>
    </r>
    <r>
      <rPr>
        <sz val="10"/>
        <color rgb="FF000000"/>
        <rFont val="Noto Sans CJK SC"/>
        <family val="2"/>
      </rPr>
      <t xml:space="preserve">估計超過 </t>
    </r>
    <r>
      <rPr>
        <sz val="10"/>
        <color rgb="FF000000"/>
        <rFont val="Arial"/>
        <family val="0"/>
        <charset val="1"/>
      </rPr>
      <t xml:space="preserve">API </t>
    </r>
    <r>
      <rPr>
        <sz val="10"/>
        <color rgb="FF000000"/>
        <rFont val="Noto Sans CJK SC"/>
        <family val="2"/>
      </rPr>
      <t xml:space="preserve">實際）</t>
    </r>
  </si>
  <si>
    <r>
      <rPr>
        <sz val="9"/>
        <color rgb="FF595959"/>
        <rFont val="Arial"/>
        <family val="0"/>
        <charset val="1"/>
      </rPr>
      <t xml:space="preserve">Coding Plan </t>
    </r>
    <r>
      <rPr>
        <sz val="9"/>
        <color rgb="FF595959"/>
        <rFont val="Noto Sans CJK SC"/>
        <family val="2"/>
      </rPr>
      <t xml:space="preserve">訂閱者 </t>
    </r>
    <r>
      <rPr>
        <sz val="9"/>
        <color rgb="FF595959"/>
        <rFont val="Arial"/>
        <family val="0"/>
        <charset val="1"/>
      </rPr>
      <t xml:space="preserve">× </t>
    </r>
    <r>
      <rPr>
        <sz val="9"/>
        <color rgb="FF595959"/>
        <rFont val="Noto Sans CJK SC"/>
        <family val="2"/>
      </rPr>
      <t xml:space="preserve">價格的 </t>
    </r>
    <r>
      <rPr>
        <sz val="9"/>
        <color rgb="FF595959"/>
        <rFont val="Arial"/>
        <family val="0"/>
        <charset val="1"/>
      </rPr>
      <t xml:space="preserve">Inputs </t>
    </r>
    <r>
      <rPr>
        <sz val="9"/>
        <color rgb="FF595959"/>
        <rFont val="Noto Sans CJK SC"/>
        <family val="2"/>
      </rPr>
      <t xml:space="preserve">使估計值超過財報 </t>
    </r>
    <r>
      <rPr>
        <sz val="9"/>
        <color rgb="FF595959"/>
        <rFont val="Arial"/>
        <family val="0"/>
        <charset val="1"/>
      </rPr>
      <t xml:space="preserve">API </t>
    </r>
    <r>
      <rPr>
        <sz val="9"/>
        <color rgb="FF595959"/>
        <rFont val="Noto Sans CJK SC"/>
        <family val="2"/>
      </rPr>
      <t xml:space="preserve">營收時轉 </t>
    </r>
    <r>
      <rPr>
        <sz val="9"/>
        <color rgb="FF595959"/>
        <rFont val="Arial"/>
        <family val="0"/>
        <charset val="1"/>
      </rPr>
      <t xml:space="preserve">ERR</t>
    </r>
  </si>
  <si>
    <t xml:space="preserve">C22</t>
  </si>
  <si>
    <r>
      <rPr>
        <sz val="10"/>
        <color rgb="FF000000"/>
        <rFont val="Arial"/>
        <family val="0"/>
        <charset val="1"/>
      </rPr>
      <t xml:space="preserve">token </t>
    </r>
    <r>
      <rPr>
        <sz val="10"/>
        <color rgb="FF000000"/>
        <rFont val="Noto Sans CJK SC"/>
        <family val="2"/>
      </rPr>
      <t xml:space="preserve">層級拆分前後總量不一致的年數（相對差 </t>
    </r>
    <r>
      <rPr>
        <sz val="10"/>
        <color rgb="FF000000"/>
        <rFont val="Arial"/>
        <family val="0"/>
        <charset val="1"/>
      </rPr>
      <t xml:space="preserve">&gt;1e-9</t>
    </r>
    <r>
      <rPr>
        <sz val="10"/>
        <color rgb="FF000000"/>
        <rFont val="Noto Sans CJK SC"/>
        <family val="2"/>
      </rPr>
      <t xml:space="preserve">）</t>
    </r>
  </si>
  <si>
    <r>
      <rPr>
        <sz val="9"/>
        <color rgb="FF595959"/>
        <rFont val="Arial"/>
        <family val="0"/>
        <charset val="1"/>
      </rPr>
      <t xml:space="preserve">API</t>
    </r>
    <r>
      <rPr>
        <sz val="9"/>
        <color rgb="FF595959"/>
        <rFont val="Noto Sans CJK SC"/>
        <family val="2"/>
      </rPr>
      <t xml:space="preserve">＋</t>
    </r>
    <r>
      <rPr>
        <sz val="9"/>
        <color rgb="FF595959"/>
        <rFont val="Arial"/>
        <family val="0"/>
        <charset val="1"/>
      </rPr>
      <t xml:space="preserve">Coding Plan</t>
    </r>
    <r>
      <rPr>
        <sz val="9"/>
        <color rgb="FF595959"/>
        <rFont val="Noto Sans CJK SC"/>
        <family val="2"/>
      </rPr>
      <t xml:space="preserve">＋清言＋免費 </t>
    </r>
    <r>
      <rPr>
        <sz val="9"/>
        <color rgb="FF595959"/>
        <rFont val="Arial"/>
        <family val="0"/>
        <charset val="1"/>
      </rPr>
      <t xml:space="preserve">API </t>
    </r>
    <r>
      <rPr>
        <sz val="9"/>
        <color rgb="FF595959"/>
        <rFont val="Noto Sans CJK SC"/>
        <family val="2"/>
      </rPr>
      <t xml:space="preserve">＝ 付費＋免費（</t>
    </r>
    <r>
      <rPr>
        <sz val="9"/>
        <color rgb="FF595959"/>
        <rFont val="Arial"/>
        <family val="0"/>
        <charset val="1"/>
      </rPr>
      <t xml:space="preserve">Sol</t>
    </r>
    <r>
      <rPr>
        <sz val="9"/>
        <color rgb="FF595959"/>
        <rFont val="Noto Sans CJK SC"/>
        <family val="2"/>
      </rPr>
      <t xml:space="preserve">／</t>
    </r>
    <r>
      <rPr>
        <sz val="9"/>
        <color rgb="FF595959"/>
        <rFont val="Arial"/>
        <family val="0"/>
        <charset val="1"/>
      </rPr>
      <t xml:space="preserve">Luna </t>
    </r>
    <r>
      <rPr>
        <sz val="9"/>
        <color rgb="FF595959"/>
        <rFont val="Noto Sans CJK SC"/>
        <family val="2"/>
      </rPr>
      <t xml:space="preserve">拆分前後）</t>
    </r>
  </si>
  <si>
    <t xml:space="preserve">C23</t>
  </si>
  <si>
    <r>
      <rPr>
        <sz val="10"/>
        <color rgb="FF000000"/>
        <rFont val="Arial"/>
        <family val="0"/>
        <charset val="1"/>
      </rPr>
      <t xml:space="preserve">Coding Plan </t>
    </r>
    <r>
      <rPr>
        <sz val="10"/>
        <color rgb="FF000000"/>
        <rFont val="Noto Sans CJK SC"/>
        <family val="2"/>
      </rPr>
      <t xml:space="preserve">方案組合 </t>
    </r>
    <r>
      <rPr>
        <sz val="10"/>
        <color rgb="FF000000"/>
        <rFont val="Arial"/>
        <family val="0"/>
        <charset val="1"/>
      </rPr>
      <t xml:space="preserve">Max</t>
    </r>
    <r>
      <rPr>
        <sz val="10"/>
        <color rgb="FF000000"/>
        <rFont val="Noto Sans CJK SC"/>
        <family val="2"/>
      </rPr>
      <t xml:space="preserve">（＝</t>
    </r>
    <r>
      <rPr>
        <sz val="10"/>
        <color rgb="FF000000"/>
        <rFont val="Arial"/>
        <family val="0"/>
        <charset val="1"/>
      </rPr>
      <t xml:space="preserve">1 − Lite − Pro</t>
    </r>
    <r>
      <rPr>
        <sz val="10"/>
        <color rgb="FF000000"/>
        <rFont val="Noto Sans CJK SC"/>
        <family val="2"/>
      </rPr>
      <t xml:space="preserve">）∉</t>
    </r>
    <r>
      <rPr>
        <sz val="10"/>
        <color rgb="FF000000"/>
        <rFont val="Arial"/>
        <family val="0"/>
        <charset val="1"/>
      </rPr>
      <t xml:space="preserve">[0,1] </t>
    </r>
    <r>
      <rPr>
        <sz val="10"/>
        <color rgb="FF000000"/>
        <rFont val="Noto Sans CJK SC"/>
        <family val="2"/>
      </rPr>
      <t xml:space="preserve">的期數</t>
    </r>
  </si>
  <si>
    <r>
      <rPr>
        <sz val="9"/>
        <color rgb="FF595959"/>
        <rFont val="Arial"/>
        <family val="0"/>
        <charset val="1"/>
      </rPr>
      <t xml:space="preserve">Inputs Lite</t>
    </r>
    <r>
      <rPr>
        <sz val="9"/>
        <color rgb="FF595959"/>
        <rFont val="Noto Sans CJK SC"/>
        <family val="2"/>
      </rPr>
      <t xml:space="preserve">＋</t>
    </r>
    <r>
      <rPr>
        <sz val="9"/>
        <color rgb="FF595959"/>
        <rFont val="Arial"/>
        <family val="0"/>
        <charset val="1"/>
      </rPr>
      <t xml:space="preserve">Pro ≤ 1</t>
    </r>
  </si>
  <si>
    <t xml:space="preserve">C24</t>
  </si>
  <si>
    <r>
      <rPr>
        <sz val="10"/>
        <color rgb="FF000000"/>
        <rFont val="Arial"/>
        <family val="0"/>
        <charset val="1"/>
      </rPr>
      <t xml:space="preserve">API </t>
    </r>
    <r>
      <rPr>
        <sz val="10"/>
        <color rgb="FF000000"/>
        <rFont val="Noto Sans CJK SC"/>
        <family val="2"/>
      </rPr>
      <t xml:space="preserve">層級組合 </t>
    </r>
    <r>
      <rPr>
        <sz val="10"/>
        <color rgb="FF000000"/>
        <rFont val="Arial"/>
        <family val="0"/>
        <charset val="1"/>
      </rPr>
      <t xml:space="preserve">Sol ∉[0,1] </t>
    </r>
    <r>
      <rPr>
        <sz val="10"/>
        <color rgb="FF000000"/>
        <rFont val="Noto Sans CJK SC"/>
        <family val="2"/>
      </rPr>
      <t xml:space="preserve">的期數</t>
    </r>
  </si>
  <si>
    <t xml:space="preserve">C25</t>
  </si>
  <si>
    <r>
      <rPr>
        <sz val="10"/>
        <color rgb="FF000000"/>
        <rFont val="Arial"/>
        <family val="0"/>
        <charset val="1"/>
      </rPr>
      <t xml:space="preserve">1H26 </t>
    </r>
    <r>
      <rPr>
        <sz val="10"/>
        <color rgb="FF000000"/>
        <rFont val="Noto Sans CJK SC"/>
        <family val="2"/>
      </rPr>
      <t xml:space="preserve">價格期間權重 </t>
    </r>
    <r>
      <rPr>
        <sz val="10"/>
        <color rgb="FF000000"/>
        <rFont val="Arial"/>
        <family val="0"/>
        <charset val="1"/>
      </rPr>
      <t xml:space="preserve">GLM-5.1 </t>
    </r>
    <r>
      <rPr>
        <sz val="10"/>
        <color rgb="FF000000"/>
        <rFont val="Noto Sans CJK SC"/>
        <family val="2"/>
      </rPr>
      <t xml:space="preserve">＜</t>
    </r>
    <r>
      <rPr>
        <sz val="10"/>
        <color rgb="FF000000"/>
        <rFont val="Arial"/>
        <family val="0"/>
        <charset val="1"/>
      </rPr>
      <t xml:space="preserve">0</t>
    </r>
    <r>
      <rPr>
        <sz val="10"/>
        <color rgb="FF000000"/>
        <rFont val="Noto Sans CJK SC"/>
        <family val="2"/>
      </rPr>
      <t xml:space="preserve">（天數超過半年）</t>
    </r>
  </si>
  <si>
    <r>
      <rPr>
        <sz val="9"/>
        <color rgb="FF595959"/>
        <rFont val="Arial"/>
        <family val="0"/>
        <charset val="1"/>
      </rPr>
      <t xml:space="preserve">Inputs </t>
    </r>
    <r>
      <rPr>
        <sz val="9"/>
        <color rgb="FF595959"/>
        <rFont val="Noto Sans CJK SC"/>
        <family val="2"/>
      </rPr>
      <t xml:space="preserve">期間天數</t>
    </r>
  </si>
  <si>
    <t xml:space="preserve">C26</t>
  </si>
  <si>
    <r>
      <rPr>
        <sz val="10"/>
        <color rgb="FF000000"/>
        <rFont val="Noto Sans CJK SC"/>
        <family val="2"/>
      </rPr>
      <t xml:space="preserve">本地化部署延續係數 ∉</t>
    </r>
    <r>
      <rPr>
        <sz val="10"/>
        <color rgb="FF000000"/>
        <rFont val="Arial"/>
        <family val="0"/>
        <charset val="1"/>
      </rPr>
      <t xml:space="preserve">[0,1]</t>
    </r>
  </si>
  <si>
    <r>
      <rPr>
        <sz val="9"/>
        <color rgb="FF595959"/>
        <rFont val="Noto Sans CJK SC"/>
        <family val="2"/>
      </rPr>
      <t xml:space="preserve">工作單：</t>
    </r>
    <r>
      <rPr>
        <sz val="9"/>
        <color rgb="FF595959"/>
        <rFont val="Arial"/>
        <family val="0"/>
        <charset val="1"/>
      </rPr>
      <t xml:space="preserve">0</t>
    </r>
    <r>
      <rPr>
        <sz val="9"/>
        <color rgb="FF595959"/>
        <rFont val="Noto Sans CJK SC"/>
        <family val="2"/>
      </rPr>
      <t xml:space="preserve">＝下半年持平、</t>
    </r>
    <r>
      <rPr>
        <sz val="9"/>
        <color rgb="FF595959"/>
        <rFont val="Arial"/>
        <family val="0"/>
        <charset val="1"/>
      </rPr>
      <t xml:space="preserve">1</t>
    </r>
    <r>
      <rPr>
        <sz val="9"/>
        <color rgb="FF595959"/>
        <rFont val="Noto Sans CJK SC"/>
        <family val="2"/>
      </rPr>
      <t xml:space="preserve">＝延續上半年同比</t>
    </r>
  </si>
  <si>
    <t xml:space="preserve">C27</t>
  </si>
  <si>
    <r>
      <rPr>
        <sz val="10"/>
        <color rgb="FF000000"/>
        <rFont val="Arial"/>
        <family val="0"/>
        <charset val="1"/>
      </rPr>
      <t xml:space="preserve">API </t>
    </r>
    <r>
      <rPr>
        <sz val="10"/>
        <color rgb="FF000000"/>
        <rFont val="Noto Sans CJK SC"/>
        <family val="2"/>
      </rPr>
      <t xml:space="preserve">任務數或每任務 </t>
    </r>
    <r>
      <rPr>
        <sz val="10"/>
        <color rgb="FF000000"/>
        <rFont val="Arial"/>
        <family val="0"/>
        <charset val="1"/>
      </rPr>
      <t xml:space="preserve">token ≤0 </t>
    </r>
    <r>
      <rPr>
        <sz val="10"/>
        <color rgb="FF000000"/>
        <rFont val="Noto Sans CJK SC"/>
        <family val="2"/>
      </rPr>
      <t xml:space="preserve">的期數</t>
    </r>
  </si>
  <si>
    <t xml:space="preserve">C28</t>
  </si>
  <si>
    <r>
      <rPr>
        <sz val="10"/>
        <color rgb="FF000000"/>
        <rFont val="Arial"/>
        <family val="0"/>
        <charset val="1"/>
      </rPr>
      <t xml:space="preserve">D14r</t>
    </r>
    <r>
      <rPr>
        <sz val="10"/>
        <color rgb="FF000000"/>
        <rFont val="Noto Sans CJK SC"/>
        <family val="2"/>
      </rPr>
      <t xml:space="preserve">：模型 </t>
    </r>
    <r>
      <rPr>
        <sz val="10"/>
        <color rgb="FF000000"/>
        <rFont val="Arial"/>
        <family val="0"/>
        <charset val="1"/>
      </rPr>
      <t xml:space="preserve">2H26 </t>
    </r>
    <r>
      <rPr>
        <sz val="10"/>
        <color rgb="FF000000"/>
        <rFont val="Noto Sans CJK SC"/>
        <family val="2"/>
      </rPr>
      <t xml:space="preserve">年化雲端營收 </t>
    </r>
    <r>
      <rPr>
        <sz val="10"/>
        <color rgb="FF000000"/>
        <rFont val="Arial"/>
        <family val="0"/>
        <charset val="1"/>
      </rPr>
      <t xml:space="preserve">÷ MaaS ARR</t>
    </r>
    <r>
      <rPr>
        <sz val="10"/>
        <color rgb="FF000000"/>
        <rFont val="Noto Sans CJK SC"/>
        <family val="2"/>
      </rPr>
      <t xml:space="preserve">（</t>
    </r>
    <r>
      <rPr>
        <sz val="10"/>
        <color rgb="FF000000"/>
        <rFont val="Arial"/>
        <family val="0"/>
        <charset val="1"/>
      </rPr>
      <t xml:space="preserve">2026-08</t>
    </r>
    <r>
      <rPr>
        <sz val="10"/>
        <color rgb="FF000000"/>
        <rFont val="Noto Sans CJK SC"/>
        <family val="2"/>
      </rPr>
      <t xml:space="preserve">，</t>
    </r>
    <r>
      <rPr>
        <sz val="10"/>
        <color rgb="FF000000"/>
        <rFont val="Arial"/>
        <family val="0"/>
        <charset val="1"/>
      </rPr>
      <t xml:space="preserve">US$16 </t>
    </r>
    <r>
      <rPr>
        <sz val="10"/>
        <color rgb="FF000000"/>
        <rFont val="Noto Sans CJK SC"/>
        <family val="2"/>
      </rPr>
      <t xml:space="preserve">億）− </t>
    </r>
    <r>
      <rPr>
        <sz val="10"/>
        <color rgb="FF000000"/>
        <rFont val="Arial"/>
        <family val="0"/>
        <charset val="1"/>
      </rPr>
      <t xml:space="preserve">1</t>
    </r>
  </si>
  <si>
    <r>
      <rPr>
        <sz val="9"/>
        <color rgb="FF595959"/>
        <rFont val="Noto Sans CJK SC"/>
        <family val="2"/>
      </rPr>
      <t xml:space="preserve">絕對值 </t>
    </r>
    <r>
      <rPr>
        <sz val="9"/>
        <color rgb="FF595959"/>
        <rFont val="Arial"/>
        <family val="0"/>
        <charset val="1"/>
      </rPr>
      <t xml:space="preserve">&gt;25% </t>
    </r>
    <r>
      <rPr>
        <sz val="9"/>
        <color rgb="FF595959"/>
        <rFont val="Noto Sans CJK SC"/>
        <family val="2"/>
      </rPr>
      <t xml:space="preserve">為 </t>
    </r>
    <r>
      <rPr>
        <sz val="9"/>
        <color rgb="FF595959"/>
        <rFont val="Arial"/>
        <family val="0"/>
        <charset val="1"/>
      </rPr>
      <t xml:space="preserve">WARN</t>
    </r>
    <r>
      <rPr>
        <sz val="9"/>
        <color rgb="FF595959"/>
        <rFont val="Noto Sans CJK SC"/>
        <family val="2"/>
      </rPr>
      <t xml:space="preserve">；</t>
    </r>
    <r>
      <rPr>
        <sz val="9"/>
        <color rgb="FF595959"/>
        <rFont val="Arial"/>
        <family val="0"/>
        <charset val="1"/>
      </rPr>
      <t xml:space="preserve">ARR </t>
    </r>
    <r>
      <rPr>
        <sz val="9"/>
        <color rgb="FF595959"/>
        <rFont val="Noto Sans CJK SC"/>
        <family val="2"/>
      </rPr>
      <t xml:space="preserve">只對照、不反推參數；原因見報告</t>
    </r>
  </si>
  <si>
    <t xml:space="preserve">C29</t>
  </si>
  <si>
    <r>
      <rPr>
        <sz val="10"/>
        <color rgb="FF000000"/>
        <rFont val="Arial"/>
        <family val="0"/>
        <charset val="1"/>
      </rPr>
      <t xml:space="preserve">D14r</t>
    </r>
    <r>
      <rPr>
        <sz val="10"/>
        <color rgb="FF000000"/>
        <rFont val="Noto Sans CJK SC"/>
        <family val="2"/>
      </rPr>
      <t xml:space="preserve">：模型 </t>
    </r>
    <r>
      <rPr>
        <sz val="10"/>
        <color rgb="FF000000"/>
        <rFont val="Arial"/>
        <family val="0"/>
        <charset val="1"/>
      </rPr>
      <t xml:space="preserve">2H26 </t>
    </r>
    <r>
      <rPr>
        <sz val="10"/>
        <color rgb="FF000000"/>
        <rFont val="Noto Sans CJK SC"/>
        <family val="2"/>
      </rPr>
      <t xml:space="preserve">年化總營收 </t>
    </r>
    <r>
      <rPr>
        <sz val="10"/>
        <color rgb="FF000000"/>
        <rFont val="Arial"/>
        <family val="0"/>
        <charset val="1"/>
      </rPr>
      <t xml:space="preserve">÷ </t>
    </r>
    <r>
      <rPr>
        <sz val="10"/>
        <color rgb="FF000000"/>
        <rFont val="Noto Sans CJK SC"/>
        <family val="2"/>
      </rPr>
      <t xml:space="preserve">全業務 </t>
    </r>
    <r>
      <rPr>
        <sz val="10"/>
        <color rgb="FF000000"/>
        <rFont val="Arial"/>
        <family val="0"/>
        <charset val="1"/>
      </rPr>
      <t xml:space="preserve">ARR</t>
    </r>
    <r>
      <rPr>
        <sz val="10"/>
        <color rgb="FF000000"/>
        <rFont val="Noto Sans CJK SC"/>
        <family val="2"/>
      </rPr>
      <t xml:space="preserve">（</t>
    </r>
    <r>
      <rPr>
        <sz val="10"/>
        <color rgb="FF000000"/>
        <rFont val="Arial"/>
        <family val="0"/>
        <charset val="1"/>
      </rPr>
      <t xml:space="preserve">2026-09</t>
    </r>
    <r>
      <rPr>
        <sz val="10"/>
        <color rgb="FF000000"/>
        <rFont val="Noto Sans CJK SC"/>
        <family val="2"/>
      </rPr>
      <t xml:space="preserve">，</t>
    </r>
    <r>
      <rPr>
        <sz val="10"/>
        <color rgb="FF000000"/>
        <rFont val="Arial"/>
        <family val="0"/>
        <charset val="1"/>
      </rPr>
      <t xml:space="preserve">US$18 </t>
    </r>
    <r>
      <rPr>
        <sz val="10"/>
        <color rgb="FF000000"/>
        <rFont val="Noto Sans CJK SC"/>
        <family val="2"/>
      </rPr>
      <t xml:space="preserve">億）− </t>
    </r>
    <r>
      <rPr>
        <sz val="10"/>
        <color rgb="FF000000"/>
        <rFont val="Arial"/>
        <family val="0"/>
        <charset val="1"/>
      </rPr>
      <t xml:space="preserve">1</t>
    </r>
  </si>
  <si>
    <t xml:space="preserve">C30</t>
  </si>
  <si>
    <r>
      <rPr>
        <sz val="10"/>
        <color rgb="FF000000"/>
        <rFont val="Noto Sans CJK SC"/>
        <family val="2"/>
      </rPr>
      <t xml:space="preserve">對照：模型組合有效單價 </t>
    </r>
    <r>
      <rPr>
        <sz val="10"/>
        <color rgb="FF000000"/>
        <rFont val="Arial"/>
        <family val="0"/>
        <charset val="1"/>
      </rPr>
      <t xml:space="preserve">1H26 </t>
    </r>
    <r>
      <rPr>
        <sz val="10"/>
        <color rgb="FF000000"/>
        <rFont val="Noto Sans CJK SC"/>
        <family val="2"/>
      </rPr>
      <t xml:space="preserve">對 </t>
    </r>
    <r>
      <rPr>
        <sz val="10"/>
        <color rgb="FF000000"/>
        <rFont val="Arial"/>
        <family val="0"/>
        <charset val="1"/>
      </rPr>
      <t xml:space="preserve">2025 </t>
    </r>
    <r>
      <rPr>
        <sz val="10"/>
        <color rgb="FF000000"/>
        <rFont val="Noto Sans CJK SC"/>
        <family val="2"/>
      </rPr>
      <t xml:space="preserve">變動</t>
    </r>
  </si>
  <si>
    <t xml:space="preserve">INFO</t>
  </si>
  <si>
    <r>
      <rPr>
        <sz val="9"/>
        <color rgb="FF595959"/>
        <rFont val="Noto Sans CJK SC"/>
        <family val="2"/>
      </rPr>
      <t xml:space="preserve">公司稱平均售價較年初 </t>
    </r>
    <r>
      <rPr>
        <sz val="9"/>
        <color rgb="FF595959"/>
        <rFont val="Arial"/>
        <family val="0"/>
        <charset val="1"/>
      </rPr>
      <t xml:space="preserve">+101%</t>
    </r>
    <r>
      <rPr>
        <sz val="9"/>
        <color rgb="FF595959"/>
        <rFont val="Noto Sans CJK SC"/>
        <family val="2"/>
      </rPr>
      <t xml:space="preserve">（實現售價口徑）；報告討論</t>
    </r>
  </si>
  <si>
    <t xml:space="preserve">C31</t>
  </si>
  <si>
    <r>
      <rPr>
        <sz val="10"/>
        <color rgb="FF000000"/>
        <rFont val="Noto Sans CJK SC"/>
        <family val="2"/>
      </rPr>
      <t xml:space="preserve">對照：模型組合有效單價 </t>
    </r>
    <r>
      <rPr>
        <sz val="10"/>
        <color rgb="FF000000"/>
        <rFont val="Arial"/>
        <family val="0"/>
        <charset val="1"/>
      </rPr>
      <t xml:space="preserve">2H26 </t>
    </r>
    <r>
      <rPr>
        <sz val="10"/>
        <color rgb="FF000000"/>
        <rFont val="Noto Sans CJK SC"/>
        <family val="2"/>
      </rPr>
      <t xml:space="preserve">對 </t>
    </r>
    <r>
      <rPr>
        <sz val="10"/>
        <color rgb="FF000000"/>
        <rFont val="Arial"/>
        <family val="0"/>
        <charset val="1"/>
      </rPr>
      <t xml:space="preserve">2025 </t>
    </r>
    <r>
      <rPr>
        <sz val="10"/>
        <color rgb="FF000000"/>
        <rFont val="Noto Sans CJK SC"/>
        <family val="2"/>
      </rPr>
      <t xml:space="preserve">變動</t>
    </r>
  </si>
  <si>
    <r>
      <rPr>
        <sz val="9"/>
        <color rgb="FF595959"/>
        <rFont val="Noto Sans CJK SC"/>
        <family val="2"/>
      </rPr>
      <t xml:space="preserve">公司稱較 </t>
    </r>
    <r>
      <rPr>
        <sz val="9"/>
        <color rgb="FF595959"/>
        <rFont val="Arial"/>
        <family val="0"/>
        <charset val="1"/>
      </rPr>
      <t xml:space="preserve">2025 </t>
    </r>
    <r>
      <rPr>
        <sz val="9"/>
        <color rgb="FF595959"/>
        <rFont val="Noto Sans CJK SC"/>
        <family val="2"/>
      </rPr>
      <t xml:space="preserve">年底 </t>
    </r>
    <r>
      <rPr>
        <sz val="9"/>
        <color rgb="FF595959"/>
        <rFont val="Arial"/>
        <family val="0"/>
        <charset val="1"/>
      </rPr>
      <t xml:space="preserve">+83%</t>
    </r>
    <r>
      <rPr>
        <sz val="9"/>
        <color rgb="FF595959"/>
        <rFont val="Noto Sans CJK SC"/>
        <family val="2"/>
      </rPr>
      <t xml:space="preserve">（截至 </t>
    </r>
    <r>
      <rPr>
        <sz val="9"/>
        <color rgb="FF595959"/>
        <rFont val="Arial"/>
        <family val="0"/>
        <charset val="1"/>
      </rPr>
      <t xml:space="preserve">2026-03</t>
    </r>
    <r>
      <rPr>
        <sz val="9"/>
        <color rgb="FF595959"/>
        <rFont val="Noto Sans CJK SC"/>
        <family val="2"/>
      </rPr>
      <t xml:space="preserve">）</t>
    </r>
  </si>
  <si>
    <t xml:space="preserve">C32</t>
  </si>
  <si>
    <r>
      <rPr>
        <sz val="10"/>
        <color rgb="FF000000"/>
        <rFont val="Noto Sans CJK SC"/>
        <family val="2"/>
      </rPr>
      <t xml:space="preserve">對照：模型 </t>
    </r>
    <r>
      <rPr>
        <sz val="10"/>
        <color rgb="FF000000"/>
        <rFont val="Arial"/>
        <family val="0"/>
        <charset val="1"/>
      </rPr>
      <t xml:space="preserve">2H26 ÷ 1H26 API token</t>
    </r>
  </si>
  <si>
    <r>
      <rPr>
        <sz val="9"/>
        <color rgb="FF595959"/>
        <rFont val="Noto Sans CJK SC"/>
        <family val="2"/>
      </rPr>
      <t xml:space="preserve">公司稱 </t>
    </r>
    <r>
      <rPr>
        <sz val="9"/>
        <color rgb="FF595959"/>
        <rFont val="Arial"/>
        <family val="0"/>
        <charset val="1"/>
      </rPr>
      <t xml:space="preserve">MaaS </t>
    </r>
    <r>
      <rPr>
        <sz val="9"/>
        <color rgb="FF595959"/>
        <rFont val="Noto Sans CJK SC"/>
        <family val="2"/>
      </rPr>
      <t xml:space="preserve">呼叫量較年初 </t>
    </r>
    <r>
      <rPr>
        <sz val="9"/>
        <color rgb="FF595959"/>
        <rFont val="Arial"/>
        <family val="0"/>
        <charset val="1"/>
      </rPr>
      <t xml:space="preserve">40 </t>
    </r>
    <r>
      <rPr>
        <sz val="9"/>
        <color rgb="FF595959"/>
        <rFont val="Noto Sans CJK SC"/>
        <family val="2"/>
      </rPr>
      <t xml:space="preserve">倍以上（時點對時點，口徑不同）</t>
    </r>
  </si>
  <si>
    <t xml:space="preserve">C33</t>
  </si>
  <si>
    <r>
      <rPr>
        <sz val="10"/>
        <color rgb="FF000000"/>
        <rFont val="Noto Sans CJK SC"/>
        <family val="2"/>
      </rPr>
      <t xml:space="preserve">對照：</t>
    </r>
    <r>
      <rPr>
        <sz val="10"/>
        <color rgb="FF000000"/>
        <rFont val="Arial"/>
        <family val="0"/>
        <charset val="1"/>
      </rPr>
      <t xml:space="preserve">2H25→1H26 </t>
    </r>
    <r>
      <rPr>
        <sz val="10"/>
        <color rgb="FF000000"/>
        <rFont val="Noto Sans CJK SC"/>
        <family val="2"/>
      </rPr>
      <t xml:space="preserve">實際隱含量成長（倍）</t>
    </r>
  </si>
  <si>
    <r>
      <rPr>
        <sz val="9"/>
        <color rgb="FF595959"/>
        <rFont val="Arial"/>
        <family val="0"/>
        <charset val="1"/>
      </rPr>
      <t xml:space="preserve">Inputs 2H26 </t>
    </r>
    <r>
      <rPr>
        <sz val="9"/>
        <color rgb="FF595959"/>
        <rFont val="Noto Sans CJK SC"/>
        <family val="2"/>
      </rPr>
      <t xml:space="preserve">任務數成長（</t>
    </r>
    <r>
      <rPr>
        <sz val="9"/>
        <color rgb="FF595959"/>
        <rFont val="Arial"/>
        <family val="0"/>
        <charset val="1"/>
      </rPr>
      <t xml:space="preserve">R1</t>
    </r>
    <r>
      <rPr>
        <sz val="9"/>
        <color rgb="FF595959"/>
        <rFont val="Noto Sans CJK SC"/>
        <family val="2"/>
      </rPr>
      <t xml:space="preserve">：延續此實際動能 </t>
    </r>
    <r>
      <rPr>
        <sz val="9"/>
        <color rgb="FF595959"/>
        <rFont val="Arial"/>
        <family val="0"/>
        <charset val="1"/>
      </rPr>
      <t xml:space="preserve">2.24</t>
    </r>
    <r>
      <rPr>
        <sz val="9"/>
        <color rgb="FF595959"/>
        <rFont val="Noto Sans CJK SC"/>
        <family val="2"/>
      </rPr>
      <t xml:space="preserve">）的依據</t>
    </r>
  </si>
  <si>
    <t xml:space="preserve">C34</t>
  </si>
  <si>
    <r>
      <rPr>
        <sz val="10"/>
        <color rgb="FF000000"/>
        <rFont val="Noto Sans CJK SC"/>
        <family val="2"/>
      </rPr>
      <t xml:space="preserve">對照：</t>
    </r>
    <r>
      <rPr>
        <sz val="10"/>
        <color rgb="FF000000"/>
        <rFont val="Arial"/>
        <family val="0"/>
        <charset val="1"/>
      </rPr>
      <t xml:space="preserve">2025 </t>
    </r>
    <r>
      <rPr>
        <sz val="10"/>
        <color rgb="FF000000"/>
        <rFont val="Noto Sans CJK SC"/>
        <family val="2"/>
      </rPr>
      <t xml:space="preserve">未校準差距（</t>
    </r>
    <r>
      <rPr>
        <sz val="10"/>
        <color rgb="FF000000"/>
        <rFont val="Arial"/>
        <family val="0"/>
        <charset val="1"/>
      </rPr>
      <t xml:space="preserve">RMB </t>
    </r>
    <r>
      <rPr>
        <sz val="10"/>
        <color rgb="FF000000"/>
        <rFont val="Noto Sans CJK SC"/>
        <family val="2"/>
      </rPr>
      <t xml:space="preserve">億）</t>
    </r>
  </si>
  <si>
    <r>
      <rPr>
        <sz val="9"/>
        <color rgb="FF595959"/>
        <rFont val="Noto Sans CJK SC"/>
        <family val="2"/>
      </rPr>
      <t xml:space="preserve">日均 </t>
    </r>
    <r>
      <rPr>
        <sz val="9"/>
        <color rgb="FF595959"/>
        <rFont val="Arial"/>
        <family val="0"/>
        <charset val="1"/>
      </rPr>
      <t xml:space="preserve">4.2T </t>
    </r>
    <r>
      <rPr>
        <sz val="9"/>
        <color rgb="FF595959"/>
        <rFont val="Noto Sans CJK SC"/>
        <family val="2"/>
      </rPr>
      <t xml:space="preserve">全數按有效單價計的假想營收 − 年報</t>
    </r>
  </si>
  <si>
    <t xml:space="preserve">C35</t>
  </si>
  <si>
    <r>
      <rPr>
        <sz val="10"/>
        <color rgb="FF000000"/>
        <rFont val="Noto Sans CJK SC"/>
        <family val="2"/>
      </rPr>
      <t xml:space="preserve">對照：</t>
    </r>
    <r>
      <rPr>
        <sz val="10"/>
        <color rgb="FF000000"/>
        <rFont val="Arial"/>
        <family val="0"/>
        <charset val="1"/>
      </rPr>
      <t xml:space="preserve">2025 </t>
    </r>
    <r>
      <rPr>
        <sz val="10"/>
        <color rgb="FF000000"/>
        <rFont val="Noto Sans CJK SC"/>
        <family val="2"/>
      </rPr>
      <t xml:space="preserve">計費比例（按量計費 </t>
    </r>
    <r>
      <rPr>
        <sz val="10"/>
        <color rgb="FF000000"/>
        <rFont val="Arial"/>
        <family val="0"/>
        <charset val="1"/>
      </rPr>
      <t xml:space="preserve">token ÷ </t>
    </r>
    <r>
      <rPr>
        <sz val="10"/>
        <color rgb="FF000000"/>
        <rFont val="Noto Sans CJK SC"/>
        <family val="2"/>
      </rPr>
      <t xml:space="preserve">揭露日均 </t>
    </r>
    <r>
      <rPr>
        <sz val="10"/>
        <color rgb="FF000000"/>
        <rFont val="Arial"/>
        <family val="0"/>
        <charset val="1"/>
      </rPr>
      <t xml:space="preserve">× 365</t>
    </r>
    <r>
      <rPr>
        <sz val="10"/>
        <color rgb="FF000000"/>
        <rFont val="Noto Sans CJK SC"/>
        <family val="2"/>
      </rPr>
      <t xml:space="preserve">）</t>
    </r>
  </si>
  <si>
    <t xml:space="preserve">C36</t>
  </si>
  <si>
    <r>
      <rPr>
        <sz val="10"/>
        <color rgb="FF000000"/>
        <rFont val="Noto Sans CJK SC"/>
        <family val="2"/>
      </rPr>
      <t xml:space="preserve">對照：模型 </t>
    </r>
    <r>
      <rPr>
        <sz val="10"/>
        <color rgb="FF000000"/>
        <rFont val="Arial"/>
        <family val="0"/>
        <charset val="1"/>
      </rPr>
      <t xml:space="preserve">2026 </t>
    </r>
    <r>
      <rPr>
        <sz val="10"/>
        <color rgb="FF000000"/>
        <rFont val="Noto Sans CJK SC"/>
        <family val="2"/>
      </rPr>
      <t xml:space="preserve">總額 − 分析師共識（</t>
    </r>
    <r>
      <rPr>
        <sz val="10"/>
        <color rgb="FF000000"/>
        <rFont val="Arial"/>
        <family val="0"/>
        <charset val="1"/>
      </rPr>
      <t xml:space="preserve">RMB </t>
    </r>
    <r>
      <rPr>
        <sz val="10"/>
        <color rgb="FF000000"/>
        <rFont val="Noto Sans CJK SC"/>
        <family val="2"/>
      </rPr>
      <t xml:space="preserve">億）</t>
    </r>
  </si>
  <si>
    <r>
      <rPr>
        <sz val="9"/>
        <color rgb="FF595959"/>
        <rFont val="Noto Sans CJK SC"/>
        <family val="2"/>
      </rPr>
      <t xml:space="preserve">共識 </t>
    </r>
    <r>
      <rPr>
        <sz val="9"/>
        <color rgb="FF595959"/>
        <rFont val="Arial"/>
        <family val="0"/>
        <charset val="1"/>
      </rPr>
      <t xml:space="preserve">60.48 </t>
    </r>
    <r>
      <rPr>
        <sz val="9"/>
        <color rgb="FF595959"/>
        <rFont val="Noto Sans CJK SC"/>
        <family val="2"/>
      </rPr>
      <t xml:space="preserve">億（</t>
    </r>
    <r>
      <rPr>
        <sz val="9"/>
        <color rgb="FF595959"/>
        <rFont val="Arial"/>
        <family val="0"/>
        <charset val="1"/>
      </rPr>
      <t xml:space="preserve">Interested-party</t>
    </r>
    <r>
      <rPr>
        <sz val="9"/>
        <color rgb="FF595959"/>
        <rFont val="Noto Sans CJK SC"/>
        <family val="2"/>
      </rPr>
      <t xml:space="preserve">）</t>
    </r>
  </si>
  <si>
    <t xml:space="preserve">C37</t>
  </si>
  <si>
    <r>
      <rPr>
        <sz val="10"/>
        <color rgb="FF000000"/>
        <rFont val="Noto Sans CJK SC"/>
        <family val="2"/>
      </rPr>
      <t xml:space="preserve">對照：本模型 </t>
    </r>
    <r>
      <rPr>
        <sz val="10"/>
        <color rgb="FF000000"/>
        <rFont val="Arial"/>
        <family val="0"/>
        <charset val="1"/>
      </rPr>
      <t xml:space="preserve">2H26 Sol </t>
    </r>
    <r>
      <rPr>
        <sz val="10"/>
        <color rgb="FF000000"/>
        <rFont val="Noto Sans CJK SC"/>
        <family val="2"/>
      </rPr>
      <t xml:space="preserve">有效單價 </t>
    </r>
    <r>
      <rPr>
        <sz val="10"/>
        <color rgb="FF000000"/>
        <rFont val="Arial"/>
        <family val="0"/>
        <charset val="1"/>
      </rPr>
      <t xml:space="preserve">÷ TK GLM-5.3 </t>
    </r>
    <r>
      <rPr>
        <sz val="10"/>
        <color rgb="FF000000"/>
        <rFont val="Noto Sans CJK SC"/>
        <family val="2"/>
      </rPr>
      <t xml:space="preserve">混合單價 </t>
    </r>
    <r>
      <rPr>
        <sz val="10"/>
        <color rgb="FF000000"/>
        <rFont val="Arial"/>
        <family val="0"/>
        <charset val="1"/>
      </rPr>
      <t xml:space="preserve">× </t>
    </r>
    <r>
      <rPr>
        <sz val="10"/>
        <color rgb="FF000000"/>
        <rFont val="Noto Sans CJK SC"/>
        <family val="2"/>
      </rPr>
      <t xml:space="preserve">匯率</t>
    </r>
  </si>
  <si>
    <r>
      <rPr>
        <sz val="9"/>
        <color rgb="FF595959"/>
        <rFont val="Arial"/>
        <family val="0"/>
        <charset val="1"/>
      </rPr>
      <t xml:space="preserve">TK_Link </t>
    </r>
    <r>
      <rPr>
        <sz val="9"/>
        <color rgb="FF595959"/>
        <rFont val="Noto Sans CJK SC"/>
        <family val="2"/>
      </rPr>
      <t xml:space="preserve">讀表列</t>
    </r>
  </si>
  <si>
    <t xml:space="preserve">C38</t>
  </si>
  <si>
    <r>
      <rPr>
        <sz val="10"/>
        <color rgb="FF000000"/>
        <rFont val="Noto Sans CJK SC"/>
        <family val="2"/>
      </rPr>
      <t xml:space="preserve">對照：本模型 </t>
    </r>
    <r>
      <rPr>
        <sz val="10"/>
        <color rgb="FF000000"/>
        <rFont val="Arial"/>
        <family val="0"/>
        <charset val="1"/>
      </rPr>
      <t xml:space="preserve">2H26 Luna </t>
    </r>
    <r>
      <rPr>
        <sz val="10"/>
        <color rgb="FF000000"/>
        <rFont val="Noto Sans CJK SC"/>
        <family val="2"/>
      </rPr>
      <t xml:space="preserve">有效單價 </t>
    </r>
    <r>
      <rPr>
        <sz val="10"/>
        <color rgb="FF000000"/>
        <rFont val="Arial"/>
        <family val="0"/>
        <charset val="1"/>
      </rPr>
      <t xml:space="preserve">÷ TK </t>
    </r>
    <r>
      <rPr>
        <sz val="10"/>
        <color rgb="FF000000"/>
        <rFont val="Noto Sans CJK SC"/>
        <family val="2"/>
      </rPr>
      <t xml:space="preserve">中國合格前緣 </t>
    </r>
    <r>
      <rPr>
        <sz val="10"/>
        <color rgb="FF000000"/>
        <rFont val="Arial"/>
        <family val="0"/>
        <charset val="1"/>
      </rPr>
      <t xml:space="preserve">× </t>
    </r>
    <r>
      <rPr>
        <sz val="10"/>
        <color rgb="FF000000"/>
        <rFont val="Noto Sans CJK SC"/>
        <family val="2"/>
      </rPr>
      <t xml:space="preserve">匯率</t>
    </r>
  </si>
  <si>
    <t xml:space="preserve">C39</t>
  </si>
  <si>
    <r>
      <rPr>
        <sz val="10"/>
        <color rgb="FF000000"/>
        <rFont val="Noto Sans CJK SC"/>
        <family val="2"/>
      </rPr>
      <t xml:space="preserve">對照：</t>
    </r>
    <r>
      <rPr>
        <sz val="10"/>
        <color rgb="FF000000"/>
        <rFont val="Arial"/>
        <family val="0"/>
        <charset val="1"/>
      </rPr>
      <t xml:space="preserve">OpenAI v0.6 2030 </t>
    </r>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t>
    </r>
    <r>
      <rPr>
        <sz val="10"/>
        <color rgb="FF000000"/>
        <rFont val="Noto Sans CJK SC"/>
        <family val="2"/>
      </rPr>
      <t xml:space="preserve">差額（</t>
    </r>
    <r>
      <rPr>
        <sz val="10"/>
        <color rgb="FF000000"/>
        <rFont val="Arial"/>
        <family val="0"/>
        <charset val="1"/>
      </rPr>
      <t xml:space="preserve">$B/GW</t>
    </r>
    <r>
      <rPr>
        <sz val="10"/>
        <color rgb="FF000000"/>
        <rFont val="Noto Sans CJK SC"/>
        <family val="2"/>
      </rPr>
      <t xml:space="preserve">）</t>
    </r>
  </si>
  <si>
    <r>
      <rPr>
        <sz val="9"/>
        <color rgb="FF595959"/>
        <rFont val="Arial"/>
        <family val="0"/>
        <charset val="1"/>
      </rPr>
      <t xml:space="preserve">OAI_Link</t>
    </r>
    <r>
      <rPr>
        <sz val="9"/>
        <color rgb="FF595959"/>
        <rFont val="Noto Sans CJK SC"/>
        <family val="2"/>
      </rPr>
      <t xml:space="preserve">；只並排（</t>
    </r>
    <r>
      <rPr>
        <sz val="9"/>
        <color rgb="FF595959"/>
        <rFont val="Arial"/>
        <family val="0"/>
        <charset val="1"/>
      </rPr>
      <t xml:space="preserve">Z5 HTML</t>
    </r>
    <r>
      <rPr>
        <sz val="9"/>
        <color rgb="FF595959"/>
        <rFont val="Noto Sans CJK SC"/>
        <family val="2"/>
      </rPr>
      <t xml:space="preserve">）</t>
    </r>
  </si>
  <si>
    <t xml:space="preserve">C40</t>
  </si>
  <si>
    <r>
      <rPr>
        <sz val="10"/>
        <color rgb="FF000000"/>
        <rFont val="Noto Sans CJK SC"/>
        <family val="2"/>
      </rPr>
      <t xml:space="preserve">預覽：</t>
    </r>
    <r>
      <rPr>
        <sz val="10"/>
        <color rgb="FF000000"/>
        <rFont val="Arial"/>
        <family val="0"/>
        <charset val="1"/>
      </rPr>
      <t xml:space="preserve">2030 </t>
    </r>
    <r>
      <rPr>
        <sz val="10"/>
        <color rgb="FF000000"/>
        <rFont val="Noto Sans CJK SC"/>
        <family val="2"/>
      </rPr>
      <t xml:space="preserve">營收總額（截頂後，</t>
    </r>
    <r>
      <rPr>
        <sz val="10"/>
        <color rgb="FF000000"/>
        <rFont val="Arial"/>
        <family val="0"/>
        <charset val="1"/>
      </rPr>
      <t xml:space="preserve">RMB </t>
    </r>
    <r>
      <rPr>
        <sz val="10"/>
        <color rgb="FF000000"/>
        <rFont val="Noto Sans CJK SC"/>
        <family val="2"/>
      </rPr>
      <t xml:space="preserve">億）</t>
    </r>
  </si>
  <si>
    <t xml:space="preserve">C41</t>
  </si>
  <si>
    <r>
      <rPr>
        <sz val="10"/>
        <color rgb="FF000000"/>
        <rFont val="Noto Sans CJK SC"/>
        <family val="2"/>
      </rPr>
      <t xml:space="preserve">預覽：</t>
    </r>
    <r>
      <rPr>
        <sz val="10"/>
        <color rgb="FF000000"/>
        <rFont val="Arial"/>
        <family val="0"/>
        <charset val="1"/>
      </rPr>
      <t xml:space="preserve">2030 token </t>
    </r>
    <r>
      <rPr>
        <sz val="10"/>
        <color rgb="FF000000"/>
        <rFont val="Noto Sans CJK SC"/>
        <family val="2"/>
      </rPr>
      <t xml:space="preserve">合計（</t>
    </r>
    <r>
      <rPr>
        <sz val="10"/>
        <color rgb="FF000000"/>
        <rFont val="Arial"/>
        <family val="0"/>
        <charset val="1"/>
      </rPr>
      <t xml:space="preserve">T</t>
    </r>
    <r>
      <rPr>
        <sz val="10"/>
        <color rgb="FF000000"/>
        <rFont val="Noto Sans CJK SC"/>
        <family val="2"/>
      </rPr>
      <t xml:space="preserve">）</t>
    </r>
  </si>
  <si>
    <r>
      <rPr>
        <sz val="9"/>
        <color rgb="FF595959"/>
        <rFont val="Noto Sans CJK SC"/>
        <family val="2"/>
      </rPr>
      <t xml:space="preserve">供 </t>
    </r>
    <r>
      <rPr>
        <sz val="9"/>
        <color rgb="FF595959"/>
        <rFont val="Arial"/>
        <family val="0"/>
        <charset val="1"/>
      </rPr>
      <t xml:space="preserve">Z3</t>
    </r>
  </si>
  <si>
    <t xml:space="preserve">C43</t>
  </si>
  <si>
    <r>
      <rPr>
        <sz val="10"/>
        <color rgb="FF000000"/>
        <rFont val="Arial"/>
        <family val="0"/>
        <charset val="1"/>
      </rPr>
      <t xml:space="preserve">Compute</t>
    </r>
    <r>
      <rPr>
        <sz val="10"/>
        <color rgb="FF000000"/>
        <rFont val="Noto Sans CJK SC"/>
        <family val="2"/>
      </rPr>
      <t xml:space="preserve">：晶片族 </t>
    </r>
    <r>
      <rPr>
        <sz val="10"/>
        <color rgb="FF000000"/>
        <rFont val="Arial"/>
        <family val="0"/>
        <charset val="1"/>
      </rPr>
      <t xml:space="preserve">GW </t>
    </r>
    <r>
      <rPr>
        <sz val="10"/>
        <color rgb="FF000000"/>
        <rFont val="Noto Sans CJK SC"/>
        <family val="2"/>
      </rPr>
      <t xml:space="preserve">占比 ∉</t>
    </r>
    <r>
      <rPr>
        <sz val="10"/>
        <color rgb="FF000000"/>
        <rFont val="Arial"/>
        <family val="0"/>
        <charset val="1"/>
      </rPr>
      <t xml:space="preserve">[0,1] </t>
    </r>
    <r>
      <rPr>
        <sz val="10"/>
        <color rgb="FF000000"/>
        <rFont val="Noto Sans CJK SC"/>
        <family val="2"/>
      </rPr>
      <t xml:space="preserve">的格數（</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1 − </t>
    </r>
    <r>
      <rPr>
        <sz val="10"/>
        <color rgb="FF000000"/>
        <rFont val="Noto Sans CJK SC"/>
        <family val="2"/>
      </rPr>
      <t xml:space="preserve">國產 − </t>
    </r>
    <r>
      <rPr>
        <sz val="10"/>
        <color rgb="FF000000"/>
        <rFont val="Arial"/>
        <family val="0"/>
        <charset val="1"/>
      </rPr>
      <t xml:space="preserve">H20</t>
    </r>
    <r>
      <rPr>
        <sz val="10"/>
        <color rgb="FF000000"/>
        <rFont val="Noto Sans CJK SC"/>
        <family val="2"/>
      </rPr>
      <t xml:space="preserve">）</t>
    </r>
  </si>
  <si>
    <r>
      <rPr>
        <sz val="9"/>
        <color rgb="FF595959"/>
        <rFont val="Arial"/>
        <family val="0"/>
        <charset val="1"/>
      </rPr>
      <t xml:space="preserve">Inputs </t>
    </r>
    <r>
      <rPr>
        <sz val="9"/>
        <color rgb="FF595959"/>
        <rFont val="Noto Sans CJK SC"/>
        <family val="2"/>
      </rPr>
      <t xml:space="preserve">國產＋</t>
    </r>
    <r>
      <rPr>
        <sz val="9"/>
        <color rgb="FF595959"/>
        <rFont val="Arial"/>
        <family val="0"/>
        <charset val="1"/>
      </rPr>
      <t xml:space="preserve">H20 ≤ 1</t>
    </r>
  </si>
  <si>
    <t xml:space="preserve">C44</t>
  </si>
  <si>
    <r>
      <rPr>
        <sz val="10"/>
        <color rgb="FF000000"/>
        <rFont val="Arial"/>
        <family val="0"/>
        <charset val="1"/>
      </rPr>
      <t xml:space="preserve">Compute</t>
    </r>
    <r>
      <rPr>
        <sz val="10"/>
        <color rgb="FF000000"/>
        <rFont val="Noto Sans CJK SC"/>
        <family val="2"/>
      </rPr>
      <t xml:space="preserve">：供給 </t>
    </r>
    <r>
      <rPr>
        <sz val="10"/>
        <color rgb="FF000000"/>
        <rFont val="Arial"/>
        <family val="0"/>
        <charset val="1"/>
      </rPr>
      <t xml:space="preserve">GW &lt; </t>
    </r>
    <r>
      <rPr>
        <sz val="10"/>
        <color rgb="FF000000"/>
        <rFont val="Noto Sans CJK SC"/>
        <family val="2"/>
      </rPr>
      <t xml:space="preserve">推論 </t>
    </r>
    <r>
      <rPr>
        <sz val="10"/>
        <color rgb="FF000000"/>
        <rFont val="Arial"/>
        <family val="0"/>
        <charset val="1"/>
      </rPr>
      <t xml:space="preserve">GW</t>
    </r>
    <r>
      <rPr>
        <sz val="10"/>
        <color rgb="FF000000"/>
        <rFont val="Noto Sans CJK SC"/>
        <family val="2"/>
      </rPr>
      <t xml:space="preserve">（截頂後）的期數</t>
    </r>
  </si>
  <si>
    <r>
      <rPr>
        <sz val="9"/>
        <color rgb="FF595959"/>
        <rFont val="Noto Sans CJK SC"/>
        <family val="2"/>
      </rPr>
      <t xml:space="preserve">工作單 </t>
    </r>
    <r>
      <rPr>
        <sz val="9"/>
        <color rgb="FF595959"/>
        <rFont val="Arial"/>
        <family val="0"/>
        <charset val="1"/>
      </rPr>
      <t xml:space="preserve">Z3 </t>
    </r>
    <r>
      <rPr>
        <sz val="9"/>
        <color rgb="FF595959"/>
        <rFont val="Noto Sans CJK SC"/>
        <family val="2"/>
      </rPr>
      <t xml:space="preserve">第 </t>
    </r>
    <r>
      <rPr>
        <sz val="9"/>
        <color rgb="FF595959"/>
        <rFont val="Arial"/>
        <family val="0"/>
        <charset val="1"/>
      </rPr>
      <t xml:space="preserve">3 </t>
    </r>
    <r>
      <rPr>
        <sz val="9"/>
        <color rgb="FF595959"/>
        <rFont val="Noto Sans CJK SC"/>
        <family val="2"/>
      </rPr>
      <t xml:space="preserve">步：供給 ≥ 推論</t>
    </r>
  </si>
  <si>
    <t xml:space="preserve">C45</t>
  </si>
  <si>
    <r>
      <rPr>
        <sz val="10"/>
        <color rgb="FF000000"/>
        <rFont val="Arial"/>
        <family val="0"/>
        <charset val="1"/>
      </rPr>
      <t xml:space="preserve">Compute</t>
    </r>
    <r>
      <rPr>
        <sz val="10"/>
        <color rgb="FF000000"/>
        <rFont val="Noto Sans CJK SC"/>
        <family val="2"/>
      </rPr>
      <t xml:space="preserve">：研發 </t>
    </r>
    <r>
      <rPr>
        <sz val="10"/>
        <color rgb="FF000000"/>
        <rFont val="Arial"/>
        <family val="0"/>
        <charset val="1"/>
      </rPr>
      <t xml:space="preserve">GW</t>
    </r>
    <r>
      <rPr>
        <sz val="10"/>
        <color rgb="FF000000"/>
        <rFont val="Noto Sans CJK SC"/>
        <family val="2"/>
      </rPr>
      <t xml:space="preserve">（殘差）</t>
    </r>
    <r>
      <rPr>
        <sz val="10"/>
        <color rgb="FF000000"/>
        <rFont val="Arial"/>
        <family val="0"/>
        <charset val="1"/>
      </rPr>
      <t xml:space="preserve">&lt; 0 </t>
    </r>
    <r>
      <rPr>
        <sz val="10"/>
        <color rgb="FF000000"/>
        <rFont val="Noto Sans CJK SC"/>
        <family val="2"/>
      </rPr>
      <t xml:space="preserve">的期數</t>
    </r>
  </si>
  <si>
    <r>
      <rPr>
        <sz val="9"/>
        <color rgb="FF595959"/>
        <rFont val="Noto Sans CJK SC"/>
        <family val="2"/>
      </rPr>
      <t xml:space="preserve">研發 </t>
    </r>
    <r>
      <rPr>
        <sz val="9"/>
        <color rgb="FF595959"/>
        <rFont val="Arial"/>
        <family val="0"/>
        <charset val="1"/>
      </rPr>
      <t xml:space="preserve">GW </t>
    </r>
    <r>
      <rPr>
        <sz val="9"/>
        <color rgb="FF595959"/>
        <rFont val="Noto Sans CJK SC"/>
        <family val="2"/>
      </rPr>
      <t xml:space="preserve">非負旗標（校準期：研發算力費 </t>
    </r>
    <r>
      <rPr>
        <sz val="9"/>
        <color rgb="FF595959"/>
        <rFont val="Arial"/>
        <family val="0"/>
        <charset val="1"/>
      </rPr>
      <t xml:space="preserve">&lt; 0 </t>
    </r>
    <r>
      <rPr>
        <sz val="9"/>
        <color rgb="FF595959"/>
        <rFont val="Noto Sans CJK SC"/>
        <family val="2"/>
      </rPr>
      <t xml:space="preserve">或推論超過供給時轉 </t>
    </r>
    <r>
      <rPr>
        <sz val="9"/>
        <color rgb="FF595959"/>
        <rFont val="Arial"/>
        <family val="0"/>
        <charset val="1"/>
      </rPr>
      <t xml:space="preserve">ERR</t>
    </r>
    <r>
      <rPr>
        <sz val="9"/>
        <color rgb="FF595959"/>
        <rFont val="Noto Sans CJK SC"/>
        <family val="2"/>
      </rPr>
      <t xml:space="preserve">）</t>
    </r>
  </si>
  <si>
    <t xml:space="preserve">C46</t>
  </si>
  <si>
    <r>
      <rPr>
        <sz val="10"/>
        <color rgb="FF000000"/>
        <rFont val="Arial"/>
        <family val="0"/>
        <charset val="1"/>
      </rPr>
      <t xml:space="preserve">Compute</t>
    </r>
    <r>
      <rPr>
        <sz val="10"/>
        <color rgb="FF000000"/>
        <rFont val="Noto Sans CJK SC"/>
        <family val="2"/>
      </rPr>
      <t xml:space="preserve">：推論（截頂後）＋研發＋閒置 − 供給（各期最大絕對值，</t>
    </r>
    <r>
      <rPr>
        <sz val="10"/>
        <color rgb="FF000000"/>
        <rFont val="Arial"/>
        <family val="0"/>
        <charset val="1"/>
      </rPr>
      <t xml:space="preserve">GW</t>
    </r>
    <r>
      <rPr>
        <sz val="10"/>
        <color rgb="FF000000"/>
        <rFont val="Noto Sans CJK SC"/>
        <family val="2"/>
      </rPr>
      <t xml:space="preserve">）</t>
    </r>
  </si>
  <si>
    <t xml:space="preserve">恆等式</t>
  </si>
  <si>
    <t xml:space="preserve">C47</t>
  </si>
  <si>
    <r>
      <rPr>
        <sz val="10"/>
        <color rgb="FF000000"/>
        <rFont val="Arial"/>
        <family val="0"/>
        <charset val="1"/>
      </rPr>
      <t xml:space="preserve">Compute</t>
    </r>
    <r>
      <rPr>
        <sz val="10"/>
        <color rgb="FF000000"/>
        <rFont val="Noto Sans CJK SC"/>
        <family val="2"/>
      </rPr>
      <t xml:space="preserve">：容量上限係數 ∉</t>
    </r>
    <r>
      <rPr>
        <sz val="10"/>
        <color rgb="FF000000"/>
        <rFont val="Arial"/>
        <family val="0"/>
        <charset val="1"/>
      </rPr>
      <t xml:space="preserve">(0,1] </t>
    </r>
    <r>
      <rPr>
        <sz val="10"/>
        <color rgb="FF000000"/>
        <rFont val="Noto Sans CJK SC"/>
        <family val="2"/>
      </rPr>
      <t xml:space="preserve">的期數</t>
    </r>
  </si>
  <si>
    <t xml:space="preserve">C48</t>
  </si>
  <si>
    <r>
      <rPr>
        <sz val="10"/>
        <color rgb="FF000000"/>
        <rFont val="Arial"/>
        <family val="0"/>
        <charset val="1"/>
      </rPr>
      <t xml:space="preserve">Revenue</t>
    </r>
    <r>
      <rPr>
        <sz val="10"/>
        <color rgb="FF000000"/>
        <rFont val="Noto Sans CJK SC"/>
        <family val="2"/>
      </rPr>
      <t xml:space="preserve">：截頂後營收總額 </t>
    </r>
    <r>
      <rPr>
        <sz val="10"/>
        <color rgb="FF000000"/>
        <rFont val="Arial"/>
        <family val="0"/>
        <charset val="1"/>
      </rPr>
      <t xml:space="preserve">&gt; </t>
    </r>
    <r>
      <rPr>
        <sz val="10"/>
        <color rgb="FF000000"/>
        <rFont val="Noto Sans CJK SC"/>
        <family val="2"/>
      </rPr>
      <t xml:space="preserve">未截頂的年數</t>
    </r>
  </si>
  <si>
    <t xml:space="preserve">容量上限只能使營收下降</t>
  </si>
  <si>
    <t xml:space="preserve">C49</t>
  </si>
  <si>
    <r>
      <rPr>
        <sz val="10"/>
        <color rgb="FF000000"/>
        <rFont val="Arial"/>
        <family val="0"/>
        <charset val="1"/>
      </rPr>
      <t xml:space="preserve">Cost</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算力成本 −（推論＋研發算力服務費）（</t>
    </r>
    <r>
      <rPr>
        <sz val="10"/>
        <color rgb="FF000000"/>
        <rFont val="Arial"/>
        <family val="0"/>
        <charset val="1"/>
      </rPr>
      <t xml:space="preserve">RMB </t>
    </r>
    <r>
      <rPr>
        <sz val="10"/>
        <color rgb="FF000000"/>
        <rFont val="Noto Sans CJK SC"/>
        <family val="2"/>
      </rPr>
      <t xml:space="preserve">億）</t>
    </r>
  </si>
  <si>
    <r>
      <rPr>
        <sz val="9"/>
        <color rgb="FF595959"/>
        <rFont val="Noto Sans CJK SC"/>
        <family val="2"/>
      </rPr>
      <t xml:space="preserve">工作單：</t>
    </r>
    <r>
      <rPr>
        <sz val="9"/>
        <color rgb="FF595959"/>
        <rFont val="Arial"/>
        <family val="0"/>
        <charset val="1"/>
      </rPr>
      <t xml:space="preserve">2025 </t>
    </r>
    <r>
      <rPr>
        <sz val="9"/>
        <color rgb="FF595959"/>
        <rFont val="Noto Sans CJK SC"/>
        <family val="2"/>
      </rPr>
      <t xml:space="preserve">算力費對帳</t>
    </r>
  </si>
  <si>
    <t xml:space="preserve">C50</t>
  </si>
  <si>
    <r>
      <rPr>
        <sz val="10"/>
        <color rgb="FF000000"/>
        <rFont val="Arial"/>
        <family val="0"/>
        <charset val="1"/>
      </rPr>
      <t xml:space="preserve">Cost</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算力成本 −（推論＋研發算力服務費）（</t>
    </r>
    <r>
      <rPr>
        <sz val="10"/>
        <color rgb="FF000000"/>
        <rFont val="Arial"/>
        <family val="0"/>
        <charset val="1"/>
      </rPr>
      <t xml:space="preserve">RMB </t>
    </r>
    <r>
      <rPr>
        <sz val="10"/>
        <color rgb="FF000000"/>
        <rFont val="Noto Sans CJK SC"/>
        <family val="2"/>
      </rPr>
      <t xml:space="preserve">億）</t>
    </r>
  </si>
  <si>
    <r>
      <rPr>
        <sz val="9"/>
        <color rgb="FF595959"/>
        <rFont val="Noto Sans CJK SC"/>
        <family val="2"/>
      </rPr>
      <t xml:space="preserve">工作單：</t>
    </r>
    <r>
      <rPr>
        <sz val="9"/>
        <color rgb="FF595959"/>
        <rFont val="Arial"/>
        <family val="0"/>
        <charset val="1"/>
      </rPr>
      <t xml:space="preserve">1H26 </t>
    </r>
    <r>
      <rPr>
        <sz val="9"/>
        <color rgb="FF595959"/>
        <rFont val="Noto Sans CJK SC"/>
        <family val="2"/>
      </rPr>
      <t xml:space="preserve">算力費對帳</t>
    </r>
  </si>
  <si>
    <t xml:space="preserve">C51</t>
  </si>
  <si>
    <r>
      <rPr>
        <sz val="10"/>
        <color rgb="FF000000"/>
        <rFont val="Arial"/>
        <family val="0"/>
        <charset val="1"/>
      </rPr>
      <t xml:space="preserve">Cost</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全成本 − 財報費用合計（銷售成本＋研發＋銷售＋管理）（</t>
    </r>
    <r>
      <rPr>
        <sz val="10"/>
        <color rgb="FF000000"/>
        <rFont val="Arial"/>
        <family val="0"/>
        <charset val="1"/>
      </rPr>
      <t xml:space="preserve">RMB </t>
    </r>
    <r>
      <rPr>
        <sz val="10"/>
        <color rgb="FF000000"/>
        <rFont val="Noto Sans CJK SC"/>
        <family val="2"/>
      </rPr>
      <t xml:space="preserve">億）</t>
    </r>
  </si>
  <si>
    <r>
      <rPr>
        <sz val="9"/>
        <color rgb="FF595959"/>
        <rFont val="Noto Sans CJK SC"/>
        <family val="2"/>
      </rPr>
      <t xml:space="preserve">工作單 </t>
    </r>
    <r>
      <rPr>
        <sz val="9"/>
        <color rgb="FF595959"/>
        <rFont val="Arial"/>
        <family val="0"/>
        <charset val="1"/>
      </rPr>
      <t xml:space="preserve">Z3 </t>
    </r>
    <r>
      <rPr>
        <sz val="9"/>
        <color rgb="FF595959"/>
        <rFont val="Noto Sans CJK SC"/>
        <family val="2"/>
      </rPr>
      <t xml:space="preserve">第 </t>
    </r>
    <r>
      <rPr>
        <sz val="9"/>
        <color rgb="FF595959"/>
        <rFont val="Arial"/>
        <family val="0"/>
        <charset val="1"/>
      </rPr>
      <t xml:space="preserve">2 </t>
    </r>
    <r>
      <rPr>
        <sz val="9"/>
        <color rgb="FF595959"/>
        <rFont val="Noto Sans CJK SC"/>
        <family val="2"/>
      </rPr>
      <t xml:space="preserve">步：差距＝</t>
    </r>
    <r>
      <rPr>
        <sz val="9"/>
        <color rgb="FF595959"/>
        <rFont val="Arial"/>
        <family val="0"/>
        <charset val="1"/>
      </rPr>
      <t xml:space="preserve">0</t>
    </r>
  </si>
  <si>
    <t xml:space="preserve">C52</t>
  </si>
  <si>
    <r>
      <rPr>
        <sz val="10"/>
        <color rgb="FF000000"/>
        <rFont val="Arial"/>
        <family val="0"/>
        <charset val="1"/>
      </rPr>
      <t xml:space="preserve">Cost</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全成本 − 財報費用合計（</t>
    </r>
    <r>
      <rPr>
        <sz val="10"/>
        <color rgb="FF000000"/>
        <rFont val="Arial"/>
        <family val="0"/>
        <charset val="1"/>
      </rPr>
      <t xml:space="preserve">RMB </t>
    </r>
    <r>
      <rPr>
        <sz val="10"/>
        <color rgb="FF000000"/>
        <rFont val="Noto Sans CJK SC"/>
        <family val="2"/>
      </rPr>
      <t xml:space="preserve">億）</t>
    </r>
  </si>
  <si>
    <t xml:space="preserve">C53</t>
  </si>
  <si>
    <r>
      <rPr>
        <sz val="10"/>
        <color rgb="FF000000"/>
        <rFont val="Arial"/>
        <family val="0"/>
        <charset val="1"/>
      </rPr>
      <t xml:space="preserve">Cost</t>
    </r>
    <r>
      <rPr>
        <sz val="10"/>
        <color rgb="FF000000"/>
        <rFont val="Noto Sans CJK SC"/>
        <family val="2"/>
      </rPr>
      <t xml:space="preserve">：校準期非算力成本（財報殘差）</t>
    </r>
    <r>
      <rPr>
        <sz val="10"/>
        <color rgb="FF000000"/>
        <rFont val="Arial"/>
        <family val="0"/>
        <charset val="1"/>
      </rPr>
      <t xml:space="preserve">&lt; 0 </t>
    </r>
    <r>
      <rPr>
        <sz val="10"/>
        <color rgb="FF000000"/>
        <rFont val="Noto Sans CJK SC"/>
        <family val="2"/>
      </rPr>
      <t xml:space="preserve">的期數</t>
    </r>
  </si>
  <si>
    <r>
      <rPr>
        <sz val="9"/>
        <color rgb="FF595959"/>
        <rFont val="Noto Sans CJK SC"/>
        <family val="2"/>
      </rPr>
      <t xml:space="preserve">算力服務費估計（推論占比、研發算力占比）超過財報費用時轉 </t>
    </r>
    <r>
      <rPr>
        <sz val="9"/>
        <color rgb="FF595959"/>
        <rFont val="Arial"/>
        <family val="0"/>
        <charset val="1"/>
      </rPr>
      <t xml:space="preserve">ERR</t>
    </r>
  </si>
  <si>
    <t xml:space="preserve">C54</t>
  </si>
  <si>
    <r>
      <rPr>
        <sz val="10"/>
        <color rgb="FF000000"/>
        <rFont val="Arial"/>
        <family val="0"/>
        <charset val="1"/>
      </rPr>
      <t xml:space="preserve">η 2025 ∉</t>
    </r>
    <r>
      <rPr>
        <sz val="10"/>
        <color rgb="FF000000"/>
        <rFont val="Noto Sans CJK SC"/>
        <family val="2"/>
      </rPr>
      <t xml:space="preserve">［下限</t>
    </r>
    <r>
      <rPr>
        <sz val="10"/>
        <color rgb="FF000000"/>
        <rFont val="Arial"/>
        <family val="0"/>
        <charset val="1"/>
      </rPr>
      <t xml:space="preserve">, </t>
    </r>
    <r>
      <rPr>
        <sz val="10"/>
        <color rgb="FF000000"/>
        <rFont val="Noto Sans CJK SC"/>
        <family val="2"/>
      </rPr>
      <t xml:space="preserve">上限］</t>
    </r>
  </si>
  <si>
    <r>
      <rPr>
        <sz val="10"/>
        <color rgb="FF000000"/>
        <rFont val="Arial"/>
        <family val="0"/>
        <charset val="1"/>
      </rPr>
      <t xml:space="preserve">INP_079</t>
    </r>
    <r>
      <rPr>
        <sz val="10"/>
        <color rgb="FF000000"/>
        <rFont val="Noto Sans CJK SC"/>
        <family val="2"/>
      </rPr>
      <t xml:space="preserve">～</t>
    </r>
    <r>
      <rPr>
        <sz val="10"/>
        <color rgb="FF000000"/>
        <rFont val="Arial"/>
        <family val="0"/>
        <charset val="1"/>
      </rPr>
      <t xml:space="preserve">INP_080</t>
    </r>
  </si>
  <si>
    <r>
      <rPr>
        <sz val="9"/>
        <color rgb="FF595959"/>
        <rFont val="Arial"/>
        <family val="0"/>
        <charset val="1"/>
      </rPr>
      <t xml:space="preserve">η </t>
    </r>
    <r>
      <rPr>
        <sz val="9"/>
        <color rgb="FF595959"/>
        <rFont val="Noto Sans CJK SC"/>
        <family val="2"/>
      </rPr>
      <t xml:space="preserve">合理範圍 </t>
    </r>
    <r>
      <rPr>
        <sz val="9"/>
        <color rgb="FF595959"/>
        <rFont val="Arial"/>
        <family val="0"/>
        <charset val="1"/>
      </rPr>
      <t xml:space="preserve">WARN</t>
    </r>
    <r>
      <rPr>
        <sz val="9"/>
        <color rgb="FF595959"/>
        <rFont val="Noto Sans CJK SC"/>
        <family val="2"/>
      </rPr>
      <t xml:space="preserve">（</t>
    </r>
    <r>
      <rPr>
        <sz val="9"/>
        <color rgb="FF595959"/>
        <rFont val="Arial"/>
        <family val="0"/>
        <charset val="1"/>
      </rPr>
      <t xml:space="preserve">Inputs 0.1–1</t>
    </r>
    <r>
      <rPr>
        <sz val="9"/>
        <color rgb="FF595959"/>
        <rFont val="Noto Sans CJK SC"/>
        <family val="2"/>
      </rPr>
      <t xml:space="preserve">）；</t>
    </r>
    <r>
      <rPr>
        <sz val="9"/>
        <color rgb="FF595959"/>
        <rFont val="Arial"/>
        <family val="0"/>
        <charset val="1"/>
      </rPr>
      <t xml:space="preserve">&gt;1</t>
    </r>
    <r>
      <rPr>
        <sz val="9"/>
        <color rgb="FF595959"/>
        <rFont val="Noto Sans CJK SC"/>
        <family val="2"/>
      </rPr>
      <t xml:space="preserve">＝模型 </t>
    </r>
    <r>
      <rPr>
        <sz val="9"/>
        <color rgb="FF595959"/>
        <rFont val="Arial"/>
        <family val="0"/>
        <charset val="1"/>
      </rPr>
      <t xml:space="preserve">token </t>
    </r>
    <r>
      <rPr>
        <sz val="9"/>
        <color rgb="FF595959"/>
        <rFont val="Noto Sans CJK SC"/>
        <family val="2"/>
      </rPr>
      <t xml:space="preserve">量超過推論算力支出以 </t>
    </r>
    <r>
      <rPr>
        <sz val="9"/>
        <color rgb="FF595959"/>
        <rFont val="Arial"/>
        <family val="0"/>
        <charset val="1"/>
      </rPr>
      <t xml:space="preserve">TK </t>
    </r>
    <r>
      <rPr>
        <sz val="9"/>
        <color rgb="FF595959"/>
        <rFont val="Noto Sans CJK SC"/>
        <family val="2"/>
      </rPr>
      <t xml:space="preserve">產能買得到的量（見報告 </t>
    </r>
    <r>
      <rPr>
        <sz val="9"/>
        <color rgb="FF595959"/>
        <rFont val="Arial"/>
        <family val="0"/>
        <charset val="1"/>
      </rPr>
      <t xml:space="preserve">R4</t>
    </r>
    <r>
      <rPr>
        <sz val="9"/>
        <color rgb="FF595959"/>
        <rFont val="Noto Sans CJK SC"/>
        <family val="2"/>
      </rPr>
      <t xml:space="preserve">）</t>
    </r>
  </si>
  <si>
    <t xml:space="preserve">C55</t>
  </si>
  <si>
    <r>
      <rPr>
        <sz val="10"/>
        <color rgb="FF000000"/>
        <rFont val="Arial"/>
        <family val="0"/>
        <charset val="1"/>
      </rPr>
      <t xml:space="preserve">η 1H26 ∉</t>
    </r>
    <r>
      <rPr>
        <sz val="10"/>
        <color rgb="FF000000"/>
        <rFont val="Noto Sans CJK SC"/>
        <family val="2"/>
      </rPr>
      <t xml:space="preserve">［下限</t>
    </r>
    <r>
      <rPr>
        <sz val="10"/>
        <color rgb="FF000000"/>
        <rFont val="Arial"/>
        <family val="0"/>
        <charset val="1"/>
      </rPr>
      <t xml:space="preserve">, </t>
    </r>
    <r>
      <rPr>
        <sz val="10"/>
        <color rgb="FF000000"/>
        <rFont val="Noto Sans CJK SC"/>
        <family val="2"/>
      </rPr>
      <t xml:space="preserve">上限］</t>
    </r>
  </si>
  <si>
    <t xml:space="preserve">C56</t>
  </si>
  <si>
    <r>
      <rPr>
        <sz val="10"/>
        <color rgb="FF000000"/>
        <rFont val="Noto Sans CJK SC"/>
        <family val="2"/>
      </rPr>
      <t xml:space="preserve">國產晶片 </t>
    </r>
    <r>
      <rPr>
        <sz val="10"/>
        <color rgb="FF000000"/>
        <rFont val="Arial"/>
        <family val="0"/>
        <charset val="1"/>
      </rPr>
      <t xml:space="preserve">GW </t>
    </r>
    <r>
      <rPr>
        <sz val="10"/>
        <color rgb="FF000000"/>
        <rFont val="Noto Sans CJK SC"/>
        <family val="2"/>
      </rPr>
      <t xml:space="preserve">對照：模型 </t>
    </r>
    <r>
      <rPr>
        <sz val="10"/>
        <color rgb="FF000000"/>
        <rFont val="Arial"/>
        <family val="0"/>
        <charset val="1"/>
      </rPr>
      <t xml:space="preserve">2H26 </t>
    </r>
    <r>
      <rPr>
        <sz val="10"/>
        <color rgb="FF000000"/>
        <rFont val="Noto Sans CJK SC"/>
        <family val="2"/>
      </rPr>
      <t xml:space="preserve">國產供給 </t>
    </r>
    <r>
      <rPr>
        <sz val="10"/>
        <color rgb="FF000000"/>
        <rFont val="Arial"/>
        <family val="0"/>
        <charset val="1"/>
      </rPr>
      <t xml:space="preserve">GW ÷</t>
    </r>
    <r>
      <rPr>
        <sz val="10"/>
        <color rgb="FF000000"/>
        <rFont val="Noto Sans CJK SC"/>
        <family val="2"/>
      </rPr>
      <t xml:space="preserve">『</t>
    </r>
    <r>
      <rPr>
        <sz val="10"/>
        <color rgb="FF000000"/>
        <rFont val="Arial"/>
        <family val="0"/>
        <charset val="1"/>
      </rPr>
      <t xml:space="preserve">10 </t>
    </r>
    <r>
      <rPr>
        <sz val="10"/>
        <color rgb="FF000000"/>
        <rFont val="Noto Sans CJK SC"/>
        <family val="2"/>
      </rPr>
      <t xml:space="preserve">萬級國產晶片』換算 </t>
    </r>
    <r>
      <rPr>
        <sz val="10"/>
        <color rgb="FF000000"/>
        <rFont val="Arial"/>
        <family val="0"/>
        <charset val="1"/>
      </rPr>
      <t xml:space="preserve">GW − 1</t>
    </r>
  </si>
  <si>
    <r>
      <rPr>
        <sz val="9"/>
        <color rgb="FF595959"/>
        <rFont val="Noto Sans CJK SC"/>
        <family val="2"/>
      </rPr>
      <t xml:space="preserve">絕對值 </t>
    </r>
    <r>
      <rPr>
        <sz val="9"/>
        <color rgb="FF595959"/>
        <rFont val="Arial"/>
        <family val="0"/>
        <charset val="1"/>
      </rPr>
      <t xml:space="preserve">&gt;50% </t>
    </r>
    <r>
      <rPr>
        <sz val="9"/>
        <color rgb="FF595959"/>
        <rFont val="Noto Sans CJK SC"/>
        <family val="2"/>
      </rPr>
      <t xml:space="preserve">為 </t>
    </r>
    <r>
      <rPr>
        <sz val="9"/>
        <color rgb="FF595959"/>
        <rFont val="Arial"/>
        <family val="0"/>
        <charset val="1"/>
      </rPr>
      <t xml:space="preserve">WARN</t>
    </r>
    <r>
      <rPr>
        <sz val="9"/>
        <color rgb="FF595959"/>
        <rFont val="Noto Sans CJK SC"/>
        <family val="2"/>
      </rPr>
      <t xml:space="preserve">；只對照</t>
    </r>
  </si>
  <si>
    <t xml:space="preserve">C57</t>
  </si>
  <si>
    <r>
      <rPr>
        <sz val="10"/>
        <color rgb="FF000000"/>
        <rFont val="Noto Sans CJK SC"/>
        <family val="2"/>
      </rPr>
      <t xml:space="preserve">對照：</t>
    </r>
    <r>
      <rPr>
        <sz val="10"/>
        <color rgb="FF000000"/>
        <rFont val="Arial"/>
        <family val="0"/>
        <charset val="1"/>
      </rPr>
      <t xml:space="preserve">Coding Plan token GW ÷ </t>
    </r>
    <r>
      <rPr>
        <sz val="10"/>
        <color rgb="FF000000"/>
        <rFont val="Noto Sans CJK SC"/>
        <family val="2"/>
      </rPr>
      <t xml:space="preserve">支出換算推論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2025</t>
    </r>
    <r>
      <rPr>
        <sz val="10"/>
        <color rgb="FF000000"/>
        <rFont val="Noto Sans CJK SC"/>
        <family val="2"/>
      </rPr>
      <t xml:space="preserve">）</t>
    </r>
  </si>
  <si>
    <t xml:space="preserve">R4</t>
  </si>
  <si>
    <t xml:space="preserve">C58</t>
  </si>
  <si>
    <r>
      <rPr>
        <sz val="10"/>
        <color rgb="FF000000"/>
        <rFont val="Noto Sans CJK SC"/>
        <family val="2"/>
      </rPr>
      <t xml:space="preserve">對照：</t>
    </r>
    <r>
      <rPr>
        <sz val="10"/>
        <color rgb="FF000000"/>
        <rFont val="Arial"/>
        <family val="0"/>
        <charset val="1"/>
      </rPr>
      <t xml:space="preserve">Coding Plan token GW ÷ </t>
    </r>
    <r>
      <rPr>
        <sz val="10"/>
        <color rgb="FF000000"/>
        <rFont val="Noto Sans CJK SC"/>
        <family val="2"/>
      </rPr>
      <t xml:space="preserve">支出換算推論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1H26</t>
    </r>
    <r>
      <rPr>
        <sz val="10"/>
        <color rgb="FF000000"/>
        <rFont val="Noto Sans CJK SC"/>
        <family val="2"/>
      </rPr>
      <t xml:space="preserve">）</t>
    </r>
  </si>
  <si>
    <t xml:space="preserve">C59</t>
  </si>
  <si>
    <r>
      <rPr>
        <sz val="10"/>
        <color rgb="FF000000"/>
        <rFont val="Noto Sans CJK SC"/>
        <family val="2"/>
      </rPr>
      <t xml:space="preserve">對照：組合後每 </t>
    </r>
    <r>
      <rPr>
        <sz val="10"/>
        <color rgb="FF000000"/>
        <rFont val="Arial"/>
        <family val="0"/>
        <charset val="1"/>
      </rPr>
      <t xml:space="preserve">GW </t>
    </r>
    <r>
      <rPr>
        <sz val="10"/>
        <color rgb="FF000000"/>
        <rFont val="Noto Sans CJK SC"/>
        <family val="2"/>
      </rPr>
      <t xml:space="preserve">年價格 </t>
    </r>
    <r>
      <rPr>
        <sz val="10"/>
        <color rgb="FF000000"/>
        <rFont val="Arial"/>
        <family val="0"/>
        <charset val="1"/>
      </rPr>
      <t xml:space="preserve">1H26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億）</t>
    </r>
  </si>
  <si>
    <t xml:space="preserve">D9r</t>
  </si>
  <si>
    <t xml:space="preserve">C60</t>
  </si>
  <si>
    <r>
      <rPr>
        <sz val="10"/>
        <color rgb="FF000000"/>
        <rFont val="Noto Sans CJK SC"/>
        <family val="2"/>
      </rPr>
      <t xml:space="preserve">對照：研發 </t>
    </r>
    <r>
      <rPr>
        <sz val="10"/>
        <color rgb="FF000000"/>
        <rFont val="Arial"/>
        <family val="0"/>
        <charset val="1"/>
      </rPr>
      <t xml:space="preserve">GW 1H26</t>
    </r>
    <r>
      <rPr>
        <sz val="10"/>
        <color rgb="FF000000"/>
        <rFont val="Noto Sans CJK SC"/>
        <family val="2"/>
      </rPr>
      <t xml:space="preserve">（殘差）</t>
    </r>
    <r>
      <rPr>
        <sz val="10"/>
        <color rgb="FF000000"/>
        <rFont val="Arial"/>
        <family val="0"/>
        <charset val="1"/>
      </rPr>
      <t xml:space="preserve">÷ </t>
    </r>
    <r>
      <rPr>
        <sz val="10"/>
        <color rgb="FF000000"/>
        <rFont val="Noto Sans CJK SC"/>
        <family val="2"/>
      </rPr>
      <t xml:space="preserve">扣除法研發算力費換算 </t>
    </r>
    <r>
      <rPr>
        <sz val="10"/>
        <color rgb="FF000000"/>
        <rFont val="Arial"/>
        <family val="0"/>
        <charset val="1"/>
      </rPr>
      <t xml:space="preserve">GW</t>
    </r>
  </si>
  <si>
    <r>
      <rPr>
        <sz val="9"/>
        <color rgb="FF595959"/>
        <rFont val="Arial"/>
        <family val="0"/>
        <charset val="1"/>
      </rPr>
      <t xml:space="preserve">D12 </t>
    </r>
    <r>
      <rPr>
        <sz val="9"/>
        <color rgb="FF595959"/>
        <rFont val="Noto Sans CJK SC"/>
        <family val="2"/>
      </rPr>
      <t xml:space="preserve">獨立對照</t>
    </r>
  </si>
  <si>
    <t xml:space="preserve">C61</t>
  </si>
  <si>
    <r>
      <rPr>
        <sz val="10"/>
        <color rgb="FF000000"/>
        <rFont val="Noto Sans CJK SC"/>
        <family val="2"/>
      </rPr>
      <t xml:space="preserve">對照：雲端毛利率 </t>
    </r>
    <r>
      <rPr>
        <sz val="10"/>
        <color rgb="FF000000"/>
        <rFont val="Arial"/>
        <family val="0"/>
        <charset val="1"/>
      </rPr>
      <t xml:space="preserve">2025</t>
    </r>
    <r>
      <rPr>
        <sz val="10"/>
        <color rgb="FF000000"/>
        <rFont val="Noto Sans CJK SC"/>
        <family val="2"/>
      </rPr>
      <t xml:space="preserve">（供應商）</t>
    </r>
  </si>
  <si>
    <r>
      <rPr>
        <sz val="9"/>
        <color rgb="FF595959"/>
        <rFont val="Arial"/>
        <family val="0"/>
        <charset val="1"/>
      </rPr>
      <t xml:space="preserve">Z5b </t>
    </r>
    <r>
      <rPr>
        <sz val="9"/>
        <color rgb="FF595959"/>
        <rFont val="Noto Sans CJK SC"/>
        <family val="2"/>
      </rPr>
      <t xml:space="preserve">起顯示名為『供應商推算毛利率』</t>
    </r>
  </si>
  <si>
    <t xml:space="preserve">C62</t>
  </si>
  <si>
    <r>
      <rPr>
        <sz val="10"/>
        <color rgb="FF000000"/>
        <rFont val="Noto Sans CJK SC"/>
        <family val="2"/>
      </rPr>
      <t xml:space="preserve">預覽：</t>
    </r>
    <r>
      <rPr>
        <sz val="10"/>
        <color rgb="FF000000"/>
        <rFont val="Arial"/>
        <family val="0"/>
        <charset val="1"/>
      </rPr>
      <t xml:space="preserve">2026 </t>
    </r>
    <r>
      <rPr>
        <sz val="10"/>
        <color rgb="FF000000"/>
        <rFont val="Noto Sans CJK SC"/>
        <family val="2"/>
      </rPr>
      <t xml:space="preserve">供給 </t>
    </r>
    <r>
      <rPr>
        <sz val="10"/>
        <color rgb="FF000000"/>
        <rFont val="Arial"/>
        <family val="0"/>
        <charset val="1"/>
      </rPr>
      <t xml:space="preserve">GW</t>
    </r>
  </si>
  <si>
    <t xml:space="preserve">C63</t>
  </si>
  <si>
    <r>
      <rPr>
        <sz val="10"/>
        <color rgb="FF000000"/>
        <rFont val="Noto Sans CJK SC"/>
        <family val="2"/>
      </rPr>
      <t xml:space="preserve">預覽：</t>
    </r>
    <r>
      <rPr>
        <sz val="10"/>
        <color rgb="FF000000"/>
        <rFont val="Arial"/>
        <family val="0"/>
        <charset val="1"/>
      </rPr>
      <t xml:space="preserve">2030 </t>
    </r>
    <r>
      <rPr>
        <sz val="10"/>
        <color rgb="FF000000"/>
        <rFont val="Noto Sans CJK SC"/>
        <family val="2"/>
      </rPr>
      <t xml:space="preserve">供給 </t>
    </r>
    <r>
      <rPr>
        <sz val="10"/>
        <color rgb="FF000000"/>
        <rFont val="Arial"/>
        <family val="0"/>
        <charset val="1"/>
      </rPr>
      <t xml:space="preserve">GW</t>
    </r>
  </si>
  <si>
    <t xml:space="preserve">C64</t>
  </si>
  <si>
    <r>
      <rPr>
        <sz val="10"/>
        <color rgb="FF000000"/>
        <rFont val="Noto Sans CJK SC"/>
        <family val="2"/>
      </rPr>
      <t xml:space="preserve">預覽：</t>
    </r>
    <r>
      <rPr>
        <sz val="10"/>
        <color rgb="FF000000"/>
        <rFont val="Arial"/>
        <family val="0"/>
        <charset val="1"/>
      </rPr>
      <t xml:space="preserve">2030 </t>
    </r>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t>
    </r>
    <r>
      <rPr>
        <sz val="10"/>
        <color rgb="FF000000"/>
        <rFont val="Noto Sans CJK SC"/>
        <family val="2"/>
      </rPr>
      <t xml:space="preserve">差額（</t>
    </r>
    <r>
      <rPr>
        <sz val="10"/>
        <color rgb="FF000000"/>
        <rFont val="Arial"/>
        <family val="0"/>
        <charset val="1"/>
      </rPr>
      <t xml:space="preserve">RMB </t>
    </r>
    <r>
      <rPr>
        <sz val="10"/>
        <color rgb="FF000000"/>
        <rFont val="Noto Sans CJK SC"/>
        <family val="2"/>
      </rPr>
      <t xml:space="preserve">億）</t>
    </r>
  </si>
  <si>
    <t xml:space="preserve">命題</t>
  </si>
  <si>
    <t xml:space="preserve">C65</t>
  </si>
  <si>
    <r>
      <rPr>
        <sz val="10"/>
        <color rgb="FF000000"/>
        <rFont val="Noto Sans CJK SC"/>
        <family val="2"/>
      </rPr>
      <t xml:space="preserve">預覽：</t>
    </r>
    <r>
      <rPr>
        <sz val="10"/>
        <color rgb="FF000000"/>
        <rFont val="Arial"/>
        <family val="0"/>
        <charset val="1"/>
      </rPr>
      <t xml:space="preserve">2030 </t>
    </r>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t>
    </r>
    <r>
      <rPr>
        <sz val="10"/>
        <color rgb="FF000000"/>
        <rFont val="Noto Sans CJK SC"/>
        <family val="2"/>
      </rPr>
      <t xml:space="preserve">雲端口徑差額（</t>
    </r>
    <r>
      <rPr>
        <sz val="10"/>
        <color rgb="FF000000"/>
        <rFont val="Arial"/>
        <family val="0"/>
        <charset val="1"/>
      </rPr>
      <t xml:space="preserve">RMB </t>
    </r>
    <r>
      <rPr>
        <sz val="10"/>
        <color rgb="FF000000"/>
        <rFont val="Noto Sans CJK SC"/>
        <family val="2"/>
      </rPr>
      <t xml:space="preserve">億）</t>
    </r>
  </si>
  <si>
    <t xml:space="preserve">C66</t>
  </si>
  <si>
    <r>
      <rPr>
        <sz val="10"/>
        <color rgb="FF000000"/>
        <rFont val="Noto Sans CJK SC"/>
        <family val="2"/>
      </rPr>
      <t xml:space="preserve">預覽：</t>
    </r>
    <r>
      <rPr>
        <sz val="10"/>
        <color rgb="FF000000"/>
        <rFont val="Arial"/>
        <family val="0"/>
        <charset val="1"/>
      </rPr>
      <t xml:space="preserve">2030 </t>
    </r>
    <r>
      <rPr>
        <sz val="10"/>
        <color rgb="FF000000"/>
        <rFont val="Noto Sans CJK SC"/>
        <family val="2"/>
      </rPr>
      <t xml:space="preserve">覆蓋率</t>
    </r>
  </si>
  <si>
    <t xml:space="preserve">C67</t>
  </si>
  <si>
    <r>
      <rPr>
        <sz val="10"/>
        <color rgb="FF000000"/>
        <rFont val="Noto Sans CJK SC"/>
        <family val="2"/>
      </rPr>
      <t xml:space="preserve">對照：</t>
    </r>
    <r>
      <rPr>
        <sz val="10"/>
        <color rgb="FF000000"/>
        <rFont val="Arial"/>
        <family val="0"/>
        <charset val="1"/>
      </rPr>
      <t xml:space="preserve">2030 </t>
    </r>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t>
    </r>
    <r>
      <rPr>
        <sz val="10"/>
        <color rgb="FF000000"/>
        <rFont val="Noto Sans CJK SC"/>
        <family val="2"/>
      </rPr>
      <t xml:space="preserve">差額：智譜（</t>
    </r>
    <r>
      <rPr>
        <sz val="10"/>
        <color rgb="FF000000"/>
        <rFont val="Arial"/>
        <family val="0"/>
        <charset val="1"/>
      </rPr>
      <t xml:space="preserve">$B</t>
    </r>
    <r>
      <rPr>
        <sz val="10"/>
        <color rgb="FF000000"/>
        <rFont val="Noto Sans CJK SC"/>
        <family val="2"/>
      </rPr>
      <t xml:space="preserve">）− </t>
    </r>
    <r>
      <rPr>
        <sz val="10"/>
        <color rgb="FF000000"/>
        <rFont val="Arial"/>
        <family val="0"/>
        <charset val="1"/>
      </rPr>
      <t xml:space="preserve">OpenAI v0.6</t>
    </r>
    <r>
      <rPr>
        <sz val="10"/>
        <color rgb="FF000000"/>
        <rFont val="Noto Sans CJK SC"/>
        <family val="2"/>
      </rPr>
      <t xml:space="preserve">（</t>
    </r>
    <r>
      <rPr>
        <sz val="10"/>
        <color rgb="FF000000"/>
        <rFont val="Arial"/>
        <family val="0"/>
        <charset val="1"/>
      </rPr>
      <t xml:space="preserve">$B</t>
    </r>
    <r>
      <rPr>
        <sz val="10"/>
        <color rgb="FF000000"/>
        <rFont val="Noto Sans CJK SC"/>
        <family val="2"/>
      </rPr>
      <t xml:space="preserve">）</t>
    </r>
  </si>
  <si>
    <r>
      <rPr>
        <sz val="9"/>
        <color rgb="FF595959"/>
        <rFont val="Arial"/>
        <family val="0"/>
        <charset val="1"/>
      </rPr>
      <t xml:space="preserve">OAI_Link</t>
    </r>
    <r>
      <rPr>
        <sz val="9"/>
        <color rgb="FF595959"/>
        <rFont val="Noto Sans CJK SC"/>
        <family val="2"/>
      </rPr>
      <t xml:space="preserve">；只並排</t>
    </r>
  </si>
  <si>
    <t xml:space="preserve">C68</t>
  </si>
  <si>
    <r>
      <rPr>
        <sz val="10"/>
        <color rgb="FF000000"/>
        <rFont val="Arial"/>
        <family val="0"/>
        <charset val="1"/>
      </rPr>
      <t xml:space="preserve">Funding</t>
    </r>
    <r>
      <rPr>
        <sz val="10"/>
        <color rgb="FF000000"/>
        <rFont val="Noto Sans CJK SC"/>
        <family val="2"/>
      </rPr>
      <t xml:space="preserve">：自由現金流恆等式（營收 − 算力 − 本地化交付 − 非算力 ＋ 其他收益 − 利息；各期最大絕對差）</t>
    </r>
  </si>
  <si>
    <r>
      <rPr>
        <sz val="9"/>
        <color rgb="FF595959"/>
        <rFont val="Noto Sans CJK SC"/>
        <family val="2"/>
      </rPr>
      <t xml:space="preserve">工作單 </t>
    </r>
    <r>
      <rPr>
        <sz val="9"/>
        <color rgb="FF595959"/>
        <rFont val="Arial"/>
        <family val="0"/>
        <charset val="1"/>
      </rPr>
      <t xml:space="preserve">Z4 </t>
    </r>
    <r>
      <rPr>
        <sz val="9"/>
        <color rgb="FF595959"/>
        <rFont val="Noto Sans CJK SC"/>
        <family val="2"/>
      </rPr>
      <t xml:space="preserve">第 </t>
    </r>
    <r>
      <rPr>
        <sz val="9"/>
        <color rgb="FF595959"/>
        <rFont val="Arial"/>
        <family val="0"/>
        <charset val="1"/>
      </rPr>
      <t xml:space="preserve">1 </t>
    </r>
    <r>
      <rPr>
        <sz val="9"/>
        <color rgb="FF595959"/>
        <rFont val="Noto Sans CJK SC"/>
        <family val="2"/>
      </rPr>
      <t xml:space="preserve">步</t>
    </r>
  </si>
  <si>
    <t xml:space="preserve">C69</t>
  </si>
  <si>
    <r>
      <rPr>
        <sz val="10"/>
        <color rgb="FF000000"/>
        <rFont val="Arial"/>
        <family val="0"/>
        <charset val="1"/>
      </rPr>
      <t xml:space="preserve">Funding</t>
    </r>
    <r>
      <rPr>
        <sz val="10"/>
        <color rgb="FF000000"/>
        <rFont val="Noto Sans CJK SC"/>
        <family val="2"/>
      </rPr>
      <t xml:space="preserve">：差額 − </t>
    </r>
    <r>
      <rPr>
        <sz val="10"/>
        <color rgb="FF000000"/>
        <rFont val="Arial"/>
        <family val="0"/>
        <charset val="1"/>
      </rPr>
      <t xml:space="preserve">Cost COST_GapCash</t>
    </r>
    <r>
      <rPr>
        <sz val="10"/>
        <color rgb="FF000000"/>
        <rFont val="Noto Sans CJK SC"/>
        <family val="2"/>
      </rPr>
      <t xml:space="preserve">（年度欄最大絕對差）</t>
    </r>
  </si>
  <si>
    <t xml:space="preserve">融資缺口起點＝命題全成本口徑</t>
  </si>
  <si>
    <t xml:space="preserve">C70</t>
  </si>
  <si>
    <r>
      <rPr>
        <sz val="10"/>
        <color rgb="FF000000"/>
        <rFont val="Arial"/>
        <family val="0"/>
        <charset val="1"/>
      </rPr>
      <t xml:space="preserve">Funding</t>
    </r>
    <r>
      <rPr>
        <sz val="10"/>
        <color rgb="FF000000"/>
        <rFont val="Noto Sans CJK SC"/>
        <family val="2"/>
      </rPr>
      <t xml:space="preserve">：</t>
    </r>
    <r>
      <rPr>
        <sz val="10"/>
        <color rgb="FF000000"/>
        <rFont val="Arial"/>
        <family val="0"/>
        <charset val="1"/>
      </rPr>
      <t xml:space="preserve">2026 </t>
    </r>
    <r>
      <rPr>
        <sz val="10"/>
        <color rgb="FF000000"/>
        <rFont val="Noto Sans CJK SC"/>
        <family val="2"/>
      </rPr>
      <t xml:space="preserve">營收（</t>
    </r>
    <r>
      <rPr>
        <sz val="10"/>
        <color rgb="FF000000"/>
        <rFont val="Arial"/>
        <family val="0"/>
        <charset val="1"/>
      </rPr>
      <t xml:space="preserve">1H</t>
    </r>
    <r>
      <rPr>
        <sz val="10"/>
        <color rgb="FF000000"/>
        <rFont val="Noto Sans CJK SC"/>
        <family val="2"/>
      </rPr>
      <t xml:space="preserve">＋</t>
    </r>
    <r>
      <rPr>
        <sz val="10"/>
        <color rgb="FF000000"/>
        <rFont val="Arial"/>
        <family val="0"/>
        <charset val="1"/>
      </rPr>
      <t xml:space="preserve">2H</t>
    </r>
    <r>
      <rPr>
        <sz val="10"/>
        <color rgb="FF000000"/>
        <rFont val="Noto Sans CJK SC"/>
        <family val="2"/>
      </rPr>
      <t xml:space="preserve">）− </t>
    </r>
    <r>
      <rPr>
        <sz val="10"/>
        <color rgb="FF000000"/>
        <rFont val="Arial"/>
        <family val="0"/>
        <charset val="1"/>
      </rPr>
      <t xml:space="preserve">Revenue REV_NetCapped 2026</t>
    </r>
  </si>
  <si>
    <t xml:space="preserve">C71</t>
  </si>
  <si>
    <r>
      <rPr>
        <sz val="10"/>
        <color rgb="FF000000"/>
        <rFont val="Arial"/>
        <family val="0"/>
        <charset val="1"/>
      </rPr>
      <t xml:space="preserve">Funding</t>
    </r>
    <r>
      <rPr>
        <sz val="10"/>
        <color rgb="FF000000"/>
        <rFont val="Noto Sans CJK SC"/>
        <family val="2"/>
      </rPr>
      <t xml:space="preserve">：</t>
    </r>
    <r>
      <rPr>
        <sz val="10"/>
        <color rgb="FF000000"/>
        <rFont val="Arial"/>
        <family val="0"/>
        <charset val="1"/>
      </rPr>
      <t xml:space="preserve">2026 </t>
    </r>
    <r>
      <rPr>
        <sz val="10"/>
        <color rgb="FF000000"/>
        <rFont val="Noto Sans CJK SC"/>
        <family val="2"/>
      </rPr>
      <t xml:space="preserve">流量列 </t>
    </r>
    <r>
      <rPr>
        <sz val="10"/>
        <color rgb="FF000000"/>
        <rFont val="Arial"/>
        <family val="0"/>
        <charset val="1"/>
      </rPr>
      <t xml:space="preserve">E −</t>
    </r>
    <r>
      <rPr>
        <sz val="10"/>
        <color rgb="FF000000"/>
        <rFont val="Noto Sans CJK SC"/>
        <family val="2"/>
      </rPr>
      <t xml:space="preserve">（</t>
    </r>
    <r>
      <rPr>
        <sz val="10"/>
        <color rgb="FF000000"/>
        <rFont val="Arial"/>
        <family val="0"/>
        <charset val="1"/>
      </rPr>
      <t xml:space="preserve">K</t>
    </r>
    <r>
      <rPr>
        <sz val="10"/>
        <color rgb="FF000000"/>
        <rFont val="Noto Sans CJK SC"/>
        <family val="2"/>
      </rPr>
      <t xml:space="preserve">＋</t>
    </r>
    <r>
      <rPr>
        <sz val="10"/>
        <color rgb="FF000000"/>
        <rFont val="Arial"/>
        <family val="0"/>
        <charset val="1"/>
      </rPr>
      <t xml:space="preserve">L</t>
    </r>
    <r>
      <rPr>
        <sz val="10"/>
        <color rgb="FF000000"/>
        <rFont val="Noto Sans CJK SC"/>
        <family val="2"/>
      </rPr>
      <t xml:space="preserve">）最大絕對差</t>
    </r>
  </si>
  <si>
    <t xml:space="preserve">C72</t>
  </si>
  <si>
    <r>
      <rPr>
        <sz val="10"/>
        <color rgb="FF000000"/>
        <rFont val="Arial"/>
        <family val="0"/>
        <charset val="1"/>
      </rPr>
      <t xml:space="preserve">Funding</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期末現金 − 中期報告（</t>
    </r>
    <r>
      <rPr>
        <sz val="10"/>
        <color rgb="FF000000"/>
        <rFont val="Arial"/>
        <family val="0"/>
        <charset val="1"/>
      </rPr>
      <t xml:space="preserve">SRC_ZP_211</t>
    </r>
    <r>
      <rPr>
        <sz val="10"/>
        <color rgb="FF000000"/>
        <rFont val="Noto Sans CJK SC"/>
        <family val="2"/>
      </rPr>
      <t xml:space="preserve">）</t>
    </r>
  </si>
  <si>
    <r>
      <rPr>
        <sz val="9"/>
        <color rgb="FF595959"/>
        <rFont val="Arial"/>
        <family val="0"/>
        <charset val="1"/>
      </rPr>
      <t xml:space="preserve">1H26 </t>
    </r>
    <r>
      <rPr>
        <sz val="9"/>
        <color rgb="FF595959"/>
        <rFont val="Noto Sans CJK SC"/>
        <family val="2"/>
      </rPr>
      <t xml:space="preserve">對帳差使期末＝實際</t>
    </r>
  </si>
  <si>
    <t xml:space="preserve">C73</t>
  </si>
  <si>
    <r>
      <rPr>
        <sz val="10"/>
        <color rgb="FF000000"/>
        <rFont val="Arial"/>
        <family val="0"/>
        <charset val="1"/>
      </rPr>
      <t xml:space="preserve">Funding</t>
    </r>
    <r>
      <rPr>
        <sz val="10"/>
        <color rgb="FF000000"/>
        <rFont val="Noto Sans CJK SC"/>
        <family val="2"/>
      </rPr>
      <t xml:space="preserve">：外部資金需求 </t>
    </r>
    <r>
      <rPr>
        <sz val="10"/>
        <color rgb="FF000000"/>
        <rFont val="Arial"/>
        <family val="0"/>
        <charset val="1"/>
      </rPr>
      <t xml:space="preserve">&lt; 0 </t>
    </r>
    <r>
      <rPr>
        <sz val="10"/>
        <color rgb="FF000000"/>
        <rFont val="Noto Sans CJK SC"/>
        <family val="2"/>
      </rPr>
      <t xml:space="preserve">的年數</t>
    </r>
  </si>
  <si>
    <t xml:space="preserve">C74</t>
  </si>
  <si>
    <r>
      <rPr>
        <sz val="10"/>
        <color rgb="FF000000"/>
        <rFont val="Arial"/>
        <family val="0"/>
        <charset val="1"/>
      </rPr>
      <t xml:space="preserve">Funding</t>
    </r>
    <r>
      <rPr>
        <sz val="10"/>
        <color rgb="FF000000"/>
        <rFont val="Noto Sans CJK SC"/>
        <family val="2"/>
      </rPr>
      <t xml:space="preserve">：年底現金 </t>
    </r>
    <r>
      <rPr>
        <sz val="10"/>
        <color rgb="FF000000"/>
        <rFont val="Arial"/>
        <family val="0"/>
        <charset val="1"/>
      </rPr>
      <t xml:space="preserve">&lt; </t>
    </r>
    <r>
      <rPr>
        <sz val="10"/>
        <color rgb="FF000000"/>
        <rFont val="Noto Sans CJK SC"/>
        <family val="2"/>
      </rPr>
      <t xml:space="preserve">最低現金的年數（補足後）</t>
    </r>
  </si>
  <si>
    <r>
      <rPr>
        <sz val="9"/>
        <color rgb="FF595959"/>
        <rFont val="Noto Sans CJK SC"/>
        <family val="2"/>
      </rPr>
      <t xml:space="preserve">外部資金需求補足至最低現金（容差 </t>
    </r>
    <r>
      <rPr>
        <sz val="9"/>
        <color rgb="FF595959"/>
        <rFont val="Arial"/>
        <family val="0"/>
        <charset val="1"/>
      </rPr>
      <t xml:space="preserve">1e-8 </t>
    </r>
    <r>
      <rPr>
        <sz val="9"/>
        <color rgb="FF595959"/>
        <rFont val="Noto Sans CJK SC"/>
        <family val="2"/>
      </rPr>
      <t xml:space="preserve">億）</t>
    </r>
  </si>
  <si>
    <t xml:space="preserve">C75</t>
  </si>
  <si>
    <r>
      <rPr>
        <sz val="10"/>
        <color rgb="FF000000"/>
        <rFont val="Arial"/>
        <family val="0"/>
        <charset val="1"/>
      </rPr>
      <t xml:space="preserve">Funding</t>
    </r>
    <r>
      <rPr>
        <sz val="10"/>
        <color rgb="FF000000"/>
        <rFont val="Noto Sans CJK SC"/>
        <family val="2"/>
      </rPr>
      <t xml:space="preserve">：轉股情境累計外部資金需求 </t>
    </r>
    <r>
      <rPr>
        <sz val="10"/>
        <color rgb="FF000000"/>
        <rFont val="Arial"/>
        <family val="0"/>
        <charset val="1"/>
      </rPr>
      <t xml:space="preserve">&gt; </t>
    </r>
    <r>
      <rPr>
        <sz val="10"/>
        <color rgb="FF000000"/>
        <rFont val="Noto Sans CJK SC"/>
        <family val="2"/>
      </rPr>
      <t xml:space="preserve">基準的年數</t>
    </r>
  </si>
  <si>
    <t xml:space="preserve">轉股不需償還，需求不得增加</t>
  </si>
  <si>
    <t xml:space="preserve">C76</t>
  </si>
  <si>
    <r>
      <rPr>
        <sz val="10"/>
        <color rgb="FF000000"/>
        <rFont val="Arial"/>
        <family val="0"/>
        <charset val="1"/>
      </rPr>
      <t xml:space="preserve">Funding</t>
    </r>
    <r>
      <rPr>
        <sz val="10"/>
        <color rgb="FF000000"/>
        <rFont val="Noto Sans CJK SC"/>
        <family val="2"/>
      </rPr>
      <t xml:space="preserve">：</t>
    </r>
    <r>
      <rPr>
        <sz val="10"/>
        <color rgb="FF000000"/>
        <rFont val="Arial"/>
        <family val="0"/>
        <charset val="1"/>
      </rPr>
      <t xml:space="preserve">2026 </t>
    </r>
    <r>
      <rPr>
        <sz val="10"/>
        <color rgb="FF000000"/>
        <rFont val="Noto Sans CJK SC"/>
        <family val="2"/>
      </rPr>
      <t xml:space="preserve">年底現金 − </t>
    </r>
    <r>
      <rPr>
        <sz val="10"/>
        <color rgb="FF000000"/>
        <rFont val="Arial"/>
        <family val="0"/>
        <charset val="1"/>
      </rPr>
      <t xml:space="preserve">2H26 </t>
    </r>
    <r>
      <rPr>
        <sz val="10"/>
        <color rgb="FF000000"/>
        <rFont val="Noto Sans CJK SC"/>
        <family val="2"/>
      </rPr>
      <t xml:space="preserve">期末現金</t>
    </r>
  </si>
  <si>
    <t xml:space="preserve">C77</t>
  </si>
  <si>
    <r>
      <rPr>
        <sz val="10"/>
        <color rgb="FF000000"/>
        <rFont val="Arial"/>
        <family val="0"/>
        <charset val="1"/>
      </rPr>
      <t xml:space="preserve">Reverse</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目標營收 − 正向（應為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為實際）</t>
    </r>
  </si>
  <si>
    <t xml:space="preserve">C78</t>
  </si>
  <si>
    <r>
      <rPr>
        <sz val="10"/>
        <color rgb="FF000000"/>
        <rFont val="Arial"/>
        <family val="0"/>
        <charset val="1"/>
      </rPr>
      <t xml:space="preserve">Reverse</t>
    </r>
    <r>
      <rPr>
        <sz val="10"/>
        <color rgb="FF000000"/>
        <rFont val="Noto Sans CJK SC"/>
        <family val="2"/>
      </rPr>
      <t xml:space="preserve">：共識登錄筆數 </t>
    </r>
    <r>
      <rPr>
        <sz val="10"/>
        <color rgb="FF000000"/>
        <rFont val="Arial"/>
        <family val="0"/>
        <charset val="1"/>
      </rPr>
      <t xml:space="preserve">&lt; 1 </t>
    </r>
    <r>
      <rPr>
        <sz val="10"/>
        <color rgb="FF000000"/>
        <rFont val="Noto Sans CJK SC"/>
        <family val="2"/>
      </rPr>
      <t xml:space="preserve">的年數</t>
    </r>
  </si>
  <si>
    <t xml:space="preserve">C79</t>
  </si>
  <si>
    <r>
      <rPr>
        <sz val="10"/>
        <color rgb="FF000000"/>
        <rFont val="Arial"/>
        <family val="0"/>
        <charset val="1"/>
      </rPr>
      <t xml:space="preserve">Reverse</t>
    </r>
    <r>
      <rPr>
        <sz val="10"/>
        <color rgb="FF000000"/>
        <rFont val="Noto Sans CJK SC"/>
        <family val="2"/>
      </rPr>
      <t xml:space="preserve">：共識 最低 ≤ 平均 ≤ 最高 不成立的年數</t>
    </r>
  </si>
  <si>
    <t xml:space="preserve">C80</t>
  </si>
  <si>
    <r>
      <rPr>
        <sz val="10"/>
        <color rgb="FF000000"/>
        <rFont val="Noto Sans CJK SC"/>
        <family val="2"/>
      </rPr>
      <t xml:space="preserve">對照：</t>
    </r>
    <r>
      <rPr>
        <sz val="10"/>
        <color rgb="FF000000"/>
        <rFont val="Arial"/>
        <family val="0"/>
        <charset val="1"/>
      </rPr>
      <t xml:space="preserve">1H26 </t>
    </r>
    <r>
      <rPr>
        <sz val="10"/>
        <color rgb="FF000000"/>
        <rFont val="Noto Sans CJK SC"/>
        <family val="2"/>
      </rPr>
      <t xml:space="preserve">其他現金流（對帳差，</t>
    </r>
    <r>
      <rPr>
        <sz val="10"/>
        <color rgb="FF000000"/>
        <rFont val="Arial"/>
        <family val="0"/>
        <charset val="1"/>
      </rPr>
      <t xml:space="preserve">RMB </t>
    </r>
    <r>
      <rPr>
        <sz val="10"/>
        <color rgb="FF000000"/>
        <rFont val="Noto Sans CJK SC"/>
        <family val="2"/>
      </rPr>
      <t xml:space="preserve">億）</t>
    </r>
  </si>
  <si>
    <t xml:space="preserve">營運資金、租賃、匯兌等未建模項目</t>
  </si>
  <si>
    <t xml:space="preserve">C81</t>
  </si>
  <si>
    <r>
      <rPr>
        <sz val="10"/>
        <color rgb="FF000000"/>
        <rFont val="Noto Sans CJK SC"/>
        <family val="2"/>
      </rPr>
      <t xml:space="preserve">對照：</t>
    </r>
    <r>
      <rPr>
        <sz val="10"/>
        <color rgb="FF000000"/>
        <rFont val="Arial"/>
        <family val="0"/>
        <charset val="1"/>
      </rPr>
      <t xml:space="preserve">2025 </t>
    </r>
    <r>
      <rPr>
        <sz val="10"/>
        <color rgb="FF000000"/>
        <rFont val="Noto Sans CJK SC"/>
        <family val="2"/>
      </rPr>
      <t xml:space="preserve">現金對帳差異（隱含 − 模型，</t>
    </r>
    <r>
      <rPr>
        <sz val="10"/>
        <color rgb="FF000000"/>
        <rFont val="Arial"/>
        <family val="0"/>
        <charset val="1"/>
      </rPr>
      <t xml:space="preserve">RMB </t>
    </r>
    <r>
      <rPr>
        <sz val="10"/>
        <color rgb="FF000000"/>
        <rFont val="Noto Sans CJK SC"/>
        <family val="2"/>
      </rPr>
      <t xml:space="preserve">億）</t>
    </r>
  </si>
  <si>
    <t xml:space="preserve">含理財、定期存款、上市前融資到帳時點</t>
  </si>
  <si>
    <t xml:space="preserve">C82</t>
  </si>
  <si>
    <r>
      <rPr>
        <sz val="10"/>
        <color rgb="FF000000"/>
        <rFont val="Noto Sans CJK SC"/>
        <family val="2"/>
      </rPr>
      <t xml:space="preserve">對照：</t>
    </r>
    <r>
      <rPr>
        <sz val="10"/>
        <color rgb="FF000000"/>
        <rFont val="Arial"/>
        <family val="0"/>
        <charset val="1"/>
      </rPr>
      <t xml:space="preserve">2026-07 </t>
    </r>
    <r>
      <rPr>
        <sz val="10"/>
        <color rgb="FF000000"/>
        <rFont val="Noto Sans CJK SC"/>
        <family val="2"/>
      </rPr>
      <t xml:space="preserve">配售已動用 </t>
    </r>
    <r>
      <rPr>
        <sz val="10"/>
        <color rgb="FF000000"/>
        <rFont val="Arial"/>
        <family val="0"/>
        <charset val="1"/>
      </rPr>
      <t xml:space="preserve">÷ </t>
    </r>
    <r>
      <rPr>
        <sz val="10"/>
        <color rgb="FF000000"/>
        <rFont val="Noto Sans CJK SC"/>
        <family val="2"/>
      </rPr>
      <t xml:space="preserve">模型同期流出</t>
    </r>
  </si>
  <si>
    <r>
      <rPr>
        <sz val="9"/>
        <color rgb="FF595959"/>
        <rFont val="Noto Sans CJK SC"/>
        <family val="2"/>
      </rPr>
      <t xml:space="preserve">公司實際動用速度 </t>
    </r>
    <r>
      <rPr>
        <sz val="9"/>
        <color rgb="FF595959"/>
        <rFont val="Arial"/>
        <family val="0"/>
        <charset val="1"/>
      </rPr>
      <t xml:space="preserve">vs </t>
    </r>
    <r>
      <rPr>
        <sz val="9"/>
        <color rgb="FF595959"/>
        <rFont val="Noto Sans CJK SC"/>
        <family val="2"/>
      </rPr>
      <t xml:space="preserve">模型</t>
    </r>
  </si>
  <si>
    <t xml:space="preserve">C83</t>
  </si>
  <si>
    <r>
      <rPr>
        <sz val="10"/>
        <color rgb="FF000000"/>
        <rFont val="Noto Sans CJK SC"/>
        <family val="2"/>
      </rPr>
      <t xml:space="preserve">預覽：累計外部資金需求 </t>
    </r>
    <r>
      <rPr>
        <sz val="10"/>
        <color rgb="FF000000"/>
        <rFont val="Arial"/>
        <family val="0"/>
        <charset val="1"/>
      </rPr>
      <t xml:space="preserve">2030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億）</t>
    </r>
  </si>
  <si>
    <t xml:space="preserve">C84</t>
  </si>
  <si>
    <r>
      <rPr>
        <sz val="10"/>
        <color rgb="FF000000"/>
        <rFont val="Noto Sans CJK SC"/>
        <family val="2"/>
      </rPr>
      <t xml:space="preserve">預覽：累計外部資金需求 </t>
    </r>
    <r>
      <rPr>
        <sz val="10"/>
        <color rgb="FF000000"/>
        <rFont val="Arial"/>
        <family val="0"/>
        <charset val="1"/>
      </rPr>
      <t xml:space="preserve">2030</t>
    </r>
    <r>
      <rPr>
        <sz val="10"/>
        <color rgb="FF000000"/>
        <rFont val="Noto Sans CJK SC"/>
        <family val="2"/>
      </rPr>
      <t xml:space="preserve">（轉股情境）</t>
    </r>
  </si>
  <si>
    <t xml:space="preserve">C85</t>
  </si>
  <si>
    <t xml:space="preserve">預覽：首次缺口年</t>
  </si>
  <si>
    <t xml:space="preserve">C86</t>
  </si>
  <si>
    <r>
      <rPr>
        <sz val="10"/>
        <color rgb="FF000000"/>
        <rFont val="Noto Sans CJK SC"/>
        <family val="2"/>
      </rPr>
      <t xml:space="preserve">預覽：</t>
    </r>
    <r>
      <rPr>
        <sz val="10"/>
        <color rgb="FF000000"/>
        <rFont val="Arial"/>
        <family val="0"/>
        <charset val="1"/>
      </rPr>
      <t xml:space="preserve">2030 </t>
    </r>
    <r>
      <rPr>
        <sz val="10"/>
        <color rgb="FF000000"/>
        <rFont val="Noto Sans CJK SC"/>
        <family val="2"/>
      </rPr>
      <t xml:space="preserve">年底現金（</t>
    </r>
    <r>
      <rPr>
        <sz val="10"/>
        <color rgb="FF000000"/>
        <rFont val="Arial"/>
        <family val="0"/>
        <charset val="1"/>
      </rPr>
      <t xml:space="preserve">RMB </t>
    </r>
    <r>
      <rPr>
        <sz val="10"/>
        <color rgb="FF000000"/>
        <rFont val="Noto Sans CJK SC"/>
        <family val="2"/>
      </rPr>
      <t xml:space="preserve">億）</t>
    </r>
  </si>
  <si>
    <t xml:space="preserve">C87</t>
  </si>
  <si>
    <t xml:space="preserve">預覽：只靠已到位融資撐不過的第一年</t>
  </si>
  <si>
    <t xml:space="preserve">C88</t>
  </si>
  <si>
    <r>
      <rPr>
        <sz val="10"/>
        <color rgb="FF000000"/>
        <rFont val="Noto Sans CJK SC"/>
        <family val="2"/>
      </rPr>
      <t xml:space="preserve">預覽：反向累計外部資金需求 </t>
    </r>
    <r>
      <rPr>
        <sz val="10"/>
        <color rgb="FF000000"/>
        <rFont val="Arial"/>
        <family val="0"/>
        <charset val="1"/>
      </rPr>
      <t xml:space="preserve">2030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億）</t>
    </r>
  </si>
  <si>
    <t xml:space="preserve">只對照</t>
  </si>
  <si>
    <t xml:space="preserve">C89</t>
  </si>
  <si>
    <r>
      <rPr>
        <sz val="10"/>
        <color rgb="FF000000"/>
        <rFont val="Noto Sans CJK SC"/>
        <family val="2"/>
      </rPr>
      <t xml:space="preserve">預覽：市值隱含營收（</t>
    </r>
    <r>
      <rPr>
        <sz val="10"/>
        <color rgb="FF000000"/>
        <rFont val="Arial"/>
        <family val="0"/>
        <charset val="1"/>
      </rPr>
      <t xml:space="preserve">RMB </t>
    </r>
    <r>
      <rPr>
        <sz val="10"/>
        <color rgb="FF000000"/>
        <rFont val="Noto Sans CJK SC"/>
        <family val="2"/>
      </rPr>
      <t xml:space="preserve">億）</t>
    </r>
  </si>
  <si>
    <t xml:space="preserve">D22r</t>
  </si>
  <si>
    <t xml:space="preserve">C90</t>
  </si>
  <si>
    <t xml:space="preserve">預覽：正向營收首次達到市值隱含營收的年度</t>
  </si>
  <si>
    <t xml:space="preserve">C91</t>
  </si>
  <si>
    <r>
      <rPr>
        <sz val="10"/>
        <color rgb="FF000000"/>
        <rFont val="Noto Sans CJK SC"/>
        <family val="2"/>
      </rPr>
      <t xml:space="preserve">對照：</t>
    </r>
    <r>
      <rPr>
        <sz val="10"/>
        <color rgb="FF000000"/>
        <rFont val="Arial"/>
        <family val="0"/>
        <charset val="1"/>
      </rPr>
      <t xml:space="preserve">MiniMax EV ÷ </t>
    </r>
    <r>
      <rPr>
        <sz val="10"/>
        <color rgb="FF000000"/>
        <rFont val="Noto Sans CJK SC"/>
        <family val="2"/>
      </rPr>
      <t xml:space="preserve">年化營收</t>
    </r>
  </si>
  <si>
    <t xml:space="preserve">C92</t>
  </si>
  <si>
    <r>
      <rPr>
        <sz val="10"/>
        <color rgb="FF000000"/>
        <rFont val="Noto Sans CJK SC"/>
        <family val="2"/>
      </rPr>
      <t xml:space="preserve">對照：</t>
    </r>
    <r>
      <rPr>
        <sz val="10"/>
        <color rgb="FF000000"/>
        <rFont val="Arial"/>
        <family val="0"/>
        <charset val="1"/>
      </rPr>
      <t xml:space="preserve">2030 </t>
    </r>
    <r>
      <rPr>
        <sz val="10"/>
        <color rgb="FF000000"/>
        <rFont val="Noto Sans CJK SC"/>
        <family val="2"/>
      </rPr>
      <t xml:space="preserve">累計外部資金需求：智譜（</t>
    </r>
    <r>
      <rPr>
        <sz val="10"/>
        <color rgb="FF000000"/>
        <rFont val="Arial"/>
        <family val="0"/>
        <charset val="1"/>
      </rPr>
      <t xml:space="preserve">$B</t>
    </r>
    <r>
      <rPr>
        <sz val="10"/>
        <color rgb="FF000000"/>
        <rFont val="Noto Sans CJK SC"/>
        <family val="2"/>
      </rPr>
      <t xml:space="preserve">）− </t>
    </r>
    <r>
      <rPr>
        <sz val="10"/>
        <color rgb="FF000000"/>
        <rFont val="Arial"/>
        <family val="0"/>
        <charset val="1"/>
      </rPr>
      <t xml:space="preserve">OpenAI v0.6</t>
    </r>
    <r>
      <rPr>
        <sz val="10"/>
        <color rgb="FF000000"/>
        <rFont val="Noto Sans CJK SC"/>
        <family val="2"/>
      </rPr>
      <t xml:space="preserve">（</t>
    </r>
    <r>
      <rPr>
        <sz val="10"/>
        <color rgb="FF000000"/>
        <rFont val="Arial"/>
        <family val="0"/>
        <charset val="1"/>
      </rPr>
      <t xml:space="preserve">$B</t>
    </r>
    <r>
      <rPr>
        <sz val="10"/>
        <color rgb="FF000000"/>
        <rFont val="Noto Sans CJK SC"/>
        <family val="2"/>
      </rPr>
      <t xml:space="preserve">）</t>
    </r>
  </si>
  <si>
    <t xml:space="preserve">C93</t>
  </si>
  <si>
    <r>
      <rPr>
        <sz val="10"/>
        <color rgb="FF000000"/>
        <rFont val="Arial"/>
        <family val="0"/>
        <charset val="1"/>
      </rPr>
      <t xml:space="preserve">Cost</t>
    </r>
    <r>
      <rPr>
        <sz val="10"/>
        <color rgb="FF000000"/>
        <rFont val="Noto Sans CJK SC"/>
        <family val="2"/>
      </rPr>
      <t xml:space="preserve">：</t>
    </r>
    <r>
      <rPr>
        <sz val="10"/>
        <color rgb="FF000000"/>
        <rFont val="Arial"/>
        <family val="0"/>
        <charset val="1"/>
      </rPr>
      <t xml:space="preserve">2H26 </t>
    </r>
    <r>
      <rPr>
        <sz val="10"/>
        <color rgb="FF000000"/>
        <rFont val="Noto Sans CJK SC"/>
        <family val="2"/>
      </rPr>
      <t xml:space="preserve">起供應商推算毛利 </t>
    </r>
    <r>
      <rPr>
        <sz val="10"/>
        <color rgb="FF000000"/>
        <rFont val="Arial"/>
        <family val="0"/>
        <charset val="1"/>
      </rPr>
      <t xml:space="preserve">&lt; 0 </t>
    </r>
    <r>
      <rPr>
        <sz val="10"/>
        <color rgb="FF000000"/>
        <rFont val="Noto Sans CJK SC"/>
        <family val="2"/>
      </rPr>
      <t xml:space="preserve">的期數（</t>
    </r>
    <r>
      <rPr>
        <sz val="10"/>
        <color rgb="FF000000"/>
        <rFont val="Arial"/>
        <family val="0"/>
        <charset val="1"/>
      </rPr>
      <t xml:space="preserve">Z5b V1</t>
    </r>
    <r>
      <rPr>
        <sz val="10"/>
        <color rgb="FF000000"/>
        <rFont val="Noto Sans CJK SC"/>
        <family val="2"/>
      </rPr>
      <t xml:space="preserve">：租價下限）</t>
    </r>
  </si>
  <si>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租價 ≥ 供應商持有成本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＋最低毛利）</t>
    </r>
  </si>
  <si>
    <t xml:space="preserve">C94</t>
  </si>
  <si>
    <r>
      <rPr>
        <sz val="10"/>
        <color rgb="FF000000"/>
        <rFont val="Arial"/>
        <family val="0"/>
        <charset val="1"/>
      </rPr>
      <t xml:space="preserve">r2 P1</t>
    </r>
    <r>
      <rPr>
        <sz val="10"/>
        <color rgb="FF000000"/>
        <rFont val="Noto Sans CJK SC"/>
        <family val="2"/>
      </rPr>
      <t xml:space="preserve">：</t>
    </r>
    <r>
      <rPr>
        <sz val="10"/>
        <color rgb="FF000000"/>
        <rFont val="Arial"/>
        <family val="0"/>
        <charset val="1"/>
      </rPr>
      <t xml:space="preserve">η </t>
    </r>
    <r>
      <rPr>
        <sz val="10"/>
        <color rgb="FF000000"/>
        <rFont val="Noto Sans CJK SC"/>
        <family val="2"/>
      </rPr>
      <t xml:space="preserve">上調（研發殘差觸及訓練最低占比）的校準期數</t>
    </r>
  </si>
  <si>
    <r>
      <rPr>
        <sz val="9"/>
        <color rgb="FF595959"/>
        <rFont val="Noto Sans CJK SC"/>
        <family val="2"/>
      </rPr>
      <t xml:space="preserve">工作單 </t>
    </r>
    <r>
      <rPr>
        <sz val="9"/>
        <color rgb="FF595959"/>
        <rFont val="Arial"/>
        <family val="0"/>
        <charset val="1"/>
      </rPr>
      <t xml:space="preserve">P1</t>
    </r>
    <r>
      <rPr>
        <sz val="9"/>
        <color rgb="FF595959"/>
        <rFont val="Noto Sans CJK SC"/>
        <family val="2"/>
      </rPr>
      <t xml:space="preserve">：</t>
    </r>
    <r>
      <rPr>
        <sz val="9"/>
        <color rgb="FF595959"/>
        <rFont val="Arial"/>
        <family val="0"/>
        <charset val="1"/>
      </rPr>
      <t xml:space="preserve">η </t>
    </r>
    <r>
      <rPr>
        <sz val="9"/>
        <color rgb="FF595959"/>
        <rFont val="Noto Sans CJK SC"/>
        <family val="2"/>
      </rPr>
      <t xml:space="preserve">基準 </t>
    </r>
    <r>
      <rPr>
        <sz val="9"/>
        <color rgb="FF595959"/>
        <rFont val="Arial"/>
        <family val="0"/>
        <charset val="1"/>
      </rPr>
      <t xml:space="preserve">1</t>
    </r>
    <r>
      <rPr>
        <sz val="9"/>
        <color rgb="FF595959"/>
        <rFont val="Noto Sans CJK SC"/>
        <family val="2"/>
      </rPr>
      <t xml:space="preserve">；</t>
    </r>
    <r>
      <rPr>
        <sz val="9"/>
        <color rgb="FF595959"/>
        <rFont val="Arial"/>
        <family val="0"/>
        <charset val="1"/>
      </rPr>
      <t xml:space="preserve">&gt;0</t>
    </r>
    <r>
      <rPr>
        <sz val="9"/>
        <color rgb="FF595959"/>
        <rFont val="Noto Sans CJK SC"/>
        <family val="2"/>
      </rPr>
      <t xml:space="preserve">＝以 </t>
    </r>
    <r>
      <rPr>
        <sz val="9"/>
        <color rgb="FF595959"/>
        <rFont val="Arial"/>
        <family val="0"/>
        <charset val="1"/>
      </rPr>
      <t xml:space="preserve">TK </t>
    </r>
    <r>
      <rPr>
        <sz val="9"/>
        <color rgb="FF595959"/>
        <rFont val="Noto Sans CJK SC"/>
        <family val="2"/>
      </rPr>
      <t xml:space="preserve">物理計，</t>
    </r>
    <r>
      <rPr>
        <sz val="9"/>
        <color rgb="FF595959"/>
        <rFont val="Arial"/>
        <family val="0"/>
        <charset val="1"/>
      </rPr>
      <t xml:space="preserve">token </t>
    </r>
    <r>
      <rPr>
        <sz val="9"/>
        <color rgb="FF595959"/>
        <rFont val="Noto Sans CJK SC"/>
        <family val="2"/>
      </rPr>
      <t xml:space="preserve">換算 </t>
    </r>
    <r>
      <rPr>
        <sz val="9"/>
        <color rgb="FF595959"/>
        <rFont val="Arial"/>
        <family val="0"/>
        <charset val="1"/>
      </rPr>
      <t xml:space="preserve">GW </t>
    </r>
    <r>
      <rPr>
        <sz val="9"/>
        <color rgb="FF595959"/>
        <rFont val="Noto Sans CJK SC"/>
        <family val="2"/>
      </rPr>
      <t xml:space="preserve">超過供給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訓練最低占比），</t>
    </r>
    <r>
      <rPr>
        <sz val="9"/>
        <color rgb="FF595959"/>
        <rFont val="Arial"/>
        <family val="0"/>
        <charset val="1"/>
      </rPr>
      <t xml:space="preserve">η </t>
    </r>
    <r>
      <rPr>
        <sz val="9"/>
        <color rgb="FF595959"/>
        <rFont val="Noto Sans CJK SC"/>
        <family val="2"/>
      </rPr>
      <t xml:space="preserve">上調使殘差＝最低占比（見報告）</t>
    </r>
  </si>
  <si>
    <t xml:space="preserve">C95</t>
  </si>
  <si>
    <r>
      <rPr>
        <sz val="10"/>
        <color rgb="FF000000"/>
        <rFont val="Noto Sans CJK SC"/>
        <family val="2"/>
      </rPr>
      <t xml:space="preserve">對照：研發 </t>
    </r>
    <r>
      <rPr>
        <sz val="10"/>
        <color rgb="FF000000"/>
        <rFont val="Arial"/>
        <family val="0"/>
        <charset val="1"/>
      </rPr>
      <t xml:space="preserve">GW 1H26</t>
    </r>
    <r>
      <rPr>
        <sz val="10"/>
        <color rgb="FF000000"/>
        <rFont val="Noto Sans CJK SC"/>
        <family val="2"/>
      </rPr>
      <t xml:space="preserve">（殘差）</t>
    </r>
    <r>
      <rPr>
        <sz val="10"/>
        <color rgb="FF000000"/>
        <rFont val="Arial"/>
        <family val="0"/>
        <charset val="1"/>
      </rPr>
      <t xml:space="preserve">÷ </t>
    </r>
    <r>
      <rPr>
        <sz val="10"/>
        <color rgb="FF000000"/>
        <rFont val="Noto Sans CJK SC"/>
        <family val="2"/>
      </rPr>
      <t xml:space="preserve">研發項下算力費換算 </t>
    </r>
    <r>
      <rPr>
        <sz val="10"/>
        <color rgb="FF000000"/>
        <rFont val="Arial"/>
        <family val="0"/>
        <charset val="1"/>
      </rPr>
      <t xml:space="preserve">GW</t>
    </r>
  </si>
  <si>
    <r>
      <rPr>
        <sz val="9"/>
        <color rgb="FF595959"/>
        <rFont val="Arial"/>
        <family val="0"/>
        <charset val="1"/>
      </rPr>
      <t xml:space="preserve">r2 P1</t>
    </r>
    <r>
      <rPr>
        <sz val="9"/>
        <color rgb="FF595959"/>
        <rFont val="Noto Sans CJK SC"/>
        <family val="2"/>
      </rPr>
      <t xml:space="preserve">：研發科目算力費含推論，比值 </t>
    </r>
    <r>
      <rPr>
        <sz val="9"/>
        <color rgb="FF595959"/>
        <rFont val="Arial"/>
        <family val="0"/>
        <charset val="1"/>
      </rPr>
      <t xml:space="preserve">&lt;1</t>
    </r>
  </si>
  <si>
    <t xml:space="preserve">C96</t>
  </si>
  <si>
    <r>
      <rPr>
        <sz val="10"/>
        <color rgb="FF000000"/>
        <rFont val="Arial"/>
        <family val="0"/>
        <charset val="1"/>
      </rPr>
      <t xml:space="preserve">TK_Link </t>
    </r>
    <r>
      <rPr>
        <sz val="10"/>
        <color rgb="FF000000"/>
        <rFont val="Noto Sans CJK SC"/>
        <family val="2"/>
      </rPr>
      <t xml:space="preserve">具名名稱數（</t>
    </r>
    <r>
      <rPr>
        <sz val="10"/>
        <color rgb="FF000000"/>
        <rFont val="Arial"/>
        <family val="0"/>
        <charset val="1"/>
      </rPr>
      <t xml:space="preserve">v0.1.1</t>
    </r>
    <r>
      <rPr>
        <sz val="10"/>
        <color rgb="FF000000"/>
        <rFont val="Noto Sans CJK SC"/>
        <family val="2"/>
      </rPr>
      <t xml:space="preserve">：原 </t>
    </r>
    <r>
      <rPr>
        <sz val="10"/>
        <color rgb="FF000000"/>
        <rFont val="Arial"/>
        <family val="0"/>
        <charset val="1"/>
      </rPr>
      <t xml:space="preserve">63 </t>
    </r>
    <r>
      <rPr>
        <sz val="10"/>
        <color rgb="FF000000"/>
        <rFont val="Noto Sans CJK SC"/>
        <family val="2"/>
      </rPr>
      <t xml:space="preserve">名＋智譜新增 </t>
    </r>
    <r>
      <rPr>
        <sz val="10"/>
        <color rgb="FF000000"/>
        <rFont val="Arial"/>
        <family val="0"/>
        <charset val="1"/>
      </rPr>
      <t xml:space="preserve">11 </t>
    </r>
    <r>
      <rPr>
        <sz val="10"/>
        <color rgb="FF000000"/>
        <rFont val="Noto Sans CJK SC"/>
        <family val="2"/>
      </rPr>
      <t xml:space="preserve">名＋</t>
    </r>
    <r>
      <rPr>
        <sz val="10"/>
        <color rgb="FF000000"/>
        <rFont val="Arial"/>
        <family val="0"/>
        <charset val="1"/>
      </rPr>
      <t xml:space="preserve">RNG_ 3 </t>
    </r>
    <r>
      <rPr>
        <sz val="10"/>
        <color rgb="FF000000"/>
        <rFont val="Noto Sans CJK SC"/>
        <family val="2"/>
      </rPr>
      <t xml:space="preserve">名）</t>
    </r>
  </si>
  <si>
    <r>
      <rPr>
        <sz val="9"/>
        <color rgb="FF595959"/>
        <rFont val="Noto Sans CJK SC"/>
        <family val="2"/>
      </rPr>
      <t xml:space="preserve">取自 </t>
    </r>
    <r>
      <rPr>
        <sz val="9"/>
        <color rgb="FF595959"/>
        <rFont val="Arial"/>
        <family val="0"/>
        <charset val="1"/>
      </rPr>
      <t xml:space="preserve">Tokenomics master CURRENT</t>
    </r>
  </si>
  <si>
    <t xml:space="preserve">C97</t>
  </si>
  <si>
    <r>
      <rPr>
        <sz val="10"/>
        <color rgb="FF000000"/>
        <rFont val="Arial"/>
        <family val="0"/>
        <charset val="1"/>
      </rPr>
      <t xml:space="preserve">v0.1.1 </t>
    </r>
    <r>
      <rPr>
        <sz val="10"/>
        <color rgb="FF000000"/>
        <rFont val="Noto Sans CJK SC"/>
        <family val="2"/>
      </rPr>
      <t xml:space="preserve">對照：</t>
    </r>
    <r>
      <rPr>
        <sz val="10"/>
        <color rgb="FF000000"/>
        <rFont val="Arial"/>
        <family val="0"/>
        <charset val="1"/>
      </rPr>
      <t xml:space="preserve">TK IF_AllocRDGW </t>
    </r>
    <r>
      <rPr>
        <sz val="10"/>
        <color rgb="FF000000"/>
        <rFont val="Noto Sans CJK SC"/>
        <family val="2"/>
      </rPr>
      <t xml:space="preserve">區間下限（</t>
    </r>
    <r>
      <rPr>
        <sz val="10"/>
        <color rgb="FF000000"/>
        <rFont val="Arial"/>
        <family val="0"/>
        <charset val="1"/>
      </rPr>
      <t xml:space="preserve">RNG_IF_AllocRDGW_Lo</t>
    </r>
    <r>
      <rPr>
        <sz val="10"/>
        <color rgb="FF000000"/>
        <rFont val="Noto Sans CJK SC"/>
        <family val="2"/>
      </rPr>
      <t xml:space="preserve">，</t>
    </r>
    <r>
      <rPr>
        <sz val="10"/>
        <color rgb="FF000000"/>
        <rFont val="Arial"/>
        <family val="0"/>
        <charset val="1"/>
      </rPr>
      <t xml:space="preserve">GW·</t>
    </r>
    <r>
      <rPr>
        <sz val="10"/>
        <color rgb="FF000000"/>
        <rFont val="Noto Sans CJK SC"/>
        <family val="2"/>
      </rPr>
      <t xml:space="preserve">年）</t>
    </r>
  </si>
  <si>
    <r>
      <rPr>
        <sz val="9"/>
        <color rgb="FF595959"/>
        <rFont val="Arial"/>
        <family val="0"/>
        <charset val="1"/>
      </rPr>
      <t xml:space="preserve">v13.0 </t>
    </r>
    <r>
      <rPr>
        <sz val="9"/>
        <color rgb="FF595959"/>
        <rFont val="Noto Sans CJK SC"/>
        <family val="2"/>
      </rPr>
      <t xml:space="preserve">起 </t>
    </r>
    <r>
      <rPr>
        <sz val="9"/>
        <color rgb="FF595959"/>
        <rFont val="Arial"/>
        <family val="0"/>
        <charset val="1"/>
      </rPr>
      <t xml:space="preserve">IF_AllocRDGW </t>
    </r>
    <r>
      <rPr>
        <sz val="9"/>
        <color rgb="FF595959"/>
        <rFont val="Noto Sans CJK SC"/>
        <family val="2"/>
      </rPr>
      <t xml:space="preserve">視為區間；基準仍用點值（工作單 </t>
    </r>
    <r>
      <rPr>
        <sz val="9"/>
        <color rgb="FF595959"/>
        <rFont val="Arial"/>
        <family val="0"/>
        <charset val="1"/>
      </rPr>
      <t xml:space="preserve">v0.1.1 </t>
    </r>
    <r>
      <rPr>
        <sz val="9"/>
        <color rgb="FF595959"/>
        <rFont val="Noto Sans CJK SC"/>
        <family val="2"/>
      </rPr>
      <t xml:space="preserve">第 </t>
    </r>
    <r>
      <rPr>
        <sz val="9"/>
        <color rgb="FF595959"/>
        <rFont val="Arial"/>
        <family val="0"/>
        <charset val="1"/>
      </rPr>
      <t xml:space="preserve">2 </t>
    </r>
    <r>
      <rPr>
        <sz val="9"/>
        <color rgb="FF595959"/>
        <rFont val="Noto Sans CJK SC"/>
        <family val="2"/>
      </rPr>
      <t xml:space="preserve">節 </t>
    </r>
    <r>
      <rPr>
        <sz val="9"/>
        <color rgb="FF595959"/>
        <rFont val="Arial"/>
        <family val="0"/>
        <charset val="1"/>
      </rPr>
      <t xml:space="preserve">4</t>
    </r>
    <r>
      <rPr>
        <sz val="9"/>
        <color rgb="FF595959"/>
        <rFont val="Noto Sans CJK SC"/>
        <family val="2"/>
      </rPr>
      <t xml:space="preserve">）</t>
    </r>
  </si>
  <si>
    <t xml:space="preserve">C98</t>
  </si>
  <si>
    <r>
      <rPr>
        <sz val="10"/>
        <color rgb="FF000000"/>
        <rFont val="Arial"/>
        <family val="0"/>
        <charset val="1"/>
      </rPr>
      <t xml:space="preserve">v0.1.1 </t>
    </r>
    <r>
      <rPr>
        <sz val="10"/>
        <color rgb="FF000000"/>
        <rFont val="Noto Sans CJK SC"/>
        <family val="2"/>
      </rPr>
      <t xml:space="preserve">對照：</t>
    </r>
    <r>
      <rPr>
        <sz val="10"/>
        <color rgb="FF000000"/>
        <rFont val="Arial"/>
        <family val="0"/>
        <charset val="1"/>
      </rPr>
      <t xml:space="preserve">TK IF_AllocRDGW </t>
    </r>
    <r>
      <rPr>
        <sz val="10"/>
        <color rgb="FF000000"/>
        <rFont val="Noto Sans CJK SC"/>
        <family val="2"/>
      </rPr>
      <t xml:space="preserve">區間上限（</t>
    </r>
    <r>
      <rPr>
        <sz val="10"/>
        <color rgb="FF000000"/>
        <rFont val="Arial"/>
        <family val="0"/>
        <charset val="1"/>
      </rPr>
      <t xml:space="preserve">RNG_IF_AllocRDGW_Hi</t>
    </r>
    <r>
      <rPr>
        <sz val="10"/>
        <color rgb="FF000000"/>
        <rFont val="Noto Sans CJK SC"/>
        <family val="2"/>
      </rPr>
      <t xml:space="preserve">，</t>
    </r>
    <r>
      <rPr>
        <sz val="10"/>
        <color rgb="FF000000"/>
        <rFont val="Arial"/>
        <family val="0"/>
        <charset val="1"/>
      </rPr>
      <t xml:space="preserve">GW·</t>
    </r>
    <r>
      <rPr>
        <sz val="10"/>
        <color rgb="FF000000"/>
        <rFont val="Noto Sans CJK SC"/>
        <family val="2"/>
      </rPr>
      <t xml:space="preserve">年）</t>
    </r>
  </si>
  <si>
    <t xml:space="preserve">C99</t>
  </si>
  <si>
    <r>
      <rPr>
        <sz val="10"/>
        <color rgb="FF000000"/>
        <rFont val="Arial"/>
        <family val="0"/>
        <charset val="1"/>
      </rPr>
      <t xml:space="preserve">v0.1.1</t>
    </r>
    <r>
      <rPr>
        <sz val="10"/>
        <color rgb="FF000000"/>
        <rFont val="Noto Sans CJK SC"/>
        <family val="2"/>
      </rPr>
      <t xml:space="preserve">：</t>
    </r>
    <r>
      <rPr>
        <sz val="10"/>
        <color rgb="FF000000"/>
        <rFont val="Arial"/>
        <family val="0"/>
        <charset val="1"/>
      </rPr>
      <t xml:space="preserve">Tokenomics </t>
    </r>
    <r>
      <rPr>
        <sz val="10"/>
        <color rgb="FF000000"/>
        <rFont val="Noto Sans CJK SC"/>
        <family val="2"/>
      </rPr>
      <t xml:space="preserve">區間時效旗標 </t>
    </r>
    <r>
      <rPr>
        <sz val="10"/>
        <color rgb="FF000000"/>
        <rFont val="Arial"/>
        <family val="0"/>
        <charset val="1"/>
      </rPr>
      <t xml:space="preserve">RNG_StaleFlag</t>
    </r>
    <r>
      <rPr>
        <sz val="10"/>
        <color rgb="FF000000"/>
        <rFont val="Noto Sans CJK SC"/>
        <family val="2"/>
      </rPr>
      <t xml:space="preserve">＝『一致』</t>
    </r>
  </si>
  <si>
    <r>
      <rPr>
        <sz val="9"/>
        <color rgb="FF595959"/>
        <rFont val="Noto Sans CJK SC"/>
        <family val="2"/>
      </rPr>
      <t xml:space="preserve">使用 </t>
    </r>
    <r>
      <rPr>
        <sz val="9"/>
        <color rgb="FF595959"/>
        <rFont val="Arial"/>
        <family val="0"/>
        <charset val="1"/>
      </rPr>
      <t xml:space="preserve">IF_AllocRDGW </t>
    </r>
    <r>
      <rPr>
        <sz val="9"/>
        <color rgb="FF595959"/>
        <rFont val="Noto Sans CJK SC"/>
        <family val="2"/>
      </rPr>
      <t xml:space="preserve">區間前須確認（</t>
    </r>
    <r>
      <rPr>
        <sz val="9"/>
        <color rgb="FF595959"/>
        <rFont val="Arial"/>
        <family val="0"/>
        <charset val="1"/>
      </rPr>
      <t xml:space="preserve">Tokenomics </t>
    </r>
    <r>
      <rPr>
        <sz val="9"/>
        <color rgb="FF595959"/>
        <rFont val="Noto Sans CJK SC"/>
        <family val="2"/>
      </rPr>
      <t xml:space="preserve">規定）；不一致時此列 </t>
    </r>
    <r>
      <rPr>
        <sz val="9"/>
        <color rgb="FF595959"/>
        <rFont val="Arial"/>
        <family val="0"/>
        <charset val="1"/>
      </rPr>
      <t xml:space="preserve">ERR</t>
    </r>
  </si>
  <si>
    <t xml:space="preserve">C100</t>
  </si>
  <si>
    <r>
      <rPr>
        <sz val="10"/>
        <color rgb="FF000000"/>
        <rFont val="Arial"/>
        <family val="0"/>
        <charset val="1"/>
      </rPr>
      <t xml:space="preserve">v0.1.2 </t>
    </r>
    <r>
      <rPr>
        <sz val="10"/>
        <color rgb="FF000000"/>
        <rFont val="Noto Sans CJK SC"/>
        <family val="2"/>
      </rPr>
      <t xml:space="preserve">分部對帳：</t>
    </r>
    <r>
      <rPr>
        <sz val="10"/>
        <color rgb="FF000000"/>
        <rFont val="Arial"/>
        <family val="0"/>
        <charset val="1"/>
      </rPr>
      <t xml:space="preserve">FY2025 </t>
    </r>
    <r>
      <rPr>
        <sz val="10"/>
        <color rgb="FF000000"/>
        <rFont val="Noto Sans CJK SC"/>
        <family val="2"/>
      </rPr>
      <t xml:space="preserve">本地化部署（模型 − 年報）絕對差 ≤ 容差</t>
    </r>
  </si>
  <si>
    <r>
      <rPr>
        <sz val="9"/>
        <color rgb="FF595959"/>
        <rFont val="Arial"/>
        <family val="0"/>
        <charset val="1"/>
      </rPr>
      <t xml:space="preserve">Revenue </t>
    </r>
    <r>
      <rPr>
        <sz val="9"/>
        <color rgb="FF595959"/>
        <rFont val="Noto Sans CJK SC"/>
        <family val="2"/>
      </rPr>
      <t xml:space="preserve">第七節；容差 </t>
    </r>
    <r>
      <rPr>
        <sz val="9"/>
        <color rgb="FF595959"/>
        <rFont val="Arial"/>
        <family val="0"/>
        <charset val="1"/>
      </rPr>
      <t xml:space="preserve">Inputs seg_recon_tol</t>
    </r>
  </si>
  <si>
    <t xml:space="preserve">C101</t>
  </si>
  <si>
    <r>
      <rPr>
        <sz val="10"/>
        <color rgb="FF000000"/>
        <rFont val="Arial"/>
        <family val="0"/>
        <charset val="1"/>
      </rPr>
      <t xml:space="preserve">v0.1.2 </t>
    </r>
    <r>
      <rPr>
        <sz val="10"/>
        <color rgb="FF000000"/>
        <rFont val="Noto Sans CJK SC"/>
        <family val="2"/>
      </rPr>
      <t xml:space="preserve">分部對帳：</t>
    </r>
    <r>
      <rPr>
        <sz val="10"/>
        <color rgb="FF000000"/>
        <rFont val="Arial"/>
        <family val="0"/>
        <charset val="1"/>
      </rPr>
      <t xml:space="preserve">FY2025 </t>
    </r>
    <r>
      <rPr>
        <sz val="10"/>
        <color rgb="FF000000"/>
        <rFont val="Noto Sans CJK SC"/>
        <family val="2"/>
      </rPr>
      <t xml:space="preserve">雲端部署（模型 − 年報）絕對差 ≤ 容差</t>
    </r>
  </si>
  <si>
    <t xml:space="preserve">C102</t>
  </si>
  <si>
    <r>
      <rPr>
        <sz val="10"/>
        <color rgb="FF000000"/>
        <rFont val="Arial"/>
        <family val="0"/>
        <charset val="1"/>
      </rPr>
      <t xml:space="preserve">v0.1.2 </t>
    </r>
    <r>
      <rPr>
        <sz val="10"/>
        <color rgb="FF000000"/>
        <rFont val="Noto Sans CJK SC"/>
        <family val="2"/>
      </rPr>
      <t xml:space="preserve">分部對帳：</t>
    </r>
    <r>
      <rPr>
        <sz val="10"/>
        <color rgb="FF000000"/>
        <rFont val="Arial"/>
        <family val="0"/>
        <charset val="1"/>
      </rPr>
      <t xml:space="preserve">1H2026 </t>
    </r>
    <r>
      <rPr>
        <sz val="10"/>
        <color rgb="FF000000"/>
        <rFont val="Noto Sans CJK SC"/>
        <family val="2"/>
      </rPr>
      <t xml:space="preserve">本地化部署（②＋③＋④ − 中期公告）絕對差 ≤ 容差</t>
    </r>
  </si>
  <si>
    <r>
      <rPr>
        <sz val="9"/>
        <color rgb="FF595959"/>
        <rFont val="Noto Sans CJK SC"/>
        <family val="2"/>
      </rPr>
      <t xml:space="preserve">同上；</t>
    </r>
    <r>
      <rPr>
        <sz val="9"/>
        <color rgb="FF595959"/>
        <rFont val="Arial"/>
        <family val="0"/>
        <charset val="1"/>
      </rPr>
      <t xml:space="preserve">SRC_ZP_178 </t>
    </r>
    <r>
      <rPr>
        <sz val="9"/>
        <color rgb="FF595959"/>
        <rFont val="Noto Sans CJK SC"/>
        <family val="2"/>
      </rPr>
      <t xml:space="preserve">對 </t>
    </r>
    <r>
      <rPr>
        <sz val="9"/>
        <color rgb="FF595959"/>
        <rFont val="Arial"/>
        <family val="0"/>
        <charset val="1"/>
      </rPr>
      <t xml:space="preserve">171</t>
    </r>
    <r>
      <rPr>
        <sz val="9"/>
        <color rgb="FF595959"/>
        <rFont val="Noto Sans CJK SC"/>
        <family val="2"/>
      </rPr>
      <t xml:space="preserve">＋</t>
    </r>
    <r>
      <rPr>
        <sz val="9"/>
        <color rgb="FF595959"/>
        <rFont val="Arial"/>
        <family val="0"/>
        <charset val="1"/>
      </rPr>
      <t xml:space="preserve">173</t>
    </r>
    <r>
      <rPr>
        <sz val="9"/>
        <color rgb="FF595959"/>
        <rFont val="Noto Sans CJK SC"/>
        <family val="2"/>
      </rPr>
      <t xml:space="preserve">＋</t>
    </r>
    <r>
      <rPr>
        <sz val="9"/>
        <color rgb="FF595959"/>
        <rFont val="Arial"/>
        <family val="0"/>
        <charset val="1"/>
      </rPr>
      <t xml:space="preserve">175</t>
    </r>
  </si>
  <si>
    <t xml:space="preserve">C103</t>
  </si>
  <si>
    <r>
      <rPr>
        <sz val="10"/>
        <color rgb="FF000000"/>
        <rFont val="Arial"/>
        <family val="0"/>
        <charset val="1"/>
      </rPr>
      <t xml:space="preserve">v0.1.2 </t>
    </r>
    <r>
      <rPr>
        <sz val="10"/>
        <color rgb="FF000000"/>
        <rFont val="Noto Sans CJK SC"/>
        <family val="2"/>
      </rPr>
      <t xml:space="preserve">分部對帳：</t>
    </r>
    <r>
      <rPr>
        <sz val="10"/>
        <color rgb="FF000000"/>
        <rFont val="Arial"/>
        <family val="0"/>
        <charset val="1"/>
      </rPr>
      <t xml:space="preserve">1H2026 </t>
    </r>
    <r>
      <rPr>
        <sz val="10"/>
        <color rgb="FF000000"/>
        <rFont val="Noto Sans CJK SC"/>
        <family val="2"/>
      </rPr>
      <t xml:space="preserve">雲端部署（① − 中期公告）絕對差 ≤ 容差</t>
    </r>
  </si>
  <si>
    <r>
      <rPr>
        <sz val="9"/>
        <color rgb="FF595959"/>
        <rFont val="Noto Sans CJK SC"/>
        <family val="2"/>
      </rPr>
      <t xml:space="preserve">同上；</t>
    </r>
    <r>
      <rPr>
        <sz val="9"/>
        <color rgb="FF595959"/>
        <rFont val="Arial"/>
        <family val="0"/>
        <charset val="1"/>
      </rPr>
      <t xml:space="preserve">SRC_ZP_179 </t>
    </r>
    <r>
      <rPr>
        <sz val="9"/>
        <color rgb="FF595959"/>
        <rFont val="Noto Sans CJK SC"/>
        <family val="2"/>
      </rPr>
      <t xml:space="preserve">對 </t>
    </r>
    <r>
      <rPr>
        <sz val="9"/>
        <color rgb="FF595959"/>
        <rFont val="Arial"/>
        <family val="0"/>
        <charset val="1"/>
      </rPr>
      <t xml:space="preserve">169</t>
    </r>
  </si>
  <si>
    <t xml:space="preserve">CHK_Errors</t>
  </si>
  <si>
    <t xml:space="preserve">sheet</t>
  </si>
  <si>
    <t xml:space="preserve">id</t>
  </si>
  <si>
    <t xml:space="preserve">col</t>
  </si>
  <si>
    <r>
      <rPr>
        <sz val="11"/>
        <color theme="1"/>
        <rFont val="Calibri"/>
        <family val="2"/>
        <charset val="1"/>
      </rPr>
      <t xml:space="preserve">builder </t>
    </r>
    <r>
      <rPr>
        <sz val="11"/>
        <color theme="1"/>
        <rFont val="Noto Sans CJK SC"/>
        <family val="2"/>
      </rPr>
      <t xml:space="preserve">預設值（上次寫入）</t>
    </r>
  </si>
  <si>
    <t xml:space="preserve">D</t>
  </si>
  <si>
    <t xml:space="preserve">E</t>
  </si>
  <si>
    <t xml:space="preserve">F</t>
  </si>
  <si>
    <t xml:space="preserve">G</t>
  </si>
  <si>
    <t xml:space="preserve">H</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</si>
</sst>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13"/>
      <name val="Noto Sans CJK SC"/>
      <family val="2"/>
    </font>
    <font>
      <b val="true"/>
      <sz val="13"/>
      <name val="Arial"/>
      <family val="0"/>
      <charset val="1"/>
    </font>
    <font>
      <sz val="9"/>
      <color rgb="FF595959"/>
      <name val="Noto Sans CJK SC"/>
      <family val="2"/>
    </font>
    <font>
      <sz val="9"/>
      <color rgb="FF595959"/>
      <name val="Arial"/>
      <family val="0"/>
      <charset val="1"/>
    </font>
    <font>
      <b val="true"/>
      <sz val="10"/>
      <name val="Noto Sans CJK SC"/>
      <family val="2"/>
    </font>
    <font>
      <sz val="10"/>
      <color rgb="FF000000"/>
      <name val="Arial"/>
      <family val="0"/>
      <charset val="1"/>
    </font>
    <font>
      <sz val="10"/>
      <color rgb="FF000000"/>
      <name val="Noto Sans CJK SC"/>
      <family val="2"/>
    </font>
    <font>
      <b val="true"/>
      <sz val="10"/>
      <name val="Arial"/>
      <family val="0"/>
      <charset val="1"/>
    </font>
    <font>
      <sz val="10"/>
      <color rgb="FF0000FF"/>
      <name val="Arial"/>
      <family val="0"/>
      <charset val="1"/>
    </font>
    <font>
      <sz val="10"/>
      <color rgb="FF0000FF"/>
      <name val="Noto Sans CJK SC"/>
      <family val="2"/>
    </font>
    <font>
      <sz val="10"/>
      <color rgb="FF008000"/>
      <name val="Arial"/>
      <family val="0"/>
      <charset val="1"/>
    </font>
    <font>
      <sz val="11"/>
      <color theme="1"/>
      <name val="Noto Sans CJK SC"/>
      <family val="2"/>
    </font>
  </fonts>
  <fills count="4">
    <fill>
      <patternFill patternType="none"/>
    </fill>
    <fill>
      <patternFill patternType="gray125"/>
    </fill>
    <fill>
      <patternFill patternType="solid">
        <fgColor rgb="FFEDEDED"/>
        <bgColor rgb="FFD9E1F2"/>
      </patternFill>
    </fill>
    <fill>
      <patternFill patternType="solid">
        <fgColor rgb="FFD9E1F2"/>
        <bgColor rgb="FFEDEDED"/>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30"/>
  </cols>
  <sheetData>
    <row r="1" customFormat="false" ht="20.1" hidden="false" customHeight="false" outlineLevel="0" collapsed="false">
      <c r="A1" s="1" t="s">
        <v>0</v>
      </c>
    </row>
    <row r="2" customFormat="false" ht="15" hidden="false" customHeight="false" outlineLevel="0" collapsed="false">
      <c r="A2" s="2" t="s">
        <v>1</v>
      </c>
    </row>
    <row r="4" customFormat="false" ht="44" hidden="false" customHeight="false" outlineLevel="0" collapsed="false">
      <c r="A4" s="3" t="s">
        <v>2</v>
      </c>
      <c r="B4" s="4" t="s">
        <v>3</v>
      </c>
    </row>
    <row r="5" customFormat="false" ht="44" hidden="false" customHeight="false" outlineLevel="0" collapsed="false">
      <c r="A5" s="3" t="s">
        <v>4</v>
      </c>
      <c r="B5" s="5" t="s">
        <v>5</v>
      </c>
    </row>
    <row r="6" customFormat="false" ht="29.85" hidden="false" customHeight="false" outlineLevel="0" collapsed="false">
      <c r="A6" s="6" t="s">
        <v>6</v>
      </c>
      <c r="B6" s="5" t="s">
        <v>7</v>
      </c>
    </row>
    <row r="7" customFormat="false" ht="29.85" hidden="false" customHeight="false" outlineLevel="0" collapsed="false">
      <c r="A7" s="6" t="s">
        <v>8</v>
      </c>
      <c r="B7" s="4" t="s">
        <v>9</v>
      </c>
    </row>
    <row r="8" customFormat="false" ht="44" hidden="false" customHeight="false" outlineLevel="0" collapsed="false">
      <c r="A8" s="6" t="s">
        <v>10</v>
      </c>
      <c r="B8" s="4" t="s">
        <v>11</v>
      </c>
    </row>
    <row r="9" customFormat="false" ht="29.85" hidden="false" customHeight="false" outlineLevel="0" collapsed="false">
      <c r="A9" s="6" t="s">
        <v>12</v>
      </c>
      <c r="B9" s="4" t="s">
        <v>13</v>
      </c>
    </row>
    <row r="10" customFormat="false" ht="15" hidden="false" customHeight="false" outlineLevel="0" collapsed="false">
      <c r="A10" s="6" t="s">
        <v>14</v>
      </c>
      <c r="B10" s="4" t="s">
        <v>15</v>
      </c>
    </row>
    <row r="11" customFormat="false" ht="29.85" hidden="false" customHeight="false" outlineLevel="0" collapsed="false">
      <c r="A11" s="6" t="s">
        <v>16</v>
      </c>
      <c r="B11" s="5" t="s">
        <v>17</v>
      </c>
    </row>
    <row r="12" customFormat="false" ht="58.2" hidden="false" customHeight="false" outlineLevel="0" collapsed="false">
      <c r="A12" s="6" t="s">
        <v>18</v>
      </c>
      <c r="B12" s="5" t="s">
        <v>19</v>
      </c>
    </row>
    <row r="13" customFormat="false" ht="44" hidden="false" customHeight="false" outlineLevel="0" collapsed="false">
      <c r="A13" s="6" t="s">
        <v>20</v>
      </c>
      <c r="B13" s="5" t="s">
        <v>21</v>
      </c>
    </row>
    <row r="14" customFormat="false" ht="44" hidden="false" customHeight="false" outlineLevel="0" collapsed="false">
      <c r="A14" s="6" t="s">
        <v>22</v>
      </c>
      <c r="B14" s="5" t="s">
        <v>23</v>
      </c>
    </row>
    <row r="15" customFormat="false" ht="44" hidden="false" customHeight="false" outlineLevel="0" collapsed="false">
      <c r="A15" s="6" t="s">
        <v>24</v>
      </c>
      <c r="B15" s="5" t="s">
        <v>25</v>
      </c>
    </row>
    <row r="16" customFormat="false" ht="29.85" hidden="false" customHeight="false" outlineLevel="0" collapsed="false">
      <c r="A16" s="6" t="s">
        <v>26</v>
      </c>
      <c r="B16" s="5" t="s">
        <v>27</v>
      </c>
    </row>
    <row r="17" customFormat="false" ht="15" hidden="false" customHeight="false" outlineLevel="0" collapsed="false">
      <c r="A17" s="6" t="s">
        <v>28</v>
      </c>
      <c r="B17" s="4" t="s">
        <v>29</v>
      </c>
    </row>
    <row r="18" customFormat="false" ht="15" hidden="false" customHeight="false" outlineLevel="0" collapsed="false">
      <c r="A18" s="3" t="s">
        <v>30</v>
      </c>
      <c r="B18" s="4" t="s">
        <v>31</v>
      </c>
    </row>
    <row r="19" customFormat="false" ht="15" hidden="false" customHeight="false" outlineLevel="0" collapsed="false">
      <c r="A19" s="3" t="s">
        <v>32</v>
      </c>
      <c r="B19" s="5"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6"/>
    <col collapsed="false" customWidth="true" hidden="false" outlineLevel="0" max="3" min="3" style="0" width="34"/>
    <col collapsed="false" customWidth="true" hidden="false" outlineLevel="0" max="4" min="4" style="0" width="10"/>
    <col collapsed="false" customWidth="true" hidden="false" outlineLevel="0" max="6" min="5" style="0" width="8"/>
    <col collapsed="false" customWidth="true" hidden="false" outlineLevel="0" max="8" min="7" style="0" width="14"/>
    <col collapsed="false" customWidth="true" hidden="false" outlineLevel="0" max="9" min="9" style="0" width="44"/>
  </cols>
  <sheetData>
    <row r="1" customFormat="false" ht="20.1" hidden="false" customHeight="false" outlineLevel="0" collapsed="false">
      <c r="A1" s="7" t="s">
        <v>34</v>
      </c>
    </row>
    <row r="2" customFormat="false" ht="15" hidden="false" customHeight="false" outlineLevel="0" collapsed="false">
      <c r="A2" s="2" t="s">
        <v>35</v>
      </c>
    </row>
    <row r="3" customFormat="false" ht="15" hidden="false" customHeight="false" outlineLevel="0" collapsed="false">
      <c r="A3" s="2" t="s">
        <v>36</v>
      </c>
    </row>
    <row r="4" customFormat="false" ht="44" hidden="false" customHeight="false" outlineLevel="0" collapsed="false">
      <c r="A4" s="8" t="s">
        <v>37</v>
      </c>
      <c r="B4" s="9" t="s">
        <v>38</v>
      </c>
      <c r="C4" s="9" t="s">
        <v>39</v>
      </c>
      <c r="D4" s="9" t="s">
        <v>40</v>
      </c>
      <c r="E4" s="9" t="s">
        <v>41</v>
      </c>
      <c r="F4" s="9" t="s">
        <v>42</v>
      </c>
      <c r="G4" s="9" t="s">
        <v>43</v>
      </c>
      <c r="H4" s="9" t="s">
        <v>44</v>
      </c>
      <c r="I4" s="9" t="s">
        <v>45</v>
      </c>
      <c r="J4" s="9" t="s">
        <v>46</v>
      </c>
      <c r="K4" s="9" t="s">
        <v>47</v>
      </c>
      <c r="L4" s="9" t="s">
        <v>48</v>
      </c>
      <c r="M4" s="9" t="s">
        <v>30</v>
      </c>
      <c r="N4" s="9" t="s">
        <v>49</v>
      </c>
      <c r="O4" s="9" t="s">
        <v>50</v>
      </c>
      <c r="P4" s="9" t="s">
        <v>51</v>
      </c>
      <c r="Q4" s="9" t="s">
        <v>52</v>
      </c>
      <c r="R4" s="9" t="s">
        <v>53</v>
      </c>
      <c r="S4" s="9" t="s">
        <v>54</v>
      </c>
      <c r="T4" s="9" t="s">
        <v>55</v>
      </c>
      <c r="U4" s="9" t="s">
        <v>56</v>
      </c>
      <c r="V4" s="9" t="s">
        <v>57</v>
      </c>
      <c r="W4" s="9" t="s">
        <v>58</v>
      </c>
      <c r="X4" s="9" t="s">
        <v>59</v>
      </c>
    </row>
    <row r="5" customFormat="false" ht="15" hidden="false" customHeight="false" outlineLevel="0" collapsed="false">
      <c r="A5" s="10" t="s">
        <v>60</v>
      </c>
      <c r="B5" s="10" t="s">
        <v>61</v>
      </c>
      <c r="C5" s="11" t="s">
        <v>62</v>
      </c>
      <c r="D5" s="12" t="n">
        <v>0.5741</v>
      </c>
      <c r="E5" s="12"/>
      <c r="F5" s="12"/>
      <c r="G5" s="10" t="s">
        <v>63</v>
      </c>
      <c r="H5" s="10" t="s">
        <v>64</v>
      </c>
      <c r="I5" s="11" t="s">
        <v>65</v>
      </c>
      <c r="J5" s="10" t="s">
        <v>66</v>
      </c>
      <c r="K5" s="10" t="s">
        <v>67</v>
      </c>
      <c r="L5" s="10" t="s">
        <v>68</v>
      </c>
      <c r="M5" s="10" t="s">
        <v>69</v>
      </c>
      <c r="N5" s="10"/>
      <c r="O5" s="11" t="s">
        <v>70</v>
      </c>
      <c r="P5" s="10" t="s">
        <v>71</v>
      </c>
      <c r="Q5" s="11" t="s">
        <v>72</v>
      </c>
      <c r="R5" s="11" t="s">
        <v>73</v>
      </c>
      <c r="S5" s="11" t="s">
        <v>74</v>
      </c>
      <c r="T5" s="11" t="s">
        <v>75</v>
      </c>
      <c r="U5" s="10" t="n">
        <f aca="false">IF(AND($D5="",$E5="",$F5=""),1,0)</f>
        <v>0</v>
      </c>
      <c r="V5" s="10" t="n">
        <f aca="false">IF(OR($I5="",$I5="—"),1,0)</f>
        <v>0</v>
      </c>
      <c r="W5" s="10" t="n">
        <f aca="false">IF(AND(ISNUMBER($D5),ISNUMBER($E5)),IF($E5&gt;$D5,1,0),0)+IF(AND(ISNUMBER($D5),ISNUMBER($F5)),IF($D5&gt;$F5,1,0),0)+IF(AND(ISNUMBER($E5),ISNUMBER($F5)),IF($E5&gt;$F5,1,0),0)</f>
        <v>0</v>
      </c>
      <c r="X5" s="13" t="s">
        <v>76</v>
      </c>
    </row>
    <row r="6" customFormat="false" ht="15" hidden="false" customHeight="false" outlineLevel="0" collapsed="false">
      <c r="A6" s="10" t="s">
        <v>77</v>
      </c>
      <c r="B6" s="10" t="s">
        <v>78</v>
      </c>
      <c r="C6" s="11" t="s">
        <v>62</v>
      </c>
      <c r="D6" s="12" t="n">
        <v>1.2454</v>
      </c>
      <c r="E6" s="12"/>
      <c r="F6" s="12"/>
      <c r="G6" s="10" t="s">
        <v>63</v>
      </c>
      <c r="H6" s="10" t="s">
        <v>79</v>
      </c>
      <c r="I6" s="11" t="s">
        <v>65</v>
      </c>
      <c r="J6" s="10" t="s">
        <v>66</v>
      </c>
      <c r="K6" s="10" t="s">
        <v>67</v>
      </c>
      <c r="L6" s="10" t="s">
        <v>68</v>
      </c>
      <c r="M6" s="10" t="s">
        <v>69</v>
      </c>
      <c r="N6" s="10"/>
      <c r="O6" s="11" t="s">
        <v>70</v>
      </c>
      <c r="P6" s="10" t="s">
        <v>71</v>
      </c>
      <c r="Q6" s="11" t="s">
        <v>72</v>
      </c>
      <c r="R6" s="11" t="s">
        <v>73</v>
      </c>
      <c r="S6" s="11" t="s">
        <v>74</v>
      </c>
      <c r="T6" s="11" t="s">
        <v>80</v>
      </c>
      <c r="U6" s="10" t="n">
        <f aca="false">IF(AND($D6="",$E6="",$F6=""),1,0)</f>
        <v>0</v>
      </c>
      <c r="V6" s="10" t="n">
        <f aca="false">IF(OR($I6="",$I6="—"),1,0)</f>
        <v>0</v>
      </c>
      <c r="W6" s="10" t="n">
        <f aca="false">IF(AND(ISNUMBER($D6),ISNUMBER($E6)),IF($E6&gt;$D6,1,0),0)+IF(AND(ISNUMBER($D6),ISNUMBER($F6)),IF($D6&gt;$F6,1,0),0)+IF(AND(ISNUMBER($E6),ISNUMBER($F6)),IF($E6&gt;$F6,1,0),0)</f>
        <v>0</v>
      </c>
      <c r="X6" s="13" t="s">
        <v>76</v>
      </c>
    </row>
    <row r="7" customFormat="false" ht="15" hidden="false" customHeight="false" outlineLevel="0" collapsed="false">
      <c r="A7" s="10" t="s">
        <v>81</v>
      </c>
      <c r="B7" s="10" t="s">
        <v>82</v>
      </c>
      <c r="C7" s="11" t="s">
        <v>62</v>
      </c>
      <c r="D7" s="12" t="n">
        <v>3.1241</v>
      </c>
      <c r="E7" s="12"/>
      <c r="F7" s="12"/>
      <c r="G7" s="10" t="s">
        <v>63</v>
      </c>
      <c r="H7" s="10" t="s">
        <v>83</v>
      </c>
      <c r="I7" s="11" t="s">
        <v>65</v>
      </c>
      <c r="J7" s="10" t="s">
        <v>66</v>
      </c>
      <c r="K7" s="10" t="s">
        <v>67</v>
      </c>
      <c r="L7" s="10" t="s">
        <v>68</v>
      </c>
      <c r="M7" s="10" t="s">
        <v>69</v>
      </c>
      <c r="N7" s="10"/>
      <c r="O7" s="11" t="s">
        <v>70</v>
      </c>
      <c r="P7" s="10" t="s">
        <v>71</v>
      </c>
      <c r="Q7" s="11" t="s">
        <v>72</v>
      </c>
      <c r="R7" s="11" t="s">
        <v>73</v>
      </c>
      <c r="S7" s="11" t="s">
        <v>74</v>
      </c>
      <c r="T7" s="11" t="s">
        <v>84</v>
      </c>
      <c r="U7" s="10" t="n">
        <f aca="false">IF(AND($D7="",$E7="",$F7=""),1,0)</f>
        <v>0</v>
      </c>
      <c r="V7" s="10" t="n">
        <f aca="false">IF(OR($I7="",$I7="—"),1,0)</f>
        <v>0</v>
      </c>
      <c r="W7" s="10" t="n">
        <f aca="false">IF(AND(ISNUMBER($D7),ISNUMBER($E7)),IF($E7&gt;$D7,1,0),0)+IF(AND(ISNUMBER($D7),ISNUMBER($F7)),IF($D7&gt;$F7,1,0),0)+IF(AND(ISNUMBER($E7),ISNUMBER($F7)),IF($E7&gt;$F7,1,0),0)</f>
        <v>0</v>
      </c>
      <c r="X7" s="13" t="s">
        <v>76</v>
      </c>
    </row>
    <row r="8" customFormat="false" ht="15" hidden="false" customHeight="false" outlineLevel="0" collapsed="false">
      <c r="A8" s="10" t="s">
        <v>85</v>
      </c>
      <c r="B8" s="10" t="s">
        <v>86</v>
      </c>
      <c r="C8" s="11" t="s">
        <v>62</v>
      </c>
      <c r="D8" s="12" t="n">
        <v>0.4491</v>
      </c>
      <c r="E8" s="12"/>
      <c r="F8" s="12"/>
      <c r="G8" s="10" t="s">
        <v>63</v>
      </c>
      <c r="H8" s="10" t="s">
        <v>87</v>
      </c>
      <c r="I8" s="11" t="s">
        <v>65</v>
      </c>
      <c r="J8" s="10" t="s">
        <v>66</v>
      </c>
      <c r="K8" s="10" t="s">
        <v>67</v>
      </c>
      <c r="L8" s="10" t="s">
        <v>68</v>
      </c>
      <c r="M8" s="10" t="s">
        <v>69</v>
      </c>
      <c r="N8" s="10"/>
      <c r="O8" s="11" t="s">
        <v>88</v>
      </c>
      <c r="P8" s="10" t="s">
        <v>71</v>
      </c>
      <c r="Q8" s="11" t="s">
        <v>72</v>
      </c>
      <c r="R8" s="11" t="s">
        <v>73</v>
      </c>
      <c r="S8" s="11" t="s">
        <v>74</v>
      </c>
      <c r="T8" s="11" t="s">
        <v>89</v>
      </c>
      <c r="U8" s="10" t="n">
        <f aca="false">IF(AND($D8="",$E8="",$F8=""),1,0)</f>
        <v>0</v>
      </c>
      <c r="V8" s="10" t="n">
        <f aca="false">IF(OR($I8="",$I8="—"),1,0)</f>
        <v>0</v>
      </c>
      <c r="W8" s="10" t="n">
        <f aca="false">IF(AND(ISNUMBER($D8),ISNUMBER($E8)),IF($E8&gt;$D8,1,0),0)+IF(AND(ISNUMBER($D8),ISNUMBER($F8)),IF($D8&gt;$F8,1,0),0)+IF(AND(ISNUMBER($E8),ISNUMBER($F8)),IF($E8&gt;$F8,1,0),0)</f>
        <v>0</v>
      </c>
      <c r="X8" s="13" t="s">
        <v>76</v>
      </c>
    </row>
    <row r="9" customFormat="false" ht="15" hidden="false" customHeight="false" outlineLevel="0" collapsed="false">
      <c r="A9" s="10" t="s">
        <v>90</v>
      </c>
      <c r="B9" s="10" t="s">
        <v>91</v>
      </c>
      <c r="C9" s="11" t="s">
        <v>62</v>
      </c>
      <c r="D9" s="12" t="n">
        <v>1.9088</v>
      </c>
      <c r="E9" s="12"/>
      <c r="F9" s="12"/>
      <c r="G9" s="10" t="s">
        <v>63</v>
      </c>
      <c r="H9" s="10" t="s">
        <v>92</v>
      </c>
      <c r="I9" s="11" t="s">
        <v>65</v>
      </c>
      <c r="J9" s="10" t="s">
        <v>66</v>
      </c>
      <c r="K9" s="10" t="s">
        <v>67</v>
      </c>
      <c r="L9" s="10" t="s">
        <v>68</v>
      </c>
      <c r="M9" s="10" t="s">
        <v>69</v>
      </c>
      <c r="N9" s="10"/>
      <c r="O9" s="11" t="s">
        <v>70</v>
      </c>
      <c r="P9" s="10" t="s">
        <v>71</v>
      </c>
      <c r="Q9" s="11" t="s">
        <v>72</v>
      </c>
      <c r="R9" s="11" t="s">
        <v>73</v>
      </c>
      <c r="S9" s="11" t="s">
        <v>74</v>
      </c>
      <c r="T9" s="11" t="s">
        <v>93</v>
      </c>
      <c r="U9" s="10" t="n">
        <f aca="false">IF(AND($D9="",$E9="",$F9=""),1,0)</f>
        <v>0</v>
      </c>
      <c r="V9" s="10" t="n">
        <f aca="false">IF(OR($I9="",$I9="—"),1,0)</f>
        <v>0</v>
      </c>
      <c r="W9" s="10" t="n">
        <f aca="false">IF(AND(ISNUMBER($D9),ISNUMBER($E9)),IF($E9&gt;$D9,1,0),0)+IF(AND(ISNUMBER($D9),ISNUMBER($F9)),IF($D9&gt;$F9,1,0),0)+IF(AND(ISNUMBER($E9),ISNUMBER($F9)),IF($E9&gt;$F9,1,0),0)</f>
        <v>0</v>
      </c>
      <c r="X9" s="13" t="s">
        <v>76</v>
      </c>
    </row>
    <row r="10" customFormat="false" ht="15" hidden="false" customHeight="false" outlineLevel="0" collapsed="false">
      <c r="A10" s="10" t="s">
        <v>94</v>
      </c>
      <c r="B10" s="10" t="s">
        <v>95</v>
      </c>
      <c r="C10" s="11" t="s">
        <v>96</v>
      </c>
      <c r="D10" s="12" t="n">
        <v>0.5482</v>
      </c>
      <c r="E10" s="12"/>
      <c r="F10" s="12"/>
      <c r="G10" s="10" t="s">
        <v>63</v>
      </c>
      <c r="H10" s="10" t="s">
        <v>64</v>
      </c>
      <c r="I10" s="11" t="s">
        <v>65</v>
      </c>
      <c r="J10" s="10" t="s">
        <v>66</v>
      </c>
      <c r="K10" s="10" t="s">
        <v>67</v>
      </c>
      <c r="L10" s="10" t="s">
        <v>68</v>
      </c>
      <c r="M10" s="10" t="s">
        <v>69</v>
      </c>
      <c r="N10" s="10"/>
      <c r="O10" s="11" t="s">
        <v>70</v>
      </c>
      <c r="P10" s="10" t="s">
        <v>71</v>
      </c>
      <c r="Q10" s="11" t="s">
        <v>72</v>
      </c>
      <c r="R10" s="11" t="s">
        <v>73</v>
      </c>
      <c r="S10" s="11" t="s">
        <v>74</v>
      </c>
      <c r="T10" s="11" t="s">
        <v>97</v>
      </c>
      <c r="U10" s="10" t="n">
        <f aca="false">IF(AND($D10="",$E10="",$F10=""),1,0)</f>
        <v>0</v>
      </c>
      <c r="V10" s="10" t="n">
        <f aca="false">IF(OR($I10="",$I10="—"),1,0)</f>
        <v>0</v>
      </c>
      <c r="W10" s="10" t="n">
        <f aca="false">IF(AND(ISNUMBER($D10),ISNUMBER($E10)),IF($E10&gt;$D10,1,0),0)+IF(AND(ISNUMBER($D10),ISNUMBER($F10)),IF($D10&gt;$F10,1,0),0)+IF(AND(ISNUMBER($E10),ISNUMBER($F10)),IF($E10&gt;$F10,1,0),0)</f>
        <v>0</v>
      </c>
      <c r="X10" s="13" t="s">
        <v>76</v>
      </c>
    </row>
    <row r="11" customFormat="false" ht="15" hidden="false" customHeight="false" outlineLevel="0" collapsed="false">
      <c r="A11" s="10" t="s">
        <v>98</v>
      </c>
      <c r="B11" s="10" t="s">
        <v>99</v>
      </c>
      <c r="C11" s="11" t="s">
        <v>96</v>
      </c>
      <c r="D11" s="12" t="n">
        <v>1.1261</v>
      </c>
      <c r="E11" s="12"/>
      <c r="F11" s="12"/>
      <c r="G11" s="10" t="s">
        <v>63</v>
      </c>
      <c r="H11" s="10" t="s">
        <v>79</v>
      </c>
      <c r="I11" s="11" t="s">
        <v>65</v>
      </c>
      <c r="J11" s="10" t="s">
        <v>66</v>
      </c>
      <c r="K11" s="10" t="s">
        <v>67</v>
      </c>
      <c r="L11" s="10" t="s">
        <v>68</v>
      </c>
      <c r="M11" s="10" t="s">
        <v>69</v>
      </c>
      <c r="N11" s="10"/>
      <c r="O11" s="11" t="s">
        <v>70</v>
      </c>
      <c r="P11" s="10" t="s">
        <v>71</v>
      </c>
      <c r="Q11" s="11" t="s">
        <v>72</v>
      </c>
      <c r="R11" s="11" t="s">
        <v>73</v>
      </c>
      <c r="S11" s="11" t="s">
        <v>74</v>
      </c>
      <c r="T11" s="11" t="s">
        <v>100</v>
      </c>
      <c r="U11" s="10" t="n">
        <f aca="false">IF(AND($D11="",$E11="",$F11=""),1,0)</f>
        <v>0</v>
      </c>
      <c r="V11" s="10" t="n">
        <f aca="false">IF(OR($I11="",$I11="—"),1,0)</f>
        <v>0</v>
      </c>
      <c r="W11" s="10" t="n">
        <f aca="false">IF(AND(ISNUMBER($D11),ISNUMBER($E11)),IF($E11&gt;$D11,1,0),0)+IF(AND(ISNUMBER($D11),ISNUMBER($F11)),IF($D11&gt;$F11,1,0),0)+IF(AND(ISNUMBER($E11),ISNUMBER($F11)),IF($E11&gt;$F11,1,0),0)</f>
        <v>0</v>
      </c>
      <c r="X11" s="13" t="s">
        <v>76</v>
      </c>
    </row>
    <row r="12" customFormat="false" ht="15" hidden="false" customHeight="false" outlineLevel="0" collapsed="false">
      <c r="A12" s="10" t="s">
        <v>101</v>
      </c>
      <c r="B12" s="10" t="s">
        <v>102</v>
      </c>
      <c r="C12" s="11" t="s">
        <v>96</v>
      </c>
      <c r="D12" s="12" t="n">
        <v>2.6393</v>
      </c>
      <c r="E12" s="12"/>
      <c r="F12" s="12"/>
      <c r="G12" s="10" t="s">
        <v>63</v>
      </c>
      <c r="H12" s="10" t="s">
        <v>83</v>
      </c>
      <c r="I12" s="11" t="s">
        <v>65</v>
      </c>
      <c r="J12" s="10" t="s">
        <v>66</v>
      </c>
      <c r="K12" s="10" t="s">
        <v>67</v>
      </c>
      <c r="L12" s="10" t="s">
        <v>68</v>
      </c>
      <c r="M12" s="10" t="s">
        <v>69</v>
      </c>
      <c r="N12" s="10"/>
      <c r="O12" s="11" t="s">
        <v>70</v>
      </c>
      <c r="P12" s="10" t="s">
        <v>71</v>
      </c>
      <c r="Q12" s="11" t="s">
        <v>72</v>
      </c>
      <c r="R12" s="11" t="s">
        <v>73</v>
      </c>
      <c r="S12" s="11" t="s">
        <v>74</v>
      </c>
      <c r="T12" s="11" t="s">
        <v>103</v>
      </c>
      <c r="U12" s="10" t="n">
        <f aca="false">IF(AND($D12="",$E12="",$F12=""),1,0)</f>
        <v>0</v>
      </c>
      <c r="V12" s="10" t="n">
        <f aca="false">IF(OR($I12="",$I12="—"),1,0)</f>
        <v>0</v>
      </c>
      <c r="W12" s="10" t="n">
        <f aca="false">IF(AND(ISNUMBER($D12),ISNUMBER($E12)),IF($E12&gt;$D12,1,0),0)+IF(AND(ISNUMBER($D12),ISNUMBER($F12)),IF($D12&gt;$F12,1,0),0)+IF(AND(ISNUMBER($E12),ISNUMBER($F12)),IF($E12&gt;$F12,1,0),0)</f>
        <v>0</v>
      </c>
      <c r="X12" s="13" t="s">
        <v>76</v>
      </c>
    </row>
    <row r="13" customFormat="false" ht="15" hidden="false" customHeight="false" outlineLevel="0" collapsed="false">
      <c r="A13" s="10" t="s">
        <v>104</v>
      </c>
      <c r="B13" s="10" t="s">
        <v>105</v>
      </c>
      <c r="C13" s="11" t="s">
        <v>96</v>
      </c>
      <c r="D13" s="12" t="n">
        <v>0.2681</v>
      </c>
      <c r="E13" s="12"/>
      <c r="F13" s="12"/>
      <c r="G13" s="10" t="s">
        <v>63</v>
      </c>
      <c r="H13" s="10" t="s">
        <v>87</v>
      </c>
      <c r="I13" s="11" t="s">
        <v>65</v>
      </c>
      <c r="J13" s="10" t="s">
        <v>66</v>
      </c>
      <c r="K13" s="10" t="s">
        <v>67</v>
      </c>
      <c r="L13" s="10" t="s">
        <v>68</v>
      </c>
      <c r="M13" s="10" t="s">
        <v>69</v>
      </c>
      <c r="N13" s="10"/>
      <c r="O13" s="11" t="s">
        <v>88</v>
      </c>
      <c r="P13" s="10" t="s">
        <v>71</v>
      </c>
      <c r="Q13" s="11" t="s">
        <v>72</v>
      </c>
      <c r="R13" s="11" t="s">
        <v>73</v>
      </c>
      <c r="S13" s="11" t="s">
        <v>74</v>
      </c>
      <c r="T13" s="11" t="s">
        <v>106</v>
      </c>
      <c r="U13" s="10" t="n">
        <f aca="false">IF(AND($D13="",$E13="",$F13=""),1,0)</f>
        <v>0</v>
      </c>
      <c r="V13" s="10" t="n">
        <f aca="false">IF(OR($I13="",$I13="—"),1,0)</f>
        <v>0</v>
      </c>
      <c r="W13" s="10" t="n">
        <f aca="false">IF(AND(ISNUMBER($D13),ISNUMBER($E13)),IF($E13&gt;$D13,1,0),0)+IF(AND(ISNUMBER($D13),ISNUMBER($F13)),IF($D13&gt;$F13,1,0),0)+IF(AND(ISNUMBER($E13),ISNUMBER($F13)),IF($E13&gt;$F13,1,0),0)</f>
        <v>0</v>
      </c>
      <c r="X13" s="13" t="s">
        <v>76</v>
      </c>
    </row>
    <row r="14" customFormat="false" ht="15" hidden="false" customHeight="false" outlineLevel="0" collapsed="false">
      <c r="A14" s="10" t="s">
        <v>107</v>
      </c>
      <c r="B14" s="10" t="s">
        <v>108</v>
      </c>
      <c r="C14" s="11" t="s">
        <v>96</v>
      </c>
      <c r="D14" s="12" t="n">
        <v>1.6178</v>
      </c>
      <c r="E14" s="12"/>
      <c r="F14" s="12"/>
      <c r="G14" s="10" t="s">
        <v>63</v>
      </c>
      <c r="H14" s="10" t="s">
        <v>92</v>
      </c>
      <c r="I14" s="11" t="s">
        <v>65</v>
      </c>
      <c r="J14" s="10" t="s">
        <v>66</v>
      </c>
      <c r="K14" s="10" t="s">
        <v>67</v>
      </c>
      <c r="L14" s="10" t="s">
        <v>68</v>
      </c>
      <c r="M14" s="10" t="s">
        <v>69</v>
      </c>
      <c r="N14" s="10"/>
      <c r="O14" s="11" t="s">
        <v>70</v>
      </c>
      <c r="P14" s="10" t="s">
        <v>71</v>
      </c>
      <c r="Q14" s="11" t="s">
        <v>72</v>
      </c>
      <c r="R14" s="11" t="s">
        <v>73</v>
      </c>
      <c r="S14" s="11" t="s">
        <v>74</v>
      </c>
      <c r="T14" s="11" t="s">
        <v>109</v>
      </c>
      <c r="U14" s="10" t="n">
        <f aca="false">IF(AND($D14="",$E14="",$F14=""),1,0)</f>
        <v>0</v>
      </c>
      <c r="V14" s="10" t="n">
        <f aca="false">IF(OR($I14="",$I14="—"),1,0)</f>
        <v>0</v>
      </c>
      <c r="W14" s="10" t="n">
        <f aca="false">IF(AND(ISNUMBER($D14),ISNUMBER($E14)),IF($E14&gt;$D14,1,0),0)+IF(AND(ISNUMBER($D14),ISNUMBER($F14)),IF($D14&gt;$F14,1,0),0)+IF(AND(ISNUMBER($E14),ISNUMBER($F14)),IF($E14&gt;$F14,1,0),0)</f>
        <v>0</v>
      </c>
      <c r="X14" s="13" t="s">
        <v>76</v>
      </c>
    </row>
    <row r="15" customFormat="false" ht="15" hidden="false" customHeight="false" outlineLevel="0" collapsed="false">
      <c r="A15" s="10" t="s">
        <v>110</v>
      </c>
      <c r="B15" s="10" t="s">
        <v>111</v>
      </c>
      <c r="C15" s="11" t="s">
        <v>112</v>
      </c>
      <c r="D15" s="12" t="n">
        <v>0.0259</v>
      </c>
      <c r="E15" s="12"/>
      <c r="F15" s="12"/>
      <c r="G15" s="10" t="s">
        <v>63</v>
      </c>
      <c r="H15" s="10" t="s">
        <v>64</v>
      </c>
      <c r="I15" s="11" t="s">
        <v>65</v>
      </c>
      <c r="J15" s="10" t="s">
        <v>66</v>
      </c>
      <c r="K15" s="10" t="s">
        <v>67</v>
      </c>
      <c r="L15" s="10" t="s">
        <v>68</v>
      </c>
      <c r="M15" s="10" t="s">
        <v>69</v>
      </c>
      <c r="N15" s="10"/>
      <c r="O15" s="11" t="s">
        <v>70</v>
      </c>
      <c r="P15" s="10" t="s">
        <v>71</v>
      </c>
      <c r="Q15" s="11" t="s">
        <v>72</v>
      </c>
      <c r="R15" s="11" t="s">
        <v>73</v>
      </c>
      <c r="S15" s="11" t="s">
        <v>74</v>
      </c>
      <c r="T15" s="11" t="s">
        <v>113</v>
      </c>
      <c r="U15" s="10" t="n">
        <f aca="false">IF(AND($D15="",$E15="",$F15=""),1,0)</f>
        <v>0</v>
      </c>
      <c r="V15" s="10" t="n">
        <f aca="false">IF(OR($I15="",$I15="—"),1,0)</f>
        <v>0</v>
      </c>
      <c r="W15" s="10" t="n">
        <f aca="false">IF(AND(ISNUMBER($D15),ISNUMBER($E15)),IF($E15&gt;$D15,1,0),0)+IF(AND(ISNUMBER($D15),ISNUMBER($F15)),IF($D15&gt;$F15,1,0),0)+IF(AND(ISNUMBER($E15),ISNUMBER($F15)),IF($E15&gt;$F15,1,0),0)</f>
        <v>0</v>
      </c>
      <c r="X15" s="13" t="s">
        <v>76</v>
      </c>
    </row>
    <row r="16" customFormat="false" ht="15" hidden="false" customHeight="false" outlineLevel="0" collapsed="false">
      <c r="A16" s="10" t="s">
        <v>114</v>
      </c>
      <c r="B16" s="10" t="s">
        <v>115</v>
      </c>
      <c r="C16" s="11" t="s">
        <v>112</v>
      </c>
      <c r="D16" s="12" t="n">
        <v>0.1192</v>
      </c>
      <c r="E16" s="12"/>
      <c r="F16" s="12"/>
      <c r="G16" s="10" t="s">
        <v>63</v>
      </c>
      <c r="H16" s="10" t="s">
        <v>79</v>
      </c>
      <c r="I16" s="11" t="s">
        <v>65</v>
      </c>
      <c r="J16" s="10" t="s">
        <v>66</v>
      </c>
      <c r="K16" s="10" t="s">
        <v>67</v>
      </c>
      <c r="L16" s="10" t="s">
        <v>68</v>
      </c>
      <c r="M16" s="10" t="s">
        <v>69</v>
      </c>
      <c r="N16" s="10"/>
      <c r="O16" s="11" t="s">
        <v>70</v>
      </c>
      <c r="P16" s="10" t="s">
        <v>71</v>
      </c>
      <c r="Q16" s="11" t="s">
        <v>72</v>
      </c>
      <c r="R16" s="11" t="s">
        <v>73</v>
      </c>
      <c r="S16" s="11" t="s">
        <v>74</v>
      </c>
      <c r="T16" s="11" t="s">
        <v>116</v>
      </c>
      <c r="U16" s="10" t="n">
        <f aca="false">IF(AND($D16="",$E16="",$F16=""),1,0)</f>
        <v>0</v>
      </c>
      <c r="V16" s="10" t="n">
        <f aca="false">IF(OR($I16="",$I16="—"),1,0)</f>
        <v>0</v>
      </c>
      <c r="W16" s="10" t="n">
        <f aca="false">IF(AND(ISNUMBER($D16),ISNUMBER($E16)),IF($E16&gt;$D16,1,0),0)+IF(AND(ISNUMBER($D16),ISNUMBER($F16)),IF($D16&gt;$F16,1,0),0)+IF(AND(ISNUMBER($E16),ISNUMBER($F16)),IF($E16&gt;$F16,1,0),0)</f>
        <v>0</v>
      </c>
      <c r="X16" s="13" t="s">
        <v>76</v>
      </c>
    </row>
    <row r="17" customFormat="false" ht="15" hidden="false" customHeight="false" outlineLevel="0" collapsed="false">
      <c r="A17" s="10" t="s">
        <v>117</v>
      </c>
      <c r="B17" s="10" t="s">
        <v>118</v>
      </c>
      <c r="C17" s="11" t="s">
        <v>112</v>
      </c>
      <c r="D17" s="12" t="n">
        <v>0.4848</v>
      </c>
      <c r="E17" s="12"/>
      <c r="F17" s="12"/>
      <c r="G17" s="10" t="s">
        <v>63</v>
      </c>
      <c r="H17" s="10" t="s">
        <v>83</v>
      </c>
      <c r="I17" s="11" t="s">
        <v>65</v>
      </c>
      <c r="J17" s="10" t="s">
        <v>66</v>
      </c>
      <c r="K17" s="10" t="s">
        <v>67</v>
      </c>
      <c r="L17" s="10" t="s">
        <v>68</v>
      </c>
      <c r="M17" s="10" t="s">
        <v>69</v>
      </c>
      <c r="N17" s="10"/>
      <c r="O17" s="11" t="s">
        <v>70</v>
      </c>
      <c r="P17" s="10" t="s">
        <v>71</v>
      </c>
      <c r="Q17" s="11" t="s">
        <v>72</v>
      </c>
      <c r="R17" s="11" t="s">
        <v>73</v>
      </c>
      <c r="S17" s="11" t="s">
        <v>74</v>
      </c>
      <c r="T17" s="11" t="s">
        <v>119</v>
      </c>
      <c r="U17" s="10" t="n">
        <f aca="false">IF(AND($D17="",$E17="",$F17=""),1,0)</f>
        <v>0</v>
      </c>
      <c r="V17" s="10" t="n">
        <f aca="false">IF(OR($I17="",$I17="—"),1,0)</f>
        <v>0</v>
      </c>
      <c r="W17" s="10" t="n">
        <f aca="false">IF(AND(ISNUMBER($D17),ISNUMBER($E17)),IF($E17&gt;$D17,1,0),0)+IF(AND(ISNUMBER($D17),ISNUMBER($F17)),IF($D17&gt;$F17,1,0),0)+IF(AND(ISNUMBER($E17),ISNUMBER($F17)),IF($E17&gt;$F17,1,0),0)</f>
        <v>0</v>
      </c>
      <c r="X17" s="13" t="s">
        <v>76</v>
      </c>
    </row>
    <row r="18" customFormat="false" ht="15" hidden="false" customHeight="false" outlineLevel="0" collapsed="false">
      <c r="A18" s="10" t="s">
        <v>120</v>
      </c>
      <c r="B18" s="10" t="s">
        <v>121</v>
      </c>
      <c r="C18" s="11" t="s">
        <v>112</v>
      </c>
      <c r="D18" s="12" t="n">
        <v>0.181</v>
      </c>
      <c r="E18" s="12"/>
      <c r="F18" s="12"/>
      <c r="G18" s="10" t="s">
        <v>63</v>
      </c>
      <c r="H18" s="10" t="s">
        <v>87</v>
      </c>
      <c r="I18" s="11" t="s">
        <v>65</v>
      </c>
      <c r="J18" s="10" t="s">
        <v>66</v>
      </c>
      <c r="K18" s="10" t="s">
        <v>67</v>
      </c>
      <c r="L18" s="10" t="s">
        <v>68</v>
      </c>
      <c r="M18" s="10" t="s">
        <v>69</v>
      </c>
      <c r="N18" s="10"/>
      <c r="O18" s="11" t="s">
        <v>88</v>
      </c>
      <c r="P18" s="10" t="s">
        <v>71</v>
      </c>
      <c r="Q18" s="11" t="s">
        <v>72</v>
      </c>
      <c r="R18" s="11" t="s">
        <v>73</v>
      </c>
      <c r="S18" s="11" t="s">
        <v>74</v>
      </c>
      <c r="T18" s="11" t="s">
        <v>122</v>
      </c>
      <c r="U18" s="10" t="n">
        <f aca="false">IF(AND($D18="",$E18="",$F18=""),1,0)</f>
        <v>0</v>
      </c>
      <c r="V18" s="10" t="n">
        <f aca="false">IF(OR($I18="",$I18="—"),1,0)</f>
        <v>0</v>
      </c>
      <c r="W18" s="10" t="n">
        <f aca="false">IF(AND(ISNUMBER($D18),ISNUMBER($E18)),IF($E18&gt;$D18,1,0),0)+IF(AND(ISNUMBER($D18),ISNUMBER($F18)),IF($D18&gt;$F18,1,0),0)+IF(AND(ISNUMBER($E18),ISNUMBER($F18)),IF($E18&gt;$F18,1,0),0)</f>
        <v>0</v>
      </c>
      <c r="X18" s="13" t="s">
        <v>76</v>
      </c>
    </row>
    <row r="19" customFormat="false" ht="15" hidden="false" customHeight="false" outlineLevel="0" collapsed="false">
      <c r="A19" s="10" t="s">
        <v>123</v>
      </c>
      <c r="B19" s="10" t="s">
        <v>124</v>
      </c>
      <c r="C19" s="11" t="s">
        <v>112</v>
      </c>
      <c r="D19" s="12" t="n">
        <v>0.291</v>
      </c>
      <c r="E19" s="12"/>
      <c r="F19" s="12"/>
      <c r="G19" s="10" t="s">
        <v>63</v>
      </c>
      <c r="H19" s="10" t="s">
        <v>92</v>
      </c>
      <c r="I19" s="11" t="s">
        <v>65</v>
      </c>
      <c r="J19" s="10" t="s">
        <v>66</v>
      </c>
      <c r="K19" s="10" t="s">
        <v>67</v>
      </c>
      <c r="L19" s="10" t="s">
        <v>68</v>
      </c>
      <c r="M19" s="10" t="s">
        <v>69</v>
      </c>
      <c r="N19" s="10"/>
      <c r="O19" s="11" t="s">
        <v>70</v>
      </c>
      <c r="P19" s="10" t="s">
        <v>71</v>
      </c>
      <c r="Q19" s="11" t="s">
        <v>72</v>
      </c>
      <c r="R19" s="11" t="s">
        <v>73</v>
      </c>
      <c r="S19" s="11" t="s">
        <v>74</v>
      </c>
      <c r="T19" s="11" t="s">
        <v>125</v>
      </c>
      <c r="U19" s="10" t="n">
        <f aca="false">IF(AND($D19="",$E19="",$F19=""),1,0)</f>
        <v>0</v>
      </c>
      <c r="V19" s="10" t="n">
        <f aca="false">IF(OR($I19="",$I19="—"),1,0)</f>
        <v>0</v>
      </c>
      <c r="W19" s="10" t="n">
        <f aca="false">IF(AND(ISNUMBER($D19),ISNUMBER($E19)),IF($E19&gt;$D19,1,0),0)+IF(AND(ISNUMBER($D19),ISNUMBER($F19)),IF($D19&gt;$F19,1,0),0)+IF(AND(ISNUMBER($E19),ISNUMBER($F19)),IF($E19&gt;$F19,1,0),0)</f>
        <v>0</v>
      </c>
      <c r="X19" s="13" t="s">
        <v>76</v>
      </c>
    </row>
    <row r="20" customFormat="false" ht="15" hidden="false" customHeight="false" outlineLevel="0" collapsed="false">
      <c r="A20" s="10" t="s">
        <v>126</v>
      </c>
      <c r="B20" s="10" t="s">
        <v>127</v>
      </c>
      <c r="C20" s="11" t="s">
        <v>128</v>
      </c>
      <c r="D20" s="12" t="n">
        <v>0.2605</v>
      </c>
      <c r="E20" s="12"/>
      <c r="F20" s="12"/>
      <c r="G20" s="10" t="s">
        <v>63</v>
      </c>
      <c r="H20" s="10" t="s">
        <v>64</v>
      </c>
      <c r="I20" s="11" t="s">
        <v>65</v>
      </c>
      <c r="J20" s="10" t="s">
        <v>66</v>
      </c>
      <c r="K20" s="10" t="s">
        <v>67</v>
      </c>
      <c r="L20" s="10" t="s">
        <v>68</v>
      </c>
      <c r="M20" s="10" t="s">
        <v>69</v>
      </c>
      <c r="N20" s="10"/>
      <c r="O20" s="11" t="s">
        <v>70</v>
      </c>
      <c r="P20" s="10" t="s">
        <v>71</v>
      </c>
      <c r="Q20" s="11" t="s">
        <v>72</v>
      </c>
      <c r="R20" s="11" t="s">
        <v>73</v>
      </c>
      <c r="S20" s="11" t="s">
        <v>74</v>
      </c>
      <c r="T20" s="11" t="s">
        <v>129</v>
      </c>
      <c r="U20" s="10" t="n">
        <f aca="false">IF(AND($D20="",$E20="",$F20=""),1,0)</f>
        <v>0</v>
      </c>
      <c r="V20" s="10" t="n">
        <f aca="false">IF(OR($I20="",$I20="—"),1,0)</f>
        <v>0</v>
      </c>
      <c r="W20" s="10" t="n">
        <f aca="false">IF(AND(ISNUMBER($D20),ISNUMBER($E20)),IF($E20&gt;$D20,1,0),0)+IF(AND(ISNUMBER($D20),ISNUMBER($F20)),IF($D20&gt;$F20,1,0),0)+IF(AND(ISNUMBER($E20),ISNUMBER($F20)),IF($E20&gt;$F20,1,0),0)</f>
        <v>0</v>
      </c>
      <c r="X20" s="13" t="s">
        <v>76</v>
      </c>
    </row>
    <row r="21" customFormat="false" ht="15" hidden="false" customHeight="false" outlineLevel="0" collapsed="false">
      <c r="A21" s="10" t="s">
        <v>130</v>
      </c>
      <c r="B21" s="10" t="s">
        <v>131</v>
      </c>
      <c r="C21" s="11" t="s">
        <v>128</v>
      </c>
      <c r="D21" s="12" t="n">
        <v>0.4406</v>
      </c>
      <c r="E21" s="12"/>
      <c r="F21" s="12"/>
      <c r="G21" s="10" t="s">
        <v>63</v>
      </c>
      <c r="H21" s="10" t="s">
        <v>79</v>
      </c>
      <c r="I21" s="11" t="s">
        <v>65</v>
      </c>
      <c r="J21" s="10" t="s">
        <v>66</v>
      </c>
      <c r="K21" s="10" t="s">
        <v>67</v>
      </c>
      <c r="L21" s="10" t="s">
        <v>68</v>
      </c>
      <c r="M21" s="10" t="s">
        <v>69</v>
      </c>
      <c r="N21" s="10"/>
      <c r="O21" s="11" t="s">
        <v>70</v>
      </c>
      <c r="P21" s="10" t="s">
        <v>71</v>
      </c>
      <c r="Q21" s="11" t="s">
        <v>72</v>
      </c>
      <c r="R21" s="11" t="s">
        <v>73</v>
      </c>
      <c r="S21" s="11" t="s">
        <v>74</v>
      </c>
      <c r="T21" s="11" t="s">
        <v>132</v>
      </c>
      <c r="U21" s="10" t="n">
        <f aca="false">IF(AND($D21="",$E21="",$F21=""),1,0)</f>
        <v>0</v>
      </c>
      <c r="V21" s="10" t="n">
        <f aca="false">IF(OR($I21="",$I21="—"),1,0)</f>
        <v>0</v>
      </c>
      <c r="W21" s="10" t="n">
        <f aca="false">IF(AND(ISNUMBER($D21),ISNUMBER($E21)),IF($E21&gt;$D21,1,0),0)+IF(AND(ISNUMBER($D21),ISNUMBER($F21)),IF($D21&gt;$F21,1,0),0)+IF(AND(ISNUMBER($E21),ISNUMBER($F21)),IF($E21&gt;$F21,1,0),0)</f>
        <v>0</v>
      </c>
      <c r="X21" s="13" t="s">
        <v>76</v>
      </c>
    </row>
    <row r="22" customFormat="false" ht="15" hidden="false" customHeight="false" outlineLevel="0" collapsed="false">
      <c r="A22" s="10" t="s">
        <v>133</v>
      </c>
      <c r="B22" s="10" t="s">
        <v>134</v>
      </c>
      <c r="C22" s="11" t="s">
        <v>128</v>
      </c>
      <c r="D22" s="12" t="n">
        <v>1.3653</v>
      </c>
      <c r="E22" s="12"/>
      <c r="F22" s="12"/>
      <c r="G22" s="10" t="s">
        <v>63</v>
      </c>
      <c r="H22" s="10" t="s">
        <v>83</v>
      </c>
      <c r="I22" s="11" t="s">
        <v>65</v>
      </c>
      <c r="J22" s="10" t="s">
        <v>66</v>
      </c>
      <c r="K22" s="10" t="s">
        <v>67</v>
      </c>
      <c r="L22" s="10" t="s">
        <v>68</v>
      </c>
      <c r="M22" s="10" t="s">
        <v>69</v>
      </c>
      <c r="N22" s="10"/>
      <c r="O22" s="11" t="s">
        <v>70</v>
      </c>
      <c r="P22" s="10" t="s">
        <v>71</v>
      </c>
      <c r="Q22" s="11" t="s">
        <v>72</v>
      </c>
      <c r="R22" s="11" t="s">
        <v>73</v>
      </c>
      <c r="S22" s="11" t="s">
        <v>74</v>
      </c>
      <c r="T22" s="11" t="s">
        <v>135</v>
      </c>
      <c r="U22" s="10" t="n">
        <f aca="false">IF(AND($D22="",$E22="",$F22=""),1,0)</f>
        <v>0</v>
      </c>
      <c r="V22" s="10" t="n">
        <f aca="false">IF(OR($I22="",$I22="—"),1,0)</f>
        <v>0</v>
      </c>
      <c r="W22" s="10" t="n">
        <f aca="false">IF(AND(ISNUMBER($D22),ISNUMBER($E22)),IF($E22&gt;$D22,1,0),0)+IF(AND(ISNUMBER($D22),ISNUMBER($F22)),IF($D22&gt;$F22,1,0),0)+IF(AND(ISNUMBER($E22),ISNUMBER($F22)),IF($E22&gt;$F22,1,0),0)</f>
        <v>0</v>
      </c>
      <c r="X22" s="13" t="s">
        <v>76</v>
      </c>
    </row>
    <row r="23" customFormat="false" ht="15" hidden="false" customHeight="false" outlineLevel="0" collapsed="false">
      <c r="A23" s="10" t="s">
        <v>136</v>
      </c>
      <c r="B23" s="10" t="s">
        <v>137</v>
      </c>
      <c r="C23" s="11" t="s">
        <v>128</v>
      </c>
      <c r="D23" s="12" t="n">
        <v>0.2295</v>
      </c>
      <c r="E23" s="12"/>
      <c r="F23" s="12"/>
      <c r="G23" s="10" t="s">
        <v>63</v>
      </c>
      <c r="H23" s="10" t="s">
        <v>87</v>
      </c>
      <c r="I23" s="11" t="s">
        <v>65</v>
      </c>
      <c r="J23" s="10" t="s">
        <v>66</v>
      </c>
      <c r="K23" s="10" t="s">
        <v>67</v>
      </c>
      <c r="L23" s="10" t="s">
        <v>68</v>
      </c>
      <c r="M23" s="10" t="s">
        <v>69</v>
      </c>
      <c r="N23" s="10"/>
      <c r="O23" s="11" t="s">
        <v>88</v>
      </c>
      <c r="P23" s="10" t="s">
        <v>71</v>
      </c>
      <c r="Q23" s="11" t="s">
        <v>72</v>
      </c>
      <c r="R23" s="11" t="s">
        <v>73</v>
      </c>
      <c r="S23" s="11" t="s">
        <v>74</v>
      </c>
      <c r="T23" s="11" t="s">
        <v>138</v>
      </c>
      <c r="U23" s="10" t="n">
        <f aca="false">IF(AND($D23="",$E23="",$F23=""),1,0)</f>
        <v>0</v>
      </c>
      <c r="V23" s="10" t="n">
        <f aca="false">IF(OR($I23="",$I23="—"),1,0)</f>
        <v>0</v>
      </c>
      <c r="W23" s="10" t="n">
        <f aca="false">IF(AND(ISNUMBER($D23),ISNUMBER($E23)),IF($E23&gt;$D23,1,0),0)+IF(AND(ISNUMBER($D23),ISNUMBER($F23)),IF($D23&gt;$F23,1,0),0)+IF(AND(ISNUMBER($E23),ISNUMBER($F23)),IF($E23&gt;$F23,1,0),0)</f>
        <v>0</v>
      </c>
      <c r="X23" s="13" t="s">
        <v>76</v>
      </c>
    </row>
    <row r="24" customFormat="false" ht="15" hidden="false" customHeight="false" outlineLevel="0" collapsed="false">
      <c r="A24" s="10" t="s">
        <v>139</v>
      </c>
      <c r="B24" s="10" t="s">
        <v>140</v>
      </c>
      <c r="C24" s="11" t="s">
        <v>128</v>
      </c>
      <c r="D24" s="12" t="n">
        <v>0.9545</v>
      </c>
      <c r="E24" s="12"/>
      <c r="F24" s="12"/>
      <c r="G24" s="10" t="s">
        <v>63</v>
      </c>
      <c r="H24" s="10" t="s">
        <v>92</v>
      </c>
      <c r="I24" s="11" t="s">
        <v>65</v>
      </c>
      <c r="J24" s="10" t="s">
        <v>66</v>
      </c>
      <c r="K24" s="10" t="s">
        <v>67</v>
      </c>
      <c r="L24" s="10" t="s">
        <v>68</v>
      </c>
      <c r="M24" s="10" t="s">
        <v>69</v>
      </c>
      <c r="N24" s="10"/>
      <c r="O24" s="11" t="s">
        <v>70</v>
      </c>
      <c r="P24" s="10" t="s">
        <v>71</v>
      </c>
      <c r="Q24" s="11" t="s">
        <v>72</v>
      </c>
      <c r="R24" s="11" t="s">
        <v>73</v>
      </c>
      <c r="S24" s="11" t="s">
        <v>74</v>
      </c>
      <c r="T24" s="11" t="s">
        <v>141</v>
      </c>
      <c r="U24" s="10" t="n">
        <f aca="false">IF(AND($D24="",$E24="",$F24=""),1,0)</f>
        <v>0</v>
      </c>
      <c r="V24" s="10" t="n">
        <f aca="false">IF(OR($I24="",$I24="—"),1,0)</f>
        <v>0</v>
      </c>
      <c r="W24" s="10" t="n">
        <f aca="false">IF(AND(ISNUMBER($D24),ISNUMBER($E24)),IF($E24&gt;$D24,1,0),0)+IF(AND(ISNUMBER($D24),ISNUMBER($F24)),IF($D24&gt;$F24,1,0),0)+IF(AND(ISNUMBER($E24),ISNUMBER($F24)),IF($E24&gt;$F24,1,0),0)</f>
        <v>0</v>
      </c>
      <c r="X24" s="13" t="s">
        <v>76</v>
      </c>
    </row>
    <row r="25" customFormat="false" ht="15" hidden="false" customHeight="false" outlineLevel="0" collapsed="false">
      <c r="A25" s="10" t="s">
        <v>142</v>
      </c>
      <c r="B25" s="10" t="s">
        <v>143</v>
      </c>
      <c r="C25" s="11" t="s">
        <v>144</v>
      </c>
      <c r="D25" s="12" t="n">
        <v>0</v>
      </c>
      <c r="E25" s="12"/>
      <c r="F25" s="12"/>
      <c r="G25" s="10" t="s">
        <v>63</v>
      </c>
      <c r="H25" s="10" t="s">
        <v>64</v>
      </c>
      <c r="I25" s="11" t="s">
        <v>65</v>
      </c>
      <c r="J25" s="10" t="s">
        <v>66</v>
      </c>
      <c r="K25" s="10" t="s">
        <v>67</v>
      </c>
      <c r="L25" s="10" t="s">
        <v>68</v>
      </c>
      <c r="M25" s="10" t="s">
        <v>69</v>
      </c>
      <c r="N25" s="10"/>
      <c r="O25" s="11" t="s">
        <v>70</v>
      </c>
      <c r="P25" s="10" t="s">
        <v>71</v>
      </c>
      <c r="Q25" s="11" t="s">
        <v>72</v>
      </c>
      <c r="R25" s="11" t="s">
        <v>73</v>
      </c>
      <c r="S25" s="11" t="s">
        <v>74</v>
      </c>
      <c r="T25" s="11" t="s">
        <v>145</v>
      </c>
      <c r="U25" s="10" t="n">
        <f aca="false">IF(AND($D25="",$E25="",$F25=""),1,0)</f>
        <v>0</v>
      </c>
      <c r="V25" s="10" t="n">
        <f aca="false">IF(OR($I25="",$I25="—"),1,0)</f>
        <v>0</v>
      </c>
      <c r="W25" s="10" t="n">
        <f aca="false">IF(AND(ISNUMBER($D25),ISNUMBER($E25)),IF($E25&gt;$D25,1,0),0)+IF(AND(ISNUMBER($D25),ISNUMBER($F25)),IF($D25&gt;$F25,1,0),0)+IF(AND(ISNUMBER($E25),ISNUMBER($F25)),IF($E25&gt;$F25,1,0),0)</f>
        <v>0</v>
      </c>
      <c r="X25" s="13" t="s">
        <v>76</v>
      </c>
    </row>
    <row r="26" customFormat="false" ht="15" hidden="false" customHeight="false" outlineLevel="0" collapsed="false">
      <c r="A26" s="10" t="s">
        <v>146</v>
      </c>
      <c r="B26" s="10" t="s">
        <v>147</v>
      </c>
      <c r="C26" s="11" t="s">
        <v>144</v>
      </c>
      <c r="D26" s="12" t="n">
        <v>0.12</v>
      </c>
      <c r="E26" s="12"/>
      <c r="F26" s="12"/>
      <c r="G26" s="10" t="s">
        <v>63</v>
      </c>
      <c r="H26" s="10" t="s">
        <v>79</v>
      </c>
      <c r="I26" s="11" t="s">
        <v>65</v>
      </c>
      <c r="J26" s="10" t="s">
        <v>66</v>
      </c>
      <c r="K26" s="10" t="s">
        <v>67</v>
      </c>
      <c r="L26" s="10" t="s">
        <v>68</v>
      </c>
      <c r="M26" s="10" t="s">
        <v>69</v>
      </c>
      <c r="N26" s="10"/>
      <c r="O26" s="11" t="s">
        <v>70</v>
      </c>
      <c r="P26" s="10" t="s">
        <v>71</v>
      </c>
      <c r="Q26" s="11" t="s">
        <v>72</v>
      </c>
      <c r="R26" s="11" t="s">
        <v>73</v>
      </c>
      <c r="S26" s="11" t="s">
        <v>74</v>
      </c>
      <c r="T26" s="11" t="s">
        <v>148</v>
      </c>
      <c r="U26" s="10" t="n">
        <f aca="false">IF(AND($D26="",$E26="",$F26=""),1,0)</f>
        <v>0</v>
      </c>
      <c r="V26" s="10" t="n">
        <f aca="false">IF(OR($I26="",$I26="—"),1,0)</f>
        <v>0</v>
      </c>
      <c r="W26" s="10" t="n">
        <f aca="false">IF(AND(ISNUMBER($D26),ISNUMBER($E26)),IF($E26&gt;$D26,1,0),0)+IF(AND(ISNUMBER($D26),ISNUMBER($F26)),IF($D26&gt;$F26,1,0),0)+IF(AND(ISNUMBER($E26),ISNUMBER($F26)),IF($E26&gt;$F26,1,0),0)</f>
        <v>0</v>
      </c>
      <c r="X26" s="13" t="s">
        <v>76</v>
      </c>
    </row>
    <row r="27" customFormat="false" ht="15" hidden="false" customHeight="false" outlineLevel="0" collapsed="false">
      <c r="A27" s="10" t="s">
        <v>149</v>
      </c>
      <c r="B27" s="10" t="s">
        <v>150</v>
      </c>
      <c r="C27" s="11" t="s">
        <v>144</v>
      </c>
      <c r="D27" s="12" t="n">
        <v>0.3017</v>
      </c>
      <c r="E27" s="12"/>
      <c r="F27" s="12"/>
      <c r="G27" s="10" t="s">
        <v>63</v>
      </c>
      <c r="H27" s="10" t="s">
        <v>83</v>
      </c>
      <c r="I27" s="11" t="s">
        <v>65</v>
      </c>
      <c r="J27" s="10" t="s">
        <v>66</v>
      </c>
      <c r="K27" s="10" t="s">
        <v>67</v>
      </c>
      <c r="L27" s="10" t="s">
        <v>68</v>
      </c>
      <c r="M27" s="10" t="s">
        <v>69</v>
      </c>
      <c r="N27" s="10"/>
      <c r="O27" s="11" t="s">
        <v>70</v>
      </c>
      <c r="P27" s="10" t="s">
        <v>71</v>
      </c>
      <c r="Q27" s="11" t="s">
        <v>72</v>
      </c>
      <c r="R27" s="11" t="s">
        <v>73</v>
      </c>
      <c r="S27" s="11" t="s">
        <v>74</v>
      </c>
      <c r="T27" s="11" t="s">
        <v>151</v>
      </c>
      <c r="U27" s="10" t="n">
        <f aca="false">IF(AND($D27="",$E27="",$F27=""),1,0)</f>
        <v>0</v>
      </c>
      <c r="V27" s="10" t="n">
        <f aca="false">IF(OR($I27="",$I27="—"),1,0)</f>
        <v>0</v>
      </c>
      <c r="W27" s="10" t="n">
        <f aca="false">IF(AND(ISNUMBER($D27),ISNUMBER($E27)),IF($E27&gt;$D27,1,0),0)+IF(AND(ISNUMBER($D27),ISNUMBER($F27)),IF($D27&gt;$F27,1,0),0)+IF(AND(ISNUMBER($E27),ISNUMBER($F27)),IF($E27&gt;$F27,1,0),0)</f>
        <v>0</v>
      </c>
      <c r="X27" s="13" t="s">
        <v>76</v>
      </c>
    </row>
    <row r="28" customFormat="false" ht="15" hidden="false" customHeight="false" outlineLevel="0" collapsed="false">
      <c r="A28" s="10" t="s">
        <v>152</v>
      </c>
      <c r="B28" s="10" t="s">
        <v>153</v>
      </c>
      <c r="C28" s="11" t="s">
        <v>144</v>
      </c>
      <c r="D28" s="12" t="n">
        <v>0.0845</v>
      </c>
      <c r="E28" s="12"/>
      <c r="F28" s="12"/>
      <c r="G28" s="10" t="s">
        <v>63</v>
      </c>
      <c r="H28" s="10" t="s">
        <v>87</v>
      </c>
      <c r="I28" s="11" t="s">
        <v>65</v>
      </c>
      <c r="J28" s="10" t="s">
        <v>66</v>
      </c>
      <c r="K28" s="10" t="s">
        <v>67</v>
      </c>
      <c r="L28" s="10" t="s">
        <v>68</v>
      </c>
      <c r="M28" s="10" t="s">
        <v>69</v>
      </c>
      <c r="N28" s="10"/>
      <c r="O28" s="11" t="s">
        <v>88</v>
      </c>
      <c r="P28" s="10" t="s">
        <v>71</v>
      </c>
      <c r="Q28" s="11" t="s">
        <v>72</v>
      </c>
      <c r="R28" s="11" t="s">
        <v>73</v>
      </c>
      <c r="S28" s="11" t="s">
        <v>74</v>
      </c>
      <c r="T28" s="11" t="s">
        <v>154</v>
      </c>
      <c r="U28" s="10" t="n">
        <f aca="false">IF(AND($D28="",$E28="",$F28=""),1,0)</f>
        <v>0</v>
      </c>
      <c r="V28" s="10" t="n">
        <f aca="false">IF(OR($I28="",$I28="—"),1,0)</f>
        <v>0</v>
      </c>
      <c r="W28" s="10" t="n">
        <f aca="false">IF(AND(ISNUMBER($D28),ISNUMBER($E28)),IF($E28&gt;$D28,1,0),0)+IF(AND(ISNUMBER($D28),ISNUMBER($F28)),IF($D28&gt;$F28,1,0),0)+IF(AND(ISNUMBER($E28),ISNUMBER($F28)),IF($E28&gt;$F28,1,0),0)</f>
        <v>0</v>
      </c>
      <c r="X28" s="13" t="s">
        <v>76</v>
      </c>
    </row>
    <row r="29" customFormat="false" ht="15" hidden="false" customHeight="false" outlineLevel="0" collapsed="false">
      <c r="A29" s="10" t="s">
        <v>155</v>
      </c>
      <c r="B29" s="10" t="s">
        <v>156</v>
      </c>
      <c r="C29" s="11" t="s">
        <v>144</v>
      </c>
      <c r="D29" s="12" t="n">
        <v>0.3584</v>
      </c>
      <c r="E29" s="12"/>
      <c r="F29" s="12"/>
      <c r="G29" s="10" t="s">
        <v>63</v>
      </c>
      <c r="H29" s="10" t="s">
        <v>92</v>
      </c>
      <c r="I29" s="11" t="s">
        <v>65</v>
      </c>
      <c r="J29" s="10" t="s">
        <v>66</v>
      </c>
      <c r="K29" s="10" t="s">
        <v>67</v>
      </c>
      <c r="L29" s="10" t="s">
        <v>68</v>
      </c>
      <c r="M29" s="10" t="s">
        <v>69</v>
      </c>
      <c r="N29" s="10"/>
      <c r="O29" s="11" t="s">
        <v>70</v>
      </c>
      <c r="P29" s="10" t="s">
        <v>71</v>
      </c>
      <c r="Q29" s="11" t="s">
        <v>72</v>
      </c>
      <c r="R29" s="11" t="s">
        <v>73</v>
      </c>
      <c r="S29" s="11" t="s">
        <v>74</v>
      </c>
      <c r="T29" s="11" t="s">
        <v>157</v>
      </c>
      <c r="U29" s="10" t="n">
        <f aca="false">IF(AND($D29="",$E29="",$F29=""),1,0)</f>
        <v>0</v>
      </c>
      <c r="V29" s="10" t="n">
        <f aca="false">IF(OR($I29="",$I29="—"),1,0)</f>
        <v>0</v>
      </c>
      <c r="W29" s="10" t="n">
        <f aca="false">IF(AND(ISNUMBER($D29),ISNUMBER($E29)),IF($E29&gt;$D29,1,0),0)+IF(AND(ISNUMBER($D29),ISNUMBER($F29)),IF($D29&gt;$F29,1,0),0)+IF(AND(ISNUMBER($E29),ISNUMBER($F29)),IF($E29&gt;$F29,1,0),0)</f>
        <v>0</v>
      </c>
      <c r="X29" s="13" t="s">
        <v>76</v>
      </c>
    </row>
    <row r="30" customFormat="false" ht="15" hidden="false" customHeight="false" outlineLevel="0" collapsed="false">
      <c r="A30" s="10" t="s">
        <v>158</v>
      </c>
      <c r="B30" s="10" t="s">
        <v>159</v>
      </c>
      <c r="C30" s="11" t="s">
        <v>160</v>
      </c>
      <c r="D30" s="12" t="n">
        <v>0.1643</v>
      </c>
      <c r="E30" s="12"/>
      <c r="F30" s="12"/>
      <c r="G30" s="10" t="s">
        <v>63</v>
      </c>
      <c r="H30" s="10" t="s">
        <v>64</v>
      </c>
      <c r="I30" s="11" t="s">
        <v>65</v>
      </c>
      <c r="J30" s="10" t="s">
        <v>66</v>
      </c>
      <c r="K30" s="10" t="s">
        <v>67</v>
      </c>
      <c r="L30" s="10" t="s">
        <v>68</v>
      </c>
      <c r="M30" s="10" t="s">
        <v>69</v>
      </c>
      <c r="N30" s="10"/>
      <c r="O30" s="11" t="s">
        <v>70</v>
      </c>
      <c r="P30" s="10" t="s">
        <v>71</v>
      </c>
      <c r="Q30" s="11" t="s">
        <v>72</v>
      </c>
      <c r="R30" s="11" t="s">
        <v>73</v>
      </c>
      <c r="S30" s="11" t="s">
        <v>74</v>
      </c>
      <c r="T30" s="11" t="s">
        <v>161</v>
      </c>
      <c r="U30" s="10" t="n">
        <f aca="false">IF(AND($D30="",$E30="",$F30=""),1,0)</f>
        <v>0</v>
      </c>
      <c r="V30" s="10" t="n">
        <f aca="false">IF(OR($I30="",$I30="—"),1,0)</f>
        <v>0</v>
      </c>
      <c r="W30" s="10" t="n">
        <f aca="false">IF(AND(ISNUMBER($D30),ISNUMBER($E30)),IF($E30&gt;$D30,1,0),0)+IF(AND(ISNUMBER($D30),ISNUMBER($F30)),IF($D30&gt;$F30,1,0),0)+IF(AND(ISNUMBER($E30),ISNUMBER($F30)),IF($E30&gt;$F30,1,0),0)</f>
        <v>0</v>
      </c>
      <c r="X30" s="13" t="s">
        <v>76</v>
      </c>
    </row>
    <row r="31" customFormat="false" ht="15" hidden="false" customHeight="false" outlineLevel="0" collapsed="false">
      <c r="A31" s="10" t="s">
        <v>162</v>
      </c>
      <c r="B31" s="10" t="s">
        <v>163</v>
      </c>
      <c r="C31" s="11" t="s">
        <v>160</v>
      </c>
      <c r="D31" s="12" t="n">
        <v>0.1537</v>
      </c>
      <c r="E31" s="12"/>
      <c r="F31" s="12"/>
      <c r="G31" s="10" t="s">
        <v>63</v>
      </c>
      <c r="H31" s="10" t="s">
        <v>79</v>
      </c>
      <c r="I31" s="11" t="s">
        <v>65</v>
      </c>
      <c r="J31" s="10" t="s">
        <v>66</v>
      </c>
      <c r="K31" s="10" t="s">
        <v>67</v>
      </c>
      <c r="L31" s="10" t="s">
        <v>68</v>
      </c>
      <c r="M31" s="10" t="s">
        <v>69</v>
      </c>
      <c r="N31" s="10"/>
      <c r="O31" s="11" t="s">
        <v>70</v>
      </c>
      <c r="P31" s="10" t="s">
        <v>71</v>
      </c>
      <c r="Q31" s="11" t="s">
        <v>72</v>
      </c>
      <c r="R31" s="11" t="s">
        <v>73</v>
      </c>
      <c r="S31" s="11" t="s">
        <v>74</v>
      </c>
      <c r="T31" s="11" t="s">
        <v>164</v>
      </c>
      <c r="U31" s="10" t="n">
        <f aca="false">IF(AND($D31="",$E31="",$F31=""),1,0)</f>
        <v>0</v>
      </c>
      <c r="V31" s="10" t="n">
        <f aca="false">IF(OR($I31="",$I31="—"),1,0)</f>
        <v>0</v>
      </c>
      <c r="W31" s="10" t="n">
        <f aca="false">IF(AND(ISNUMBER($D31),ISNUMBER($E31)),IF($E31&gt;$D31,1,0),0)+IF(AND(ISNUMBER($D31),ISNUMBER($F31)),IF($D31&gt;$F31,1,0),0)+IF(AND(ISNUMBER($E31),ISNUMBER($F31)),IF($E31&gt;$F31,1,0),0)</f>
        <v>0</v>
      </c>
      <c r="X31" s="13" t="s">
        <v>76</v>
      </c>
    </row>
    <row r="32" customFormat="false" ht="15" hidden="false" customHeight="false" outlineLevel="0" collapsed="false">
      <c r="A32" s="10" t="s">
        <v>165</v>
      </c>
      <c r="B32" s="10" t="s">
        <v>166</v>
      </c>
      <c r="C32" s="11" t="s">
        <v>160</v>
      </c>
      <c r="D32" s="12" t="n">
        <v>0.7426</v>
      </c>
      <c r="E32" s="12"/>
      <c r="F32" s="12"/>
      <c r="G32" s="10" t="s">
        <v>63</v>
      </c>
      <c r="H32" s="10" t="s">
        <v>83</v>
      </c>
      <c r="I32" s="11" t="s">
        <v>65</v>
      </c>
      <c r="J32" s="10" t="s">
        <v>66</v>
      </c>
      <c r="K32" s="10" t="s">
        <v>67</v>
      </c>
      <c r="L32" s="10" t="s">
        <v>68</v>
      </c>
      <c r="M32" s="10" t="s">
        <v>69</v>
      </c>
      <c r="N32" s="10"/>
      <c r="O32" s="11" t="s">
        <v>70</v>
      </c>
      <c r="P32" s="10" t="s">
        <v>71</v>
      </c>
      <c r="Q32" s="11" t="s">
        <v>72</v>
      </c>
      <c r="R32" s="11" t="s">
        <v>73</v>
      </c>
      <c r="S32" s="11" t="s">
        <v>74</v>
      </c>
      <c r="T32" s="11" t="s">
        <v>167</v>
      </c>
      <c r="U32" s="10" t="n">
        <f aca="false">IF(AND($D32="",$E32="",$F32=""),1,0)</f>
        <v>0</v>
      </c>
      <c r="V32" s="10" t="n">
        <f aca="false">IF(OR($I32="",$I32="—"),1,0)</f>
        <v>0</v>
      </c>
      <c r="W32" s="10" t="n">
        <f aca="false">IF(AND(ISNUMBER($D32),ISNUMBER($E32)),IF($E32&gt;$D32,1,0),0)+IF(AND(ISNUMBER($D32),ISNUMBER($F32)),IF($D32&gt;$F32,1,0),0)+IF(AND(ISNUMBER($E32),ISNUMBER($F32)),IF($E32&gt;$F32,1,0),0)</f>
        <v>0</v>
      </c>
      <c r="X32" s="13" t="s">
        <v>76</v>
      </c>
    </row>
    <row r="33" customFormat="false" ht="15" hidden="false" customHeight="false" outlineLevel="0" collapsed="false">
      <c r="A33" s="10" t="s">
        <v>168</v>
      </c>
      <c r="B33" s="10" t="s">
        <v>169</v>
      </c>
      <c r="C33" s="11" t="s">
        <v>160</v>
      </c>
      <c r="D33" s="12" t="n">
        <v>0.1083</v>
      </c>
      <c r="E33" s="12"/>
      <c r="F33" s="12"/>
      <c r="G33" s="10" t="s">
        <v>63</v>
      </c>
      <c r="H33" s="10" t="s">
        <v>87</v>
      </c>
      <c r="I33" s="11" t="s">
        <v>65</v>
      </c>
      <c r="J33" s="10" t="s">
        <v>66</v>
      </c>
      <c r="K33" s="10" t="s">
        <v>67</v>
      </c>
      <c r="L33" s="10" t="s">
        <v>68</v>
      </c>
      <c r="M33" s="10" t="s">
        <v>69</v>
      </c>
      <c r="N33" s="10"/>
      <c r="O33" s="11" t="s">
        <v>88</v>
      </c>
      <c r="P33" s="10" t="s">
        <v>71</v>
      </c>
      <c r="Q33" s="11" t="s">
        <v>72</v>
      </c>
      <c r="R33" s="11" t="s">
        <v>73</v>
      </c>
      <c r="S33" s="11" t="s">
        <v>74</v>
      </c>
      <c r="T33" s="11" t="s">
        <v>170</v>
      </c>
      <c r="U33" s="10" t="n">
        <f aca="false">IF(AND($D33="",$E33="",$F33=""),1,0)</f>
        <v>0</v>
      </c>
      <c r="V33" s="10" t="n">
        <f aca="false">IF(OR($I33="",$I33="—"),1,0)</f>
        <v>0</v>
      </c>
      <c r="W33" s="10" t="n">
        <f aca="false">IF(AND(ISNUMBER($D33),ISNUMBER($E33)),IF($E33&gt;$D33,1,0),0)+IF(AND(ISNUMBER($D33),ISNUMBER($F33)),IF($D33&gt;$F33,1,0),0)+IF(AND(ISNUMBER($E33),ISNUMBER($F33)),IF($E33&gt;$F33,1,0),0)</f>
        <v>0</v>
      </c>
      <c r="X33" s="13" t="s">
        <v>76</v>
      </c>
    </row>
    <row r="34" customFormat="false" ht="15" hidden="false" customHeight="false" outlineLevel="0" collapsed="false">
      <c r="A34" s="10" t="s">
        <v>171</v>
      </c>
      <c r="B34" s="10" t="s">
        <v>172</v>
      </c>
      <c r="C34" s="11" t="s">
        <v>160</v>
      </c>
      <c r="D34" s="12" t="n">
        <v>0.3763</v>
      </c>
      <c r="E34" s="12"/>
      <c r="F34" s="12"/>
      <c r="G34" s="10" t="s">
        <v>63</v>
      </c>
      <c r="H34" s="10" t="s">
        <v>92</v>
      </c>
      <c r="I34" s="11" t="s">
        <v>65</v>
      </c>
      <c r="J34" s="10" t="s">
        <v>66</v>
      </c>
      <c r="K34" s="10" t="s">
        <v>67</v>
      </c>
      <c r="L34" s="10" t="s">
        <v>68</v>
      </c>
      <c r="M34" s="10" t="s">
        <v>69</v>
      </c>
      <c r="N34" s="10"/>
      <c r="O34" s="11" t="s">
        <v>70</v>
      </c>
      <c r="P34" s="10" t="s">
        <v>71</v>
      </c>
      <c r="Q34" s="11" t="s">
        <v>72</v>
      </c>
      <c r="R34" s="11" t="s">
        <v>73</v>
      </c>
      <c r="S34" s="11" t="s">
        <v>74</v>
      </c>
      <c r="T34" s="11" t="s">
        <v>173</v>
      </c>
      <c r="U34" s="10" t="n">
        <f aca="false">IF(AND($D34="",$E34="",$F34=""),1,0)</f>
        <v>0</v>
      </c>
      <c r="V34" s="10" t="n">
        <f aca="false">IF(OR($I34="",$I34="—"),1,0)</f>
        <v>0</v>
      </c>
      <c r="W34" s="10" t="n">
        <f aca="false">IF(AND(ISNUMBER($D34),ISNUMBER($E34)),IF($E34&gt;$D34,1,0),0)+IF(AND(ISNUMBER($D34),ISNUMBER($F34)),IF($D34&gt;$F34,1,0),0)+IF(AND(ISNUMBER($E34),ISNUMBER($F34)),IF($E34&gt;$F34,1,0),0)</f>
        <v>0</v>
      </c>
      <c r="X34" s="13" t="s">
        <v>76</v>
      </c>
    </row>
    <row r="35" customFormat="false" ht="15" hidden="false" customHeight="false" outlineLevel="0" collapsed="false">
      <c r="A35" s="10" t="s">
        <v>174</v>
      </c>
      <c r="B35" s="10" t="s">
        <v>175</v>
      </c>
      <c r="C35" s="11" t="s">
        <v>176</v>
      </c>
      <c r="D35" s="12" t="n">
        <v>0.3136</v>
      </c>
      <c r="E35" s="12"/>
      <c r="F35" s="12"/>
      <c r="G35" s="10" t="s">
        <v>63</v>
      </c>
      <c r="H35" s="10" t="s">
        <v>64</v>
      </c>
      <c r="I35" s="11" t="s">
        <v>65</v>
      </c>
      <c r="J35" s="10" t="s">
        <v>66</v>
      </c>
      <c r="K35" s="10" t="s">
        <v>67</v>
      </c>
      <c r="L35" s="10" t="s">
        <v>68</v>
      </c>
      <c r="M35" s="10" t="s">
        <v>69</v>
      </c>
      <c r="N35" s="10"/>
      <c r="O35" s="11" t="s">
        <v>70</v>
      </c>
      <c r="P35" s="10" t="s">
        <v>71</v>
      </c>
      <c r="Q35" s="11" t="s">
        <v>72</v>
      </c>
      <c r="R35" s="11" t="s">
        <v>73</v>
      </c>
      <c r="S35" s="11" t="s">
        <v>74</v>
      </c>
      <c r="T35" s="11" t="s">
        <v>177</v>
      </c>
      <c r="U35" s="10" t="n">
        <f aca="false">IF(AND($D35="",$E35="",$F35=""),1,0)</f>
        <v>0</v>
      </c>
      <c r="V35" s="10" t="n">
        <f aca="false">IF(OR($I35="",$I35="—"),1,0)</f>
        <v>0</v>
      </c>
      <c r="W35" s="10" t="n">
        <f aca="false">IF(AND(ISNUMBER($D35),ISNUMBER($E35)),IF($E35&gt;$D35,1,0),0)+IF(AND(ISNUMBER($D35),ISNUMBER($F35)),IF($D35&gt;$F35,1,0),0)+IF(AND(ISNUMBER($E35),ISNUMBER($F35)),IF($E35&gt;$F35,1,0),0)</f>
        <v>0</v>
      </c>
      <c r="X35" s="13" t="s">
        <v>76</v>
      </c>
    </row>
    <row r="36" customFormat="false" ht="15" hidden="false" customHeight="false" outlineLevel="0" collapsed="false">
      <c r="A36" s="10" t="s">
        <v>178</v>
      </c>
      <c r="B36" s="10" t="s">
        <v>179</v>
      </c>
      <c r="C36" s="11" t="s">
        <v>176</v>
      </c>
      <c r="D36" s="12" t="n">
        <v>0.8048</v>
      </c>
      <c r="E36" s="12"/>
      <c r="F36" s="12"/>
      <c r="G36" s="10" t="s">
        <v>63</v>
      </c>
      <c r="H36" s="10" t="s">
        <v>79</v>
      </c>
      <c r="I36" s="11" t="s">
        <v>65</v>
      </c>
      <c r="J36" s="10" t="s">
        <v>66</v>
      </c>
      <c r="K36" s="10" t="s">
        <v>67</v>
      </c>
      <c r="L36" s="10" t="s">
        <v>68</v>
      </c>
      <c r="M36" s="10" t="s">
        <v>69</v>
      </c>
      <c r="N36" s="10"/>
      <c r="O36" s="11" t="s">
        <v>70</v>
      </c>
      <c r="P36" s="10" t="s">
        <v>71</v>
      </c>
      <c r="Q36" s="11" t="s">
        <v>72</v>
      </c>
      <c r="R36" s="11" t="s">
        <v>73</v>
      </c>
      <c r="S36" s="11" t="s">
        <v>74</v>
      </c>
      <c r="T36" s="11" t="s">
        <v>180</v>
      </c>
      <c r="U36" s="10" t="n">
        <f aca="false">IF(AND($D36="",$E36="",$F36=""),1,0)</f>
        <v>0</v>
      </c>
      <c r="V36" s="10" t="n">
        <f aca="false">IF(OR($I36="",$I36="—"),1,0)</f>
        <v>0</v>
      </c>
      <c r="W36" s="10" t="n">
        <f aca="false">IF(AND(ISNUMBER($D36),ISNUMBER($E36)),IF($E36&gt;$D36,1,0),0)+IF(AND(ISNUMBER($D36),ISNUMBER($F36)),IF($D36&gt;$F36,1,0),0)+IF(AND(ISNUMBER($E36),ISNUMBER($F36)),IF($E36&gt;$F36,1,0),0)</f>
        <v>0</v>
      </c>
      <c r="X36" s="13" t="s">
        <v>76</v>
      </c>
    </row>
    <row r="37" customFormat="false" ht="15" hidden="false" customHeight="false" outlineLevel="0" collapsed="false">
      <c r="A37" s="10" t="s">
        <v>181</v>
      </c>
      <c r="B37" s="10" t="s">
        <v>182</v>
      </c>
      <c r="C37" s="11" t="s">
        <v>176</v>
      </c>
      <c r="D37" s="12" t="n">
        <v>1.7589</v>
      </c>
      <c r="E37" s="12"/>
      <c r="F37" s="12"/>
      <c r="G37" s="10" t="s">
        <v>63</v>
      </c>
      <c r="H37" s="10" t="s">
        <v>83</v>
      </c>
      <c r="I37" s="11" t="s">
        <v>65</v>
      </c>
      <c r="J37" s="10" t="s">
        <v>66</v>
      </c>
      <c r="K37" s="10" t="s">
        <v>67</v>
      </c>
      <c r="L37" s="10" t="s">
        <v>68</v>
      </c>
      <c r="M37" s="10" t="s">
        <v>69</v>
      </c>
      <c r="N37" s="10"/>
      <c r="O37" s="11" t="s">
        <v>70</v>
      </c>
      <c r="P37" s="10" t="s">
        <v>71</v>
      </c>
      <c r="Q37" s="11" t="s">
        <v>72</v>
      </c>
      <c r="R37" s="11" t="s">
        <v>73</v>
      </c>
      <c r="S37" s="11" t="s">
        <v>74</v>
      </c>
      <c r="T37" s="11" t="s">
        <v>183</v>
      </c>
      <c r="U37" s="10" t="n">
        <f aca="false">IF(AND($D37="",$E37="",$F37=""),1,0)</f>
        <v>0</v>
      </c>
      <c r="V37" s="10" t="n">
        <f aca="false">IF(OR($I37="",$I37="—"),1,0)</f>
        <v>0</v>
      </c>
      <c r="W37" s="10" t="n">
        <f aca="false">IF(AND(ISNUMBER($D37),ISNUMBER($E37)),IF($E37&gt;$D37,1,0),0)+IF(AND(ISNUMBER($D37),ISNUMBER($F37)),IF($D37&gt;$F37,1,0),0)+IF(AND(ISNUMBER($E37),ISNUMBER($F37)),IF($E37&gt;$F37,1,0),0)</f>
        <v>0</v>
      </c>
      <c r="X37" s="13" t="s">
        <v>76</v>
      </c>
    </row>
    <row r="38" customFormat="false" ht="15" hidden="false" customHeight="false" outlineLevel="0" collapsed="false">
      <c r="A38" s="10" t="s">
        <v>184</v>
      </c>
      <c r="B38" s="10" t="s">
        <v>185</v>
      </c>
      <c r="C38" s="11" t="s">
        <v>176</v>
      </c>
      <c r="D38" s="12" t="n">
        <v>0.2196</v>
      </c>
      <c r="E38" s="12"/>
      <c r="F38" s="12"/>
      <c r="G38" s="10" t="s">
        <v>63</v>
      </c>
      <c r="H38" s="10" t="s">
        <v>87</v>
      </c>
      <c r="I38" s="11" t="s">
        <v>65</v>
      </c>
      <c r="J38" s="10" t="s">
        <v>66</v>
      </c>
      <c r="K38" s="10" t="s">
        <v>67</v>
      </c>
      <c r="L38" s="10" t="s">
        <v>68</v>
      </c>
      <c r="M38" s="10" t="s">
        <v>69</v>
      </c>
      <c r="N38" s="10"/>
      <c r="O38" s="11" t="s">
        <v>88</v>
      </c>
      <c r="P38" s="10" t="s">
        <v>71</v>
      </c>
      <c r="Q38" s="11" t="s">
        <v>72</v>
      </c>
      <c r="R38" s="11" t="s">
        <v>73</v>
      </c>
      <c r="S38" s="11" t="s">
        <v>74</v>
      </c>
      <c r="T38" s="11" t="s">
        <v>186</v>
      </c>
      <c r="U38" s="10" t="n">
        <f aca="false">IF(AND($D38="",$E38="",$F38=""),1,0)</f>
        <v>0</v>
      </c>
      <c r="V38" s="10" t="n">
        <f aca="false">IF(OR($I38="",$I38="—"),1,0)</f>
        <v>0</v>
      </c>
      <c r="W38" s="10" t="n">
        <f aca="false">IF(AND(ISNUMBER($D38),ISNUMBER($E38)),IF($E38&gt;$D38,1,0),0)+IF(AND(ISNUMBER($D38),ISNUMBER($F38)),IF($D38&gt;$F38,1,0),0)+IF(AND(ISNUMBER($E38),ISNUMBER($F38)),IF($E38&gt;$F38,1,0),0)</f>
        <v>0</v>
      </c>
      <c r="X38" s="13" t="s">
        <v>76</v>
      </c>
    </row>
    <row r="39" customFormat="false" ht="15" hidden="false" customHeight="false" outlineLevel="0" collapsed="false">
      <c r="A39" s="10" t="s">
        <v>187</v>
      </c>
      <c r="B39" s="10" t="s">
        <v>188</v>
      </c>
      <c r="C39" s="11" t="s">
        <v>176</v>
      </c>
      <c r="D39" s="12" t="n">
        <v>0.9542</v>
      </c>
      <c r="E39" s="12"/>
      <c r="F39" s="12"/>
      <c r="G39" s="10" t="s">
        <v>63</v>
      </c>
      <c r="H39" s="10" t="s">
        <v>92</v>
      </c>
      <c r="I39" s="11" t="s">
        <v>65</v>
      </c>
      <c r="J39" s="10" t="s">
        <v>66</v>
      </c>
      <c r="K39" s="10" t="s">
        <v>67</v>
      </c>
      <c r="L39" s="10" t="s">
        <v>68</v>
      </c>
      <c r="M39" s="10" t="s">
        <v>69</v>
      </c>
      <c r="N39" s="10"/>
      <c r="O39" s="11" t="s">
        <v>70</v>
      </c>
      <c r="P39" s="10" t="s">
        <v>71</v>
      </c>
      <c r="Q39" s="11" t="s">
        <v>72</v>
      </c>
      <c r="R39" s="11" t="s">
        <v>73</v>
      </c>
      <c r="S39" s="11" t="s">
        <v>74</v>
      </c>
      <c r="T39" s="11" t="s">
        <v>189</v>
      </c>
      <c r="U39" s="10" t="n">
        <f aca="false">IF(AND($D39="",$E39="",$F39=""),1,0)</f>
        <v>0</v>
      </c>
      <c r="V39" s="10" t="n">
        <f aca="false">IF(OR($I39="",$I39="—"),1,0)</f>
        <v>0</v>
      </c>
      <c r="W39" s="10" t="n">
        <f aca="false">IF(AND(ISNUMBER($D39),ISNUMBER($E39)),IF($E39&gt;$D39,1,0),0)+IF(AND(ISNUMBER($D39),ISNUMBER($F39)),IF($D39&gt;$F39,1,0),0)+IF(AND(ISNUMBER($E39),ISNUMBER($F39)),IF($E39&gt;$F39,1,0),0)</f>
        <v>0</v>
      </c>
      <c r="X39" s="13" t="s">
        <v>76</v>
      </c>
    </row>
    <row r="40" customFormat="false" ht="15" hidden="false" customHeight="false" outlineLevel="0" collapsed="false">
      <c r="A40" s="10" t="s">
        <v>190</v>
      </c>
      <c r="B40" s="10" t="s">
        <v>191</v>
      </c>
      <c r="C40" s="11" t="s">
        <v>192</v>
      </c>
      <c r="D40" s="12" t="n">
        <v>0.2939</v>
      </c>
      <c r="E40" s="12"/>
      <c r="F40" s="12"/>
      <c r="G40" s="10" t="s">
        <v>63</v>
      </c>
      <c r="H40" s="10" t="s">
        <v>64</v>
      </c>
      <c r="I40" s="11" t="s">
        <v>65</v>
      </c>
      <c r="J40" s="10" t="s">
        <v>66</v>
      </c>
      <c r="K40" s="10" t="s">
        <v>67</v>
      </c>
      <c r="L40" s="10" t="s">
        <v>68</v>
      </c>
      <c r="M40" s="10" t="s">
        <v>69</v>
      </c>
      <c r="N40" s="10"/>
      <c r="O40" s="11" t="s">
        <v>70</v>
      </c>
      <c r="P40" s="10" t="s">
        <v>71</v>
      </c>
      <c r="Q40" s="11" t="s">
        <v>72</v>
      </c>
      <c r="R40" s="11" t="s">
        <v>73</v>
      </c>
      <c r="S40" s="11" t="s">
        <v>74</v>
      </c>
      <c r="T40" s="11" t="s">
        <v>193</v>
      </c>
      <c r="U40" s="10" t="n">
        <f aca="false">IF(AND($D40="",$E40="",$F40=""),1,0)</f>
        <v>0</v>
      </c>
      <c r="V40" s="10" t="n">
        <f aca="false">IF(OR($I40="",$I40="—"),1,0)</f>
        <v>0</v>
      </c>
      <c r="W40" s="10" t="n">
        <f aca="false">IF(AND(ISNUMBER($D40),ISNUMBER($E40)),IF($E40&gt;$D40,1,0),0)+IF(AND(ISNUMBER($D40),ISNUMBER($F40)),IF($D40&gt;$F40,1,0),0)+IF(AND(ISNUMBER($E40),ISNUMBER($F40)),IF($E40&gt;$F40,1,0),0)</f>
        <v>0</v>
      </c>
      <c r="X40" s="13" t="s">
        <v>76</v>
      </c>
    </row>
    <row r="41" customFormat="false" ht="15" hidden="false" customHeight="false" outlineLevel="0" collapsed="false">
      <c r="A41" s="10" t="s">
        <v>194</v>
      </c>
      <c r="B41" s="10" t="s">
        <v>195</v>
      </c>
      <c r="C41" s="11" t="s">
        <v>192</v>
      </c>
      <c r="D41" s="12" t="n">
        <v>0.7678</v>
      </c>
      <c r="E41" s="12"/>
      <c r="F41" s="12"/>
      <c r="G41" s="10" t="s">
        <v>63</v>
      </c>
      <c r="H41" s="10" t="s">
        <v>79</v>
      </c>
      <c r="I41" s="11" t="s">
        <v>65</v>
      </c>
      <c r="J41" s="10" t="s">
        <v>66</v>
      </c>
      <c r="K41" s="10" t="s">
        <v>67</v>
      </c>
      <c r="L41" s="10" t="s">
        <v>68</v>
      </c>
      <c r="M41" s="10" t="s">
        <v>69</v>
      </c>
      <c r="N41" s="10"/>
      <c r="O41" s="11" t="s">
        <v>70</v>
      </c>
      <c r="P41" s="10" t="s">
        <v>71</v>
      </c>
      <c r="Q41" s="11" t="s">
        <v>72</v>
      </c>
      <c r="R41" s="11" t="s">
        <v>73</v>
      </c>
      <c r="S41" s="11" t="s">
        <v>74</v>
      </c>
      <c r="T41" s="11" t="s">
        <v>196</v>
      </c>
      <c r="U41" s="10" t="n">
        <f aca="false">IF(AND($D41="",$E41="",$F41=""),1,0)</f>
        <v>0</v>
      </c>
      <c r="V41" s="10" t="n">
        <f aca="false">IF(OR($I41="",$I41="—"),1,0)</f>
        <v>0</v>
      </c>
      <c r="W41" s="10" t="n">
        <f aca="false">IF(AND(ISNUMBER($D41),ISNUMBER($E41)),IF($E41&gt;$D41,1,0),0)+IF(AND(ISNUMBER($D41),ISNUMBER($F41)),IF($D41&gt;$F41,1,0),0)+IF(AND(ISNUMBER($E41),ISNUMBER($F41)),IF($E41&gt;$F41,1,0),0)</f>
        <v>0</v>
      </c>
      <c r="X41" s="13" t="s">
        <v>76</v>
      </c>
    </row>
    <row r="42" customFormat="false" ht="15" hidden="false" customHeight="false" outlineLevel="0" collapsed="false">
      <c r="A42" s="10" t="s">
        <v>197</v>
      </c>
      <c r="B42" s="10" t="s">
        <v>198</v>
      </c>
      <c r="C42" s="11" t="s">
        <v>192</v>
      </c>
      <c r="D42" s="12" t="n">
        <v>1.7426</v>
      </c>
      <c r="E42" s="12"/>
      <c r="F42" s="12"/>
      <c r="G42" s="10" t="s">
        <v>63</v>
      </c>
      <c r="H42" s="10" t="s">
        <v>83</v>
      </c>
      <c r="I42" s="11" t="s">
        <v>65</v>
      </c>
      <c r="J42" s="10" t="s">
        <v>66</v>
      </c>
      <c r="K42" s="10" t="s">
        <v>67</v>
      </c>
      <c r="L42" s="10" t="s">
        <v>68</v>
      </c>
      <c r="M42" s="10" t="s">
        <v>69</v>
      </c>
      <c r="N42" s="10"/>
      <c r="O42" s="11" t="s">
        <v>70</v>
      </c>
      <c r="P42" s="10" t="s">
        <v>71</v>
      </c>
      <c r="Q42" s="11" t="s">
        <v>72</v>
      </c>
      <c r="R42" s="11" t="s">
        <v>73</v>
      </c>
      <c r="S42" s="11" t="s">
        <v>74</v>
      </c>
      <c r="T42" s="11" t="s">
        <v>199</v>
      </c>
      <c r="U42" s="10" t="n">
        <f aca="false">IF(AND($D42="",$E42="",$F42=""),1,0)</f>
        <v>0</v>
      </c>
      <c r="V42" s="10" t="n">
        <f aca="false">IF(OR($I42="",$I42="—"),1,0)</f>
        <v>0</v>
      </c>
      <c r="W42" s="10" t="n">
        <f aca="false">IF(AND(ISNUMBER($D42),ISNUMBER($E42)),IF($E42&gt;$D42,1,0),0)+IF(AND(ISNUMBER($D42),ISNUMBER($F42)),IF($D42&gt;$F42,1,0),0)+IF(AND(ISNUMBER($E42),ISNUMBER($F42)),IF($E42&gt;$F42,1,0),0)</f>
        <v>0</v>
      </c>
      <c r="X42" s="13" t="s">
        <v>76</v>
      </c>
    </row>
    <row r="43" customFormat="false" ht="15" hidden="false" customHeight="false" outlineLevel="0" collapsed="false">
      <c r="A43" s="10" t="s">
        <v>200</v>
      </c>
      <c r="B43" s="10" t="s">
        <v>201</v>
      </c>
      <c r="C43" s="11" t="s">
        <v>192</v>
      </c>
      <c r="D43" s="12" t="n">
        <v>0.1678</v>
      </c>
      <c r="E43" s="12"/>
      <c r="F43" s="12"/>
      <c r="G43" s="10" t="s">
        <v>63</v>
      </c>
      <c r="H43" s="10" t="s">
        <v>87</v>
      </c>
      <c r="I43" s="11" t="s">
        <v>65</v>
      </c>
      <c r="J43" s="10" t="s">
        <v>66</v>
      </c>
      <c r="K43" s="10" t="s">
        <v>67</v>
      </c>
      <c r="L43" s="10" t="s">
        <v>68</v>
      </c>
      <c r="M43" s="10" t="s">
        <v>69</v>
      </c>
      <c r="N43" s="10"/>
      <c r="O43" s="11" t="s">
        <v>88</v>
      </c>
      <c r="P43" s="10" t="s">
        <v>71</v>
      </c>
      <c r="Q43" s="11" t="s">
        <v>72</v>
      </c>
      <c r="R43" s="11" t="s">
        <v>73</v>
      </c>
      <c r="S43" s="11" t="s">
        <v>74</v>
      </c>
      <c r="T43" s="11" t="s">
        <v>202</v>
      </c>
      <c r="U43" s="10" t="n">
        <f aca="false">IF(AND($D43="",$E43="",$F43=""),1,0)</f>
        <v>0</v>
      </c>
      <c r="V43" s="10" t="n">
        <f aca="false">IF(OR($I43="",$I43="—"),1,0)</f>
        <v>0</v>
      </c>
      <c r="W43" s="10" t="n">
        <f aca="false">IF(AND(ISNUMBER($D43),ISNUMBER($E43)),IF($E43&gt;$D43,1,0),0)+IF(AND(ISNUMBER($D43),ISNUMBER($F43)),IF($D43&gt;$F43,1,0),0)+IF(AND(ISNUMBER($E43),ISNUMBER($F43)),IF($E43&gt;$F43,1,0),0)</f>
        <v>0</v>
      </c>
      <c r="X43" s="13" t="s">
        <v>76</v>
      </c>
    </row>
    <row r="44" customFormat="false" ht="15" hidden="false" customHeight="false" outlineLevel="0" collapsed="false">
      <c r="A44" s="10" t="s">
        <v>203</v>
      </c>
      <c r="B44" s="10" t="s">
        <v>204</v>
      </c>
      <c r="C44" s="11" t="s">
        <v>192</v>
      </c>
      <c r="D44" s="12" t="n">
        <v>0.9554</v>
      </c>
      <c r="E44" s="12"/>
      <c r="F44" s="12"/>
      <c r="G44" s="10" t="s">
        <v>63</v>
      </c>
      <c r="H44" s="10" t="s">
        <v>92</v>
      </c>
      <c r="I44" s="11" t="s">
        <v>65</v>
      </c>
      <c r="J44" s="10" t="s">
        <v>66</v>
      </c>
      <c r="K44" s="10" t="s">
        <v>67</v>
      </c>
      <c r="L44" s="10" t="s">
        <v>68</v>
      </c>
      <c r="M44" s="10" t="s">
        <v>69</v>
      </c>
      <c r="N44" s="10"/>
      <c r="O44" s="11" t="s">
        <v>70</v>
      </c>
      <c r="P44" s="10" t="s">
        <v>71</v>
      </c>
      <c r="Q44" s="11" t="s">
        <v>72</v>
      </c>
      <c r="R44" s="11" t="s">
        <v>73</v>
      </c>
      <c r="S44" s="11" t="s">
        <v>74</v>
      </c>
      <c r="T44" s="11" t="s">
        <v>205</v>
      </c>
      <c r="U44" s="10" t="n">
        <f aca="false">IF(AND($D44="",$E44="",$F44=""),1,0)</f>
        <v>0</v>
      </c>
      <c r="V44" s="10" t="n">
        <f aca="false">IF(OR($I44="",$I44="—"),1,0)</f>
        <v>0</v>
      </c>
      <c r="W44" s="10" t="n">
        <f aca="false">IF(AND(ISNUMBER($D44),ISNUMBER($E44)),IF($E44&gt;$D44,1,0),0)+IF(AND(ISNUMBER($D44),ISNUMBER($F44)),IF($D44&gt;$F44,1,0),0)+IF(AND(ISNUMBER($E44),ISNUMBER($F44)),IF($E44&gt;$F44,1,0),0)</f>
        <v>0</v>
      </c>
      <c r="X44" s="13" t="s">
        <v>76</v>
      </c>
    </row>
    <row r="45" customFormat="false" ht="15" hidden="false" customHeight="false" outlineLevel="0" collapsed="false">
      <c r="A45" s="10" t="s">
        <v>206</v>
      </c>
      <c r="B45" s="10" t="s">
        <v>207</v>
      </c>
      <c r="C45" s="11" t="s">
        <v>208</v>
      </c>
      <c r="D45" s="12" t="n">
        <v>0.0197</v>
      </c>
      <c r="E45" s="12"/>
      <c r="F45" s="12"/>
      <c r="G45" s="10" t="s">
        <v>63</v>
      </c>
      <c r="H45" s="10" t="s">
        <v>64</v>
      </c>
      <c r="I45" s="11" t="s">
        <v>65</v>
      </c>
      <c r="J45" s="10" t="s">
        <v>66</v>
      </c>
      <c r="K45" s="10" t="s">
        <v>67</v>
      </c>
      <c r="L45" s="10" t="s">
        <v>68</v>
      </c>
      <c r="M45" s="10" t="s">
        <v>69</v>
      </c>
      <c r="N45" s="10"/>
      <c r="O45" s="11" t="s">
        <v>70</v>
      </c>
      <c r="P45" s="10" t="s">
        <v>71</v>
      </c>
      <c r="Q45" s="11" t="s">
        <v>72</v>
      </c>
      <c r="R45" s="11" t="s">
        <v>73</v>
      </c>
      <c r="S45" s="11" t="s">
        <v>74</v>
      </c>
      <c r="T45" s="11" t="s">
        <v>209</v>
      </c>
      <c r="U45" s="10" t="n">
        <f aca="false">IF(AND($D45="",$E45="",$F45=""),1,0)</f>
        <v>0</v>
      </c>
      <c r="V45" s="10" t="n">
        <f aca="false">IF(OR($I45="",$I45="—"),1,0)</f>
        <v>0</v>
      </c>
      <c r="W45" s="10" t="n">
        <f aca="false">IF(AND(ISNUMBER($D45),ISNUMBER($E45)),IF($E45&gt;$D45,1,0),0)+IF(AND(ISNUMBER($D45),ISNUMBER($F45)),IF($D45&gt;$F45,1,0),0)+IF(AND(ISNUMBER($E45),ISNUMBER($F45)),IF($E45&gt;$F45,1,0),0)</f>
        <v>0</v>
      </c>
      <c r="X45" s="13" t="s">
        <v>76</v>
      </c>
    </row>
    <row r="46" customFormat="false" ht="15" hidden="false" customHeight="false" outlineLevel="0" collapsed="false">
      <c r="A46" s="10" t="s">
        <v>210</v>
      </c>
      <c r="B46" s="10" t="s">
        <v>211</v>
      </c>
      <c r="C46" s="11" t="s">
        <v>208</v>
      </c>
      <c r="D46" s="12" t="n">
        <v>0.037</v>
      </c>
      <c r="E46" s="12"/>
      <c r="F46" s="12"/>
      <c r="G46" s="10" t="s">
        <v>63</v>
      </c>
      <c r="H46" s="10" t="s">
        <v>79</v>
      </c>
      <c r="I46" s="11" t="s">
        <v>65</v>
      </c>
      <c r="J46" s="10" t="s">
        <v>66</v>
      </c>
      <c r="K46" s="10" t="s">
        <v>67</v>
      </c>
      <c r="L46" s="10" t="s">
        <v>68</v>
      </c>
      <c r="M46" s="10" t="s">
        <v>69</v>
      </c>
      <c r="N46" s="10"/>
      <c r="O46" s="11" t="s">
        <v>70</v>
      </c>
      <c r="P46" s="10" t="s">
        <v>71</v>
      </c>
      <c r="Q46" s="11" t="s">
        <v>72</v>
      </c>
      <c r="R46" s="11" t="s">
        <v>73</v>
      </c>
      <c r="S46" s="11" t="s">
        <v>74</v>
      </c>
      <c r="T46" s="11" t="s">
        <v>212</v>
      </c>
      <c r="U46" s="10" t="n">
        <f aca="false">IF(AND($D46="",$E46="",$F46=""),1,0)</f>
        <v>0</v>
      </c>
      <c r="V46" s="10" t="n">
        <f aca="false">IF(OR($I46="",$I46="—"),1,0)</f>
        <v>0</v>
      </c>
      <c r="W46" s="10" t="n">
        <f aca="false">IF(AND(ISNUMBER($D46),ISNUMBER($E46)),IF($E46&gt;$D46,1,0),0)+IF(AND(ISNUMBER($D46),ISNUMBER($F46)),IF($D46&gt;$F46,1,0),0)+IF(AND(ISNUMBER($E46),ISNUMBER($F46)),IF($E46&gt;$F46,1,0),0)</f>
        <v>0</v>
      </c>
      <c r="X46" s="13" t="s">
        <v>76</v>
      </c>
    </row>
    <row r="47" customFormat="false" ht="15" hidden="false" customHeight="false" outlineLevel="0" collapsed="false">
      <c r="A47" s="10" t="s">
        <v>213</v>
      </c>
      <c r="B47" s="10" t="s">
        <v>214</v>
      </c>
      <c r="C47" s="11" t="s">
        <v>208</v>
      </c>
      <c r="D47" s="12" t="n">
        <v>0.0163</v>
      </c>
      <c r="E47" s="12"/>
      <c r="F47" s="12"/>
      <c r="G47" s="10" t="s">
        <v>63</v>
      </c>
      <c r="H47" s="10" t="s">
        <v>83</v>
      </c>
      <c r="I47" s="11" t="s">
        <v>65</v>
      </c>
      <c r="J47" s="10" t="s">
        <v>66</v>
      </c>
      <c r="K47" s="10" t="s">
        <v>67</v>
      </c>
      <c r="L47" s="10" t="s">
        <v>68</v>
      </c>
      <c r="M47" s="10" t="s">
        <v>69</v>
      </c>
      <c r="N47" s="10"/>
      <c r="O47" s="11" t="s">
        <v>70</v>
      </c>
      <c r="P47" s="10" t="s">
        <v>71</v>
      </c>
      <c r="Q47" s="11" t="s">
        <v>72</v>
      </c>
      <c r="R47" s="11" t="s">
        <v>73</v>
      </c>
      <c r="S47" s="11" t="s">
        <v>74</v>
      </c>
      <c r="T47" s="11" t="s">
        <v>215</v>
      </c>
      <c r="U47" s="10" t="n">
        <f aca="false">IF(AND($D47="",$E47="",$F47=""),1,0)</f>
        <v>0</v>
      </c>
      <c r="V47" s="10" t="n">
        <f aca="false">IF(OR($I47="",$I47="—"),1,0)</f>
        <v>0</v>
      </c>
      <c r="W47" s="10" t="n">
        <f aca="false">IF(AND(ISNUMBER($D47),ISNUMBER($E47)),IF($E47&gt;$D47,1,0),0)+IF(AND(ISNUMBER($D47),ISNUMBER($F47)),IF($D47&gt;$F47,1,0),0)+IF(AND(ISNUMBER($E47),ISNUMBER($F47)),IF($E47&gt;$F47,1,0),0)</f>
        <v>0</v>
      </c>
      <c r="X47" s="13" t="s">
        <v>76</v>
      </c>
    </row>
    <row r="48" customFormat="false" ht="15" hidden="false" customHeight="false" outlineLevel="0" collapsed="false">
      <c r="A48" s="10" t="s">
        <v>216</v>
      </c>
      <c r="B48" s="10" t="s">
        <v>217</v>
      </c>
      <c r="C48" s="11" t="s">
        <v>208</v>
      </c>
      <c r="D48" s="12" t="n">
        <v>0.0518</v>
      </c>
      <c r="E48" s="12"/>
      <c r="F48" s="12"/>
      <c r="G48" s="10" t="s">
        <v>63</v>
      </c>
      <c r="H48" s="10" t="s">
        <v>87</v>
      </c>
      <c r="I48" s="11" t="s">
        <v>65</v>
      </c>
      <c r="J48" s="10" t="s">
        <v>66</v>
      </c>
      <c r="K48" s="10" t="s">
        <v>67</v>
      </c>
      <c r="L48" s="10" t="s">
        <v>68</v>
      </c>
      <c r="M48" s="10" t="s">
        <v>69</v>
      </c>
      <c r="N48" s="10"/>
      <c r="O48" s="11" t="s">
        <v>88</v>
      </c>
      <c r="P48" s="10" t="s">
        <v>71</v>
      </c>
      <c r="Q48" s="11" t="s">
        <v>72</v>
      </c>
      <c r="R48" s="11" t="s">
        <v>73</v>
      </c>
      <c r="S48" s="11" t="s">
        <v>74</v>
      </c>
      <c r="T48" s="11" t="s">
        <v>218</v>
      </c>
      <c r="U48" s="10" t="n">
        <f aca="false">IF(AND($D48="",$E48="",$F48=""),1,0)</f>
        <v>0</v>
      </c>
      <c r="V48" s="10" t="n">
        <f aca="false">IF(OR($I48="",$I48="—"),1,0)</f>
        <v>0</v>
      </c>
      <c r="W48" s="10" t="n">
        <f aca="false">IF(AND(ISNUMBER($D48),ISNUMBER($E48)),IF($E48&gt;$D48,1,0),0)+IF(AND(ISNUMBER($D48),ISNUMBER($F48)),IF($D48&gt;$F48,1,0),0)+IF(AND(ISNUMBER($E48),ISNUMBER($F48)),IF($E48&gt;$F48,1,0),0)</f>
        <v>0</v>
      </c>
      <c r="X48" s="13" t="s">
        <v>76</v>
      </c>
    </row>
    <row r="49" customFormat="false" ht="15" hidden="false" customHeight="false" outlineLevel="0" collapsed="false">
      <c r="A49" s="10" t="s">
        <v>219</v>
      </c>
      <c r="B49" s="10" t="s">
        <v>220</v>
      </c>
      <c r="C49" s="11" t="s">
        <v>208</v>
      </c>
      <c r="D49" s="12" t="n">
        <v>-0.0012</v>
      </c>
      <c r="E49" s="12"/>
      <c r="F49" s="12"/>
      <c r="G49" s="10" t="s">
        <v>63</v>
      </c>
      <c r="H49" s="10" t="s">
        <v>92</v>
      </c>
      <c r="I49" s="11" t="s">
        <v>65</v>
      </c>
      <c r="J49" s="10" t="s">
        <v>66</v>
      </c>
      <c r="K49" s="10" t="s">
        <v>67</v>
      </c>
      <c r="L49" s="10" t="s">
        <v>68</v>
      </c>
      <c r="M49" s="10" t="s">
        <v>69</v>
      </c>
      <c r="N49" s="10"/>
      <c r="O49" s="11" t="s">
        <v>70</v>
      </c>
      <c r="P49" s="10" t="s">
        <v>71</v>
      </c>
      <c r="Q49" s="11" t="s">
        <v>72</v>
      </c>
      <c r="R49" s="11" t="s">
        <v>73</v>
      </c>
      <c r="S49" s="11" t="s">
        <v>74</v>
      </c>
      <c r="T49" s="11" t="s">
        <v>221</v>
      </c>
      <c r="U49" s="10" t="n">
        <f aca="false">IF(AND($D49="",$E49="",$F49=""),1,0)</f>
        <v>0</v>
      </c>
      <c r="V49" s="10" t="n">
        <f aca="false">IF(OR($I49="",$I49="—"),1,0)</f>
        <v>0</v>
      </c>
      <c r="W49" s="10" t="n">
        <f aca="false">IF(AND(ISNUMBER($D49),ISNUMBER($E49)),IF($E49&gt;$D49,1,0),0)+IF(AND(ISNUMBER($D49),ISNUMBER($F49)),IF($D49&gt;$F49,1,0),0)+IF(AND(ISNUMBER($E49),ISNUMBER($F49)),IF($E49&gt;$F49,1,0),0)</f>
        <v>0</v>
      </c>
      <c r="X49" s="13" t="s">
        <v>76</v>
      </c>
    </row>
    <row r="50" customFormat="false" ht="15" hidden="false" customHeight="false" outlineLevel="0" collapsed="false">
      <c r="A50" s="10" t="s">
        <v>222</v>
      </c>
      <c r="B50" s="10" t="s">
        <v>223</v>
      </c>
      <c r="C50" s="11" t="s">
        <v>224</v>
      </c>
      <c r="D50" s="12" t="n">
        <v>0.8438</v>
      </c>
      <c r="E50" s="12"/>
      <c r="F50" s="12"/>
      <c r="G50" s="10" t="s">
        <v>63</v>
      </c>
      <c r="H50" s="10" t="s">
        <v>64</v>
      </c>
      <c r="I50" s="11" t="s">
        <v>65</v>
      </c>
      <c r="J50" s="10" t="s">
        <v>66</v>
      </c>
      <c r="K50" s="10" t="s">
        <v>67</v>
      </c>
      <c r="L50" s="10" t="s">
        <v>68</v>
      </c>
      <c r="M50" s="10" t="s">
        <v>69</v>
      </c>
      <c r="N50" s="10"/>
      <c r="O50" s="11" t="s">
        <v>70</v>
      </c>
      <c r="P50" s="10" t="s">
        <v>71</v>
      </c>
      <c r="Q50" s="11" t="s">
        <v>72</v>
      </c>
      <c r="R50" s="11" t="s">
        <v>73</v>
      </c>
      <c r="S50" s="11" t="s">
        <v>74</v>
      </c>
      <c r="T50" s="11" t="s">
        <v>225</v>
      </c>
      <c r="U50" s="10" t="n">
        <f aca="false">IF(AND($D50="",$E50="",$F50=""),1,0)</f>
        <v>0</v>
      </c>
      <c r="V50" s="10" t="n">
        <f aca="false">IF(OR($I50="",$I50="—"),1,0)</f>
        <v>0</v>
      </c>
      <c r="W50" s="10" t="n">
        <f aca="false">IF(AND(ISNUMBER($D50),ISNUMBER($E50)),IF($E50&gt;$D50,1,0),0)+IF(AND(ISNUMBER($D50),ISNUMBER($F50)),IF($D50&gt;$F50,1,0),0)+IF(AND(ISNUMBER($E50),ISNUMBER($F50)),IF($E50&gt;$F50,1,0),0)</f>
        <v>0</v>
      </c>
      <c r="X50" s="13" t="s">
        <v>76</v>
      </c>
    </row>
    <row r="51" customFormat="false" ht="15" hidden="false" customHeight="false" outlineLevel="0" collapsed="false">
      <c r="A51" s="10" t="s">
        <v>226</v>
      </c>
      <c r="B51" s="10" t="s">
        <v>227</v>
      </c>
      <c r="C51" s="11" t="s">
        <v>224</v>
      </c>
      <c r="D51" s="12" t="n">
        <v>5.2888</v>
      </c>
      <c r="E51" s="12"/>
      <c r="F51" s="12"/>
      <c r="G51" s="10" t="s">
        <v>63</v>
      </c>
      <c r="H51" s="10" t="s">
        <v>79</v>
      </c>
      <c r="I51" s="11" t="s">
        <v>65</v>
      </c>
      <c r="J51" s="10" t="s">
        <v>66</v>
      </c>
      <c r="K51" s="10" t="s">
        <v>67</v>
      </c>
      <c r="L51" s="10" t="s">
        <v>68</v>
      </c>
      <c r="M51" s="10" t="s">
        <v>69</v>
      </c>
      <c r="N51" s="10"/>
      <c r="O51" s="11" t="s">
        <v>70</v>
      </c>
      <c r="P51" s="10" t="s">
        <v>71</v>
      </c>
      <c r="Q51" s="11" t="s">
        <v>72</v>
      </c>
      <c r="R51" s="11" t="s">
        <v>73</v>
      </c>
      <c r="S51" s="11" t="s">
        <v>74</v>
      </c>
      <c r="T51" s="11" t="s">
        <v>228</v>
      </c>
      <c r="U51" s="10" t="n">
        <f aca="false">IF(AND($D51="",$E51="",$F51=""),1,0)</f>
        <v>0</v>
      </c>
      <c r="V51" s="10" t="n">
        <f aca="false">IF(OR($I51="",$I51="—"),1,0)</f>
        <v>0</v>
      </c>
      <c r="W51" s="10" t="n">
        <f aca="false">IF(AND(ISNUMBER($D51),ISNUMBER($E51)),IF($E51&gt;$D51,1,0),0)+IF(AND(ISNUMBER($D51),ISNUMBER($F51)),IF($D51&gt;$F51,1,0),0)+IF(AND(ISNUMBER($E51),ISNUMBER($F51)),IF($E51&gt;$F51,1,0),0)</f>
        <v>0</v>
      </c>
      <c r="X51" s="13" t="s">
        <v>76</v>
      </c>
    </row>
    <row r="52" customFormat="false" ht="15" hidden="false" customHeight="false" outlineLevel="0" collapsed="false">
      <c r="A52" s="10" t="s">
        <v>229</v>
      </c>
      <c r="B52" s="10" t="s">
        <v>230</v>
      </c>
      <c r="C52" s="11" t="s">
        <v>224</v>
      </c>
      <c r="D52" s="12" t="n">
        <v>21.9544</v>
      </c>
      <c r="E52" s="12"/>
      <c r="F52" s="12"/>
      <c r="G52" s="10" t="s">
        <v>63</v>
      </c>
      <c r="H52" s="10" t="s">
        <v>83</v>
      </c>
      <c r="I52" s="11" t="s">
        <v>65</v>
      </c>
      <c r="J52" s="10" t="s">
        <v>66</v>
      </c>
      <c r="K52" s="10" t="s">
        <v>67</v>
      </c>
      <c r="L52" s="10" t="s">
        <v>68</v>
      </c>
      <c r="M52" s="10" t="s">
        <v>69</v>
      </c>
      <c r="N52" s="10"/>
      <c r="O52" s="11" t="s">
        <v>70</v>
      </c>
      <c r="P52" s="10" t="s">
        <v>71</v>
      </c>
      <c r="Q52" s="11" t="s">
        <v>72</v>
      </c>
      <c r="R52" s="11" t="s">
        <v>73</v>
      </c>
      <c r="S52" s="11" t="s">
        <v>74</v>
      </c>
      <c r="T52" s="11" t="s">
        <v>231</v>
      </c>
      <c r="U52" s="10" t="n">
        <f aca="false">IF(AND($D52="",$E52="",$F52=""),1,0)</f>
        <v>0</v>
      </c>
      <c r="V52" s="10" t="n">
        <f aca="false">IF(OR($I52="",$I52="—"),1,0)</f>
        <v>0</v>
      </c>
      <c r="W52" s="10" t="n">
        <f aca="false">IF(AND(ISNUMBER($D52),ISNUMBER($E52)),IF($E52&gt;$D52,1,0),0)+IF(AND(ISNUMBER($D52),ISNUMBER($F52)),IF($D52&gt;$F52,1,0),0)+IF(AND(ISNUMBER($E52),ISNUMBER($F52)),IF($E52&gt;$F52,1,0),0)</f>
        <v>0</v>
      </c>
      <c r="X52" s="13" t="s">
        <v>76</v>
      </c>
    </row>
    <row r="53" customFormat="false" ht="15" hidden="false" customHeight="false" outlineLevel="0" collapsed="false">
      <c r="A53" s="10" t="s">
        <v>232</v>
      </c>
      <c r="B53" s="10" t="s">
        <v>233</v>
      </c>
      <c r="C53" s="11" t="s">
        <v>224</v>
      </c>
      <c r="D53" s="12" t="n">
        <v>8.5922</v>
      </c>
      <c r="E53" s="12"/>
      <c r="F53" s="12"/>
      <c r="G53" s="10" t="s">
        <v>63</v>
      </c>
      <c r="H53" s="10" t="s">
        <v>87</v>
      </c>
      <c r="I53" s="11" t="s">
        <v>65</v>
      </c>
      <c r="J53" s="10" t="s">
        <v>66</v>
      </c>
      <c r="K53" s="10" t="s">
        <v>67</v>
      </c>
      <c r="L53" s="10" t="s">
        <v>68</v>
      </c>
      <c r="M53" s="10" t="s">
        <v>69</v>
      </c>
      <c r="N53" s="10"/>
      <c r="O53" s="11" t="s">
        <v>88</v>
      </c>
      <c r="P53" s="10" t="s">
        <v>71</v>
      </c>
      <c r="Q53" s="11" t="s">
        <v>72</v>
      </c>
      <c r="R53" s="11" t="s">
        <v>73</v>
      </c>
      <c r="S53" s="11" t="s">
        <v>74</v>
      </c>
      <c r="T53" s="11" t="s">
        <v>234</v>
      </c>
      <c r="U53" s="10" t="n">
        <f aca="false">IF(AND($D53="",$E53="",$F53=""),1,0)</f>
        <v>0</v>
      </c>
      <c r="V53" s="10" t="n">
        <f aca="false">IF(OR($I53="",$I53="—"),1,0)</f>
        <v>0</v>
      </c>
      <c r="W53" s="10" t="n">
        <f aca="false">IF(AND(ISNUMBER($D53),ISNUMBER($E53)),IF($E53&gt;$D53,1,0),0)+IF(AND(ISNUMBER($D53),ISNUMBER($F53)),IF($D53&gt;$F53,1,0),0)+IF(AND(ISNUMBER($E53),ISNUMBER($F53)),IF($E53&gt;$F53,1,0),0)</f>
        <v>0</v>
      </c>
      <c r="X53" s="13" t="s">
        <v>76</v>
      </c>
    </row>
    <row r="54" customFormat="false" ht="15" hidden="false" customHeight="false" outlineLevel="0" collapsed="false">
      <c r="A54" s="10" t="s">
        <v>235</v>
      </c>
      <c r="B54" s="10" t="s">
        <v>236</v>
      </c>
      <c r="C54" s="11" t="s">
        <v>224</v>
      </c>
      <c r="D54" s="12" t="n">
        <v>15.9466</v>
      </c>
      <c r="E54" s="12"/>
      <c r="F54" s="12"/>
      <c r="G54" s="10" t="s">
        <v>63</v>
      </c>
      <c r="H54" s="10" t="s">
        <v>92</v>
      </c>
      <c r="I54" s="11" t="s">
        <v>65</v>
      </c>
      <c r="J54" s="10" t="s">
        <v>66</v>
      </c>
      <c r="K54" s="10" t="s">
        <v>67</v>
      </c>
      <c r="L54" s="10" t="s">
        <v>68</v>
      </c>
      <c r="M54" s="10" t="s">
        <v>69</v>
      </c>
      <c r="N54" s="10"/>
      <c r="O54" s="11" t="s">
        <v>70</v>
      </c>
      <c r="P54" s="10" t="s">
        <v>71</v>
      </c>
      <c r="Q54" s="11" t="s">
        <v>72</v>
      </c>
      <c r="R54" s="11" t="s">
        <v>73</v>
      </c>
      <c r="S54" s="11" t="s">
        <v>74</v>
      </c>
      <c r="T54" s="11" t="s">
        <v>237</v>
      </c>
      <c r="U54" s="10" t="n">
        <f aca="false">IF(AND($D54="",$E54="",$F54=""),1,0)</f>
        <v>0</v>
      </c>
      <c r="V54" s="10" t="n">
        <f aca="false">IF(OR($I54="",$I54="—"),1,0)</f>
        <v>0</v>
      </c>
      <c r="W54" s="10" t="n">
        <f aca="false">IF(AND(ISNUMBER($D54),ISNUMBER($E54)),IF($E54&gt;$D54,1,0),0)+IF(AND(ISNUMBER($D54),ISNUMBER($F54)),IF($D54&gt;$F54,1,0),0)+IF(AND(ISNUMBER($E54),ISNUMBER($F54)),IF($E54&gt;$F54,1,0),0)</f>
        <v>0</v>
      </c>
      <c r="X54" s="13" t="s">
        <v>76</v>
      </c>
    </row>
    <row r="55" customFormat="false" ht="15" hidden="false" customHeight="false" outlineLevel="0" collapsed="false">
      <c r="A55" s="10" t="s">
        <v>238</v>
      </c>
      <c r="B55" s="10" t="s">
        <v>239</v>
      </c>
      <c r="C55" s="11" t="s">
        <v>240</v>
      </c>
      <c r="D55" s="12" t="n">
        <v>0.1514</v>
      </c>
      <c r="E55" s="12"/>
      <c r="F55" s="12"/>
      <c r="G55" s="10" t="s">
        <v>63</v>
      </c>
      <c r="H55" s="10" t="s">
        <v>64</v>
      </c>
      <c r="I55" s="11" t="s">
        <v>65</v>
      </c>
      <c r="J55" s="10" t="s">
        <v>66</v>
      </c>
      <c r="K55" s="10" t="s">
        <v>67</v>
      </c>
      <c r="L55" s="10" t="s">
        <v>68</v>
      </c>
      <c r="M55" s="10" t="s">
        <v>69</v>
      </c>
      <c r="N55" s="10"/>
      <c r="O55" s="11" t="s">
        <v>70</v>
      </c>
      <c r="P55" s="10" t="s">
        <v>71</v>
      </c>
      <c r="Q55" s="11" t="s">
        <v>72</v>
      </c>
      <c r="R55" s="11" t="s">
        <v>73</v>
      </c>
      <c r="S55" s="11" t="s">
        <v>74</v>
      </c>
      <c r="T55" s="11" t="s">
        <v>241</v>
      </c>
      <c r="U55" s="10" t="n">
        <f aca="false">IF(AND($D55="",$E55="",$F55=""),1,0)</f>
        <v>0</v>
      </c>
      <c r="V55" s="10" t="n">
        <f aca="false">IF(OR($I55="",$I55="—"),1,0)</f>
        <v>0</v>
      </c>
      <c r="W55" s="10" t="n">
        <f aca="false">IF(AND(ISNUMBER($D55),ISNUMBER($E55)),IF($E55&gt;$D55,1,0),0)+IF(AND(ISNUMBER($D55),ISNUMBER($F55)),IF($D55&gt;$F55,1,0),0)+IF(AND(ISNUMBER($E55),ISNUMBER($F55)),IF($E55&gt;$F55,1,0),0)</f>
        <v>0</v>
      </c>
      <c r="X55" s="13" t="s">
        <v>76</v>
      </c>
    </row>
    <row r="56" customFormat="false" ht="15" hidden="false" customHeight="false" outlineLevel="0" collapsed="false">
      <c r="A56" s="10" t="s">
        <v>242</v>
      </c>
      <c r="B56" s="10" t="s">
        <v>243</v>
      </c>
      <c r="C56" s="11" t="s">
        <v>240</v>
      </c>
      <c r="D56" s="12" t="n">
        <v>1.012</v>
      </c>
      <c r="E56" s="12"/>
      <c r="F56" s="12"/>
      <c r="G56" s="10" t="s">
        <v>63</v>
      </c>
      <c r="H56" s="10" t="s">
        <v>79</v>
      </c>
      <c r="I56" s="11" t="s">
        <v>65</v>
      </c>
      <c r="J56" s="10" t="s">
        <v>66</v>
      </c>
      <c r="K56" s="10" t="s">
        <v>67</v>
      </c>
      <c r="L56" s="10" t="s">
        <v>68</v>
      </c>
      <c r="M56" s="10" t="s">
        <v>69</v>
      </c>
      <c r="N56" s="10"/>
      <c r="O56" s="11" t="s">
        <v>70</v>
      </c>
      <c r="P56" s="10" t="s">
        <v>71</v>
      </c>
      <c r="Q56" s="11" t="s">
        <v>72</v>
      </c>
      <c r="R56" s="11" t="s">
        <v>73</v>
      </c>
      <c r="S56" s="11" t="s">
        <v>74</v>
      </c>
      <c r="T56" s="11" t="s">
        <v>244</v>
      </c>
      <c r="U56" s="10" t="n">
        <f aca="false">IF(AND($D56="",$E56="",$F56=""),1,0)</f>
        <v>0</v>
      </c>
      <c r="V56" s="10" t="n">
        <f aca="false">IF(OR($I56="",$I56="—"),1,0)</f>
        <v>0</v>
      </c>
      <c r="W56" s="10" t="n">
        <f aca="false">IF(AND(ISNUMBER($D56),ISNUMBER($E56)),IF($E56&gt;$D56,1,0),0)+IF(AND(ISNUMBER($D56),ISNUMBER($F56)),IF($D56&gt;$F56,1,0),0)+IF(AND(ISNUMBER($E56),ISNUMBER($F56)),IF($E56&gt;$F56,1,0),0)</f>
        <v>0</v>
      </c>
      <c r="X56" s="13" t="s">
        <v>76</v>
      </c>
    </row>
    <row r="57" customFormat="false" ht="15" hidden="false" customHeight="false" outlineLevel="0" collapsed="false">
      <c r="A57" s="10" t="s">
        <v>245</v>
      </c>
      <c r="B57" s="10" t="s">
        <v>246</v>
      </c>
      <c r="C57" s="11" t="s">
        <v>240</v>
      </c>
      <c r="D57" s="12" t="n">
        <v>3.8748</v>
      </c>
      <c r="E57" s="12"/>
      <c r="F57" s="12"/>
      <c r="G57" s="10" t="s">
        <v>63</v>
      </c>
      <c r="H57" s="10" t="s">
        <v>83</v>
      </c>
      <c r="I57" s="11" t="s">
        <v>65</v>
      </c>
      <c r="J57" s="10" t="s">
        <v>66</v>
      </c>
      <c r="K57" s="10" t="s">
        <v>67</v>
      </c>
      <c r="L57" s="10" t="s">
        <v>68</v>
      </c>
      <c r="M57" s="10" t="s">
        <v>69</v>
      </c>
      <c r="N57" s="10"/>
      <c r="O57" s="11" t="s">
        <v>70</v>
      </c>
      <c r="P57" s="10" t="s">
        <v>71</v>
      </c>
      <c r="Q57" s="11" t="s">
        <v>72</v>
      </c>
      <c r="R57" s="11" t="s">
        <v>73</v>
      </c>
      <c r="S57" s="11" t="s">
        <v>74</v>
      </c>
      <c r="T57" s="11" t="s">
        <v>247</v>
      </c>
      <c r="U57" s="10" t="n">
        <f aca="false">IF(AND($D57="",$E57="",$F57=""),1,0)</f>
        <v>0</v>
      </c>
      <c r="V57" s="10" t="n">
        <f aca="false">IF(OR($I57="",$I57="—"),1,0)</f>
        <v>0</v>
      </c>
      <c r="W57" s="10" t="n">
        <f aca="false">IF(AND(ISNUMBER($D57),ISNUMBER($E57)),IF($E57&gt;$D57,1,0),0)+IF(AND(ISNUMBER($D57),ISNUMBER($F57)),IF($D57&gt;$F57,1,0),0)+IF(AND(ISNUMBER($E57),ISNUMBER($F57)),IF($E57&gt;$F57,1,0),0)</f>
        <v>0</v>
      </c>
      <c r="X57" s="13" t="s">
        <v>76</v>
      </c>
    </row>
    <row r="58" customFormat="false" ht="15" hidden="false" customHeight="false" outlineLevel="0" collapsed="false">
      <c r="A58" s="10" t="s">
        <v>248</v>
      </c>
      <c r="B58" s="10" t="s">
        <v>249</v>
      </c>
      <c r="C58" s="11" t="s">
        <v>240</v>
      </c>
      <c r="D58" s="12" t="n">
        <v>1.4419</v>
      </c>
      <c r="E58" s="12"/>
      <c r="F58" s="12"/>
      <c r="G58" s="10" t="s">
        <v>63</v>
      </c>
      <c r="H58" s="10" t="s">
        <v>87</v>
      </c>
      <c r="I58" s="11" t="s">
        <v>65</v>
      </c>
      <c r="J58" s="10" t="s">
        <v>66</v>
      </c>
      <c r="K58" s="10" t="s">
        <v>67</v>
      </c>
      <c r="L58" s="10" t="s">
        <v>68</v>
      </c>
      <c r="M58" s="10" t="s">
        <v>69</v>
      </c>
      <c r="N58" s="10"/>
      <c r="O58" s="11" t="s">
        <v>88</v>
      </c>
      <c r="P58" s="10" t="s">
        <v>71</v>
      </c>
      <c r="Q58" s="11" t="s">
        <v>72</v>
      </c>
      <c r="R58" s="11" t="s">
        <v>73</v>
      </c>
      <c r="S58" s="11" t="s">
        <v>74</v>
      </c>
      <c r="T58" s="11" t="s">
        <v>250</v>
      </c>
      <c r="U58" s="10" t="n">
        <f aca="false">IF(AND($D58="",$E58="",$F58=""),1,0)</f>
        <v>0</v>
      </c>
      <c r="V58" s="10" t="n">
        <f aca="false">IF(OR($I58="",$I58="—"),1,0)</f>
        <v>0</v>
      </c>
      <c r="W58" s="10" t="n">
        <f aca="false">IF(AND(ISNUMBER($D58),ISNUMBER($E58)),IF($E58&gt;$D58,1,0),0)+IF(AND(ISNUMBER($D58),ISNUMBER($F58)),IF($D58&gt;$F58,1,0),0)+IF(AND(ISNUMBER($E58),ISNUMBER($F58)),IF($E58&gt;$F58,1,0),0)</f>
        <v>0</v>
      </c>
      <c r="X58" s="13" t="s">
        <v>76</v>
      </c>
    </row>
    <row r="59" customFormat="false" ht="15" hidden="false" customHeight="false" outlineLevel="0" collapsed="false">
      <c r="A59" s="10" t="s">
        <v>251</v>
      </c>
      <c r="B59" s="10" t="s">
        <v>252</v>
      </c>
      <c r="C59" s="11" t="s">
        <v>240</v>
      </c>
      <c r="D59" s="12" t="n">
        <v>2.0857</v>
      </c>
      <c r="E59" s="12"/>
      <c r="F59" s="12"/>
      <c r="G59" s="10" t="s">
        <v>63</v>
      </c>
      <c r="H59" s="10" t="s">
        <v>92</v>
      </c>
      <c r="I59" s="11" t="s">
        <v>65</v>
      </c>
      <c r="J59" s="10" t="s">
        <v>66</v>
      </c>
      <c r="K59" s="10" t="s">
        <v>67</v>
      </c>
      <c r="L59" s="10" t="s">
        <v>68</v>
      </c>
      <c r="M59" s="10" t="s">
        <v>69</v>
      </c>
      <c r="N59" s="10"/>
      <c r="O59" s="11" t="s">
        <v>70</v>
      </c>
      <c r="P59" s="10" t="s">
        <v>71</v>
      </c>
      <c r="Q59" s="11" t="s">
        <v>72</v>
      </c>
      <c r="R59" s="11" t="s">
        <v>73</v>
      </c>
      <c r="S59" s="11" t="s">
        <v>74</v>
      </c>
      <c r="T59" s="11" t="s">
        <v>253</v>
      </c>
      <c r="U59" s="10" t="n">
        <f aca="false">IF(AND($D59="",$E59="",$F59=""),1,0)</f>
        <v>0</v>
      </c>
      <c r="V59" s="10" t="n">
        <f aca="false">IF(OR($I59="",$I59="—"),1,0)</f>
        <v>0</v>
      </c>
      <c r="W59" s="10" t="n">
        <f aca="false">IF(AND(ISNUMBER($D59),ISNUMBER($E59)),IF($E59&gt;$D59,1,0),0)+IF(AND(ISNUMBER($D59),ISNUMBER($F59)),IF($D59&gt;$F59,1,0),0)+IF(AND(ISNUMBER($E59),ISNUMBER($F59)),IF($E59&gt;$F59,1,0),0)</f>
        <v>0</v>
      </c>
      <c r="X59" s="13" t="s">
        <v>76</v>
      </c>
    </row>
    <row r="60" customFormat="false" ht="15" hidden="false" customHeight="false" outlineLevel="0" collapsed="false">
      <c r="A60" s="10" t="s">
        <v>254</v>
      </c>
      <c r="B60" s="10" t="s">
        <v>255</v>
      </c>
      <c r="C60" s="11" t="s">
        <v>256</v>
      </c>
      <c r="D60" s="12" t="n">
        <v>0.3232</v>
      </c>
      <c r="E60" s="12"/>
      <c r="F60" s="12"/>
      <c r="G60" s="10" t="s">
        <v>63</v>
      </c>
      <c r="H60" s="10" t="s">
        <v>64</v>
      </c>
      <c r="I60" s="11" t="s">
        <v>65</v>
      </c>
      <c r="J60" s="10" t="s">
        <v>66</v>
      </c>
      <c r="K60" s="10" t="s">
        <v>67</v>
      </c>
      <c r="L60" s="10" t="s">
        <v>68</v>
      </c>
      <c r="M60" s="10" t="s">
        <v>69</v>
      </c>
      <c r="N60" s="10"/>
      <c r="O60" s="11" t="s">
        <v>70</v>
      </c>
      <c r="P60" s="10" t="s">
        <v>71</v>
      </c>
      <c r="Q60" s="11" t="s">
        <v>72</v>
      </c>
      <c r="R60" s="11" t="s">
        <v>73</v>
      </c>
      <c r="S60" s="11" t="s">
        <v>74</v>
      </c>
      <c r="T60" s="11" t="s">
        <v>257</v>
      </c>
      <c r="U60" s="10" t="n">
        <f aca="false">IF(AND($D60="",$E60="",$F60=""),1,0)</f>
        <v>0</v>
      </c>
      <c r="V60" s="10" t="n">
        <f aca="false">IF(OR($I60="",$I60="—"),1,0)</f>
        <v>0</v>
      </c>
      <c r="W60" s="10" t="n">
        <f aca="false">IF(AND(ISNUMBER($D60),ISNUMBER($E60)),IF($E60&gt;$D60,1,0),0)+IF(AND(ISNUMBER($D60),ISNUMBER($F60)),IF($D60&gt;$F60,1,0),0)+IF(AND(ISNUMBER($E60),ISNUMBER($F60)),IF($E60&gt;$F60,1,0),0)</f>
        <v>0</v>
      </c>
      <c r="X60" s="13" t="s">
        <v>76</v>
      </c>
    </row>
    <row r="61" customFormat="false" ht="15" hidden="false" customHeight="false" outlineLevel="0" collapsed="false">
      <c r="A61" s="10" t="s">
        <v>258</v>
      </c>
      <c r="B61" s="10" t="s">
        <v>259</v>
      </c>
      <c r="C61" s="11" t="s">
        <v>256</v>
      </c>
      <c r="D61" s="12" t="n">
        <v>0.663</v>
      </c>
      <c r="E61" s="12"/>
      <c r="F61" s="12"/>
      <c r="G61" s="10" t="s">
        <v>63</v>
      </c>
      <c r="H61" s="10" t="s">
        <v>79</v>
      </c>
      <c r="I61" s="11" t="s">
        <v>65</v>
      </c>
      <c r="J61" s="10" t="s">
        <v>66</v>
      </c>
      <c r="K61" s="10" t="s">
        <v>67</v>
      </c>
      <c r="L61" s="10" t="s">
        <v>68</v>
      </c>
      <c r="M61" s="10" t="s">
        <v>69</v>
      </c>
      <c r="N61" s="10"/>
      <c r="O61" s="11" t="s">
        <v>70</v>
      </c>
      <c r="P61" s="10" t="s">
        <v>71</v>
      </c>
      <c r="Q61" s="11" t="s">
        <v>72</v>
      </c>
      <c r="R61" s="11" t="s">
        <v>73</v>
      </c>
      <c r="S61" s="11" t="s">
        <v>74</v>
      </c>
      <c r="T61" s="11" t="s">
        <v>260</v>
      </c>
      <c r="U61" s="10" t="n">
        <f aca="false">IF(AND($D61="",$E61="",$F61=""),1,0)</f>
        <v>0</v>
      </c>
      <c r="V61" s="10" t="n">
        <f aca="false">IF(OR($I61="",$I61="—"),1,0)</f>
        <v>0</v>
      </c>
      <c r="W61" s="10" t="n">
        <f aca="false">IF(AND(ISNUMBER($D61),ISNUMBER($E61)),IF($E61&gt;$D61,1,0),0)+IF(AND(ISNUMBER($D61),ISNUMBER($F61)),IF($D61&gt;$F61,1,0),0)+IF(AND(ISNUMBER($E61),ISNUMBER($F61)),IF($E61&gt;$F61,1,0),0)</f>
        <v>0</v>
      </c>
      <c r="X61" s="13" t="s">
        <v>76</v>
      </c>
    </row>
    <row r="62" customFormat="false" ht="15" hidden="false" customHeight="false" outlineLevel="0" collapsed="false">
      <c r="A62" s="10" t="s">
        <v>261</v>
      </c>
      <c r="B62" s="10" t="s">
        <v>262</v>
      </c>
      <c r="C62" s="11" t="s">
        <v>256</v>
      </c>
      <c r="D62" s="12" t="n">
        <v>1.336</v>
      </c>
      <c r="E62" s="12"/>
      <c r="F62" s="12"/>
      <c r="G62" s="10" t="s">
        <v>63</v>
      </c>
      <c r="H62" s="10" t="s">
        <v>83</v>
      </c>
      <c r="I62" s="11" t="s">
        <v>65</v>
      </c>
      <c r="J62" s="10" t="s">
        <v>66</v>
      </c>
      <c r="K62" s="10" t="s">
        <v>67</v>
      </c>
      <c r="L62" s="10" t="s">
        <v>68</v>
      </c>
      <c r="M62" s="10" t="s">
        <v>69</v>
      </c>
      <c r="N62" s="10"/>
      <c r="O62" s="11" t="s">
        <v>70</v>
      </c>
      <c r="P62" s="10" t="s">
        <v>71</v>
      </c>
      <c r="Q62" s="11" t="s">
        <v>72</v>
      </c>
      <c r="R62" s="11" t="s">
        <v>73</v>
      </c>
      <c r="S62" s="11" t="s">
        <v>74</v>
      </c>
      <c r="T62" s="11" t="s">
        <v>263</v>
      </c>
      <c r="U62" s="10" t="n">
        <f aca="false">IF(AND($D62="",$E62="",$F62=""),1,0)</f>
        <v>0</v>
      </c>
      <c r="V62" s="10" t="n">
        <f aca="false">IF(OR($I62="",$I62="—"),1,0)</f>
        <v>0</v>
      </c>
      <c r="W62" s="10" t="n">
        <f aca="false">IF(AND(ISNUMBER($D62),ISNUMBER($E62)),IF($E62&gt;$D62,1,0),0)+IF(AND(ISNUMBER($D62),ISNUMBER($F62)),IF($D62&gt;$F62,1,0),0)+IF(AND(ISNUMBER($E62),ISNUMBER($F62)),IF($E62&gt;$F62,1,0),0)</f>
        <v>0</v>
      </c>
      <c r="X62" s="13" t="s">
        <v>76</v>
      </c>
    </row>
    <row r="63" customFormat="false" ht="15" hidden="false" customHeight="false" outlineLevel="0" collapsed="false">
      <c r="A63" s="10" t="s">
        <v>264</v>
      </c>
      <c r="B63" s="10" t="s">
        <v>265</v>
      </c>
      <c r="C63" s="11" t="s">
        <v>256</v>
      </c>
      <c r="D63" s="12" t="n">
        <v>0.5145</v>
      </c>
      <c r="E63" s="12"/>
      <c r="F63" s="12"/>
      <c r="G63" s="10" t="s">
        <v>63</v>
      </c>
      <c r="H63" s="10" t="s">
        <v>87</v>
      </c>
      <c r="I63" s="11" t="s">
        <v>65</v>
      </c>
      <c r="J63" s="10" t="s">
        <v>66</v>
      </c>
      <c r="K63" s="10" t="s">
        <v>67</v>
      </c>
      <c r="L63" s="10" t="s">
        <v>68</v>
      </c>
      <c r="M63" s="10" t="s">
        <v>69</v>
      </c>
      <c r="N63" s="10"/>
      <c r="O63" s="11" t="s">
        <v>88</v>
      </c>
      <c r="P63" s="10" t="s">
        <v>71</v>
      </c>
      <c r="Q63" s="11" t="s">
        <v>72</v>
      </c>
      <c r="R63" s="11" t="s">
        <v>73</v>
      </c>
      <c r="S63" s="11" t="s">
        <v>74</v>
      </c>
      <c r="T63" s="11" t="s">
        <v>266</v>
      </c>
      <c r="U63" s="10" t="n">
        <f aca="false">IF(AND($D63="",$E63="",$F63=""),1,0)</f>
        <v>0</v>
      </c>
      <c r="V63" s="10" t="n">
        <f aca="false">IF(OR($I63="",$I63="—"),1,0)</f>
        <v>0</v>
      </c>
      <c r="W63" s="10" t="n">
        <f aca="false">IF(AND(ISNUMBER($D63),ISNUMBER($E63)),IF($E63&gt;$D63,1,0),0)+IF(AND(ISNUMBER($D63),ISNUMBER($F63)),IF($D63&gt;$F63,1,0),0)+IF(AND(ISNUMBER($E63),ISNUMBER($F63)),IF($E63&gt;$F63,1,0),0)</f>
        <v>0</v>
      </c>
      <c r="X63" s="13" t="s">
        <v>76</v>
      </c>
    </row>
    <row r="64" customFormat="false" ht="15" hidden="false" customHeight="false" outlineLevel="0" collapsed="false">
      <c r="A64" s="10" t="s">
        <v>267</v>
      </c>
      <c r="B64" s="10" t="s">
        <v>268</v>
      </c>
      <c r="C64" s="11" t="s">
        <v>256</v>
      </c>
      <c r="D64" s="12" t="n">
        <v>1.8517</v>
      </c>
      <c r="E64" s="12"/>
      <c r="F64" s="12"/>
      <c r="G64" s="10" t="s">
        <v>63</v>
      </c>
      <c r="H64" s="10" t="s">
        <v>92</v>
      </c>
      <c r="I64" s="11" t="s">
        <v>65</v>
      </c>
      <c r="J64" s="10" t="s">
        <v>66</v>
      </c>
      <c r="K64" s="10" t="s">
        <v>67</v>
      </c>
      <c r="L64" s="10" t="s">
        <v>68</v>
      </c>
      <c r="M64" s="10" t="s">
        <v>69</v>
      </c>
      <c r="N64" s="10"/>
      <c r="O64" s="11" t="s">
        <v>70</v>
      </c>
      <c r="P64" s="10" t="s">
        <v>71</v>
      </c>
      <c r="Q64" s="11" t="s">
        <v>72</v>
      </c>
      <c r="R64" s="11" t="s">
        <v>73</v>
      </c>
      <c r="S64" s="11" t="s">
        <v>74</v>
      </c>
      <c r="T64" s="11" t="s">
        <v>269</v>
      </c>
      <c r="U64" s="10" t="n">
        <f aca="false">IF(AND($D64="",$E64="",$F64=""),1,0)</f>
        <v>0</v>
      </c>
      <c r="V64" s="10" t="n">
        <f aca="false">IF(OR($I64="",$I64="—"),1,0)</f>
        <v>0</v>
      </c>
      <c r="W64" s="10" t="n">
        <f aca="false">IF(AND(ISNUMBER($D64),ISNUMBER($E64)),IF($E64&gt;$D64,1,0),0)+IF(AND(ISNUMBER($D64),ISNUMBER($F64)),IF($D64&gt;$F64,1,0),0)+IF(AND(ISNUMBER($E64),ISNUMBER($F64)),IF($E64&gt;$F64,1,0),0)</f>
        <v>0</v>
      </c>
      <c r="X64" s="13" t="s">
        <v>76</v>
      </c>
    </row>
    <row r="65" customFormat="false" ht="15" hidden="false" customHeight="false" outlineLevel="0" collapsed="false">
      <c r="A65" s="10" t="s">
        <v>270</v>
      </c>
      <c r="B65" s="10" t="s">
        <v>271</v>
      </c>
      <c r="C65" s="11" t="s">
        <v>272</v>
      </c>
      <c r="D65" s="12" t="n">
        <v>0.0178</v>
      </c>
      <c r="E65" s="12"/>
      <c r="F65" s="12"/>
      <c r="G65" s="10" t="s">
        <v>63</v>
      </c>
      <c r="H65" s="10" t="s">
        <v>64</v>
      </c>
      <c r="I65" s="11" t="s">
        <v>65</v>
      </c>
      <c r="J65" s="10" t="s">
        <v>66</v>
      </c>
      <c r="K65" s="10" t="s">
        <v>67</v>
      </c>
      <c r="L65" s="10" t="s">
        <v>68</v>
      </c>
      <c r="M65" s="10" t="s">
        <v>69</v>
      </c>
      <c r="N65" s="10"/>
      <c r="O65" s="11" t="s">
        <v>70</v>
      </c>
      <c r="P65" s="10" t="s">
        <v>71</v>
      </c>
      <c r="Q65" s="11" t="s">
        <v>72</v>
      </c>
      <c r="R65" s="11" t="s">
        <v>73</v>
      </c>
      <c r="S65" s="11" t="s">
        <v>74</v>
      </c>
      <c r="T65" s="11" t="s">
        <v>273</v>
      </c>
      <c r="U65" s="10" t="n">
        <f aca="false">IF(AND($D65="",$E65="",$F65=""),1,0)</f>
        <v>0</v>
      </c>
      <c r="V65" s="10" t="n">
        <f aca="false">IF(OR($I65="",$I65="—"),1,0)</f>
        <v>0</v>
      </c>
      <c r="W65" s="10" t="n">
        <f aca="false">IF(AND(ISNUMBER($D65),ISNUMBER($E65)),IF($E65&gt;$D65,1,0),0)+IF(AND(ISNUMBER($D65),ISNUMBER($F65)),IF($D65&gt;$F65,1,0),0)+IF(AND(ISNUMBER($E65),ISNUMBER($F65)),IF($E65&gt;$F65,1,0),0)</f>
        <v>0</v>
      </c>
      <c r="X65" s="13" t="s">
        <v>76</v>
      </c>
    </row>
    <row r="66" customFormat="false" ht="15" hidden="false" customHeight="false" outlineLevel="0" collapsed="false">
      <c r="A66" s="10" t="s">
        <v>274</v>
      </c>
      <c r="B66" s="10" t="s">
        <v>275</v>
      </c>
      <c r="C66" s="11" t="s">
        <v>272</v>
      </c>
      <c r="D66" s="12" t="n">
        <v>0.0997</v>
      </c>
      <c r="E66" s="12"/>
      <c r="F66" s="12"/>
      <c r="G66" s="10" t="s">
        <v>63</v>
      </c>
      <c r="H66" s="10" t="s">
        <v>79</v>
      </c>
      <c r="I66" s="11" t="s">
        <v>65</v>
      </c>
      <c r="J66" s="10" t="s">
        <v>66</v>
      </c>
      <c r="K66" s="10" t="s">
        <v>67</v>
      </c>
      <c r="L66" s="10" t="s">
        <v>68</v>
      </c>
      <c r="M66" s="10" t="s">
        <v>69</v>
      </c>
      <c r="N66" s="10"/>
      <c r="O66" s="11" t="s">
        <v>70</v>
      </c>
      <c r="P66" s="10" t="s">
        <v>71</v>
      </c>
      <c r="Q66" s="11" t="s">
        <v>72</v>
      </c>
      <c r="R66" s="11" t="s">
        <v>73</v>
      </c>
      <c r="S66" s="11" t="s">
        <v>74</v>
      </c>
      <c r="T66" s="11" t="s">
        <v>276</v>
      </c>
      <c r="U66" s="10" t="n">
        <f aca="false">IF(AND($D66="",$E66="",$F66=""),1,0)</f>
        <v>0</v>
      </c>
      <c r="V66" s="10" t="n">
        <f aca="false">IF(OR($I66="",$I66="—"),1,0)</f>
        <v>0</v>
      </c>
      <c r="W66" s="10" t="n">
        <f aca="false">IF(AND(ISNUMBER($D66),ISNUMBER($E66)),IF($E66&gt;$D66,1,0),0)+IF(AND(ISNUMBER($D66),ISNUMBER($F66)),IF($D66&gt;$F66,1,0),0)+IF(AND(ISNUMBER($E66),ISNUMBER($F66)),IF($E66&gt;$F66,1,0),0)</f>
        <v>0</v>
      </c>
      <c r="X66" s="13" t="s">
        <v>76</v>
      </c>
    </row>
    <row r="67" customFormat="false" ht="15" hidden="false" customHeight="false" outlineLevel="0" collapsed="false">
      <c r="A67" s="10" t="s">
        <v>277</v>
      </c>
      <c r="B67" s="10" t="s">
        <v>278</v>
      </c>
      <c r="C67" s="11" t="s">
        <v>272</v>
      </c>
      <c r="D67" s="12" t="n">
        <v>0.1928</v>
      </c>
      <c r="E67" s="12"/>
      <c r="F67" s="12"/>
      <c r="G67" s="10" t="s">
        <v>63</v>
      </c>
      <c r="H67" s="10" t="s">
        <v>83</v>
      </c>
      <c r="I67" s="11" t="s">
        <v>65</v>
      </c>
      <c r="J67" s="10" t="s">
        <v>66</v>
      </c>
      <c r="K67" s="10" t="s">
        <v>67</v>
      </c>
      <c r="L67" s="10" t="s">
        <v>68</v>
      </c>
      <c r="M67" s="10" t="s">
        <v>69</v>
      </c>
      <c r="N67" s="10"/>
      <c r="O67" s="11" t="s">
        <v>70</v>
      </c>
      <c r="P67" s="10" t="s">
        <v>71</v>
      </c>
      <c r="Q67" s="11" t="s">
        <v>72</v>
      </c>
      <c r="R67" s="11" t="s">
        <v>73</v>
      </c>
      <c r="S67" s="11" t="s">
        <v>74</v>
      </c>
      <c r="T67" s="11" t="s">
        <v>279</v>
      </c>
      <c r="U67" s="10" t="n">
        <f aca="false">IF(AND($D67="",$E67="",$F67=""),1,0)</f>
        <v>0</v>
      </c>
      <c r="V67" s="10" t="n">
        <f aca="false">IF(OR($I67="",$I67="—"),1,0)</f>
        <v>0</v>
      </c>
      <c r="W67" s="10" t="n">
        <f aca="false">IF(AND(ISNUMBER($D67),ISNUMBER($E67)),IF($E67&gt;$D67,1,0),0)+IF(AND(ISNUMBER($D67),ISNUMBER($F67)),IF($D67&gt;$F67,1,0),0)+IF(AND(ISNUMBER($E67),ISNUMBER($F67)),IF($E67&gt;$F67,1,0),0)</f>
        <v>0</v>
      </c>
      <c r="X67" s="13" t="s">
        <v>76</v>
      </c>
    </row>
    <row r="68" customFormat="false" ht="15" hidden="false" customHeight="false" outlineLevel="0" collapsed="false">
      <c r="A68" s="10" t="s">
        <v>280</v>
      </c>
      <c r="B68" s="10" t="s">
        <v>281</v>
      </c>
      <c r="C68" s="11" t="s">
        <v>272</v>
      </c>
      <c r="D68" s="12" t="n">
        <v>0.0417</v>
      </c>
      <c r="E68" s="12"/>
      <c r="F68" s="12"/>
      <c r="G68" s="10" t="s">
        <v>63</v>
      </c>
      <c r="H68" s="10" t="s">
        <v>87</v>
      </c>
      <c r="I68" s="11" t="s">
        <v>65</v>
      </c>
      <c r="J68" s="10" t="s">
        <v>66</v>
      </c>
      <c r="K68" s="10" t="s">
        <v>67</v>
      </c>
      <c r="L68" s="10" t="s">
        <v>68</v>
      </c>
      <c r="M68" s="10" t="s">
        <v>69</v>
      </c>
      <c r="N68" s="10"/>
      <c r="O68" s="11" t="s">
        <v>88</v>
      </c>
      <c r="P68" s="10" t="s">
        <v>71</v>
      </c>
      <c r="Q68" s="11" t="s">
        <v>72</v>
      </c>
      <c r="R68" s="11" t="s">
        <v>73</v>
      </c>
      <c r="S68" s="11" t="s">
        <v>74</v>
      </c>
      <c r="T68" s="11" t="s">
        <v>282</v>
      </c>
      <c r="U68" s="10" t="n">
        <f aca="false">IF(AND($D68="",$E68="",$F68=""),1,0)</f>
        <v>0</v>
      </c>
      <c r="V68" s="10" t="n">
        <f aca="false">IF(OR($I68="",$I68="—"),1,0)</f>
        <v>0</v>
      </c>
      <c r="W68" s="10" t="n">
        <f aca="false">IF(AND(ISNUMBER($D68),ISNUMBER($E68)),IF($E68&gt;$D68,1,0),0)+IF(AND(ISNUMBER($D68),ISNUMBER($F68)),IF($D68&gt;$F68,1,0),0)+IF(AND(ISNUMBER($E68),ISNUMBER($F68)),IF($E68&gt;$F68,1,0),0)</f>
        <v>0</v>
      </c>
      <c r="X68" s="13" t="s">
        <v>76</v>
      </c>
    </row>
    <row r="69" customFormat="false" ht="15" hidden="false" customHeight="false" outlineLevel="0" collapsed="false">
      <c r="A69" s="10" t="s">
        <v>283</v>
      </c>
      <c r="B69" s="10" t="s">
        <v>284</v>
      </c>
      <c r="C69" s="11" t="s">
        <v>272</v>
      </c>
      <c r="D69" s="12" t="n">
        <v>0.0461</v>
      </c>
      <c r="E69" s="12"/>
      <c r="F69" s="12"/>
      <c r="G69" s="10" t="s">
        <v>63</v>
      </c>
      <c r="H69" s="10" t="s">
        <v>92</v>
      </c>
      <c r="I69" s="11" t="s">
        <v>65</v>
      </c>
      <c r="J69" s="10" t="s">
        <v>66</v>
      </c>
      <c r="K69" s="10" t="s">
        <v>67</v>
      </c>
      <c r="L69" s="10" t="s">
        <v>68</v>
      </c>
      <c r="M69" s="10" t="s">
        <v>69</v>
      </c>
      <c r="N69" s="10"/>
      <c r="O69" s="11" t="s">
        <v>70</v>
      </c>
      <c r="P69" s="10" t="s">
        <v>71</v>
      </c>
      <c r="Q69" s="11" t="s">
        <v>72</v>
      </c>
      <c r="R69" s="11" t="s">
        <v>73</v>
      </c>
      <c r="S69" s="11" t="s">
        <v>74</v>
      </c>
      <c r="T69" s="11" t="s">
        <v>285</v>
      </c>
      <c r="U69" s="10" t="n">
        <f aca="false">IF(AND($D69="",$E69="",$F69=""),1,0)</f>
        <v>0</v>
      </c>
      <c r="V69" s="10" t="n">
        <f aca="false">IF(OR($I69="",$I69="—"),1,0)</f>
        <v>0</v>
      </c>
      <c r="W69" s="10" t="n">
        <f aca="false">IF(AND(ISNUMBER($D69),ISNUMBER($E69)),IF($E69&gt;$D69,1,0),0)+IF(AND(ISNUMBER($D69),ISNUMBER($F69)),IF($D69&gt;$F69,1,0),0)+IF(AND(ISNUMBER($E69),ISNUMBER($F69)),IF($E69&gt;$F69,1,0),0)</f>
        <v>0</v>
      </c>
      <c r="X69" s="13" t="s">
        <v>76</v>
      </c>
    </row>
    <row r="70" customFormat="false" ht="15" hidden="false" customHeight="false" outlineLevel="0" collapsed="false">
      <c r="A70" s="10" t="s">
        <v>286</v>
      </c>
      <c r="B70" s="10" t="s">
        <v>287</v>
      </c>
      <c r="C70" s="11" t="s">
        <v>288</v>
      </c>
      <c r="D70" s="12" t="n">
        <v>0.0569</v>
      </c>
      <c r="E70" s="12"/>
      <c r="F70" s="12"/>
      <c r="G70" s="10" t="s">
        <v>63</v>
      </c>
      <c r="H70" s="10" t="s">
        <v>64</v>
      </c>
      <c r="I70" s="11" t="s">
        <v>65</v>
      </c>
      <c r="J70" s="10" t="s">
        <v>66</v>
      </c>
      <c r="K70" s="10" t="s">
        <v>67</v>
      </c>
      <c r="L70" s="10" t="s">
        <v>68</v>
      </c>
      <c r="M70" s="10" t="s">
        <v>69</v>
      </c>
      <c r="N70" s="10"/>
      <c r="O70" s="11" t="s">
        <v>70</v>
      </c>
      <c r="P70" s="10" t="s">
        <v>71</v>
      </c>
      <c r="Q70" s="11" t="s">
        <v>72</v>
      </c>
      <c r="R70" s="11" t="s">
        <v>73</v>
      </c>
      <c r="S70" s="11" t="s">
        <v>74</v>
      </c>
      <c r="T70" s="11" t="s">
        <v>289</v>
      </c>
      <c r="U70" s="10" t="n">
        <f aca="false">IF(AND($D70="",$E70="",$F70=""),1,0)</f>
        <v>0</v>
      </c>
      <c r="V70" s="10" t="n">
        <f aca="false">IF(OR($I70="",$I70="—"),1,0)</f>
        <v>0</v>
      </c>
      <c r="W70" s="10" t="n">
        <f aca="false">IF(AND(ISNUMBER($D70),ISNUMBER($E70)),IF($E70&gt;$D70,1,0),0)+IF(AND(ISNUMBER($D70),ISNUMBER($F70)),IF($D70&gt;$F70,1,0),0)+IF(AND(ISNUMBER($E70),ISNUMBER($F70)),IF($E70&gt;$F70,1,0),0)</f>
        <v>0</v>
      </c>
      <c r="X70" s="13" t="s">
        <v>76</v>
      </c>
    </row>
    <row r="71" customFormat="false" ht="15" hidden="false" customHeight="false" outlineLevel="0" collapsed="false">
      <c r="A71" s="10" t="s">
        <v>290</v>
      </c>
      <c r="B71" s="10" t="s">
        <v>291</v>
      </c>
      <c r="C71" s="11" t="s">
        <v>288</v>
      </c>
      <c r="D71" s="12" t="n">
        <v>0.2633</v>
      </c>
      <c r="E71" s="12"/>
      <c r="F71" s="12"/>
      <c r="G71" s="10" t="s">
        <v>63</v>
      </c>
      <c r="H71" s="10" t="s">
        <v>79</v>
      </c>
      <c r="I71" s="11" t="s">
        <v>65</v>
      </c>
      <c r="J71" s="10" t="s">
        <v>66</v>
      </c>
      <c r="K71" s="10" t="s">
        <v>67</v>
      </c>
      <c r="L71" s="10" t="s">
        <v>68</v>
      </c>
      <c r="M71" s="10" t="s">
        <v>69</v>
      </c>
      <c r="N71" s="10"/>
      <c r="O71" s="11" t="s">
        <v>70</v>
      </c>
      <c r="P71" s="10" t="s">
        <v>71</v>
      </c>
      <c r="Q71" s="11" t="s">
        <v>72</v>
      </c>
      <c r="R71" s="11" t="s">
        <v>73</v>
      </c>
      <c r="S71" s="11" t="s">
        <v>74</v>
      </c>
      <c r="T71" s="11" t="s">
        <v>292</v>
      </c>
      <c r="U71" s="10" t="n">
        <f aca="false">IF(AND($D71="",$E71="",$F71=""),1,0)</f>
        <v>0</v>
      </c>
      <c r="V71" s="10" t="n">
        <f aca="false">IF(OR($I71="",$I71="—"),1,0)</f>
        <v>0</v>
      </c>
      <c r="W71" s="10" t="n">
        <f aca="false">IF(AND(ISNUMBER($D71),ISNUMBER($E71)),IF($E71&gt;$D71,1,0),0)+IF(AND(ISNUMBER($D71),ISNUMBER($F71)),IF($D71&gt;$F71,1,0),0)+IF(AND(ISNUMBER($E71),ISNUMBER($F71)),IF($E71&gt;$F71,1,0),0)</f>
        <v>0</v>
      </c>
      <c r="X71" s="13" t="s">
        <v>76</v>
      </c>
    </row>
    <row r="72" customFormat="false" ht="15" hidden="false" customHeight="false" outlineLevel="0" collapsed="false">
      <c r="A72" s="10" t="s">
        <v>293</v>
      </c>
      <c r="B72" s="10" t="s">
        <v>294</v>
      </c>
      <c r="C72" s="11" t="s">
        <v>288</v>
      </c>
      <c r="D72" s="12" t="n">
        <v>0.3832</v>
      </c>
      <c r="E72" s="12"/>
      <c r="F72" s="12"/>
      <c r="G72" s="10" t="s">
        <v>63</v>
      </c>
      <c r="H72" s="10" t="s">
        <v>83</v>
      </c>
      <c r="I72" s="11" t="s">
        <v>65</v>
      </c>
      <c r="J72" s="10" t="s">
        <v>66</v>
      </c>
      <c r="K72" s="10" t="s">
        <v>67</v>
      </c>
      <c r="L72" s="10" t="s">
        <v>68</v>
      </c>
      <c r="M72" s="10" t="s">
        <v>69</v>
      </c>
      <c r="N72" s="10"/>
      <c r="O72" s="11" t="s">
        <v>70</v>
      </c>
      <c r="P72" s="10" t="s">
        <v>71</v>
      </c>
      <c r="Q72" s="11" t="s">
        <v>72</v>
      </c>
      <c r="R72" s="11" t="s">
        <v>73</v>
      </c>
      <c r="S72" s="11" t="s">
        <v>74</v>
      </c>
      <c r="T72" s="11" t="s">
        <v>295</v>
      </c>
      <c r="U72" s="10" t="n">
        <f aca="false">IF(AND($D72="",$E72="",$F72=""),1,0)</f>
        <v>0</v>
      </c>
      <c r="V72" s="10" t="n">
        <f aca="false">IF(OR($I72="",$I72="—"),1,0)</f>
        <v>0</v>
      </c>
      <c r="W72" s="10" t="n">
        <f aca="false">IF(AND(ISNUMBER($D72),ISNUMBER($E72)),IF($E72&gt;$D72,1,0),0)+IF(AND(ISNUMBER($D72),ISNUMBER($F72)),IF($D72&gt;$F72,1,0),0)+IF(AND(ISNUMBER($E72),ISNUMBER($F72)),IF($E72&gt;$F72,1,0),0)</f>
        <v>0</v>
      </c>
      <c r="X72" s="13" t="s">
        <v>76</v>
      </c>
    </row>
    <row r="73" customFormat="false" ht="15" hidden="false" customHeight="false" outlineLevel="0" collapsed="false">
      <c r="A73" s="10" t="s">
        <v>296</v>
      </c>
      <c r="B73" s="10" t="s">
        <v>297</v>
      </c>
      <c r="C73" s="11" t="s">
        <v>288</v>
      </c>
      <c r="D73" s="12" t="n">
        <v>0.1221</v>
      </c>
      <c r="E73" s="12"/>
      <c r="F73" s="12"/>
      <c r="G73" s="10" t="s">
        <v>63</v>
      </c>
      <c r="H73" s="10" t="s">
        <v>87</v>
      </c>
      <c r="I73" s="11" t="s">
        <v>65</v>
      </c>
      <c r="J73" s="10" t="s">
        <v>66</v>
      </c>
      <c r="K73" s="10" t="s">
        <v>67</v>
      </c>
      <c r="L73" s="10" t="s">
        <v>68</v>
      </c>
      <c r="M73" s="10" t="s">
        <v>69</v>
      </c>
      <c r="N73" s="10"/>
      <c r="O73" s="11" t="s">
        <v>88</v>
      </c>
      <c r="P73" s="10" t="s">
        <v>71</v>
      </c>
      <c r="Q73" s="11" t="s">
        <v>72</v>
      </c>
      <c r="R73" s="11" t="s">
        <v>73</v>
      </c>
      <c r="S73" s="11" t="s">
        <v>74</v>
      </c>
      <c r="T73" s="11" t="s">
        <v>298</v>
      </c>
      <c r="U73" s="10" t="n">
        <f aca="false">IF(AND($D73="",$E73="",$F73=""),1,0)</f>
        <v>0</v>
      </c>
      <c r="V73" s="10" t="n">
        <f aca="false">IF(OR($I73="",$I73="—"),1,0)</f>
        <v>0</v>
      </c>
      <c r="W73" s="10" t="n">
        <f aca="false">IF(AND(ISNUMBER($D73),ISNUMBER($E73)),IF($E73&gt;$D73,1,0),0)+IF(AND(ISNUMBER($D73),ISNUMBER($F73)),IF($D73&gt;$F73,1,0),0)+IF(AND(ISNUMBER($E73),ISNUMBER($F73)),IF($E73&gt;$F73,1,0),0)</f>
        <v>0</v>
      </c>
      <c r="X73" s="13" t="s">
        <v>76</v>
      </c>
    </row>
    <row r="74" customFormat="false" ht="15" hidden="false" customHeight="false" outlineLevel="0" collapsed="false">
      <c r="A74" s="10" t="s">
        <v>299</v>
      </c>
      <c r="B74" s="10" t="s">
        <v>300</v>
      </c>
      <c r="C74" s="11" t="s">
        <v>288</v>
      </c>
      <c r="D74" s="12" t="n">
        <v>0.5327</v>
      </c>
      <c r="E74" s="12"/>
      <c r="F74" s="12"/>
      <c r="G74" s="10" t="s">
        <v>63</v>
      </c>
      <c r="H74" s="10" t="s">
        <v>92</v>
      </c>
      <c r="I74" s="11" t="s">
        <v>65</v>
      </c>
      <c r="J74" s="10" t="s">
        <v>66</v>
      </c>
      <c r="K74" s="10" t="s">
        <v>67</v>
      </c>
      <c r="L74" s="10" t="s">
        <v>68</v>
      </c>
      <c r="M74" s="10" t="s">
        <v>69</v>
      </c>
      <c r="N74" s="10"/>
      <c r="O74" s="11" t="s">
        <v>70</v>
      </c>
      <c r="P74" s="10" t="s">
        <v>71</v>
      </c>
      <c r="Q74" s="11" t="s">
        <v>72</v>
      </c>
      <c r="R74" s="11" t="s">
        <v>73</v>
      </c>
      <c r="S74" s="11" t="s">
        <v>74</v>
      </c>
      <c r="T74" s="11" t="s">
        <v>301</v>
      </c>
      <c r="U74" s="10" t="n">
        <f aca="false">IF(AND($D74="",$E74="",$F74=""),1,0)</f>
        <v>0</v>
      </c>
      <c r="V74" s="10" t="n">
        <f aca="false">IF(OR($I74="",$I74="—"),1,0)</f>
        <v>0</v>
      </c>
      <c r="W74" s="10" t="n">
        <f aca="false">IF(AND(ISNUMBER($D74),ISNUMBER($E74)),IF($E74&gt;$D74,1,0),0)+IF(AND(ISNUMBER($D74),ISNUMBER($F74)),IF($D74&gt;$F74,1,0),0)+IF(AND(ISNUMBER($E74),ISNUMBER($F74)),IF($E74&gt;$F74,1,0),0)</f>
        <v>0</v>
      </c>
      <c r="X74" s="13" t="s">
        <v>76</v>
      </c>
    </row>
    <row r="75" customFormat="false" ht="15" hidden="false" customHeight="false" outlineLevel="0" collapsed="false">
      <c r="A75" s="10" t="s">
        <v>302</v>
      </c>
      <c r="B75" s="10" t="s">
        <v>303</v>
      </c>
      <c r="C75" s="11" t="s">
        <v>304</v>
      </c>
      <c r="D75" s="12" t="n">
        <v>0.0102</v>
      </c>
      <c r="E75" s="12"/>
      <c r="F75" s="12"/>
      <c r="G75" s="10" t="s">
        <v>63</v>
      </c>
      <c r="H75" s="10" t="s">
        <v>64</v>
      </c>
      <c r="I75" s="11" t="s">
        <v>65</v>
      </c>
      <c r="J75" s="10" t="s">
        <v>66</v>
      </c>
      <c r="K75" s="10" t="s">
        <v>67</v>
      </c>
      <c r="L75" s="10" t="s">
        <v>68</v>
      </c>
      <c r="M75" s="10" t="s">
        <v>69</v>
      </c>
      <c r="N75" s="10"/>
      <c r="O75" s="11" t="s">
        <v>70</v>
      </c>
      <c r="P75" s="10" t="s">
        <v>71</v>
      </c>
      <c r="Q75" s="11" t="s">
        <v>72</v>
      </c>
      <c r="R75" s="11" t="s">
        <v>73</v>
      </c>
      <c r="S75" s="11" t="s">
        <v>74</v>
      </c>
      <c r="T75" s="11" t="s">
        <v>305</v>
      </c>
      <c r="U75" s="10" t="n">
        <f aca="false">IF(AND($D75="",$E75="",$F75=""),1,0)</f>
        <v>0</v>
      </c>
      <c r="V75" s="10" t="n">
        <f aca="false">IF(OR($I75="",$I75="—"),1,0)</f>
        <v>0</v>
      </c>
      <c r="W75" s="10" t="n">
        <f aca="false">IF(AND(ISNUMBER($D75),ISNUMBER($E75)),IF($E75&gt;$D75,1,0),0)+IF(AND(ISNUMBER($D75),ISNUMBER($F75)),IF($D75&gt;$F75,1,0),0)+IF(AND(ISNUMBER($E75),ISNUMBER($F75)),IF($E75&gt;$F75,1,0),0)</f>
        <v>0</v>
      </c>
      <c r="X75" s="13" t="s">
        <v>76</v>
      </c>
    </row>
    <row r="76" customFormat="false" ht="15" hidden="false" customHeight="false" outlineLevel="0" collapsed="false">
      <c r="A76" s="10" t="s">
        <v>306</v>
      </c>
      <c r="B76" s="10" t="s">
        <v>307</v>
      </c>
      <c r="C76" s="11" t="s">
        <v>304</v>
      </c>
      <c r="D76" s="12" t="n">
        <v>0.055</v>
      </c>
      <c r="E76" s="12"/>
      <c r="F76" s="12"/>
      <c r="G76" s="10" t="s">
        <v>63</v>
      </c>
      <c r="H76" s="10" t="s">
        <v>79</v>
      </c>
      <c r="I76" s="11" t="s">
        <v>65</v>
      </c>
      <c r="J76" s="10" t="s">
        <v>66</v>
      </c>
      <c r="K76" s="10" t="s">
        <v>67</v>
      </c>
      <c r="L76" s="10" t="s">
        <v>68</v>
      </c>
      <c r="M76" s="10" t="s">
        <v>69</v>
      </c>
      <c r="N76" s="10"/>
      <c r="O76" s="11" t="s">
        <v>70</v>
      </c>
      <c r="P76" s="10" t="s">
        <v>71</v>
      </c>
      <c r="Q76" s="11" t="s">
        <v>72</v>
      </c>
      <c r="R76" s="11" t="s">
        <v>73</v>
      </c>
      <c r="S76" s="11" t="s">
        <v>74</v>
      </c>
      <c r="T76" s="11" t="s">
        <v>308</v>
      </c>
      <c r="U76" s="10" t="n">
        <f aca="false">IF(AND($D76="",$E76="",$F76=""),1,0)</f>
        <v>0</v>
      </c>
      <c r="V76" s="10" t="n">
        <f aca="false">IF(OR($I76="",$I76="—"),1,0)</f>
        <v>0</v>
      </c>
      <c r="W76" s="10" t="n">
        <f aca="false">IF(AND(ISNUMBER($D76),ISNUMBER($E76)),IF($E76&gt;$D76,1,0),0)+IF(AND(ISNUMBER($D76),ISNUMBER($F76)),IF($D76&gt;$F76,1,0),0)+IF(AND(ISNUMBER($E76),ISNUMBER($F76)),IF($E76&gt;$F76,1,0),0)</f>
        <v>0</v>
      </c>
      <c r="X76" s="13" t="s">
        <v>76</v>
      </c>
    </row>
    <row r="77" customFormat="false" ht="15" hidden="false" customHeight="false" outlineLevel="0" collapsed="false">
      <c r="A77" s="10" t="s">
        <v>309</v>
      </c>
      <c r="B77" s="10" t="s">
        <v>310</v>
      </c>
      <c r="C77" s="11" t="s">
        <v>304</v>
      </c>
      <c r="D77" s="12" t="n">
        <v>0.2358</v>
      </c>
      <c r="E77" s="12"/>
      <c r="F77" s="12"/>
      <c r="G77" s="10" t="s">
        <v>63</v>
      </c>
      <c r="H77" s="10" t="s">
        <v>83</v>
      </c>
      <c r="I77" s="11" t="s">
        <v>65</v>
      </c>
      <c r="J77" s="10" t="s">
        <v>66</v>
      </c>
      <c r="K77" s="10" t="s">
        <v>67</v>
      </c>
      <c r="L77" s="10" t="s">
        <v>68</v>
      </c>
      <c r="M77" s="10" t="s">
        <v>69</v>
      </c>
      <c r="N77" s="10"/>
      <c r="O77" s="11" t="s">
        <v>70</v>
      </c>
      <c r="P77" s="10" t="s">
        <v>71</v>
      </c>
      <c r="Q77" s="11" t="s">
        <v>72</v>
      </c>
      <c r="R77" s="11" t="s">
        <v>73</v>
      </c>
      <c r="S77" s="11" t="s">
        <v>74</v>
      </c>
      <c r="T77" s="11" t="s">
        <v>311</v>
      </c>
      <c r="U77" s="10" t="n">
        <f aca="false">IF(AND($D77="",$E77="",$F77=""),1,0)</f>
        <v>0</v>
      </c>
      <c r="V77" s="10" t="n">
        <f aca="false">IF(OR($I77="",$I77="—"),1,0)</f>
        <v>0</v>
      </c>
      <c r="W77" s="10" t="n">
        <f aca="false">IF(AND(ISNUMBER($D77),ISNUMBER($E77)),IF($E77&gt;$D77,1,0),0)+IF(AND(ISNUMBER($D77),ISNUMBER($F77)),IF($D77&gt;$F77,1,0),0)+IF(AND(ISNUMBER($E77),ISNUMBER($F77)),IF($E77&gt;$F77,1,0),0)</f>
        <v>0</v>
      </c>
      <c r="X77" s="13" t="s">
        <v>76</v>
      </c>
    </row>
    <row r="78" customFormat="false" ht="15" hidden="false" customHeight="false" outlineLevel="0" collapsed="false">
      <c r="A78" s="10" t="s">
        <v>312</v>
      </c>
      <c r="B78" s="10" t="s">
        <v>313</v>
      </c>
      <c r="C78" s="11" t="s">
        <v>304</v>
      </c>
      <c r="D78" s="12" t="n">
        <v>0.0422</v>
      </c>
      <c r="E78" s="12"/>
      <c r="F78" s="12"/>
      <c r="G78" s="10" t="s">
        <v>63</v>
      </c>
      <c r="H78" s="10" t="s">
        <v>87</v>
      </c>
      <c r="I78" s="11" t="s">
        <v>65</v>
      </c>
      <c r="J78" s="10" t="s">
        <v>66</v>
      </c>
      <c r="K78" s="10" t="s">
        <v>67</v>
      </c>
      <c r="L78" s="10" t="s">
        <v>68</v>
      </c>
      <c r="M78" s="10" t="s">
        <v>69</v>
      </c>
      <c r="N78" s="10"/>
      <c r="O78" s="11" t="s">
        <v>88</v>
      </c>
      <c r="P78" s="10" t="s">
        <v>71</v>
      </c>
      <c r="Q78" s="11" t="s">
        <v>72</v>
      </c>
      <c r="R78" s="11" t="s">
        <v>73</v>
      </c>
      <c r="S78" s="11" t="s">
        <v>74</v>
      </c>
      <c r="T78" s="11" t="s">
        <v>314</v>
      </c>
      <c r="U78" s="10" t="n">
        <f aca="false">IF(AND($D78="",$E78="",$F78=""),1,0)</f>
        <v>0</v>
      </c>
      <c r="V78" s="10" t="n">
        <f aca="false">IF(OR($I78="",$I78="—"),1,0)</f>
        <v>0</v>
      </c>
      <c r="W78" s="10" t="n">
        <f aca="false">IF(AND(ISNUMBER($D78),ISNUMBER($E78)),IF($E78&gt;$D78,1,0),0)+IF(AND(ISNUMBER($D78),ISNUMBER($F78)),IF($D78&gt;$F78,1,0),0)+IF(AND(ISNUMBER($E78),ISNUMBER($F78)),IF($E78&gt;$F78,1,0),0)</f>
        <v>0</v>
      </c>
      <c r="X78" s="13" t="s">
        <v>76</v>
      </c>
    </row>
    <row r="79" customFormat="false" ht="15" hidden="false" customHeight="false" outlineLevel="0" collapsed="false">
      <c r="A79" s="10" t="s">
        <v>315</v>
      </c>
      <c r="B79" s="10" t="s">
        <v>316</v>
      </c>
      <c r="C79" s="11" t="s">
        <v>304</v>
      </c>
      <c r="D79" s="12" t="n">
        <v>1.5885</v>
      </c>
      <c r="E79" s="12"/>
      <c r="F79" s="12"/>
      <c r="G79" s="10" t="s">
        <v>63</v>
      </c>
      <c r="H79" s="10" t="s">
        <v>92</v>
      </c>
      <c r="I79" s="11" t="s">
        <v>65</v>
      </c>
      <c r="J79" s="10" t="s">
        <v>66</v>
      </c>
      <c r="K79" s="10" t="s">
        <v>67</v>
      </c>
      <c r="L79" s="10" t="s">
        <v>68</v>
      </c>
      <c r="M79" s="10" t="s">
        <v>69</v>
      </c>
      <c r="N79" s="10"/>
      <c r="O79" s="11" t="s">
        <v>70</v>
      </c>
      <c r="P79" s="10" t="s">
        <v>71</v>
      </c>
      <c r="Q79" s="11" t="s">
        <v>72</v>
      </c>
      <c r="R79" s="11" t="s">
        <v>73</v>
      </c>
      <c r="S79" s="11" t="s">
        <v>74</v>
      </c>
      <c r="T79" s="11" t="s">
        <v>317</v>
      </c>
      <c r="U79" s="10" t="n">
        <f aca="false">IF(AND($D79="",$E79="",$F79=""),1,0)</f>
        <v>0</v>
      </c>
      <c r="V79" s="10" t="n">
        <f aca="false">IF(OR($I79="",$I79="—"),1,0)</f>
        <v>0</v>
      </c>
      <c r="W79" s="10" t="n">
        <f aca="false">IF(AND(ISNUMBER($D79),ISNUMBER($E79)),IF($E79&gt;$D79,1,0),0)+IF(AND(ISNUMBER($D79),ISNUMBER($F79)),IF($D79&gt;$F79,1,0),0)+IF(AND(ISNUMBER($E79),ISNUMBER($F79)),IF($E79&gt;$F79,1,0),0)</f>
        <v>0</v>
      </c>
      <c r="X79" s="13" t="s">
        <v>76</v>
      </c>
    </row>
    <row r="80" customFormat="false" ht="15" hidden="false" customHeight="false" outlineLevel="0" collapsed="false">
      <c r="A80" s="10" t="s">
        <v>318</v>
      </c>
      <c r="B80" s="10" t="s">
        <v>319</v>
      </c>
      <c r="C80" s="11" t="s">
        <v>320</v>
      </c>
      <c r="D80" s="12" t="n">
        <v>1.4365</v>
      </c>
      <c r="E80" s="12"/>
      <c r="F80" s="12"/>
      <c r="G80" s="10" t="s">
        <v>63</v>
      </c>
      <c r="H80" s="10" t="s">
        <v>64</v>
      </c>
      <c r="I80" s="11" t="s">
        <v>65</v>
      </c>
      <c r="J80" s="10" t="s">
        <v>66</v>
      </c>
      <c r="K80" s="10" t="s">
        <v>67</v>
      </c>
      <c r="L80" s="10" t="s">
        <v>68</v>
      </c>
      <c r="M80" s="10" t="s">
        <v>69</v>
      </c>
      <c r="N80" s="10"/>
      <c r="O80" s="11" t="s">
        <v>70</v>
      </c>
      <c r="P80" s="10" t="s">
        <v>71</v>
      </c>
      <c r="Q80" s="11" t="s">
        <v>72</v>
      </c>
      <c r="R80" s="11" t="s">
        <v>73</v>
      </c>
      <c r="S80" s="11" t="s">
        <v>74</v>
      </c>
      <c r="T80" s="11" t="s">
        <v>321</v>
      </c>
      <c r="U80" s="10" t="n">
        <f aca="false">IF(AND($D80="",$E80="",$F80=""),1,0)</f>
        <v>0</v>
      </c>
      <c r="V80" s="10" t="n">
        <f aca="false">IF(OR($I80="",$I80="—"),1,0)</f>
        <v>0</v>
      </c>
      <c r="W80" s="10" t="n">
        <f aca="false">IF(AND(ISNUMBER($D80),ISNUMBER($E80)),IF($E80&gt;$D80,1,0),0)+IF(AND(ISNUMBER($D80),ISNUMBER($F80)),IF($D80&gt;$F80,1,0),0)+IF(AND(ISNUMBER($E80),ISNUMBER($F80)),IF($E80&gt;$F80,1,0),0)</f>
        <v>0</v>
      </c>
      <c r="X80" s="13" t="s">
        <v>76</v>
      </c>
    </row>
    <row r="81" customFormat="false" ht="15" hidden="false" customHeight="false" outlineLevel="0" collapsed="false">
      <c r="A81" s="10" t="s">
        <v>322</v>
      </c>
      <c r="B81" s="10" t="s">
        <v>323</v>
      </c>
      <c r="C81" s="11" t="s">
        <v>320</v>
      </c>
      <c r="D81" s="12" t="n">
        <v>7.8796</v>
      </c>
      <c r="E81" s="12"/>
      <c r="F81" s="12"/>
      <c r="G81" s="10" t="s">
        <v>63</v>
      </c>
      <c r="H81" s="10" t="s">
        <v>79</v>
      </c>
      <c r="I81" s="11" t="s">
        <v>65</v>
      </c>
      <c r="J81" s="10" t="s">
        <v>66</v>
      </c>
      <c r="K81" s="10" t="s">
        <v>67</v>
      </c>
      <c r="L81" s="10" t="s">
        <v>68</v>
      </c>
      <c r="M81" s="10" t="s">
        <v>69</v>
      </c>
      <c r="N81" s="10"/>
      <c r="O81" s="11" t="s">
        <v>70</v>
      </c>
      <c r="P81" s="10" t="s">
        <v>71</v>
      </c>
      <c r="Q81" s="11" t="s">
        <v>72</v>
      </c>
      <c r="R81" s="11" t="s">
        <v>73</v>
      </c>
      <c r="S81" s="11" t="s">
        <v>74</v>
      </c>
      <c r="T81" s="11" t="s">
        <v>324</v>
      </c>
      <c r="U81" s="10" t="n">
        <f aca="false">IF(AND($D81="",$E81="",$F81=""),1,0)</f>
        <v>0</v>
      </c>
      <c r="V81" s="10" t="n">
        <f aca="false">IF(OR($I81="",$I81="—"),1,0)</f>
        <v>0</v>
      </c>
      <c r="W81" s="10" t="n">
        <f aca="false">IF(AND(ISNUMBER($D81),ISNUMBER($E81)),IF($E81&gt;$D81,1,0),0)+IF(AND(ISNUMBER($D81),ISNUMBER($F81)),IF($D81&gt;$F81,1,0),0)+IF(AND(ISNUMBER($E81),ISNUMBER($F81)),IF($E81&gt;$F81,1,0),0)</f>
        <v>0</v>
      </c>
      <c r="X81" s="13" t="s">
        <v>76</v>
      </c>
    </row>
    <row r="82" customFormat="false" ht="15" hidden="false" customHeight="false" outlineLevel="0" collapsed="false">
      <c r="A82" s="10" t="s">
        <v>325</v>
      </c>
      <c r="B82" s="10" t="s">
        <v>326</v>
      </c>
      <c r="C82" s="11" t="s">
        <v>320</v>
      </c>
      <c r="D82" s="12" t="n">
        <v>29.5801</v>
      </c>
      <c r="E82" s="12"/>
      <c r="F82" s="12"/>
      <c r="G82" s="10" t="s">
        <v>63</v>
      </c>
      <c r="H82" s="10" t="s">
        <v>83</v>
      </c>
      <c r="I82" s="11" t="s">
        <v>65</v>
      </c>
      <c r="J82" s="10" t="s">
        <v>66</v>
      </c>
      <c r="K82" s="10" t="s">
        <v>67</v>
      </c>
      <c r="L82" s="10" t="s">
        <v>68</v>
      </c>
      <c r="M82" s="10" t="s">
        <v>69</v>
      </c>
      <c r="N82" s="10"/>
      <c r="O82" s="11" t="s">
        <v>70</v>
      </c>
      <c r="P82" s="10" t="s">
        <v>71</v>
      </c>
      <c r="Q82" s="11" t="s">
        <v>72</v>
      </c>
      <c r="R82" s="11" t="s">
        <v>73</v>
      </c>
      <c r="S82" s="11" t="s">
        <v>74</v>
      </c>
      <c r="T82" s="11" t="s">
        <v>327</v>
      </c>
      <c r="U82" s="10" t="n">
        <f aca="false">IF(AND($D82="",$E82="",$F82=""),1,0)</f>
        <v>0</v>
      </c>
      <c r="V82" s="10" t="n">
        <f aca="false">IF(OR($I82="",$I82="—"),1,0)</f>
        <v>0</v>
      </c>
      <c r="W82" s="10" t="n">
        <f aca="false">IF(AND(ISNUMBER($D82),ISNUMBER($E82)),IF($E82&gt;$D82,1,0),0)+IF(AND(ISNUMBER($D82),ISNUMBER($F82)),IF($D82&gt;$F82,1,0),0)+IF(AND(ISNUMBER($E82),ISNUMBER($F82)),IF($E82&gt;$F82,1,0),0)</f>
        <v>0</v>
      </c>
      <c r="X82" s="13" t="s">
        <v>76</v>
      </c>
    </row>
    <row r="83" customFormat="false" ht="15" hidden="false" customHeight="false" outlineLevel="0" collapsed="false">
      <c r="A83" s="10" t="s">
        <v>328</v>
      </c>
      <c r="B83" s="10" t="s">
        <v>329</v>
      </c>
      <c r="C83" s="11" t="s">
        <v>320</v>
      </c>
      <c r="D83" s="12" t="n">
        <v>12.3555</v>
      </c>
      <c r="E83" s="12"/>
      <c r="F83" s="12"/>
      <c r="G83" s="10" t="s">
        <v>63</v>
      </c>
      <c r="H83" s="10" t="s">
        <v>87</v>
      </c>
      <c r="I83" s="11" t="s">
        <v>65</v>
      </c>
      <c r="J83" s="10" t="s">
        <v>66</v>
      </c>
      <c r="K83" s="10" t="s">
        <v>67</v>
      </c>
      <c r="L83" s="10" t="s">
        <v>68</v>
      </c>
      <c r="M83" s="10" t="s">
        <v>69</v>
      </c>
      <c r="N83" s="10"/>
      <c r="O83" s="11" t="s">
        <v>88</v>
      </c>
      <c r="P83" s="10" t="s">
        <v>71</v>
      </c>
      <c r="Q83" s="11" t="s">
        <v>72</v>
      </c>
      <c r="R83" s="11" t="s">
        <v>73</v>
      </c>
      <c r="S83" s="11" t="s">
        <v>74</v>
      </c>
      <c r="T83" s="11" t="s">
        <v>330</v>
      </c>
      <c r="U83" s="10" t="n">
        <f aca="false">IF(AND($D83="",$E83="",$F83=""),1,0)</f>
        <v>0</v>
      </c>
      <c r="V83" s="10" t="n">
        <f aca="false">IF(OR($I83="",$I83="—"),1,0)</f>
        <v>0</v>
      </c>
      <c r="W83" s="10" t="n">
        <f aca="false">IF(AND(ISNUMBER($D83),ISNUMBER($E83)),IF($E83&gt;$D83,1,0),0)+IF(AND(ISNUMBER($D83),ISNUMBER($F83)),IF($D83&gt;$F83,1,0),0)+IF(AND(ISNUMBER($E83),ISNUMBER($F83)),IF($E83&gt;$F83,1,0),0)</f>
        <v>0</v>
      </c>
      <c r="X83" s="13" t="s">
        <v>76</v>
      </c>
    </row>
    <row r="84" customFormat="false" ht="15" hidden="false" customHeight="false" outlineLevel="0" collapsed="false">
      <c r="A84" s="10" t="s">
        <v>331</v>
      </c>
      <c r="B84" s="10" t="s">
        <v>332</v>
      </c>
      <c r="C84" s="11" t="s">
        <v>320</v>
      </c>
      <c r="D84" s="12" t="n">
        <v>23.5785</v>
      </c>
      <c r="E84" s="12"/>
      <c r="F84" s="12"/>
      <c r="G84" s="10" t="s">
        <v>63</v>
      </c>
      <c r="H84" s="10" t="s">
        <v>92</v>
      </c>
      <c r="I84" s="11" t="s">
        <v>65</v>
      </c>
      <c r="J84" s="10" t="s">
        <v>66</v>
      </c>
      <c r="K84" s="10" t="s">
        <v>67</v>
      </c>
      <c r="L84" s="10" t="s">
        <v>68</v>
      </c>
      <c r="M84" s="10" t="s">
        <v>69</v>
      </c>
      <c r="N84" s="10"/>
      <c r="O84" s="11" t="s">
        <v>70</v>
      </c>
      <c r="P84" s="10" t="s">
        <v>71</v>
      </c>
      <c r="Q84" s="11" t="s">
        <v>72</v>
      </c>
      <c r="R84" s="11" t="s">
        <v>73</v>
      </c>
      <c r="S84" s="11" t="s">
        <v>74</v>
      </c>
      <c r="T84" s="11" t="s">
        <v>333</v>
      </c>
      <c r="U84" s="10" t="n">
        <f aca="false">IF(AND($D84="",$E84="",$F84=""),1,0)</f>
        <v>0</v>
      </c>
      <c r="V84" s="10" t="n">
        <f aca="false">IF(OR($I84="",$I84="—"),1,0)</f>
        <v>0</v>
      </c>
      <c r="W84" s="10" t="n">
        <f aca="false">IF(AND(ISNUMBER($D84),ISNUMBER($E84)),IF($E84&gt;$D84,1,0),0)+IF(AND(ISNUMBER($D84),ISNUMBER($F84)),IF($D84&gt;$F84,1,0),0)+IF(AND(ISNUMBER($E84),ISNUMBER($F84)),IF($E84&gt;$F84,1,0),0)</f>
        <v>0</v>
      </c>
      <c r="X84" s="13" t="s">
        <v>76</v>
      </c>
    </row>
    <row r="85" customFormat="false" ht="15" hidden="false" customHeight="false" outlineLevel="0" collapsed="false">
      <c r="A85" s="10" t="s">
        <v>334</v>
      </c>
      <c r="B85" s="10" t="s">
        <v>335</v>
      </c>
      <c r="C85" s="11" t="s">
        <v>336</v>
      </c>
      <c r="D85" s="12" t="n">
        <v>0.9742</v>
      </c>
      <c r="E85" s="12"/>
      <c r="F85" s="12"/>
      <c r="G85" s="10" t="s">
        <v>63</v>
      </c>
      <c r="H85" s="10" t="s">
        <v>64</v>
      </c>
      <c r="I85" s="11" t="s">
        <v>65</v>
      </c>
      <c r="J85" s="10" t="s">
        <v>66</v>
      </c>
      <c r="K85" s="10" t="s">
        <v>67</v>
      </c>
      <c r="L85" s="10" t="s">
        <v>68</v>
      </c>
      <c r="M85" s="10" t="s">
        <v>69</v>
      </c>
      <c r="N85" s="10"/>
      <c r="O85" s="11" t="s">
        <v>70</v>
      </c>
      <c r="P85" s="10" t="s">
        <v>71</v>
      </c>
      <c r="Q85" s="11" t="s">
        <v>72</v>
      </c>
      <c r="R85" s="11" t="s">
        <v>73</v>
      </c>
      <c r="S85" s="11" t="s">
        <v>74</v>
      </c>
      <c r="T85" s="11" t="s">
        <v>337</v>
      </c>
      <c r="U85" s="10" t="n">
        <f aca="false">IF(AND($D85="",$E85="",$F85=""),1,0)</f>
        <v>0</v>
      </c>
      <c r="V85" s="10" t="n">
        <f aca="false">IF(OR($I85="",$I85="—"),1,0)</f>
        <v>0</v>
      </c>
      <c r="W85" s="10" t="n">
        <f aca="false">IF(AND(ISNUMBER($D85),ISNUMBER($E85)),IF($E85&gt;$D85,1,0),0)+IF(AND(ISNUMBER($D85),ISNUMBER($F85)),IF($D85&gt;$F85,1,0),0)+IF(AND(ISNUMBER($E85),ISNUMBER($F85)),IF($E85&gt;$F85,1,0),0)</f>
        <v>0</v>
      </c>
      <c r="X85" s="13" t="s">
        <v>76</v>
      </c>
    </row>
    <row r="86" customFormat="false" ht="15" hidden="false" customHeight="false" outlineLevel="0" collapsed="false">
      <c r="A86" s="10" t="s">
        <v>338</v>
      </c>
      <c r="B86" s="10" t="s">
        <v>339</v>
      </c>
      <c r="C86" s="11" t="s">
        <v>336</v>
      </c>
      <c r="D86" s="12" t="n">
        <v>6.2098</v>
      </c>
      <c r="E86" s="12"/>
      <c r="F86" s="12"/>
      <c r="G86" s="10" t="s">
        <v>63</v>
      </c>
      <c r="H86" s="10" t="s">
        <v>79</v>
      </c>
      <c r="I86" s="11" t="s">
        <v>65</v>
      </c>
      <c r="J86" s="10" t="s">
        <v>66</v>
      </c>
      <c r="K86" s="10" t="s">
        <v>67</v>
      </c>
      <c r="L86" s="10" t="s">
        <v>68</v>
      </c>
      <c r="M86" s="10" t="s">
        <v>69</v>
      </c>
      <c r="N86" s="10"/>
      <c r="O86" s="11" t="s">
        <v>70</v>
      </c>
      <c r="P86" s="10" t="s">
        <v>71</v>
      </c>
      <c r="Q86" s="11" t="s">
        <v>72</v>
      </c>
      <c r="R86" s="11" t="s">
        <v>73</v>
      </c>
      <c r="S86" s="11" t="s">
        <v>74</v>
      </c>
      <c r="T86" s="11" t="s">
        <v>340</v>
      </c>
      <c r="U86" s="10" t="n">
        <f aca="false">IF(AND($D86="",$E86="",$F86=""),1,0)</f>
        <v>0</v>
      </c>
      <c r="V86" s="10" t="n">
        <f aca="false">IF(OR($I86="",$I86="—"),1,0)</f>
        <v>0</v>
      </c>
      <c r="W86" s="10" t="n">
        <f aca="false">IF(AND(ISNUMBER($D86),ISNUMBER($E86)),IF($E86&gt;$D86,1,0),0)+IF(AND(ISNUMBER($D86),ISNUMBER($F86)),IF($D86&gt;$F86,1,0),0)+IF(AND(ISNUMBER($E86),ISNUMBER($F86)),IF($E86&gt;$F86,1,0),0)</f>
        <v>0</v>
      </c>
      <c r="X86" s="13" t="s">
        <v>76</v>
      </c>
    </row>
    <row r="87" customFormat="false" ht="15" hidden="false" customHeight="false" outlineLevel="0" collapsed="false">
      <c r="A87" s="10" t="s">
        <v>341</v>
      </c>
      <c r="B87" s="10" t="s">
        <v>342</v>
      </c>
      <c r="C87" s="11" t="s">
        <v>336</v>
      </c>
      <c r="D87" s="12" t="n">
        <v>24.6557</v>
      </c>
      <c r="E87" s="12"/>
      <c r="F87" s="12"/>
      <c r="G87" s="10" t="s">
        <v>63</v>
      </c>
      <c r="H87" s="10" t="s">
        <v>83</v>
      </c>
      <c r="I87" s="11" t="s">
        <v>65</v>
      </c>
      <c r="J87" s="10" t="s">
        <v>66</v>
      </c>
      <c r="K87" s="10" t="s">
        <v>67</v>
      </c>
      <c r="L87" s="10" t="s">
        <v>68</v>
      </c>
      <c r="M87" s="10" t="s">
        <v>69</v>
      </c>
      <c r="N87" s="10"/>
      <c r="O87" s="11" t="s">
        <v>70</v>
      </c>
      <c r="P87" s="10" t="s">
        <v>71</v>
      </c>
      <c r="Q87" s="11" t="s">
        <v>72</v>
      </c>
      <c r="R87" s="11" t="s">
        <v>73</v>
      </c>
      <c r="S87" s="11" t="s">
        <v>74</v>
      </c>
      <c r="T87" s="11" t="s">
        <v>343</v>
      </c>
      <c r="U87" s="10" t="n">
        <f aca="false">IF(AND($D87="",$E87="",$F87=""),1,0)</f>
        <v>0</v>
      </c>
      <c r="V87" s="10" t="n">
        <f aca="false">IF(OR($I87="",$I87="—"),1,0)</f>
        <v>0</v>
      </c>
      <c r="W87" s="10" t="n">
        <f aca="false">IF(AND(ISNUMBER($D87),ISNUMBER($E87)),IF($E87&gt;$D87,1,0),0)+IF(AND(ISNUMBER($D87),ISNUMBER($F87)),IF($D87&gt;$F87,1,0),0)+IF(AND(ISNUMBER($E87),ISNUMBER($F87)),IF($E87&gt;$F87,1,0),0)</f>
        <v>0</v>
      </c>
      <c r="X87" s="13" t="s">
        <v>76</v>
      </c>
    </row>
    <row r="88" customFormat="false" ht="15" hidden="false" customHeight="false" outlineLevel="0" collapsed="false">
      <c r="A88" s="10" t="s">
        <v>344</v>
      </c>
      <c r="B88" s="10" t="s">
        <v>345</v>
      </c>
      <c r="C88" s="11" t="s">
        <v>336</v>
      </c>
      <c r="D88" s="12" t="n">
        <v>10.3016</v>
      </c>
      <c r="E88" s="12"/>
      <c r="F88" s="12"/>
      <c r="G88" s="10" t="s">
        <v>63</v>
      </c>
      <c r="H88" s="10" t="s">
        <v>87</v>
      </c>
      <c r="I88" s="11" t="s">
        <v>65</v>
      </c>
      <c r="J88" s="10" t="s">
        <v>66</v>
      </c>
      <c r="K88" s="10" t="s">
        <v>67</v>
      </c>
      <c r="L88" s="10" t="s">
        <v>68</v>
      </c>
      <c r="M88" s="10" t="s">
        <v>69</v>
      </c>
      <c r="N88" s="10"/>
      <c r="O88" s="11" t="s">
        <v>88</v>
      </c>
      <c r="P88" s="10" t="s">
        <v>71</v>
      </c>
      <c r="Q88" s="11" t="s">
        <v>72</v>
      </c>
      <c r="R88" s="11" t="s">
        <v>73</v>
      </c>
      <c r="S88" s="11" t="s">
        <v>74</v>
      </c>
      <c r="T88" s="11" t="s">
        <v>346</v>
      </c>
      <c r="U88" s="10" t="n">
        <f aca="false">IF(AND($D88="",$E88="",$F88=""),1,0)</f>
        <v>0</v>
      </c>
      <c r="V88" s="10" t="n">
        <f aca="false">IF(OR($I88="",$I88="—"),1,0)</f>
        <v>0</v>
      </c>
      <c r="W88" s="10" t="n">
        <f aca="false">IF(AND(ISNUMBER($D88),ISNUMBER($E88)),IF($E88&gt;$D88,1,0),0)+IF(AND(ISNUMBER($D88),ISNUMBER($F88)),IF($D88&gt;$F88,1,0),0)+IF(AND(ISNUMBER($E88),ISNUMBER($F88)),IF($E88&gt;$F88,1,0),0)</f>
        <v>0</v>
      </c>
      <c r="X88" s="13" t="s">
        <v>76</v>
      </c>
    </row>
    <row r="89" customFormat="false" ht="15" hidden="false" customHeight="false" outlineLevel="0" collapsed="false">
      <c r="A89" s="10" t="s">
        <v>347</v>
      </c>
      <c r="B89" s="10" t="s">
        <v>348</v>
      </c>
      <c r="C89" s="11" t="s">
        <v>336</v>
      </c>
      <c r="D89" s="12" t="n">
        <v>17.5197</v>
      </c>
      <c r="E89" s="12"/>
      <c r="F89" s="12"/>
      <c r="G89" s="10" t="s">
        <v>63</v>
      </c>
      <c r="H89" s="10" t="s">
        <v>92</v>
      </c>
      <c r="I89" s="11" t="s">
        <v>65</v>
      </c>
      <c r="J89" s="10" t="s">
        <v>66</v>
      </c>
      <c r="K89" s="10" t="s">
        <v>67</v>
      </c>
      <c r="L89" s="10" t="s">
        <v>68</v>
      </c>
      <c r="M89" s="10" t="s">
        <v>69</v>
      </c>
      <c r="N89" s="10"/>
      <c r="O89" s="11" t="s">
        <v>70</v>
      </c>
      <c r="P89" s="10" t="s">
        <v>71</v>
      </c>
      <c r="Q89" s="11" t="s">
        <v>72</v>
      </c>
      <c r="R89" s="11" t="s">
        <v>73</v>
      </c>
      <c r="S89" s="11" t="s">
        <v>74</v>
      </c>
      <c r="T89" s="11" t="s">
        <v>349</v>
      </c>
      <c r="U89" s="10" t="n">
        <f aca="false">IF(AND($D89="",$E89="",$F89=""),1,0)</f>
        <v>0</v>
      </c>
      <c r="V89" s="10" t="n">
        <f aca="false">IF(OR($I89="",$I89="—"),1,0)</f>
        <v>0</v>
      </c>
      <c r="W89" s="10" t="n">
        <f aca="false">IF(AND(ISNUMBER($D89),ISNUMBER($E89)),IF($E89&gt;$D89,1,0),0)+IF(AND(ISNUMBER($D89),ISNUMBER($F89)),IF($D89&gt;$F89,1,0),0)+IF(AND(ISNUMBER($E89),ISNUMBER($F89)),IF($E89&gt;$F89,1,0),0)</f>
        <v>0</v>
      </c>
      <c r="X89" s="13" t="s">
        <v>76</v>
      </c>
    </row>
    <row r="90" customFormat="false" ht="15" hidden="false" customHeight="false" outlineLevel="0" collapsed="false">
      <c r="A90" s="10" t="s">
        <v>350</v>
      </c>
      <c r="B90" s="10" t="s">
        <v>351</v>
      </c>
      <c r="C90" s="11" t="s">
        <v>352</v>
      </c>
      <c r="D90" s="12" t="n">
        <v>-0.6825</v>
      </c>
      <c r="E90" s="12"/>
      <c r="F90" s="12"/>
      <c r="G90" s="10" t="s">
        <v>63</v>
      </c>
      <c r="H90" s="10" t="s">
        <v>64</v>
      </c>
      <c r="I90" s="11" t="s">
        <v>65</v>
      </c>
      <c r="J90" s="10" t="s">
        <v>66</v>
      </c>
      <c r="K90" s="10" t="s">
        <v>67</v>
      </c>
      <c r="L90" s="10" t="s">
        <v>68</v>
      </c>
      <c r="M90" s="10" t="s">
        <v>69</v>
      </c>
      <c r="N90" s="10"/>
      <c r="O90" s="11" t="s">
        <v>70</v>
      </c>
      <c r="P90" s="10" t="s">
        <v>71</v>
      </c>
      <c r="Q90" s="11" t="s">
        <v>72</v>
      </c>
      <c r="R90" s="11" t="s">
        <v>73</v>
      </c>
      <c r="S90" s="11" t="s">
        <v>74</v>
      </c>
      <c r="T90" s="11" t="s">
        <v>353</v>
      </c>
      <c r="U90" s="10" t="n">
        <f aca="false">IF(AND($D90="",$E90="",$F90=""),1,0)</f>
        <v>0</v>
      </c>
      <c r="V90" s="10" t="n">
        <f aca="false">IF(OR($I90="",$I90="—"),1,0)</f>
        <v>0</v>
      </c>
      <c r="W90" s="10" t="n">
        <f aca="false">IF(AND(ISNUMBER($D90),ISNUMBER($E90)),IF($E90&gt;$D90,1,0),0)+IF(AND(ISNUMBER($D90),ISNUMBER($F90)),IF($D90&gt;$F90,1,0),0)+IF(AND(ISNUMBER($E90),ISNUMBER($F90)),IF($E90&gt;$F90,1,0),0)</f>
        <v>0</v>
      </c>
      <c r="X90" s="13" t="s">
        <v>76</v>
      </c>
    </row>
    <row r="91" customFormat="false" ht="15" hidden="false" customHeight="false" outlineLevel="0" collapsed="false">
      <c r="A91" s="10" t="s">
        <v>354</v>
      </c>
      <c r="B91" s="10" t="s">
        <v>355</v>
      </c>
      <c r="C91" s="11" t="s">
        <v>352</v>
      </c>
      <c r="D91" s="12" t="n">
        <v>-6.4802</v>
      </c>
      <c r="E91" s="12"/>
      <c r="F91" s="12"/>
      <c r="G91" s="10" t="s">
        <v>63</v>
      </c>
      <c r="H91" s="10" t="s">
        <v>79</v>
      </c>
      <c r="I91" s="11" t="s">
        <v>65</v>
      </c>
      <c r="J91" s="10" t="s">
        <v>66</v>
      </c>
      <c r="K91" s="10" t="s">
        <v>67</v>
      </c>
      <c r="L91" s="10" t="s">
        <v>68</v>
      </c>
      <c r="M91" s="10" t="s">
        <v>69</v>
      </c>
      <c r="N91" s="10"/>
      <c r="O91" s="11" t="s">
        <v>70</v>
      </c>
      <c r="P91" s="10" t="s">
        <v>71</v>
      </c>
      <c r="Q91" s="11" t="s">
        <v>72</v>
      </c>
      <c r="R91" s="11" t="s">
        <v>73</v>
      </c>
      <c r="S91" s="11" t="s">
        <v>74</v>
      </c>
      <c r="T91" s="11" t="s">
        <v>356</v>
      </c>
      <c r="U91" s="10" t="n">
        <f aca="false">IF(AND($D91="",$E91="",$F91=""),1,0)</f>
        <v>0</v>
      </c>
      <c r="V91" s="10" t="n">
        <f aca="false">IF(OR($I91="",$I91="—"),1,0)</f>
        <v>0</v>
      </c>
      <c r="W91" s="10" t="n">
        <f aca="false">IF(AND(ISNUMBER($D91),ISNUMBER($E91)),IF($E91&gt;$D91,1,0),0)+IF(AND(ISNUMBER($D91),ISNUMBER($F91)),IF($D91&gt;$F91,1,0),0)+IF(AND(ISNUMBER($E91),ISNUMBER($F91)),IF($E91&gt;$F91,1,0),0)</f>
        <v>0</v>
      </c>
      <c r="X91" s="13" t="s">
        <v>76</v>
      </c>
    </row>
    <row r="92" customFormat="false" ht="15" hidden="false" customHeight="false" outlineLevel="0" collapsed="false">
      <c r="A92" s="10" t="s">
        <v>357</v>
      </c>
      <c r="B92" s="10" t="s">
        <v>358</v>
      </c>
      <c r="C92" s="11" t="s">
        <v>352</v>
      </c>
      <c r="D92" s="12" t="n">
        <v>-22.4492</v>
      </c>
      <c r="E92" s="12"/>
      <c r="F92" s="12"/>
      <c r="G92" s="10" t="s">
        <v>63</v>
      </c>
      <c r="H92" s="10" t="s">
        <v>83</v>
      </c>
      <c r="I92" s="11" t="s">
        <v>65</v>
      </c>
      <c r="J92" s="10" t="s">
        <v>66</v>
      </c>
      <c r="K92" s="10" t="s">
        <v>67</v>
      </c>
      <c r="L92" s="10" t="s">
        <v>68</v>
      </c>
      <c r="M92" s="10" t="s">
        <v>69</v>
      </c>
      <c r="N92" s="10"/>
      <c r="O92" s="11" t="s">
        <v>70</v>
      </c>
      <c r="P92" s="10" t="s">
        <v>71</v>
      </c>
      <c r="Q92" s="11" t="s">
        <v>72</v>
      </c>
      <c r="R92" s="11" t="s">
        <v>73</v>
      </c>
      <c r="S92" s="11" t="s">
        <v>74</v>
      </c>
      <c r="T92" s="11" t="s">
        <v>359</v>
      </c>
      <c r="U92" s="10" t="n">
        <f aca="false">IF(AND($D92="",$E92="",$F92=""),1,0)</f>
        <v>0</v>
      </c>
      <c r="V92" s="10" t="n">
        <f aca="false">IF(OR($I92="",$I92="—"),1,0)</f>
        <v>0</v>
      </c>
      <c r="W92" s="10" t="n">
        <f aca="false">IF(AND(ISNUMBER($D92),ISNUMBER($E92)),IF($E92&gt;$D92,1,0),0)+IF(AND(ISNUMBER($D92),ISNUMBER($F92)),IF($D92&gt;$F92,1,0),0)+IF(AND(ISNUMBER($E92),ISNUMBER($F92)),IF($E92&gt;$F92,1,0),0)</f>
        <v>0</v>
      </c>
      <c r="X92" s="13" t="s">
        <v>76</v>
      </c>
    </row>
    <row r="93" customFormat="false" ht="15" hidden="false" customHeight="false" outlineLevel="0" collapsed="false">
      <c r="A93" s="10" t="s">
        <v>360</v>
      </c>
      <c r="B93" s="10" t="s">
        <v>361</v>
      </c>
      <c r="C93" s="11" t="s">
        <v>352</v>
      </c>
      <c r="D93" s="12" t="n">
        <v>-9.9468</v>
      </c>
      <c r="E93" s="12"/>
      <c r="F93" s="12"/>
      <c r="G93" s="10" t="s">
        <v>63</v>
      </c>
      <c r="H93" s="10" t="s">
        <v>87</v>
      </c>
      <c r="I93" s="11" t="s">
        <v>65</v>
      </c>
      <c r="J93" s="10" t="s">
        <v>66</v>
      </c>
      <c r="K93" s="10" t="s">
        <v>67</v>
      </c>
      <c r="L93" s="10" t="s">
        <v>68</v>
      </c>
      <c r="M93" s="10" t="s">
        <v>69</v>
      </c>
      <c r="N93" s="10"/>
      <c r="O93" s="11" t="s">
        <v>88</v>
      </c>
      <c r="P93" s="10" t="s">
        <v>71</v>
      </c>
      <c r="Q93" s="11" t="s">
        <v>72</v>
      </c>
      <c r="R93" s="11" t="s">
        <v>73</v>
      </c>
      <c r="S93" s="11" t="s">
        <v>74</v>
      </c>
      <c r="T93" s="11" t="s">
        <v>362</v>
      </c>
      <c r="U93" s="10" t="n">
        <f aca="false">IF(AND($D93="",$E93="",$F93=""),1,0)</f>
        <v>0</v>
      </c>
      <c r="V93" s="10" t="n">
        <f aca="false">IF(OR($I93="",$I93="—"),1,0)</f>
        <v>0</v>
      </c>
      <c r="W93" s="10" t="n">
        <f aca="false">IF(AND(ISNUMBER($D93),ISNUMBER($E93)),IF($E93&gt;$D93,1,0),0)+IF(AND(ISNUMBER($D93),ISNUMBER($F93)),IF($D93&gt;$F93,1,0),0)+IF(AND(ISNUMBER($E93),ISNUMBER($F93)),IF($E93&gt;$F93,1,0),0)</f>
        <v>0</v>
      </c>
      <c r="X93" s="13" t="s">
        <v>76</v>
      </c>
    </row>
    <row r="94" customFormat="false" ht="15" hidden="false" customHeight="false" outlineLevel="0" collapsed="false">
      <c r="A94" s="10" t="s">
        <v>363</v>
      </c>
      <c r="B94" s="10" t="s">
        <v>364</v>
      </c>
      <c r="C94" s="11" t="s">
        <v>352</v>
      </c>
      <c r="D94" s="12" t="n">
        <v>-13.2715</v>
      </c>
      <c r="E94" s="12"/>
      <c r="F94" s="12"/>
      <c r="G94" s="10" t="s">
        <v>63</v>
      </c>
      <c r="H94" s="10" t="s">
        <v>92</v>
      </c>
      <c r="I94" s="11" t="s">
        <v>65</v>
      </c>
      <c r="J94" s="10" t="s">
        <v>66</v>
      </c>
      <c r="K94" s="10" t="s">
        <v>67</v>
      </c>
      <c r="L94" s="10" t="s">
        <v>68</v>
      </c>
      <c r="M94" s="10" t="s">
        <v>69</v>
      </c>
      <c r="N94" s="10"/>
      <c r="O94" s="11" t="s">
        <v>70</v>
      </c>
      <c r="P94" s="10" t="s">
        <v>71</v>
      </c>
      <c r="Q94" s="11" t="s">
        <v>72</v>
      </c>
      <c r="R94" s="11" t="s">
        <v>73</v>
      </c>
      <c r="S94" s="11" t="s">
        <v>74</v>
      </c>
      <c r="T94" s="11" t="s">
        <v>365</v>
      </c>
      <c r="U94" s="10" t="n">
        <f aca="false">IF(AND($D94="",$E94="",$F94=""),1,0)</f>
        <v>0</v>
      </c>
      <c r="V94" s="10" t="n">
        <f aca="false">IF(OR($I94="",$I94="—"),1,0)</f>
        <v>0</v>
      </c>
      <c r="W94" s="10" t="n">
        <f aca="false">IF(AND(ISNUMBER($D94),ISNUMBER($E94)),IF($E94&gt;$D94,1,0),0)+IF(AND(ISNUMBER($D94),ISNUMBER($F94)),IF($D94&gt;$F94,1,0),0)+IF(AND(ISNUMBER($E94),ISNUMBER($F94)),IF($E94&gt;$F94,1,0),0)</f>
        <v>0</v>
      </c>
      <c r="X94" s="13" t="s">
        <v>76</v>
      </c>
    </row>
    <row r="95" customFormat="false" ht="15" hidden="false" customHeight="false" outlineLevel="0" collapsed="false">
      <c r="A95" s="10" t="s">
        <v>366</v>
      </c>
      <c r="B95" s="10" t="s">
        <v>367</v>
      </c>
      <c r="C95" s="11" t="s">
        <v>368</v>
      </c>
      <c r="D95" s="12" t="n">
        <v>0.3292</v>
      </c>
      <c r="E95" s="12"/>
      <c r="F95" s="12"/>
      <c r="G95" s="10" t="s">
        <v>63</v>
      </c>
      <c r="H95" s="10" t="s">
        <v>64</v>
      </c>
      <c r="I95" s="11" t="s">
        <v>65</v>
      </c>
      <c r="J95" s="10" t="s">
        <v>66</v>
      </c>
      <c r="K95" s="10" t="s">
        <v>67</v>
      </c>
      <c r="L95" s="10" t="s">
        <v>68</v>
      </c>
      <c r="M95" s="10" t="s">
        <v>69</v>
      </c>
      <c r="N95" s="10"/>
      <c r="O95" s="11" t="s">
        <v>70</v>
      </c>
      <c r="P95" s="10" t="s">
        <v>71</v>
      </c>
      <c r="Q95" s="11" t="s">
        <v>72</v>
      </c>
      <c r="R95" s="11" t="s">
        <v>73</v>
      </c>
      <c r="S95" s="11" t="s">
        <v>74</v>
      </c>
      <c r="T95" s="11" t="s">
        <v>369</v>
      </c>
      <c r="U95" s="10" t="n">
        <f aca="false">IF(AND($D95="",$E95="",$F95=""),1,0)</f>
        <v>0</v>
      </c>
      <c r="V95" s="10" t="n">
        <f aca="false">IF(OR($I95="",$I95="—"),1,0)</f>
        <v>0</v>
      </c>
      <c r="W95" s="10" t="n">
        <f aca="false">IF(AND(ISNUMBER($D95),ISNUMBER($E95)),IF($E95&gt;$D95,1,0),0)+IF(AND(ISNUMBER($D95),ISNUMBER($F95)),IF($D95&gt;$F95,1,0),0)+IF(AND(ISNUMBER($E95),ISNUMBER($F95)),IF($E95&gt;$F95,1,0),0)</f>
        <v>0</v>
      </c>
      <c r="X95" s="13" t="s">
        <v>76</v>
      </c>
    </row>
    <row r="96" customFormat="false" ht="15" hidden="false" customHeight="false" outlineLevel="0" collapsed="false">
      <c r="A96" s="10" t="s">
        <v>370</v>
      </c>
      <c r="B96" s="10" t="s">
        <v>371</v>
      </c>
      <c r="C96" s="11" t="s">
        <v>368</v>
      </c>
      <c r="D96" s="12" t="n">
        <v>-7.8496</v>
      </c>
      <c r="E96" s="12"/>
      <c r="F96" s="12"/>
      <c r="G96" s="10" t="s">
        <v>63</v>
      </c>
      <c r="H96" s="10" t="s">
        <v>79</v>
      </c>
      <c r="I96" s="11" t="s">
        <v>65</v>
      </c>
      <c r="J96" s="10" t="s">
        <v>66</v>
      </c>
      <c r="K96" s="10" t="s">
        <v>67</v>
      </c>
      <c r="L96" s="10" t="s">
        <v>68</v>
      </c>
      <c r="M96" s="10" t="s">
        <v>69</v>
      </c>
      <c r="N96" s="10"/>
      <c r="O96" s="11" t="s">
        <v>70</v>
      </c>
      <c r="P96" s="10" t="s">
        <v>71</v>
      </c>
      <c r="Q96" s="11" t="s">
        <v>72</v>
      </c>
      <c r="R96" s="11" t="s">
        <v>73</v>
      </c>
      <c r="S96" s="11" t="s">
        <v>74</v>
      </c>
      <c r="T96" s="11" t="s">
        <v>372</v>
      </c>
      <c r="U96" s="10" t="n">
        <f aca="false">IF(AND($D96="",$E96="",$F96=""),1,0)</f>
        <v>0</v>
      </c>
      <c r="V96" s="10" t="n">
        <f aca="false">IF(OR($I96="",$I96="—"),1,0)</f>
        <v>0</v>
      </c>
      <c r="W96" s="10" t="n">
        <f aca="false">IF(AND(ISNUMBER($D96),ISNUMBER($E96)),IF($E96&gt;$D96,1,0),0)+IF(AND(ISNUMBER($D96),ISNUMBER($F96)),IF($D96&gt;$F96,1,0),0)+IF(AND(ISNUMBER($E96),ISNUMBER($F96)),IF($E96&gt;$F96,1,0),0)</f>
        <v>0</v>
      </c>
      <c r="X96" s="13" t="s">
        <v>76</v>
      </c>
    </row>
    <row r="97" customFormat="false" ht="15" hidden="false" customHeight="false" outlineLevel="0" collapsed="false">
      <c r="A97" s="10" t="s">
        <v>373</v>
      </c>
      <c r="B97" s="10" t="s">
        <v>374</v>
      </c>
      <c r="C97" s="11" t="s">
        <v>368</v>
      </c>
      <c r="D97" s="12" t="n">
        <v>-0.4856</v>
      </c>
      <c r="E97" s="12"/>
      <c r="F97" s="12"/>
      <c r="G97" s="10" t="s">
        <v>63</v>
      </c>
      <c r="H97" s="10" t="s">
        <v>83</v>
      </c>
      <c r="I97" s="11" t="s">
        <v>65</v>
      </c>
      <c r="J97" s="10" t="s">
        <v>66</v>
      </c>
      <c r="K97" s="10" t="s">
        <v>67</v>
      </c>
      <c r="L97" s="10" t="s">
        <v>68</v>
      </c>
      <c r="M97" s="10" t="s">
        <v>69</v>
      </c>
      <c r="N97" s="10"/>
      <c r="O97" s="11" t="s">
        <v>70</v>
      </c>
      <c r="P97" s="10" t="s">
        <v>71</v>
      </c>
      <c r="Q97" s="11" t="s">
        <v>72</v>
      </c>
      <c r="R97" s="11" t="s">
        <v>73</v>
      </c>
      <c r="S97" s="11" t="s">
        <v>74</v>
      </c>
      <c r="T97" s="11" t="s">
        <v>375</v>
      </c>
      <c r="U97" s="10" t="n">
        <f aca="false">IF(AND($D97="",$E97="",$F97=""),1,0)</f>
        <v>0</v>
      </c>
      <c r="V97" s="10" t="n">
        <f aca="false">IF(OR($I97="",$I97="—"),1,0)</f>
        <v>0</v>
      </c>
      <c r="W97" s="10" t="n">
        <f aca="false">IF(AND(ISNUMBER($D97),ISNUMBER($E97)),IF($E97&gt;$D97,1,0),0)+IF(AND(ISNUMBER($D97),ISNUMBER($F97)),IF($D97&gt;$F97,1,0),0)+IF(AND(ISNUMBER($E97),ISNUMBER($F97)),IF($E97&gt;$F97,1,0),0)</f>
        <v>0</v>
      </c>
      <c r="X97" s="13" t="s">
        <v>76</v>
      </c>
    </row>
    <row r="98" customFormat="false" ht="15" hidden="false" customHeight="false" outlineLevel="0" collapsed="false">
      <c r="A98" s="10" t="s">
        <v>376</v>
      </c>
      <c r="B98" s="10" t="s">
        <v>377</v>
      </c>
      <c r="C98" s="11" t="s">
        <v>368</v>
      </c>
      <c r="D98" s="12" t="n">
        <v>-1.3878</v>
      </c>
      <c r="E98" s="12"/>
      <c r="F98" s="12"/>
      <c r="G98" s="10" t="s">
        <v>63</v>
      </c>
      <c r="H98" s="10" t="s">
        <v>87</v>
      </c>
      <c r="I98" s="11" t="s">
        <v>65</v>
      </c>
      <c r="J98" s="10" t="s">
        <v>66</v>
      </c>
      <c r="K98" s="10" t="s">
        <v>67</v>
      </c>
      <c r="L98" s="10" t="s">
        <v>68</v>
      </c>
      <c r="M98" s="10" t="s">
        <v>69</v>
      </c>
      <c r="N98" s="10"/>
      <c r="O98" s="11" t="s">
        <v>88</v>
      </c>
      <c r="P98" s="10" t="s">
        <v>71</v>
      </c>
      <c r="Q98" s="11" t="s">
        <v>72</v>
      </c>
      <c r="R98" s="11" t="s">
        <v>73</v>
      </c>
      <c r="S98" s="11" t="s">
        <v>74</v>
      </c>
      <c r="T98" s="11" t="s">
        <v>378</v>
      </c>
      <c r="U98" s="10" t="n">
        <f aca="false">IF(AND($D98="",$E98="",$F98=""),1,0)</f>
        <v>0</v>
      </c>
      <c r="V98" s="10" t="n">
        <f aca="false">IF(OR($I98="",$I98="—"),1,0)</f>
        <v>0</v>
      </c>
      <c r="W98" s="10" t="n">
        <f aca="false">IF(AND(ISNUMBER($D98),ISNUMBER($E98)),IF($E98&gt;$D98,1,0),0)+IF(AND(ISNUMBER($D98),ISNUMBER($F98)),IF($D98&gt;$F98,1,0),0)+IF(AND(ISNUMBER($E98),ISNUMBER($F98)),IF($E98&gt;$F98,1,0),0)</f>
        <v>0</v>
      </c>
      <c r="X98" s="13" t="s">
        <v>76</v>
      </c>
    </row>
    <row r="99" customFormat="false" ht="15" hidden="false" customHeight="false" outlineLevel="0" collapsed="false">
      <c r="A99" s="10" t="s">
        <v>379</v>
      </c>
      <c r="B99" s="10" t="s">
        <v>380</v>
      </c>
      <c r="C99" s="11" t="s">
        <v>368</v>
      </c>
      <c r="D99" s="12" t="n">
        <v>-5.5637</v>
      </c>
      <c r="E99" s="12"/>
      <c r="F99" s="12"/>
      <c r="G99" s="10" t="s">
        <v>63</v>
      </c>
      <c r="H99" s="10" t="s">
        <v>92</v>
      </c>
      <c r="I99" s="11" t="s">
        <v>65</v>
      </c>
      <c r="J99" s="10" t="s">
        <v>66</v>
      </c>
      <c r="K99" s="10" t="s">
        <v>67</v>
      </c>
      <c r="L99" s="10" t="s">
        <v>68</v>
      </c>
      <c r="M99" s="10" t="s">
        <v>69</v>
      </c>
      <c r="N99" s="10"/>
      <c r="O99" s="11" t="s">
        <v>70</v>
      </c>
      <c r="P99" s="10" t="s">
        <v>71</v>
      </c>
      <c r="Q99" s="11" t="s">
        <v>72</v>
      </c>
      <c r="R99" s="11" t="s">
        <v>73</v>
      </c>
      <c r="S99" s="11" t="s">
        <v>74</v>
      </c>
      <c r="T99" s="11" t="s">
        <v>381</v>
      </c>
      <c r="U99" s="10" t="n">
        <f aca="false">IF(AND($D99="",$E99="",$F99=""),1,0)</f>
        <v>0</v>
      </c>
      <c r="V99" s="10" t="n">
        <f aca="false">IF(OR($I99="",$I99="—"),1,0)</f>
        <v>0</v>
      </c>
      <c r="W99" s="10" t="n">
        <f aca="false">IF(AND(ISNUMBER($D99),ISNUMBER($E99)),IF($E99&gt;$D99,1,0),0)+IF(AND(ISNUMBER($D99),ISNUMBER($F99)),IF($D99&gt;$F99,1,0),0)+IF(AND(ISNUMBER($E99),ISNUMBER($F99)),IF($E99&gt;$F99,1,0),0)</f>
        <v>0</v>
      </c>
      <c r="X99" s="13" t="s">
        <v>76</v>
      </c>
    </row>
    <row r="100" customFormat="false" ht="15" hidden="false" customHeight="false" outlineLevel="0" collapsed="false">
      <c r="A100" s="10" t="s">
        <v>382</v>
      </c>
      <c r="B100" s="10" t="s">
        <v>383</v>
      </c>
      <c r="C100" s="11" t="s">
        <v>384</v>
      </c>
      <c r="D100" s="12" t="n">
        <v>2.1893</v>
      </c>
      <c r="E100" s="12"/>
      <c r="F100" s="12"/>
      <c r="G100" s="10" t="s">
        <v>63</v>
      </c>
      <c r="H100" s="10" t="s">
        <v>64</v>
      </c>
      <c r="I100" s="11" t="s">
        <v>65</v>
      </c>
      <c r="J100" s="10" t="s">
        <v>66</v>
      </c>
      <c r="K100" s="10" t="s">
        <v>67</v>
      </c>
      <c r="L100" s="10" t="s">
        <v>68</v>
      </c>
      <c r="M100" s="10" t="s">
        <v>69</v>
      </c>
      <c r="N100" s="10"/>
      <c r="O100" s="11" t="s">
        <v>70</v>
      </c>
      <c r="P100" s="10" t="s">
        <v>71</v>
      </c>
      <c r="Q100" s="11" t="s">
        <v>72</v>
      </c>
      <c r="R100" s="11" t="s">
        <v>73</v>
      </c>
      <c r="S100" s="11" t="s">
        <v>74</v>
      </c>
      <c r="T100" s="11" t="s">
        <v>385</v>
      </c>
      <c r="U100" s="10" t="n">
        <f aca="false">IF(AND($D100="",$E100="",$F100=""),1,0)</f>
        <v>0</v>
      </c>
      <c r="V100" s="10" t="n">
        <f aca="false">IF(OR($I100="",$I100="—"),1,0)</f>
        <v>0</v>
      </c>
      <c r="W100" s="10" t="n">
        <f aca="false">IF(AND(ISNUMBER($D100),ISNUMBER($E100)),IF($E100&gt;$D100,1,0),0)+IF(AND(ISNUMBER($D100),ISNUMBER($F100)),IF($D100&gt;$F100,1,0),0)+IF(AND(ISNUMBER($E100),ISNUMBER($F100)),IF($E100&gt;$F100,1,0),0)</f>
        <v>0</v>
      </c>
      <c r="X100" s="13" t="s">
        <v>76</v>
      </c>
    </row>
    <row r="101" customFormat="false" ht="15" hidden="false" customHeight="false" outlineLevel="0" collapsed="false">
      <c r="A101" s="10" t="s">
        <v>386</v>
      </c>
      <c r="B101" s="10" t="s">
        <v>387</v>
      </c>
      <c r="C101" s="11" t="s">
        <v>384</v>
      </c>
      <c r="D101" s="12" t="n">
        <v>12.4917</v>
      </c>
      <c r="E101" s="12"/>
      <c r="F101" s="12"/>
      <c r="G101" s="10" t="s">
        <v>63</v>
      </c>
      <c r="H101" s="10" t="s">
        <v>79</v>
      </c>
      <c r="I101" s="11" t="s">
        <v>65</v>
      </c>
      <c r="J101" s="10" t="s">
        <v>66</v>
      </c>
      <c r="K101" s="10" t="s">
        <v>67</v>
      </c>
      <c r="L101" s="10" t="s">
        <v>68</v>
      </c>
      <c r="M101" s="10" t="s">
        <v>69</v>
      </c>
      <c r="N101" s="10"/>
      <c r="O101" s="11" t="s">
        <v>70</v>
      </c>
      <c r="P101" s="10" t="s">
        <v>71</v>
      </c>
      <c r="Q101" s="11" t="s">
        <v>72</v>
      </c>
      <c r="R101" s="11" t="s">
        <v>73</v>
      </c>
      <c r="S101" s="11" t="s">
        <v>74</v>
      </c>
      <c r="T101" s="11" t="s">
        <v>388</v>
      </c>
      <c r="U101" s="10" t="n">
        <f aca="false">IF(AND($D101="",$E101="",$F101=""),1,0)</f>
        <v>0</v>
      </c>
      <c r="V101" s="10" t="n">
        <f aca="false">IF(OR($I101="",$I101="—"),1,0)</f>
        <v>0</v>
      </c>
      <c r="W101" s="10" t="n">
        <f aca="false">IF(AND(ISNUMBER($D101),ISNUMBER($E101)),IF($E101&gt;$D101,1,0),0)+IF(AND(ISNUMBER($D101),ISNUMBER($F101)),IF($D101&gt;$F101,1,0),0)+IF(AND(ISNUMBER($E101),ISNUMBER($F101)),IF($E101&gt;$F101,1,0),0)</f>
        <v>0</v>
      </c>
      <c r="X101" s="13" t="s">
        <v>76</v>
      </c>
    </row>
    <row r="102" customFormat="false" ht="15" hidden="false" customHeight="false" outlineLevel="0" collapsed="false">
      <c r="A102" s="10" t="s">
        <v>389</v>
      </c>
      <c r="B102" s="10" t="s">
        <v>390</v>
      </c>
      <c r="C102" s="11" t="s">
        <v>384</v>
      </c>
      <c r="D102" s="12" t="n">
        <v>22.6816</v>
      </c>
      <c r="E102" s="12"/>
      <c r="F102" s="12"/>
      <c r="G102" s="10" t="s">
        <v>63</v>
      </c>
      <c r="H102" s="10" t="s">
        <v>83</v>
      </c>
      <c r="I102" s="11" t="s">
        <v>65</v>
      </c>
      <c r="J102" s="10" t="s">
        <v>66</v>
      </c>
      <c r="K102" s="10" t="s">
        <v>67</v>
      </c>
      <c r="L102" s="10" t="s">
        <v>68</v>
      </c>
      <c r="M102" s="10" t="s">
        <v>69</v>
      </c>
      <c r="N102" s="10"/>
      <c r="O102" s="11" t="s">
        <v>70</v>
      </c>
      <c r="P102" s="10" t="s">
        <v>71</v>
      </c>
      <c r="Q102" s="11" t="s">
        <v>72</v>
      </c>
      <c r="R102" s="11" t="s">
        <v>73</v>
      </c>
      <c r="S102" s="11" t="s">
        <v>74</v>
      </c>
      <c r="T102" s="11" t="s">
        <v>391</v>
      </c>
      <c r="U102" s="10" t="n">
        <f aca="false">IF(AND($D102="",$E102="",$F102=""),1,0)</f>
        <v>0</v>
      </c>
      <c r="V102" s="10" t="n">
        <f aca="false">IF(OR($I102="",$I102="—"),1,0)</f>
        <v>0</v>
      </c>
      <c r="W102" s="10" t="n">
        <f aca="false">IF(AND(ISNUMBER($D102),ISNUMBER($E102)),IF($E102&gt;$D102,1,0),0)+IF(AND(ISNUMBER($D102),ISNUMBER($F102)),IF($D102&gt;$F102,1,0),0)+IF(AND(ISNUMBER($E102),ISNUMBER($F102)),IF($E102&gt;$F102,1,0),0)</f>
        <v>0</v>
      </c>
      <c r="X102" s="13" t="s">
        <v>76</v>
      </c>
    </row>
    <row r="103" customFormat="false" ht="15" hidden="false" customHeight="false" outlineLevel="0" collapsed="false">
      <c r="A103" s="10" t="s">
        <v>392</v>
      </c>
      <c r="B103" s="10" t="s">
        <v>393</v>
      </c>
      <c r="C103" s="11" t="s">
        <v>384</v>
      </c>
      <c r="D103" s="12" t="n">
        <v>9.3207</v>
      </c>
      <c r="E103" s="12"/>
      <c r="F103" s="12"/>
      <c r="G103" s="10" t="s">
        <v>63</v>
      </c>
      <c r="H103" s="10" t="s">
        <v>87</v>
      </c>
      <c r="I103" s="11" t="s">
        <v>65</v>
      </c>
      <c r="J103" s="10" t="s">
        <v>66</v>
      </c>
      <c r="K103" s="10" t="s">
        <v>67</v>
      </c>
      <c r="L103" s="10" t="s">
        <v>68</v>
      </c>
      <c r="M103" s="10" t="s">
        <v>69</v>
      </c>
      <c r="N103" s="10"/>
      <c r="O103" s="11" t="s">
        <v>88</v>
      </c>
      <c r="P103" s="10" t="s">
        <v>71</v>
      </c>
      <c r="Q103" s="11" t="s">
        <v>72</v>
      </c>
      <c r="R103" s="11" t="s">
        <v>73</v>
      </c>
      <c r="S103" s="11" t="s">
        <v>74</v>
      </c>
      <c r="T103" s="11" t="s">
        <v>394</v>
      </c>
      <c r="U103" s="10" t="n">
        <f aca="false">IF(AND($D103="",$E103="",$F103=""),1,0)</f>
        <v>0</v>
      </c>
      <c r="V103" s="10" t="n">
        <f aca="false">IF(OR($I103="",$I103="—"),1,0)</f>
        <v>0</v>
      </c>
      <c r="W103" s="10" t="n">
        <f aca="false">IF(AND(ISNUMBER($D103),ISNUMBER($E103)),IF($E103&gt;$D103,1,0),0)+IF(AND(ISNUMBER($D103),ISNUMBER($F103)),IF($D103&gt;$F103,1,0),0)+IF(AND(ISNUMBER($E103),ISNUMBER($F103)),IF($E103&gt;$F103,1,0),0)</f>
        <v>0</v>
      </c>
      <c r="X103" s="13" t="s">
        <v>76</v>
      </c>
    </row>
    <row r="104" customFormat="false" ht="15" hidden="false" customHeight="false" outlineLevel="0" collapsed="false">
      <c r="A104" s="10" t="s">
        <v>395</v>
      </c>
      <c r="B104" s="10" t="s">
        <v>396</v>
      </c>
      <c r="C104" s="11" t="s">
        <v>384</v>
      </c>
      <c r="D104" s="12" t="n">
        <v>25.5197</v>
      </c>
      <c r="E104" s="12"/>
      <c r="F104" s="12"/>
      <c r="G104" s="10" t="s">
        <v>63</v>
      </c>
      <c r="H104" s="10" t="s">
        <v>92</v>
      </c>
      <c r="I104" s="11" t="s">
        <v>65</v>
      </c>
      <c r="J104" s="10" t="s">
        <v>66</v>
      </c>
      <c r="K104" s="10" t="s">
        <v>67</v>
      </c>
      <c r="L104" s="10" t="s">
        <v>68</v>
      </c>
      <c r="M104" s="10" t="s">
        <v>69</v>
      </c>
      <c r="N104" s="10"/>
      <c r="O104" s="11" t="s">
        <v>70</v>
      </c>
      <c r="P104" s="10" t="s">
        <v>71</v>
      </c>
      <c r="Q104" s="11" t="s">
        <v>72</v>
      </c>
      <c r="R104" s="11" t="s">
        <v>73</v>
      </c>
      <c r="S104" s="11" t="s">
        <v>74</v>
      </c>
      <c r="T104" s="11" t="s">
        <v>397</v>
      </c>
      <c r="U104" s="10" t="n">
        <f aca="false">IF(AND($D104="",$E104="",$F104=""),1,0)</f>
        <v>0</v>
      </c>
      <c r="V104" s="10" t="n">
        <f aca="false">IF(OR($I104="",$I104="—"),1,0)</f>
        <v>0</v>
      </c>
      <c r="W104" s="10" t="n">
        <f aca="false">IF(AND(ISNUMBER($D104),ISNUMBER($E104)),IF($E104&gt;$D104,1,0),0)+IF(AND(ISNUMBER($D104),ISNUMBER($F104)),IF($D104&gt;$F104,1,0),0)+IF(AND(ISNUMBER($E104),ISNUMBER($F104)),IF($E104&gt;$F104,1,0),0)</f>
        <v>0</v>
      </c>
      <c r="X104" s="13" t="s">
        <v>76</v>
      </c>
    </row>
    <row r="105" customFormat="false" ht="15" hidden="false" customHeight="false" outlineLevel="0" collapsed="false">
      <c r="A105" s="10" t="s">
        <v>398</v>
      </c>
      <c r="B105" s="10" t="s">
        <v>399</v>
      </c>
      <c r="C105" s="11" t="s">
        <v>400</v>
      </c>
      <c r="D105" s="12" t="n">
        <v>54.6</v>
      </c>
      <c r="E105" s="12"/>
      <c r="F105" s="12"/>
      <c r="G105" s="10" t="s">
        <v>401</v>
      </c>
      <c r="H105" s="10" t="s">
        <v>64</v>
      </c>
      <c r="I105" s="11" t="s">
        <v>65</v>
      </c>
      <c r="J105" s="10" t="s">
        <v>66</v>
      </c>
      <c r="K105" s="10" t="s">
        <v>67</v>
      </c>
      <c r="L105" s="10" t="s">
        <v>68</v>
      </c>
      <c r="M105" s="10" t="s">
        <v>69</v>
      </c>
      <c r="N105" s="10"/>
      <c r="O105" s="11" t="s">
        <v>70</v>
      </c>
      <c r="P105" s="10" t="s">
        <v>71</v>
      </c>
      <c r="Q105" s="11" t="s">
        <v>72</v>
      </c>
      <c r="R105" s="11" t="s">
        <v>73</v>
      </c>
      <c r="S105" s="11" t="s">
        <v>74</v>
      </c>
      <c r="T105" s="11" t="s">
        <v>402</v>
      </c>
      <c r="U105" s="10" t="n">
        <f aca="false">IF(AND($D105="",$E105="",$F105=""),1,0)</f>
        <v>0</v>
      </c>
      <c r="V105" s="10" t="n">
        <f aca="false">IF(OR($I105="",$I105="—"),1,0)</f>
        <v>0</v>
      </c>
      <c r="W105" s="10" t="n">
        <f aca="false">IF(AND(ISNUMBER($D105),ISNUMBER($E105)),IF($E105&gt;$D105,1,0),0)+IF(AND(ISNUMBER($D105),ISNUMBER($F105)),IF($D105&gt;$F105,1,0),0)+IF(AND(ISNUMBER($E105),ISNUMBER($F105)),IF($E105&gt;$F105,1,0),0)</f>
        <v>0</v>
      </c>
      <c r="X105" s="13" t="s">
        <v>76</v>
      </c>
    </row>
    <row r="106" customFormat="false" ht="15" hidden="false" customHeight="false" outlineLevel="0" collapsed="false">
      <c r="A106" s="10" t="s">
        <v>403</v>
      </c>
      <c r="B106" s="10" t="s">
        <v>404</v>
      </c>
      <c r="C106" s="11" t="s">
        <v>400</v>
      </c>
      <c r="D106" s="12" t="n">
        <v>64.6</v>
      </c>
      <c r="E106" s="12"/>
      <c r="F106" s="12"/>
      <c r="G106" s="10" t="s">
        <v>401</v>
      </c>
      <c r="H106" s="10" t="s">
        <v>79</v>
      </c>
      <c r="I106" s="11" t="s">
        <v>65</v>
      </c>
      <c r="J106" s="10" t="s">
        <v>66</v>
      </c>
      <c r="K106" s="10" t="s">
        <v>67</v>
      </c>
      <c r="L106" s="10" t="s">
        <v>68</v>
      </c>
      <c r="M106" s="10" t="s">
        <v>69</v>
      </c>
      <c r="N106" s="10"/>
      <c r="O106" s="11" t="s">
        <v>70</v>
      </c>
      <c r="P106" s="10" t="s">
        <v>71</v>
      </c>
      <c r="Q106" s="11" t="s">
        <v>72</v>
      </c>
      <c r="R106" s="11" t="s">
        <v>73</v>
      </c>
      <c r="S106" s="11" t="s">
        <v>74</v>
      </c>
      <c r="T106" s="11" t="s">
        <v>402</v>
      </c>
      <c r="U106" s="10" t="n">
        <f aca="false">IF(AND($D106="",$E106="",$F106=""),1,0)</f>
        <v>0</v>
      </c>
      <c r="V106" s="10" t="n">
        <f aca="false">IF(OR($I106="",$I106="—"),1,0)</f>
        <v>0</v>
      </c>
      <c r="W106" s="10" t="n">
        <f aca="false">IF(AND(ISNUMBER($D106),ISNUMBER($E106)),IF($E106&gt;$D106,1,0),0)+IF(AND(ISNUMBER($D106),ISNUMBER($F106)),IF($D106&gt;$F106,1,0),0)+IF(AND(ISNUMBER($E106),ISNUMBER($F106)),IF($E106&gt;$F106,1,0),0)</f>
        <v>0</v>
      </c>
      <c r="X106" s="13" t="s">
        <v>76</v>
      </c>
    </row>
    <row r="107" customFormat="false" ht="15" hidden="false" customHeight="false" outlineLevel="0" collapsed="false">
      <c r="A107" s="10" t="s">
        <v>405</v>
      </c>
      <c r="B107" s="10" t="s">
        <v>406</v>
      </c>
      <c r="C107" s="11" t="s">
        <v>400</v>
      </c>
      <c r="D107" s="12" t="n">
        <v>56.3</v>
      </c>
      <c r="E107" s="12"/>
      <c r="F107" s="12"/>
      <c r="G107" s="10" t="s">
        <v>401</v>
      </c>
      <c r="H107" s="10" t="s">
        <v>83</v>
      </c>
      <c r="I107" s="11" t="s">
        <v>65</v>
      </c>
      <c r="J107" s="10" t="s">
        <v>66</v>
      </c>
      <c r="K107" s="10" t="s">
        <v>67</v>
      </c>
      <c r="L107" s="10" t="s">
        <v>68</v>
      </c>
      <c r="M107" s="10" t="s">
        <v>69</v>
      </c>
      <c r="N107" s="10"/>
      <c r="O107" s="11" t="s">
        <v>70</v>
      </c>
      <c r="P107" s="10" t="s">
        <v>71</v>
      </c>
      <c r="Q107" s="11" t="s">
        <v>72</v>
      </c>
      <c r="R107" s="11" t="s">
        <v>73</v>
      </c>
      <c r="S107" s="11" t="s">
        <v>74</v>
      </c>
      <c r="T107" s="11" t="s">
        <v>402</v>
      </c>
      <c r="U107" s="10" t="n">
        <f aca="false">IF(AND($D107="",$E107="",$F107=""),1,0)</f>
        <v>0</v>
      </c>
      <c r="V107" s="10" t="n">
        <f aca="false">IF(OR($I107="",$I107="—"),1,0)</f>
        <v>0</v>
      </c>
      <c r="W107" s="10" t="n">
        <f aca="false">IF(AND(ISNUMBER($D107),ISNUMBER($E107)),IF($E107&gt;$D107,1,0),0)+IF(AND(ISNUMBER($D107),ISNUMBER($F107)),IF($D107&gt;$F107,1,0),0)+IF(AND(ISNUMBER($E107),ISNUMBER($F107)),IF($E107&gt;$F107,1,0),0)</f>
        <v>0</v>
      </c>
      <c r="X107" s="13" t="s">
        <v>76</v>
      </c>
    </row>
    <row r="108" customFormat="false" ht="15" hidden="false" customHeight="false" outlineLevel="0" collapsed="false">
      <c r="A108" s="10" t="s">
        <v>407</v>
      </c>
      <c r="B108" s="10" t="s">
        <v>408</v>
      </c>
      <c r="C108" s="11" t="s">
        <v>400</v>
      </c>
      <c r="D108" s="12" t="n">
        <v>48.9</v>
      </c>
      <c r="E108" s="12"/>
      <c r="F108" s="12"/>
      <c r="G108" s="10" t="s">
        <v>401</v>
      </c>
      <c r="H108" s="10" t="s">
        <v>87</v>
      </c>
      <c r="I108" s="11" t="s">
        <v>65</v>
      </c>
      <c r="J108" s="10" t="s">
        <v>66</v>
      </c>
      <c r="K108" s="10" t="s">
        <v>67</v>
      </c>
      <c r="L108" s="10" t="s">
        <v>68</v>
      </c>
      <c r="M108" s="10" t="s">
        <v>69</v>
      </c>
      <c r="N108" s="10"/>
      <c r="O108" s="11" t="s">
        <v>88</v>
      </c>
      <c r="P108" s="10" t="s">
        <v>71</v>
      </c>
      <c r="Q108" s="11" t="s">
        <v>72</v>
      </c>
      <c r="R108" s="11" t="s">
        <v>73</v>
      </c>
      <c r="S108" s="11" t="s">
        <v>74</v>
      </c>
      <c r="T108" s="11" t="s">
        <v>402</v>
      </c>
      <c r="U108" s="10" t="n">
        <f aca="false">IF(AND($D108="",$E108="",$F108=""),1,0)</f>
        <v>0</v>
      </c>
      <c r="V108" s="10" t="n">
        <f aca="false">IF(OR($I108="",$I108="—"),1,0)</f>
        <v>0</v>
      </c>
      <c r="W108" s="10" t="n">
        <f aca="false">IF(AND(ISNUMBER($D108),ISNUMBER($E108)),IF($E108&gt;$D108,1,0),0)+IF(AND(ISNUMBER($D108),ISNUMBER($F108)),IF($D108&gt;$F108,1,0),0)+IF(AND(ISNUMBER($E108),ISNUMBER($F108)),IF($E108&gt;$F108,1,0),0)</f>
        <v>0</v>
      </c>
      <c r="X108" s="13" t="s">
        <v>76</v>
      </c>
    </row>
    <row r="109" customFormat="false" ht="15" hidden="false" customHeight="false" outlineLevel="0" collapsed="false">
      <c r="A109" s="10" t="s">
        <v>409</v>
      </c>
      <c r="B109" s="10" t="s">
        <v>410</v>
      </c>
      <c r="C109" s="11" t="s">
        <v>400</v>
      </c>
      <c r="D109" s="12" t="n">
        <v>50</v>
      </c>
      <c r="E109" s="12"/>
      <c r="F109" s="12"/>
      <c r="G109" s="10" t="s">
        <v>401</v>
      </c>
      <c r="H109" s="10" t="s">
        <v>92</v>
      </c>
      <c r="I109" s="11" t="s">
        <v>65</v>
      </c>
      <c r="J109" s="10" t="s">
        <v>66</v>
      </c>
      <c r="K109" s="10" t="s">
        <v>67</v>
      </c>
      <c r="L109" s="10" t="s">
        <v>68</v>
      </c>
      <c r="M109" s="10" t="s">
        <v>69</v>
      </c>
      <c r="N109" s="10"/>
      <c r="O109" s="11" t="s">
        <v>70</v>
      </c>
      <c r="P109" s="10" t="s">
        <v>71</v>
      </c>
      <c r="Q109" s="11" t="s">
        <v>72</v>
      </c>
      <c r="R109" s="11" t="s">
        <v>73</v>
      </c>
      <c r="S109" s="11" t="s">
        <v>74</v>
      </c>
      <c r="T109" s="11" t="s">
        <v>402</v>
      </c>
      <c r="U109" s="10" t="n">
        <f aca="false">IF(AND($D109="",$E109="",$F109=""),1,0)</f>
        <v>0</v>
      </c>
      <c r="V109" s="10" t="n">
        <f aca="false">IF(OR($I109="",$I109="—"),1,0)</f>
        <v>0</v>
      </c>
      <c r="W109" s="10" t="n">
        <f aca="false">IF(AND(ISNUMBER($D109),ISNUMBER($E109)),IF($E109&gt;$D109,1,0),0)+IF(AND(ISNUMBER($D109),ISNUMBER($F109)),IF($D109&gt;$F109,1,0),0)+IF(AND(ISNUMBER($E109),ISNUMBER($F109)),IF($E109&gt;$F109,1,0),0)</f>
        <v>0</v>
      </c>
      <c r="X109" s="13" t="s">
        <v>76</v>
      </c>
    </row>
    <row r="110" customFormat="false" ht="15" hidden="false" customHeight="false" outlineLevel="0" collapsed="false">
      <c r="A110" s="10" t="s">
        <v>411</v>
      </c>
      <c r="B110" s="10" t="s">
        <v>412</v>
      </c>
      <c r="C110" s="11" t="s">
        <v>413</v>
      </c>
      <c r="D110" s="12" t="n">
        <v>0.03</v>
      </c>
      <c r="E110" s="12"/>
      <c r="F110" s="12"/>
      <c r="G110" s="10" t="s">
        <v>414</v>
      </c>
      <c r="H110" s="10" t="s">
        <v>64</v>
      </c>
      <c r="I110" s="11" t="s">
        <v>65</v>
      </c>
      <c r="J110" s="10" t="s">
        <v>415</v>
      </c>
      <c r="K110" s="10" t="s">
        <v>67</v>
      </c>
      <c r="L110" s="10" t="s">
        <v>68</v>
      </c>
      <c r="M110" s="10" t="s">
        <v>416</v>
      </c>
      <c r="N110" s="11" t="s">
        <v>417</v>
      </c>
      <c r="O110" s="11" t="s">
        <v>418</v>
      </c>
      <c r="P110" s="10" t="s">
        <v>71</v>
      </c>
      <c r="Q110" s="11" t="s">
        <v>72</v>
      </c>
      <c r="R110" s="11" t="s">
        <v>417</v>
      </c>
      <c r="S110" s="11" t="s">
        <v>74</v>
      </c>
      <c r="T110" s="11" t="s">
        <v>419</v>
      </c>
      <c r="U110" s="10" t="n">
        <f aca="false">IF(AND($D110="",$E110="",$F110=""),1,0)</f>
        <v>0</v>
      </c>
      <c r="V110" s="10" t="n">
        <f aca="false">IF(OR($I110="",$I110="—"),1,0)</f>
        <v>0</v>
      </c>
      <c r="W110" s="10" t="n">
        <f aca="false">IF(AND(ISNUMBER($D110),ISNUMBER($E110)),IF($E110&gt;$D110,1,0),0)+IF(AND(ISNUMBER($D110),ISNUMBER($F110)),IF($D110&gt;$F110,1,0),0)+IF(AND(ISNUMBER($E110),ISNUMBER($F110)),IF($E110&gt;$F110,1,0),0)</f>
        <v>0</v>
      </c>
      <c r="X110" s="13" t="s">
        <v>76</v>
      </c>
    </row>
    <row r="111" customFormat="false" ht="15" hidden="false" customHeight="false" outlineLevel="0" collapsed="false">
      <c r="A111" s="10" t="s">
        <v>420</v>
      </c>
      <c r="B111" s="10" t="s">
        <v>421</v>
      </c>
      <c r="C111" s="11" t="s">
        <v>413</v>
      </c>
      <c r="D111" s="12" t="n">
        <v>1.059</v>
      </c>
      <c r="E111" s="12"/>
      <c r="F111" s="12"/>
      <c r="G111" s="10" t="s">
        <v>414</v>
      </c>
      <c r="H111" s="10" t="s">
        <v>79</v>
      </c>
      <c r="I111" s="11" t="s">
        <v>65</v>
      </c>
      <c r="J111" s="10" t="s">
        <v>415</v>
      </c>
      <c r="K111" s="10" t="s">
        <v>67</v>
      </c>
      <c r="L111" s="10" t="s">
        <v>68</v>
      </c>
      <c r="M111" s="10" t="s">
        <v>416</v>
      </c>
      <c r="N111" s="11" t="s">
        <v>417</v>
      </c>
      <c r="O111" s="11" t="s">
        <v>418</v>
      </c>
      <c r="P111" s="10" t="s">
        <v>71</v>
      </c>
      <c r="Q111" s="11" t="s">
        <v>72</v>
      </c>
      <c r="R111" s="11" t="s">
        <v>417</v>
      </c>
      <c r="S111" s="11" t="s">
        <v>74</v>
      </c>
      <c r="T111" s="11" t="s">
        <v>422</v>
      </c>
      <c r="U111" s="10" t="n">
        <f aca="false">IF(AND($D111="",$E111="",$F111=""),1,0)</f>
        <v>0</v>
      </c>
      <c r="V111" s="10" t="n">
        <f aca="false">IF(OR($I111="",$I111="—"),1,0)</f>
        <v>0</v>
      </c>
      <c r="W111" s="10" t="n">
        <f aca="false">IF(AND(ISNUMBER($D111),ISNUMBER($E111)),IF($E111&gt;$D111,1,0),0)+IF(AND(ISNUMBER($D111),ISNUMBER($F111)),IF($D111&gt;$F111,1,0),0)+IF(AND(ISNUMBER($E111),ISNUMBER($F111)),IF($E111&gt;$F111,1,0),0)</f>
        <v>0</v>
      </c>
      <c r="X111" s="13" t="s">
        <v>76</v>
      </c>
    </row>
    <row r="112" customFormat="false" ht="15" hidden="false" customHeight="false" outlineLevel="0" collapsed="false">
      <c r="A112" s="10" t="s">
        <v>423</v>
      </c>
      <c r="B112" s="10" t="s">
        <v>424</v>
      </c>
      <c r="C112" s="11" t="s">
        <v>413</v>
      </c>
      <c r="D112" s="12" t="n">
        <v>1.945</v>
      </c>
      <c r="E112" s="12"/>
      <c r="F112" s="12"/>
      <c r="G112" s="10" t="s">
        <v>414</v>
      </c>
      <c r="H112" s="10" t="s">
        <v>83</v>
      </c>
      <c r="I112" s="11" t="s">
        <v>65</v>
      </c>
      <c r="J112" s="10" t="s">
        <v>415</v>
      </c>
      <c r="K112" s="10" t="s">
        <v>67</v>
      </c>
      <c r="L112" s="10" t="s">
        <v>68</v>
      </c>
      <c r="M112" s="10" t="s">
        <v>416</v>
      </c>
      <c r="N112" s="11" t="s">
        <v>417</v>
      </c>
      <c r="O112" s="11" t="s">
        <v>418</v>
      </c>
      <c r="P112" s="10" t="s">
        <v>71</v>
      </c>
      <c r="Q112" s="11" t="s">
        <v>72</v>
      </c>
      <c r="R112" s="11" t="s">
        <v>417</v>
      </c>
      <c r="S112" s="11" t="s">
        <v>74</v>
      </c>
      <c r="T112" s="11" t="s">
        <v>425</v>
      </c>
      <c r="U112" s="10" t="n">
        <f aca="false">IF(AND($D112="",$E112="",$F112=""),1,0)</f>
        <v>0</v>
      </c>
      <c r="V112" s="10" t="n">
        <f aca="false">IF(OR($I112="",$I112="—"),1,0)</f>
        <v>0</v>
      </c>
      <c r="W112" s="10" t="n">
        <f aca="false">IF(AND(ISNUMBER($D112),ISNUMBER($E112)),IF($E112&gt;$D112,1,0),0)+IF(AND(ISNUMBER($D112),ISNUMBER($F112)),IF($D112&gt;$F112,1,0),0)+IF(AND(ISNUMBER($E112),ISNUMBER($F112)),IF($E112&gt;$F112,1,0),0)</f>
        <v>0</v>
      </c>
      <c r="X112" s="13" t="s">
        <v>76</v>
      </c>
    </row>
    <row r="113" customFormat="false" ht="15" hidden="false" customHeight="false" outlineLevel="0" collapsed="false">
      <c r="A113" s="10" t="s">
        <v>426</v>
      </c>
      <c r="B113" s="10" t="s">
        <v>427</v>
      </c>
      <c r="C113" s="11" t="s">
        <v>413</v>
      </c>
      <c r="D113" s="12" t="n">
        <v>3.273</v>
      </c>
      <c r="E113" s="12"/>
      <c r="F113" s="12"/>
      <c r="G113" s="10" t="s">
        <v>414</v>
      </c>
      <c r="H113" s="10" t="s">
        <v>92</v>
      </c>
      <c r="I113" s="11" t="s">
        <v>65</v>
      </c>
      <c r="J113" s="10" t="s">
        <v>415</v>
      </c>
      <c r="K113" s="10" t="s">
        <v>67</v>
      </c>
      <c r="L113" s="10" t="s">
        <v>68</v>
      </c>
      <c r="M113" s="10" t="s">
        <v>416</v>
      </c>
      <c r="N113" s="11" t="s">
        <v>417</v>
      </c>
      <c r="O113" s="11" t="s">
        <v>418</v>
      </c>
      <c r="P113" s="10" t="s">
        <v>71</v>
      </c>
      <c r="Q113" s="11" t="s">
        <v>72</v>
      </c>
      <c r="R113" s="11" t="s">
        <v>417</v>
      </c>
      <c r="S113" s="11" t="s">
        <v>74</v>
      </c>
      <c r="T113" s="11" t="s">
        <v>428</v>
      </c>
      <c r="U113" s="10" t="n">
        <f aca="false">IF(AND($D113="",$E113="",$F113=""),1,0)</f>
        <v>0</v>
      </c>
      <c r="V113" s="10" t="n">
        <f aca="false">IF(OR($I113="",$I113="—"),1,0)</f>
        <v>0</v>
      </c>
      <c r="W113" s="10" t="n">
        <f aca="false">IF(AND(ISNUMBER($D113),ISNUMBER($E113)),IF($E113&gt;$D113,1,0),0)+IF(AND(ISNUMBER($D113),ISNUMBER($F113)),IF($D113&gt;$F113,1,0),0)+IF(AND(ISNUMBER($E113),ISNUMBER($F113)),IF($E113&gt;$F113,1,0),0)</f>
        <v>0</v>
      </c>
      <c r="X113" s="13" t="s">
        <v>76</v>
      </c>
    </row>
    <row r="114" customFormat="false" ht="15" hidden="false" customHeight="false" outlineLevel="0" collapsed="false">
      <c r="A114" s="10" t="s">
        <v>429</v>
      </c>
      <c r="B114" s="10" t="s">
        <v>430</v>
      </c>
      <c r="C114" s="11" t="s">
        <v>431</v>
      </c>
      <c r="D114" s="12" t="n">
        <v>89.431</v>
      </c>
      <c r="E114" s="12"/>
      <c r="F114" s="12"/>
      <c r="G114" s="10" t="s">
        <v>63</v>
      </c>
      <c r="H114" s="10" t="s">
        <v>432</v>
      </c>
      <c r="I114" s="11" t="s">
        <v>65</v>
      </c>
      <c r="J114" s="10" t="s">
        <v>415</v>
      </c>
      <c r="K114" s="10" t="s">
        <v>67</v>
      </c>
      <c r="L114" s="10" t="s">
        <v>68</v>
      </c>
      <c r="M114" s="10" t="s">
        <v>416</v>
      </c>
      <c r="N114" s="11" t="s">
        <v>433</v>
      </c>
      <c r="O114" s="11" t="s">
        <v>434</v>
      </c>
      <c r="P114" s="10" t="s">
        <v>71</v>
      </c>
      <c r="Q114" s="11" t="s">
        <v>72</v>
      </c>
      <c r="R114" s="11" t="s">
        <v>433</v>
      </c>
      <c r="S114" s="11" t="s">
        <v>74</v>
      </c>
      <c r="T114" s="11" t="s">
        <v>435</v>
      </c>
      <c r="U114" s="10" t="n">
        <f aca="false">IF(AND($D114="",$E114="",$F114=""),1,0)</f>
        <v>0</v>
      </c>
      <c r="V114" s="10" t="n">
        <f aca="false">IF(OR($I114="",$I114="—"),1,0)</f>
        <v>0</v>
      </c>
      <c r="W114" s="10" t="n">
        <f aca="false">IF(AND(ISNUMBER($D114),ISNUMBER($E114)),IF($E114&gt;$D114,1,0),0)+IF(AND(ISNUMBER($D114),ISNUMBER($F114)),IF($D114&gt;$F114,1,0),0)+IF(AND(ISNUMBER($E114),ISNUMBER($F114)),IF($E114&gt;$F114,1,0),0)</f>
        <v>0</v>
      </c>
      <c r="X114" s="13" t="s">
        <v>76</v>
      </c>
    </row>
    <row r="115" customFormat="false" ht="15" hidden="false" customHeight="false" outlineLevel="0" collapsed="false">
      <c r="A115" s="10" t="s">
        <v>436</v>
      </c>
      <c r="B115" s="10" t="s">
        <v>437</v>
      </c>
      <c r="C115" s="11" t="s">
        <v>438</v>
      </c>
      <c r="D115" s="12" t="n">
        <v>657</v>
      </c>
      <c r="E115" s="12"/>
      <c r="F115" s="12"/>
      <c r="G115" s="11" t="s">
        <v>439</v>
      </c>
      <c r="H115" s="10" t="s">
        <v>440</v>
      </c>
      <c r="I115" s="11" t="s">
        <v>65</v>
      </c>
      <c r="J115" s="10" t="s">
        <v>66</v>
      </c>
      <c r="K115" s="10" t="s">
        <v>67</v>
      </c>
      <c r="L115" s="10" t="s">
        <v>68</v>
      </c>
      <c r="M115" s="10" t="s">
        <v>69</v>
      </c>
      <c r="N115" s="10"/>
      <c r="O115" s="11" t="s">
        <v>441</v>
      </c>
      <c r="P115" s="10" t="s">
        <v>71</v>
      </c>
      <c r="Q115" s="11" t="s">
        <v>72</v>
      </c>
      <c r="R115" s="11" t="s">
        <v>73</v>
      </c>
      <c r="S115" s="11" t="s">
        <v>74</v>
      </c>
      <c r="T115" s="11" t="s">
        <v>442</v>
      </c>
      <c r="U115" s="10" t="n">
        <f aca="false">IF(AND($D115="",$E115="",$F115=""),1,0)</f>
        <v>0</v>
      </c>
      <c r="V115" s="10" t="n">
        <f aca="false">IF(OR($I115="",$I115="—"),1,0)</f>
        <v>0</v>
      </c>
      <c r="W115" s="10" t="n">
        <f aca="false">IF(AND(ISNUMBER($D115),ISNUMBER($E115)),IF($E115&gt;$D115,1,0),0)+IF(AND(ISNUMBER($D115),ISNUMBER($F115)),IF($D115&gt;$F115,1,0),0)+IF(AND(ISNUMBER($E115),ISNUMBER($F115)),IF($E115&gt;$F115,1,0),0)</f>
        <v>0</v>
      </c>
      <c r="X115" s="13" t="s">
        <v>76</v>
      </c>
    </row>
    <row r="116" customFormat="false" ht="15" hidden="false" customHeight="false" outlineLevel="0" collapsed="false">
      <c r="A116" s="10" t="s">
        <v>443</v>
      </c>
      <c r="B116" s="10" t="s">
        <v>444</v>
      </c>
      <c r="C116" s="11" t="s">
        <v>445</v>
      </c>
      <c r="D116" s="12" t="n">
        <v>1.9038</v>
      </c>
      <c r="E116" s="12"/>
      <c r="F116" s="12"/>
      <c r="G116" s="10" t="s">
        <v>63</v>
      </c>
      <c r="H116" s="10" t="s">
        <v>446</v>
      </c>
      <c r="I116" s="11" t="s">
        <v>447</v>
      </c>
      <c r="J116" s="10" t="s">
        <v>448</v>
      </c>
      <c r="K116" s="10" t="s">
        <v>449</v>
      </c>
      <c r="L116" s="10" t="s">
        <v>68</v>
      </c>
      <c r="M116" s="10" t="s">
        <v>69</v>
      </c>
      <c r="N116" s="10"/>
      <c r="O116" s="11" t="s">
        <v>450</v>
      </c>
      <c r="P116" s="10" t="s">
        <v>71</v>
      </c>
      <c r="Q116" s="11" t="s">
        <v>72</v>
      </c>
      <c r="R116" s="11" t="s">
        <v>73</v>
      </c>
      <c r="S116" s="11" t="s">
        <v>74</v>
      </c>
      <c r="T116" s="11" t="s">
        <v>451</v>
      </c>
      <c r="U116" s="10" t="n">
        <f aca="false">IF(AND($D116="",$E116="",$F116=""),1,0)</f>
        <v>0</v>
      </c>
      <c r="V116" s="10" t="n">
        <f aca="false">IF(OR($I116="",$I116="—"),1,0)</f>
        <v>0</v>
      </c>
      <c r="W116" s="10" t="n">
        <f aca="false">IF(AND(ISNUMBER($D116),ISNUMBER($E116)),IF($E116&gt;$D116,1,0),0)+IF(AND(ISNUMBER($D116),ISNUMBER($F116)),IF($D116&gt;$F116,1,0),0)+IF(AND(ISNUMBER($E116),ISNUMBER($F116)),IF($E116&gt;$F116,1,0),0)</f>
        <v>0</v>
      </c>
      <c r="X116" s="13" t="s">
        <v>76</v>
      </c>
    </row>
    <row r="117" customFormat="false" ht="15" hidden="false" customHeight="false" outlineLevel="0" collapsed="false">
      <c r="A117" s="10" t="s">
        <v>452</v>
      </c>
      <c r="B117" s="10" t="s">
        <v>453</v>
      </c>
      <c r="C117" s="11" t="s">
        <v>445</v>
      </c>
      <c r="D117" s="12" t="n">
        <v>0.4848</v>
      </c>
      <c r="E117" s="12"/>
      <c r="F117" s="12"/>
      <c r="G117" s="10" t="s">
        <v>63</v>
      </c>
      <c r="H117" s="10" t="s">
        <v>83</v>
      </c>
      <c r="I117" s="11" t="s">
        <v>447</v>
      </c>
      <c r="J117" s="10" t="s">
        <v>448</v>
      </c>
      <c r="K117" s="10" t="s">
        <v>449</v>
      </c>
      <c r="L117" s="10" t="s">
        <v>68</v>
      </c>
      <c r="M117" s="10" t="s">
        <v>69</v>
      </c>
      <c r="N117" s="10"/>
      <c r="O117" s="11" t="s">
        <v>450</v>
      </c>
      <c r="P117" s="10" t="s">
        <v>71</v>
      </c>
      <c r="Q117" s="11" t="s">
        <v>72</v>
      </c>
      <c r="R117" s="11" t="s">
        <v>73</v>
      </c>
      <c r="S117" s="11" t="s">
        <v>74</v>
      </c>
      <c r="T117" s="11" t="s">
        <v>454</v>
      </c>
      <c r="U117" s="10" t="n">
        <f aca="false">IF(AND($D117="",$E117="",$F117=""),1,0)</f>
        <v>0</v>
      </c>
      <c r="V117" s="10" t="n">
        <f aca="false">IF(OR($I117="",$I117="—"),1,0)</f>
        <v>0</v>
      </c>
      <c r="W117" s="10" t="n">
        <f aca="false">IF(AND(ISNUMBER($D117),ISNUMBER($E117)),IF($E117&gt;$D117,1,0),0)+IF(AND(ISNUMBER($D117),ISNUMBER($F117)),IF($D117&gt;$F117,1,0),0)+IF(AND(ISNUMBER($E117),ISNUMBER($F117)),IF($E117&gt;$F117,1,0),0)</f>
        <v>0</v>
      </c>
      <c r="X117" s="13" t="s">
        <v>76</v>
      </c>
    </row>
    <row r="118" customFormat="false" ht="15" hidden="false" customHeight="false" outlineLevel="0" collapsed="false">
      <c r="A118" s="10" t="s">
        <v>455</v>
      </c>
      <c r="B118" s="10" t="s">
        <v>456</v>
      </c>
      <c r="C118" s="11" t="s">
        <v>457</v>
      </c>
      <c r="D118" s="12" t="n">
        <v>1.6569</v>
      </c>
      <c r="E118" s="12"/>
      <c r="F118" s="12"/>
      <c r="G118" s="10" t="s">
        <v>63</v>
      </c>
      <c r="H118" s="10" t="s">
        <v>446</v>
      </c>
      <c r="I118" s="11" t="s">
        <v>447</v>
      </c>
      <c r="J118" s="10" t="s">
        <v>448</v>
      </c>
      <c r="K118" s="10" t="s">
        <v>449</v>
      </c>
      <c r="L118" s="10" t="s">
        <v>68</v>
      </c>
      <c r="M118" s="10" t="s">
        <v>69</v>
      </c>
      <c r="N118" s="10"/>
      <c r="O118" s="11" t="s">
        <v>450</v>
      </c>
      <c r="P118" s="10" t="s">
        <v>71</v>
      </c>
      <c r="Q118" s="11" t="s">
        <v>72</v>
      </c>
      <c r="R118" s="11" t="s">
        <v>73</v>
      </c>
      <c r="S118" s="11" t="s">
        <v>74</v>
      </c>
      <c r="T118" s="11" t="s">
        <v>458</v>
      </c>
      <c r="U118" s="10" t="n">
        <f aca="false">IF(AND($D118="",$E118="",$F118=""),1,0)</f>
        <v>0</v>
      </c>
      <c r="V118" s="10" t="n">
        <f aca="false">IF(OR($I118="",$I118="—"),1,0)</f>
        <v>0</v>
      </c>
      <c r="W118" s="10" t="n">
        <f aca="false">IF(AND(ISNUMBER($D118),ISNUMBER($E118)),IF($E118&gt;$D118,1,0),0)+IF(AND(ISNUMBER($D118),ISNUMBER($F118)),IF($D118&gt;$F118,1,0),0)+IF(AND(ISNUMBER($E118),ISNUMBER($F118)),IF($E118&gt;$F118,1,0),0)</f>
        <v>0</v>
      </c>
      <c r="X118" s="13" t="s">
        <v>76</v>
      </c>
    </row>
    <row r="119" customFormat="false" ht="15" hidden="false" customHeight="false" outlineLevel="0" collapsed="false">
      <c r="A119" s="10" t="s">
        <v>459</v>
      </c>
      <c r="B119" s="10" t="s">
        <v>460</v>
      </c>
      <c r="C119" s="11" t="s">
        <v>457</v>
      </c>
      <c r="D119" s="12" t="n">
        <v>0.4749</v>
      </c>
      <c r="E119" s="12"/>
      <c r="F119" s="12"/>
      <c r="G119" s="10" t="s">
        <v>63</v>
      </c>
      <c r="H119" s="10" t="s">
        <v>83</v>
      </c>
      <c r="I119" s="11" t="s">
        <v>447</v>
      </c>
      <c r="J119" s="10" t="s">
        <v>448</v>
      </c>
      <c r="K119" s="10" t="s">
        <v>449</v>
      </c>
      <c r="L119" s="10" t="s">
        <v>68</v>
      </c>
      <c r="M119" s="10" t="s">
        <v>69</v>
      </c>
      <c r="N119" s="10"/>
      <c r="O119" s="11" t="s">
        <v>450</v>
      </c>
      <c r="P119" s="10" t="s">
        <v>71</v>
      </c>
      <c r="Q119" s="11" t="s">
        <v>72</v>
      </c>
      <c r="R119" s="11" t="s">
        <v>73</v>
      </c>
      <c r="S119" s="11" t="s">
        <v>74</v>
      </c>
      <c r="T119" s="11" t="s">
        <v>461</v>
      </c>
      <c r="U119" s="10" t="n">
        <f aca="false">IF(AND($D119="",$E119="",$F119=""),1,0)</f>
        <v>0</v>
      </c>
      <c r="V119" s="10" t="n">
        <f aca="false">IF(OR($I119="",$I119="—"),1,0)</f>
        <v>0</v>
      </c>
      <c r="W119" s="10" t="n">
        <f aca="false">IF(AND(ISNUMBER($D119),ISNUMBER($E119)),IF($E119&gt;$D119,1,0),0)+IF(AND(ISNUMBER($D119),ISNUMBER($F119)),IF($D119&gt;$F119,1,0),0)+IF(AND(ISNUMBER($E119),ISNUMBER($F119)),IF($E119&gt;$F119,1,0),0)</f>
        <v>0</v>
      </c>
      <c r="X119" s="13" t="s">
        <v>76</v>
      </c>
    </row>
    <row r="120" customFormat="false" ht="15" hidden="false" customHeight="false" outlineLevel="0" collapsed="false">
      <c r="A120" s="10" t="s">
        <v>462</v>
      </c>
      <c r="B120" s="10" t="s">
        <v>463</v>
      </c>
      <c r="C120" s="11" t="s">
        <v>464</v>
      </c>
      <c r="D120" s="12" t="n">
        <v>3.6572</v>
      </c>
      <c r="E120" s="12"/>
      <c r="F120" s="12"/>
      <c r="G120" s="10" t="s">
        <v>63</v>
      </c>
      <c r="H120" s="10" t="s">
        <v>446</v>
      </c>
      <c r="I120" s="11" t="s">
        <v>447</v>
      </c>
      <c r="J120" s="10" t="s">
        <v>448</v>
      </c>
      <c r="K120" s="10" t="s">
        <v>449</v>
      </c>
      <c r="L120" s="10" t="s">
        <v>68</v>
      </c>
      <c r="M120" s="10" t="s">
        <v>69</v>
      </c>
      <c r="N120" s="10"/>
      <c r="O120" s="11" t="s">
        <v>450</v>
      </c>
      <c r="P120" s="10" t="s">
        <v>71</v>
      </c>
      <c r="Q120" s="11" t="s">
        <v>72</v>
      </c>
      <c r="R120" s="11" t="s">
        <v>73</v>
      </c>
      <c r="S120" s="11" t="s">
        <v>74</v>
      </c>
      <c r="T120" s="11" t="s">
        <v>465</v>
      </c>
      <c r="U120" s="10" t="n">
        <f aca="false">IF(AND($D120="",$E120="",$F120=""),1,0)</f>
        <v>0</v>
      </c>
      <c r="V120" s="10" t="n">
        <f aca="false">IF(OR($I120="",$I120="—"),1,0)</f>
        <v>0</v>
      </c>
      <c r="W120" s="10" t="n">
        <f aca="false">IF(AND(ISNUMBER($D120),ISNUMBER($E120)),IF($E120&gt;$D120,1,0),0)+IF(AND(ISNUMBER($D120),ISNUMBER($F120)),IF($D120&gt;$F120,1,0),0)+IF(AND(ISNUMBER($E120),ISNUMBER($F120)),IF($E120&gt;$F120,1,0),0)</f>
        <v>0</v>
      </c>
      <c r="X120" s="13" t="s">
        <v>76</v>
      </c>
    </row>
    <row r="121" customFormat="false" ht="15" hidden="false" customHeight="false" outlineLevel="0" collapsed="false">
      <c r="A121" s="10" t="s">
        <v>466</v>
      </c>
      <c r="B121" s="10" t="s">
        <v>467</v>
      </c>
      <c r="C121" s="11" t="s">
        <v>464</v>
      </c>
      <c r="D121" s="12" t="n">
        <v>2.145</v>
      </c>
      <c r="E121" s="12"/>
      <c r="F121" s="12"/>
      <c r="G121" s="10" t="s">
        <v>63</v>
      </c>
      <c r="H121" s="10" t="s">
        <v>83</v>
      </c>
      <c r="I121" s="11" t="s">
        <v>447</v>
      </c>
      <c r="J121" s="10" t="s">
        <v>448</v>
      </c>
      <c r="K121" s="10" t="s">
        <v>449</v>
      </c>
      <c r="L121" s="10" t="s">
        <v>68</v>
      </c>
      <c r="M121" s="10" t="s">
        <v>69</v>
      </c>
      <c r="N121" s="10"/>
      <c r="O121" s="11" t="s">
        <v>450</v>
      </c>
      <c r="P121" s="10" t="s">
        <v>71</v>
      </c>
      <c r="Q121" s="11" t="s">
        <v>72</v>
      </c>
      <c r="R121" s="11" t="s">
        <v>73</v>
      </c>
      <c r="S121" s="11" t="s">
        <v>74</v>
      </c>
      <c r="T121" s="11" t="s">
        <v>468</v>
      </c>
      <c r="U121" s="10" t="n">
        <f aca="false">IF(AND($D121="",$E121="",$F121=""),1,0)</f>
        <v>0</v>
      </c>
      <c r="V121" s="10" t="n">
        <f aca="false">IF(OR($I121="",$I121="—"),1,0)</f>
        <v>0</v>
      </c>
      <c r="W121" s="10" t="n">
        <f aca="false">IF(AND(ISNUMBER($D121),ISNUMBER($E121)),IF($E121&gt;$D121,1,0),0)+IF(AND(ISNUMBER($D121),ISNUMBER($F121)),IF($D121&gt;$F121,1,0),0)+IF(AND(ISNUMBER($E121),ISNUMBER($F121)),IF($E121&gt;$F121,1,0),0)</f>
        <v>0</v>
      </c>
      <c r="X121" s="13" t="s">
        <v>76</v>
      </c>
    </row>
    <row r="122" customFormat="false" ht="15" hidden="false" customHeight="false" outlineLevel="0" collapsed="false">
      <c r="A122" s="10" t="s">
        <v>469</v>
      </c>
      <c r="B122" s="10" t="s">
        <v>470</v>
      </c>
      <c r="C122" s="11" t="s">
        <v>471</v>
      </c>
      <c r="D122" s="12" t="n">
        <v>0.0254</v>
      </c>
      <c r="E122" s="12"/>
      <c r="F122" s="12"/>
      <c r="G122" s="10" t="s">
        <v>63</v>
      </c>
      <c r="H122" s="10" t="s">
        <v>446</v>
      </c>
      <c r="I122" s="11" t="s">
        <v>447</v>
      </c>
      <c r="J122" s="10" t="s">
        <v>448</v>
      </c>
      <c r="K122" s="10" t="s">
        <v>449</v>
      </c>
      <c r="L122" s="10" t="s">
        <v>68</v>
      </c>
      <c r="M122" s="10" t="s">
        <v>69</v>
      </c>
      <c r="N122" s="10"/>
      <c r="O122" s="11" t="s">
        <v>450</v>
      </c>
      <c r="P122" s="10" t="s">
        <v>71</v>
      </c>
      <c r="Q122" s="11" t="s">
        <v>72</v>
      </c>
      <c r="R122" s="11" t="s">
        <v>73</v>
      </c>
      <c r="S122" s="11" t="s">
        <v>74</v>
      </c>
      <c r="T122" s="11" t="s">
        <v>472</v>
      </c>
      <c r="U122" s="10" t="n">
        <f aca="false">IF(AND($D122="",$E122="",$F122=""),1,0)</f>
        <v>0</v>
      </c>
      <c r="V122" s="10" t="n">
        <f aca="false">IF(OR($I122="",$I122="—"),1,0)</f>
        <v>0</v>
      </c>
      <c r="W122" s="10" t="n">
        <f aca="false">IF(AND(ISNUMBER($D122),ISNUMBER($E122)),IF($E122&gt;$D122,1,0),0)+IF(AND(ISNUMBER($D122),ISNUMBER($F122)),IF($D122&gt;$F122,1,0),0)+IF(AND(ISNUMBER($E122),ISNUMBER($F122)),IF($E122&gt;$F122,1,0),0)</f>
        <v>0</v>
      </c>
      <c r="X122" s="13" t="s">
        <v>76</v>
      </c>
    </row>
    <row r="123" customFormat="false" ht="15" hidden="false" customHeight="false" outlineLevel="0" collapsed="false">
      <c r="A123" s="10" t="s">
        <v>473</v>
      </c>
      <c r="B123" s="10" t="s">
        <v>474</v>
      </c>
      <c r="C123" s="11" t="s">
        <v>471</v>
      </c>
      <c r="D123" s="12" t="n">
        <v>0.0194</v>
      </c>
      <c r="E123" s="12"/>
      <c r="F123" s="12"/>
      <c r="G123" s="10" t="s">
        <v>63</v>
      </c>
      <c r="H123" s="10" t="s">
        <v>83</v>
      </c>
      <c r="I123" s="11" t="s">
        <v>447</v>
      </c>
      <c r="J123" s="10" t="s">
        <v>448</v>
      </c>
      <c r="K123" s="10" t="s">
        <v>449</v>
      </c>
      <c r="L123" s="10" t="s">
        <v>68</v>
      </c>
      <c r="M123" s="10" t="s">
        <v>69</v>
      </c>
      <c r="N123" s="10"/>
      <c r="O123" s="11" t="s">
        <v>450</v>
      </c>
      <c r="P123" s="10" t="s">
        <v>71</v>
      </c>
      <c r="Q123" s="11" t="s">
        <v>72</v>
      </c>
      <c r="R123" s="11" t="s">
        <v>73</v>
      </c>
      <c r="S123" s="11" t="s">
        <v>74</v>
      </c>
      <c r="T123" s="11" t="s">
        <v>475</v>
      </c>
      <c r="U123" s="10" t="n">
        <f aca="false">IF(AND($D123="",$E123="",$F123=""),1,0)</f>
        <v>0</v>
      </c>
      <c r="V123" s="10" t="n">
        <f aca="false">IF(OR($I123="",$I123="—"),1,0)</f>
        <v>0</v>
      </c>
      <c r="W123" s="10" t="n">
        <f aca="false">IF(AND(ISNUMBER($D123),ISNUMBER($E123)),IF($E123&gt;$D123,1,0),0)+IF(AND(ISNUMBER($D123),ISNUMBER($F123)),IF($D123&gt;$F123,1,0),0)+IF(AND(ISNUMBER($E123),ISNUMBER($F123)),IF($E123&gt;$F123,1,0),0)</f>
        <v>0</v>
      </c>
      <c r="X123" s="13" t="s">
        <v>76</v>
      </c>
    </row>
    <row r="124" customFormat="false" ht="15" hidden="false" customHeight="false" outlineLevel="0" collapsed="false">
      <c r="A124" s="10" t="s">
        <v>476</v>
      </c>
      <c r="B124" s="10" t="s">
        <v>477</v>
      </c>
      <c r="C124" s="11" t="s">
        <v>62</v>
      </c>
      <c r="D124" s="12" t="n">
        <v>7.2433</v>
      </c>
      <c r="E124" s="12"/>
      <c r="F124" s="12"/>
      <c r="G124" s="10" t="s">
        <v>63</v>
      </c>
      <c r="H124" s="10" t="s">
        <v>446</v>
      </c>
      <c r="I124" s="11" t="s">
        <v>447</v>
      </c>
      <c r="J124" s="10" t="s">
        <v>448</v>
      </c>
      <c r="K124" s="10" t="s">
        <v>449</v>
      </c>
      <c r="L124" s="10" t="s">
        <v>68</v>
      </c>
      <c r="M124" s="10" t="s">
        <v>69</v>
      </c>
      <c r="N124" s="10"/>
      <c r="O124" s="11" t="s">
        <v>450</v>
      </c>
      <c r="P124" s="10" t="s">
        <v>71</v>
      </c>
      <c r="Q124" s="11" t="s">
        <v>72</v>
      </c>
      <c r="R124" s="11" t="s">
        <v>73</v>
      </c>
      <c r="S124" s="11" t="s">
        <v>74</v>
      </c>
      <c r="T124" s="11" t="s">
        <v>478</v>
      </c>
      <c r="U124" s="10" t="n">
        <f aca="false">IF(AND($D124="",$E124="",$F124=""),1,0)</f>
        <v>0</v>
      </c>
      <c r="V124" s="10" t="n">
        <f aca="false">IF(OR($I124="",$I124="—"),1,0)</f>
        <v>0</v>
      </c>
      <c r="W124" s="10" t="n">
        <f aca="false">IF(AND(ISNUMBER($D124),ISNUMBER($E124)),IF($E124&gt;$D124,1,0),0)+IF(AND(ISNUMBER($D124),ISNUMBER($F124)),IF($D124&gt;$F124,1,0),0)+IF(AND(ISNUMBER($E124),ISNUMBER($F124)),IF($E124&gt;$F124,1,0),0)</f>
        <v>0</v>
      </c>
      <c r="X124" s="13" t="s">
        <v>76</v>
      </c>
    </row>
    <row r="125" customFormat="false" ht="15" hidden="false" customHeight="false" outlineLevel="0" collapsed="false">
      <c r="A125" s="10" t="s">
        <v>479</v>
      </c>
      <c r="B125" s="10" t="s">
        <v>480</v>
      </c>
      <c r="C125" s="11" t="s">
        <v>481</v>
      </c>
      <c r="D125" s="12" t="n">
        <v>5.3396</v>
      </c>
      <c r="E125" s="12"/>
      <c r="F125" s="12"/>
      <c r="G125" s="10" t="s">
        <v>63</v>
      </c>
      <c r="H125" s="10" t="s">
        <v>446</v>
      </c>
      <c r="I125" s="11" t="s">
        <v>447</v>
      </c>
      <c r="J125" s="10" t="s">
        <v>448</v>
      </c>
      <c r="K125" s="10" t="s">
        <v>449</v>
      </c>
      <c r="L125" s="10" t="s">
        <v>68</v>
      </c>
      <c r="M125" s="10" t="s">
        <v>69</v>
      </c>
      <c r="N125" s="10"/>
      <c r="O125" s="11" t="s">
        <v>450</v>
      </c>
      <c r="P125" s="10" t="s">
        <v>71</v>
      </c>
      <c r="Q125" s="11" t="s">
        <v>72</v>
      </c>
      <c r="R125" s="11" t="s">
        <v>73</v>
      </c>
      <c r="S125" s="11" t="s">
        <v>74</v>
      </c>
      <c r="T125" s="11" t="s">
        <v>482</v>
      </c>
      <c r="U125" s="10" t="n">
        <f aca="false">IF(AND($D125="",$E125="",$F125=""),1,0)</f>
        <v>0</v>
      </c>
      <c r="V125" s="10" t="n">
        <f aca="false">IF(OR($I125="",$I125="—"),1,0)</f>
        <v>0</v>
      </c>
      <c r="W125" s="10" t="n">
        <f aca="false">IF(AND(ISNUMBER($D125),ISNUMBER($E125)),IF($E125&gt;$D125,1,0),0)+IF(AND(ISNUMBER($D125),ISNUMBER($F125)),IF($D125&gt;$F125,1,0),0)+IF(AND(ISNUMBER($E125),ISNUMBER($F125)),IF($E125&gt;$F125,1,0),0)</f>
        <v>0</v>
      </c>
      <c r="X125" s="13" t="s">
        <v>76</v>
      </c>
    </row>
    <row r="126" customFormat="false" ht="15" hidden="false" customHeight="false" outlineLevel="0" collapsed="false">
      <c r="A126" s="10" t="s">
        <v>483</v>
      </c>
      <c r="B126" s="10" t="s">
        <v>484</v>
      </c>
      <c r="C126" s="11" t="s">
        <v>485</v>
      </c>
      <c r="D126" s="12" t="n">
        <v>1.9038</v>
      </c>
      <c r="E126" s="12"/>
      <c r="F126" s="12"/>
      <c r="G126" s="10" t="s">
        <v>63</v>
      </c>
      <c r="H126" s="10" t="s">
        <v>446</v>
      </c>
      <c r="I126" s="11" t="s">
        <v>447</v>
      </c>
      <c r="J126" s="10" t="s">
        <v>448</v>
      </c>
      <c r="K126" s="10" t="s">
        <v>449</v>
      </c>
      <c r="L126" s="10" t="s">
        <v>68</v>
      </c>
      <c r="M126" s="10" t="s">
        <v>69</v>
      </c>
      <c r="N126" s="10"/>
      <c r="O126" s="11" t="s">
        <v>450</v>
      </c>
      <c r="P126" s="10" t="s">
        <v>71</v>
      </c>
      <c r="Q126" s="11" t="s">
        <v>72</v>
      </c>
      <c r="R126" s="11" t="s">
        <v>73</v>
      </c>
      <c r="S126" s="11" t="s">
        <v>74</v>
      </c>
      <c r="T126" s="11" t="s">
        <v>486</v>
      </c>
      <c r="U126" s="10" t="n">
        <f aca="false">IF(AND($D126="",$E126="",$F126=""),1,0)</f>
        <v>0</v>
      </c>
      <c r="V126" s="10" t="n">
        <f aca="false">IF(OR($I126="",$I126="—"),1,0)</f>
        <v>0</v>
      </c>
      <c r="W126" s="10" t="n">
        <f aca="false">IF(AND(ISNUMBER($D126),ISNUMBER($E126)),IF($E126&gt;$D126,1,0),0)+IF(AND(ISNUMBER($D126),ISNUMBER($F126)),IF($D126&gt;$F126,1,0),0)+IF(AND(ISNUMBER($E126),ISNUMBER($F126)),IF($E126&gt;$F126,1,0),0)</f>
        <v>0</v>
      </c>
      <c r="X126" s="13" t="s">
        <v>76</v>
      </c>
    </row>
    <row r="127" customFormat="false" ht="15" hidden="false" customHeight="false" outlineLevel="0" collapsed="false">
      <c r="A127" s="10" t="s">
        <v>487</v>
      </c>
      <c r="B127" s="10" t="s">
        <v>488</v>
      </c>
      <c r="C127" s="11" t="s">
        <v>489</v>
      </c>
      <c r="D127" s="12" t="n">
        <v>4.2768</v>
      </c>
      <c r="E127" s="12"/>
      <c r="F127" s="12"/>
      <c r="G127" s="10" t="s">
        <v>63</v>
      </c>
      <c r="H127" s="10" t="s">
        <v>446</v>
      </c>
      <c r="I127" s="11" t="s">
        <v>447</v>
      </c>
      <c r="J127" s="10" t="s">
        <v>448</v>
      </c>
      <c r="K127" s="10" t="s">
        <v>449</v>
      </c>
      <c r="L127" s="10" t="s">
        <v>68</v>
      </c>
      <c r="M127" s="10" t="s">
        <v>69</v>
      </c>
      <c r="N127" s="10"/>
      <c r="O127" s="11" t="s">
        <v>450</v>
      </c>
      <c r="P127" s="10" t="s">
        <v>71</v>
      </c>
      <c r="Q127" s="11" t="s">
        <v>72</v>
      </c>
      <c r="R127" s="11" t="s">
        <v>73</v>
      </c>
      <c r="S127" s="11" t="s">
        <v>74</v>
      </c>
      <c r="T127" s="11" t="s">
        <v>490</v>
      </c>
      <c r="U127" s="10" t="n">
        <f aca="false">IF(AND($D127="",$E127="",$F127=""),1,0)</f>
        <v>0</v>
      </c>
      <c r="V127" s="10" t="n">
        <f aca="false">IF(OR($I127="",$I127="—"),1,0)</f>
        <v>0</v>
      </c>
      <c r="W127" s="10" t="n">
        <f aca="false">IF(AND(ISNUMBER($D127),ISNUMBER($E127)),IF($E127&gt;$D127,1,0),0)+IF(AND(ISNUMBER($D127),ISNUMBER($F127)),IF($D127&gt;$F127,1,0),0)+IF(AND(ISNUMBER($E127),ISNUMBER($F127)),IF($E127&gt;$F127,1,0),0)</f>
        <v>0</v>
      </c>
      <c r="X127" s="13" t="s">
        <v>76</v>
      </c>
    </row>
    <row r="128" customFormat="false" ht="15" hidden="false" customHeight="false" outlineLevel="0" collapsed="false">
      <c r="A128" s="10" t="s">
        <v>491</v>
      </c>
      <c r="B128" s="10" t="s">
        <v>492</v>
      </c>
      <c r="C128" s="11" t="s">
        <v>176</v>
      </c>
      <c r="D128" s="12" t="n">
        <v>2.9666</v>
      </c>
      <c r="E128" s="12"/>
      <c r="F128" s="12"/>
      <c r="G128" s="10" t="s">
        <v>63</v>
      </c>
      <c r="H128" s="10" t="s">
        <v>446</v>
      </c>
      <c r="I128" s="11" t="s">
        <v>447</v>
      </c>
      <c r="J128" s="10" t="s">
        <v>448</v>
      </c>
      <c r="K128" s="10" t="s">
        <v>449</v>
      </c>
      <c r="L128" s="10" t="s">
        <v>68</v>
      </c>
      <c r="M128" s="10" t="s">
        <v>69</v>
      </c>
      <c r="N128" s="10"/>
      <c r="O128" s="11" t="s">
        <v>450</v>
      </c>
      <c r="P128" s="10" t="s">
        <v>71</v>
      </c>
      <c r="Q128" s="11" t="s">
        <v>72</v>
      </c>
      <c r="R128" s="11" t="s">
        <v>73</v>
      </c>
      <c r="S128" s="11" t="s">
        <v>74</v>
      </c>
      <c r="T128" s="11" t="s">
        <v>493</v>
      </c>
      <c r="U128" s="10" t="n">
        <f aca="false">IF(AND($D128="",$E128="",$F128=""),1,0)</f>
        <v>0</v>
      </c>
      <c r="V128" s="10" t="n">
        <f aca="false">IF(OR($I128="",$I128="—"),1,0)</f>
        <v>0</v>
      </c>
      <c r="W128" s="10" t="n">
        <f aca="false">IF(AND(ISNUMBER($D128),ISNUMBER($E128)),IF($E128&gt;$D128,1,0),0)+IF(AND(ISNUMBER($D128),ISNUMBER($F128)),IF($D128&gt;$F128,1,0),0)+IF(AND(ISNUMBER($E128),ISNUMBER($F128)),IF($E128&gt;$F128,1,0),0)</f>
        <v>0</v>
      </c>
      <c r="X128" s="13" t="s">
        <v>76</v>
      </c>
    </row>
    <row r="129" customFormat="false" ht="15" hidden="false" customHeight="false" outlineLevel="0" collapsed="false">
      <c r="A129" s="10" t="s">
        <v>494</v>
      </c>
      <c r="B129" s="10" t="s">
        <v>495</v>
      </c>
      <c r="C129" s="11" t="s">
        <v>400</v>
      </c>
      <c r="D129" s="12" t="n">
        <v>41</v>
      </c>
      <c r="E129" s="12"/>
      <c r="F129" s="12"/>
      <c r="G129" s="10" t="s">
        <v>401</v>
      </c>
      <c r="H129" s="10" t="s">
        <v>446</v>
      </c>
      <c r="I129" s="11" t="s">
        <v>447</v>
      </c>
      <c r="J129" s="10" t="s">
        <v>448</v>
      </c>
      <c r="K129" s="10" t="s">
        <v>449</v>
      </c>
      <c r="L129" s="10" t="s">
        <v>68</v>
      </c>
      <c r="M129" s="10" t="s">
        <v>69</v>
      </c>
      <c r="N129" s="10"/>
      <c r="O129" s="11" t="s">
        <v>450</v>
      </c>
      <c r="P129" s="10" t="s">
        <v>71</v>
      </c>
      <c r="Q129" s="11" t="s">
        <v>72</v>
      </c>
      <c r="R129" s="11" t="s">
        <v>73</v>
      </c>
      <c r="S129" s="11" t="s">
        <v>74</v>
      </c>
      <c r="T129" s="11" t="s">
        <v>496</v>
      </c>
      <c r="U129" s="10" t="n">
        <f aca="false">IF(AND($D129="",$E129="",$F129=""),1,0)</f>
        <v>0</v>
      </c>
      <c r="V129" s="10" t="n">
        <f aca="false">IF(OR($I129="",$I129="—"),1,0)</f>
        <v>0</v>
      </c>
      <c r="W129" s="10" t="n">
        <f aca="false">IF(AND(ISNUMBER($D129),ISNUMBER($E129)),IF($E129&gt;$D129,1,0),0)+IF(AND(ISNUMBER($D129),ISNUMBER($F129)),IF($D129&gt;$F129,1,0),0)+IF(AND(ISNUMBER($E129),ISNUMBER($F129)),IF($E129&gt;$F129,1,0),0)</f>
        <v>0</v>
      </c>
      <c r="X129" s="13" t="s">
        <v>76</v>
      </c>
    </row>
    <row r="130" customFormat="false" ht="15" hidden="false" customHeight="false" outlineLevel="0" collapsed="false">
      <c r="A130" s="10" t="s">
        <v>497</v>
      </c>
      <c r="B130" s="10" t="s">
        <v>498</v>
      </c>
      <c r="C130" s="11" t="s">
        <v>499</v>
      </c>
      <c r="D130" s="12" t="n">
        <v>2.6066</v>
      </c>
      <c r="E130" s="12"/>
      <c r="F130" s="12"/>
      <c r="G130" s="10" t="s">
        <v>63</v>
      </c>
      <c r="H130" s="10" t="s">
        <v>446</v>
      </c>
      <c r="I130" s="11" t="s">
        <v>447</v>
      </c>
      <c r="J130" s="10" t="s">
        <v>448</v>
      </c>
      <c r="K130" s="10" t="s">
        <v>449</v>
      </c>
      <c r="L130" s="10" t="s">
        <v>68</v>
      </c>
      <c r="M130" s="10" t="s">
        <v>69</v>
      </c>
      <c r="N130" s="10"/>
      <c r="O130" s="11" t="s">
        <v>450</v>
      </c>
      <c r="P130" s="10" t="s">
        <v>71</v>
      </c>
      <c r="Q130" s="11" t="s">
        <v>72</v>
      </c>
      <c r="R130" s="11" t="s">
        <v>73</v>
      </c>
      <c r="S130" s="11" t="s">
        <v>74</v>
      </c>
      <c r="T130" s="11" t="s">
        <v>500</v>
      </c>
      <c r="U130" s="10" t="n">
        <f aca="false">IF(AND($D130="",$E130="",$F130=""),1,0)</f>
        <v>0</v>
      </c>
      <c r="V130" s="10" t="n">
        <f aca="false">IF(OR($I130="",$I130="—"),1,0)</f>
        <v>0</v>
      </c>
      <c r="W130" s="10" t="n">
        <f aca="false">IF(AND(ISNUMBER($D130),ISNUMBER($E130)),IF($E130&gt;$D130,1,0),0)+IF(AND(ISNUMBER($D130),ISNUMBER($F130)),IF($D130&gt;$F130,1,0),0)+IF(AND(ISNUMBER($E130),ISNUMBER($F130)),IF($E130&gt;$F130,1,0),0)</f>
        <v>0</v>
      </c>
      <c r="X130" s="13" t="s">
        <v>76</v>
      </c>
    </row>
    <row r="131" customFormat="false" ht="15" hidden="false" customHeight="false" outlineLevel="0" collapsed="false">
      <c r="A131" s="10" t="s">
        <v>501</v>
      </c>
      <c r="B131" s="10" t="s">
        <v>502</v>
      </c>
      <c r="C131" s="11" t="s">
        <v>499</v>
      </c>
      <c r="D131" s="12" t="n">
        <v>1.7426</v>
      </c>
      <c r="E131" s="12"/>
      <c r="F131" s="12"/>
      <c r="G131" s="10" t="s">
        <v>63</v>
      </c>
      <c r="H131" s="10" t="s">
        <v>83</v>
      </c>
      <c r="I131" s="11" t="s">
        <v>447</v>
      </c>
      <c r="J131" s="10" t="s">
        <v>448</v>
      </c>
      <c r="K131" s="10" t="s">
        <v>449</v>
      </c>
      <c r="L131" s="10" t="s">
        <v>68</v>
      </c>
      <c r="M131" s="10" t="s">
        <v>69</v>
      </c>
      <c r="N131" s="10"/>
      <c r="O131" s="11" t="s">
        <v>450</v>
      </c>
      <c r="P131" s="10" t="s">
        <v>71</v>
      </c>
      <c r="Q131" s="11" t="s">
        <v>72</v>
      </c>
      <c r="R131" s="11" t="s">
        <v>73</v>
      </c>
      <c r="S131" s="11" t="s">
        <v>74</v>
      </c>
      <c r="T131" s="11" t="s">
        <v>503</v>
      </c>
      <c r="U131" s="10" t="n">
        <f aca="false">IF(AND($D131="",$E131="",$F131=""),1,0)</f>
        <v>0</v>
      </c>
      <c r="V131" s="10" t="n">
        <f aca="false">IF(OR($I131="",$I131="—"),1,0)</f>
        <v>0</v>
      </c>
      <c r="W131" s="10" t="n">
        <f aca="false">IF(AND(ISNUMBER($D131),ISNUMBER($E131)),IF($E131&gt;$D131,1,0),0)+IF(AND(ISNUMBER($D131),ISNUMBER($F131)),IF($D131&gt;$F131,1,0),0)+IF(AND(ISNUMBER($E131),ISNUMBER($F131)),IF($E131&gt;$F131,1,0),0)</f>
        <v>0</v>
      </c>
      <c r="X131" s="13" t="s">
        <v>76</v>
      </c>
    </row>
    <row r="132" customFormat="false" ht="15" hidden="false" customHeight="false" outlineLevel="0" collapsed="false">
      <c r="A132" s="10" t="s">
        <v>504</v>
      </c>
      <c r="B132" s="10" t="s">
        <v>505</v>
      </c>
      <c r="C132" s="11" t="s">
        <v>506</v>
      </c>
      <c r="D132" s="12" t="n">
        <v>0.36</v>
      </c>
      <c r="E132" s="12"/>
      <c r="F132" s="12"/>
      <c r="G132" s="10" t="s">
        <v>63</v>
      </c>
      <c r="H132" s="10" t="s">
        <v>446</v>
      </c>
      <c r="I132" s="11" t="s">
        <v>447</v>
      </c>
      <c r="J132" s="10" t="s">
        <v>448</v>
      </c>
      <c r="K132" s="10" t="s">
        <v>449</v>
      </c>
      <c r="L132" s="10" t="s">
        <v>68</v>
      </c>
      <c r="M132" s="10" t="s">
        <v>69</v>
      </c>
      <c r="N132" s="10"/>
      <c r="O132" s="11" t="s">
        <v>450</v>
      </c>
      <c r="P132" s="10" t="s">
        <v>71</v>
      </c>
      <c r="Q132" s="11" t="s">
        <v>72</v>
      </c>
      <c r="R132" s="11" t="s">
        <v>73</v>
      </c>
      <c r="S132" s="11" t="s">
        <v>74</v>
      </c>
      <c r="T132" s="11" t="s">
        <v>507</v>
      </c>
      <c r="U132" s="10" t="n">
        <f aca="false">IF(AND($D132="",$E132="",$F132=""),1,0)</f>
        <v>0</v>
      </c>
      <c r="V132" s="10" t="n">
        <f aca="false">IF(OR($I132="",$I132="—"),1,0)</f>
        <v>0</v>
      </c>
      <c r="W132" s="10" t="n">
        <f aca="false">IF(AND(ISNUMBER($D132),ISNUMBER($E132)),IF($E132&gt;$D132,1,0),0)+IF(AND(ISNUMBER($D132),ISNUMBER($F132)),IF($D132&gt;$F132,1,0),0)+IF(AND(ISNUMBER($E132),ISNUMBER($F132)),IF($E132&gt;$F132,1,0),0)</f>
        <v>0</v>
      </c>
      <c r="X132" s="13" t="s">
        <v>76</v>
      </c>
    </row>
    <row r="133" customFormat="false" ht="15" hidden="false" customHeight="false" outlineLevel="0" collapsed="false">
      <c r="A133" s="10" t="s">
        <v>508</v>
      </c>
      <c r="B133" s="10" t="s">
        <v>509</v>
      </c>
      <c r="C133" s="11" t="s">
        <v>506</v>
      </c>
      <c r="D133" s="12" t="n">
        <v>0.0163</v>
      </c>
      <c r="E133" s="12"/>
      <c r="F133" s="12"/>
      <c r="G133" s="10" t="s">
        <v>63</v>
      </c>
      <c r="H133" s="10" t="s">
        <v>83</v>
      </c>
      <c r="I133" s="11" t="s">
        <v>447</v>
      </c>
      <c r="J133" s="10" t="s">
        <v>448</v>
      </c>
      <c r="K133" s="10" t="s">
        <v>449</v>
      </c>
      <c r="L133" s="10" t="s">
        <v>68</v>
      </c>
      <c r="M133" s="10" t="s">
        <v>69</v>
      </c>
      <c r="N133" s="10"/>
      <c r="O133" s="11" t="s">
        <v>450</v>
      </c>
      <c r="P133" s="10" t="s">
        <v>71</v>
      </c>
      <c r="Q133" s="11" t="s">
        <v>72</v>
      </c>
      <c r="R133" s="11" t="s">
        <v>73</v>
      </c>
      <c r="S133" s="11" t="s">
        <v>74</v>
      </c>
      <c r="T133" s="11" t="s">
        <v>510</v>
      </c>
      <c r="U133" s="10" t="n">
        <f aca="false">IF(AND($D133="",$E133="",$F133=""),1,0)</f>
        <v>0</v>
      </c>
      <c r="V133" s="10" t="n">
        <f aca="false">IF(OR($I133="",$I133="—"),1,0)</f>
        <v>0</v>
      </c>
      <c r="W133" s="10" t="n">
        <f aca="false">IF(AND(ISNUMBER($D133),ISNUMBER($E133)),IF($E133&gt;$D133,1,0),0)+IF(AND(ISNUMBER($D133),ISNUMBER($F133)),IF($D133&gt;$F133,1,0),0)+IF(AND(ISNUMBER($E133),ISNUMBER($F133)),IF($E133&gt;$F133,1,0),0)</f>
        <v>0</v>
      </c>
      <c r="X133" s="13" t="s">
        <v>76</v>
      </c>
    </row>
    <row r="134" customFormat="false" ht="15" hidden="false" customHeight="false" outlineLevel="0" collapsed="false">
      <c r="A134" s="10" t="s">
        <v>511</v>
      </c>
      <c r="B134" s="10" t="s">
        <v>512</v>
      </c>
      <c r="C134" s="11" t="s">
        <v>513</v>
      </c>
      <c r="D134" s="12" t="n">
        <v>0.36</v>
      </c>
      <c r="E134" s="12"/>
      <c r="F134" s="12"/>
      <c r="G134" s="10" t="s">
        <v>63</v>
      </c>
      <c r="H134" s="10" t="s">
        <v>446</v>
      </c>
      <c r="I134" s="11" t="s">
        <v>447</v>
      </c>
      <c r="J134" s="10" t="s">
        <v>448</v>
      </c>
      <c r="K134" s="10" t="s">
        <v>449</v>
      </c>
      <c r="L134" s="10" t="s">
        <v>68</v>
      </c>
      <c r="M134" s="10" t="s">
        <v>69</v>
      </c>
      <c r="N134" s="10"/>
      <c r="O134" s="11" t="s">
        <v>450</v>
      </c>
      <c r="P134" s="10" t="s">
        <v>71</v>
      </c>
      <c r="Q134" s="11" t="s">
        <v>72</v>
      </c>
      <c r="R134" s="11" t="s">
        <v>73</v>
      </c>
      <c r="S134" s="11" t="s">
        <v>74</v>
      </c>
      <c r="T134" s="11" t="s">
        <v>514</v>
      </c>
      <c r="U134" s="10" t="n">
        <f aca="false">IF(AND($D134="",$E134="",$F134=""),1,0)</f>
        <v>0</v>
      </c>
      <c r="V134" s="10" t="n">
        <f aca="false">IF(OR($I134="",$I134="—"),1,0)</f>
        <v>0</v>
      </c>
      <c r="W134" s="10" t="n">
        <f aca="false">IF(AND(ISNUMBER($D134),ISNUMBER($E134)),IF($E134&gt;$D134,1,0),0)+IF(AND(ISNUMBER($D134),ISNUMBER($F134)),IF($D134&gt;$F134,1,0),0)+IF(AND(ISNUMBER($E134),ISNUMBER($F134)),IF($E134&gt;$F134,1,0),0)</f>
        <v>0</v>
      </c>
      <c r="X134" s="13" t="s">
        <v>76</v>
      </c>
    </row>
    <row r="135" customFormat="false" ht="15" hidden="false" customHeight="false" outlineLevel="0" collapsed="false">
      <c r="A135" s="10" t="s">
        <v>515</v>
      </c>
      <c r="B135" s="10" t="s">
        <v>516</v>
      </c>
      <c r="C135" s="11" t="s">
        <v>513</v>
      </c>
      <c r="D135" s="12" t="n">
        <v>0.016</v>
      </c>
      <c r="E135" s="12"/>
      <c r="F135" s="12"/>
      <c r="G135" s="10" t="s">
        <v>63</v>
      </c>
      <c r="H135" s="10" t="s">
        <v>83</v>
      </c>
      <c r="I135" s="11" t="s">
        <v>447</v>
      </c>
      <c r="J135" s="10" t="s">
        <v>448</v>
      </c>
      <c r="K135" s="10" t="s">
        <v>449</v>
      </c>
      <c r="L135" s="10" t="s">
        <v>68</v>
      </c>
      <c r="M135" s="10" t="s">
        <v>69</v>
      </c>
      <c r="N135" s="10"/>
      <c r="O135" s="11" t="s">
        <v>450</v>
      </c>
      <c r="P135" s="10" t="s">
        <v>71</v>
      </c>
      <c r="Q135" s="11" t="s">
        <v>72</v>
      </c>
      <c r="R135" s="11" t="s">
        <v>73</v>
      </c>
      <c r="S135" s="11" t="s">
        <v>74</v>
      </c>
      <c r="T135" s="11" t="s">
        <v>517</v>
      </c>
      <c r="U135" s="10" t="n">
        <f aca="false">IF(AND($D135="",$E135="",$F135=""),1,0)</f>
        <v>0</v>
      </c>
      <c r="V135" s="10" t="n">
        <f aca="false">IF(OR($I135="",$I135="—"),1,0)</f>
        <v>0</v>
      </c>
      <c r="W135" s="10" t="n">
        <f aca="false">IF(AND(ISNUMBER($D135),ISNUMBER($E135)),IF($E135&gt;$D135,1,0),0)+IF(AND(ISNUMBER($D135),ISNUMBER($F135)),IF($D135&gt;$F135,1,0),0)+IF(AND(ISNUMBER($E135),ISNUMBER($F135)),IF($E135&gt;$F135,1,0),0)</f>
        <v>0</v>
      </c>
      <c r="X135" s="13" t="s">
        <v>76</v>
      </c>
    </row>
    <row r="136" customFormat="false" ht="15" hidden="false" customHeight="false" outlineLevel="0" collapsed="false">
      <c r="A136" s="10" t="s">
        <v>518</v>
      </c>
      <c r="B136" s="10" t="s">
        <v>519</v>
      </c>
      <c r="C136" s="11" t="s">
        <v>520</v>
      </c>
      <c r="D136" s="12" t="n">
        <v>0.867</v>
      </c>
      <c r="E136" s="12"/>
      <c r="F136" s="12"/>
      <c r="G136" s="10" t="s">
        <v>63</v>
      </c>
      <c r="H136" s="10" t="s">
        <v>446</v>
      </c>
      <c r="I136" s="11" t="s">
        <v>447</v>
      </c>
      <c r="J136" s="10" t="s">
        <v>448</v>
      </c>
      <c r="K136" s="10" t="s">
        <v>449</v>
      </c>
      <c r="L136" s="10" t="s">
        <v>68</v>
      </c>
      <c r="M136" s="10" t="s">
        <v>69</v>
      </c>
      <c r="N136" s="10"/>
      <c r="O136" s="11" t="s">
        <v>450</v>
      </c>
      <c r="P136" s="10" t="s">
        <v>71</v>
      </c>
      <c r="Q136" s="11" t="s">
        <v>72</v>
      </c>
      <c r="R136" s="11" t="s">
        <v>73</v>
      </c>
      <c r="S136" s="11" t="s">
        <v>74</v>
      </c>
      <c r="T136" s="11" t="s">
        <v>521</v>
      </c>
      <c r="U136" s="10" t="n">
        <f aca="false">IF(AND($D136="",$E136="",$F136=""),1,0)</f>
        <v>0</v>
      </c>
      <c r="V136" s="10" t="n">
        <f aca="false">IF(OR($I136="",$I136="—"),1,0)</f>
        <v>0</v>
      </c>
      <c r="W136" s="10" t="n">
        <f aca="false">IF(AND(ISNUMBER($D136),ISNUMBER($E136)),IF($E136&gt;$D136,1,0),0)+IF(AND(ISNUMBER($D136),ISNUMBER($F136)),IF($D136&gt;$F136,1,0),0)+IF(AND(ISNUMBER($E136),ISNUMBER($F136)),IF($E136&gt;$F136,1,0),0)</f>
        <v>0</v>
      </c>
      <c r="X136" s="13" t="s">
        <v>76</v>
      </c>
    </row>
    <row r="137" customFormat="false" ht="15" hidden="false" customHeight="false" outlineLevel="0" collapsed="false">
      <c r="A137" s="10" t="s">
        <v>522</v>
      </c>
      <c r="B137" s="10" t="s">
        <v>523</v>
      </c>
      <c r="C137" s="11" t="s">
        <v>520</v>
      </c>
      <c r="D137" s="12" t="n">
        <v>0.234</v>
      </c>
      <c r="E137" s="12"/>
      <c r="F137" s="12"/>
      <c r="G137" s="10" t="s">
        <v>63</v>
      </c>
      <c r="H137" s="10" t="s">
        <v>83</v>
      </c>
      <c r="I137" s="11" t="s">
        <v>447</v>
      </c>
      <c r="J137" s="10" t="s">
        <v>448</v>
      </c>
      <c r="K137" s="10" t="s">
        <v>449</v>
      </c>
      <c r="L137" s="10" t="s">
        <v>68</v>
      </c>
      <c r="M137" s="10" t="s">
        <v>69</v>
      </c>
      <c r="N137" s="10"/>
      <c r="O137" s="11" t="s">
        <v>450</v>
      </c>
      <c r="P137" s="10" t="s">
        <v>71</v>
      </c>
      <c r="Q137" s="11" t="s">
        <v>72</v>
      </c>
      <c r="R137" s="11" t="s">
        <v>73</v>
      </c>
      <c r="S137" s="11" t="s">
        <v>74</v>
      </c>
      <c r="T137" s="11" t="s">
        <v>524</v>
      </c>
      <c r="U137" s="10" t="n">
        <f aca="false">IF(AND($D137="",$E137="",$F137=""),1,0)</f>
        <v>0</v>
      </c>
      <c r="V137" s="10" t="n">
        <f aca="false">IF(OR($I137="",$I137="—"),1,0)</f>
        <v>0</v>
      </c>
      <c r="W137" s="10" t="n">
        <f aca="false">IF(AND(ISNUMBER($D137),ISNUMBER($E137)),IF($E137&gt;$D137,1,0),0)+IF(AND(ISNUMBER($D137),ISNUMBER($F137)),IF($D137&gt;$F137,1,0),0)+IF(AND(ISNUMBER($E137),ISNUMBER($F137)),IF($E137&gt;$F137,1,0),0)</f>
        <v>0</v>
      </c>
      <c r="X137" s="13" t="s">
        <v>76</v>
      </c>
    </row>
    <row r="138" customFormat="false" ht="15" hidden="false" customHeight="false" outlineLevel="0" collapsed="false">
      <c r="A138" s="10" t="s">
        <v>525</v>
      </c>
      <c r="B138" s="10" t="s">
        <v>526</v>
      </c>
      <c r="C138" s="11" t="s">
        <v>527</v>
      </c>
      <c r="D138" s="12" t="n">
        <v>1.717</v>
      </c>
      <c r="E138" s="12"/>
      <c r="F138" s="12"/>
      <c r="G138" s="10" t="s">
        <v>63</v>
      </c>
      <c r="H138" s="10" t="s">
        <v>446</v>
      </c>
      <c r="I138" s="11" t="s">
        <v>447</v>
      </c>
      <c r="J138" s="10" t="s">
        <v>448</v>
      </c>
      <c r="K138" s="10" t="s">
        <v>449</v>
      </c>
      <c r="L138" s="10" t="s">
        <v>68</v>
      </c>
      <c r="M138" s="10" t="s">
        <v>69</v>
      </c>
      <c r="N138" s="10"/>
      <c r="O138" s="11" t="s">
        <v>450</v>
      </c>
      <c r="P138" s="10" t="s">
        <v>71</v>
      </c>
      <c r="Q138" s="11" t="s">
        <v>72</v>
      </c>
      <c r="R138" s="11" t="s">
        <v>73</v>
      </c>
      <c r="S138" s="11" t="s">
        <v>74</v>
      </c>
      <c r="T138" s="11" t="s">
        <v>528</v>
      </c>
      <c r="U138" s="10" t="n">
        <f aca="false">IF(AND($D138="",$E138="",$F138=""),1,0)</f>
        <v>0</v>
      </c>
      <c r="V138" s="10" t="n">
        <f aca="false">IF(OR($I138="",$I138="—"),1,0)</f>
        <v>0</v>
      </c>
      <c r="W138" s="10" t="n">
        <f aca="false">IF(AND(ISNUMBER($D138),ISNUMBER($E138)),IF($E138&gt;$D138,1,0),0)+IF(AND(ISNUMBER($D138),ISNUMBER($F138)),IF($D138&gt;$F138,1,0),0)+IF(AND(ISNUMBER($E138),ISNUMBER($F138)),IF($E138&gt;$F138,1,0),0)</f>
        <v>0</v>
      </c>
      <c r="X138" s="13" t="s">
        <v>76</v>
      </c>
    </row>
    <row r="139" customFormat="false" ht="15" hidden="false" customHeight="false" outlineLevel="0" collapsed="false">
      <c r="A139" s="10" t="s">
        <v>529</v>
      </c>
      <c r="B139" s="10" t="s">
        <v>530</v>
      </c>
      <c r="C139" s="11" t="s">
        <v>527</v>
      </c>
      <c r="D139" s="12" t="n">
        <v>1.492</v>
      </c>
      <c r="E139" s="12"/>
      <c r="F139" s="12"/>
      <c r="G139" s="10" t="s">
        <v>63</v>
      </c>
      <c r="H139" s="10" t="s">
        <v>83</v>
      </c>
      <c r="I139" s="11" t="s">
        <v>447</v>
      </c>
      <c r="J139" s="10" t="s">
        <v>448</v>
      </c>
      <c r="K139" s="10" t="s">
        <v>449</v>
      </c>
      <c r="L139" s="10" t="s">
        <v>68</v>
      </c>
      <c r="M139" s="10" t="s">
        <v>69</v>
      </c>
      <c r="N139" s="10"/>
      <c r="O139" s="11" t="s">
        <v>450</v>
      </c>
      <c r="P139" s="10" t="s">
        <v>71</v>
      </c>
      <c r="Q139" s="11" t="s">
        <v>72</v>
      </c>
      <c r="R139" s="11" t="s">
        <v>73</v>
      </c>
      <c r="S139" s="11" t="s">
        <v>74</v>
      </c>
      <c r="T139" s="11" t="s">
        <v>531</v>
      </c>
      <c r="U139" s="10" t="n">
        <f aca="false">IF(AND($D139="",$E139="",$F139=""),1,0)</f>
        <v>0</v>
      </c>
      <c r="V139" s="10" t="n">
        <f aca="false">IF(OR($I139="",$I139="—"),1,0)</f>
        <v>0</v>
      </c>
      <c r="W139" s="10" t="n">
        <f aca="false">IF(AND(ISNUMBER($D139),ISNUMBER($E139)),IF($E139&gt;$D139,1,0),0)+IF(AND(ISNUMBER($D139),ISNUMBER($F139)),IF($D139&gt;$F139,1,0),0)+IF(AND(ISNUMBER($E139),ISNUMBER($F139)),IF($E139&gt;$F139,1,0),0)</f>
        <v>0</v>
      </c>
      <c r="X139" s="13" t="s">
        <v>76</v>
      </c>
    </row>
    <row r="140" customFormat="false" ht="15" hidden="false" customHeight="false" outlineLevel="0" collapsed="false">
      <c r="A140" s="10" t="s">
        <v>532</v>
      </c>
      <c r="B140" s="10" t="s">
        <v>533</v>
      </c>
      <c r="C140" s="11" t="s">
        <v>534</v>
      </c>
      <c r="D140" s="12" t="n">
        <v>0.023</v>
      </c>
      <c r="E140" s="12"/>
      <c r="F140" s="12"/>
      <c r="G140" s="10" t="s">
        <v>63</v>
      </c>
      <c r="H140" s="10" t="s">
        <v>446</v>
      </c>
      <c r="I140" s="11" t="s">
        <v>447</v>
      </c>
      <c r="J140" s="10" t="s">
        <v>448</v>
      </c>
      <c r="K140" s="10" t="s">
        <v>449</v>
      </c>
      <c r="L140" s="10" t="s">
        <v>68</v>
      </c>
      <c r="M140" s="10" t="s">
        <v>69</v>
      </c>
      <c r="N140" s="10"/>
      <c r="O140" s="11" t="s">
        <v>450</v>
      </c>
      <c r="P140" s="10" t="s">
        <v>71</v>
      </c>
      <c r="Q140" s="11" t="s">
        <v>72</v>
      </c>
      <c r="R140" s="11" t="s">
        <v>73</v>
      </c>
      <c r="S140" s="11" t="s">
        <v>74</v>
      </c>
      <c r="T140" s="11" t="s">
        <v>535</v>
      </c>
      <c r="U140" s="10" t="n">
        <f aca="false">IF(AND($D140="",$E140="",$F140=""),1,0)</f>
        <v>0</v>
      </c>
      <c r="V140" s="10" t="n">
        <f aca="false">IF(OR($I140="",$I140="—"),1,0)</f>
        <v>0</v>
      </c>
      <c r="W140" s="10" t="n">
        <f aca="false">IF(AND(ISNUMBER($D140),ISNUMBER($E140)),IF($E140&gt;$D140,1,0),0)+IF(AND(ISNUMBER($D140),ISNUMBER($F140)),IF($D140&gt;$F140,1,0),0)+IF(AND(ISNUMBER($E140),ISNUMBER($F140)),IF($E140&gt;$F140,1,0),0)</f>
        <v>0</v>
      </c>
      <c r="X140" s="13" t="s">
        <v>76</v>
      </c>
    </row>
    <row r="141" customFormat="false" ht="15" hidden="false" customHeight="false" outlineLevel="0" collapsed="false">
      <c r="A141" s="10" t="s">
        <v>536</v>
      </c>
      <c r="B141" s="10" t="s">
        <v>537</v>
      </c>
      <c r="C141" s="11" t="s">
        <v>534</v>
      </c>
      <c r="D141" s="12" t="n">
        <v>0.017</v>
      </c>
      <c r="E141" s="12"/>
      <c r="F141" s="12"/>
      <c r="G141" s="10" t="s">
        <v>63</v>
      </c>
      <c r="H141" s="10" t="s">
        <v>83</v>
      </c>
      <c r="I141" s="11" t="s">
        <v>447</v>
      </c>
      <c r="J141" s="10" t="s">
        <v>448</v>
      </c>
      <c r="K141" s="10" t="s">
        <v>449</v>
      </c>
      <c r="L141" s="10" t="s">
        <v>68</v>
      </c>
      <c r="M141" s="10" t="s">
        <v>69</v>
      </c>
      <c r="N141" s="10"/>
      <c r="O141" s="11" t="s">
        <v>450</v>
      </c>
      <c r="P141" s="10" t="s">
        <v>71</v>
      </c>
      <c r="Q141" s="11" t="s">
        <v>72</v>
      </c>
      <c r="R141" s="11" t="s">
        <v>73</v>
      </c>
      <c r="S141" s="11" t="s">
        <v>74</v>
      </c>
      <c r="T141" s="11" t="s">
        <v>538</v>
      </c>
      <c r="U141" s="10" t="n">
        <f aca="false">IF(AND($D141="",$E141="",$F141=""),1,0)</f>
        <v>0</v>
      </c>
      <c r="V141" s="10" t="n">
        <f aca="false">IF(OR($I141="",$I141="—"),1,0)</f>
        <v>0</v>
      </c>
      <c r="W141" s="10" t="n">
        <f aca="false">IF(AND(ISNUMBER($D141),ISNUMBER($E141)),IF($E141&gt;$D141,1,0),0)+IF(AND(ISNUMBER($D141),ISNUMBER($F141)),IF($D141&gt;$F141,1,0),0)+IF(AND(ISNUMBER($E141),ISNUMBER($F141)),IF($E141&gt;$F141,1,0),0)</f>
        <v>0</v>
      </c>
      <c r="X141" s="13" t="s">
        <v>76</v>
      </c>
    </row>
    <row r="142" customFormat="false" ht="15" hidden="false" customHeight="false" outlineLevel="0" collapsed="false">
      <c r="A142" s="10" t="s">
        <v>539</v>
      </c>
      <c r="B142" s="10" t="s">
        <v>540</v>
      </c>
      <c r="C142" s="11" t="s">
        <v>541</v>
      </c>
      <c r="D142" s="12" t="n">
        <v>3.3</v>
      </c>
      <c r="E142" s="12"/>
      <c r="F142" s="12"/>
      <c r="G142" s="10" t="s">
        <v>401</v>
      </c>
      <c r="H142" s="10" t="s">
        <v>83</v>
      </c>
      <c r="I142" s="11" t="s">
        <v>447</v>
      </c>
      <c r="J142" s="10" t="s">
        <v>448</v>
      </c>
      <c r="K142" s="10" t="s">
        <v>449</v>
      </c>
      <c r="L142" s="10" t="s">
        <v>68</v>
      </c>
      <c r="M142" s="10" t="s">
        <v>69</v>
      </c>
      <c r="N142" s="10"/>
      <c r="O142" s="11" t="s">
        <v>450</v>
      </c>
      <c r="P142" s="10" t="s">
        <v>71</v>
      </c>
      <c r="Q142" s="11" t="s">
        <v>72</v>
      </c>
      <c r="R142" s="11" t="s">
        <v>73</v>
      </c>
      <c r="S142" s="11" t="s">
        <v>74</v>
      </c>
      <c r="T142" s="11" t="s">
        <v>542</v>
      </c>
      <c r="U142" s="10" t="n">
        <f aca="false">IF(AND($D142="",$E142="",$F142=""),1,0)</f>
        <v>0</v>
      </c>
      <c r="V142" s="10" t="n">
        <f aca="false">IF(OR($I142="",$I142="—"),1,0)</f>
        <v>0</v>
      </c>
      <c r="W142" s="10" t="n">
        <f aca="false">IF(AND(ISNUMBER($D142),ISNUMBER($E142)),IF($E142&gt;$D142,1,0),0)+IF(AND(ISNUMBER($D142),ISNUMBER($F142)),IF($D142&gt;$F142,1,0),0)+IF(AND(ISNUMBER($E142),ISNUMBER($F142)),IF($E142&gt;$F142,1,0),0)</f>
        <v>0</v>
      </c>
      <c r="X142" s="13" t="s">
        <v>76</v>
      </c>
    </row>
    <row r="143" customFormat="false" ht="15" hidden="false" customHeight="false" outlineLevel="0" collapsed="false">
      <c r="A143" s="10" t="s">
        <v>543</v>
      </c>
      <c r="B143" s="10" t="s">
        <v>544</v>
      </c>
      <c r="C143" s="11" t="s">
        <v>224</v>
      </c>
      <c r="D143" s="12" t="n">
        <v>31.8044</v>
      </c>
      <c r="E143" s="12"/>
      <c r="F143" s="12"/>
      <c r="G143" s="10" t="s">
        <v>63</v>
      </c>
      <c r="H143" s="10" t="s">
        <v>446</v>
      </c>
      <c r="I143" s="11" t="s">
        <v>447</v>
      </c>
      <c r="J143" s="10" t="s">
        <v>448</v>
      </c>
      <c r="K143" s="10" t="s">
        <v>449</v>
      </c>
      <c r="L143" s="10" t="s">
        <v>68</v>
      </c>
      <c r="M143" s="10" t="s">
        <v>69</v>
      </c>
      <c r="N143" s="10"/>
      <c r="O143" s="11" t="s">
        <v>450</v>
      </c>
      <c r="P143" s="10" t="s">
        <v>71</v>
      </c>
      <c r="Q143" s="11" t="s">
        <v>72</v>
      </c>
      <c r="R143" s="11" t="s">
        <v>73</v>
      </c>
      <c r="S143" s="11" t="s">
        <v>74</v>
      </c>
      <c r="T143" s="11" t="s">
        <v>545</v>
      </c>
      <c r="U143" s="10" t="n">
        <f aca="false">IF(AND($D143="",$E143="",$F143=""),1,0)</f>
        <v>0</v>
      </c>
      <c r="V143" s="10" t="n">
        <f aca="false">IF(OR($I143="",$I143="—"),1,0)</f>
        <v>0</v>
      </c>
      <c r="W143" s="10" t="n">
        <f aca="false">IF(AND(ISNUMBER($D143),ISNUMBER($E143)),IF($E143&gt;$D143,1,0),0)+IF(AND(ISNUMBER($D143),ISNUMBER($F143)),IF($D143&gt;$F143,1,0),0)+IF(AND(ISNUMBER($E143),ISNUMBER($F143)),IF($E143&gt;$F143,1,0),0)</f>
        <v>0</v>
      </c>
      <c r="X143" s="13" t="s">
        <v>76</v>
      </c>
    </row>
    <row r="144" customFormat="false" ht="15" hidden="false" customHeight="false" outlineLevel="0" collapsed="false">
      <c r="A144" s="10" t="s">
        <v>546</v>
      </c>
      <c r="B144" s="10" t="s">
        <v>547</v>
      </c>
      <c r="C144" s="11" t="s">
        <v>240</v>
      </c>
      <c r="D144" s="12" t="n">
        <v>3.9087</v>
      </c>
      <c r="E144" s="12"/>
      <c r="F144" s="12"/>
      <c r="G144" s="10" t="s">
        <v>63</v>
      </c>
      <c r="H144" s="10" t="s">
        <v>446</v>
      </c>
      <c r="I144" s="11" t="s">
        <v>447</v>
      </c>
      <c r="J144" s="10" t="s">
        <v>448</v>
      </c>
      <c r="K144" s="10" t="s">
        <v>449</v>
      </c>
      <c r="L144" s="10" t="s">
        <v>68</v>
      </c>
      <c r="M144" s="10" t="s">
        <v>69</v>
      </c>
      <c r="N144" s="10"/>
      <c r="O144" s="11" t="s">
        <v>450</v>
      </c>
      <c r="P144" s="10" t="s">
        <v>71</v>
      </c>
      <c r="Q144" s="11" t="s">
        <v>72</v>
      </c>
      <c r="R144" s="11" t="s">
        <v>73</v>
      </c>
      <c r="S144" s="11" t="s">
        <v>74</v>
      </c>
      <c r="T144" s="11" t="s">
        <v>548</v>
      </c>
      <c r="U144" s="10" t="n">
        <f aca="false">IF(AND($D144="",$E144="",$F144=""),1,0)</f>
        <v>0</v>
      </c>
      <c r="V144" s="10" t="n">
        <f aca="false">IF(OR($I144="",$I144="—"),1,0)</f>
        <v>0</v>
      </c>
      <c r="W144" s="10" t="n">
        <f aca="false">IF(AND(ISNUMBER($D144),ISNUMBER($E144)),IF($E144&gt;$D144,1,0),0)+IF(AND(ISNUMBER($D144),ISNUMBER($F144)),IF($D144&gt;$F144,1,0),0)+IF(AND(ISNUMBER($E144),ISNUMBER($F144)),IF($E144&gt;$F144,1,0),0)</f>
        <v>0</v>
      </c>
      <c r="X144" s="13" t="s">
        <v>76</v>
      </c>
    </row>
    <row r="145" customFormat="false" ht="15" hidden="false" customHeight="false" outlineLevel="0" collapsed="false">
      <c r="A145" s="10" t="s">
        <v>549</v>
      </c>
      <c r="B145" s="10" t="s">
        <v>550</v>
      </c>
      <c r="C145" s="11" t="s">
        <v>256</v>
      </c>
      <c r="D145" s="12" t="n">
        <v>5.0536</v>
      </c>
      <c r="E145" s="12"/>
      <c r="F145" s="12"/>
      <c r="G145" s="10" t="s">
        <v>63</v>
      </c>
      <c r="H145" s="10" t="s">
        <v>446</v>
      </c>
      <c r="I145" s="11" t="s">
        <v>447</v>
      </c>
      <c r="J145" s="10" t="s">
        <v>448</v>
      </c>
      <c r="K145" s="10" t="s">
        <v>449</v>
      </c>
      <c r="L145" s="10" t="s">
        <v>68</v>
      </c>
      <c r="M145" s="10" t="s">
        <v>69</v>
      </c>
      <c r="N145" s="10"/>
      <c r="O145" s="11" t="s">
        <v>450</v>
      </c>
      <c r="P145" s="10" t="s">
        <v>71</v>
      </c>
      <c r="Q145" s="11" t="s">
        <v>72</v>
      </c>
      <c r="R145" s="11" t="s">
        <v>73</v>
      </c>
      <c r="S145" s="11" t="s">
        <v>74</v>
      </c>
      <c r="T145" s="11" t="s">
        <v>551</v>
      </c>
      <c r="U145" s="10" t="n">
        <f aca="false">IF(AND($D145="",$E145="",$F145=""),1,0)</f>
        <v>0</v>
      </c>
      <c r="V145" s="10" t="n">
        <f aca="false">IF(OR($I145="",$I145="—"),1,0)</f>
        <v>0</v>
      </c>
      <c r="W145" s="10" t="n">
        <f aca="false">IF(AND(ISNUMBER($D145),ISNUMBER($E145)),IF($E145&gt;$D145,1,0),0)+IF(AND(ISNUMBER($D145),ISNUMBER($F145)),IF($D145&gt;$F145,1,0),0)+IF(AND(ISNUMBER($E145),ISNUMBER($F145)),IF($E145&gt;$F145,1,0),0)</f>
        <v>0</v>
      </c>
      <c r="X145" s="13" t="s">
        <v>76</v>
      </c>
    </row>
    <row r="146" customFormat="false" ht="15" hidden="false" customHeight="false" outlineLevel="0" collapsed="false">
      <c r="A146" s="10" t="s">
        <v>552</v>
      </c>
      <c r="B146" s="10" t="s">
        <v>553</v>
      </c>
      <c r="C146" s="11" t="s">
        <v>304</v>
      </c>
      <c r="D146" s="12" t="n">
        <v>5.5827</v>
      </c>
      <c r="E146" s="12"/>
      <c r="F146" s="12"/>
      <c r="G146" s="10" t="s">
        <v>63</v>
      </c>
      <c r="H146" s="10" t="s">
        <v>446</v>
      </c>
      <c r="I146" s="11" t="s">
        <v>447</v>
      </c>
      <c r="J146" s="10" t="s">
        <v>448</v>
      </c>
      <c r="K146" s="10" t="s">
        <v>449</v>
      </c>
      <c r="L146" s="10" t="s">
        <v>68</v>
      </c>
      <c r="M146" s="10" t="s">
        <v>69</v>
      </c>
      <c r="N146" s="10"/>
      <c r="O146" s="11" t="s">
        <v>450</v>
      </c>
      <c r="P146" s="10" t="s">
        <v>71</v>
      </c>
      <c r="Q146" s="11" t="s">
        <v>72</v>
      </c>
      <c r="R146" s="11" t="s">
        <v>73</v>
      </c>
      <c r="S146" s="11" t="s">
        <v>74</v>
      </c>
      <c r="T146" s="11" t="s">
        <v>554</v>
      </c>
      <c r="U146" s="10" t="n">
        <f aca="false">IF(AND($D146="",$E146="",$F146=""),1,0)</f>
        <v>0</v>
      </c>
      <c r="V146" s="10" t="n">
        <f aca="false">IF(OR($I146="",$I146="—"),1,0)</f>
        <v>0</v>
      </c>
      <c r="W146" s="10" t="n">
        <f aca="false">IF(AND(ISNUMBER($D146),ISNUMBER($E146)),IF($E146&gt;$D146,1,0),0)+IF(AND(ISNUMBER($D146),ISNUMBER($F146)),IF($D146&gt;$F146,1,0),0)+IF(AND(ISNUMBER($E146),ISNUMBER($F146)),IF($E146&gt;$F146,1,0),0)</f>
        <v>0</v>
      </c>
      <c r="X146" s="13" t="s">
        <v>76</v>
      </c>
    </row>
    <row r="147" customFormat="false" ht="15" hidden="false" customHeight="false" outlineLevel="0" collapsed="false">
      <c r="A147" s="10" t="s">
        <v>555</v>
      </c>
      <c r="B147" s="10" t="s">
        <v>556</v>
      </c>
      <c r="C147" s="11" t="s">
        <v>272</v>
      </c>
      <c r="D147" s="12" t="n">
        <v>0.1484</v>
      </c>
      <c r="E147" s="12"/>
      <c r="F147" s="12"/>
      <c r="G147" s="10" t="s">
        <v>63</v>
      </c>
      <c r="H147" s="10" t="s">
        <v>446</v>
      </c>
      <c r="I147" s="11" t="s">
        <v>447</v>
      </c>
      <c r="J147" s="10" t="s">
        <v>448</v>
      </c>
      <c r="K147" s="10" t="s">
        <v>449</v>
      </c>
      <c r="L147" s="10" t="s">
        <v>68</v>
      </c>
      <c r="M147" s="10" t="s">
        <v>69</v>
      </c>
      <c r="N147" s="10"/>
      <c r="O147" s="11" t="s">
        <v>450</v>
      </c>
      <c r="P147" s="10" t="s">
        <v>71</v>
      </c>
      <c r="Q147" s="11" t="s">
        <v>72</v>
      </c>
      <c r="R147" s="11" t="s">
        <v>73</v>
      </c>
      <c r="S147" s="11" t="s">
        <v>74</v>
      </c>
      <c r="T147" s="11" t="s">
        <v>557</v>
      </c>
      <c r="U147" s="10" t="n">
        <f aca="false">IF(AND($D147="",$E147="",$F147=""),1,0)</f>
        <v>0</v>
      </c>
      <c r="V147" s="10" t="n">
        <f aca="false">IF(OR($I147="",$I147="—"),1,0)</f>
        <v>0</v>
      </c>
      <c r="W147" s="10" t="n">
        <f aca="false">IF(AND(ISNUMBER($D147),ISNUMBER($E147)),IF($E147&gt;$D147,1,0),0)+IF(AND(ISNUMBER($D147),ISNUMBER($F147)),IF($D147&gt;$F147,1,0),0)+IF(AND(ISNUMBER($E147),ISNUMBER($F147)),IF($E147&gt;$F147,1,0),0)</f>
        <v>0</v>
      </c>
      <c r="X147" s="13" t="s">
        <v>76</v>
      </c>
    </row>
    <row r="148" customFormat="false" ht="15" hidden="false" customHeight="false" outlineLevel="0" collapsed="false">
      <c r="A148" s="10" t="s">
        <v>558</v>
      </c>
      <c r="B148" s="10" t="s">
        <v>559</v>
      </c>
      <c r="C148" s="11" t="s">
        <v>560</v>
      </c>
      <c r="D148" s="12" t="n">
        <v>0.7431</v>
      </c>
      <c r="E148" s="12"/>
      <c r="F148" s="12"/>
      <c r="G148" s="10" t="s">
        <v>63</v>
      </c>
      <c r="H148" s="10" t="s">
        <v>446</v>
      </c>
      <c r="I148" s="11" t="s">
        <v>447</v>
      </c>
      <c r="J148" s="10" t="s">
        <v>448</v>
      </c>
      <c r="K148" s="10" t="s">
        <v>449</v>
      </c>
      <c r="L148" s="10" t="s">
        <v>68</v>
      </c>
      <c r="M148" s="10" t="s">
        <v>69</v>
      </c>
      <c r="N148" s="10"/>
      <c r="O148" s="11" t="s">
        <v>450</v>
      </c>
      <c r="P148" s="10" t="s">
        <v>71</v>
      </c>
      <c r="Q148" s="11" t="s">
        <v>72</v>
      </c>
      <c r="R148" s="11" t="s">
        <v>73</v>
      </c>
      <c r="S148" s="11" t="s">
        <v>74</v>
      </c>
      <c r="T148" s="11" t="s">
        <v>561</v>
      </c>
      <c r="U148" s="10" t="n">
        <f aca="false">IF(AND($D148="",$E148="",$F148=""),1,0)</f>
        <v>0</v>
      </c>
      <c r="V148" s="10" t="n">
        <f aca="false">IF(OR($I148="",$I148="—"),1,0)</f>
        <v>0</v>
      </c>
      <c r="W148" s="10" t="n">
        <f aca="false">IF(AND(ISNUMBER($D148),ISNUMBER($E148)),IF($E148&gt;$D148,1,0),0)+IF(AND(ISNUMBER($D148),ISNUMBER($F148)),IF($D148&gt;$F148,1,0),0)+IF(AND(ISNUMBER($E148),ISNUMBER($F148)),IF($E148&gt;$F148,1,0),0)</f>
        <v>0</v>
      </c>
      <c r="X148" s="13" t="s">
        <v>76</v>
      </c>
    </row>
    <row r="149" customFormat="false" ht="15" hidden="false" customHeight="false" outlineLevel="0" collapsed="false">
      <c r="A149" s="10" t="s">
        <v>562</v>
      </c>
      <c r="B149" s="10" t="s">
        <v>563</v>
      </c>
      <c r="C149" s="11" t="s">
        <v>564</v>
      </c>
      <c r="D149" s="12" t="n">
        <v>47.1817</v>
      </c>
      <c r="E149" s="12"/>
      <c r="F149" s="12"/>
      <c r="G149" s="10" t="s">
        <v>63</v>
      </c>
      <c r="H149" s="10" t="s">
        <v>446</v>
      </c>
      <c r="I149" s="11" t="s">
        <v>447</v>
      </c>
      <c r="J149" s="10" t="s">
        <v>448</v>
      </c>
      <c r="K149" s="10" t="s">
        <v>449</v>
      </c>
      <c r="L149" s="10" t="s">
        <v>68</v>
      </c>
      <c r="M149" s="10" t="s">
        <v>69</v>
      </c>
      <c r="N149" s="10"/>
      <c r="O149" s="11" t="s">
        <v>450</v>
      </c>
      <c r="P149" s="10" t="s">
        <v>71</v>
      </c>
      <c r="Q149" s="11" t="s">
        <v>72</v>
      </c>
      <c r="R149" s="11" t="s">
        <v>73</v>
      </c>
      <c r="S149" s="11" t="s">
        <v>74</v>
      </c>
      <c r="T149" s="11" t="s">
        <v>565</v>
      </c>
      <c r="U149" s="10" t="n">
        <f aca="false">IF(AND($D149="",$E149="",$F149=""),1,0)</f>
        <v>0</v>
      </c>
      <c r="V149" s="10" t="n">
        <f aca="false">IF(OR($I149="",$I149="—"),1,0)</f>
        <v>0</v>
      </c>
      <c r="W149" s="10" t="n">
        <f aca="false">IF(AND(ISNUMBER($D149),ISNUMBER($E149)),IF($E149&gt;$D149,1,0),0)+IF(AND(ISNUMBER($D149),ISNUMBER($F149)),IF($D149&gt;$F149,1,0),0)+IF(AND(ISNUMBER($E149),ISNUMBER($F149)),IF($E149&gt;$F149,1,0),0)</f>
        <v>0</v>
      </c>
      <c r="X149" s="13" t="s">
        <v>76</v>
      </c>
    </row>
    <row r="150" customFormat="false" ht="15" hidden="false" customHeight="false" outlineLevel="0" collapsed="false">
      <c r="A150" s="10" t="s">
        <v>566</v>
      </c>
      <c r="B150" s="10" t="s">
        <v>567</v>
      </c>
      <c r="C150" s="11" t="s">
        <v>336</v>
      </c>
      <c r="D150" s="12" t="n">
        <v>31.8197</v>
      </c>
      <c r="E150" s="12"/>
      <c r="F150" s="12"/>
      <c r="G150" s="10" t="s">
        <v>63</v>
      </c>
      <c r="H150" s="10" t="s">
        <v>446</v>
      </c>
      <c r="I150" s="11" t="s">
        <v>447</v>
      </c>
      <c r="J150" s="10" t="s">
        <v>448</v>
      </c>
      <c r="K150" s="10" t="s">
        <v>449</v>
      </c>
      <c r="L150" s="10" t="s">
        <v>68</v>
      </c>
      <c r="M150" s="10" t="s">
        <v>69</v>
      </c>
      <c r="N150" s="10"/>
      <c r="O150" s="11" t="s">
        <v>450</v>
      </c>
      <c r="P150" s="10" t="s">
        <v>71</v>
      </c>
      <c r="Q150" s="11" t="s">
        <v>72</v>
      </c>
      <c r="R150" s="11" t="s">
        <v>73</v>
      </c>
      <c r="S150" s="11" t="s">
        <v>74</v>
      </c>
      <c r="T150" s="11" t="s">
        <v>568</v>
      </c>
      <c r="U150" s="10" t="n">
        <f aca="false">IF(AND($D150="",$E150="",$F150=""),1,0)</f>
        <v>0</v>
      </c>
      <c r="V150" s="10" t="n">
        <f aca="false">IF(OR($I150="",$I150="—"),1,0)</f>
        <v>0</v>
      </c>
      <c r="W150" s="10" t="n">
        <f aca="false">IF(AND(ISNUMBER($D150),ISNUMBER($E150)),IF($E150&gt;$D150,1,0),0)+IF(AND(ISNUMBER($D150),ISNUMBER($F150)),IF($D150&gt;$F150,1,0),0)+IF(AND(ISNUMBER($E150),ISNUMBER($F150)),IF($E150&gt;$F150,1,0),0)</f>
        <v>0</v>
      </c>
      <c r="X150" s="13" t="s">
        <v>76</v>
      </c>
    </row>
    <row r="151" customFormat="false" ht="15" hidden="false" customHeight="false" outlineLevel="0" collapsed="false">
      <c r="A151" s="10" t="s">
        <v>569</v>
      </c>
      <c r="B151" s="10" t="s">
        <v>570</v>
      </c>
      <c r="C151" s="11" t="s">
        <v>571</v>
      </c>
      <c r="D151" s="12" t="n">
        <v>9.3736</v>
      </c>
      <c r="E151" s="12"/>
      <c r="F151" s="12"/>
      <c r="G151" s="10" t="s">
        <v>63</v>
      </c>
      <c r="H151" s="10" t="s">
        <v>446</v>
      </c>
      <c r="I151" s="11" t="s">
        <v>447</v>
      </c>
      <c r="J151" s="10" t="s">
        <v>448</v>
      </c>
      <c r="K151" s="10" t="s">
        <v>449</v>
      </c>
      <c r="L151" s="10" t="s">
        <v>68</v>
      </c>
      <c r="M151" s="10" t="s">
        <v>69</v>
      </c>
      <c r="N151" s="10"/>
      <c r="O151" s="11" t="s">
        <v>450</v>
      </c>
      <c r="P151" s="10" t="s">
        <v>71</v>
      </c>
      <c r="Q151" s="11" t="s">
        <v>72</v>
      </c>
      <c r="R151" s="11" t="s">
        <v>73</v>
      </c>
      <c r="S151" s="11" t="s">
        <v>74</v>
      </c>
      <c r="T151" s="11" t="s">
        <v>572</v>
      </c>
      <c r="U151" s="10" t="n">
        <f aca="false">IF(AND($D151="",$E151="",$F151=""),1,0)</f>
        <v>0</v>
      </c>
      <c r="V151" s="10" t="n">
        <f aca="false">IF(OR($I151="",$I151="—"),1,0)</f>
        <v>0</v>
      </c>
      <c r="W151" s="10" t="n">
        <f aca="false">IF(AND(ISNUMBER($D151),ISNUMBER($E151)),IF($E151&gt;$D151,1,0),0)+IF(AND(ISNUMBER($D151),ISNUMBER($F151)),IF($D151&gt;$F151,1,0),0)+IF(AND(ISNUMBER($E151),ISNUMBER($F151)),IF($E151&gt;$F151,1,0),0)</f>
        <v>0</v>
      </c>
      <c r="X151" s="13" t="s">
        <v>76</v>
      </c>
    </row>
    <row r="152" customFormat="false" ht="15" hidden="false" customHeight="false" outlineLevel="0" collapsed="false">
      <c r="A152" s="10" t="s">
        <v>573</v>
      </c>
      <c r="B152" s="10" t="s">
        <v>574</v>
      </c>
      <c r="C152" s="11" t="s">
        <v>571</v>
      </c>
      <c r="D152" s="12" t="n">
        <v>4.6886</v>
      </c>
      <c r="E152" s="12"/>
      <c r="F152" s="12"/>
      <c r="G152" s="10" t="s">
        <v>63</v>
      </c>
      <c r="H152" s="10" t="s">
        <v>83</v>
      </c>
      <c r="I152" s="11" t="s">
        <v>447</v>
      </c>
      <c r="J152" s="10" t="s">
        <v>448</v>
      </c>
      <c r="K152" s="10" t="s">
        <v>449</v>
      </c>
      <c r="L152" s="10" t="s">
        <v>68</v>
      </c>
      <c r="M152" s="10" t="s">
        <v>69</v>
      </c>
      <c r="N152" s="10"/>
      <c r="O152" s="11" t="s">
        <v>450</v>
      </c>
      <c r="P152" s="10" t="s">
        <v>71</v>
      </c>
      <c r="Q152" s="11" t="s">
        <v>72</v>
      </c>
      <c r="R152" s="11" t="s">
        <v>73</v>
      </c>
      <c r="S152" s="11" t="s">
        <v>74</v>
      </c>
      <c r="T152" s="11" t="s">
        <v>575</v>
      </c>
      <c r="U152" s="10" t="n">
        <f aca="false">IF(AND($D152="",$E152="",$F152=""),1,0)</f>
        <v>0</v>
      </c>
      <c r="V152" s="10" t="n">
        <f aca="false">IF(OR($I152="",$I152="—"),1,0)</f>
        <v>0</v>
      </c>
      <c r="W152" s="10" t="n">
        <f aca="false">IF(AND(ISNUMBER($D152),ISNUMBER($E152)),IF($E152&gt;$D152,1,0),0)+IF(AND(ISNUMBER($D152),ISNUMBER($F152)),IF($D152&gt;$F152,1,0),0)+IF(AND(ISNUMBER($E152),ISNUMBER($F152)),IF($E152&gt;$F152,1,0),0)</f>
        <v>0</v>
      </c>
      <c r="X152" s="13" t="s">
        <v>76</v>
      </c>
    </row>
    <row r="153" customFormat="false" ht="15" hidden="false" customHeight="false" outlineLevel="0" collapsed="false">
      <c r="A153" s="10" t="s">
        <v>576</v>
      </c>
      <c r="B153" s="10" t="s">
        <v>577</v>
      </c>
      <c r="C153" s="11" t="s">
        <v>578</v>
      </c>
      <c r="D153" s="12" t="n">
        <v>0.747</v>
      </c>
      <c r="E153" s="12"/>
      <c r="F153" s="12"/>
      <c r="G153" s="10" t="s">
        <v>63</v>
      </c>
      <c r="H153" s="10" t="s">
        <v>446</v>
      </c>
      <c r="I153" s="11" t="s">
        <v>447</v>
      </c>
      <c r="J153" s="10" t="s">
        <v>448</v>
      </c>
      <c r="K153" s="10" t="s">
        <v>449</v>
      </c>
      <c r="L153" s="10" t="s">
        <v>68</v>
      </c>
      <c r="M153" s="10" t="s">
        <v>69</v>
      </c>
      <c r="N153" s="10"/>
      <c r="O153" s="11" t="s">
        <v>450</v>
      </c>
      <c r="P153" s="10" t="s">
        <v>71</v>
      </c>
      <c r="Q153" s="11" t="s">
        <v>72</v>
      </c>
      <c r="R153" s="11" t="s">
        <v>73</v>
      </c>
      <c r="S153" s="11" t="s">
        <v>74</v>
      </c>
      <c r="T153" s="11" t="s">
        <v>579</v>
      </c>
      <c r="U153" s="10" t="n">
        <f aca="false">IF(AND($D153="",$E153="",$F153=""),1,0)</f>
        <v>0</v>
      </c>
      <c r="V153" s="10" t="n">
        <f aca="false">IF(OR($I153="",$I153="—"),1,0)</f>
        <v>0</v>
      </c>
      <c r="W153" s="10" t="n">
        <f aca="false">IF(AND(ISNUMBER($D153),ISNUMBER($E153)),IF($E153&gt;$D153,1,0),0)+IF(AND(ISNUMBER($D153),ISNUMBER($F153)),IF($D153&gt;$F153,1,0),0)+IF(AND(ISNUMBER($E153),ISNUMBER($F153)),IF($E153&gt;$F153,1,0),0)</f>
        <v>0</v>
      </c>
      <c r="X153" s="13" t="s">
        <v>76</v>
      </c>
    </row>
    <row r="154" customFormat="false" ht="15" hidden="false" customHeight="false" outlineLevel="0" collapsed="false">
      <c r="A154" s="10" t="s">
        <v>580</v>
      </c>
      <c r="B154" s="10" t="s">
        <v>581</v>
      </c>
      <c r="C154" s="11" t="s">
        <v>578</v>
      </c>
      <c r="D154" s="12" t="n">
        <v>4.623</v>
      </c>
      <c r="E154" s="12"/>
      <c r="F154" s="12"/>
      <c r="G154" s="10" t="s">
        <v>63</v>
      </c>
      <c r="H154" s="10" t="s">
        <v>83</v>
      </c>
      <c r="I154" s="11" t="s">
        <v>447</v>
      </c>
      <c r="J154" s="10" t="s">
        <v>448</v>
      </c>
      <c r="K154" s="10" t="s">
        <v>449</v>
      </c>
      <c r="L154" s="10" t="s">
        <v>68</v>
      </c>
      <c r="M154" s="10" t="s">
        <v>69</v>
      </c>
      <c r="N154" s="10"/>
      <c r="O154" s="11" t="s">
        <v>450</v>
      </c>
      <c r="P154" s="10" t="s">
        <v>71</v>
      </c>
      <c r="Q154" s="11" t="s">
        <v>72</v>
      </c>
      <c r="R154" s="11" t="s">
        <v>73</v>
      </c>
      <c r="S154" s="11" t="s">
        <v>74</v>
      </c>
      <c r="T154" s="11" t="s">
        <v>582</v>
      </c>
      <c r="U154" s="10" t="n">
        <f aca="false">IF(AND($D154="",$E154="",$F154=""),1,0)</f>
        <v>0</v>
      </c>
      <c r="V154" s="10" t="n">
        <f aca="false">IF(OR($I154="",$I154="—"),1,0)</f>
        <v>0</v>
      </c>
      <c r="W154" s="10" t="n">
        <f aca="false">IF(AND(ISNUMBER($D154),ISNUMBER($E154)),IF($E154&gt;$D154,1,0),0)+IF(AND(ISNUMBER($D154),ISNUMBER($F154)),IF($D154&gt;$F154,1,0),0)+IF(AND(ISNUMBER($E154),ISNUMBER($F154)),IF($E154&gt;$F154,1,0),0)</f>
        <v>0</v>
      </c>
      <c r="X154" s="13" t="s">
        <v>76</v>
      </c>
    </row>
    <row r="155" customFormat="false" ht="15" hidden="false" customHeight="false" outlineLevel="0" collapsed="false">
      <c r="A155" s="10" t="s">
        <v>583</v>
      </c>
      <c r="B155" s="10" t="s">
        <v>584</v>
      </c>
      <c r="C155" s="11" t="s">
        <v>585</v>
      </c>
      <c r="D155" s="12" t="n">
        <v>22.5915</v>
      </c>
      <c r="E155" s="12"/>
      <c r="F155" s="12"/>
      <c r="G155" s="10" t="s">
        <v>63</v>
      </c>
      <c r="H155" s="10" t="s">
        <v>446</v>
      </c>
      <c r="I155" s="11" t="s">
        <v>447</v>
      </c>
      <c r="J155" s="10" t="s">
        <v>448</v>
      </c>
      <c r="K155" s="10" t="s">
        <v>449</v>
      </c>
      <c r="L155" s="10" t="s">
        <v>68</v>
      </c>
      <c r="M155" s="10" t="s">
        <v>69</v>
      </c>
      <c r="N155" s="10"/>
      <c r="O155" s="11" t="s">
        <v>450</v>
      </c>
      <c r="P155" s="10" t="s">
        <v>71</v>
      </c>
      <c r="Q155" s="11" t="s">
        <v>72</v>
      </c>
      <c r="R155" s="11" t="s">
        <v>73</v>
      </c>
      <c r="S155" s="11" t="s">
        <v>74</v>
      </c>
      <c r="T155" s="11" t="s">
        <v>586</v>
      </c>
      <c r="U155" s="10" t="n">
        <f aca="false">IF(AND($D155="",$E155="",$F155=""),1,0)</f>
        <v>0</v>
      </c>
      <c r="V155" s="10" t="n">
        <f aca="false">IF(OR($I155="",$I155="—"),1,0)</f>
        <v>0</v>
      </c>
      <c r="W155" s="10" t="n">
        <f aca="false">IF(AND(ISNUMBER($D155),ISNUMBER($E155)),IF($E155&gt;$D155,1,0),0)+IF(AND(ISNUMBER($D155),ISNUMBER($F155)),IF($D155&gt;$F155,1,0),0)+IF(AND(ISNUMBER($E155),ISNUMBER($F155)),IF($E155&gt;$F155,1,0),0)</f>
        <v>0</v>
      </c>
      <c r="X155" s="13" t="s">
        <v>76</v>
      </c>
    </row>
    <row r="156" customFormat="false" ht="15" hidden="false" customHeight="false" outlineLevel="0" collapsed="false">
      <c r="A156" s="10" t="s">
        <v>587</v>
      </c>
      <c r="B156" s="10" t="s">
        <v>588</v>
      </c>
      <c r="C156" s="11" t="s">
        <v>585</v>
      </c>
      <c r="D156" s="12" t="n">
        <v>22.6922</v>
      </c>
      <c r="E156" s="12"/>
      <c r="F156" s="12"/>
      <c r="G156" s="10" t="s">
        <v>63</v>
      </c>
      <c r="H156" s="10" t="s">
        <v>83</v>
      </c>
      <c r="I156" s="11" t="s">
        <v>447</v>
      </c>
      <c r="J156" s="10" t="s">
        <v>448</v>
      </c>
      <c r="K156" s="10" t="s">
        <v>449</v>
      </c>
      <c r="L156" s="10" t="s">
        <v>68</v>
      </c>
      <c r="M156" s="10" t="s">
        <v>69</v>
      </c>
      <c r="N156" s="10"/>
      <c r="O156" s="11" t="s">
        <v>450</v>
      </c>
      <c r="P156" s="10" t="s">
        <v>71</v>
      </c>
      <c r="Q156" s="11" t="s">
        <v>72</v>
      </c>
      <c r="R156" s="11" t="s">
        <v>73</v>
      </c>
      <c r="S156" s="11" t="s">
        <v>74</v>
      </c>
      <c r="T156" s="11" t="s">
        <v>589</v>
      </c>
      <c r="U156" s="10" t="n">
        <f aca="false">IF(AND($D156="",$E156="",$F156=""),1,0)</f>
        <v>0</v>
      </c>
      <c r="V156" s="10" t="n">
        <f aca="false">IF(OR($I156="",$I156="—"),1,0)</f>
        <v>0</v>
      </c>
      <c r="W156" s="10" t="n">
        <f aca="false">IF(AND(ISNUMBER($D156),ISNUMBER($E156)),IF($E156&gt;$D156,1,0),0)+IF(AND(ISNUMBER($D156),ISNUMBER($F156)),IF($D156&gt;$F156,1,0),0)+IF(AND(ISNUMBER($E156),ISNUMBER($F156)),IF($E156&gt;$F156,1,0),0)</f>
        <v>0</v>
      </c>
      <c r="X156" s="13" t="s">
        <v>76</v>
      </c>
    </row>
    <row r="157" customFormat="false" ht="15" hidden="false" customHeight="false" outlineLevel="0" collapsed="false">
      <c r="A157" s="10" t="s">
        <v>590</v>
      </c>
      <c r="B157" s="10" t="s">
        <v>591</v>
      </c>
      <c r="C157" s="11" t="s">
        <v>592</v>
      </c>
      <c r="D157" s="12" t="n">
        <v>1.0859</v>
      </c>
      <c r="E157" s="12"/>
      <c r="F157" s="12"/>
      <c r="G157" s="10" t="s">
        <v>63</v>
      </c>
      <c r="H157" s="10" t="s">
        <v>446</v>
      </c>
      <c r="I157" s="11" t="s">
        <v>447</v>
      </c>
      <c r="J157" s="10" t="s">
        <v>448</v>
      </c>
      <c r="K157" s="10" t="s">
        <v>449</v>
      </c>
      <c r="L157" s="10" t="s">
        <v>68</v>
      </c>
      <c r="M157" s="10" t="s">
        <v>69</v>
      </c>
      <c r="N157" s="10"/>
      <c r="O157" s="11" t="s">
        <v>450</v>
      </c>
      <c r="P157" s="10" t="s">
        <v>71</v>
      </c>
      <c r="Q157" s="11" t="s">
        <v>72</v>
      </c>
      <c r="R157" s="11" t="s">
        <v>73</v>
      </c>
      <c r="S157" s="11" t="s">
        <v>74</v>
      </c>
      <c r="T157" s="10" t="s">
        <v>593</v>
      </c>
      <c r="U157" s="10" t="n">
        <f aca="false">IF(AND($D157="",$E157="",$F157=""),1,0)</f>
        <v>0</v>
      </c>
      <c r="V157" s="10" t="n">
        <f aca="false">IF(OR($I157="",$I157="—"),1,0)</f>
        <v>0</v>
      </c>
      <c r="W157" s="10" t="n">
        <f aca="false">IF(AND(ISNUMBER($D157),ISNUMBER($E157)),IF($E157&gt;$D157,1,0),0)+IF(AND(ISNUMBER($D157),ISNUMBER($F157)),IF($D157&gt;$F157,1,0),0)+IF(AND(ISNUMBER($E157),ISNUMBER($F157)),IF($E157&gt;$F157,1,0),0)</f>
        <v>0</v>
      </c>
      <c r="X157" s="13" t="s">
        <v>76</v>
      </c>
    </row>
    <row r="158" customFormat="false" ht="15" hidden="false" customHeight="false" outlineLevel="0" collapsed="false">
      <c r="A158" s="10" t="s">
        <v>594</v>
      </c>
      <c r="B158" s="10" t="s">
        <v>595</v>
      </c>
      <c r="C158" s="11" t="s">
        <v>596</v>
      </c>
      <c r="D158" s="12" t="n">
        <v>1.0534</v>
      </c>
      <c r="E158" s="12"/>
      <c r="F158" s="12"/>
      <c r="G158" s="10" t="s">
        <v>63</v>
      </c>
      <c r="H158" s="10" t="s">
        <v>83</v>
      </c>
      <c r="I158" s="11" t="s">
        <v>447</v>
      </c>
      <c r="J158" s="10" t="s">
        <v>448</v>
      </c>
      <c r="K158" s="10" t="s">
        <v>449</v>
      </c>
      <c r="L158" s="10" t="s">
        <v>68</v>
      </c>
      <c r="M158" s="10" t="s">
        <v>69</v>
      </c>
      <c r="N158" s="10"/>
      <c r="O158" s="11" t="s">
        <v>450</v>
      </c>
      <c r="P158" s="10" t="s">
        <v>71</v>
      </c>
      <c r="Q158" s="11" t="s">
        <v>72</v>
      </c>
      <c r="R158" s="11" t="s">
        <v>73</v>
      </c>
      <c r="S158" s="11" t="s">
        <v>74</v>
      </c>
      <c r="T158" s="10" t="s">
        <v>597</v>
      </c>
      <c r="U158" s="10" t="n">
        <f aca="false">IF(AND($D158="",$E158="",$F158=""),1,0)</f>
        <v>0</v>
      </c>
      <c r="V158" s="10" t="n">
        <f aca="false">IF(OR($I158="",$I158="—"),1,0)</f>
        <v>0</v>
      </c>
      <c r="W158" s="10" t="n">
        <f aca="false">IF(AND(ISNUMBER($D158),ISNUMBER($E158)),IF($E158&gt;$D158,1,0),0)+IF(AND(ISNUMBER($D158),ISNUMBER($F158)),IF($D158&gt;$F158,1,0),0)+IF(AND(ISNUMBER($E158),ISNUMBER($F158)),IF($E158&gt;$F158,1,0),0)</f>
        <v>0</v>
      </c>
      <c r="X158" s="13" t="s">
        <v>76</v>
      </c>
    </row>
    <row r="159" customFormat="false" ht="15" hidden="false" customHeight="false" outlineLevel="0" collapsed="false">
      <c r="A159" s="10" t="s">
        <v>598</v>
      </c>
      <c r="B159" s="10" t="s">
        <v>599</v>
      </c>
      <c r="C159" s="11" t="s">
        <v>600</v>
      </c>
      <c r="D159" s="12" t="n">
        <v>6.8945</v>
      </c>
      <c r="E159" s="12"/>
      <c r="F159" s="12"/>
      <c r="G159" s="10" t="s">
        <v>63</v>
      </c>
      <c r="H159" s="10" t="s">
        <v>446</v>
      </c>
      <c r="I159" s="11" t="s">
        <v>447</v>
      </c>
      <c r="J159" s="10" t="s">
        <v>448</v>
      </c>
      <c r="K159" s="10" t="s">
        <v>449</v>
      </c>
      <c r="L159" s="10" t="s">
        <v>68</v>
      </c>
      <c r="M159" s="10" t="s">
        <v>69</v>
      </c>
      <c r="N159" s="10"/>
      <c r="O159" s="11" t="s">
        <v>450</v>
      </c>
      <c r="P159" s="10" t="s">
        <v>71</v>
      </c>
      <c r="Q159" s="11" t="s">
        <v>72</v>
      </c>
      <c r="R159" s="11" t="s">
        <v>73</v>
      </c>
      <c r="S159" s="11" t="s">
        <v>74</v>
      </c>
      <c r="T159" s="11" t="s">
        <v>601</v>
      </c>
      <c r="U159" s="10" t="n">
        <f aca="false">IF(AND($D159="",$E159="",$F159=""),1,0)</f>
        <v>0</v>
      </c>
      <c r="V159" s="10" t="n">
        <f aca="false">IF(OR($I159="",$I159="—"),1,0)</f>
        <v>0</v>
      </c>
      <c r="W159" s="10" t="n">
        <f aca="false">IF(AND(ISNUMBER($D159),ISNUMBER($E159)),IF($E159&gt;$D159,1,0),0)+IF(AND(ISNUMBER($D159),ISNUMBER($F159)),IF($D159&gt;$F159,1,0),0)+IF(AND(ISNUMBER($E159),ISNUMBER($F159)),IF($E159&gt;$F159,1,0),0)</f>
        <v>0</v>
      </c>
      <c r="X159" s="13" t="s">
        <v>76</v>
      </c>
    </row>
    <row r="160" customFormat="false" ht="15" hidden="false" customHeight="false" outlineLevel="0" collapsed="false">
      <c r="A160" s="10" t="s">
        <v>602</v>
      </c>
      <c r="B160" s="10" t="s">
        <v>603</v>
      </c>
      <c r="C160" s="11" t="s">
        <v>600</v>
      </c>
      <c r="D160" s="12" t="n">
        <v>1.3725</v>
      </c>
      <c r="E160" s="12"/>
      <c r="F160" s="12"/>
      <c r="G160" s="10" t="s">
        <v>63</v>
      </c>
      <c r="H160" s="10" t="s">
        <v>83</v>
      </c>
      <c r="I160" s="11" t="s">
        <v>447</v>
      </c>
      <c r="J160" s="10" t="s">
        <v>448</v>
      </c>
      <c r="K160" s="10" t="s">
        <v>449</v>
      </c>
      <c r="L160" s="10" t="s">
        <v>68</v>
      </c>
      <c r="M160" s="10" t="s">
        <v>69</v>
      </c>
      <c r="N160" s="10"/>
      <c r="O160" s="11" t="s">
        <v>450</v>
      </c>
      <c r="P160" s="10" t="s">
        <v>71</v>
      </c>
      <c r="Q160" s="11" t="s">
        <v>72</v>
      </c>
      <c r="R160" s="11" t="s">
        <v>73</v>
      </c>
      <c r="S160" s="11" t="s">
        <v>74</v>
      </c>
      <c r="T160" s="11" t="s">
        <v>604</v>
      </c>
      <c r="U160" s="10" t="n">
        <f aca="false">IF(AND($D160="",$E160="",$F160=""),1,0)</f>
        <v>0</v>
      </c>
      <c r="V160" s="10" t="n">
        <f aca="false">IF(OR($I160="",$I160="—"),1,0)</f>
        <v>0</v>
      </c>
      <c r="W160" s="10" t="n">
        <f aca="false">IF(AND(ISNUMBER($D160),ISNUMBER($E160)),IF($E160&gt;$D160,1,0),0)+IF(AND(ISNUMBER($D160),ISNUMBER($F160)),IF($D160&gt;$F160,1,0),0)+IF(AND(ISNUMBER($E160),ISNUMBER($F160)),IF($E160&gt;$F160,1,0),0)</f>
        <v>0</v>
      </c>
      <c r="X160" s="13" t="s">
        <v>76</v>
      </c>
    </row>
    <row r="161" customFormat="false" ht="15" hidden="false" customHeight="false" outlineLevel="0" collapsed="false">
      <c r="A161" s="10" t="s">
        <v>605</v>
      </c>
      <c r="B161" s="10" t="s">
        <v>606</v>
      </c>
      <c r="C161" s="11" t="s">
        <v>607</v>
      </c>
      <c r="D161" s="12" t="n">
        <v>5.4514</v>
      </c>
      <c r="E161" s="12"/>
      <c r="F161" s="12"/>
      <c r="G161" s="10" t="s">
        <v>63</v>
      </c>
      <c r="H161" s="10" t="s">
        <v>446</v>
      </c>
      <c r="I161" s="11" t="s">
        <v>447</v>
      </c>
      <c r="J161" s="10" t="s">
        <v>448</v>
      </c>
      <c r="K161" s="10" t="s">
        <v>449</v>
      </c>
      <c r="L161" s="10" t="s">
        <v>68</v>
      </c>
      <c r="M161" s="10" t="s">
        <v>69</v>
      </c>
      <c r="N161" s="10"/>
      <c r="O161" s="11" t="s">
        <v>450</v>
      </c>
      <c r="P161" s="10" t="s">
        <v>71</v>
      </c>
      <c r="Q161" s="11" t="s">
        <v>72</v>
      </c>
      <c r="R161" s="11" t="s">
        <v>73</v>
      </c>
      <c r="S161" s="11" t="s">
        <v>74</v>
      </c>
      <c r="T161" s="11" t="s">
        <v>608</v>
      </c>
      <c r="U161" s="10" t="n">
        <f aca="false">IF(AND($D161="",$E161="",$F161=""),1,0)</f>
        <v>0</v>
      </c>
      <c r="V161" s="10" t="n">
        <f aca="false">IF(OR($I161="",$I161="—"),1,0)</f>
        <v>0</v>
      </c>
      <c r="W161" s="10" t="n">
        <f aca="false">IF(AND(ISNUMBER($D161),ISNUMBER($E161)),IF($E161&gt;$D161,1,0),0)+IF(AND(ISNUMBER($D161),ISNUMBER($F161)),IF($D161&gt;$F161,1,0),0)+IF(AND(ISNUMBER($E161),ISNUMBER($F161)),IF($E161&gt;$F161,1,0),0)</f>
        <v>0</v>
      </c>
      <c r="X161" s="13" t="s">
        <v>76</v>
      </c>
    </row>
    <row r="162" customFormat="false" ht="15" hidden="false" customHeight="false" outlineLevel="0" collapsed="false">
      <c r="A162" s="10" t="s">
        <v>609</v>
      </c>
      <c r="B162" s="10" t="s">
        <v>610</v>
      </c>
      <c r="C162" s="11" t="s">
        <v>607</v>
      </c>
      <c r="D162" s="12" t="n">
        <v>6.7127</v>
      </c>
      <c r="E162" s="12"/>
      <c r="F162" s="12"/>
      <c r="G162" s="10" t="s">
        <v>63</v>
      </c>
      <c r="H162" s="10" t="s">
        <v>83</v>
      </c>
      <c r="I162" s="11" t="s">
        <v>447</v>
      </c>
      <c r="J162" s="10" t="s">
        <v>448</v>
      </c>
      <c r="K162" s="10" t="s">
        <v>449</v>
      </c>
      <c r="L162" s="10" t="s">
        <v>68</v>
      </c>
      <c r="M162" s="10" t="s">
        <v>69</v>
      </c>
      <c r="N162" s="10"/>
      <c r="O162" s="11" t="s">
        <v>450</v>
      </c>
      <c r="P162" s="10" t="s">
        <v>71</v>
      </c>
      <c r="Q162" s="11" t="s">
        <v>72</v>
      </c>
      <c r="R162" s="11" t="s">
        <v>73</v>
      </c>
      <c r="S162" s="11" t="s">
        <v>74</v>
      </c>
      <c r="T162" s="11" t="s">
        <v>611</v>
      </c>
      <c r="U162" s="10" t="n">
        <f aca="false">IF(AND($D162="",$E162="",$F162=""),1,0)</f>
        <v>0</v>
      </c>
      <c r="V162" s="10" t="n">
        <f aca="false">IF(OR($I162="",$I162="—"),1,0)</f>
        <v>0</v>
      </c>
      <c r="W162" s="10" t="n">
        <f aca="false">IF(AND(ISNUMBER($D162),ISNUMBER($E162)),IF($E162&gt;$D162,1,0),0)+IF(AND(ISNUMBER($D162),ISNUMBER($F162)),IF($D162&gt;$F162,1,0),0)+IF(AND(ISNUMBER($E162),ISNUMBER($F162)),IF($E162&gt;$F162,1,0),0)</f>
        <v>0</v>
      </c>
      <c r="X162" s="13" t="s">
        <v>76</v>
      </c>
    </row>
    <row r="163" customFormat="false" ht="15" hidden="false" customHeight="false" outlineLevel="0" collapsed="false">
      <c r="A163" s="10" t="s">
        <v>612</v>
      </c>
      <c r="B163" s="10" t="s">
        <v>613</v>
      </c>
      <c r="C163" s="11" t="s">
        <v>614</v>
      </c>
      <c r="D163" s="12" t="n">
        <v>1.3216</v>
      </c>
      <c r="E163" s="12"/>
      <c r="F163" s="12"/>
      <c r="G163" s="10" t="s">
        <v>63</v>
      </c>
      <c r="H163" s="10" t="s">
        <v>83</v>
      </c>
      <c r="I163" s="11" t="s">
        <v>447</v>
      </c>
      <c r="J163" s="10" t="s">
        <v>448</v>
      </c>
      <c r="K163" s="10" t="s">
        <v>449</v>
      </c>
      <c r="L163" s="10" t="s">
        <v>68</v>
      </c>
      <c r="M163" s="10" t="s">
        <v>69</v>
      </c>
      <c r="N163" s="10"/>
      <c r="O163" s="11" t="s">
        <v>450</v>
      </c>
      <c r="P163" s="10" t="s">
        <v>71</v>
      </c>
      <c r="Q163" s="11" t="s">
        <v>72</v>
      </c>
      <c r="R163" s="11" t="s">
        <v>73</v>
      </c>
      <c r="S163" s="11" t="s">
        <v>74</v>
      </c>
      <c r="T163" s="11" t="s">
        <v>615</v>
      </c>
      <c r="U163" s="10" t="n">
        <f aca="false">IF(AND($D163="",$E163="",$F163=""),1,0)</f>
        <v>0</v>
      </c>
      <c r="V163" s="10" t="n">
        <f aca="false">IF(OR($I163="",$I163="—"),1,0)</f>
        <v>0</v>
      </c>
      <c r="W163" s="10" t="n">
        <f aca="false">IF(AND(ISNUMBER($D163),ISNUMBER($E163)),IF($E163&gt;$D163,1,0),0)+IF(AND(ISNUMBER($D163),ISNUMBER($F163)),IF($D163&gt;$F163,1,0),0)+IF(AND(ISNUMBER($E163),ISNUMBER($F163)),IF($E163&gt;$F163,1,0),0)</f>
        <v>0</v>
      </c>
      <c r="X163" s="13" t="s">
        <v>76</v>
      </c>
    </row>
    <row r="164" customFormat="false" ht="15" hidden="false" customHeight="false" outlineLevel="0" collapsed="false">
      <c r="A164" s="10" t="s">
        <v>616</v>
      </c>
      <c r="B164" s="10" t="s">
        <v>617</v>
      </c>
      <c r="C164" s="11" t="s">
        <v>618</v>
      </c>
      <c r="D164" s="12" t="n">
        <v>7.2735</v>
      </c>
      <c r="E164" s="12"/>
      <c r="F164" s="12"/>
      <c r="G164" s="10" t="s">
        <v>63</v>
      </c>
      <c r="H164" s="10" t="s">
        <v>446</v>
      </c>
      <c r="I164" s="11" t="s">
        <v>447</v>
      </c>
      <c r="J164" s="10" t="s">
        <v>448</v>
      </c>
      <c r="K164" s="10" t="s">
        <v>449</v>
      </c>
      <c r="L164" s="10" t="s">
        <v>68</v>
      </c>
      <c r="M164" s="10" t="s">
        <v>69</v>
      </c>
      <c r="N164" s="10"/>
      <c r="O164" s="11" t="s">
        <v>450</v>
      </c>
      <c r="P164" s="10" t="s">
        <v>71</v>
      </c>
      <c r="Q164" s="11" t="s">
        <v>72</v>
      </c>
      <c r="R164" s="11" t="s">
        <v>73</v>
      </c>
      <c r="S164" s="11" t="s">
        <v>74</v>
      </c>
      <c r="T164" s="11" t="s">
        <v>619</v>
      </c>
      <c r="U164" s="10" t="n">
        <f aca="false">IF(AND($D164="",$E164="",$F164=""),1,0)</f>
        <v>0</v>
      </c>
      <c r="V164" s="10" t="n">
        <f aca="false">IF(OR($I164="",$I164="—"),1,0)</f>
        <v>0</v>
      </c>
      <c r="W164" s="10" t="n">
        <f aca="false">IF(AND(ISNUMBER($D164),ISNUMBER($E164)),IF($E164&gt;$D164,1,0),0)+IF(AND(ISNUMBER($D164),ISNUMBER($F164)),IF($D164&gt;$F164,1,0),0)+IF(AND(ISNUMBER($E164),ISNUMBER($F164)),IF($E164&gt;$F164,1,0),0)</f>
        <v>0</v>
      </c>
      <c r="X164" s="13" t="s">
        <v>76</v>
      </c>
    </row>
    <row r="165" customFormat="false" ht="15" hidden="false" customHeight="false" outlineLevel="0" collapsed="false">
      <c r="A165" s="10" t="s">
        <v>620</v>
      </c>
      <c r="B165" s="10" t="s">
        <v>621</v>
      </c>
      <c r="C165" s="11" t="s">
        <v>618</v>
      </c>
      <c r="D165" s="12" t="n">
        <v>2.6947</v>
      </c>
      <c r="E165" s="12"/>
      <c r="F165" s="12"/>
      <c r="G165" s="10" t="s">
        <v>63</v>
      </c>
      <c r="H165" s="10" t="s">
        <v>83</v>
      </c>
      <c r="I165" s="11" t="s">
        <v>447</v>
      </c>
      <c r="J165" s="10" t="s">
        <v>448</v>
      </c>
      <c r="K165" s="10" t="s">
        <v>449</v>
      </c>
      <c r="L165" s="10" t="s">
        <v>68</v>
      </c>
      <c r="M165" s="10" t="s">
        <v>69</v>
      </c>
      <c r="N165" s="10"/>
      <c r="O165" s="11" t="s">
        <v>450</v>
      </c>
      <c r="P165" s="10" t="s">
        <v>71</v>
      </c>
      <c r="Q165" s="11" t="s">
        <v>72</v>
      </c>
      <c r="R165" s="11" t="s">
        <v>73</v>
      </c>
      <c r="S165" s="11" t="s">
        <v>74</v>
      </c>
      <c r="T165" s="11" t="s">
        <v>622</v>
      </c>
      <c r="U165" s="10" t="n">
        <f aca="false">IF(AND($D165="",$E165="",$F165=""),1,0)</f>
        <v>0</v>
      </c>
      <c r="V165" s="10" t="n">
        <f aca="false">IF(OR($I165="",$I165="—"),1,0)</f>
        <v>0</v>
      </c>
      <c r="W165" s="10" t="n">
        <f aca="false">IF(AND(ISNUMBER($D165),ISNUMBER($E165)),IF($E165&gt;$D165,1,0),0)+IF(AND(ISNUMBER($D165),ISNUMBER($F165)),IF($D165&gt;$F165,1,0),0)+IF(AND(ISNUMBER($E165),ISNUMBER($F165)),IF($E165&gt;$F165,1,0),0)</f>
        <v>0</v>
      </c>
      <c r="X165" s="13" t="s">
        <v>76</v>
      </c>
    </row>
    <row r="166" customFormat="false" ht="15" hidden="false" customHeight="false" outlineLevel="0" collapsed="false">
      <c r="A166" s="10" t="s">
        <v>623</v>
      </c>
      <c r="B166" s="10" t="s">
        <v>624</v>
      </c>
      <c r="C166" s="11" t="s">
        <v>625</v>
      </c>
      <c r="D166" s="12" t="n">
        <v>1094</v>
      </c>
      <c r="E166" s="12"/>
      <c r="F166" s="12"/>
      <c r="G166" s="11" t="s">
        <v>439</v>
      </c>
      <c r="H166" s="10" t="s">
        <v>626</v>
      </c>
      <c r="I166" s="11" t="s">
        <v>447</v>
      </c>
      <c r="J166" s="10" t="s">
        <v>448</v>
      </c>
      <c r="K166" s="10" t="s">
        <v>449</v>
      </c>
      <c r="L166" s="10" t="s">
        <v>68</v>
      </c>
      <c r="M166" s="10" t="s">
        <v>69</v>
      </c>
      <c r="N166" s="10"/>
      <c r="O166" s="11" t="s">
        <v>450</v>
      </c>
      <c r="P166" s="10" t="s">
        <v>71</v>
      </c>
      <c r="Q166" s="11" t="s">
        <v>72</v>
      </c>
      <c r="R166" s="11" t="s">
        <v>73</v>
      </c>
      <c r="S166" s="11" t="s">
        <v>74</v>
      </c>
      <c r="T166" s="11" t="s">
        <v>627</v>
      </c>
      <c r="U166" s="10" t="n">
        <f aca="false">IF(AND($D166="",$E166="",$F166=""),1,0)</f>
        <v>0</v>
      </c>
      <c r="V166" s="10" t="n">
        <f aca="false">IF(OR($I166="",$I166="—"),1,0)</f>
        <v>0</v>
      </c>
      <c r="W166" s="10" t="n">
        <f aca="false">IF(AND(ISNUMBER($D166),ISNUMBER($E166)),IF($E166&gt;$D166,1,0),0)+IF(AND(ISNUMBER($D166),ISNUMBER($F166)),IF($D166&gt;$F166,1,0),0)+IF(AND(ISNUMBER($E166),ISNUMBER($F166)),IF($E166&gt;$F166,1,0),0)</f>
        <v>0</v>
      </c>
      <c r="X166" s="13" t="s">
        <v>76</v>
      </c>
    </row>
    <row r="167" customFormat="false" ht="15" hidden="false" customHeight="false" outlineLevel="0" collapsed="false">
      <c r="A167" s="10" t="s">
        <v>628</v>
      </c>
      <c r="B167" s="10" t="s">
        <v>629</v>
      </c>
      <c r="C167" s="11" t="s">
        <v>630</v>
      </c>
      <c r="D167" s="12" t="n">
        <v>13.634</v>
      </c>
      <c r="E167" s="12"/>
      <c r="F167" s="12"/>
      <c r="G167" s="10" t="s">
        <v>63</v>
      </c>
      <c r="H167" s="10" t="s">
        <v>446</v>
      </c>
      <c r="I167" s="11" t="s">
        <v>447</v>
      </c>
      <c r="J167" s="10" t="s">
        <v>448</v>
      </c>
      <c r="K167" s="10" t="s">
        <v>449</v>
      </c>
      <c r="L167" s="10" t="s">
        <v>68</v>
      </c>
      <c r="M167" s="10" t="s">
        <v>69</v>
      </c>
      <c r="N167" s="10"/>
      <c r="O167" s="11" t="s">
        <v>450</v>
      </c>
      <c r="P167" s="10" t="s">
        <v>71</v>
      </c>
      <c r="Q167" s="11" t="s">
        <v>72</v>
      </c>
      <c r="R167" s="11" t="s">
        <v>73</v>
      </c>
      <c r="S167" s="11" t="s">
        <v>74</v>
      </c>
      <c r="T167" s="11" t="s">
        <v>631</v>
      </c>
      <c r="U167" s="10" t="n">
        <f aca="false">IF(AND($D167="",$E167="",$F167=""),1,0)</f>
        <v>0</v>
      </c>
      <c r="V167" s="10" t="n">
        <f aca="false">IF(OR($I167="",$I167="—"),1,0)</f>
        <v>0</v>
      </c>
      <c r="W167" s="10" t="n">
        <f aca="false">IF(AND(ISNUMBER($D167),ISNUMBER($E167)),IF($E167&gt;$D167,1,0),0)+IF(AND(ISNUMBER($D167),ISNUMBER($F167)),IF($D167&gt;$F167,1,0),0)+IF(AND(ISNUMBER($E167),ISNUMBER($F167)),IF($E167&gt;$F167,1,0),0)</f>
        <v>0</v>
      </c>
      <c r="X167" s="13" t="s">
        <v>76</v>
      </c>
    </row>
    <row r="168" customFormat="false" ht="15" hidden="false" customHeight="false" outlineLevel="0" collapsed="false">
      <c r="A168" s="10" t="s">
        <v>632</v>
      </c>
      <c r="B168" s="10" t="s">
        <v>633</v>
      </c>
      <c r="C168" s="11" t="s">
        <v>634</v>
      </c>
      <c r="D168" s="12" t="n">
        <v>0.01246</v>
      </c>
      <c r="E168" s="12"/>
      <c r="F168" s="12"/>
      <c r="G168" s="10" t="s">
        <v>635</v>
      </c>
      <c r="H168" s="10" t="s">
        <v>446</v>
      </c>
      <c r="I168" s="11" t="s">
        <v>447</v>
      </c>
      <c r="J168" s="10" t="s">
        <v>448</v>
      </c>
      <c r="K168" s="10" t="s">
        <v>449</v>
      </c>
      <c r="L168" s="10" t="s">
        <v>68</v>
      </c>
      <c r="M168" s="10" t="s">
        <v>636</v>
      </c>
      <c r="N168" s="10"/>
      <c r="O168" s="10" t="s">
        <v>636</v>
      </c>
      <c r="P168" s="10" t="s">
        <v>637</v>
      </c>
      <c r="Q168" s="11" t="s">
        <v>638</v>
      </c>
      <c r="R168" s="11" t="s">
        <v>639</v>
      </c>
      <c r="S168" s="11" t="s">
        <v>74</v>
      </c>
      <c r="T168" s="10" t="s">
        <v>640</v>
      </c>
      <c r="U168" s="10" t="n">
        <f aca="false">IF(AND($D168="",$E168="",$F168=""),1,0)</f>
        <v>0</v>
      </c>
      <c r="V168" s="10" t="n">
        <f aca="false">IF(OR($I168="",$I168="—"),1,0)</f>
        <v>0</v>
      </c>
      <c r="W168" s="10" t="n">
        <f aca="false">IF(AND(ISNUMBER($D168),ISNUMBER($E168)),IF($E168&gt;$D168,1,0),0)+IF(AND(ISNUMBER($D168),ISNUMBER($F168)),IF($D168&gt;$F168,1,0),0)+IF(AND(ISNUMBER($E168),ISNUMBER($F168)),IF($E168&gt;$F168,1,0),0)</f>
        <v>0</v>
      </c>
      <c r="X168" s="13" t="s">
        <v>76</v>
      </c>
    </row>
    <row r="169" customFormat="false" ht="15" hidden="false" customHeight="false" outlineLevel="0" collapsed="false">
      <c r="A169" s="10" t="s">
        <v>641</v>
      </c>
      <c r="B169" s="10" t="s">
        <v>642</v>
      </c>
      <c r="C169" s="11" t="s">
        <v>643</v>
      </c>
      <c r="D169" s="12"/>
      <c r="E169" s="12"/>
      <c r="F169" s="12"/>
      <c r="G169" s="10"/>
      <c r="H169" s="10" t="s">
        <v>446</v>
      </c>
      <c r="I169" s="11" t="s">
        <v>447</v>
      </c>
      <c r="J169" s="10" t="s">
        <v>448</v>
      </c>
      <c r="K169" s="10" t="s">
        <v>449</v>
      </c>
      <c r="L169" s="10" t="s">
        <v>68</v>
      </c>
      <c r="M169" s="10" t="s">
        <v>69</v>
      </c>
      <c r="N169" s="10"/>
      <c r="O169" s="11" t="s">
        <v>450</v>
      </c>
      <c r="P169" s="10" t="s">
        <v>71</v>
      </c>
      <c r="Q169" s="11" t="s">
        <v>72</v>
      </c>
      <c r="R169" s="11" t="s">
        <v>73</v>
      </c>
      <c r="S169" s="11" t="s">
        <v>74</v>
      </c>
      <c r="T169" s="11" t="s">
        <v>644</v>
      </c>
      <c r="U169" s="10" t="n">
        <f aca="false">IF(AND($D169="",$E169="",$F169=""),1,0)</f>
        <v>1</v>
      </c>
      <c r="V169" s="10" t="n">
        <f aca="false">IF(OR($I169="",$I169="—"),1,0)</f>
        <v>0</v>
      </c>
      <c r="W169" s="10" t="n">
        <f aca="false">IF(AND(ISNUMBER($D169),ISNUMBER($E169)),IF($E169&gt;$D169,1,0),0)+IF(AND(ISNUMBER($D169),ISNUMBER($F169)),IF($D169&gt;$F169,1,0),0)+IF(AND(ISNUMBER($E169),ISNUMBER($F169)),IF($E169&gt;$F169,1,0),0)</f>
        <v>0</v>
      </c>
      <c r="X169" s="13" t="s">
        <v>76</v>
      </c>
    </row>
    <row r="170" customFormat="false" ht="15" hidden="false" customHeight="false" outlineLevel="0" collapsed="false">
      <c r="A170" s="10" t="s">
        <v>645</v>
      </c>
      <c r="B170" s="10" t="s">
        <v>646</v>
      </c>
      <c r="C170" s="10" t="s">
        <v>647</v>
      </c>
      <c r="D170" s="12" t="n">
        <v>83</v>
      </c>
      <c r="E170" s="12"/>
      <c r="F170" s="12"/>
      <c r="G170" s="10" t="s">
        <v>401</v>
      </c>
      <c r="H170" s="10" t="s">
        <v>648</v>
      </c>
      <c r="I170" s="11" t="s">
        <v>447</v>
      </c>
      <c r="J170" s="10" t="s">
        <v>448</v>
      </c>
      <c r="K170" s="10" t="s">
        <v>449</v>
      </c>
      <c r="L170" s="10" t="s">
        <v>68</v>
      </c>
      <c r="M170" s="10" t="s">
        <v>416</v>
      </c>
      <c r="N170" s="11" t="s">
        <v>649</v>
      </c>
      <c r="O170" s="11" t="s">
        <v>441</v>
      </c>
      <c r="P170" s="10" t="s">
        <v>71</v>
      </c>
      <c r="Q170" s="11" t="s">
        <v>72</v>
      </c>
      <c r="R170" s="11" t="s">
        <v>649</v>
      </c>
      <c r="S170" s="11" t="s">
        <v>74</v>
      </c>
      <c r="T170" s="11" t="s">
        <v>650</v>
      </c>
      <c r="U170" s="10" t="n">
        <f aca="false">IF(AND($D170="",$E170="",$F170=""),1,0)</f>
        <v>0</v>
      </c>
      <c r="V170" s="10" t="n">
        <f aca="false">IF(OR($I170="",$I170="—"),1,0)</f>
        <v>0</v>
      </c>
      <c r="W170" s="10" t="n">
        <f aca="false">IF(AND(ISNUMBER($D170),ISNUMBER($E170)),IF($E170&gt;$D170,1,0),0)+IF(AND(ISNUMBER($D170),ISNUMBER($F170)),IF($D170&gt;$F170,1,0),0)+IF(AND(ISNUMBER($E170),ISNUMBER($F170)),IF($E170&gt;$F170,1,0),0)</f>
        <v>0</v>
      </c>
      <c r="X170" s="13" t="s">
        <v>76</v>
      </c>
    </row>
    <row r="171" customFormat="false" ht="15" hidden="false" customHeight="false" outlineLevel="0" collapsed="false">
      <c r="A171" s="10" t="s">
        <v>651</v>
      </c>
      <c r="B171" s="10" t="s">
        <v>652</v>
      </c>
      <c r="C171" s="10" t="s">
        <v>653</v>
      </c>
      <c r="D171" s="12"/>
      <c r="E171" s="12"/>
      <c r="F171" s="12"/>
      <c r="G171" s="10"/>
      <c r="H171" s="10" t="s">
        <v>446</v>
      </c>
      <c r="I171" s="11" t="s">
        <v>447</v>
      </c>
      <c r="J171" s="10" t="s">
        <v>448</v>
      </c>
      <c r="K171" s="10" t="s">
        <v>449</v>
      </c>
      <c r="L171" s="10" t="s">
        <v>68</v>
      </c>
      <c r="M171" s="10" t="s">
        <v>636</v>
      </c>
      <c r="N171" s="10"/>
      <c r="O171" s="10" t="s">
        <v>636</v>
      </c>
      <c r="P171" s="10" t="s">
        <v>637</v>
      </c>
      <c r="Q171" s="11" t="s">
        <v>638</v>
      </c>
      <c r="R171" s="11" t="s">
        <v>639</v>
      </c>
      <c r="S171" s="11" t="s">
        <v>74</v>
      </c>
      <c r="T171" s="11" t="s">
        <v>654</v>
      </c>
      <c r="U171" s="10" t="n">
        <f aca="false">IF(AND($D171="",$E171="",$F171=""),1,0)</f>
        <v>1</v>
      </c>
      <c r="V171" s="10" t="n">
        <f aca="false">IF(OR($I171="",$I171="—"),1,0)</f>
        <v>0</v>
      </c>
      <c r="W171" s="10" t="n">
        <f aca="false">IF(AND(ISNUMBER($D171),ISNUMBER($E171)),IF($E171&gt;$D171,1,0),0)+IF(AND(ISNUMBER($D171),ISNUMBER($F171)),IF($D171&gt;$F171,1,0),0)+IF(AND(ISNUMBER($E171),ISNUMBER($F171)),IF($E171&gt;$F171,1,0),0)</f>
        <v>0</v>
      </c>
      <c r="X171" s="13" t="s">
        <v>76</v>
      </c>
    </row>
    <row r="172" customFormat="false" ht="15" hidden="false" customHeight="false" outlineLevel="0" collapsed="false">
      <c r="A172" s="10" t="s">
        <v>655</v>
      </c>
      <c r="B172" s="10" t="s">
        <v>656</v>
      </c>
      <c r="C172" s="10" t="s">
        <v>657</v>
      </c>
      <c r="D172" s="12" t="n">
        <v>242000</v>
      </c>
      <c r="E172" s="12" t="n">
        <v>242000</v>
      </c>
      <c r="F172" s="12"/>
      <c r="G172" s="11" t="s">
        <v>439</v>
      </c>
      <c r="H172" s="10" t="s">
        <v>446</v>
      </c>
      <c r="I172" s="11" t="s">
        <v>447</v>
      </c>
      <c r="J172" s="10" t="s">
        <v>448</v>
      </c>
      <c r="K172" s="10" t="s">
        <v>449</v>
      </c>
      <c r="L172" s="10" t="s">
        <v>68</v>
      </c>
      <c r="M172" s="10" t="s">
        <v>416</v>
      </c>
      <c r="N172" s="11" t="s">
        <v>649</v>
      </c>
      <c r="O172" s="11" t="s">
        <v>441</v>
      </c>
      <c r="P172" s="10" t="s">
        <v>71</v>
      </c>
      <c r="Q172" s="11" t="s">
        <v>72</v>
      </c>
      <c r="R172" s="11" t="s">
        <v>649</v>
      </c>
      <c r="S172" s="11" t="s">
        <v>74</v>
      </c>
      <c r="T172" s="11" t="s">
        <v>658</v>
      </c>
      <c r="U172" s="10" t="n">
        <f aca="false">IF(AND($D172="",$E172="",$F172=""),1,0)</f>
        <v>0</v>
      </c>
      <c r="V172" s="10" t="n">
        <f aca="false">IF(OR($I172="",$I172="—"),1,0)</f>
        <v>0</v>
      </c>
      <c r="W172" s="10" t="n">
        <f aca="false">IF(AND(ISNUMBER($D172),ISNUMBER($E172)),IF($E172&gt;$D172,1,0),0)+IF(AND(ISNUMBER($D172),ISNUMBER($F172)),IF($D172&gt;$F172,1,0),0)+IF(AND(ISNUMBER($E172),ISNUMBER($F172)),IF($E172&gt;$F172,1,0),0)</f>
        <v>0</v>
      </c>
      <c r="X172" s="13" t="s">
        <v>76</v>
      </c>
    </row>
    <row r="173" customFormat="false" ht="15" hidden="false" customHeight="false" outlineLevel="0" collapsed="false">
      <c r="A173" s="10" t="s">
        <v>659</v>
      </c>
      <c r="B173" s="10" t="s">
        <v>660</v>
      </c>
      <c r="C173" s="11" t="s">
        <v>661</v>
      </c>
      <c r="D173" s="12" t="n">
        <v>8.2518</v>
      </c>
      <c r="E173" s="12"/>
      <c r="F173" s="12"/>
      <c r="G173" s="10" t="s">
        <v>63</v>
      </c>
      <c r="H173" s="10" t="s">
        <v>662</v>
      </c>
      <c r="I173" s="11" t="s">
        <v>663</v>
      </c>
      <c r="J173" s="10" t="s">
        <v>664</v>
      </c>
      <c r="K173" s="10" t="s">
        <v>665</v>
      </c>
      <c r="L173" s="10" t="s">
        <v>68</v>
      </c>
      <c r="M173" s="10" t="s">
        <v>69</v>
      </c>
      <c r="N173" s="10"/>
      <c r="O173" s="11" t="s">
        <v>666</v>
      </c>
      <c r="P173" s="10" t="s">
        <v>71</v>
      </c>
      <c r="Q173" s="11" t="s">
        <v>72</v>
      </c>
      <c r="R173" s="11" t="s">
        <v>73</v>
      </c>
      <c r="S173" s="11" t="s">
        <v>74</v>
      </c>
      <c r="T173" s="11" t="s">
        <v>667</v>
      </c>
      <c r="U173" s="10" t="n">
        <f aca="false">IF(AND($D173="",$E173="",$F173=""),1,0)</f>
        <v>0</v>
      </c>
      <c r="V173" s="10" t="n">
        <f aca="false">IF(OR($I173="",$I173="—"),1,0)</f>
        <v>0</v>
      </c>
      <c r="W173" s="10" t="n">
        <f aca="false">IF(AND(ISNUMBER($D173),ISNUMBER($E173)),IF($E173&gt;$D173,1,0),0)+IF(AND(ISNUMBER($D173),ISNUMBER($F173)),IF($D173&gt;$F173,1,0),0)+IF(AND(ISNUMBER($E173),ISNUMBER($F173)),IF($E173&gt;$F173,1,0),0)</f>
        <v>0</v>
      </c>
      <c r="X173" s="13" t="s">
        <v>76</v>
      </c>
    </row>
    <row r="174" customFormat="false" ht="15" hidden="false" customHeight="false" outlineLevel="0" collapsed="false">
      <c r="A174" s="10" t="s">
        <v>668</v>
      </c>
      <c r="B174" s="10" t="s">
        <v>669</v>
      </c>
      <c r="C174" s="11" t="s">
        <v>661</v>
      </c>
      <c r="D174" s="12" t="n">
        <v>0.291</v>
      </c>
      <c r="E174" s="12"/>
      <c r="F174" s="12"/>
      <c r="G174" s="10" t="s">
        <v>63</v>
      </c>
      <c r="H174" s="10" t="s">
        <v>92</v>
      </c>
      <c r="I174" s="11" t="s">
        <v>663</v>
      </c>
      <c r="J174" s="10" t="s">
        <v>664</v>
      </c>
      <c r="K174" s="10" t="s">
        <v>665</v>
      </c>
      <c r="L174" s="10" t="s">
        <v>68</v>
      </c>
      <c r="M174" s="10" t="s">
        <v>69</v>
      </c>
      <c r="N174" s="10"/>
      <c r="O174" s="11" t="s">
        <v>666</v>
      </c>
      <c r="P174" s="10" t="s">
        <v>71</v>
      </c>
      <c r="Q174" s="11" t="s">
        <v>72</v>
      </c>
      <c r="R174" s="11" t="s">
        <v>73</v>
      </c>
      <c r="S174" s="11" t="s">
        <v>74</v>
      </c>
      <c r="T174" s="11" t="s">
        <v>670</v>
      </c>
      <c r="U174" s="10" t="n">
        <f aca="false">IF(AND($D174="",$E174="",$F174=""),1,0)</f>
        <v>0</v>
      </c>
      <c r="V174" s="10" t="n">
        <f aca="false">IF(OR($I174="",$I174="—"),1,0)</f>
        <v>0</v>
      </c>
      <c r="W174" s="10" t="n">
        <f aca="false">IF(AND(ISNUMBER($D174),ISNUMBER($E174)),IF($E174&gt;$D174,1,0),0)+IF(AND(ISNUMBER($D174),ISNUMBER($F174)),IF($D174&gt;$F174,1,0),0)+IF(AND(ISNUMBER($E174),ISNUMBER($F174)),IF($E174&gt;$F174,1,0),0)</f>
        <v>0</v>
      </c>
      <c r="X174" s="13" t="s">
        <v>76</v>
      </c>
    </row>
    <row r="175" customFormat="false" ht="15" hidden="false" customHeight="false" outlineLevel="0" collapsed="false">
      <c r="A175" s="10" t="s">
        <v>671</v>
      </c>
      <c r="B175" s="10" t="s">
        <v>672</v>
      </c>
      <c r="C175" s="11" t="s">
        <v>673</v>
      </c>
      <c r="D175" s="12" t="n">
        <v>0.5556</v>
      </c>
      <c r="E175" s="12"/>
      <c r="F175" s="12"/>
      <c r="G175" s="10" t="s">
        <v>63</v>
      </c>
      <c r="H175" s="10" t="s">
        <v>662</v>
      </c>
      <c r="I175" s="11" t="s">
        <v>663</v>
      </c>
      <c r="J175" s="10" t="s">
        <v>664</v>
      </c>
      <c r="K175" s="10" t="s">
        <v>665</v>
      </c>
      <c r="L175" s="10" t="s">
        <v>68</v>
      </c>
      <c r="M175" s="10" t="s">
        <v>69</v>
      </c>
      <c r="N175" s="10"/>
      <c r="O175" s="11" t="s">
        <v>666</v>
      </c>
      <c r="P175" s="10" t="s">
        <v>71</v>
      </c>
      <c r="Q175" s="11" t="s">
        <v>72</v>
      </c>
      <c r="R175" s="11" t="s">
        <v>73</v>
      </c>
      <c r="S175" s="11" t="s">
        <v>74</v>
      </c>
      <c r="T175" s="11" t="s">
        <v>674</v>
      </c>
      <c r="U175" s="10" t="n">
        <f aca="false">IF(AND($D175="",$E175="",$F175=""),1,0)</f>
        <v>0</v>
      </c>
      <c r="V175" s="10" t="n">
        <f aca="false">IF(OR($I175="",$I175="—"),1,0)</f>
        <v>0</v>
      </c>
      <c r="W175" s="10" t="n">
        <f aca="false">IF(AND(ISNUMBER($D175),ISNUMBER($E175)),IF($E175&gt;$D175,1,0),0)+IF(AND(ISNUMBER($D175),ISNUMBER($F175)),IF($D175&gt;$F175,1,0),0)+IF(AND(ISNUMBER($E175),ISNUMBER($F175)),IF($E175&gt;$F175,1,0),0)</f>
        <v>0</v>
      </c>
      <c r="X175" s="13" t="s">
        <v>76</v>
      </c>
    </row>
    <row r="176" customFormat="false" ht="15" hidden="false" customHeight="false" outlineLevel="0" collapsed="false">
      <c r="A176" s="10" t="s">
        <v>675</v>
      </c>
      <c r="B176" s="10" t="s">
        <v>676</v>
      </c>
      <c r="C176" s="11" t="s">
        <v>673</v>
      </c>
      <c r="D176" s="12" t="n">
        <v>0.1374</v>
      </c>
      <c r="E176" s="12"/>
      <c r="F176" s="12"/>
      <c r="G176" s="10" t="s">
        <v>63</v>
      </c>
      <c r="H176" s="10" t="s">
        <v>92</v>
      </c>
      <c r="I176" s="11" t="s">
        <v>663</v>
      </c>
      <c r="J176" s="10" t="s">
        <v>664</v>
      </c>
      <c r="K176" s="10" t="s">
        <v>665</v>
      </c>
      <c r="L176" s="10" t="s">
        <v>68</v>
      </c>
      <c r="M176" s="10" t="s">
        <v>69</v>
      </c>
      <c r="N176" s="10"/>
      <c r="O176" s="11" t="s">
        <v>666</v>
      </c>
      <c r="P176" s="10" t="s">
        <v>71</v>
      </c>
      <c r="Q176" s="11" t="s">
        <v>72</v>
      </c>
      <c r="R176" s="11" t="s">
        <v>73</v>
      </c>
      <c r="S176" s="11" t="s">
        <v>74</v>
      </c>
      <c r="T176" s="11" t="s">
        <v>677</v>
      </c>
      <c r="U176" s="10" t="n">
        <f aca="false">IF(AND($D176="",$E176="",$F176=""),1,0)</f>
        <v>0</v>
      </c>
      <c r="V176" s="10" t="n">
        <f aca="false">IF(OR($I176="",$I176="—"),1,0)</f>
        <v>0</v>
      </c>
      <c r="W176" s="10" t="n">
        <f aca="false">IF(AND(ISNUMBER($D176),ISNUMBER($E176)),IF($E176&gt;$D176,1,0),0)+IF(AND(ISNUMBER($D176),ISNUMBER($F176)),IF($D176&gt;$F176,1,0),0)+IF(AND(ISNUMBER($E176),ISNUMBER($F176)),IF($E176&gt;$F176,1,0),0)</f>
        <v>0</v>
      </c>
      <c r="X176" s="13" t="s">
        <v>76</v>
      </c>
    </row>
    <row r="177" customFormat="false" ht="15" hidden="false" customHeight="false" outlineLevel="0" collapsed="false">
      <c r="A177" s="10" t="s">
        <v>678</v>
      </c>
      <c r="B177" s="10" t="s">
        <v>679</v>
      </c>
      <c r="C177" s="11" t="s">
        <v>680</v>
      </c>
      <c r="D177" s="12" t="n">
        <v>0.6704</v>
      </c>
      <c r="E177" s="12"/>
      <c r="F177" s="12"/>
      <c r="G177" s="10" t="s">
        <v>63</v>
      </c>
      <c r="H177" s="10" t="s">
        <v>662</v>
      </c>
      <c r="I177" s="11" t="s">
        <v>663</v>
      </c>
      <c r="J177" s="10" t="s">
        <v>664</v>
      </c>
      <c r="K177" s="10" t="s">
        <v>665</v>
      </c>
      <c r="L177" s="10" t="s">
        <v>68</v>
      </c>
      <c r="M177" s="10" t="s">
        <v>69</v>
      </c>
      <c r="N177" s="10"/>
      <c r="O177" s="11" t="s">
        <v>666</v>
      </c>
      <c r="P177" s="10" t="s">
        <v>71</v>
      </c>
      <c r="Q177" s="11" t="s">
        <v>72</v>
      </c>
      <c r="R177" s="11" t="s">
        <v>73</v>
      </c>
      <c r="S177" s="11" t="s">
        <v>74</v>
      </c>
      <c r="T177" s="11" t="s">
        <v>681</v>
      </c>
      <c r="U177" s="10" t="n">
        <f aca="false">IF(AND($D177="",$E177="",$F177=""),1,0)</f>
        <v>0</v>
      </c>
      <c r="V177" s="10" t="n">
        <f aca="false">IF(OR($I177="",$I177="—"),1,0)</f>
        <v>0</v>
      </c>
      <c r="W177" s="10" t="n">
        <f aca="false">IF(AND(ISNUMBER($D177),ISNUMBER($E177)),IF($E177&gt;$D177,1,0),0)+IF(AND(ISNUMBER($D177),ISNUMBER($F177)),IF($D177&gt;$F177,1,0),0)+IF(AND(ISNUMBER($E177),ISNUMBER($F177)),IF($E177&gt;$F177,1,0),0)</f>
        <v>0</v>
      </c>
      <c r="X177" s="13" t="s">
        <v>76</v>
      </c>
    </row>
    <row r="178" customFormat="false" ht="15" hidden="false" customHeight="false" outlineLevel="0" collapsed="false">
      <c r="A178" s="10" t="s">
        <v>682</v>
      </c>
      <c r="B178" s="10" t="s">
        <v>683</v>
      </c>
      <c r="C178" s="11" t="s">
        <v>680</v>
      </c>
      <c r="D178" s="12" t="n">
        <v>1.4755</v>
      </c>
      <c r="E178" s="12"/>
      <c r="F178" s="12"/>
      <c r="G178" s="10" t="s">
        <v>63</v>
      </c>
      <c r="H178" s="10" t="s">
        <v>92</v>
      </c>
      <c r="I178" s="11" t="s">
        <v>663</v>
      </c>
      <c r="J178" s="10" t="s">
        <v>664</v>
      </c>
      <c r="K178" s="10" t="s">
        <v>665</v>
      </c>
      <c r="L178" s="10" t="s">
        <v>68</v>
      </c>
      <c r="M178" s="10" t="s">
        <v>69</v>
      </c>
      <c r="N178" s="10"/>
      <c r="O178" s="11" t="s">
        <v>666</v>
      </c>
      <c r="P178" s="10" t="s">
        <v>71</v>
      </c>
      <c r="Q178" s="11" t="s">
        <v>72</v>
      </c>
      <c r="R178" s="11" t="s">
        <v>73</v>
      </c>
      <c r="S178" s="11" t="s">
        <v>74</v>
      </c>
      <c r="T178" s="11" t="s">
        <v>684</v>
      </c>
      <c r="U178" s="10" t="n">
        <f aca="false">IF(AND($D178="",$E178="",$F178=""),1,0)</f>
        <v>0</v>
      </c>
      <c r="V178" s="10" t="n">
        <f aca="false">IF(OR($I178="",$I178="—"),1,0)</f>
        <v>0</v>
      </c>
      <c r="W178" s="10" t="n">
        <f aca="false">IF(AND(ISNUMBER($D178),ISNUMBER($E178)),IF($E178&gt;$D178,1,0),0)+IF(AND(ISNUMBER($D178),ISNUMBER($F178)),IF($D178&gt;$F178,1,0),0)+IF(AND(ISNUMBER($E178),ISNUMBER($F178)),IF($E178&gt;$F178,1,0),0)</f>
        <v>0</v>
      </c>
      <c r="X178" s="13" t="s">
        <v>76</v>
      </c>
    </row>
    <row r="179" customFormat="false" ht="15" hidden="false" customHeight="false" outlineLevel="0" collapsed="false">
      <c r="A179" s="10" t="s">
        <v>685</v>
      </c>
      <c r="B179" s="10" t="s">
        <v>686</v>
      </c>
      <c r="C179" s="11" t="s">
        <v>687</v>
      </c>
      <c r="D179" s="12" t="n">
        <v>0.0612</v>
      </c>
      <c r="E179" s="12"/>
      <c r="F179" s="12"/>
      <c r="G179" s="10" t="s">
        <v>63</v>
      </c>
      <c r="H179" s="10" t="s">
        <v>662</v>
      </c>
      <c r="I179" s="11" t="s">
        <v>663</v>
      </c>
      <c r="J179" s="10" t="s">
        <v>664</v>
      </c>
      <c r="K179" s="10" t="s">
        <v>665</v>
      </c>
      <c r="L179" s="10" t="s">
        <v>68</v>
      </c>
      <c r="M179" s="10" t="s">
        <v>69</v>
      </c>
      <c r="N179" s="10"/>
      <c r="O179" s="11" t="s">
        <v>666</v>
      </c>
      <c r="P179" s="10" t="s">
        <v>71</v>
      </c>
      <c r="Q179" s="11" t="s">
        <v>72</v>
      </c>
      <c r="R179" s="11" t="s">
        <v>73</v>
      </c>
      <c r="S179" s="11" t="s">
        <v>74</v>
      </c>
      <c r="T179" s="11" t="s">
        <v>688</v>
      </c>
      <c r="U179" s="10" t="n">
        <f aca="false">IF(AND($D179="",$E179="",$F179=""),1,0)</f>
        <v>0</v>
      </c>
      <c r="V179" s="10" t="n">
        <f aca="false">IF(OR($I179="",$I179="—"),1,0)</f>
        <v>0</v>
      </c>
      <c r="W179" s="10" t="n">
        <f aca="false">IF(AND(ISNUMBER($D179),ISNUMBER($E179)),IF($E179&gt;$D179,1,0),0)+IF(AND(ISNUMBER($D179),ISNUMBER($F179)),IF($D179&gt;$F179,1,0),0)+IF(AND(ISNUMBER($E179),ISNUMBER($F179)),IF($E179&gt;$F179,1,0),0)</f>
        <v>0</v>
      </c>
      <c r="X179" s="13" t="s">
        <v>76</v>
      </c>
    </row>
    <row r="180" customFormat="false" ht="15" hidden="false" customHeight="false" outlineLevel="0" collapsed="false">
      <c r="A180" s="10" t="s">
        <v>689</v>
      </c>
      <c r="B180" s="10" t="s">
        <v>690</v>
      </c>
      <c r="C180" s="11" t="s">
        <v>687</v>
      </c>
      <c r="D180" s="12" t="n">
        <v>0.0048</v>
      </c>
      <c r="E180" s="12"/>
      <c r="F180" s="12"/>
      <c r="G180" s="10" t="s">
        <v>63</v>
      </c>
      <c r="H180" s="10" t="s">
        <v>92</v>
      </c>
      <c r="I180" s="11" t="s">
        <v>663</v>
      </c>
      <c r="J180" s="10" t="s">
        <v>664</v>
      </c>
      <c r="K180" s="10" t="s">
        <v>665</v>
      </c>
      <c r="L180" s="10" t="s">
        <v>68</v>
      </c>
      <c r="M180" s="10" t="s">
        <v>69</v>
      </c>
      <c r="N180" s="10"/>
      <c r="O180" s="11" t="s">
        <v>666</v>
      </c>
      <c r="P180" s="10" t="s">
        <v>71</v>
      </c>
      <c r="Q180" s="11" t="s">
        <v>72</v>
      </c>
      <c r="R180" s="11" t="s">
        <v>73</v>
      </c>
      <c r="S180" s="11" t="s">
        <v>74</v>
      </c>
      <c r="T180" s="11" t="s">
        <v>691</v>
      </c>
      <c r="U180" s="10" t="n">
        <f aca="false">IF(AND($D180="",$E180="",$F180=""),1,0)</f>
        <v>0</v>
      </c>
      <c r="V180" s="10" t="n">
        <f aca="false">IF(OR($I180="",$I180="—"),1,0)</f>
        <v>0</v>
      </c>
      <c r="W180" s="10" t="n">
        <f aca="false">IF(AND(ISNUMBER($D180),ISNUMBER($E180)),IF($E180&gt;$D180,1,0),0)+IF(AND(ISNUMBER($D180),ISNUMBER($F180)),IF($D180&gt;$F180,1,0),0)+IF(AND(ISNUMBER($E180),ISNUMBER($F180)),IF($E180&gt;$F180,1,0),0)</f>
        <v>0</v>
      </c>
      <c r="X180" s="13" t="s">
        <v>76</v>
      </c>
    </row>
    <row r="181" customFormat="false" ht="15" hidden="false" customHeight="false" outlineLevel="0" collapsed="false">
      <c r="A181" s="10" t="s">
        <v>692</v>
      </c>
      <c r="B181" s="10" t="s">
        <v>693</v>
      </c>
      <c r="C181" s="11" t="s">
        <v>62</v>
      </c>
      <c r="D181" s="12" t="n">
        <v>9.5389</v>
      </c>
      <c r="E181" s="12"/>
      <c r="F181" s="12"/>
      <c r="G181" s="10" t="s">
        <v>63</v>
      </c>
      <c r="H181" s="10" t="s">
        <v>662</v>
      </c>
      <c r="I181" s="11" t="s">
        <v>663</v>
      </c>
      <c r="J181" s="10" t="s">
        <v>664</v>
      </c>
      <c r="K181" s="10" t="s">
        <v>665</v>
      </c>
      <c r="L181" s="10" t="s">
        <v>68</v>
      </c>
      <c r="M181" s="10" t="s">
        <v>69</v>
      </c>
      <c r="N181" s="10"/>
      <c r="O181" s="11" t="s">
        <v>666</v>
      </c>
      <c r="P181" s="10" t="s">
        <v>71</v>
      </c>
      <c r="Q181" s="11" t="s">
        <v>72</v>
      </c>
      <c r="R181" s="11" t="s">
        <v>73</v>
      </c>
      <c r="S181" s="11" t="s">
        <v>74</v>
      </c>
      <c r="T181" s="11" t="s">
        <v>694</v>
      </c>
      <c r="U181" s="10" t="n">
        <f aca="false">IF(AND($D181="",$E181="",$F181=""),1,0)</f>
        <v>0</v>
      </c>
      <c r="V181" s="10" t="n">
        <f aca="false">IF(OR($I181="",$I181="—"),1,0)</f>
        <v>0</v>
      </c>
      <c r="W181" s="10" t="n">
        <f aca="false">IF(AND(ISNUMBER($D181),ISNUMBER($E181)),IF($E181&gt;$D181,1,0),0)+IF(AND(ISNUMBER($D181),ISNUMBER($F181)),IF($D181&gt;$F181,1,0),0)+IF(AND(ISNUMBER($E181),ISNUMBER($F181)),IF($E181&gt;$F181,1,0),0)</f>
        <v>0</v>
      </c>
      <c r="X181" s="13" t="s">
        <v>76</v>
      </c>
    </row>
    <row r="182" customFormat="false" ht="15" hidden="false" customHeight="false" outlineLevel="0" collapsed="false">
      <c r="A182" s="10" t="s">
        <v>695</v>
      </c>
      <c r="B182" s="10" t="s">
        <v>696</v>
      </c>
      <c r="C182" s="11" t="s">
        <v>481</v>
      </c>
      <c r="D182" s="12" t="n">
        <v>1.2872</v>
      </c>
      <c r="E182" s="12"/>
      <c r="F182" s="12"/>
      <c r="G182" s="10" t="s">
        <v>63</v>
      </c>
      <c r="H182" s="10" t="s">
        <v>662</v>
      </c>
      <c r="I182" s="11" t="s">
        <v>663</v>
      </c>
      <c r="J182" s="10" t="s">
        <v>697</v>
      </c>
      <c r="K182" s="10" t="s">
        <v>665</v>
      </c>
      <c r="L182" s="10" t="s">
        <v>68</v>
      </c>
      <c r="M182" s="10" t="s">
        <v>69</v>
      </c>
      <c r="N182" s="10"/>
      <c r="O182" s="11" t="s">
        <v>666</v>
      </c>
      <c r="P182" s="10" t="s">
        <v>71</v>
      </c>
      <c r="Q182" s="11" t="s">
        <v>72</v>
      </c>
      <c r="R182" s="11" t="s">
        <v>73</v>
      </c>
      <c r="S182" s="11" t="s">
        <v>74</v>
      </c>
      <c r="T182" s="10" t="s">
        <v>698</v>
      </c>
      <c r="U182" s="10" t="n">
        <f aca="false">IF(AND($D182="",$E182="",$F182=""),1,0)</f>
        <v>0</v>
      </c>
      <c r="V182" s="10" t="n">
        <f aca="false">IF(OR($I182="",$I182="—"),1,0)</f>
        <v>0</v>
      </c>
      <c r="W182" s="10" t="n">
        <f aca="false">IF(AND(ISNUMBER($D182),ISNUMBER($E182)),IF($E182&gt;$D182,1,0),0)+IF(AND(ISNUMBER($D182),ISNUMBER($F182)),IF($D182&gt;$F182,1,0),0)+IF(AND(ISNUMBER($E182),ISNUMBER($F182)),IF($E182&gt;$F182,1,0),0)</f>
        <v>0</v>
      </c>
      <c r="X182" s="13" t="s">
        <v>76</v>
      </c>
    </row>
    <row r="183" customFormat="false" ht="15" hidden="false" customHeight="false" outlineLevel="0" collapsed="false">
      <c r="A183" s="10" t="s">
        <v>699</v>
      </c>
      <c r="B183" s="10" t="s">
        <v>700</v>
      </c>
      <c r="C183" s="11" t="s">
        <v>485</v>
      </c>
      <c r="D183" s="12" t="n">
        <v>8.2518</v>
      </c>
      <c r="E183" s="12"/>
      <c r="F183" s="12"/>
      <c r="G183" s="10" t="s">
        <v>63</v>
      </c>
      <c r="H183" s="10" t="s">
        <v>662</v>
      </c>
      <c r="I183" s="11" t="s">
        <v>663</v>
      </c>
      <c r="J183" s="10" t="s">
        <v>697</v>
      </c>
      <c r="K183" s="10" t="s">
        <v>665</v>
      </c>
      <c r="L183" s="10" t="s">
        <v>68</v>
      </c>
      <c r="M183" s="10" t="s">
        <v>69</v>
      </c>
      <c r="N183" s="10"/>
      <c r="O183" s="11" t="s">
        <v>666</v>
      </c>
      <c r="P183" s="10" t="s">
        <v>71</v>
      </c>
      <c r="Q183" s="11" t="s">
        <v>72</v>
      </c>
      <c r="R183" s="11" t="s">
        <v>73</v>
      </c>
      <c r="S183" s="11" t="s">
        <v>74</v>
      </c>
      <c r="T183" s="10" t="s">
        <v>701</v>
      </c>
      <c r="U183" s="10" t="n">
        <f aca="false">IF(AND($D183="",$E183="",$F183=""),1,0)</f>
        <v>0</v>
      </c>
      <c r="V183" s="10" t="n">
        <f aca="false">IF(OR($I183="",$I183="—"),1,0)</f>
        <v>0</v>
      </c>
      <c r="W183" s="10" t="n">
        <f aca="false">IF(AND(ISNUMBER($D183),ISNUMBER($E183)),IF($E183&gt;$D183,1,0),0)+IF(AND(ISNUMBER($D183),ISNUMBER($F183)),IF($D183&gt;$F183,1,0),0)+IF(AND(ISNUMBER($E183),ISNUMBER($F183)),IF($E183&gt;$F183,1,0),0)</f>
        <v>0</v>
      </c>
      <c r="X183" s="13" t="s">
        <v>76</v>
      </c>
    </row>
    <row r="184" customFormat="false" ht="15" hidden="false" customHeight="false" outlineLevel="0" collapsed="false">
      <c r="A184" s="10" t="s">
        <v>702</v>
      </c>
      <c r="B184" s="10" t="s">
        <v>703</v>
      </c>
      <c r="C184" s="11" t="s">
        <v>704</v>
      </c>
      <c r="D184" s="12" t="n">
        <v>0.6704</v>
      </c>
      <c r="E184" s="12"/>
      <c r="F184" s="12"/>
      <c r="G184" s="10" t="s">
        <v>63</v>
      </c>
      <c r="H184" s="10" t="s">
        <v>662</v>
      </c>
      <c r="I184" s="11" t="s">
        <v>705</v>
      </c>
      <c r="J184" s="10" t="s">
        <v>706</v>
      </c>
      <c r="K184" s="10" t="s">
        <v>707</v>
      </c>
      <c r="L184" s="10" t="s">
        <v>68</v>
      </c>
      <c r="M184" s="10" t="s">
        <v>416</v>
      </c>
      <c r="N184" s="11" t="s">
        <v>708</v>
      </c>
      <c r="O184" s="11" t="s">
        <v>709</v>
      </c>
      <c r="P184" s="10" t="s">
        <v>637</v>
      </c>
      <c r="Q184" s="11" t="s">
        <v>72</v>
      </c>
      <c r="R184" s="11" t="s">
        <v>708</v>
      </c>
      <c r="S184" s="11" t="s">
        <v>710</v>
      </c>
      <c r="T184" s="11" t="s">
        <v>711</v>
      </c>
      <c r="U184" s="10" t="n">
        <f aca="false">IF(AND($D184="",$E184="",$F184=""),1,0)</f>
        <v>0</v>
      </c>
      <c r="V184" s="10" t="n">
        <f aca="false">IF(OR($I184="",$I184="—"),1,0)</f>
        <v>0</v>
      </c>
      <c r="W184" s="10" t="n">
        <f aca="false">IF(AND(ISNUMBER($D184),ISNUMBER($E184)),IF($E184&gt;$D184,1,0),0)+IF(AND(ISNUMBER($D184),ISNUMBER($F184)),IF($D184&gt;$F184,1,0),0)+IF(AND(ISNUMBER($E184),ISNUMBER($F184)),IF($E184&gt;$F184,1,0),0)</f>
        <v>0</v>
      </c>
      <c r="X184" s="13" t="s">
        <v>76</v>
      </c>
    </row>
    <row r="185" customFormat="false" ht="15" hidden="false" customHeight="false" outlineLevel="0" collapsed="false">
      <c r="A185" s="10" t="s">
        <v>712</v>
      </c>
      <c r="B185" s="10" t="s">
        <v>713</v>
      </c>
      <c r="C185" s="11" t="s">
        <v>714</v>
      </c>
      <c r="D185" s="12" t="n">
        <v>1.3</v>
      </c>
      <c r="E185" s="12"/>
      <c r="F185" s="12"/>
      <c r="G185" s="10" t="s">
        <v>63</v>
      </c>
      <c r="H185" s="10" t="s">
        <v>662</v>
      </c>
      <c r="I185" s="11" t="s">
        <v>715</v>
      </c>
      <c r="J185" s="10" t="s">
        <v>716</v>
      </c>
      <c r="K185" s="10" t="s">
        <v>717</v>
      </c>
      <c r="L185" s="10" t="s">
        <v>68</v>
      </c>
      <c r="M185" s="10" t="s">
        <v>416</v>
      </c>
      <c r="N185" s="11" t="s">
        <v>718</v>
      </c>
      <c r="O185" s="11" t="s">
        <v>719</v>
      </c>
      <c r="P185" s="10" t="s">
        <v>637</v>
      </c>
      <c r="Q185" s="11" t="s">
        <v>72</v>
      </c>
      <c r="R185" s="11" t="s">
        <v>718</v>
      </c>
      <c r="S185" s="11" t="s">
        <v>710</v>
      </c>
      <c r="T185" s="11" t="s">
        <v>720</v>
      </c>
      <c r="U185" s="10" t="n">
        <f aca="false">IF(AND($D185="",$E185="",$F185=""),1,0)</f>
        <v>0</v>
      </c>
      <c r="V185" s="10" t="n">
        <f aca="false">IF(OR($I185="",$I185="—"),1,0)</f>
        <v>0</v>
      </c>
      <c r="W185" s="10" t="n">
        <f aca="false">IF(AND(ISNUMBER($D185),ISNUMBER($E185)),IF($E185&gt;$D185,1,0),0)+IF(AND(ISNUMBER($D185),ISNUMBER($F185)),IF($D185&gt;$F185,1,0),0)+IF(AND(ISNUMBER($E185),ISNUMBER($F185)),IF($E185&gt;$F185,1,0),0)</f>
        <v>0</v>
      </c>
      <c r="X185" s="13" t="s">
        <v>76</v>
      </c>
    </row>
    <row r="186" customFormat="false" ht="15" hidden="false" customHeight="false" outlineLevel="0" collapsed="false">
      <c r="A186" s="10" t="s">
        <v>721</v>
      </c>
      <c r="B186" s="10" t="s">
        <v>722</v>
      </c>
      <c r="C186" s="11" t="s">
        <v>489</v>
      </c>
      <c r="D186" s="12" t="n">
        <v>7.0228</v>
      </c>
      <c r="E186" s="12"/>
      <c r="F186" s="12"/>
      <c r="G186" s="10" t="s">
        <v>63</v>
      </c>
      <c r="H186" s="10" t="s">
        <v>662</v>
      </c>
      <c r="I186" s="11" t="s">
        <v>663</v>
      </c>
      <c r="J186" s="10" t="s">
        <v>664</v>
      </c>
      <c r="K186" s="10" t="s">
        <v>665</v>
      </c>
      <c r="L186" s="10" t="s">
        <v>68</v>
      </c>
      <c r="M186" s="10" t="s">
        <v>69</v>
      </c>
      <c r="N186" s="10"/>
      <c r="O186" s="11" t="s">
        <v>666</v>
      </c>
      <c r="P186" s="10" t="s">
        <v>71</v>
      </c>
      <c r="Q186" s="11" t="s">
        <v>72</v>
      </c>
      <c r="R186" s="11" t="s">
        <v>73</v>
      </c>
      <c r="S186" s="11" t="s">
        <v>74</v>
      </c>
      <c r="T186" s="11" t="s">
        <v>723</v>
      </c>
      <c r="U186" s="10" t="n">
        <f aca="false">IF(AND($D186="",$E186="",$F186=""),1,0)</f>
        <v>0</v>
      </c>
      <c r="V186" s="10" t="n">
        <f aca="false">IF(OR($I186="",$I186="—"),1,0)</f>
        <v>0</v>
      </c>
      <c r="W186" s="10" t="n">
        <f aca="false">IF(AND(ISNUMBER($D186),ISNUMBER($E186)),IF($E186&gt;$D186,1,0),0)+IF(AND(ISNUMBER($D186),ISNUMBER($F186)),IF($D186&gt;$F186,1,0),0)+IF(AND(ISNUMBER($E186),ISNUMBER($F186)),IF($E186&gt;$F186,1,0),0)</f>
        <v>0</v>
      </c>
      <c r="X186" s="13" t="s">
        <v>76</v>
      </c>
    </row>
    <row r="187" customFormat="false" ht="15" hidden="false" customHeight="false" outlineLevel="0" collapsed="false">
      <c r="A187" s="10" t="s">
        <v>724</v>
      </c>
      <c r="B187" s="10" t="s">
        <v>725</v>
      </c>
      <c r="C187" s="11" t="s">
        <v>726</v>
      </c>
      <c r="D187" s="12" t="n">
        <v>0.9545</v>
      </c>
      <c r="E187" s="12"/>
      <c r="F187" s="12"/>
      <c r="G187" s="10" t="s">
        <v>63</v>
      </c>
      <c r="H187" s="10" t="s">
        <v>92</v>
      </c>
      <c r="I187" s="11" t="s">
        <v>663</v>
      </c>
      <c r="J187" s="10" t="s">
        <v>664</v>
      </c>
      <c r="K187" s="10" t="s">
        <v>665</v>
      </c>
      <c r="L187" s="10" t="s">
        <v>68</v>
      </c>
      <c r="M187" s="10" t="s">
        <v>69</v>
      </c>
      <c r="N187" s="10"/>
      <c r="O187" s="11" t="s">
        <v>666</v>
      </c>
      <c r="P187" s="10" t="s">
        <v>71</v>
      </c>
      <c r="Q187" s="11" t="s">
        <v>72</v>
      </c>
      <c r="R187" s="11" t="s">
        <v>73</v>
      </c>
      <c r="S187" s="11" t="s">
        <v>74</v>
      </c>
      <c r="T187" s="11" t="s">
        <v>727</v>
      </c>
      <c r="U187" s="10" t="n">
        <f aca="false">IF(AND($D187="",$E187="",$F187=""),1,0)</f>
        <v>0</v>
      </c>
      <c r="V187" s="10" t="n">
        <f aca="false">IF(OR($I187="",$I187="—"),1,0)</f>
        <v>0</v>
      </c>
      <c r="W187" s="10" t="n">
        <f aca="false">IF(AND(ISNUMBER($D187),ISNUMBER($E187)),IF($E187&gt;$D187,1,0),0)+IF(AND(ISNUMBER($D187),ISNUMBER($F187)),IF($D187&gt;$F187,1,0),0)+IF(AND(ISNUMBER($E187),ISNUMBER($F187)),IF($E187&gt;$F187,1,0),0)</f>
        <v>0</v>
      </c>
      <c r="X187" s="13" t="s">
        <v>76</v>
      </c>
    </row>
    <row r="188" customFormat="false" ht="15" hidden="false" customHeight="false" outlineLevel="0" collapsed="false">
      <c r="A188" s="10" t="s">
        <v>728</v>
      </c>
      <c r="B188" s="10" t="s">
        <v>729</v>
      </c>
      <c r="C188" s="11" t="s">
        <v>176</v>
      </c>
      <c r="D188" s="12" t="n">
        <v>2.5161</v>
      </c>
      <c r="E188" s="12"/>
      <c r="F188" s="12"/>
      <c r="G188" s="10" t="s">
        <v>63</v>
      </c>
      <c r="H188" s="10" t="s">
        <v>662</v>
      </c>
      <c r="I188" s="11" t="s">
        <v>663</v>
      </c>
      <c r="J188" s="10" t="s">
        <v>664</v>
      </c>
      <c r="K188" s="10" t="s">
        <v>665</v>
      </c>
      <c r="L188" s="10" t="s">
        <v>68</v>
      </c>
      <c r="M188" s="10" t="s">
        <v>69</v>
      </c>
      <c r="N188" s="10"/>
      <c r="O188" s="11" t="s">
        <v>666</v>
      </c>
      <c r="P188" s="10" t="s">
        <v>71</v>
      </c>
      <c r="Q188" s="11" t="s">
        <v>72</v>
      </c>
      <c r="R188" s="11" t="s">
        <v>73</v>
      </c>
      <c r="S188" s="11" t="s">
        <v>74</v>
      </c>
      <c r="T188" s="10" t="s">
        <v>730</v>
      </c>
      <c r="U188" s="10" t="n">
        <f aca="false">IF(AND($D188="",$E188="",$F188=""),1,0)</f>
        <v>0</v>
      </c>
      <c r="V188" s="10" t="n">
        <f aca="false">IF(OR($I188="",$I188="—"),1,0)</f>
        <v>0</v>
      </c>
      <c r="W188" s="10" t="n">
        <f aca="false">IF(AND(ISNUMBER($D188),ISNUMBER($E188)),IF($E188&gt;$D188,1,0),0)+IF(AND(ISNUMBER($D188),ISNUMBER($F188)),IF($D188&gt;$F188,1,0),0)+IF(AND(ISNUMBER($E188),ISNUMBER($F188)),IF($E188&gt;$F188,1,0),0)</f>
        <v>0</v>
      </c>
      <c r="X188" s="13" t="s">
        <v>76</v>
      </c>
    </row>
    <row r="189" customFormat="false" ht="15" hidden="false" customHeight="false" outlineLevel="0" collapsed="false">
      <c r="A189" s="10" t="s">
        <v>731</v>
      </c>
      <c r="B189" s="10" t="s">
        <v>732</v>
      </c>
      <c r="C189" s="11" t="s">
        <v>400</v>
      </c>
      <c r="D189" s="12" t="n">
        <v>26.4</v>
      </c>
      <c r="E189" s="12"/>
      <c r="F189" s="12"/>
      <c r="G189" s="10" t="s">
        <v>401</v>
      </c>
      <c r="H189" s="10" t="s">
        <v>662</v>
      </c>
      <c r="I189" s="11" t="s">
        <v>663</v>
      </c>
      <c r="J189" s="10" t="s">
        <v>664</v>
      </c>
      <c r="K189" s="10" t="s">
        <v>665</v>
      </c>
      <c r="L189" s="10" t="s">
        <v>68</v>
      </c>
      <c r="M189" s="10" t="s">
        <v>69</v>
      </c>
      <c r="N189" s="10"/>
      <c r="O189" s="11" t="s">
        <v>666</v>
      </c>
      <c r="P189" s="10" t="s">
        <v>71</v>
      </c>
      <c r="Q189" s="11" t="s">
        <v>72</v>
      </c>
      <c r="R189" s="11" t="s">
        <v>73</v>
      </c>
      <c r="S189" s="11" t="s">
        <v>74</v>
      </c>
      <c r="T189" s="11" t="s">
        <v>733</v>
      </c>
      <c r="U189" s="10" t="n">
        <f aca="false">IF(AND($D189="",$E189="",$F189=""),1,0)</f>
        <v>0</v>
      </c>
      <c r="V189" s="10" t="n">
        <f aca="false">IF(OR($I189="",$I189="—"),1,0)</f>
        <v>0</v>
      </c>
      <c r="W189" s="10" t="n">
        <f aca="false">IF(AND(ISNUMBER($D189),ISNUMBER($E189)),IF($E189&gt;$D189,1,0),0)+IF(AND(ISNUMBER($D189),ISNUMBER($F189)),IF($D189&gt;$F189,1,0),0)+IF(AND(ISNUMBER($E189),ISNUMBER($F189)),IF($E189&gt;$F189,1,0),0)</f>
        <v>0</v>
      </c>
      <c r="X189" s="13" t="s">
        <v>76</v>
      </c>
    </row>
    <row r="190" customFormat="false" ht="15" hidden="false" customHeight="false" outlineLevel="0" collapsed="false">
      <c r="A190" s="10" t="s">
        <v>734</v>
      </c>
      <c r="B190" s="10" t="s">
        <v>735</v>
      </c>
      <c r="C190" s="11" t="s">
        <v>513</v>
      </c>
      <c r="D190" s="12" t="n">
        <v>2.0287</v>
      </c>
      <c r="E190" s="12"/>
      <c r="F190" s="12"/>
      <c r="G190" s="10" t="s">
        <v>63</v>
      </c>
      <c r="H190" s="10" t="s">
        <v>662</v>
      </c>
      <c r="I190" s="11" t="s">
        <v>663</v>
      </c>
      <c r="J190" s="10" t="s">
        <v>697</v>
      </c>
      <c r="K190" s="10" t="s">
        <v>665</v>
      </c>
      <c r="L190" s="10" t="s">
        <v>68</v>
      </c>
      <c r="M190" s="10" t="s">
        <v>69</v>
      </c>
      <c r="N190" s="10"/>
      <c r="O190" s="11" t="s">
        <v>666</v>
      </c>
      <c r="P190" s="10" t="s">
        <v>71</v>
      </c>
      <c r="Q190" s="11" t="s">
        <v>72</v>
      </c>
      <c r="R190" s="11" t="s">
        <v>73</v>
      </c>
      <c r="S190" s="11" t="s">
        <v>74</v>
      </c>
      <c r="T190" s="11" t="s">
        <v>736</v>
      </c>
      <c r="U190" s="10" t="n">
        <f aca="false">IF(AND($D190="",$E190="",$F190=""),1,0)</f>
        <v>0</v>
      </c>
      <c r="V190" s="10" t="n">
        <f aca="false">IF(OR($I190="",$I190="—"),1,0)</f>
        <v>0</v>
      </c>
      <c r="W190" s="10" t="n">
        <f aca="false">IF(AND(ISNUMBER($D190),ISNUMBER($E190)),IF($E190&gt;$D190,1,0),0)+IF(AND(ISNUMBER($D190),ISNUMBER($F190)),IF($D190&gt;$F190,1,0),0)+IF(AND(ISNUMBER($E190),ISNUMBER($F190)),IF($E190&gt;$F190,1,0),0)</f>
        <v>0</v>
      </c>
      <c r="X190" s="13" t="s">
        <v>76</v>
      </c>
    </row>
    <row r="191" customFormat="false" ht="15" hidden="false" customHeight="false" outlineLevel="0" collapsed="false">
      <c r="A191" s="10" t="s">
        <v>737</v>
      </c>
      <c r="B191" s="10" t="s">
        <v>738</v>
      </c>
      <c r="C191" s="11" t="s">
        <v>513</v>
      </c>
      <c r="D191" s="12" t="n">
        <v>-0.0012</v>
      </c>
      <c r="E191" s="12"/>
      <c r="F191" s="12"/>
      <c r="G191" s="10" t="s">
        <v>63</v>
      </c>
      <c r="H191" s="10" t="s">
        <v>92</v>
      </c>
      <c r="I191" s="11" t="s">
        <v>663</v>
      </c>
      <c r="J191" s="10" t="s">
        <v>697</v>
      </c>
      <c r="K191" s="10" t="s">
        <v>665</v>
      </c>
      <c r="L191" s="10" t="s">
        <v>68</v>
      </c>
      <c r="M191" s="10" t="s">
        <v>69</v>
      </c>
      <c r="N191" s="10"/>
      <c r="O191" s="11" t="s">
        <v>666</v>
      </c>
      <c r="P191" s="10" t="s">
        <v>71</v>
      </c>
      <c r="Q191" s="11" t="s">
        <v>72</v>
      </c>
      <c r="R191" s="11" t="s">
        <v>73</v>
      </c>
      <c r="S191" s="11" t="s">
        <v>74</v>
      </c>
      <c r="T191" s="11" t="s">
        <v>739</v>
      </c>
      <c r="U191" s="10" t="n">
        <f aca="false">IF(AND($D191="",$E191="",$F191=""),1,0)</f>
        <v>0</v>
      </c>
      <c r="V191" s="10" t="n">
        <f aca="false">IF(OR($I191="",$I191="—"),1,0)</f>
        <v>0</v>
      </c>
      <c r="W191" s="10" t="n">
        <f aca="false">IF(AND(ISNUMBER($D191),ISNUMBER($E191)),IF($E191&gt;$D191,1,0),0)+IF(AND(ISNUMBER($D191),ISNUMBER($F191)),IF($D191&gt;$F191,1,0),0)+IF(AND(ISNUMBER($E191),ISNUMBER($F191)),IF($E191&gt;$F191,1,0),0)</f>
        <v>0</v>
      </c>
      <c r="X191" s="13" t="s">
        <v>76</v>
      </c>
    </row>
    <row r="192" customFormat="false" ht="15" hidden="false" customHeight="false" outlineLevel="0" collapsed="false">
      <c r="A192" s="10" t="s">
        <v>740</v>
      </c>
      <c r="B192" s="10" t="s">
        <v>741</v>
      </c>
      <c r="C192" s="11" t="s">
        <v>520</v>
      </c>
      <c r="D192" s="12" t="n">
        <v>0.198</v>
      </c>
      <c r="E192" s="12"/>
      <c r="F192" s="12"/>
      <c r="G192" s="10" t="s">
        <v>63</v>
      </c>
      <c r="H192" s="10" t="s">
        <v>662</v>
      </c>
      <c r="I192" s="11" t="s">
        <v>663</v>
      </c>
      <c r="J192" s="10" t="s">
        <v>697</v>
      </c>
      <c r="K192" s="10" t="s">
        <v>665</v>
      </c>
      <c r="L192" s="10" t="s">
        <v>68</v>
      </c>
      <c r="M192" s="10" t="s">
        <v>69</v>
      </c>
      <c r="N192" s="10"/>
      <c r="O192" s="11" t="s">
        <v>666</v>
      </c>
      <c r="P192" s="10" t="s">
        <v>71</v>
      </c>
      <c r="Q192" s="11" t="s">
        <v>72</v>
      </c>
      <c r="R192" s="11" t="s">
        <v>73</v>
      </c>
      <c r="S192" s="11" t="s">
        <v>74</v>
      </c>
      <c r="T192" s="11" t="s">
        <v>742</v>
      </c>
      <c r="U192" s="10" t="n">
        <f aca="false">IF(AND($D192="",$E192="",$F192=""),1,0)</f>
        <v>0</v>
      </c>
      <c r="V192" s="10" t="n">
        <f aca="false">IF(OR($I192="",$I192="—"),1,0)</f>
        <v>0</v>
      </c>
      <c r="W192" s="10" t="n">
        <f aca="false">IF(AND(ISNUMBER($D192),ISNUMBER($E192)),IF($E192&gt;$D192,1,0),0)+IF(AND(ISNUMBER($D192),ISNUMBER($F192)),IF($D192&gt;$F192,1,0),0)+IF(AND(ISNUMBER($E192),ISNUMBER($F192)),IF($E192&gt;$F192,1,0),0)</f>
        <v>0</v>
      </c>
      <c r="X192" s="13" t="s">
        <v>76</v>
      </c>
    </row>
    <row r="193" customFormat="false" ht="15" hidden="false" customHeight="false" outlineLevel="0" collapsed="false">
      <c r="A193" s="10" t="s">
        <v>743</v>
      </c>
      <c r="B193" s="10" t="s">
        <v>744</v>
      </c>
      <c r="C193" s="11" t="s">
        <v>520</v>
      </c>
      <c r="D193" s="12" t="n">
        <v>0.0888</v>
      </c>
      <c r="E193" s="12"/>
      <c r="F193" s="12"/>
      <c r="G193" s="10" t="s">
        <v>63</v>
      </c>
      <c r="H193" s="10" t="s">
        <v>92</v>
      </c>
      <c r="I193" s="11" t="s">
        <v>663</v>
      </c>
      <c r="J193" s="10" t="s">
        <v>697</v>
      </c>
      <c r="K193" s="10" t="s">
        <v>665</v>
      </c>
      <c r="L193" s="10" t="s">
        <v>68</v>
      </c>
      <c r="M193" s="10" t="s">
        <v>69</v>
      </c>
      <c r="N193" s="10"/>
      <c r="O193" s="11" t="s">
        <v>666</v>
      </c>
      <c r="P193" s="10" t="s">
        <v>71</v>
      </c>
      <c r="Q193" s="11" t="s">
        <v>72</v>
      </c>
      <c r="R193" s="11" t="s">
        <v>73</v>
      </c>
      <c r="S193" s="11" t="s">
        <v>74</v>
      </c>
      <c r="T193" s="11" t="s">
        <v>745</v>
      </c>
      <c r="U193" s="10" t="n">
        <f aca="false">IF(AND($D193="",$E193="",$F193=""),1,0)</f>
        <v>0</v>
      </c>
      <c r="V193" s="10" t="n">
        <f aca="false">IF(OR($I193="",$I193="—"),1,0)</f>
        <v>0</v>
      </c>
      <c r="W193" s="10" t="n">
        <f aca="false">IF(AND(ISNUMBER($D193),ISNUMBER($E193)),IF($E193&gt;$D193,1,0),0)+IF(AND(ISNUMBER($D193),ISNUMBER($F193)),IF($D193&gt;$F193,1,0),0)+IF(AND(ISNUMBER($E193),ISNUMBER($F193)),IF($E193&gt;$F193,1,0),0)</f>
        <v>0</v>
      </c>
      <c r="X193" s="13" t="s">
        <v>76</v>
      </c>
    </row>
    <row r="194" customFormat="false" ht="15" hidden="false" customHeight="false" outlineLevel="0" collapsed="false">
      <c r="A194" s="10" t="s">
        <v>746</v>
      </c>
      <c r="B194" s="10" t="s">
        <v>747</v>
      </c>
      <c r="C194" s="11" t="s">
        <v>527</v>
      </c>
      <c r="D194" s="12" t="n">
        <v>0.2837</v>
      </c>
      <c r="E194" s="12"/>
      <c r="F194" s="12"/>
      <c r="G194" s="10" t="s">
        <v>63</v>
      </c>
      <c r="H194" s="10" t="s">
        <v>662</v>
      </c>
      <c r="I194" s="11" t="s">
        <v>663</v>
      </c>
      <c r="J194" s="10" t="s">
        <v>697</v>
      </c>
      <c r="K194" s="10" t="s">
        <v>665</v>
      </c>
      <c r="L194" s="10" t="s">
        <v>68</v>
      </c>
      <c r="M194" s="10" t="s">
        <v>69</v>
      </c>
      <c r="N194" s="10"/>
      <c r="O194" s="11" t="s">
        <v>666</v>
      </c>
      <c r="P194" s="10" t="s">
        <v>71</v>
      </c>
      <c r="Q194" s="11" t="s">
        <v>72</v>
      </c>
      <c r="R194" s="11" t="s">
        <v>73</v>
      </c>
      <c r="S194" s="11" t="s">
        <v>74</v>
      </c>
      <c r="T194" s="11" t="s">
        <v>748</v>
      </c>
      <c r="U194" s="10" t="n">
        <f aca="false">IF(AND($D194="",$E194="",$F194=""),1,0)</f>
        <v>0</v>
      </c>
      <c r="V194" s="10" t="n">
        <f aca="false">IF(OR($I194="",$I194="—"),1,0)</f>
        <v>0</v>
      </c>
      <c r="W194" s="10" t="n">
        <f aca="false">IF(AND(ISNUMBER($D194),ISNUMBER($E194)),IF($E194&gt;$D194,1,0),0)+IF(AND(ISNUMBER($D194),ISNUMBER($F194)),IF($D194&gt;$F194,1,0),0)+IF(AND(ISNUMBER($E194),ISNUMBER($F194)),IF($E194&gt;$F194,1,0),0)</f>
        <v>0</v>
      </c>
      <c r="X194" s="13" t="s">
        <v>76</v>
      </c>
    </row>
    <row r="195" customFormat="false" ht="15" hidden="false" customHeight="false" outlineLevel="0" collapsed="false">
      <c r="A195" s="10" t="s">
        <v>749</v>
      </c>
      <c r="B195" s="10" t="s">
        <v>750</v>
      </c>
      <c r="C195" s="11" t="s">
        <v>527</v>
      </c>
      <c r="D195" s="12" t="n">
        <v>0.8634</v>
      </c>
      <c r="E195" s="12"/>
      <c r="F195" s="12"/>
      <c r="G195" s="10" t="s">
        <v>63</v>
      </c>
      <c r="H195" s="10" t="s">
        <v>92</v>
      </c>
      <c r="I195" s="11" t="s">
        <v>663</v>
      </c>
      <c r="J195" s="10" t="s">
        <v>697</v>
      </c>
      <c r="K195" s="10" t="s">
        <v>665</v>
      </c>
      <c r="L195" s="10" t="s">
        <v>68</v>
      </c>
      <c r="M195" s="10" t="s">
        <v>69</v>
      </c>
      <c r="N195" s="10"/>
      <c r="O195" s="11" t="s">
        <v>666</v>
      </c>
      <c r="P195" s="10" t="s">
        <v>71</v>
      </c>
      <c r="Q195" s="11" t="s">
        <v>72</v>
      </c>
      <c r="R195" s="11" t="s">
        <v>73</v>
      </c>
      <c r="S195" s="11" t="s">
        <v>74</v>
      </c>
      <c r="T195" s="11" t="s">
        <v>751</v>
      </c>
      <c r="U195" s="10" t="n">
        <f aca="false">IF(AND($D195="",$E195="",$F195=""),1,0)</f>
        <v>0</v>
      </c>
      <c r="V195" s="10" t="n">
        <f aca="false">IF(OR($I195="",$I195="—"),1,0)</f>
        <v>0</v>
      </c>
      <c r="W195" s="10" t="n">
        <f aca="false">IF(AND(ISNUMBER($D195),ISNUMBER($E195)),IF($E195&gt;$D195,1,0),0)+IF(AND(ISNUMBER($D195),ISNUMBER($F195)),IF($D195&gt;$F195,1,0),0)+IF(AND(ISNUMBER($E195),ISNUMBER($F195)),IF($E195&gt;$F195,1,0),0)</f>
        <v>0</v>
      </c>
      <c r="X195" s="13" t="s">
        <v>76</v>
      </c>
    </row>
    <row r="196" customFormat="false" ht="15" hidden="false" customHeight="false" outlineLevel="0" collapsed="false">
      <c r="A196" s="10" t="s">
        <v>752</v>
      </c>
      <c r="B196" s="10" t="s">
        <v>753</v>
      </c>
      <c r="C196" s="11" t="s">
        <v>534</v>
      </c>
      <c r="D196" s="12" t="n">
        <v>0.0058</v>
      </c>
      <c r="E196" s="12"/>
      <c r="F196" s="12"/>
      <c r="G196" s="10" t="s">
        <v>63</v>
      </c>
      <c r="H196" s="10" t="s">
        <v>662</v>
      </c>
      <c r="I196" s="11" t="s">
        <v>663</v>
      </c>
      <c r="J196" s="10" t="s">
        <v>697</v>
      </c>
      <c r="K196" s="10" t="s">
        <v>665</v>
      </c>
      <c r="L196" s="10" t="s">
        <v>68</v>
      </c>
      <c r="M196" s="10" t="s">
        <v>69</v>
      </c>
      <c r="N196" s="10"/>
      <c r="O196" s="11" t="s">
        <v>666</v>
      </c>
      <c r="P196" s="10" t="s">
        <v>71</v>
      </c>
      <c r="Q196" s="11" t="s">
        <v>72</v>
      </c>
      <c r="R196" s="11" t="s">
        <v>73</v>
      </c>
      <c r="S196" s="11" t="s">
        <v>74</v>
      </c>
      <c r="T196" s="11" t="s">
        <v>754</v>
      </c>
      <c r="U196" s="10" t="n">
        <f aca="false">IF(AND($D196="",$E196="",$F196=""),1,0)</f>
        <v>0</v>
      </c>
      <c r="V196" s="10" t="n">
        <f aca="false">IF(OR($I196="",$I196="—"),1,0)</f>
        <v>0</v>
      </c>
      <c r="W196" s="10" t="n">
        <f aca="false">IF(AND(ISNUMBER($D196),ISNUMBER($E196)),IF($E196&gt;$D196,1,0),0)+IF(AND(ISNUMBER($D196),ISNUMBER($F196)),IF($D196&gt;$F196,1,0),0)+IF(AND(ISNUMBER($E196),ISNUMBER($F196)),IF($E196&gt;$F196,1,0),0)</f>
        <v>0</v>
      </c>
      <c r="X196" s="13" t="s">
        <v>76</v>
      </c>
    </row>
    <row r="197" customFormat="false" ht="15" hidden="false" customHeight="false" outlineLevel="0" collapsed="false">
      <c r="A197" s="10" t="s">
        <v>755</v>
      </c>
      <c r="B197" s="10" t="s">
        <v>756</v>
      </c>
      <c r="C197" s="11" t="s">
        <v>534</v>
      </c>
      <c r="D197" s="12" t="n">
        <v>0.0032</v>
      </c>
      <c r="E197" s="12"/>
      <c r="F197" s="12"/>
      <c r="G197" s="10" t="s">
        <v>63</v>
      </c>
      <c r="H197" s="10" t="s">
        <v>92</v>
      </c>
      <c r="I197" s="11" t="s">
        <v>663</v>
      </c>
      <c r="J197" s="10" t="s">
        <v>697</v>
      </c>
      <c r="K197" s="10" t="s">
        <v>665</v>
      </c>
      <c r="L197" s="10" t="s">
        <v>68</v>
      </c>
      <c r="M197" s="10" t="s">
        <v>69</v>
      </c>
      <c r="N197" s="10"/>
      <c r="O197" s="11" t="s">
        <v>666</v>
      </c>
      <c r="P197" s="10" t="s">
        <v>71</v>
      </c>
      <c r="Q197" s="11" t="s">
        <v>72</v>
      </c>
      <c r="R197" s="11" t="s">
        <v>73</v>
      </c>
      <c r="S197" s="11" t="s">
        <v>74</v>
      </c>
      <c r="T197" s="11" t="s">
        <v>757</v>
      </c>
      <c r="U197" s="10" t="n">
        <f aca="false">IF(AND($D197="",$E197="",$F197=""),1,0)</f>
        <v>0</v>
      </c>
      <c r="V197" s="10" t="n">
        <f aca="false">IF(OR($I197="",$I197="—"),1,0)</f>
        <v>0</v>
      </c>
      <c r="W197" s="10" t="n">
        <f aca="false">IF(AND(ISNUMBER($D197),ISNUMBER($E197)),IF($E197&gt;$D197,1,0),0)+IF(AND(ISNUMBER($D197),ISNUMBER($F197)),IF($D197&gt;$F197,1,0),0)+IF(AND(ISNUMBER($E197),ISNUMBER($F197)),IF($E197&gt;$F197,1,0),0)</f>
        <v>0</v>
      </c>
      <c r="X197" s="13" t="s">
        <v>76</v>
      </c>
    </row>
    <row r="198" customFormat="false" ht="15" hidden="false" customHeight="false" outlineLevel="0" collapsed="false">
      <c r="A198" s="10" t="s">
        <v>758</v>
      </c>
      <c r="B198" s="10" t="s">
        <v>759</v>
      </c>
      <c r="C198" s="11" t="s">
        <v>499</v>
      </c>
      <c r="D198" s="12" t="n">
        <v>0.4874</v>
      </c>
      <c r="E198" s="12"/>
      <c r="F198" s="12"/>
      <c r="G198" s="10" t="s">
        <v>63</v>
      </c>
      <c r="H198" s="10" t="s">
        <v>662</v>
      </c>
      <c r="I198" s="11" t="s">
        <v>663</v>
      </c>
      <c r="J198" s="10" t="s">
        <v>697</v>
      </c>
      <c r="K198" s="10" t="s">
        <v>665</v>
      </c>
      <c r="L198" s="10" t="s">
        <v>68</v>
      </c>
      <c r="M198" s="10" t="s">
        <v>69</v>
      </c>
      <c r="N198" s="10"/>
      <c r="O198" s="11" t="s">
        <v>666</v>
      </c>
      <c r="P198" s="10" t="s">
        <v>71</v>
      </c>
      <c r="Q198" s="11" t="s">
        <v>72</v>
      </c>
      <c r="R198" s="11" t="s">
        <v>73</v>
      </c>
      <c r="S198" s="11" t="s">
        <v>74</v>
      </c>
      <c r="T198" s="10" t="s">
        <v>760</v>
      </c>
      <c r="U198" s="10" t="n">
        <f aca="false">IF(AND($D198="",$E198="",$F198=""),1,0)</f>
        <v>0</v>
      </c>
      <c r="V198" s="10" t="n">
        <f aca="false">IF(OR($I198="",$I198="—"),1,0)</f>
        <v>0</v>
      </c>
      <c r="W198" s="10" t="n">
        <f aca="false">IF(AND(ISNUMBER($D198),ISNUMBER($E198)),IF($E198&gt;$D198,1,0),0)+IF(AND(ISNUMBER($D198),ISNUMBER($F198)),IF($D198&gt;$F198,1,0),0)+IF(AND(ISNUMBER($E198),ISNUMBER($F198)),IF($E198&gt;$F198,1,0),0)</f>
        <v>0</v>
      </c>
      <c r="X198" s="13" t="s">
        <v>76</v>
      </c>
    </row>
    <row r="199" customFormat="false" ht="15" hidden="false" customHeight="false" outlineLevel="0" collapsed="false">
      <c r="A199" s="10" t="s">
        <v>761</v>
      </c>
      <c r="B199" s="10" t="s">
        <v>762</v>
      </c>
      <c r="C199" s="11" t="s">
        <v>763</v>
      </c>
      <c r="D199" s="12" t="n">
        <v>6.223</v>
      </c>
      <c r="E199" s="12"/>
      <c r="F199" s="12"/>
      <c r="G199" s="10" t="s">
        <v>63</v>
      </c>
      <c r="H199" s="10" t="s">
        <v>662</v>
      </c>
      <c r="I199" s="11" t="s">
        <v>663</v>
      </c>
      <c r="J199" s="10" t="s">
        <v>697</v>
      </c>
      <c r="K199" s="10" t="s">
        <v>665</v>
      </c>
      <c r="L199" s="10" t="s">
        <v>68</v>
      </c>
      <c r="M199" s="10" t="s">
        <v>636</v>
      </c>
      <c r="N199" s="10"/>
      <c r="O199" s="10" t="s">
        <v>636</v>
      </c>
      <c r="P199" s="10" t="s">
        <v>637</v>
      </c>
      <c r="Q199" s="11" t="s">
        <v>638</v>
      </c>
      <c r="R199" s="11" t="s">
        <v>639</v>
      </c>
      <c r="S199" s="11" t="s">
        <v>74</v>
      </c>
      <c r="T199" s="11" t="s">
        <v>764</v>
      </c>
      <c r="U199" s="10" t="n">
        <f aca="false">IF(AND($D199="",$E199="",$F199=""),1,0)</f>
        <v>0</v>
      </c>
      <c r="V199" s="10" t="n">
        <f aca="false">IF(OR($I199="",$I199="—"),1,0)</f>
        <v>0</v>
      </c>
      <c r="W199" s="10" t="n">
        <f aca="false">IF(AND(ISNUMBER($D199),ISNUMBER($E199)),IF($E199&gt;$D199,1,0),0)+IF(AND(ISNUMBER($D199),ISNUMBER($F199)),IF($D199&gt;$F199,1,0),0)+IF(AND(ISNUMBER($E199),ISNUMBER($F199)),IF($E199&gt;$F199,1,0),0)</f>
        <v>0</v>
      </c>
      <c r="X199" s="13" t="s">
        <v>76</v>
      </c>
    </row>
    <row r="200" customFormat="false" ht="15" hidden="false" customHeight="false" outlineLevel="0" collapsed="false">
      <c r="A200" s="10" t="s">
        <v>765</v>
      </c>
      <c r="B200" s="10" t="s">
        <v>766</v>
      </c>
      <c r="C200" s="11" t="s">
        <v>767</v>
      </c>
      <c r="D200" s="12" t="n">
        <v>0.7998</v>
      </c>
      <c r="E200" s="12"/>
      <c r="F200" s="12"/>
      <c r="G200" s="10" t="s">
        <v>63</v>
      </c>
      <c r="H200" s="10" t="s">
        <v>662</v>
      </c>
      <c r="I200" s="11" t="s">
        <v>663</v>
      </c>
      <c r="J200" s="10" t="s">
        <v>697</v>
      </c>
      <c r="K200" s="10" t="s">
        <v>665</v>
      </c>
      <c r="L200" s="10" t="s">
        <v>68</v>
      </c>
      <c r="M200" s="10" t="s">
        <v>636</v>
      </c>
      <c r="N200" s="10"/>
      <c r="O200" s="10" t="s">
        <v>636</v>
      </c>
      <c r="P200" s="10" t="s">
        <v>637</v>
      </c>
      <c r="Q200" s="11" t="s">
        <v>638</v>
      </c>
      <c r="R200" s="11" t="s">
        <v>639</v>
      </c>
      <c r="S200" s="11" t="s">
        <v>74</v>
      </c>
      <c r="T200" s="10" t="s">
        <v>768</v>
      </c>
      <c r="U200" s="10" t="n">
        <f aca="false">IF(AND($D200="",$E200="",$F200=""),1,0)</f>
        <v>0</v>
      </c>
      <c r="V200" s="10" t="n">
        <f aca="false">IF(OR($I200="",$I200="—"),1,0)</f>
        <v>0</v>
      </c>
      <c r="W200" s="10" t="n">
        <f aca="false">IF(AND(ISNUMBER($D200),ISNUMBER($E200)),IF($E200&gt;$D200,1,0),0)+IF(AND(ISNUMBER($D200),ISNUMBER($F200)),IF($D200&gt;$F200,1,0),0)+IF(AND(ISNUMBER($E200),ISNUMBER($F200)),IF($E200&gt;$F200,1,0),0)</f>
        <v>0</v>
      </c>
      <c r="X200" s="13" t="s">
        <v>76</v>
      </c>
    </row>
    <row r="201" customFormat="false" ht="15" hidden="false" customHeight="false" outlineLevel="0" collapsed="false">
      <c r="A201" s="10" t="s">
        <v>769</v>
      </c>
      <c r="B201" s="10" t="s">
        <v>770</v>
      </c>
      <c r="C201" s="11" t="s">
        <v>763</v>
      </c>
      <c r="D201" s="12" t="n">
        <v>1.5438</v>
      </c>
      <c r="E201" s="12"/>
      <c r="F201" s="12"/>
      <c r="G201" s="10" t="s">
        <v>63</v>
      </c>
      <c r="H201" s="10" t="s">
        <v>446</v>
      </c>
      <c r="I201" s="11" t="s">
        <v>447</v>
      </c>
      <c r="J201" s="10" t="s">
        <v>448</v>
      </c>
      <c r="K201" s="10" t="s">
        <v>449</v>
      </c>
      <c r="L201" s="10" t="s">
        <v>68</v>
      </c>
      <c r="M201" s="10" t="s">
        <v>636</v>
      </c>
      <c r="N201" s="10"/>
      <c r="O201" s="10" t="s">
        <v>636</v>
      </c>
      <c r="P201" s="10" t="s">
        <v>637</v>
      </c>
      <c r="Q201" s="11" t="s">
        <v>638</v>
      </c>
      <c r="R201" s="11" t="s">
        <v>639</v>
      </c>
      <c r="S201" s="11" t="s">
        <v>74</v>
      </c>
      <c r="T201" s="10" t="s">
        <v>771</v>
      </c>
      <c r="U201" s="10" t="n">
        <f aca="false">IF(AND($D201="",$E201="",$F201=""),1,0)</f>
        <v>0</v>
      </c>
      <c r="V201" s="10" t="n">
        <f aca="false">IF(OR($I201="",$I201="—"),1,0)</f>
        <v>0</v>
      </c>
      <c r="W201" s="10" t="n">
        <f aca="false">IF(AND(ISNUMBER($D201),ISNUMBER($E201)),IF($E201&gt;$D201,1,0),0)+IF(AND(ISNUMBER($D201),ISNUMBER($F201)),IF($D201&gt;$F201,1,0),0)+IF(AND(ISNUMBER($E201),ISNUMBER($F201)),IF($E201&gt;$F201,1,0),0)</f>
        <v>0</v>
      </c>
      <c r="X201" s="13" t="s">
        <v>76</v>
      </c>
    </row>
    <row r="202" customFormat="false" ht="15" hidden="false" customHeight="false" outlineLevel="0" collapsed="false">
      <c r="A202" s="10" t="s">
        <v>772</v>
      </c>
      <c r="B202" s="10" t="s">
        <v>773</v>
      </c>
      <c r="C202" s="11" t="s">
        <v>767</v>
      </c>
      <c r="D202" s="12" t="n">
        <v>2.733</v>
      </c>
      <c r="E202" s="12"/>
      <c r="F202" s="12"/>
      <c r="G202" s="10" t="s">
        <v>63</v>
      </c>
      <c r="H202" s="10" t="s">
        <v>446</v>
      </c>
      <c r="I202" s="11" t="s">
        <v>447</v>
      </c>
      <c r="J202" s="10" t="s">
        <v>448</v>
      </c>
      <c r="K202" s="10" t="s">
        <v>449</v>
      </c>
      <c r="L202" s="10" t="s">
        <v>68</v>
      </c>
      <c r="M202" s="10" t="s">
        <v>636</v>
      </c>
      <c r="N202" s="10"/>
      <c r="O202" s="10" t="s">
        <v>636</v>
      </c>
      <c r="P202" s="10" t="s">
        <v>637</v>
      </c>
      <c r="Q202" s="11" t="s">
        <v>638</v>
      </c>
      <c r="R202" s="11" t="s">
        <v>639</v>
      </c>
      <c r="S202" s="11" t="s">
        <v>74</v>
      </c>
      <c r="T202" s="10" t="s">
        <v>774</v>
      </c>
      <c r="U202" s="10" t="n">
        <f aca="false">IF(AND($D202="",$E202="",$F202=""),1,0)</f>
        <v>0</v>
      </c>
      <c r="V202" s="10" t="n">
        <f aca="false">IF(OR($I202="",$I202="—"),1,0)</f>
        <v>0</v>
      </c>
      <c r="W202" s="10" t="n">
        <f aca="false">IF(AND(ISNUMBER($D202),ISNUMBER($E202)),IF($E202&gt;$D202,1,0),0)+IF(AND(ISNUMBER($D202),ISNUMBER($F202)),IF($D202&gt;$F202,1,0),0)+IF(AND(ISNUMBER($E202),ISNUMBER($F202)),IF($E202&gt;$F202,1,0),0)</f>
        <v>0</v>
      </c>
      <c r="X202" s="13" t="s">
        <v>76</v>
      </c>
    </row>
    <row r="203" customFormat="false" ht="15" hidden="false" customHeight="false" outlineLevel="0" collapsed="false">
      <c r="A203" s="10" t="s">
        <v>775</v>
      </c>
      <c r="B203" s="10" t="s">
        <v>776</v>
      </c>
      <c r="C203" s="11" t="s">
        <v>224</v>
      </c>
      <c r="D203" s="12" t="n">
        <v>21.3117</v>
      </c>
      <c r="E203" s="12"/>
      <c r="F203" s="12"/>
      <c r="G203" s="10" t="s">
        <v>63</v>
      </c>
      <c r="H203" s="10" t="s">
        <v>662</v>
      </c>
      <c r="I203" s="11" t="s">
        <v>663</v>
      </c>
      <c r="J203" s="10" t="s">
        <v>664</v>
      </c>
      <c r="K203" s="10" t="s">
        <v>665</v>
      </c>
      <c r="L203" s="10" t="s">
        <v>68</v>
      </c>
      <c r="M203" s="10" t="s">
        <v>69</v>
      </c>
      <c r="N203" s="10"/>
      <c r="O203" s="11" t="s">
        <v>666</v>
      </c>
      <c r="P203" s="10" t="s">
        <v>71</v>
      </c>
      <c r="Q203" s="11" t="s">
        <v>72</v>
      </c>
      <c r="R203" s="11" t="s">
        <v>73</v>
      </c>
      <c r="S203" s="11" t="s">
        <v>74</v>
      </c>
      <c r="T203" s="11" t="s">
        <v>777</v>
      </c>
      <c r="U203" s="10" t="n">
        <f aca="false">IF(AND($D203="",$E203="",$F203=""),1,0)</f>
        <v>0</v>
      </c>
      <c r="V203" s="10" t="n">
        <f aca="false">IF(OR($I203="",$I203="—"),1,0)</f>
        <v>0</v>
      </c>
      <c r="W203" s="10" t="n">
        <f aca="false">IF(AND(ISNUMBER($D203),ISNUMBER($E203)),IF($E203&gt;$D203,1,0),0)+IF(AND(ISNUMBER($D203),ISNUMBER($F203)),IF($D203&gt;$F203,1,0),0)+IF(AND(ISNUMBER($E203),ISNUMBER($F203)),IF($E203&gt;$F203,1,0),0)</f>
        <v>0</v>
      </c>
      <c r="X203" s="13" t="s">
        <v>76</v>
      </c>
    </row>
    <row r="204" customFormat="false" ht="15" hidden="false" customHeight="false" outlineLevel="0" collapsed="false">
      <c r="A204" s="10" t="s">
        <v>778</v>
      </c>
      <c r="B204" s="10" t="s">
        <v>779</v>
      </c>
      <c r="C204" s="11" t="s">
        <v>240</v>
      </c>
      <c r="D204" s="12" t="n">
        <v>1.7767</v>
      </c>
      <c r="E204" s="12"/>
      <c r="F204" s="12"/>
      <c r="G204" s="10" t="s">
        <v>63</v>
      </c>
      <c r="H204" s="10" t="s">
        <v>662</v>
      </c>
      <c r="I204" s="11" t="s">
        <v>663</v>
      </c>
      <c r="J204" s="10" t="s">
        <v>664</v>
      </c>
      <c r="K204" s="10" t="s">
        <v>665</v>
      </c>
      <c r="L204" s="10" t="s">
        <v>68</v>
      </c>
      <c r="M204" s="10" t="s">
        <v>69</v>
      </c>
      <c r="N204" s="10"/>
      <c r="O204" s="11" t="s">
        <v>666</v>
      </c>
      <c r="P204" s="10" t="s">
        <v>71</v>
      </c>
      <c r="Q204" s="11" t="s">
        <v>72</v>
      </c>
      <c r="R204" s="11" t="s">
        <v>73</v>
      </c>
      <c r="S204" s="11" t="s">
        <v>74</v>
      </c>
      <c r="T204" s="11" t="s">
        <v>780</v>
      </c>
      <c r="U204" s="10" t="n">
        <f aca="false">IF(AND($D204="",$E204="",$F204=""),1,0)</f>
        <v>0</v>
      </c>
      <c r="V204" s="10" t="n">
        <f aca="false">IF(OR($I204="",$I204="—"),1,0)</f>
        <v>0</v>
      </c>
      <c r="W204" s="10" t="n">
        <f aca="false">IF(AND(ISNUMBER($D204),ISNUMBER($E204)),IF($E204&gt;$D204,1,0),0)+IF(AND(ISNUMBER($D204),ISNUMBER($F204)),IF($D204&gt;$F204,1,0),0)+IF(AND(ISNUMBER($E204),ISNUMBER($F204)),IF($E204&gt;$F204,1,0),0)</f>
        <v>0</v>
      </c>
      <c r="X204" s="13" t="s">
        <v>76</v>
      </c>
    </row>
    <row r="205" customFormat="false" ht="15" hidden="false" customHeight="false" outlineLevel="0" collapsed="false">
      <c r="A205" s="10" t="s">
        <v>781</v>
      </c>
      <c r="B205" s="10" t="s">
        <v>782</v>
      </c>
      <c r="C205" s="11" t="s">
        <v>256</v>
      </c>
      <c r="D205" s="12" t="n">
        <v>1.0335</v>
      </c>
      <c r="E205" s="12"/>
      <c r="F205" s="12"/>
      <c r="G205" s="10" t="s">
        <v>63</v>
      </c>
      <c r="H205" s="10" t="s">
        <v>662</v>
      </c>
      <c r="I205" s="11" t="s">
        <v>663</v>
      </c>
      <c r="J205" s="10" t="s">
        <v>664</v>
      </c>
      <c r="K205" s="10" t="s">
        <v>665</v>
      </c>
      <c r="L205" s="10" t="s">
        <v>68</v>
      </c>
      <c r="M205" s="10" t="s">
        <v>69</v>
      </c>
      <c r="N205" s="10"/>
      <c r="O205" s="11" t="s">
        <v>666</v>
      </c>
      <c r="P205" s="10" t="s">
        <v>71</v>
      </c>
      <c r="Q205" s="11" t="s">
        <v>72</v>
      </c>
      <c r="R205" s="11" t="s">
        <v>73</v>
      </c>
      <c r="S205" s="11" t="s">
        <v>74</v>
      </c>
      <c r="T205" s="11" t="s">
        <v>783</v>
      </c>
      <c r="U205" s="10" t="n">
        <f aca="false">IF(AND($D205="",$E205="",$F205=""),1,0)</f>
        <v>0</v>
      </c>
      <c r="V205" s="10" t="n">
        <f aca="false">IF(OR($I205="",$I205="—"),1,0)</f>
        <v>0</v>
      </c>
      <c r="W205" s="10" t="n">
        <f aca="false">IF(AND(ISNUMBER($D205),ISNUMBER($E205)),IF($E205&gt;$D205,1,0),0)+IF(AND(ISNUMBER($D205),ISNUMBER($F205)),IF($D205&gt;$F205,1,0),0)+IF(AND(ISNUMBER($E205),ISNUMBER($F205)),IF($E205&gt;$F205,1,0),0)</f>
        <v>0</v>
      </c>
      <c r="X205" s="13" t="s">
        <v>76</v>
      </c>
    </row>
    <row r="206" customFormat="false" ht="15" hidden="false" customHeight="false" outlineLevel="0" collapsed="false">
      <c r="A206" s="10" t="s">
        <v>784</v>
      </c>
      <c r="B206" s="10" t="s">
        <v>785</v>
      </c>
      <c r="C206" s="11" t="s">
        <v>786</v>
      </c>
      <c r="D206" s="12" t="n">
        <v>0.8576</v>
      </c>
      <c r="E206" s="12"/>
      <c r="F206" s="12"/>
      <c r="G206" s="10" t="s">
        <v>63</v>
      </c>
      <c r="H206" s="10" t="s">
        <v>662</v>
      </c>
      <c r="I206" s="11" t="s">
        <v>663</v>
      </c>
      <c r="J206" s="10" t="s">
        <v>664</v>
      </c>
      <c r="K206" s="10" t="s">
        <v>665</v>
      </c>
      <c r="L206" s="10" t="s">
        <v>68</v>
      </c>
      <c r="M206" s="10" t="s">
        <v>69</v>
      </c>
      <c r="N206" s="10"/>
      <c r="O206" s="11" t="s">
        <v>666</v>
      </c>
      <c r="P206" s="10" t="s">
        <v>71</v>
      </c>
      <c r="Q206" s="11" t="s">
        <v>72</v>
      </c>
      <c r="R206" s="11" t="s">
        <v>73</v>
      </c>
      <c r="S206" s="11" t="s">
        <v>74</v>
      </c>
      <c r="T206" s="11" t="s">
        <v>787</v>
      </c>
      <c r="U206" s="10" t="n">
        <f aca="false">IF(AND($D206="",$E206="",$F206=""),1,0)</f>
        <v>0</v>
      </c>
      <c r="V206" s="10" t="n">
        <f aca="false">IF(OR($I206="",$I206="—"),1,0)</f>
        <v>0</v>
      </c>
      <c r="W206" s="10" t="n">
        <f aca="false">IF(AND(ISNUMBER($D206),ISNUMBER($E206)),IF($E206&gt;$D206,1,0),0)+IF(AND(ISNUMBER($D206),ISNUMBER($F206)),IF($D206&gt;$F206,1,0),0)+IF(AND(ISNUMBER($E206),ISNUMBER($F206)),IF($E206&gt;$F206,1,0),0)</f>
        <v>0</v>
      </c>
      <c r="X206" s="13" t="s">
        <v>76</v>
      </c>
    </row>
    <row r="207" customFormat="false" ht="15" hidden="false" customHeight="false" outlineLevel="0" collapsed="false">
      <c r="A207" s="10" t="s">
        <v>788</v>
      </c>
      <c r="B207" s="10" t="s">
        <v>789</v>
      </c>
      <c r="C207" s="11" t="s">
        <v>272</v>
      </c>
      <c r="D207" s="12" t="n">
        <v>0.4144</v>
      </c>
      <c r="E207" s="12"/>
      <c r="F207" s="12"/>
      <c r="G207" s="10" t="s">
        <v>63</v>
      </c>
      <c r="H207" s="10" t="s">
        <v>662</v>
      </c>
      <c r="I207" s="11" t="s">
        <v>663</v>
      </c>
      <c r="J207" s="10" t="s">
        <v>664</v>
      </c>
      <c r="K207" s="10" t="s">
        <v>665</v>
      </c>
      <c r="L207" s="10" t="s">
        <v>68</v>
      </c>
      <c r="M207" s="10" t="s">
        <v>69</v>
      </c>
      <c r="N207" s="10"/>
      <c r="O207" s="11" t="s">
        <v>666</v>
      </c>
      <c r="P207" s="10" t="s">
        <v>71</v>
      </c>
      <c r="Q207" s="11" t="s">
        <v>72</v>
      </c>
      <c r="R207" s="11" t="s">
        <v>73</v>
      </c>
      <c r="S207" s="11" t="s">
        <v>74</v>
      </c>
      <c r="T207" s="11" t="s">
        <v>790</v>
      </c>
      <c r="U207" s="10" t="n">
        <f aca="false">IF(AND($D207="",$E207="",$F207=""),1,0)</f>
        <v>0</v>
      </c>
      <c r="V207" s="10" t="n">
        <f aca="false">IF(OR($I207="",$I207="—"),1,0)</f>
        <v>0</v>
      </c>
      <c r="W207" s="10" t="n">
        <f aca="false">IF(AND(ISNUMBER($D207),ISNUMBER($E207)),IF($E207&gt;$D207,1,0),0)+IF(AND(ISNUMBER($D207),ISNUMBER($F207)),IF($D207&gt;$F207,1,0),0)+IF(AND(ISNUMBER($E207),ISNUMBER($F207)),IF($E207&gt;$F207,1,0),0)</f>
        <v>0</v>
      </c>
      <c r="X207" s="13" t="s">
        <v>76</v>
      </c>
    </row>
    <row r="208" customFormat="false" ht="15" hidden="false" customHeight="false" outlineLevel="0" collapsed="false">
      <c r="A208" s="10" t="s">
        <v>791</v>
      </c>
      <c r="B208" s="10" t="s">
        <v>792</v>
      </c>
      <c r="C208" s="11" t="s">
        <v>560</v>
      </c>
      <c r="D208" s="12" t="n">
        <v>0.9593</v>
      </c>
      <c r="E208" s="12"/>
      <c r="F208" s="12"/>
      <c r="G208" s="10" t="s">
        <v>63</v>
      </c>
      <c r="H208" s="10" t="s">
        <v>662</v>
      </c>
      <c r="I208" s="11" t="s">
        <v>663</v>
      </c>
      <c r="J208" s="10" t="s">
        <v>664</v>
      </c>
      <c r="K208" s="10" t="s">
        <v>665</v>
      </c>
      <c r="L208" s="10" t="s">
        <v>68</v>
      </c>
      <c r="M208" s="10" t="s">
        <v>69</v>
      </c>
      <c r="N208" s="10"/>
      <c r="O208" s="11" t="s">
        <v>666</v>
      </c>
      <c r="P208" s="10" t="s">
        <v>71</v>
      </c>
      <c r="Q208" s="11" t="s">
        <v>72</v>
      </c>
      <c r="R208" s="11" t="s">
        <v>73</v>
      </c>
      <c r="S208" s="11" t="s">
        <v>74</v>
      </c>
      <c r="T208" s="11" t="s">
        <v>793</v>
      </c>
      <c r="U208" s="10" t="n">
        <f aca="false">IF(AND($D208="",$E208="",$F208=""),1,0)</f>
        <v>0</v>
      </c>
      <c r="V208" s="10" t="n">
        <f aca="false">IF(OR($I208="",$I208="—"),1,0)</f>
        <v>0</v>
      </c>
      <c r="W208" s="10" t="n">
        <f aca="false">IF(AND(ISNUMBER($D208),ISNUMBER($E208)),IF($E208&gt;$D208,1,0),0)+IF(AND(ISNUMBER($D208),ISNUMBER($F208)),IF($D208&gt;$F208,1,0),0)+IF(AND(ISNUMBER($E208),ISNUMBER($F208)),IF($E208&gt;$F208,1,0),0)</f>
        <v>0</v>
      </c>
      <c r="X208" s="13" t="s">
        <v>76</v>
      </c>
    </row>
    <row r="209" customFormat="false" ht="15" hidden="false" customHeight="false" outlineLevel="0" collapsed="false">
      <c r="A209" s="10" t="s">
        <v>794</v>
      </c>
      <c r="B209" s="10" t="s">
        <v>795</v>
      </c>
      <c r="C209" s="11" t="s">
        <v>796</v>
      </c>
      <c r="D209" s="12" t="n">
        <v>20.7199</v>
      </c>
      <c r="E209" s="12"/>
      <c r="F209" s="12"/>
      <c r="G209" s="10" t="s">
        <v>63</v>
      </c>
      <c r="H209" s="10" t="s">
        <v>662</v>
      </c>
      <c r="I209" s="11" t="s">
        <v>663</v>
      </c>
      <c r="J209" s="10" t="s">
        <v>664</v>
      </c>
      <c r="K209" s="10" t="s">
        <v>665</v>
      </c>
      <c r="L209" s="10" t="s">
        <v>68</v>
      </c>
      <c r="M209" s="10" t="s">
        <v>69</v>
      </c>
      <c r="N209" s="10"/>
      <c r="O209" s="11" t="s">
        <v>666</v>
      </c>
      <c r="P209" s="10" t="s">
        <v>71</v>
      </c>
      <c r="Q209" s="11" t="s">
        <v>72</v>
      </c>
      <c r="R209" s="11" t="s">
        <v>73</v>
      </c>
      <c r="S209" s="11" t="s">
        <v>74</v>
      </c>
      <c r="T209" s="10" t="s">
        <v>797</v>
      </c>
      <c r="U209" s="10" t="n">
        <f aca="false">IF(AND($D209="",$E209="",$F209=""),1,0)</f>
        <v>0</v>
      </c>
      <c r="V209" s="10" t="n">
        <f aca="false">IF(OR($I209="",$I209="—"),1,0)</f>
        <v>0</v>
      </c>
      <c r="W209" s="10" t="n">
        <f aca="false">IF(AND(ISNUMBER($D209),ISNUMBER($E209)),IF($E209&gt;$D209,1,0),0)+IF(AND(ISNUMBER($D209),ISNUMBER($F209)),IF($D209&gt;$F209,1,0),0)+IF(AND(ISNUMBER($E209),ISNUMBER($F209)),IF($E209&gt;$F209,1,0),0)</f>
        <v>0</v>
      </c>
      <c r="X209" s="13" t="s">
        <v>76</v>
      </c>
    </row>
    <row r="210" customFormat="false" ht="15" hidden="false" customHeight="false" outlineLevel="0" collapsed="false">
      <c r="A210" s="10" t="s">
        <v>798</v>
      </c>
      <c r="B210" s="10" t="s">
        <v>799</v>
      </c>
      <c r="C210" s="11" t="s">
        <v>336</v>
      </c>
      <c r="D210" s="12" t="n">
        <v>19.6414</v>
      </c>
      <c r="E210" s="12"/>
      <c r="F210" s="12"/>
      <c r="G210" s="10" t="s">
        <v>63</v>
      </c>
      <c r="H210" s="10" t="s">
        <v>662</v>
      </c>
      <c r="I210" s="11" t="s">
        <v>663</v>
      </c>
      <c r="J210" s="10" t="s">
        <v>664</v>
      </c>
      <c r="K210" s="10" t="s">
        <v>665</v>
      </c>
      <c r="L210" s="10" t="s">
        <v>68</v>
      </c>
      <c r="M210" s="10" t="s">
        <v>69</v>
      </c>
      <c r="N210" s="10"/>
      <c r="O210" s="11" t="s">
        <v>666</v>
      </c>
      <c r="P210" s="10" t="s">
        <v>71</v>
      </c>
      <c r="Q210" s="11" t="s">
        <v>72</v>
      </c>
      <c r="R210" s="11" t="s">
        <v>73</v>
      </c>
      <c r="S210" s="11" t="s">
        <v>74</v>
      </c>
      <c r="T210" s="11" t="s">
        <v>800</v>
      </c>
      <c r="U210" s="10" t="n">
        <f aca="false">IF(AND($D210="",$E210="",$F210=""),1,0)</f>
        <v>0</v>
      </c>
      <c r="V210" s="10" t="n">
        <f aca="false">IF(OR($I210="",$I210="—"),1,0)</f>
        <v>0</v>
      </c>
      <c r="W210" s="10" t="n">
        <f aca="false">IF(AND(ISNUMBER($D210),ISNUMBER($E210)),IF($E210&gt;$D210,1,0),0)+IF(AND(ISNUMBER($D210),ISNUMBER($F210)),IF($D210&gt;$F210,1,0),0)+IF(AND(ISNUMBER($E210),ISNUMBER($F210)),IF($E210&gt;$F210,1,0),0)</f>
        <v>0</v>
      </c>
      <c r="X210" s="13" t="s">
        <v>76</v>
      </c>
    </row>
    <row r="211" customFormat="false" ht="15" hidden="false" customHeight="false" outlineLevel="0" collapsed="false">
      <c r="A211" s="10" t="s">
        <v>801</v>
      </c>
      <c r="B211" s="10" t="s">
        <v>802</v>
      </c>
      <c r="C211" s="11" t="s">
        <v>803</v>
      </c>
      <c r="D211" s="12" t="n">
        <v>17.51</v>
      </c>
      <c r="E211" s="12"/>
      <c r="F211" s="12"/>
      <c r="G211" s="10" t="s">
        <v>63</v>
      </c>
      <c r="H211" s="10" t="s">
        <v>92</v>
      </c>
      <c r="I211" s="10" t="s">
        <v>804</v>
      </c>
      <c r="J211" s="10" t="s">
        <v>805</v>
      </c>
      <c r="K211" s="10" t="s">
        <v>806</v>
      </c>
      <c r="L211" s="10" t="s">
        <v>68</v>
      </c>
      <c r="M211" s="10" t="s">
        <v>416</v>
      </c>
      <c r="N211" s="11" t="s">
        <v>709</v>
      </c>
      <c r="O211" s="11" t="s">
        <v>709</v>
      </c>
      <c r="P211" s="10" t="s">
        <v>637</v>
      </c>
      <c r="Q211" s="11" t="s">
        <v>72</v>
      </c>
      <c r="R211" s="11" t="s">
        <v>709</v>
      </c>
      <c r="S211" s="11" t="s">
        <v>710</v>
      </c>
      <c r="T211" s="11" t="s">
        <v>807</v>
      </c>
      <c r="U211" s="10" t="n">
        <f aca="false">IF(AND($D211="",$E211="",$F211=""),1,0)</f>
        <v>0</v>
      </c>
      <c r="V211" s="10" t="n">
        <f aca="false">IF(OR($I211="",$I211="—"),1,0)</f>
        <v>0</v>
      </c>
      <c r="W211" s="10" t="n">
        <f aca="false">IF(AND(ISNUMBER($D211),ISNUMBER($E211)),IF($E211&gt;$D211,1,0),0)+IF(AND(ISNUMBER($D211),ISNUMBER($F211)),IF($D211&gt;$F211,1,0),0)+IF(AND(ISNUMBER($E211),ISNUMBER($F211)),IF($E211&gt;$F211,1,0),0)</f>
        <v>0</v>
      </c>
      <c r="X211" s="13" t="s">
        <v>76</v>
      </c>
    </row>
    <row r="212" customFormat="false" ht="15" hidden="false" customHeight="false" outlineLevel="0" collapsed="false">
      <c r="A212" s="10" t="s">
        <v>808</v>
      </c>
      <c r="B212" s="10" t="s">
        <v>809</v>
      </c>
      <c r="C212" s="11" t="s">
        <v>810</v>
      </c>
      <c r="D212" s="12" t="n">
        <v>-23.51</v>
      </c>
      <c r="E212" s="12"/>
      <c r="F212" s="12"/>
      <c r="G212" s="10" t="s">
        <v>63</v>
      </c>
      <c r="H212" s="10" t="s">
        <v>92</v>
      </c>
      <c r="I212" s="11" t="s">
        <v>811</v>
      </c>
      <c r="J212" s="10" t="s">
        <v>812</v>
      </c>
      <c r="K212" s="10" t="s">
        <v>813</v>
      </c>
      <c r="L212" s="10" t="s">
        <v>68</v>
      </c>
      <c r="M212" s="10" t="s">
        <v>416</v>
      </c>
      <c r="N212" s="11" t="s">
        <v>718</v>
      </c>
      <c r="O212" s="11" t="s">
        <v>719</v>
      </c>
      <c r="P212" s="10" t="s">
        <v>637</v>
      </c>
      <c r="Q212" s="11" t="s">
        <v>72</v>
      </c>
      <c r="R212" s="11" t="s">
        <v>718</v>
      </c>
      <c r="S212" s="11" t="s">
        <v>710</v>
      </c>
      <c r="T212" s="11" t="s">
        <v>814</v>
      </c>
      <c r="U212" s="10" t="n">
        <f aca="false">IF(AND($D212="",$E212="",$F212=""),1,0)</f>
        <v>0</v>
      </c>
      <c r="V212" s="10" t="n">
        <f aca="false">IF(OR($I212="",$I212="—"),1,0)</f>
        <v>0</v>
      </c>
      <c r="W212" s="10" t="n">
        <f aca="false">IF(AND(ISNUMBER($D212),ISNUMBER($E212)),IF($E212&gt;$D212,1,0),0)+IF(AND(ISNUMBER($D212),ISNUMBER($F212)),IF($D212&gt;$F212,1,0),0)+IF(AND(ISNUMBER($E212),ISNUMBER($F212)),IF($E212&gt;$F212,1,0),0)</f>
        <v>0</v>
      </c>
      <c r="X212" s="13" t="s">
        <v>76</v>
      </c>
    </row>
    <row r="213" customFormat="false" ht="15" hidden="false" customHeight="false" outlineLevel="0" collapsed="false">
      <c r="A213" s="10" t="s">
        <v>815</v>
      </c>
      <c r="B213" s="10" t="s">
        <v>816</v>
      </c>
      <c r="C213" s="11" t="s">
        <v>578</v>
      </c>
      <c r="D213" s="12" t="n">
        <v>3.906</v>
      </c>
      <c r="E213" s="12"/>
      <c r="F213" s="12"/>
      <c r="G213" s="10" t="s">
        <v>63</v>
      </c>
      <c r="H213" s="10" t="s">
        <v>662</v>
      </c>
      <c r="I213" s="11" t="s">
        <v>663</v>
      </c>
      <c r="J213" s="10" t="s">
        <v>697</v>
      </c>
      <c r="K213" s="10" t="s">
        <v>665</v>
      </c>
      <c r="L213" s="10" t="s">
        <v>68</v>
      </c>
      <c r="M213" s="10" t="s">
        <v>69</v>
      </c>
      <c r="N213" s="10"/>
      <c r="O213" s="11" t="s">
        <v>666</v>
      </c>
      <c r="P213" s="10" t="s">
        <v>71</v>
      </c>
      <c r="Q213" s="11" t="s">
        <v>72</v>
      </c>
      <c r="R213" s="11" t="s">
        <v>73</v>
      </c>
      <c r="S213" s="11" t="s">
        <v>74</v>
      </c>
      <c r="T213" s="11" t="s">
        <v>817</v>
      </c>
      <c r="U213" s="10" t="n">
        <f aca="false">IF(AND($D213="",$E213="",$F213=""),1,0)</f>
        <v>0</v>
      </c>
      <c r="V213" s="10" t="n">
        <f aca="false">IF(OR($I213="",$I213="—"),1,0)</f>
        <v>0</v>
      </c>
      <c r="W213" s="10" t="n">
        <f aca="false">IF(AND(ISNUMBER($D213),ISNUMBER($E213)),IF($E213&gt;$D213,1,0),0)+IF(AND(ISNUMBER($D213),ISNUMBER($F213)),IF($D213&gt;$F213,1,0),0)+IF(AND(ISNUMBER($E213),ISNUMBER($F213)),IF($E213&gt;$F213,1,0),0)</f>
        <v>0</v>
      </c>
      <c r="X213" s="13" t="s">
        <v>76</v>
      </c>
    </row>
    <row r="214" customFormat="false" ht="15" hidden="false" customHeight="false" outlineLevel="0" collapsed="false">
      <c r="A214" s="10" t="s">
        <v>818</v>
      </c>
      <c r="B214" s="10" t="s">
        <v>819</v>
      </c>
      <c r="C214" s="11" t="s">
        <v>578</v>
      </c>
      <c r="D214" s="12" t="n">
        <v>0.537</v>
      </c>
      <c r="E214" s="12"/>
      <c r="F214" s="12"/>
      <c r="G214" s="10" t="s">
        <v>63</v>
      </c>
      <c r="H214" s="10" t="s">
        <v>92</v>
      </c>
      <c r="I214" s="11" t="s">
        <v>663</v>
      </c>
      <c r="J214" s="10" t="s">
        <v>697</v>
      </c>
      <c r="K214" s="10" t="s">
        <v>665</v>
      </c>
      <c r="L214" s="10" t="s">
        <v>68</v>
      </c>
      <c r="M214" s="10" t="s">
        <v>69</v>
      </c>
      <c r="N214" s="10"/>
      <c r="O214" s="11" t="s">
        <v>666</v>
      </c>
      <c r="P214" s="10" t="s">
        <v>71</v>
      </c>
      <c r="Q214" s="11" t="s">
        <v>72</v>
      </c>
      <c r="R214" s="11" t="s">
        <v>73</v>
      </c>
      <c r="S214" s="11" t="s">
        <v>74</v>
      </c>
      <c r="T214" s="11" t="s">
        <v>820</v>
      </c>
      <c r="U214" s="10" t="n">
        <f aca="false">IF(AND($D214="",$E214="",$F214=""),1,0)</f>
        <v>0</v>
      </c>
      <c r="V214" s="10" t="n">
        <f aca="false">IF(OR($I214="",$I214="—"),1,0)</f>
        <v>0</v>
      </c>
      <c r="W214" s="10" t="n">
        <f aca="false">IF(AND(ISNUMBER($D214),ISNUMBER($E214)),IF($E214&gt;$D214,1,0),0)+IF(AND(ISNUMBER($D214),ISNUMBER($F214)),IF($D214&gt;$F214,1,0),0)+IF(AND(ISNUMBER($E214),ISNUMBER($F214)),IF($E214&gt;$F214,1,0),0)</f>
        <v>0</v>
      </c>
      <c r="X214" s="13" t="s">
        <v>76</v>
      </c>
    </row>
    <row r="215" customFormat="false" ht="15" hidden="false" customHeight="false" outlineLevel="0" collapsed="false">
      <c r="A215" s="10" t="s">
        <v>821</v>
      </c>
      <c r="B215" s="10" t="s">
        <v>822</v>
      </c>
      <c r="C215" s="11" t="s">
        <v>823</v>
      </c>
      <c r="D215" s="12" t="n">
        <v>39.9372</v>
      </c>
      <c r="E215" s="12"/>
      <c r="F215" s="12"/>
      <c r="G215" s="10" t="s">
        <v>63</v>
      </c>
      <c r="H215" s="10" t="s">
        <v>824</v>
      </c>
      <c r="I215" s="11" t="s">
        <v>663</v>
      </c>
      <c r="J215" s="10" t="s">
        <v>664</v>
      </c>
      <c r="K215" s="10" t="s">
        <v>665</v>
      </c>
      <c r="L215" s="10" t="s">
        <v>68</v>
      </c>
      <c r="M215" s="10" t="s">
        <v>69</v>
      </c>
      <c r="N215" s="10"/>
      <c r="O215" s="11" t="s">
        <v>666</v>
      </c>
      <c r="P215" s="10" t="s">
        <v>71</v>
      </c>
      <c r="Q215" s="11" t="s">
        <v>72</v>
      </c>
      <c r="R215" s="11" t="s">
        <v>73</v>
      </c>
      <c r="S215" s="11" t="s">
        <v>74</v>
      </c>
      <c r="T215" s="11" t="s">
        <v>825</v>
      </c>
      <c r="U215" s="10" t="n">
        <f aca="false">IF(AND($D215="",$E215="",$F215=""),1,0)</f>
        <v>0</v>
      </c>
      <c r="V215" s="10" t="n">
        <f aca="false">IF(OR($I215="",$I215="—"),1,0)</f>
        <v>0</v>
      </c>
      <c r="W215" s="10" t="n">
        <f aca="false">IF(AND(ISNUMBER($D215),ISNUMBER($E215)),IF($E215&gt;$D215,1,0),0)+IF(AND(ISNUMBER($D215),ISNUMBER($F215)),IF($D215&gt;$F215,1,0),0)+IF(AND(ISNUMBER($E215),ISNUMBER($F215)),IF($E215&gt;$F215,1,0),0)</f>
        <v>0</v>
      </c>
      <c r="X215" s="13" t="s">
        <v>76</v>
      </c>
    </row>
    <row r="216" customFormat="false" ht="15" hidden="false" customHeight="false" outlineLevel="0" collapsed="false">
      <c r="A216" s="10" t="s">
        <v>826</v>
      </c>
      <c r="B216" s="10" t="s">
        <v>827</v>
      </c>
      <c r="C216" s="11" t="s">
        <v>828</v>
      </c>
      <c r="D216" s="12" t="n">
        <v>0</v>
      </c>
      <c r="E216" s="12"/>
      <c r="F216" s="12"/>
      <c r="G216" s="10" t="s">
        <v>63</v>
      </c>
      <c r="H216" s="10" t="s">
        <v>824</v>
      </c>
      <c r="I216" s="11" t="s">
        <v>663</v>
      </c>
      <c r="J216" s="10" t="s">
        <v>664</v>
      </c>
      <c r="K216" s="10" t="s">
        <v>665</v>
      </c>
      <c r="L216" s="10" t="s">
        <v>68</v>
      </c>
      <c r="M216" s="10" t="s">
        <v>69</v>
      </c>
      <c r="N216" s="10"/>
      <c r="O216" s="11" t="s">
        <v>666</v>
      </c>
      <c r="P216" s="10" t="s">
        <v>71</v>
      </c>
      <c r="Q216" s="11" t="s">
        <v>72</v>
      </c>
      <c r="R216" s="11" t="s">
        <v>73</v>
      </c>
      <c r="S216" s="11" t="s">
        <v>74</v>
      </c>
      <c r="T216" s="10" t="s">
        <v>829</v>
      </c>
      <c r="U216" s="10" t="n">
        <f aca="false">IF(AND($D216="",$E216="",$F216=""),1,0)</f>
        <v>0</v>
      </c>
      <c r="V216" s="10" t="n">
        <f aca="false">IF(OR($I216="",$I216="—"),1,0)</f>
        <v>0</v>
      </c>
      <c r="W216" s="10" t="n">
        <f aca="false">IF(AND(ISNUMBER($D216),ISNUMBER($E216)),IF($E216&gt;$D216,1,0),0)+IF(AND(ISNUMBER($D216),ISNUMBER($F216)),IF($D216&gt;$F216,1,0),0)+IF(AND(ISNUMBER($E216),ISNUMBER($F216)),IF($E216&gt;$F216,1,0),0)</f>
        <v>0</v>
      </c>
      <c r="X216" s="13" t="s">
        <v>76</v>
      </c>
    </row>
    <row r="217" customFormat="false" ht="15" hidden="false" customHeight="false" outlineLevel="0" collapsed="false">
      <c r="A217" s="10" t="s">
        <v>830</v>
      </c>
      <c r="B217" s="10" t="s">
        <v>831</v>
      </c>
      <c r="C217" s="11" t="s">
        <v>600</v>
      </c>
      <c r="D217" s="12" t="n">
        <v>22.2479</v>
      </c>
      <c r="E217" s="12"/>
      <c r="F217" s="12"/>
      <c r="G217" s="10" t="s">
        <v>63</v>
      </c>
      <c r="H217" s="10" t="s">
        <v>824</v>
      </c>
      <c r="I217" s="11" t="s">
        <v>663</v>
      </c>
      <c r="J217" s="10" t="s">
        <v>664</v>
      </c>
      <c r="K217" s="10" t="s">
        <v>665</v>
      </c>
      <c r="L217" s="10" t="s">
        <v>68</v>
      </c>
      <c r="M217" s="10" t="s">
        <v>69</v>
      </c>
      <c r="N217" s="10"/>
      <c r="O217" s="11" t="s">
        <v>666</v>
      </c>
      <c r="P217" s="10" t="s">
        <v>71</v>
      </c>
      <c r="Q217" s="11" t="s">
        <v>72</v>
      </c>
      <c r="R217" s="11" t="s">
        <v>73</v>
      </c>
      <c r="S217" s="11" t="s">
        <v>74</v>
      </c>
      <c r="T217" s="11" t="s">
        <v>832</v>
      </c>
      <c r="U217" s="10" t="n">
        <f aca="false">IF(AND($D217="",$E217="",$F217=""),1,0)</f>
        <v>0</v>
      </c>
      <c r="V217" s="10" t="n">
        <f aca="false">IF(OR($I217="",$I217="—"),1,0)</f>
        <v>0</v>
      </c>
      <c r="W217" s="10" t="n">
        <f aca="false">IF(AND(ISNUMBER($D217),ISNUMBER($E217)),IF($E217&gt;$D217,1,0),0)+IF(AND(ISNUMBER($D217),ISNUMBER($F217)),IF($D217&gt;$F217,1,0),0)+IF(AND(ISNUMBER($E217),ISNUMBER($F217)),IF($E217&gt;$F217,1,0),0)</f>
        <v>0</v>
      </c>
      <c r="X217" s="13" t="s">
        <v>76</v>
      </c>
    </row>
    <row r="218" customFormat="false" ht="15" hidden="false" customHeight="false" outlineLevel="0" collapsed="false">
      <c r="A218" s="10" t="s">
        <v>833</v>
      </c>
      <c r="B218" s="10" t="s">
        <v>834</v>
      </c>
      <c r="C218" s="11" t="s">
        <v>835</v>
      </c>
      <c r="D218" s="12" t="n">
        <v>7.8983</v>
      </c>
      <c r="E218" s="12"/>
      <c r="F218" s="12"/>
      <c r="G218" s="10" t="s">
        <v>63</v>
      </c>
      <c r="H218" s="10" t="s">
        <v>824</v>
      </c>
      <c r="I218" s="11" t="s">
        <v>663</v>
      </c>
      <c r="J218" s="10" t="s">
        <v>664</v>
      </c>
      <c r="K218" s="10" t="s">
        <v>665</v>
      </c>
      <c r="L218" s="10" t="s">
        <v>68</v>
      </c>
      <c r="M218" s="10" t="s">
        <v>69</v>
      </c>
      <c r="N218" s="10"/>
      <c r="O218" s="11" t="s">
        <v>666</v>
      </c>
      <c r="P218" s="10" t="s">
        <v>71</v>
      </c>
      <c r="Q218" s="11" t="s">
        <v>72</v>
      </c>
      <c r="R218" s="11" t="s">
        <v>73</v>
      </c>
      <c r="S218" s="11" t="s">
        <v>74</v>
      </c>
      <c r="T218" s="10" t="s">
        <v>836</v>
      </c>
      <c r="U218" s="10" t="n">
        <f aca="false">IF(AND($D218="",$E218="",$F218=""),1,0)</f>
        <v>0</v>
      </c>
      <c r="V218" s="10" t="n">
        <f aca="false">IF(OR($I218="",$I218="—"),1,0)</f>
        <v>0</v>
      </c>
      <c r="W218" s="10" t="n">
        <f aca="false">IF(AND(ISNUMBER($D218),ISNUMBER($E218)),IF($E218&gt;$D218,1,0),0)+IF(AND(ISNUMBER($D218),ISNUMBER($F218)),IF($D218&gt;$F218,1,0),0)+IF(AND(ISNUMBER($E218),ISNUMBER($F218)),IF($E218&gt;$F218,1,0),0)</f>
        <v>0</v>
      </c>
      <c r="X218" s="13" t="s">
        <v>76</v>
      </c>
    </row>
    <row r="219" customFormat="false" ht="15" hidden="false" customHeight="false" outlineLevel="0" collapsed="false">
      <c r="A219" s="10" t="s">
        <v>837</v>
      </c>
      <c r="B219" s="10" t="s">
        <v>838</v>
      </c>
      <c r="C219" s="11" t="s">
        <v>839</v>
      </c>
      <c r="D219" s="12" t="n">
        <v>14.3496</v>
      </c>
      <c r="E219" s="12"/>
      <c r="F219" s="12"/>
      <c r="G219" s="10" t="s">
        <v>63</v>
      </c>
      <c r="H219" s="10" t="s">
        <v>824</v>
      </c>
      <c r="I219" s="11" t="s">
        <v>663</v>
      </c>
      <c r="J219" s="10" t="s">
        <v>664</v>
      </c>
      <c r="K219" s="10" t="s">
        <v>665</v>
      </c>
      <c r="L219" s="10" t="s">
        <v>68</v>
      </c>
      <c r="M219" s="10" t="s">
        <v>69</v>
      </c>
      <c r="N219" s="10"/>
      <c r="O219" s="11" t="s">
        <v>666</v>
      </c>
      <c r="P219" s="10" t="s">
        <v>71</v>
      </c>
      <c r="Q219" s="11" t="s">
        <v>72</v>
      </c>
      <c r="R219" s="11" t="s">
        <v>73</v>
      </c>
      <c r="S219" s="11" t="s">
        <v>74</v>
      </c>
      <c r="T219" s="10" t="s">
        <v>840</v>
      </c>
      <c r="U219" s="10" t="n">
        <f aca="false">IF(AND($D219="",$E219="",$F219=""),1,0)</f>
        <v>0</v>
      </c>
      <c r="V219" s="10" t="n">
        <f aca="false">IF(OR($I219="",$I219="—"),1,0)</f>
        <v>0</v>
      </c>
      <c r="W219" s="10" t="n">
        <f aca="false">IF(AND(ISNUMBER($D219),ISNUMBER($E219)),IF($E219&gt;$D219,1,0),0)+IF(AND(ISNUMBER($D219),ISNUMBER($F219)),IF($D219&gt;$F219,1,0),0)+IF(AND(ISNUMBER($E219),ISNUMBER($F219)),IF($E219&gt;$F219,1,0),0)</f>
        <v>0</v>
      </c>
      <c r="X219" s="13" t="s">
        <v>76</v>
      </c>
    </row>
    <row r="220" customFormat="false" ht="15" hidden="false" customHeight="false" outlineLevel="0" collapsed="false">
      <c r="A220" s="10" t="s">
        <v>841</v>
      </c>
      <c r="B220" s="10" t="s">
        <v>842</v>
      </c>
      <c r="C220" s="11" t="s">
        <v>843</v>
      </c>
      <c r="D220" s="12" t="n">
        <v>6.0484</v>
      </c>
      <c r="E220" s="12"/>
      <c r="F220" s="12"/>
      <c r="G220" s="10" t="s">
        <v>63</v>
      </c>
      <c r="H220" s="10" t="s">
        <v>626</v>
      </c>
      <c r="I220" s="11" t="s">
        <v>447</v>
      </c>
      <c r="J220" s="10" t="s">
        <v>448</v>
      </c>
      <c r="K220" s="10" t="s">
        <v>449</v>
      </c>
      <c r="L220" s="10" t="s">
        <v>68</v>
      </c>
      <c r="M220" s="10" t="s">
        <v>69</v>
      </c>
      <c r="N220" s="10"/>
      <c r="O220" s="11" t="s">
        <v>450</v>
      </c>
      <c r="P220" s="10" t="s">
        <v>71</v>
      </c>
      <c r="Q220" s="11" t="s">
        <v>72</v>
      </c>
      <c r="R220" s="11" t="s">
        <v>73</v>
      </c>
      <c r="S220" s="11" t="s">
        <v>74</v>
      </c>
      <c r="T220" s="10" t="s">
        <v>844</v>
      </c>
      <c r="U220" s="10" t="n">
        <f aca="false">IF(AND($D220="",$E220="",$F220=""),1,0)</f>
        <v>0</v>
      </c>
      <c r="V220" s="10" t="n">
        <f aca="false">IF(OR($I220="",$I220="—"),1,0)</f>
        <v>0</v>
      </c>
      <c r="W220" s="10" t="n">
        <f aca="false">IF(AND(ISNUMBER($D220),ISNUMBER($E220)),IF($E220&gt;$D220,1,0),0)+IF(AND(ISNUMBER($D220),ISNUMBER($F220)),IF($D220&gt;$F220,1,0),0)+IF(AND(ISNUMBER($E220),ISNUMBER($F220)),IF($E220&gt;$F220,1,0),0)</f>
        <v>0</v>
      </c>
      <c r="X220" s="13" t="s">
        <v>76</v>
      </c>
    </row>
    <row r="221" customFormat="false" ht="15" hidden="false" customHeight="false" outlineLevel="0" collapsed="false">
      <c r="A221" s="10" t="s">
        <v>845</v>
      </c>
      <c r="B221" s="10" t="s">
        <v>846</v>
      </c>
      <c r="C221" s="11" t="s">
        <v>839</v>
      </c>
      <c r="D221" s="12" t="n">
        <v>0.8462</v>
      </c>
      <c r="E221" s="12"/>
      <c r="F221" s="12"/>
      <c r="G221" s="10" t="s">
        <v>63</v>
      </c>
      <c r="H221" s="10" t="s">
        <v>626</v>
      </c>
      <c r="I221" s="11" t="s">
        <v>447</v>
      </c>
      <c r="J221" s="10" t="s">
        <v>448</v>
      </c>
      <c r="K221" s="10" t="s">
        <v>449</v>
      </c>
      <c r="L221" s="10" t="s">
        <v>68</v>
      </c>
      <c r="M221" s="10" t="s">
        <v>69</v>
      </c>
      <c r="N221" s="10"/>
      <c r="O221" s="11" t="s">
        <v>450</v>
      </c>
      <c r="P221" s="10" t="s">
        <v>71</v>
      </c>
      <c r="Q221" s="11" t="s">
        <v>72</v>
      </c>
      <c r="R221" s="11" t="s">
        <v>73</v>
      </c>
      <c r="S221" s="11" t="s">
        <v>74</v>
      </c>
      <c r="T221" s="10" t="s">
        <v>847</v>
      </c>
      <c r="U221" s="10" t="n">
        <f aca="false">IF(AND($D221="",$E221="",$F221=""),1,0)</f>
        <v>0</v>
      </c>
      <c r="V221" s="10" t="n">
        <f aca="false">IF(OR($I221="",$I221="—"),1,0)</f>
        <v>0</v>
      </c>
      <c r="W221" s="10" t="n">
        <f aca="false">IF(AND(ISNUMBER($D221),ISNUMBER($E221)),IF($E221&gt;$D221,1,0),0)+IF(AND(ISNUMBER($D221),ISNUMBER($F221)),IF($D221&gt;$F221,1,0),0)+IF(AND(ISNUMBER($E221),ISNUMBER($F221)),IF($E221&gt;$F221,1,0),0)</f>
        <v>0</v>
      </c>
      <c r="X221" s="13" t="s">
        <v>76</v>
      </c>
    </row>
    <row r="222" customFormat="false" ht="15" hidden="false" customHeight="false" outlineLevel="0" collapsed="false">
      <c r="A222" s="10" t="s">
        <v>848</v>
      </c>
      <c r="B222" s="10" t="s">
        <v>849</v>
      </c>
      <c r="C222" s="11" t="s">
        <v>850</v>
      </c>
      <c r="D222" s="12" t="n">
        <v>14.2742</v>
      </c>
      <c r="E222" s="12"/>
      <c r="F222" s="12"/>
      <c r="G222" s="10" t="s">
        <v>63</v>
      </c>
      <c r="H222" s="10" t="s">
        <v>824</v>
      </c>
      <c r="I222" s="11" t="s">
        <v>663</v>
      </c>
      <c r="J222" s="10" t="s">
        <v>697</v>
      </c>
      <c r="K222" s="10" t="s">
        <v>665</v>
      </c>
      <c r="L222" s="10" t="s">
        <v>68</v>
      </c>
      <c r="M222" s="10" t="s">
        <v>69</v>
      </c>
      <c r="N222" s="10"/>
      <c r="O222" s="11" t="s">
        <v>666</v>
      </c>
      <c r="P222" s="10" t="s">
        <v>71</v>
      </c>
      <c r="Q222" s="11" t="s">
        <v>72</v>
      </c>
      <c r="R222" s="11" t="s">
        <v>73</v>
      </c>
      <c r="S222" s="11" t="s">
        <v>74</v>
      </c>
      <c r="T222" s="10" t="s">
        <v>851</v>
      </c>
      <c r="U222" s="10" t="n">
        <f aca="false">IF(AND($D222="",$E222="",$F222=""),1,0)</f>
        <v>0</v>
      </c>
      <c r="V222" s="10" t="n">
        <f aca="false">IF(OR($I222="",$I222="—"),1,0)</f>
        <v>0</v>
      </c>
      <c r="W222" s="10" t="n">
        <f aca="false">IF(AND(ISNUMBER($D222),ISNUMBER($E222)),IF($E222&gt;$D222,1,0),0)+IF(AND(ISNUMBER($D222),ISNUMBER($F222)),IF($D222&gt;$F222,1,0),0)+IF(AND(ISNUMBER($E222),ISNUMBER($F222)),IF($E222&gt;$F222,1,0),0)</f>
        <v>0</v>
      </c>
      <c r="X222" s="13" t="s">
        <v>76</v>
      </c>
    </row>
    <row r="223" customFormat="false" ht="15" hidden="false" customHeight="false" outlineLevel="0" collapsed="false">
      <c r="A223" s="10" t="s">
        <v>852</v>
      </c>
      <c r="B223" s="10" t="s">
        <v>853</v>
      </c>
      <c r="C223" s="11" t="s">
        <v>854</v>
      </c>
      <c r="D223" s="12" t="n">
        <v>12.4374</v>
      </c>
      <c r="E223" s="12"/>
      <c r="F223" s="12"/>
      <c r="G223" s="10" t="s">
        <v>63</v>
      </c>
      <c r="H223" s="10" t="s">
        <v>824</v>
      </c>
      <c r="I223" s="11" t="s">
        <v>663</v>
      </c>
      <c r="J223" s="10" t="s">
        <v>697</v>
      </c>
      <c r="K223" s="10" t="s">
        <v>665</v>
      </c>
      <c r="L223" s="10" t="s">
        <v>68</v>
      </c>
      <c r="M223" s="10" t="s">
        <v>69</v>
      </c>
      <c r="N223" s="10"/>
      <c r="O223" s="11" t="s">
        <v>666</v>
      </c>
      <c r="P223" s="10" t="s">
        <v>71</v>
      </c>
      <c r="Q223" s="11" t="s">
        <v>72</v>
      </c>
      <c r="R223" s="11" t="s">
        <v>73</v>
      </c>
      <c r="S223" s="11" t="s">
        <v>74</v>
      </c>
      <c r="T223" s="10" t="s">
        <v>855</v>
      </c>
      <c r="U223" s="10" t="n">
        <f aca="false">IF(AND($D223="",$E223="",$F223=""),1,0)</f>
        <v>0</v>
      </c>
      <c r="V223" s="10" t="n">
        <f aca="false">IF(OR($I223="",$I223="—"),1,0)</f>
        <v>0</v>
      </c>
      <c r="W223" s="10" t="n">
        <f aca="false">IF(AND(ISNUMBER($D223),ISNUMBER($E223)),IF($E223&gt;$D223,1,0),0)+IF(AND(ISNUMBER($D223),ISNUMBER($F223)),IF($D223&gt;$F223,1,0),0)+IF(AND(ISNUMBER($E223),ISNUMBER($F223)),IF($E223&gt;$F223,1,0),0)</f>
        <v>0</v>
      </c>
      <c r="X223" s="13" t="s">
        <v>76</v>
      </c>
    </row>
    <row r="224" customFormat="false" ht="15" hidden="false" customHeight="false" outlineLevel="0" collapsed="false">
      <c r="A224" s="10" t="s">
        <v>856</v>
      </c>
      <c r="B224" s="10" t="s">
        <v>857</v>
      </c>
      <c r="C224" s="11" t="s">
        <v>854</v>
      </c>
      <c r="D224" s="12" t="n">
        <v>1.1629</v>
      </c>
      <c r="E224" s="12"/>
      <c r="F224" s="12"/>
      <c r="G224" s="10" t="s">
        <v>63</v>
      </c>
      <c r="H224" s="10" t="s">
        <v>626</v>
      </c>
      <c r="I224" s="11" t="s">
        <v>663</v>
      </c>
      <c r="J224" s="10" t="s">
        <v>697</v>
      </c>
      <c r="K224" s="10" t="s">
        <v>665</v>
      </c>
      <c r="L224" s="10" t="s">
        <v>68</v>
      </c>
      <c r="M224" s="10" t="s">
        <v>69</v>
      </c>
      <c r="N224" s="10"/>
      <c r="O224" s="11" t="s">
        <v>666</v>
      </c>
      <c r="P224" s="10" t="s">
        <v>71</v>
      </c>
      <c r="Q224" s="11" t="s">
        <v>72</v>
      </c>
      <c r="R224" s="11" t="s">
        <v>73</v>
      </c>
      <c r="S224" s="11" t="s">
        <v>74</v>
      </c>
      <c r="T224" s="11" t="s">
        <v>858</v>
      </c>
      <c r="U224" s="10" t="n">
        <f aca="false">IF(AND($D224="",$E224="",$F224=""),1,0)</f>
        <v>0</v>
      </c>
      <c r="V224" s="10" t="n">
        <f aca="false">IF(OR($I224="",$I224="—"),1,0)</f>
        <v>0</v>
      </c>
      <c r="W224" s="10" t="n">
        <f aca="false">IF(AND(ISNUMBER($D224),ISNUMBER($E224)),IF($E224&gt;$D224,1,0),0)+IF(AND(ISNUMBER($D224),ISNUMBER($F224)),IF($D224&gt;$F224,1,0),0)+IF(AND(ISNUMBER($E224),ISNUMBER($F224)),IF($E224&gt;$F224,1,0),0)</f>
        <v>0</v>
      </c>
      <c r="X224" s="13" t="s">
        <v>76</v>
      </c>
    </row>
    <row r="225" customFormat="false" ht="15" hidden="false" customHeight="false" outlineLevel="0" collapsed="false">
      <c r="A225" s="10" t="s">
        <v>859</v>
      </c>
      <c r="B225" s="10" t="s">
        <v>860</v>
      </c>
      <c r="C225" s="11" t="s">
        <v>861</v>
      </c>
      <c r="D225" s="12" t="n">
        <v>1.7299</v>
      </c>
      <c r="E225" s="12"/>
      <c r="F225" s="12"/>
      <c r="G225" s="10" t="s">
        <v>63</v>
      </c>
      <c r="H225" s="10" t="s">
        <v>824</v>
      </c>
      <c r="I225" s="11" t="s">
        <v>663</v>
      </c>
      <c r="J225" s="10" t="s">
        <v>664</v>
      </c>
      <c r="K225" s="10" t="s">
        <v>665</v>
      </c>
      <c r="L225" s="10" t="s">
        <v>68</v>
      </c>
      <c r="M225" s="10" t="s">
        <v>69</v>
      </c>
      <c r="N225" s="10"/>
      <c r="O225" s="11" t="s">
        <v>666</v>
      </c>
      <c r="P225" s="10" t="s">
        <v>71</v>
      </c>
      <c r="Q225" s="11" t="s">
        <v>72</v>
      </c>
      <c r="R225" s="11" t="s">
        <v>73</v>
      </c>
      <c r="S225" s="11" t="s">
        <v>74</v>
      </c>
      <c r="T225" s="10" t="s">
        <v>862</v>
      </c>
      <c r="U225" s="10" t="n">
        <f aca="false">IF(AND($D225="",$E225="",$F225=""),1,0)</f>
        <v>0</v>
      </c>
      <c r="V225" s="10" t="n">
        <f aca="false">IF(OR($I225="",$I225="—"),1,0)</f>
        <v>0</v>
      </c>
      <c r="W225" s="10" t="n">
        <f aca="false">IF(AND(ISNUMBER($D225),ISNUMBER($E225)),IF($E225&gt;$D225,1,0),0)+IF(AND(ISNUMBER($D225),ISNUMBER($F225)),IF($D225&gt;$F225,1,0),0)+IF(AND(ISNUMBER($E225),ISNUMBER($F225)),IF($E225&gt;$F225,1,0),0)</f>
        <v>0</v>
      </c>
      <c r="X225" s="13" t="s">
        <v>76</v>
      </c>
    </row>
    <row r="226" customFormat="false" ht="15" hidden="false" customHeight="false" outlineLevel="0" collapsed="false">
      <c r="A226" s="10" t="s">
        <v>863</v>
      </c>
      <c r="B226" s="10" t="s">
        <v>864</v>
      </c>
      <c r="C226" s="11" t="s">
        <v>625</v>
      </c>
      <c r="D226" s="12" t="n">
        <v>981</v>
      </c>
      <c r="E226" s="12"/>
      <c r="F226" s="12"/>
      <c r="G226" s="11" t="s">
        <v>439</v>
      </c>
      <c r="H226" s="10" t="s">
        <v>824</v>
      </c>
      <c r="I226" s="11" t="s">
        <v>663</v>
      </c>
      <c r="J226" s="10" t="s">
        <v>697</v>
      </c>
      <c r="K226" s="10" t="s">
        <v>665</v>
      </c>
      <c r="L226" s="10" t="s">
        <v>68</v>
      </c>
      <c r="M226" s="10" t="s">
        <v>69</v>
      </c>
      <c r="N226" s="10"/>
      <c r="O226" s="11" t="s">
        <v>666</v>
      </c>
      <c r="P226" s="10" t="s">
        <v>71</v>
      </c>
      <c r="Q226" s="11" t="s">
        <v>72</v>
      </c>
      <c r="R226" s="11" t="s">
        <v>73</v>
      </c>
      <c r="S226" s="11" t="s">
        <v>74</v>
      </c>
      <c r="T226" s="11" t="s">
        <v>865</v>
      </c>
      <c r="U226" s="10" t="n">
        <f aca="false">IF(AND($D226="",$E226="",$F226=""),1,0)</f>
        <v>0</v>
      </c>
      <c r="V226" s="10" t="n">
        <f aca="false">IF(OR($I226="",$I226="—"),1,0)</f>
        <v>0</v>
      </c>
      <c r="W226" s="10" t="n">
        <f aca="false">IF(AND(ISNUMBER($D226),ISNUMBER($E226)),IF($E226&gt;$D226,1,0),0)+IF(AND(ISNUMBER($D226),ISNUMBER($F226)),IF($D226&gt;$F226,1,0),0)+IF(AND(ISNUMBER($E226),ISNUMBER($F226)),IF($E226&gt;$F226,1,0),0)</f>
        <v>0</v>
      </c>
      <c r="X226" s="13" t="s">
        <v>76</v>
      </c>
    </row>
    <row r="227" customFormat="false" ht="15" hidden="false" customHeight="false" outlineLevel="0" collapsed="false">
      <c r="A227" s="10" t="s">
        <v>866</v>
      </c>
      <c r="B227" s="10" t="s">
        <v>867</v>
      </c>
      <c r="C227" s="11" t="s">
        <v>625</v>
      </c>
      <c r="D227" s="12" t="n">
        <v>883</v>
      </c>
      <c r="E227" s="12"/>
      <c r="F227" s="12"/>
      <c r="G227" s="11" t="s">
        <v>439</v>
      </c>
      <c r="H227" s="10" t="s">
        <v>440</v>
      </c>
      <c r="I227" s="11" t="s">
        <v>663</v>
      </c>
      <c r="J227" s="10" t="s">
        <v>697</v>
      </c>
      <c r="K227" s="10" t="s">
        <v>665</v>
      </c>
      <c r="L227" s="10" t="s">
        <v>68</v>
      </c>
      <c r="M227" s="10" t="s">
        <v>69</v>
      </c>
      <c r="N227" s="10"/>
      <c r="O227" s="11" t="s">
        <v>666</v>
      </c>
      <c r="P227" s="10" t="s">
        <v>71</v>
      </c>
      <c r="Q227" s="11" t="s">
        <v>72</v>
      </c>
      <c r="R227" s="11" t="s">
        <v>73</v>
      </c>
      <c r="S227" s="11" t="s">
        <v>74</v>
      </c>
      <c r="T227" s="11" t="s">
        <v>868</v>
      </c>
      <c r="U227" s="10" t="n">
        <f aca="false">IF(AND($D227="",$E227="",$F227=""),1,0)</f>
        <v>0</v>
      </c>
      <c r="V227" s="10" t="n">
        <f aca="false">IF(OR($I227="",$I227="—"),1,0)</f>
        <v>0</v>
      </c>
      <c r="W227" s="10" t="n">
        <f aca="false">IF(AND(ISNUMBER($D227),ISNUMBER($E227)),IF($E227&gt;$D227,1,0),0)+IF(AND(ISNUMBER($D227),ISNUMBER($F227)),IF($D227&gt;$F227,1,0),0)+IF(AND(ISNUMBER($E227),ISNUMBER($F227)),IF($E227&gt;$F227,1,0),0)</f>
        <v>0</v>
      </c>
      <c r="X227" s="13" t="s">
        <v>76</v>
      </c>
    </row>
    <row r="228" customFormat="false" ht="15" hidden="false" customHeight="false" outlineLevel="0" collapsed="false">
      <c r="A228" s="10" t="s">
        <v>869</v>
      </c>
      <c r="B228" s="10" t="s">
        <v>870</v>
      </c>
      <c r="C228" s="11" t="s">
        <v>630</v>
      </c>
      <c r="D228" s="12" t="n">
        <v>4.821</v>
      </c>
      <c r="E228" s="12"/>
      <c r="F228" s="12"/>
      <c r="G228" s="10" t="s">
        <v>63</v>
      </c>
      <c r="H228" s="10" t="s">
        <v>662</v>
      </c>
      <c r="I228" s="11" t="s">
        <v>663</v>
      </c>
      <c r="J228" s="10" t="s">
        <v>697</v>
      </c>
      <c r="K228" s="10" t="s">
        <v>665</v>
      </c>
      <c r="L228" s="10" t="s">
        <v>68</v>
      </c>
      <c r="M228" s="10" t="s">
        <v>69</v>
      </c>
      <c r="N228" s="10"/>
      <c r="O228" s="11" t="s">
        <v>666</v>
      </c>
      <c r="P228" s="10" t="s">
        <v>71</v>
      </c>
      <c r="Q228" s="11" t="s">
        <v>72</v>
      </c>
      <c r="R228" s="11" t="s">
        <v>73</v>
      </c>
      <c r="S228" s="11" t="s">
        <v>74</v>
      </c>
      <c r="T228" s="11" t="s">
        <v>871</v>
      </c>
      <c r="U228" s="10" t="n">
        <f aca="false">IF(AND($D228="",$E228="",$F228=""),1,0)</f>
        <v>0</v>
      </c>
      <c r="V228" s="10" t="n">
        <f aca="false">IF(OR($I228="",$I228="—"),1,0)</f>
        <v>0</v>
      </c>
      <c r="W228" s="10" t="n">
        <f aca="false">IF(AND(ISNUMBER($D228),ISNUMBER($E228)),IF($E228&gt;$D228,1,0),0)+IF(AND(ISNUMBER($D228),ISNUMBER($F228)),IF($D228&gt;$F228,1,0),0)+IF(AND(ISNUMBER($E228),ISNUMBER($F228)),IF($E228&gt;$F228,1,0),0)</f>
        <v>0</v>
      </c>
      <c r="X228" s="13" t="s">
        <v>76</v>
      </c>
    </row>
    <row r="229" customFormat="false" ht="15" hidden="false" customHeight="false" outlineLevel="0" collapsed="false">
      <c r="A229" s="10" t="s">
        <v>872</v>
      </c>
      <c r="B229" s="10" t="s">
        <v>873</v>
      </c>
      <c r="C229" s="11" t="s">
        <v>630</v>
      </c>
      <c r="D229" s="12" t="n">
        <v>4.996</v>
      </c>
      <c r="E229" s="12"/>
      <c r="F229" s="12"/>
      <c r="G229" s="10" t="s">
        <v>63</v>
      </c>
      <c r="H229" s="10" t="s">
        <v>92</v>
      </c>
      <c r="I229" s="11" t="s">
        <v>663</v>
      </c>
      <c r="J229" s="10" t="s">
        <v>697</v>
      </c>
      <c r="K229" s="10" t="s">
        <v>665</v>
      </c>
      <c r="L229" s="10" t="s">
        <v>68</v>
      </c>
      <c r="M229" s="10" t="s">
        <v>69</v>
      </c>
      <c r="N229" s="10"/>
      <c r="O229" s="11" t="s">
        <v>666</v>
      </c>
      <c r="P229" s="10" t="s">
        <v>71</v>
      </c>
      <c r="Q229" s="11" t="s">
        <v>72</v>
      </c>
      <c r="R229" s="11" t="s">
        <v>73</v>
      </c>
      <c r="S229" s="11" t="s">
        <v>74</v>
      </c>
      <c r="T229" s="11" t="s">
        <v>874</v>
      </c>
      <c r="U229" s="10" t="n">
        <f aca="false">IF(AND($D229="",$E229="",$F229=""),1,0)</f>
        <v>0</v>
      </c>
      <c r="V229" s="10" t="n">
        <f aca="false">IF(OR($I229="",$I229="—"),1,0)</f>
        <v>0</v>
      </c>
      <c r="W229" s="10" t="n">
        <f aca="false">IF(AND(ISNUMBER($D229),ISNUMBER($E229)),IF($E229&gt;$D229,1,0),0)+IF(AND(ISNUMBER($D229),ISNUMBER($F229)),IF($D229&gt;$F229,1,0),0)+IF(AND(ISNUMBER($E229),ISNUMBER($F229)),IF($E229&gt;$F229,1,0),0)</f>
        <v>0</v>
      </c>
      <c r="X229" s="13" t="s">
        <v>76</v>
      </c>
    </row>
    <row r="230" customFormat="false" ht="15" hidden="false" customHeight="false" outlineLevel="0" collapsed="false">
      <c r="A230" s="10" t="s">
        <v>875</v>
      </c>
      <c r="B230" s="10" t="s">
        <v>876</v>
      </c>
      <c r="C230" s="11" t="s">
        <v>877</v>
      </c>
      <c r="D230" s="12" t="n">
        <v>0.00491</v>
      </c>
      <c r="E230" s="12"/>
      <c r="F230" s="12"/>
      <c r="G230" s="10" t="s">
        <v>878</v>
      </c>
      <c r="H230" s="10" t="s">
        <v>662</v>
      </c>
      <c r="I230" s="11" t="s">
        <v>663</v>
      </c>
      <c r="J230" s="10" t="s">
        <v>697</v>
      </c>
      <c r="K230" s="10" t="s">
        <v>665</v>
      </c>
      <c r="L230" s="10" t="s">
        <v>68</v>
      </c>
      <c r="M230" s="10" t="s">
        <v>636</v>
      </c>
      <c r="N230" s="10"/>
      <c r="O230" s="10" t="s">
        <v>636</v>
      </c>
      <c r="P230" s="10" t="s">
        <v>637</v>
      </c>
      <c r="Q230" s="11" t="s">
        <v>638</v>
      </c>
      <c r="R230" s="11" t="s">
        <v>639</v>
      </c>
      <c r="S230" s="11" t="s">
        <v>74</v>
      </c>
      <c r="T230" s="10" t="s">
        <v>879</v>
      </c>
      <c r="U230" s="10" t="n">
        <f aca="false">IF(AND($D230="",$E230="",$F230=""),1,0)</f>
        <v>0</v>
      </c>
      <c r="V230" s="10" t="n">
        <f aca="false">IF(OR($I230="",$I230="—"),1,0)</f>
        <v>0</v>
      </c>
      <c r="W230" s="10" t="n">
        <f aca="false">IF(AND(ISNUMBER($D230),ISNUMBER($E230)),IF($E230&gt;$D230,1,0),0)+IF(AND(ISNUMBER($D230),ISNUMBER($F230)),IF($D230&gt;$F230,1,0),0)+IF(AND(ISNUMBER($E230),ISNUMBER($F230)),IF($E230&gt;$F230,1,0),0)</f>
        <v>0</v>
      </c>
      <c r="X230" s="13" t="s">
        <v>76</v>
      </c>
    </row>
    <row r="231" customFormat="false" ht="15" hidden="false" customHeight="false" outlineLevel="0" collapsed="false">
      <c r="A231" s="10" t="s">
        <v>880</v>
      </c>
      <c r="B231" s="10" t="s">
        <v>881</v>
      </c>
      <c r="C231" s="10" t="s">
        <v>882</v>
      </c>
      <c r="D231" s="12" t="n">
        <v>101</v>
      </c>
      <c r="E231" s="12"/>
      <c r="F231" s="12"/>
      <c r="G231" s="10" t="s">
        <v>401</v>
      </c>
      <c r="H231" s="10" t="s">
        <v>662</v>
      </c>
      <c r="I231" s="11" t="s">
        <v>663</v>
      </c>
      <c r="J231" s="10" t="s">
        <v>697</v>
      </c>
      <c r="K231" s="10" t="s">
        <v>665</v>
      </c>
      <c r="L231" s="10" t="s">
        <v>68</v>
      </c>
      <c r="M231" s="10" t="s">
        <v>416</v>
      </c>
      <c r="N231" s="11" t="s">
        <v>649</v>
      </c>
      <c r="O231" s="11" t="s">
        <v>441</v>
      </c>
      <c r="P231" s="10" t="s">
        <v>71</v>
      </c>
      <c r="Q231" s="11" t="s">
        <v>72</v>
      </c>
      <c r="R231" s="11" t="s">
        <v>649</v>
      </c>
      <c r="S231" s="11" t="s">
        <v>74</v>
      </c>
      <c r="T231" s="11" t="s">
        <v>883</v>
      </c>
      <c r="U231" s="10" t="n">
        <f aca="false">IF(AND($D231="",$E231="",$F231=""),1,0)</f>
        <v>0</v>
      </c>
      <c r="V231" s="10" t="n">
        <f aca="false">IF(OR($I231="",$I231="—"),1,0)</f>
        <v>0</v>
      </c>
      <c r="W231" s="10" t="n">
        <f aca="false">IF(AND(ISNUMBER($D231),ISNUMBER($E231)),IF($E231&gt;$D231,1,0),0)+IF(AND(ISNUMBER($D231),ISNUMBER($F231)),IF($D231&gt;$F231,1,0),0)+IF(AND(ISNUMBER($E231),ISNUMBER($F231)),IF($E231&gt;$F231,1,0),0)</f>
        <v>0</v>
      </c>
      <c r="X231" s="13" t="s">
        <v>76</v>
      </c>
    </row>
    <row r="232" customFormat="false" ht="15" hidden="false" customHeight="false" outlineLevel="0" collapsed="false">
      <c r="A232" s="10" t="s">
        <v>884</v>
      </c>
      <c r="B232" s="10" t="s">
        <v>885</v>
      </c>
      <c r="C232" s="10" t="s">
        <v>653</v>
      </c>
      <c r="D232" s="12"/>
      <c r="E232" s="12"/>
      <c r="F232" s="12"/>
      <c r="G232" s="10"/>
      <c r="H232" s="10" t="s">
        <v>662</v>
      </c>
      <c r="I232" s="11" t="s">
        <v>663</v>
      </c>
      <c r="J232" s="10" t="s">
        <v>697</v>
      </c>
      <c r="K232" s="10" t="s">
        <v>665</v>
      </c>
      <c r="L232" s="10" t="s">
        <v>68</v>
      </c>
      <c r="M232" s="10" t="s">
        <v>636</v>
      </c>
      <c r="N232" s="10"/>
      <c r="O232" s="10" t="s">
        <v>636</v>
      </c>
      <c r="P232" s="10" t="s">
        <v>637</v>
      </c>
      <c r="Q232" s="11" t="s">
        <v>638</v>
      </c>
      <c r="R232" s="11" t="s">
        <v>639</v>
      </c>
      <c r="S232" s="11" t="s">
        <v>74</v>
      </c>
      <c r="T232" s="11" t="s">
        <v>886</v>
      </c>
      <c r="U232" s="10" t="n">
        <f aca="false">IF(AND($D232="",$E232="",$F232=""),1,0)</f>
        <v>1</v>
      </c>
      <c r="V232" s="10" t="n">
        <f aca="false">IF(OR($I232="",$I232="—"),1,0)</f>
        <v>0</v>
      </c>
      <c r="W232" s="10" t="n">
        <f aca="false">IF(AND(ISNUMBER($D232),ISNUMBER($E232)),IF($E232&gt;$D232,1,0),0)+IF(AND(ISNUMBER($D232),ISNUMBER($F232)),IF($D232&gt;$F232,1,0),0)+IF(AND(ISNUMBER($E232),ISNUMBER($F232)),IF($E232&gt;$F232,1,0),0)</f>
        <v>0</v>
      </c>
      <c r="X232" s="13" t="s">
        <v>76</v>
      </c>
    </row>
    <row r="233" customFormat="false" ht="15" hidden="false" customHeight="false" outlineLevel="0" collapsed="false">
      <c r="A233" s="10" t="s">
        <v>887</v>
      </c>
      <c r="B233" s="10" t="s">
        <v>888</v>
      </c>
      <c r="C233" s="11" t="s">
        <v>889</v>
      </c>
      <c r="D233" s="12" t="n">
        <v>100000</v>
      </c>
      <c r="E233" s="12" t="n">
        <v>100000</v>
      </c>
      <c r="F233" s="12"/>
      <c r="G233" s="11" t="s">
        <v>890</v>
      </c>
      <c r="H233" s="10" t="s">
        <v>662</v>
      </c>
      <c r="I233" s="11" t="s">
        <v>663</v>
      </c>
      <c r="J233" s="10" t="s">
        <v>697</v>
      </c>
      <c r="K233" s="10" t="s">
        <v>665</v>
      </c>
      <c r="L233" s="10" t="s">
        <v>68</v>
      </c>
      <c r="M233" s="10" t="s">
        <v>416</v>
      </c>
      <c r="N233" s="11" t="s">
        <v>649</v>
      </c>
      <c r="O233" s="11" t="s">
        <v>441</v>
      </c>
      <c r="P233" s="10" t="s">
        <v>71</v>
      </c>
      <c r="Q233" s="11" t="s">
        <v>72</v>
      </c>
      <c r="R233" s="11" t="s">
        <v>649</v>
      </c>
      <c r="S233" s="11" t="s">
        <v>74</v>
      </c>
      <c r="T233" s="11" t="s">
        <v>891</v>
      </c>
      <c r="U233" s="10" t="n">
        <f aca="false">IF(AND($D233="",$E233="",$F233=""),1,0)</f>
        <v>0</v>
      </c>
      <c r="V233" s="10" t="n">
        <f aca="false">IF(OR($I233="",$I233="—"),1,0)</f>
        <v>0</v>
      </c>
      <c r="W233" s="10" t="n">
        <f aca="false">IF(AND(ISNUMBER($D233),ISNUMBER($E233)),IF($E233&gt;$D233,1,0),0)+IF(AND(ISNUMBER($D233),ISNUMBER($F233)),IF($D233&gt;$F233,1,0),0)+IF(AND(ISNUMBER($E233),ISNUMBER($F233)),IF($E233&gt;$F233,1,0),0)</f>
        <v>0</v>
      </c>
      <c r="X233" s="13" t="s">
        <v>76</v>
      </c>
    </row>
    <row r="234" customFormat="false" ht="15" hidden="false" customHeight="false" outlineLevel="0" collapsed="false">
      <c r="A234" s="10" t="s">
        <v>892</v>
      </c>
      <c r="B234" s="10" t="s">
        <v>893</v>
      </c>
      <c r="C234" s="11" t="s">
        <v>894</v>
      </c>
      <c r="D234" s="12" t="n">
        <v>0.15</v>
      </c>
      <c r="E234" s="12"/>
      <c r="F234" s="12"/>
      <c r="G234" s="10" t="s">
        <v>63</v>
      </c>
      <c r="H234" s="10" t="s">
        <v>64</v>
      </c>
      <c r="I234" s="10" t="s">
        <v>895</v>
      </c>
      <c r="J234" s="10" t="s">
        <v>805</v>
      </c>
      <c r="K234" s="10" t="s">
        <v>806</v>
      </c>
      <c r="L234" s="10" t="s">
        <v>68</v>
      </c>
      <c r="M234" s="10" t="s">
        <v>416</v>
      </c>
      <c r="N234" s="11" t="s">
        <v>709</v>
      </c>
      <c r="O234" s="11" t="s">
        <v>896</v>
      </c>
      <c r="P234" s="10" t="s">
        <v>637</v>
      </c>
      <c r="Q234" s="11" t="s">
        <v>72</v>
      </c>
      <c r="R234" s="11" t="s">
        <v>709</v>
      </c>
      <c r="S234" s="11" t="s">
        <v>710</v>
      </c>
      <c r="T234" s="11" t="s">
        <v>897</v>
      </c>
      <c r="U234" s="10" t="n">
        <f aca="false">IF(AND($D234="",$E234="",$F234=""),1,0)</f>
        <v>0</v>
      </c>
      <c r="V234" s="10" t="n">
        <f aca="false">IF(OR($I234="",$I234="—"),1,0)</f>
        <v>0</v>
      </c>
      <c r="W234" s="10" t="n">
        <f aca="false">IF(AND(ISNUMBER($D234),ISNUMBER($E234)),IF($E234&gt;$D234,1,0),0)+IF(AND(ISNUMBER($D234),ISNUMBER($F234)),IF($D234&gt;$F234,1,0),0)+IF(AND(ISNUMBER($E234),ISNUMBER($F234)),IF($E234&gt;$F234,1,0),0)</f>
        <v>0</v>
      </c>
      <c r="X234" s="13" t="s">
        <v>76</v>
      </c>
    </row>
    <row r="235" customFormat="false" ht="15" hidden="false" customHeight="false" outlineLevel="0" collapsed="false">
      <c r="A235" s="10" t="s">
        <v>898</v>
      </c>
      <c r="B235" s="10" t="s">
        <v>899</v>
      </c>
      <c r="C235" s="11" t="s">
        <v>894</v>
      </c>
      <c r="D235" s="12" t="n">
        <v>11.45</v>
      </c>
      <c r="E235" s="12"/>
      <c r="F235" s="12"/>
      <c r="G235" s="10" t="s">
        <v>63</v>
      </c>
      <c r="H235" s="10" t="s">
        <v>92</v>
      </c>
      <c r="I235" s="10" t="s">
        <v>895</v>
      </c>
      <c r="J235" s="10" t="s">
        <v>805</v>
      </c>
      <c r="K235" s="10" t="s">
        <v>806</v>
      </c>
      <c r="L235" s="10" t="s">
        <v>68</v>
      </c>
      <c r="M235" s="10" t="s">
        <v>416</v>
      </c>
      <c r="N235" s="11" t="s">
        <v>709</v>
      </c>
      <c r="O235" s="11" t="s">
        <v>896</v>
      </c>
      <c r="P235" s="10" t="s">
        <v>637</v>
      </c>
      <c r="Q235" s="11" t="s">
        <v>72</v>
      </c>
      <c r="R235" s="11" t="s">
        <v>709</v>
      </c>
      <c r="S235" s="11" t="s">
        <v>710</v>
      </c>
      <c r="T235" s="11" t="s">
        <v>900</v>
      </c>
      <c r="U235" s="10" t="n">
        <f aca="false">IF(AND($D235="",$E235="",$F235=""),1,0)</f>
        <v>0</v>
      </c>
      <c r="V235" s="10" t="n">
        <f aca="false">IF(OR($I235="",$I235="—"),1,0)</f>
        <v>0</v>
      </c>
      <c r="W235" s="10" t="n">
        <f aca="false">IF(AND(ISNUMBER($D235),ISNUMBER($E235)),IF($E235&gt;$D235,1,0),0)+IF(AND(ISNUMBER($D235),ISNUMBER($F235)),IF($D235&gt;$F235,1,0),0)+IF(AND(ISNUMBER($E235),ISNUMBER($F235)),IF($E235&gt;$F235,1,0),0)</f>
        <v>0</v>
      </c>
      <c r="X235" s="13" t="s">
        <v>76</v>
      </c>
    </row>
    <row r="236" customFormat="false" ht="15" hidden="false" customHeight="false" outlineLevel="0" collapsed="false">
      <c r="A236" s="10" t="s">
        <v>901</v>
      </c>
      <c r="B236" s="10" t="s">
        <v>902</v>
      </c>
      <c r="C236" s="11" t="s">
        <v>903</v>
      </c>
      <c r="D236" s="12" t="n">
        <v>15.52</v>
      </c>
      <c r="E236" s="12"/>
      <c r="F236" s="12"/>
      <c r="G236" s="10" t="s">
        <v>63</v>
      </c>
      <c r="H236" s="10" t="s">
        <v>83</v>
      </c>
      <c r="I236" s="11" t="s">
        <v>904</v>
      </c>
      <c r="J236" s="10" t="s">
        <v>905</v>
      </c>
      <c r="K236" s="10" t="s">
        <v>906</v>
      </c>
      <c r="L236" s="10" t="s">
        <v>68</v>
      </c>
      <c r="M236" s="10" t="s">
        <v>416</v>
      </c>
      <c r="N236" s="11" t="s">
        <v>709</v>
      </c>
      <c r="O236" s="11" t="s">
        <v>896</v>
      </c>
      <c r="P236" s="10" t="s">
        <v>637</v>
      </c>
      <c r="Q236" s="11" t="s">
        <v>72</v>
      </c>
      <c r="R236" s="11" t="s">
        <v>709</v>
      </c>
      <c r="S236" s="11" t="s">
        <v>710</v>
      </c>
      <c r="T236" s="11" t="s">
        <v>907</v>
      </c>
      <c r="U236" s="10" t="n">
        <f aca="false">IF(AND($D236="",$E236="",$F236=""),1,0)</f>
        <v>0</v>
      </c>
      <c r="V236" s="10" t="n">
        <f aca="false">IF(OR($I236="",$I236="—"),1,0)</f>
        <v>0</v>
      </c>
      <c r="W236" s="10" t="n">
        <f aca="false">IF(AND(ISNUMBER($D236),ISNUMBER($E236)),IF($E236&gt;$D236,1,0),0)+IF(AND(ISNUMBER($D236),ISNUMBER($F236)),IF($D236&gt;$F236,1,0),0)+IF(AND(ISNUMBER($E236),ISNUMBER($F236)),IF($E236&gt;$F236,1,0),0)</f>
        <v>0</v>
      </c>
      <c r="X236" s="13" t="s">
        <v>76</v>
      </c>
    </row>
    <row r="237" customFormat="false" ht="15" hidden="false" customHeight="false" outlineLevel="0" collapsed="false">
      <c r="A237" s="10" t="s">
        <v>908</v>
      </c>
      <c r="B237" s="10" t="s">
        <v>909</v>
      </c>
      <c r="C237" s="11" t="s">
        <v>903</v>
      </c>
      <c r="D237" s="12" t="n">
        <v>15.53</v>
      </c>
      <c r="E237" s="12"/>
      <c r="F237" s="12"/>
      <c r="G237" s="10" t="s">
        <v>63</v>
      </c>
      <c r="H237" s="10" t="s">
        <v>83</v>
      </c>
      <c r="I237" s="11" t="s">
        <v>910</v>
      </c>
      <c r="J237" s="10" t="s">
        <v>911</v>
      </c>
      <c r="K237" s="10" t="s">
        <v>912</v>
      </c>
      <c r="L237" s="10" t="s">
        <v>68</v>
      </c>
      <c r="M237" s="10" t="s">
        <v>416</v>
      </c>
      <c r="N237" s="11" t="s">
        <v>709</v>
      </c>
      <c r="O237" s="11" t="s">
        <v>896</v>
      </c>
      <c r="P237" s="10" t="s">
        <v>637</v>
      </c>
      <c r="Q237" s="11" t="s">
        <v>72</v>
      </c>
      <c r="R237" s="11" t="s">
        <v>709</v>
      </c>
      <c r="S237" s="11" t="s">
        <v>710</v>
      </c>
      <c r="T237" s="10" t="s">
        <v>913</v>
      </c>
      <c r="U237" s="10" t="n">
        <f aca="false">IF(AND($D237="",$E237="",$F237=""),1,0)</f>
        <v>0</v>
      </c>
      <c r="V237" s="10" t="n">
        <f aca="false">IF(OR($I237="",$I237="—"),1,0)</f>
        <v>0</v>
      </c>
      <c r="W237" s="10" t="n">
        <f aca="false">IF(AND(ISNUMBER($D237),ISNUMBER($E237)),IF($E237&gt;$D237,1,0),0)+IF(AND(ISNUMBER($D237),ISNUMBER($F237)),IF($D237&gt;$F237,1,0),0)+IF(AND(ISNUMBER($E237),ISNUMBER($F237)),IF($E237&gt;$F237,1,0),0)</f>
        <v>0</v>
      </c>
      <c r="X237" s="13" t="s">
        <v>76</v>
      </c>
    </row>
    <row r="238" customFormat="false" ht="15" hidden="false" customHeight="false" outlineLevel="0" collapsed="false">
      <c r="A238" s="10" t="s">
        <v>914</v>
      </c>
      <c r="B238" s="10" t="s">
        <v>915</v>
      </c>
      <c r="C238" s="11" t="s">
        <v>916</v>
      </c>
      <c r="D238" s="12" t="n">
        <v>70</v>
      </c>
      <c r="E238" s="12" t="n">
        <v>70</v>
      </c>
      <c r="F238" s="12"/>
      <c r="G238" s="10" t="s">
        <v>917</v>
      </c>
      <c r="H238" s="10" t="s">
        <v>92</v>
      </c>
      <c r="I238" s="11" t="s">
        <v>910</v>
      </c>
      <c r="J238" s="10" t="s">
        <v>911</v>
      </c>
      <c r="K238" s="10" t="s">
        <v>912</v>
      </c>
      <c r="L238" s="10" t="s">
        <v>68</v>
      </c>
      <c r="M238" s="10" t="s">
        <v>416</v>
      </c>
      <c r="N238" s="11" t="s">
        <v>709</v>
      </c>
      <c r="O238" s="11" t="s">
        <v>896</v>
      </c>
      <c r="P238" s="10" t="s">
        <v>637</v>
      </c>
      <c r="Q238" s="11" t="s">
        <v>72</v>
      </c>
      <c r="R238" s="11" t="s">
        <v>709</v>
      </c>
      <c r="S238" s="11" t="s">
        <v>710</v>
      </c>
      <c r="T238" s="11" t="s">
        <v>918</v>
      </c>
      <c r="U238" s="10" t="n">
        <f aca="false">IF(AND($D238="",$E238="",$F238=""),1,0)</f>
        <v>0</v>
      </c>
      <c r="V238" s="10" t="n">
        <f aca="false">IF(OR($I238="",$I238="—"),1,0)</f>
        <v>0</v>
      </c>
      <c r="W238" s="10" t="n">
        <f aca="false">IF(AND(ISNUMBER($D238),ISNUMBER($E238)),IF($E238&gt;$D238,1,0),0)+IF(AND(ISNUMBER($D238),ISNUMBER($F238)),IF($D238&gt;$F238,1,0),0)+IF(AND(ISNUMBER($E238),ISNUMBER($F238)),IF($E238&gt;$F238,1,0),0)</f>
        <v>0</v>
      </c>
      <c r="X238" s="13" t="s">
        <v>76</v>
      </c>
    </row>
    <row r="239" customFormat="false" ht="15" hidden="false" customHeight="false" outlineLevel="0" collapsed="false">
      <c r="A239" s="10" t="s">
        <v>919</v>
      </c>
      <c r="B239" s="10" t="s">
        <v>920</v>
      </c>
      <c r="C239" s="11" t="s">
        <v>921</v>
      </c>
      <c r="D239" s="12" t="n">
        <v>0.42</v>
      </c>
      <c r="E239" s="12"/>
      <c r="F239" s="12"/>
      <c r="G239" s="10" t="s">
        <v>63</v>
      </c>
      <c r="H239" s="10" t="s">
        <v>64</v>
      </c>
      <c r="I239" s="10" t="s">
        <v>895</v>
      </c>
      <c r="J239" s="10" t="s">
        <v>805</v>
      </c>
      <c r="K239" s="10" t="s">
        <v>806</v>
      </c>
      <c r="L239" s="10" t="s">
        <v>68</v>
      </c>
      <c r="M239" s="10" t="s">
        <v>416</v>
      </c>
      <c r="N239" s="11" t="s">
        <v>709</v>
      </c>
      <c r="O239" s="11" t="s">
        <v>896</v>
      </c>
      <c r="P239" s="10" t="s">
        <v>637</v>
      </c>
      <c r="Q239" s="11" t="s">
        <v>72</v>
      </c>
      <c r="R239" s="11" t="s">
        <v>709</v>
      </c>
      <c r="S239" s="11" t="s">
        <v>710</v>
      </c>
      <c r="T239" s="11" t="s">
        <v>922</v>
      </c>
      <c r="U239" s="10" t="n">
        <f aca="false">IF(AND($D239="",$E239="",$F239=""),1,0)</f>
        <v>0</v>
      </c>
      <c r="V239" s="10" t="n">
        <f aca="false">IF(OR($I239="",$I239="—"),1,0)</f>
        <v>0</v>
      </c>
      <c r="W239" s="10" t="n">
        <f aca="false">IF(AND(ISNUMBER($D239),ISNUMBER($E239)),IF($E239&gt;$D239,1,0),0)+IF(AND(ISNUMBER($D239),ISNUMBER($F239)),IF($D239&gt;$F239,1,0),0)+IF(AND(ISNUMBER($E239),ISNUMBER($F239)),IF($E239&gt;$F239,1,0),0)</f>
        <v>0</v>
      </c>
      <c r="X239" s="13" t="s">
        <v>76</v>
      </c>
    </row>
    <row r="240" customFormat="false" ht="15" hidden="false" customHeight="false" outlineLevel="0" collapsed="false">
      <c r="A240" s="10" t="s">
        <v>923</v>
      </c>
      <c r="B240" s="10" t="s">
        <v>924</v>
      </c>
      <c r="C240" s="11" t="s">
        <v>921</v>
      </c>
      <c r="D240" s="12" t="n">
        <v>1.37</v>
      </c>
      <c r="E240" s="12"/>
      <c r="F240" s="12"/>
      <c r="G240" s="10" t="s">
        <v>63</v>
      </c>
      <c r="H240" s="10" t="s">
        <v>79</v>
      </c>
      <c r="I240" s="10" t="s">
        <v>895</v>
      </c>
      <c r="J240" s="10" t="s">
        <v>805</v>
      </c>
      <c r="K240" s="10" t="s">
        <v>806</v>
      </c>
      <c r="L240" s="10" t="s">
        <v>68</v>
      </c>
      <c r="M240" s="10" t="s">
        <v>416</v>
      </c>
      <c r="N240" s="11" t="s">
        <v>709</v>
      </c>
      <c r="O240" s="11" t="s">
        <v>896</v>
      </c>
      <c r="P240" s="10" t="s">
        <v>637</v>
      </c>
      <c r="Q240" s="11" t="s">
        <v>72</v>
      </c>
      <c r="R240" s="11" t="s">
        <v>709</v>
      </c>
      <c r="S240" s="11" t="s">
        <v>710</v>
      </c>
      <c r="T240" s="11" t="s">
        <v>922</v>
      </c>
      <c r="U240" s="10" t="n">
        <f aca="false">IF(AND($D240="",$E240="",$F240=""),1,0)</f>
        <v>0</v>
      </c>
      <c r="V240" s="10" t="n">
        <f aca="false">IF(OR($I240="",$I240="—"),1,0)</f>
        <v>0</v>
      </c>
      <c r="W240" s="10" t="n">
        <f aca="false">IF(AND(ISNUMBER($D240),ISNUMBER($E240)),IF($E240&gt;$D240,1,0),0)+IF(AND(ISNUMBER($D240),ISNUMBER($F240)),IF($D240&gt;$F240,1,0),0)+IF(AND(ISNUMBER($E240),ISNUMBER($F240)),IF($E240&gt;$F240,1,0),0)</f>
        <v>0</v>
      </c>
      <c r="X240" s="13" t="s">
        <v>76</v>
      </c>
    </row>
    <row r="241" customFormat="false" ht="15" hidden="false" customHeight="false" outlineLevel="0" collapsed="false">
      <c r="A241" s="10" t="s">
        <v>925</v>
      </c>
      <c r="B241" s="10" t="s">
        <v>926</v>
      </c>
      <c r="C241" s="11" t="s">
        <v>921</v>
      </c>
      <c r="D241" s="12" t="n">
        <v>3.24</v>
      </c>
      <c r="E241" s="12"/>
      <c r="F241" s="12"/>
      <c r="G241" s="10" t="s">
        <v>63</v>
      </c>
      <c r="H241" s="10" t="s">
        <v>83</v>
      </c>
      <c r="I241" s="10" t="s">
        <v>895</v>
      </c>
      <c r="J241" s="10" t="s">
        <v>805</v>
      </c>
      <c r="K241" s="10" t="s">
        <v>806</v>
      </c>
      <c r="L241" s="10" t="s">
        <v>68</v>
      </c>
      <c r="M241" s="10" t="s">
        <v>416</v>
      </c>
      <c r="N241" s="11" t="s">
        <v>709</v>
      </c>
      <c r="O241" s="11" t="s">
        <v>896</v>
      </c>
      <c r="P241" s="10" t="s">
        <v>637</v>
      </c>
      <c r="Q241" s="11" t="s">
        <v>72</v>
      </c>
      <c r="R241" s="11" t="s">
        <v>709</v>
      </c>
      <c r="S241" s="11" t="s">
        <v>710</v>
      </c>
      <c r="T241" s="11" t="s">
        <v>922</v>
      </c>
      <c r="U241" s="10" t="n">
        <f aca="false">IF(AND($D241="",$E241="",$F241=""),1,0)</f>
        <v>0</v>
      </c>
      <c r="V241" s="10" t="n">
        <f aca="false">IF(OR($I241="",$I241="—"),1,0)</f>
        <v>0</v>
      </c>
      <c r="W241" s="10" t="n">
        <f aca="false">IF(AND(ISNUMBER($D241),ISNUMBER($E241)),IF($E241&gt;$D241,1,0),0)+IF(AND(ISNUMBER($D241),ISNUMBER($F241)),IF($D241&gt;$F241,1,0),0)+IF(AND(ISNUMBER($E241),ISNUMBER($F241)),IF($E241&gt;$F241,1,0),0)</f>
        <v>0</v>
      </c>
      <c r="X241" s="13" t="s">
        <v>76</v>
      </c>
    </row>
    <row r="242" customFormat="false" ht="15" hidden="false" customHeight="false" outlineLevel="0" collapsed="false">
      <c r="A242" s="10" t="s">
        <v>927</v>
      </c>
      <c r="B242" s="10" t="s">
        <v>928</v>
      </c>
      <c r="C242" s="11" t="s">
        <v>921</v>
      </c>
      <c r="D242" s="12" t="n">
        <v>2.66</v>
      </c>
      <c r="E242" s="12"/>
      <c r="F242" s="12"/>
      <c r="G242" s="10" t="s">
        <v>63</v>
      </c>
      <c r="H242" s="10" t="s">
        <v>92</v>
      </c>
      <c r="I242" s="10" t="s">
        <v>895</v>
      </c>
      <c r="J242" s="10" t="s">
        <v>805</v>
      </c>
      <c r="K242" s="10" t="s">
        <v>806</v>
      </c>
      <c r="L242" s="10" t="s">
        <v>68</v>
      </c>
      <c r="M242" s="10" t="s">
        <v>416</v>
      </c>
      <c r="N242" s="11" t="s">
        <v>709</v>
      </c>
      <c r="O242" s="11" t="s">
        <v>896</v>
      </c>
      <c r="P242" s="10" t="s">
        <v>637</v>
      </c>
      <c r="Q242" s="11" t="s">
        <v>72</v>
      </c>
      <c r="R242" s="11" t="s">
        <v>709</v>
      </c>
      <c r="S242" s="11" t="s">
        <v>710</v>
      </c>
      <c r="T242" s="11" t="s">
        <v>922</v>
      </c>
      <c r="U242" s="10" t="n">
        <f aca="false">IF(AND($D242="",$E242="",$F242=""),1,0)</f>
        <v>0</v>
      </c>
      <c r="V242" s="10" t="n">
        <f aca="false">IF(OR($I242="",$I242="—"),1,0)</f>
        <v>0</v>
      </c>
      <c r="W242" s="10" t="n">
        <f aca="false">IF(AND(ISNUMBER($D242),ISNUMBER($E242)),IF($E242&gt;$D242,1,0),0)+IF(AND(ISNUMBER($D242),ISNUMBER($F242)),IF($D242&gt;$F242,1,0),0)+IF(AND(ISNUMBER($E242),ISNUMBER($F242)),IF($E242&gt;$F242,1,0),0)</f>
        <v>0</v>
      </c>
      <c r="X242" s="13" t="s">
        <v>76</v>
      </c>
    </row>
    <row r="243" customFormat="false" ht="15" hidden="false" customHeight="false" outlineLevel="0" collapsed="false">
      <c r="A243" s="10" t="s">
        <v>929</v>
      </c>
      <c r="B243" s="10" t="s">
        <v>930</v>
      </c>
      <c r="C243" s="11" t="s">
        <v>931</v>
      </c>
      <c r="D243" s="12" t="n">
        <v>14.8</v>
      </c>
      <c r="E243" s="12"/>
      <c r="F243" s="12"/>
      <c r="G243" s="10" t="s">
        <v>401</v>
      </c>
      <c r="H243" s="10" t="s">
        <v>83</v>
      </c>
      <c r="I243" s="11" t="s">
        <v>932</v>
      </c>
      <c r="J243" s="10" t="s">
        <v>933</v>
      </c>
      <c r="K243" s="10" t="s">
        <v>912</v>
      </c>
      <c r="L243" s="10" t="s">
        <v>68</v>
      </c>
      <c r="M243" s="10" t="s">
        <v>416</v>
      </c>
      <c r="N243" s="11" t="s">
        <v>709</v>
      </c>
      <c r="O243" s="11" t="s">
        <v>896</v>
      </c>
      <c r="P243" s="10" t="s">
        <v>637</v>
      </c>
      <c r="Q243" s="11" t="s">
        <v>72</v>
      </c>
      <c r="R243" s="11" t="s">
        <v>709</v>
      </c>
      <c r="S243" s="11" t="s">
        <v>710</v>
      </c>
      <c r="T243" s="11" t="s">
        <v>934</v>
      </c>
      <c r="U243" s="10" t="n">
        <f aca="false">IF(AND($D243="",$E243="",$F243=""),1,0)</f>
        <v>0</v>
      </c>
      <c r="V243" s="10" t="n">
        <f aca="false">IF(OR($I243="",$I243="—"),1,0)</f>
        <v>0</v>
      </c>
      <c r="W243" s="10" t="n">
        <f aca="false">IF(AND(ISNUMBER($D243),ISNUMBER($E243)),IF($E243&gt;$D243,1,0),0)+IF(AND(ISNUMBER($D243),ISNUMBER($F243)),IF($D243&gt;$F243,1,0),0)+IF(AND(ISNUMBER($E243),ISNUMBER($F243)),IF($E243&gt;$F243,1,0),0)</f>
        <v>0</v>
      </c>
      <c r="X243" s="13" t="s">
        <v>76</v>
      </c>
    </row>
    <row r="244" customFormat="false" ht="15" hidden="false" customHeight="false" outlineLevel="0" collapsed="false">
      <c r="A244" s="10" t="s">
        <v>935</v>
      </c>
      <c r="B244" s="10" t="s">
        <v>936</v>
      </c>
      <c r="C244" s="11" t="s">
        <v>937</v>
      </c>
      <c r="D244" s="12" t="n">
        <v>74.4</v>
      </c>
      <c r="E244" s="12"/>
      <c r="F244" s="12"/>
      <c r="G244" s="10" t="s">
        <v>401</v>
      </c>
      <c r="H244" s="10" t="s">
        <v>440</v>
      </c>
      <c r="I244" s="11" t="s">
        <v>932</v>
      </c>
      <c r="J244" s="10" t="s">
        <v>933</v>
      </c>
      <c r="K244" s="10" t="s">
        <v>912</v>
      </c>
      <c r="L244" s="10" t="s">
        <v>68</v>
      </c>
      <c r="M244" s="10" t="s">
        <v>416</v>
      </c>
      <c r="N244" s="11" t="s">
        <v>709</v>
      </c>
      <c r="O244" s="11" t="s">
        <v>896</v>
      </c>
      <c r="P244" s="10" t="s">
        <v>637</v>
      </c>
      <c r="Q244" s="11" t="s">
        <v>72</v>
      </c>
      <c r="R244" s="11" t="s">
        <v>709</v>
      </c>
      <c r="S244" s="11" t="s">
        <v>710</v>
      </c>
      <c r="T244" s="11" t="s">
        <v>938</v>
      </c>
      <c r="U244" s="10" t="n">
        <f aca="false">IF(AND($D244="",$E244="",$F244=""),1,0)</f>
        <v>0</v>
      </c>
      <c r="V244" s="10" t="n">
        <f aca="false">IF(OR($I244="",$I244="—"),1,0)</f>
        <v>0</v>
      </c>
      <c r="W244" s="10" t="n">
        <f aca="false">IF(AND(ISNUMBER($D244),ISNUMBER($E244)),IF($E244&gt;$D244,1,0),0)+IF(AND(ISNUMBER($D244),ISNUMBER($F244)),IF($D244&gt;$F244,1,0),0)+IF(AND(ISNUMBER($E244),ISNUMBER($F244)),IF($E244&gt;$F244,1,0),0)</f>
        <v>0</v>
      </c>
      <c r="X244" s="13" t="s">
        <v>76</v>
      </c>
    </row>
    <row r="245" customFormat="false" ht="15" hidden="false" customHeight="false" outlineLevel="0" collapsed="false">
      <c r="A245" s="10" t="s">
        <v>939</v>
      </c>
      <c r="B245" s="10" t="s">
        <v>940</v>
      </c>
      <c r="C245" s="10" t="s">
        <v>941</v>
      </c>
      <c r="D245" s="12" t="n">
        <v>1.4</v>
      </c>
      <c r="E245" s="12"/>
      <c r="F245" s="12"/>
      <c r="G245" s="10" t="s">
        <v>942</v>
      </c>
      <c r="H245" s="10" t="s">
        <v>943</v>
      </c>
      <c r="I245" s="10" t="s">
        <v>944</v>
      </c>
      <c r="J245" s="10" t="s">
        <v>945</v>
      </c>
      <c r="K245" s="10" t="s">
        <v>68</v>
      </c>
      <c r="L245" s="10" t="s">
        <v>68</v>
      </c>
      <c r="M245" s="10" t="s">
        <v>69</v>
      </c>
      <c r="N245" s="10"/>
      <c r="O245" s="10"/>
      <c r="P245" s="10" t="s">
        <v>71</v>
      </c>
      <c r="Q245" s="11" t="s">
        <v>72</v>
      </c>
      <c r="R245" s="11" t="s">
        <v>946</v>
      </c>
      <c r="S245" s="11" t="s">
        <v>74</v>
      </c>
      <c r="T245" s="11" t="s">
        <v>947</v>
      </c>
      <c r="U245" s="10" t="n">
        <f aca="false">IF(AND($D245="",$E245="",$F245=""),1,0)</f>
        <v>0</v>
      </c>
      <c r="V245" s="10" t="n">
        <f aca="false">IF(OR($I245="",$I245="—"),1,0)</f>
        <v>0</v>
      </c>
      <c r="W245" s="10" t="n">
        <f aca="false">IF(AND(ISNUMBER($D245),ISNUMBER($E245)),IF($E245&gt;$D245,1,0),0)+IF(AND(ISNUMBER($D245),ISNUMBER($F245)),IF($D245&gt;$F245,1,0),0)+IF(AND(ISNUMBER($E245),ISNUMBER($F245)),IF($E245&gt;$F245,1,0),0)</f>
        <v>0</v>
      </c>
      <c r="X245" s="13" t="s">
        <v>76</v>
      </c>
    </row>
    <row r="246" customFormat="false" ht="15" hidden="false" customHeight="false" outlineLevel="0" collapsed="false">
      <c r="A246" s="10" t="s">
        <v>948</v>
      </c>
      <c r="B246" s="10" t="s">
        <v>949</v>
      </c>
      <c r="C246" s="10" t="s">
        <v>950</v>
      </c>
      <c r="D246" s="12" t="n">
        <v>0.26</v>
      </c>
      <c r="E246" s="12"/>
      <c r="F246" s="12"/>
      <c r="G246" s="10" t="s">
        <v>942</v>
      </c>
      <c r="H246" s="10" t="s">
        <v>943</v>
      </c>
      <c r="I246" s="10" t="s">
        <v>944</v>
      </c>
      <c r="J246" s="10" t="s">
        <v>945</v>
      </c>
      <c r="K246" s="10" t="s">
        <v>68</v>
      </c>
      <c r="L246" s="10" t="s">
        <v>68</v>
      </c>
      <c r="M246" s="10" t="s">
        <v>69</v>
      </c>
      <c r="N246" s="10"/>
      <c r="O246" s="10"/>
      <c r="P246" s="10" t="s">
        <v>71</v>
      </c>
      <c r="Q246" s="11" t="s">
        <v>72</v>
      </c>
      <c r="R246" s="11" t="s">
        <v>946</v>
      </c>
      <c r="S246" s="11" t="s">
        <v>74</v>
      </c>
      <c r="T246" s="11" t="s">
        <v>947</v>
      </c>
      <c r="U246" s="10" t="n">
        <f aca="false">IF(AND($D246="",$E246="",$F246=""),1,0)</f>
        <v>0</v>
      </c>
      <c r="V246" s="10" t="n">
        <f aca="false">IF(OR($I246="",$I246="—"),1,0)</f>
        <v>0</v>
      </c>
      <c r="W246" s="10" t="n">
        <f aca="false">IF(AND(ISNUMBER($D246),ISNUMBER($E246)),IF($E246&gt;$D246,1,0),0)+IF(AND(ISNUMBER($D246),ISNUMBER($F246)),IF($D246&gt;$F246,1,0),0)+IF(AND(ISNUMBER($E246),ISNUMBER($F246)),IF($E246&gt;$F246,1,0),0)</f>
        <v>0</v>
      </c>
      <c r="X246" s="13" t="s">
        <v>76</v>
      </c>
    </row>
    <row r="247" customFormat="false" ht="15" hidden="false" customHeight="false" outlineLevel="0" collapsed="false">
      <c r="A247" s="10" t="s">
        <v>951</v>
      </c>
      <c r="B247" s="10" t="s">
        <v>952</v>
      </c>
      <c r="C247" s="10" t="s">
        <v>953</v>
      </c>
      <c r="D247" s="12" t="n">
        <v>4.4</v>
      </c>
      <c r="E247" s="12"/>
      <c r="F247" s="12"/>
      <c r="G247" s="10" t="s">
        <v>942</v>
      </c>
      <c r="H247" s="10" t="s">
        <v>943</v>
      </c>
      <c r="I247" s="10" t="s">
        <v>944</v>
      </c>
      <c r="J247" s="10" t="s">
        <v>945</v>
      </c>
      <c r="K247" s="10" t="s">
        <v>68</v>
      </c>
      <c r="L247" s="10" t="s">
        <v>68</v>
      </c>
      <c r="M247" s="10" t="s">
        <v>69</v>
      </c>
      <c r="N247" s="10"/>
      <c r="O247" s="10"/>
      <c r="P247" s="10" t="s">
        <v>71</v>
      </c>
      <c r="Q247" s="11" t="s">
        <v>72</v>
      </c>
      <c r="R247" s="11" t="s">
        <v>946</v>
      </c>
      <c r="S247" s="11" t="s">
        <v>74</v>
      </c>
      <c r="T247" s="11" t="s">
        <v>947</v>
      </c>
      <c r="U247" s="10" t="n">
        <f aca="false">IF(AND($D247="",$E247="",$F247=""),1,0)</f>
        <v>0</v>
      </c>
      <c r="V247" s="10" t="n">
        <f aca="false">IF(OR($I247="",$I247="—"),1,0)</f>
        <v>0</v>
      </c>
      <c r="W247" s="10" t="n">
        <f aca="false">IF(AND(ISNUMBER($D247),ISNUMBER($E247)),IF($E247&gt;$D247,1,0),0)+IF(AND(ISNUMBER($D247),ISNUMBER($F247)),IF($D247&gt;$F247,1,0),0)+IF(AND(ISNUMBER($E247),ISNUMBER($F247)),IF($E247&gt;$F247,1,0),0)</f>
        <v>0</v>
      </c>
      <c r="X247" s="13" t="s">
        <v>76</v>
      </c>
    </row>
    <row r="248" customFormat="false" ht="15" hidden="false" customHeight="false" outlineLevel="0" collapsed="false">
      <c r="A248" s="10" t="s">
        <v>954</v>
      </c>
      <c r="B248" s="10" t="s">
        <v>955</v>
      </c>
      <c r="C248" s="10" t="s">
        <v>956</v>
      </c>
      <c r="D248" s="12" t="n">
        <v>1.4</v>
      </c>
      <c r="E248" s="12"/>
      <c r="F248" s="12"/>
      <c r="G248" s="10" t="s">
        <v>942</v>
      </c>
      <c r="H248" s="10" t="s">
        <v>943</v>
      </c>
      <c r="I248" s="10" t="s">
        <v>944</v>
      </c>
      <c r="J248" s="10" t="s">
        <v>945</v>
      </c>
      <c r="K248" s="10" t="s">
        <v>68</v>
      </c>
      <c r="L248" s="10" t="s">
        <v>68</v>
      </c>
      <c r="M248" s="10" t="s">
        <v>69</v>
      </c>
      <c r="N248" s="10"/>
      <c r="O248" s="10"/>
      <c r="P248" s="10" t="s">
        <v>71</v>
      </c>
      <c r="Q248" s="11" t="s">
        <v>72</v>
      </c>
      <c r="R248" s="11" t="s">
        <v>946</v>
      </c>
      <c r="S248" s="11" t="s">
        <v>74</v>
      </c>
      <c r="T248" s="11" t="s">
        <v>957</v>
      </c>
      <c r="U248" s="10" t="n">
        <f aca="false">IF(AND($D248="",$E248="",$F248=""),1,0)</f>
        <v>0</v>
      </c>
      <c r="V248" s="10" t="n">
        <f aca="false">IF(OR($I248="",$I248="—"),1,0)</f>
        <v>0</v>
      </c>
      <c r="W248" s="10" t="n">
        <f aca="false">IF(AND(ISNUMBER($D248),ISNUMBER($E248)),IF($E248&gt;$D248,1,0),0)+IF(AND(ISNUMBER($D248),ISNUMBER($F248)),IF($D248&gt;$F248,1,0),0)+IF(AND(ISNUMBER($E248),ISNUMBER($F248)),IF($E248&gt;$F248,1,0),0)</f>
        <v>0</v>
      </c>
      <c r="X248" s="13" t="s">
        <v>76</v>
      </c>
    </row>
    <row r="249" customFormat="false" ht="15" hidden="false" customHeight="false" outlineLevel="0" collapsed="false">
      <c r="A249" s="10" t="s">
        <v>958</v>
      </c>
      <c r="B249" s="10" t="s">
        <v>959</v>
      </c>
      <c r="C249" s="10" t="s">
        <v>960</v>
      </c>
      <c r="D249" s="12" t="n">
        <v>0.26</v>
      </c>
      <c r="E249" s="12"/>
      <c r="F249" s="12"/>
      <c r="G249" s="10" t="s">
        <v>942</v>
      </c>
      <c r="H249" s="10" t="s">
        <v>943</v>
      </c>
      <c r="I249" s="10" t="s">
        <v>944</v>
      </c>
      <c r="J249" s="10" t="s">
        <v>945</v>
      </c>
      <c r="K249" s="10" t="s">
        <v>68</v>
      </c>
      <c r="L249" s="10" t="s">
        <v>68</v>
      </c>
      <c r="M249" s="10" t="s">
        <v>69</v>
      </c>
      <c r="N249" s="10"/>
      <c r="O249" s="10"/>
      <c r="P249" s="10" t="s">
        <v>71</v>
      </c>
      <c r="Q249" s="11" t="s">
        <v>72</v>
      </c>
      <c r="R249" s="11" t="s">
        <v>946</v>
      </c>
      <c r="S249" s="11" t="s">
        <v>74</v>
      </c>
      <c r="T249" s="11" t="s">
        <v>957</v>
      </c>
      <c r="U249" s="10" t="n">
        <f aca="false">IF(AND($D249="",$E249="",$F249=""),1,0)</f>
        <v>0</v>
      </c>
      <c r="V249" s="10" t="n">
        <f aca="false">IF(OR($I249="",$I249="—"),1,0)</f>
        <v>0</v>
      </c>
      <c r="W249" s="10" t="n">
        <f aca="false">IF(AND(ISNUMBER($D249),ISNUMBER($E249)),IF($E249&gt;$D249,1,0),0)+IF(AND(ISNUMBER($D249),ISNUMBER($F249)),IF($D249&gt;$F249,1,0),0)+IF(AND(ISNUMBER($E249),ISNUMBER($F249)),IF($E249&gt;$F249,1,0),0)</f>
        <v>0</v>
      </c>
      <c r="X249" s="13" t="s">
        <v>76</v>
      </c>
    </row>
    <row r="250" customFormat="false" ht="15" hidden="false" customHeight="false" outlineLevel="0" collapsed="false">
      <c r="A250" s="10" t="s">
        <v>961</v>
      </c>
      <c r="B250" s="10" t="s">
        <v>962</v>
      </c>
      <c r="C250" s="10" t="s">
        <v>963</v>
      </c>
      <c r="D250" s="12" t="n">
        <v>4.4</v>
      </c>
      <c r="E250" s="12"/>
      <c r="F250" s="12"/>
      <c r="G250" s="10" t="s">
        <v>942</v>
      </c>
      <c r="H250" s="10" t="s">
        <v>943</v>
      </c>
      <c r="I250" s="10" t="s">
        <v>944</v>
      </c>
      <c r="J250" s="10" t="s">
        <v>945</v>
      </c>
      <c r="K250" s="10" t="s">
        <v>68</v>
      </c>
      <c r="L250" s="10" t="s">
        <v>68</v>
      </c>
      <c r="M250" s="10" t="s">
        <v>69</v>
      </c>
      <c r="N250" s="10"/>
      <c r="O250" s="10"/>
      <c r="P250" s="10" t="s">
        <v>71</v>
      </c>
      <c r="Q250" s="11" t="s">
        <v>72</v>
      </c>
      <c r="R250" s="11" t="s">
        <v>946</v>
      </c>
      <c r="S250" s="11" t="s">
        <v>74</v>
      </c>
      <c r="T250" s="11" t="s">
        <v>957</v>
      </c>
      <c r="U250" s="10" t="n">
        <f aca="false">IF(AND($D250="",$E250="",$F250=""),1,0)</f>
        <v>0</v>
      </c>
      <c r="V250" s="10" t="n">
        <f aca="false">IF(OR($I250="",$I250="—"),1,0)</f>
        <v>0</v>
      </c>
      <c r="W250" s="10" t="n">
        <f aca="false">IF(AND(ISNUMBER($D250),ISNUMBER($E250)),IF($E250&gt;$D250,1,0),0)+IF(AND(ISNUMBER($D250),ISNUMBER($F250)),IF($D250&gt;$F250,1,0),0)+IF(AND(ISNUMBER($E250),ISNUMBER($F250)),IF($E250&gt;$F250,1,0),0)</f>
        <v>0</v>
      </c>
      <c r="X250" s="13" t="s">
        <v>76</v>
      </c>
    </row>
    <row r="251" customFormat="false" ht="15" hidden="false" customHeight="false" outlineLevel="0" collapsed="false">
      <c r="A251" s="10" t="s">
        <v>964</v>
      </c>
      <c r="B251" s="10" t="s">
        <v>965</v>
      </c>
      <c r="C251" s="10" t="s">
        <v>966</v>
      </c>
      <c r="D251" s="12" t="n">
        <v>1.4</v>
      </c>
      <c r="E251" s="12"/>
      <c r="F251" s="12"/>
      <c r="G251" s="10" t="s">
        <v>942</v>
      </c>
      <c r="H251" s="10" t="s">
        <v>943</v>
      </c>
      <c r="I251" s="10" t="s">
        <v>944</v>
      </c>
      <c r="J251" s="10" t="s">
        <v>945</v>
      </c>
      <c r="K251" s="10" t="s">
        <v>68</v>
      </c>
      <c r="L251" s="10" t="s">
        <v>68</v>
      </c>
      <c r="M251" s="10" t="s">
        <v>69</v>
      </c>
      <c r="N251" s="10"/>
      <c r="O251" s="10"/>
      <c r="P251" s="10" t="s">
        <v>71</v>
      </c>
      <c r="Q251" s="11" t="s">
        <v>72</v>
      </c>
      <c r="R251" s="11" t="s">
        <v>946</v>
      </c>
      <c r="S251" s="11" t="s">
        <v>74</v>
      </c>
      <c r="T251" s="11" t="s">
        <v>967</v>
      </c>
      <c r="U251" s="10" t="n">
        <f aca="false">IF(AND($D251="",$E251="",$F251=""),1,0)</f>
        <v>0</v>
      </c>
      <c r="V251" s="10" t="n">
        <f aca="false">IF(OR($I251="",$I251="—"),1,0)</f>
        <v>0</v>
      </c>
      <c r="W251" s="10" t="n">
        <f aca="false">IF(AND(ISNUMBER($D251),ISNUMBER($E251)),IF($E251&gt;$D251,1,0),0)+IF(AND(ISNUMBER($D251),ISNUMBER($F251)),IF($D251&gt;$F251,1,0),0)+IF(AND(ISNUMBER($E251),ISNUMBER($F251)),IF($E251&gt;$F251,1,0),0)</f>
        <v>0</v>
      </c>
      <c r="X251" s="13" t="s">
        <v>76</v>
      </c>
    </row>
    <row r="252" customFormat="false" ht="15" hidden="false" customHeight="false" outlineLevel="0" collapsed="false">
      <c r="A252" s="10" t="s">
        <v>968</v>
      </c>
      <c r="B252" s="10" t="s">
        <v>969</v>
      </c>
      <c r="C252" s="10" t="s">
        <v>970</v>
      </c>
      <c r="D252" s="12" t="n">
        <v>0.26</v>
      </c>
      <c r="E252" s="12"/>
      <c r="F252" s="12"/>
      <c r="G252" s="10" t="s">
        <v>942</v>
      </c>
      <c r="H252" s="10" t="s">
        <v>943</v>
      </c>
      <c r="I252" s="10" t="s">
        <v>944</v>
      </c>
      <c r="J252" s="10" t="s">
        <v>945</v>
      </c>
      <c r="K252" s="10" t="s">
        <v>68</v>
      </c>
      <c r="L252" s="10" t="s">
        <v>68</v>
      </c>
      <c r="M252" s="10" t="s">
        <v>69</v>
      </c>
      <c r="N252" s="10"/>
      <c r="O252" s="10"/>
      <c r="P252" s="10" t="s">
        <v>71</v>
      </c>
      <c r="Q252" s="11" t="s">
        <v>72</v>
      </c>
      <c r="R252" s="11" t="s">
        <v>946</v>
      </c>
      <c r="S252" s="11" t="s">
        <v>74</v>
      </c>
      <c r="T252" s="11" t="s">
        <v>967</v>
      </c>
      <c r="U252" s="10" t="n">
        <f aca="false">IF(AND($D252="",$E252="",$F252=""),1,0)</f>
        <v>0</v>
      </c>
      <c r="V252" s="10" t="n">
        <f aca="false">IF(OR($I252="",$I252="—"),1,0)</f>
        <v>0</v>
      </c>
      <c r="W252" s="10" t="n">
        <f aca="false">IF(AND(ISNUMBER($D252),ISNUMBER($E252)),IF($E252&gt;$D252,1,0),0)+IF(AND(ISNUMBER($D252),ISNUMBER($F252)),IF($D252&gt;$F252,1,0),0)+IF(AND(ISNUMBER($E252),ISNUMBER($F252)),IF($E252&gt;$F252,1,0),0)</f>
        <v>0</v>
      </c>
      <c r="X252" s="13" t="s">
        <v>76</v>
      </c>
    </row>
    <row r="253" customFormat="false" ht="15" hidden="false" customHeight="false" outlineLevel="0" collapsed="false">
      <c r="A253" s="10" t="s">
        <v>971</v>
      </c>
      <c r="B253" s="10" t="s">
        <v>972</v>
      </c>
      <c r="C253" s="10" t="s">
        <v>973</v>
      </c>
      <c r="D253" s="12" t="n">
        <v>4.4</v>
      </c>
      <c r="E253" s="12"/>
      <c r="F253" s="12"/>
      <c r="G253" s="10" t="s">
        <v>942</v>
      </c>
      <c r="H253" s="10" t="s">
        <v>943</v>
      </c>
      <c r="I253" s="10" t="s">
        <v>944</v>
      </c>
      <c r="J253" s="10" t="s">
        <v>945</v>
      </c>
      <c r="K253" s="10" t="s">
        <v>68</v>
      </c>
      <c r="L253" s="10" t="s">
        <v>68</v>
      </c>
      <c r="M253" s="10" t="s">
        <v>69</v>
      </c>
      <c r="N253" s="10"/>
      <c r="O253" s="10"/>
      <c r="P253" s="10" t="s">
        <v>71</v>
      </c>
      <c r="Q253" s="11" t="s">
        <v>72</v>
      </c>
      <c r="R253" s="11" t="s">
        <v>946</v>
      </c>
      <c r="S253" s="11" t="s">
        <v>74</v>
      </c>
      <c r="T253" s="11" t="s">
        <v>967</v>
      </c>
      <c r="U253" s="10" t="n">
        <f aca="false">IF(AND($D253="",$E253="",$F253=""),1,0)</f>
        <v>0</v>
      </c>
      <c r="V253" s="10" t="n">
        <f aca="false">IF(OR($I253="",$I253="—"),1,0)</f>
        <v>0</v>
      </c>
      <c r="W253" s="10" t="n">
        <f aca="false">IF(AND(ISNUMBER($D253),ISNUMBER($E253)),IF($E253&gt;$D253,1,0),0)+IF(AND(ISNUMBER($D253),ISNUMBER($F253)),IF($D253&gt;$F253,1,0),0)+IF(AND(ISNUMBER($E253),ISNUMBER($F253)),IF($E253&gt;$F253,1,0),0)</f>
        <v>0</v>
      </c>
      <c r="X253" s="13" t="s">
        <v>76</v>
      </c>
    </row>
    <row r="254" customFormat="false" ht="15" hidden="false" customHeight="false" outlineLevel="0" collapsed="false">
      <c r="A254" s="10" t="s">
        <v>974</v>
      </c>
      <c r="B254" s="10" t="s">
        <v>975</v>
      </c>
      <c r="C254" s="10" t="s">
        <v>976</v>
      </c>
      <c r="D254" s="12" t="n">
        <v>1</v>
      </c>
      <c r="E254" s="12"/>
      <c r="F254" s="12"/>
      <c r="G254" s="10" t="s">
        <v>942</v>
      </c>
      <c r="H254" s="10" t="s">
        <v>943</v>
      </c>
      <c r="I254" s="10" t="s">
        <v>944</v>
      </c>
      <c r="J254" s="10" t="s">
        <v>945</v>
      </c>
      <c r="K254" s="10" t="s">
        <v>68</v>
      </c>
      <c r="L254" s="10" t="s">
        <v>68</v>
      </c>
      <c r="M254" s="10" t="s">
        <v>69</v>
      </c>
      <c r="N254" s="10"/>
      <c r="O254" s="10"/>
      <c r="P254" s="10" t="s">
        <v>71</v>
      </c>
      <c r="Q254" s="11" t="s">
        <v>72</v>
      </c>
      <c r="R254" s="11" t="s">
        <v>946</v>
      </c>
      <c r="S254" s="11" t="s">
        <v>74</v>
      </c>
      <c r="T254" s="11" t="s">
        <v>977</v>
      </c>
      <c r="U254" s="10" t="n">
        <f aca="false">IF(AND($D254="",$E254="",$F254=""),1,0)</f>
        <v>0</v>
      </c>
      <c r="V254" s="10" t="n">
        <f aca="false">IF(OR($I254="",$I254="—"),1,0)</f>
        <v>0</v>
      </c>
      <c r="W254" s="10" t="n">
        <f aca="false">IF(AND(ISNUMBER($D254),ISNUMBER($E254)),IF($E254&gt;$D254,1,0),0)+IF(AND(ISNUMBER($D254),ISNUMBER($F254)),IF($D254&gt;$F254,1,0),0)+IF(AND(ISNUMBER($E254),ISNUMBER($F254)),IF($E254&gt;$F254,1,0),0)</f>
        <v>0</v>
      </c>
      <c r="X254" s="13" t="s">
        <v>76</v>
      </c>
    </row>
    <row r="255" customFormat="false" ht="15" hidden="false" customHeight="false" outlineLevel="0" collapsed="false">
      <c r="A255" s="10" t="s">
        <v>978</v>
      </c>
      <c r="B255" s="10" t="s">
        <v>979</v>
      </c>
      <c r="C255" s="10" t="s">
        <v>980</v>
      </c>
      <c r="D255" s="12" t="n">
        <v>0.2</v>
      </c>
      <c r="E255" s="12"/>
      <c r="F255" s="12"/>
      <c r="G255" s="10" t="s">
        <v>942</v>
      </c>
      <c r="H255" s="10" t="s">
        <v>943</v>
      </c>
      <c r="I255" s="10" t="s">
        <v>944</v>
      </c>
      <c r="J255" s="10" t="s">
        <v>945</v>
      </c>
      <c r="K255" s="10" t="s">
        <v>68</v>
      </c>
      <c r="L255" s="10" t="s">
        <v>68</v>
      </c>
      <c r="M255" s="10" t="s">
        <v>69</v>
      </c>
      <c r="N255" s="10"/>
      <c r="O255" s="10"/>
      <c r="P255" s="10" t="s">
        <v>71</v>
      </c>
      <c r="Q255" s="11" t="s">
        <v>72</v>
      </c>
      <c r="R255" s="11" t="s">
        <v>946</v>
      </c>
      <c r="S255" s="11" t="s">
        <v>74</v>
      </c>
      <c r="T255" s="11" t="s">
        <v>977</v>
      </c>
      <c r="U255" s="10" t="n">
        <f aca="false">IF(AND($D255="",$E255="",$F255=""),1,0)</f>
        <v>0</v>
      </c>
      <c r="V255" s="10" t="n">
        <f aca="false">IF(OR($I255="",$I255="—"),1,0)</f>
        <v>0</v>
      </c>
      <c r="W255" s="10" t="n">
        <f aca="false">IF(AND(ISNUMBER($D255),ISNUMBER($E255)),IF($E255&gt;$D255,1,0),0)+IF(AND(ISNUMBER($D255),ISNUMBER($F255)),IF($D255&gt;$F255,1,0),0)+IF(AND(ISNUMBER($E255),ISNUMBER($F255)),IF($E255&gt;$F255,1,0),0)</f>
        <v>0</v>
      </c>
      <c r="X255" s="13" t="s">
        <v>76</v>
      </c>
    </row>
    <row r="256" customFormat="false" ht="15" hidden="false" customHeight="false" outlineLevel="0" collapsed="false">
      <c r="A256" s="10" t="s">
        <v>981</v>
      </c>
      <c r="B256" s="10" t="s">
        <v>982</v>
      </c>
      <c r="C256" s="10" t="s">
        <v>983</v>
      </c>
      <c r="D256" s="12" t="n">
        <v>3.2</v>
      </c>
      <c r="E256" s="12"/>
      <c r="F256" s="12"/>
      <c r="G256" s="10" t="s">
        <v>942</v>
      </c>
      <c r="H256" s="10" t="s">
        <v>943</v>
      </c>
      <c r="I256" s="10" t="s">
        <v>944</v>
      </c>
      <c r="J256" s="10" t="s">
        <v>945</v>
      </c>
      <c r="K256" s="10" t="s">
        <v>68</v>
      </c>
      <c r="L256" s="10" t="s">
        <v>68</v>
      </c>
      <c r="M256" s="10" t="s">
        <v>69</v>
      </c>
      <c r="N256" s="10"/>
      <c r="O256" s="10"/>
      <c r="P256" s="10" t="s">
        <v>71</v>
      </c>
      <c r="Q256" s="11" t="s">
        <v>72</v>
      </c>
      <c r="R256" s="11" t="s">
        <v>946</v>
      </c>
      <c r="S256" s="11" t="s">
        <v>74</v>
      </c>
      <c r="T256" s="11" t="s">
        <v>977</v>
      </c>
      <c r="U256" s="10" t="n">
        <f aca="false">IF(AND($D256="",$E256="",$F256=""),1,0)</f>
        <v>0</v>
      </c>
      <c r="V256" s="10" t="n">
        <f aca="false">IF(OR($I256="",$I256="—"),1,0)</f>
        <v>0</v>
      </c>
      <c r="W256" s="10" t="n">
        <f aca="false">IF(AND(ISNUMBER($D256),ISNUMBER($E256)),IF($E256&gt;$D256,1,0),0)+IF(AND(ISNUMBER($D256),ISNUMBER($F256)),IF($D256&gt;$F256,1,0),0)+IF(AND(ISNUMBER($E256),ISNUMBER($F256)),IF($E256&gt;$F256,1,0),0)</f>
        <v>0</v>
      </c>
      <c r="X256" s="13" t="s">
        <v>76</v>
      </c>
    </row>
    <row r="257" customFormat="false" ht="15" hidden="false" customHeight="false" outlineLevel="0" collapsed="false">
      <c r="A257" s="10" t="s">
        <v>984</v>
      </c>
      <c r="B257" s="10" t="s">
        <v>985</v>
      </c>
      <c r="C257" s="10" t="s">
        <v>986</v>
      </c>
      <c r="D257" s="12" t="n">
        <v>0.6</v>
      </c>
      <c r="E257" s="12"/>
      <c r="F257" s="12"/>
      <c r="G257" s="10" t="s">
        <v>942</v>
      </c>
      <c r="H257" s="10" t="s">
        <v>943</v>
      </c>
      <c r="I257" s="10" t="s">
        <v>944</v>
      </c>
      <c r="J257" s="10" t="s">
        <v>945</v>
      </c>
      <c r="K257" s="10" t="s">
        <v>68</v>
      </c>
      <c r="L257" s="10" t="s">
        <v>68</v>
      </c>
      <c r="M257" s="10" t="s">
        <v>69</v>
      </c>
      <c r="N257" s="10"/>
      <c r="O257" s="10"/>
      <c r="P257" s="10" t="s">
        <v>71</v>
      </c>
      <c r="Q257" s="11" t="s">
        <v>72</v>
      </c>
      <c r="R257" s="11" t="s">
        <v>946</v>
      </c>
      <c r="S257" s="11" t="s">
        <v>74</v>
      </c>
      <c r="T257" s="11" t="s">
        <v>987</v>
      </c>
      <c r="U257" s="10" t="n">
        <f aca="false">IF(AND($D257="",$E257="",$F257=""),1,0)</f>
        <v>0</v>
      </c>
      <c r="V257" s="10" t="n">
        <f aca="false">IF(OR($I257="",$I257="—"),1,0)</f>
        <v>0</v>
      </c>
      <c r="W257" s="10" t="n">
        <f aca="false">IF(AND(ISNUMBER($D257),ISNUMBER($E257)),IF($E257&gt;$D257,1,0),0)+IF(AND(ISNUMBER($D257),ISNUMBER($F257)),IF($D257&gt;$F257,1,0),0)+IF(AND(ISNUMBER($E257),ISNUMBER($F257)),IF($E257&gt;$F257,1,0),0)</f>
        <v>0</v>
      </c>
      <c r="X257" s="13" t="s">
        <v>76</v>
      </c>
    </row>
    <row r="258" customFormat="false" ht="15" hidden="false" customHeight="false" outlineLevel="0" collapsed="false">
      <c r="A258" s="10" t="s">
        <v>988</v>
      </c>
      <c r="B258" s="10" t="s">
        <v>989</v>
      </c>
      <c r="C258" s="10" t="s">
        <v>990</v>
      </c>
      <c r="D258" s="12" t="n">
        <v>0.11</v>
      </c>
      <c r="E258" s="12"/>
      <c r="F258" s="12"/>
      <c r="G258" s="10" t="s">
        <v>942</v>
      </c>
      <c r="H258" s="10" t="s">
        <v>943</v>
      </c>
      <c r="I258" s="10" t="s">
        <v>944</v>
      </c>
      <c r="J258" s="10" t="s">
        <v>945</v>
      </c>
      <c r="K258" s="10" t="s">
        <v>68</v>
      </c>
      <c r="L258" s="10" t="s">
        <v>68</v>
      </c>
      <c r="M258" s="10" t="s">
        <v>69</v>
      </c>
      <c r="N258" s="10"/>
      <c r="O258" s="10"/>
      <c r="P258" s="10" t="s">
        <v>71</v>
      </c>
      <c r="Q258" s="11" t="s">
        <v>72</v>
      </c>
      <c r="R258" s="11" t="s">
        <v>946</v>
      </c>
      <c r="S258" s="11" t="s">
        <v>74</v>
      </c>
      <c r="T258" s="11" t="s">
        <v>987</v>
      </c>
      <c r="U258" s="10" t="n">
        <f aca="false">IF(AND($D258="",$E258="",$F258=""),1,0)</f>
        <v>0</v>
      </c>
      <c r="V258" s="10" t="n">
        <f aca="false">IF(OR($I258="",$I258="—"),1,0)</f>
        <v>0</v>
      </c>
      <c r="W258" s="10" t="n">
        <f aca="false">IF(AND(ISNUMBER($D258),ISNUMBER($E258)),IF($E258&gt;$D258,1,0),0)+IF(AND(ISNUMBER($D258),ISNUMBER($F258)),IF($D258&gt;$F258,1,0),0)+IF(AND(ISNUMBER($E258),ISNUMBER($F258)),IF($E258&gt;$F258,1,0),0)</f>
        <v>0</v>
      </c>
      <c r="X258" s="13" t="s">
        <v>76</v>
      </c>
    </row>
    <row r="259" customFormat="false" ht="15" hidden="false" customHeight="false" outlineLevel="0" collapsed="false">
      <c r="A259" s="10" t="s">
        <v>991</v>
      </c>
      <c r="B259" s="10" t="s">
        <v>992</v>
      </c>
      <c r="C259" s="10" t="s">
        <v>993</v>
      </c>
      <c r="D259" s="12" t="n">
        <v>2.2</v>
      </c>
      <c r="E259" s="12"/>
      <c r="F259" s="12"/>
      <c r="G259" s="10" t="s">
        <v>942</v>
      </c>
      <c r="H259" s="10" t="s">
        <v>943</v>
      </c>
      <c r="I259" s="10" t="s">
        <v>944</v>
      </c>
      <c r="J259" s="10" t="s">
        <v>945</v>
      </c>
      <c r="K259" s="10" t="s">
        <v>68</v>
      </c>
      <c r="L259" s="10" t="s">
        <v>68</v>
      </c>
      <c r="M259" s="10" t="s">
        <v>69</v>
      </c>
      <c r="N259" s="10"/>
      <c r="O259" s="10"/>
      <c r="P259" s="10" t="s">
        <v>71</v>
      </c>
      <c r="Q259" s="11" t="s">
        <v>72</v>
      </c>
      <c r="R259" s="11" t="s">
        <v>946</v>
      </c>
      <c r="S259" s="11" t="s">
        <v>74</v>
      </c>
      <c r="T259" s="11" t="s">
        <v>987</v>
      </c>
      <c r="U259" s="10" t="n">
        <f aca="false">IF(AND($D259="",$E259="",$F259=""),1,0)</f>
        <v>0</v>
      </c>
      <c r="V259" s="10" t="n">
        <f aca="false">IF(OR($I259="",$I259="—"),1,0)</f>
        <v>0</v>
      </c>
      <c r="W259" s="10" t="n">
        <f aca="false">IF(AND(ISNUMBER($D259),ISNUMBER($E259)),IF($E259&gt;$D259,1,0),0)+IF(AND(ISNUMBER($D259),ISNUMBER($F259)),IF($D259&gt;$F259,1,0),0)+IF(AND(ISNUMBER($E259),ISNUMBER($F259)),IF($E259&gt;$F259,1,0),0)</f>
        <v>0</v>
      </c>
      <c r="X259" s="13" t="s">
        <v>76</v>
      </c>
    </row>
    <row r="260" customFormat="false" ht="15" hidden="false" customHeight="false" outlineLevel="0" collapsed="false">
      <c r="A260" s="10" t="s">
        <v>994</v>
      </c>
      <c r="B260" s="10" t="s">
        <v>995</v>
      </c>
      <c r="C260" s="10" t="s">
        <v>996</v>
      </c>
      <c r="D260" s="12" t="n">
        <v>0.6</v>
      </c>
      <c r="E260" s="12"/>
      <c r="F260" s="12"/>
      <c r="G260" s="10" t="s">
        <v>942</v>
      </c>
      <c r="H260" s="10" t="s">
        <v>943</v>
      </c>
      <c r="I260" s="10" t="s">
        <v>944</v>
      </c>
      <c r="J260" s="10" t="s">
        <v>945</v>
      </c>
      <c r="K260" s="10" t="s">
        <v>68</v>
      </c>
      <c r="L260" s="10" t="s">
        <v>68</v>
      </c>
      <c r="M260" s="10" t="s">
        <v>69</v>
      </c>
      <c r="N260" s="10"/>
      <c r="O260" s="10"/>
      <c r="P260" s="10" t="s">
        <v>71</v>
      </c>
      <c r="Q260" s="11" t="s">
        <v>72</v>
      </c>
      <c r="R260" s="11" t="s">
        <v>946</v>
      </c>
      <c r="S260" s="11" t="s">
        <v>74</v>
      </c>
      <c r="T260" s="11" t="s">
        <v>997</v>
      </c>
      <c r="U260" s="10" t="n">
        <f aca="false">IF(AND($D260="",$E260="",$F260=""),1,0)</f>
        <v>0</v>
      </c>
      <c r="V260" s="10" t="n">
        <f aca="false">IF(OR($I260="",$I260="—"),1,0)</f>
        <v>0</v>
      </c>
      <c r="W260" s="10" t="n">
        <f aca="false">IF(AND(ISNUMBER($D260),ISNUMBER($E260)),IF($E260&gt;$D260,1,0),0)+IF(AND(ISNUMBER($D260),ISNUMBER($F260)),IF($D260&gt;$F260,1,0),0)+IF(AND(ISNUMBER($E260),ISNUMBER($F260)),IF($E260&gt;$F260,1,0),0)</f>
        <v>0</v>
      </c>
      <c r="X260" s="13" t="s">
        <v>76</v>
      </c>
    </row>
    <row r="261" customFormat="false" ht="15" hidden="false" customHeight="false" outlineLevel="0" collapsed="false">
      <c r="A261" s="10" t="s">
        <v>998</v>
      </c>
      <c r="B261" s="10" t="s">
        <v>999</v>
      </c>
      <c r="C261" s="10" t="s">
        <v>1000</v>
      </c>
      <c r="D261" s="12" t="n">
        <v>0.11</v>
      </c>
      <c r="E261" s="12"/>
      <c r="F261" s="12"/>
      <c r="G261" s="10" t="s">
        <v>942</v>
      </c>
      <c r="H261" s="10" t="s">
        <v>943</v>
      </c>
      <c r="I261" s="10" t="s">
        <v>944</v>
      </c>
      <c r="J261" s="10" t="s">
        <v>945</v>
      </c>
      <c r="K261" s="10" t="s">
        <v>68</v>
      </c>
      <c r="L261" s="10" t="s">
        <v>68</v>
      </c>
      <c r="M261" s="10" t="s">
        <v>69</v>
      </c>
      <c r="N261" s="10"/>
      <c r="O261" s="10"/>
      <c r="P261" s="10" t="s">
        <v>71</v>
      </c>
      <c r="Q261" s="11" t="s">
        <v>72</v>
      </c>
      <c r="R261" s="11" t="s">
        <v>946</v>
      </c>
      <c r="S261" s="11" t="s">
        <v>74</v>
      </c>
      <c r="T261" s="11" t="s">
        <v>997</v>
      </c>
      <c r="U261" s="10" t="n">
        <f aca="false">IF(AND($D261="",$E261="",$F261=""),1,0)</f>
        <v>0</v>
      </c>
      <c r="V261" s="10" t="n">
        <f aca="false">IF(OR($I261="",$I261="—"),1,0)</f>
        <v>0</v>
      </c>
      <c r="W261" s="10" t="n">
        <f aca="false">IF(AND(ISNUMBER($D261),ISNUMBER($E261)),IF($E261&gt;$D261,1,0),0)+IF(AND(ISNUMBER($D261),ISNUMBER($F261)),IF($D261&gt;$F261,1,0),0)+IF(AND(ISNUMBER($E261),ISNUMBER($F261)),IF($E261&gt;$F261,1,0),0)</f>
        <v>0</v>
      </c>
      <c r="X261" s="13" t="s">
        <v>76</v>
      </c>
    </row>
    <row r="262" customFormat="false" ht="15" hidden="false" customHeight="false" outlineLevel="0" collapsed="false">
      <c r="A262" s="10" t="s">
        <v>1001</v>
      </c>
      <c r="B262" s="10" t="s">
        <v>1002</v>
      </c>
      <c r="C262" s="10" t="s">
        <v>1003</v>
      </c>
      <c r="D262" s="12" t="n">
        <v>2.2</v>
      </c>
      <c r="E262" s="12"/>
      <c r="F262" s="12"/>
      <c r="G262" s="10" t="s">
        <v>942</v>
      </c>
      <c r="H262" s="10" t="s">
        <v>943</v>
      </c>
      <c r="I262" s="10" t="s">
        <v>944</v>
      </c>
      <c r="J262" s="10" t="s">
        <v>945</v>
      </c>
      <c r="K262" s="10" t="s">
        <v>68</v>
      </c>
      <c r="L262" s="10" t="s">
        <v>68</v>
      </c>
      <c r="M262" s="10" t="s">
        <v>69</v>
      </c>
      <c r="N262" s="10"/>
      <c r="O262" s="10"/>
      <c r="P262" s="10" t="s">
        <v>71</v>
      </c>
      <c r="Q262" s="11" t="s">
        <v>72</v>
      </c>
      <c r="R262" s="11" t="s">
        <v>946</v>
      </c>
      <c r="S262" s="11" t="s">
        <v>74</v>
      </c>
      <c r="T262" s="11" t="s">
        <v>997</v>
      </c>
      <c r="U262" s="10" t="n">
        <f aca="false">IF(AND($D262="",$E262="",$F262=""),1,0)</f>
        <v>0</v>
      </c>
      <c r="V262" s="10" t="n">
        <f aca="false">IF(OR($I262="",$I262="—"),1,0)</f>
        <v>0</v>
      </c>
      <c r="W262" s="10" t="n">
        <f aca="false">IF(AND(ISNUMBER($D262),ISNUMBER($E262)),IF($E262&gt;$D262,1,0),0)+IF(AND(ISNUMBER($D262),ISNUMBER($F262)),IF($D262&gt;$F262,1,0),0)+IF(AND(ISNUMBER($E262),ISNUMBER($F262)),IF($E262&gt;$F262,1,0),0)</f>
        <v>0</v>
      </c>
      <c r="X262" s="13" t="s">
        <v>76</v>
      </c>
    </row>
    <row r="263" customFormat="false" ht="15" hidden="false" customHeight="false" outlineLevel="0" collapsed="false">
      <c r="A263" s="10" t="s">
        <v>1004</v>
      </c>
      <c r="B263" s="10" t="s">
        <v>1005</v>
      </c>
      <c r="C263" s="10" t="s">
        <v>1006</v>
      </c>
      <c r="D263" s="12" t="n">
        <v>0.6</v>
      </c>
      <c r="E263" s="12"/>
      <c r="F263" s="12"/>
      <c r="G263" s="10" t="s">
        <v>942</v>
      </c>
      <c r="H263" s="10" t="s">
        <v>943</v>
      </c>
      <c r="I263" s="10" t="s">
        <v>944</v>
      </c>
      <c r="J263" s="10" t="s">
        <v>945</v>
      </c>
      <c r="K263" s="10" t="s">
        <v>68</v>
      </c>
      <c r="L263" s="10" t="s">
        <v>68</v>
      </c>
      <c r="M263" s="10" t="s">
        <v>69</v>
      </c>
      <c r="N263" s="10"/>
      <c r="O263" s="10"/>
      <c r="P263" s="10" t="s">
        <v>71</v>
      </c>
      <c r="Q263" s="11" t="s">
        <v>72</v>
      </c>
      <c r="R263" s="11" t="s">
        <v>946</v>
      </c>
      <c r="S263" s="11" t="s">
        <v>74</v>
      </c>
      <c r="T263" s="11" t="s">
        <v>1007</v>
      </c>
      <c r="U263" s="10" t="n">
        <f aca="false">IF(AND($D263="",$E263="",$F263=""),1,0)</f>
        <v>0</v>
      </c>
      <c r="V263" s="10" t="n">
        <f aca="false">IF(OR($I263="",$I263="—"),1,0)</f>
        <v>0</v>
      </c>
      <c r="W263" s="10" t="n">
        <f aca="false">IF(AND(ISNUMBER($D263),ISNUMBER($E263)),IF($E263&gt;$D263,1,0),0)+IF(AND(ISNUMBER($D263),ISNUMBER($F263)),IF($D263&gt;$F263,1,0),0)+IF(AND(ISNUMBER($E263),ISNUMBER($F263)),IF($E263&gt;$F263,1,0),0)</f>
        <v>0</v>
      </c>
      <c r="X263" s="13" t="s">
        <v>76</v>
      </c>
    </row>
    <row r="264" customFormat="false" ht="15" hidden="false" customHeight="false" outlineLevel="0" collapsed="false">
      <c r="A264" s="10" t="s">
        <v>1008</v>
      </c>
      <c r="B264" s="10" t="s">
        <v>1009</v>
      </c>
      <c r="C264" s="10" t="s">
        <v>1010</v>
      </c>
      <c r="D264" s="12" t="n">
        <v>0.11</v>
      </c>
      <c r="E264" s="12"/>
      <c r="F264" s="12"/>
      <c r="G264" s="10" t="s">
        <v>942</v>
      </c>
      <c r="H264" s="10" t="s">
        <v>943</v>
      </c>
      <c r="I264" s="10" t="s">
        <v>944</v>
      </c>
      <c r="J264" s="10" t="s">
        <v>945</v>
      </c>
      <c r="K264" s="10" t="s">
        <v>68</v>
      </c>
      <c r="L264" s="10" t="s">
        <v>68</v>
      </c>
      <c r="M264" s="10" t="s">
        <v>69</v>
      </c>
      <c r="N264" s="10"/>
      <c r="O264" s="10"/>
      <c r="P264" s="10" t="s">
        <v>71</v>
      </c>
      <c r="Q264" s="11" t="s">
        <v>72</v>
      </c>
      <c r="R264" s="11" t="s">
        <v>946</v>
      </c>
      <c r="S264" s="11" t="s">
        <v>74</v>
      </c>
      <c r="T264" s="11" t="s">
        <v>1007</v>
      </c>
      <c r="U264" s="10" t="n">
        <f aca="false">IF(AND($D264="",$E264="",$F264=""),1,0)</f>
        <v>0</v>
      </c>
      <c r="V264" s="10" t="n">
        <f aca="false">IF(OR($I264="",$I264="—"),1,0)</f>
        <v>0</v>
      </c>
      <c r="W264" s="10" t="n">
        <f aca="false">IF(AND(ISNUMBER($D264),ISNUMBER($E264)),IF($E264&gt;$D264,1,0),0)+IF(AND(ISNUMBER($D264),ISNUMBER($F264)),IF($D264&gt;$F264,1,0),0)+IF(AND(ISNUMBER($E264),ISNUMBER($F264)),IF($E264&gt;$F264,1,0),0)</f>
        <v>0</v>
      </c>
      <c r="X264" s="13" t="s">
        <v>76</v>
      </c>
    </row>
    <row r="265" customFormat="false" ht="15" hidden="false" customHeight="false" outlineLevel="0" collapsed="false">
      <c r="A265" s="10" t="s">
        <v>1011</v>
      </c>
      <c r="B265" s="10" t="s">
        <v>1012</v>
      </c>
      <c r="C265" s="10" t="s">
        <v>1013</v>
      </c>
      <c r="D265" s="12" t="n">
        <v>2.2</v>
      </c>
      <c r="E265" s="12"/>
      <c r="F265" s="12"/>
      <c r="G265" s="10" t="s">
        <v>942</v>
      </c>
      <c r="H265" s="10" t="s">
        <v>943</v>
      </c>
      <c r="I265" s="10" t="s">
        <v>944</v>
      </c>
      <c r="J265" s="10" t="s">
        <v>945</v>
      </c>
      <c r="K265" s="10" t="s">
        <v>68</v>
      </c>
      <c r="L265" s="10" t="s">
        <v>68</v>
      </c>
      <c r="M265" s="10" t="s">
        <v>69</v>
      </c>
      <c r="N265" s="10"/>
      <c r="O265" s="10"/>
      <c r="P265" s="10" t="s">
        <v>71</v>
      </c>
      <c r="Q265" s="11" t="s">
        <v>72</v>
      </c>
      <c r="R265" s="11" t="s">
        <v>946</v>
      </c>
      <c r="S265" s="11" t="s">
        <v>74</v>
      </c>
      <c r="T265" s="11" t="s">
        <v>1007</v>
      </c>
      <c r="U265" s="10" t="n">
        <f aca="false">IF(AND($D265="",$E265="",$F265=""),1,0)</f>
        <v>0</v>
      </c>
      <c r="V265" s="10" t="n">
        <f aca="false">IF(OR($I265="",$I265="—"),1,0)</f>
        <v>0</v>
      </c>
      <c r="W265" s="10" t="n">
        <f aca="false">IF(AND(ISNUMBER($D265),ISNUMBER($E265)),IF($E265&gt;$D265,1,0),0)+IF(AND(ISNUMBER($D265),ISNUMBER($F265)),IF($D265&gt;$F265,1,0),0)+IF(AND(ISNUMBER($E265),ISNUMBER($F265)),IF($E265&gt;$F265,1,0),0)</f>
        <v>0</v>
      </c>
      <c r="X265" s="13" t="s">
        <v>76</v>
      </c>
    </row>
    <row r="266" customFormat="false" ht="15" hidden="false" customHeight="false" outlineLevel="0" collapsed="false">
      <c r="A266" s="10" t="s">
        <v>1014</v>
      </c>
      <c r="B266" s="10" t="s">
        <v>1015</v>
      </c>
      <c r="C266" s="10" t="s">
        <v>1016</v>
      </c>
      <c r="D266" s="12" t="n">
        <v>2.2</v>
      </c>
      <c r="E266" s="12"/>
      <c r="F266" s="12"/>
      <c r="G266" s="10" t="s">
        <v>942</v>
      </c>
      <c r="H266" s="10" t="s">
        <v>943</v>
      </c>
      <c r="I266" s="10" t="s">
        <v>944</v>
      </c>
      <c r="J266" s="10" t="s">
        <v>945</v>
      </c>
      <c r="K266" s="10" t="s">
        <v>68</v>
      </c>
      <c r="L266" s="10" t="s">
        <v>68</v>
      </c>
      <c r="M266" s="10" t="s">
        <v>69</v>
      </c>
      <c r="N266" s="10"/>
      <c r="O266" s="10"/>
      <c r="P266" s="10" t="s">
        <v>71</v>
      </c>
      <c r="Q266" s="11" t="s">
        <v>72</v>
      </c>
      <c r="R266" s="11" t="s">
        <v>946</v>
      </c>
      <c r="S266" s="11" t="s">
        <v>74</v>
      </c>
      <c r="T266" s="11" t="s">
        <v>1017</v>
      </c>
      <c r="U266" s="10" t="n">
        <f aca="false">IF(AND($D266="",$E266="",$F266=""),1,0)</f>
        <v>0</v>
      </c>
      <c r="V266" s="10" t="n">
        <f aca="false">IF(OR($I266="",$I266="—"),1,0)</f>
        <v>0</v>
      </c>
      <c r="W266" s="10" t="n">
        <f aca="false">IF(AND(ISNUMBER($D266),ISNUMBER($E266)),IF($E266&gt;$D266,1,0),0)+IF(AND(ISNUMBER($D266),ISNUMBER($F266)),IF($D266&gt;$F266,1,0),0)+IF(AND(ISNUMBER($E266),ISNUMBER($F266)),IF($E266&gt;$F266,1,0),0)</f>
        <v>0</v>
      </c>
      <c r="X266" s="13" t="s">
        <v>76</v>
      </c>
    </row>
    <row r="267" customFormat="false" ht="15" hidden="false" customHeight="false" outlineLevel="0" collapsed="false">
      <c r="A267" s="10" t="s">
        <v>1018</v>
      </c>
      <c r="B267" s="10" t="s">
        <v>1019</v>
      </c>
      <c r="C267" s="10" t="s">
        <v>1020</v>
      </c>
      <c r="D267" s="12" t="n">
        <v>0.45</v>
      </c>
      <c r="E267" s="12"/>
      <c r="F267" s="12"/>
      <c r="G267" s="10" t="s">
        <v>942</v>
      </c>
      <c r="H267" s="10" t="s">
        <v>943</v>
      </c>
      <c r="I267" s="10" t="s">
        <v>944</v>
      </c>
      <c r="J267" s="10" t="s">
        <v>945</v>
      </c>
      <c r="K267" s="10" t="s">
        <v>68</v>
      </c>
      <c r="L267" s="10" t="s">
        <v>68</v>
      </c>
      <c r="M267" s="10" t="s">
        <v>69</v>
      </c>
      <c r="N267" s="10"/>
      <c r="O267" s="10"/>
      <c r="P267" s="10" t="s">
        <v>71</v>
      </c>
      <c r="Q267" s="11" t="s">
        <v>72</v>
      </c>
      <c r="R267" s="11" t="s">
        <v>946</v>
      </c>
      <c r="S267" s="11" t="s">
        <v>74</v>
      </c>
      <c r="T267" s="11" t="s">
        <v>1017</v>
      </c>
      <c r="U267" s="10" t="n">
        <f aca="false">IF(AND($D267="",$E267="",$F267=""),1,0)</f>
        <v>0</v>
      </c>
      <c r="V267" s="10" t="n">
        <f aca="false">IF(OR($I267="",$I267="—"),1,0)</f>
        <v>0</v>
      </c>
      <c r="W267" s="10" t="n">
        <f aca="false">IF(AND(ISNUMBER($D267),ISNUMBER($E267)),IF($E267&gt;$D267,1,0),0)+IF(AND(ISNUMBER($D267),ISNUMBER($F267)),IF($D267&gt;$F267,1,0),0)+IF(AND(ISNUMBER($E267),ISNUMBER($F267)),IF($E267&gt;$F267,1,0),0)</f>
        <v>0</v>
      </c>
      <c r="X267" s="13" t="s">
        <v>76</v>
      </c>
    </row>
    <row r="268" customFormat="false" ht="15" hidden="false" customHeight="false" outlineLevel="0" collapsed="false">
      <c r="A268" s="10" t="s">
        <v>1021</v>
      </c>
      <c r="B268" s="10" t="s">
        <v>1022</v>
      </c>
      <c r="C268" s="10" t="s">
        <v>1023</v>
      </c>
      <c r="D268" s="12" t="n">
        <v>8.9</v>
      </c>
      <c r="E268" s="12"/>
      <c r="F268" s="12"/>
      <c r="G268" s="10" t="s">
        <v>942</v>
      </c>
      <c r="H268" s="10" t="s">
        <v>943</v>
      </c>
      <c r="I268" s="10" t="s">
        <v>944</v>
      </c>
      <c r="J268" s="10" t="s">
        <v>945</v>
      </c>
      <c r="K268" s="10" t="s">
        <v>68</v>
      </c>
      <c r="L268" s="10" t="s">
        <v>68</v>
      </c>
      <c r="M268" s="10" t="s">
        <v>69</v>
      </c>
      <c r="N268" s="10"/>
      <c r="O268" s="10"/>
      <c r="P268" s="10" t="s">
        <v>71</v>
      </c>
      <c r="Q268" s="11" t="s">
        <v>72</v>
      </c>
      <c r="R268" s="11" t="s">
        <v>946</v>
      </c>
      <c r="S268" s="11" t="s">
        <v>74</v>
      </c>
      <c r="T268" s="11" t="s">
        <v>1017</v>
      </c>
      <c r="U268" s="10" t="n">
        <f aca="false">IF(AND($D268="",$E268="",$F268=""),1,0)</f>
        <v>0</v>
      </c>
      <c r="V268" s="10" t="n">
        <f aca="false">IF(OR($I268="",$I268="—"),1,0)</f>
        <v>0</v>
      </c>
      <c r="W268" s="10" t="n">
        <f aca="false">IF(AND(ISNUMBER($D268),ISNUMBER($E268)),IF($E268&gt;$D268,1,0),0)+IF(AND(ISNUMBER($D268),ISNUMBER($F268)),IF($D268&gt;$F268,1,0),0)+IF(AND(ISNUMBER($E268),ISNUMBER($F268)),IF($E268&gt;$F268,1,0),0)</f>
        <v>0</v>
      </c>
      <c r="X268" s="13" t="s">
        <v>76</v>
      </c>
    </row>
    <row r="269" customFormat="false" ht="15" hidden="false" customHeight="false" outlineLevel="0" collapsed="false">
      <c r="A269" s="10" t="s">
        <v>1024</v>
      </c>
      <c r="B269" s="10" t="s">
        <v>1025</v>
      </c>
      <c r="C269" s="10" t="s">
        <v>1026</v>
      </c>
      <c r="D269" s="12" t="n">
        <v>0.2</v>
      </c>
      <c r="E269" s="12"/>
      <c r="F269" s="12"/>
      <c r="G269" s="10" t="s">
        <v>942</v>
      </c>
      <c r="H269" s="10" t="s">
        <v>943</v>
      </c>
      <c r="I269" s="10" t="s">
        <v>944</v>
      </c>
      <c r="J269" s="10" t="s">
        <v>945</v>
      </c>
      <c r="K269" s="10" t="s">
        <v>68</v>
      </c>
      <c r="L269" s="10" t="s">
        <v>68</v>
      </c>
      <c r="M269" s="10" t="s">
        <v>69</v>
      </c>
      <c r="N269" s="10"/>
      <c r="O269" s="10"/>
      <c r="P269" s="10" t="s">
        <v>71</v>
      </c>
      <c r="Q269" s="11" t="s">
        <v>72</v>
      </c>
      <c r="R269" s="11" t="s">
        <v>946</v>
      </c>
      <c r="S269" s="11" t="s">
        <v>74</v>
      </c>
      <c r="T269" s="11" t="s">
        <v>1027</v>
      </c>
      <c r="U269" s="10" t="n">
        <f aca="false">IF(AND($D269="",$E269="",$F269=""),1,0)</f>
        <v>0</v>
      </c>
      <c r="V269" s="10" t="n">
        <f aca="false">IF(OR($I269="",$I269="—"),1,0)</f>
        <v>0</v>
      </c>
      <c r="W269" s="10" t="n">
        <f aca="false">IF(AND(ISNUMBER($D269),ISNUMBER($E269)),IF($E269&gt;$D269,1,0),0)+IF(AND(ISNUMBER($D269),ISNUMBER($F269)),IF($D269&gt;$F269,1,0),0)+IF(AND(ISNUMBER($E269),ISNUMBER($F269)),IF($E269&gt;$F269,1,0),0)</f>
        <v>0</v>
      </c>
      <c r="X269" s="13" t="s">
        <v>76</v>
      </c>
    </row>
    <row r="270" customFormat="false" ht="15" hidden="false" customHeight="false" outlineLevel="0" collapsed="false">
      <c r="A270" s="10" t="s">
        <v>1028</v>
      </c>
      <c r="B270" s="10" t="s">
        <v>1029</v>
      </c>
      <c r="C270" s="10" t="s">
        <v>1030</v>
      </c>
      <c r="D270" s="12" t="n">
        <v>0.03</v>
      </c>
      <c r="E270" s="12"/>
      <c r="F270" s="12"/>
      <c r="G270" s="10" t="s">
        <v>942</v>
      </c>
      <c r="H270" s="10" t="s">
        <v>943</v>
      </c>
      <c r="I270" s="10" t="s">
        <v>944</v>
      </c>
      <c r="J270" s="10" t="s">
        <v>945</v>
      </c>
      <c r="K270" s="10" t="s">
        <v>68</v>
      </c>
      <c r="L270" s="10" t="s">
        <v>68</v>
      </c>
      <c r="M270" s="10" t="s">
        <v>69</v>
      </c>
      <c r="N270" s="10"/>
      <c r="O270" s="10"/>
      <c r="P270" s="10" t="s">
        <v>71</v>
      </c>
      <c r="Q270" s="11" t="s">
        <v>72</v>
      </c>
      <c r="R270" s="11" t="s">
        <v>946</v>
      </c>
      <c r="S270" s="11" t="s">
        <v>74</v>
      </c>
      <c r="T270" s="11" t="s">
        <v>1027</v>
      </c>
      <c r="U270" s="10" t="n">
        <f aca="false">IF(AND($D270="",$E270="",$F270=""),1,0)</f>
        <v>0</v>
      </c>
      <c r="V270" s="10" t="n">
        <f aca="false">IF(OR($I270="",$I270="—"),1,0)</f>
        <v>0</v>
      </c>
      <c r="W270" s="10" t="n">
        <f aca="false">IF(AND(ISNUMBER($D270),ISNUMBER($E270)),IF($E270&gt;$D270,1,0),0)+IF(AND(ISNUMBER($D270),ISNUMBER($F270)),IF($D270&gt;$F270,1,0),0)+IF(AND(ISNUMBER($E270),ISNUMBER($F270)),IF($E270&gt;$F270,1,0),0)</f>
        <v>0</v>
      </c>
      <c r="X270" s="13" t="s">
        <v>76</v>
      </c>
    </row>
    <row r="271" customFormat="false" ht="15" hidden="false" customHeight="false" outlineLevel="0" collapsed="false">
      <c r="A271" s="10" t="s">
        <v>1031</v>
      </c>
      <c r="B271" s="10" t="s">
        <v>1032</v>
      </c>
      <c r="C271" s="10" t="s">
        <v>1033</v>
      </c>
      <c r="D271" s="12" t="n">
        <v>1.1</v>
      </c>
      <c r="E271" s="12"/>
      <c r="F271" s="12"/>
      <c r="G271" s="10" t="s">
        <v>942</v>
      </c>
      <c r="H271" s="10" t="s">
        <v>943</v>
      </c>
      <c r="I271" s="10" t="s">
        <v>944</v>
      </c>
      <c r="J271" s="10" t="s">
        <v>945</v>
      </c>
      <c r="K271" s="10" t="s">
        <v>68</v>
      </c>
      <c r="L271" s="10" t="s">
        <v>68</v>
      </c>
      <c r="M271" s="10" t="s">
        <v>69</v>
      </c>
      <c r="N271" s="10"/>
      <c r="O271" s="10"/>
      <c r="P271" s="10" t="s">
        <v>71</v>
      </c>
      <c r="Q271" s="11" t="s">
        <v>72</v>
      </c>
      <c r="R271" s="11" t="s">
        <v>946</v>
      </c>
      <c r="S271" s="11" t="s">
        <v>74</v>
      </c>
      <c r="T271" s="11" t="s">
        <v>1027</v>
      </c>
      <c r="U271" s="10" t="n">
        <f aca="false">IF(AND($D271="",$E271="",$F271=""),1,0)</f>
        <v>0</v>
      </c>
      <c r="V271" s="10" t="n">
        <f aca="false">IF(OR($I271="",$I271="—"),1,0)</f>
        <v>0</v>
      </c>
      <c r="W271" s="10" t="n">
        <f aca="false">IF(AND(ISNUMBER($D271),ISNUMBER($E271)),IF($E271&gt;$D271,1,0),0)+IF(AND(ISNUMBER($D271),ISNUMBER($F271)),IF($D271&gt;$F271,1,0),0)+IF(AND(ISNUMBER($E271),ISNUMBER($F271)),IF($E271&gt;$F271,1,0),0)</f>
        <v>0</v>
      </c>
      <c r="X271" s="13" t="s">
        <v>76</v>
      </c>
    </row>
    <row r="272" customFormat="false" ht="15" hidden="false" customHeight="false" outlineLevel="0" collapsed="false">
      <c r="A272" s="10" t="s">
        <v>1034</v>
      </c>
      <c r="B272" s="10" t="s">
        <v>1035</v>
      </c>
      <c r="C272" s="10" t="s">
        <v>1036</v>
      </c>
      <c r="D272" s="12" t="n">
        <v>1.1</v>
      </c>
      <c r="E272" s="12"/>
      <c r="F272" s="12"/>
      <c r="G272" s="10" t="s">
        <v>942</v>
      </c>
      <c r="H272" s="10" t="s">
        <v>943</v>
      </c>
      <c r="I272" s="10" t="s">
        <v>944</v>
      </c>
      <c r="J272" s="10" t="s">
        <v>945</v>
      </c>
      <c r="K272" s="10" t="s">
        <v>68</v>
      </c>
      <c r="L272" s="10" t="s">
        <v>68</v>
      </c>
      <c r="M272" s="10" t="s">
        <v>69</v>
      </c>
      <c r="N272" s="10"/>
      <c r="O272" s="10"/>
      <c r="P272" s="10" t="s">
        <v>71</v>
      </c>
      <c r="Q272" s="11" t="s">
        <v>72</v>
      </c>
      <c r="R272" s="11" t="s">
        <v>946</v>
      </c>
      <c r="S272" s="11" t="s">
        <v>74</v>
      </c>
      <c r="T272" s="11" t="s">
        <v>1037</v>
      </c>
      <c r="U272" s="10" t="n">
        <f aca="false">IF(AND($D272="",$E272="",$F272=""),1,0)</f>
        <v>0</v>
      </c>
      <c r="V272" s="10" t="n">
        <f aca="false">IF(OR($I272="",$I272="—"),1,0)</f>
        <v>0</v>
      </c>
      <c r="W272" s="10" t="n">
        <f aca="false">IF(AND(ISNUMBER($D272),ISNUMBER($E272)),IF($E272&gt;$D272,1,0),0)+IF(AND(ISNUMBER($D272),ISNUMBER($F272)),IF($D272&gt;$F272,1,0),0)+IF(AND(ISNUMBER($E272),ISNUMBER($F272)),IF($E272&gt;$F272,1,0),0)</f>
        <v>0</v>
      </c>
      <c r="X272" s="13" t="s">
        <v>76</v>
      </c>
    </row>
    <row r="273" customFormat="false" ht="15" hidden="false" customHeight="false" outlineLevel="0" collapsed="false">
      <c r="A273" s="10" t="s">
        <v>1038</v>
      </c>
      <c r="B273" s="10" t="s">
        <v>1039</v>
      </c>
      <c r="C273" s="10" t="s">
        <v>1040</v>
      </c>
      <c r="D273" s="12" t="n">
        <v>0.22</v>
      </c>
      <c r="E273" s="12"/>
      <c r="F273" s="12"/>
      <c r="G273" s="10" t="s">
        <v>942</v>
      </c>
      <c r="H273" s="10" t="s">
        <v>943</v>
      </c>
      <c r="I273" s="10" t="s">
        <v>944</v>
      </c>
      <c r="J273" s="10" t="s">
        <v>945</v>
      </c>
      <c r="K273" s="10" t="s">
        <v>68</v>
      </c>
      <c r="L273" s="10" t="s">
        <v>68</v>
      </c>
      <c r="M273" s="10" t="s">
        <v>69</v>
      </c>
      <c r="N273" s="10"/>
      <c r="O273" s="10"/>
      <c r="P273" s="10" t="s">
        <v>71</v>
      </c>
      <c r="Q273" s="11" t="s">
        <v>72</v>
      </c>
      <c r="R273" s="11" t="s">
        <v>946</v>
      </c>
      <c r="S273" s="11" t="s">
        <v>74</v>
      </c>
      <c r="T273" s="11" t="s">
        <v>1037</v>
      </c>
      <c r="U273" s="10" t="n">
        <f aca="false">IF(AND($D273="",$E273="",$F273=""),1,0)</f>
        <v>0</v>
      </c>
      <c r="V273" s="10" t="n">
        <f aca="false">IF(OR($I273="",$I273="—"),1,0)</f>
        <v>0</v>
      </c>
      <c r="W273" s="10" t="n">
        <f aca="false">IF(AND(ISNUMBER($D273),ISNUMBER($E273)),IF($E273&gt;$D273,1,0),0)+IF(AND(ISNUMBER($D273),ISNUMBER($F273)),IF($D273&gt;$F273,1,0),0)+IF(AND(ISNUMBER($E273),ISNUMBER($F273)),IF($E273&gt;$F273,1,0),0)</f>
        <v>0</v>
      </c>
      <c r="X273" s="13" t="s">
        <v>76</v>
      </c>
    </row>
    <row r="274" customFormat="false" ht="15" hidden="false" customHeight="false" outlineLevel="0" collapsed="false">
      <c r="A274" s="10" t="s">
        <v>1041</v>
      </c>
      <c r="B274" s="10" t="s">
        <v>1042</v>
      </c>
      <c r="C274" s="10" t="s">
        <v>1043</v>
      </c>
      <c r="D274" s="12" t="n">
        <v>4.5</v>
      </c>
      <c r="E274" s="12"/>
      <c r="F274" s="12"/>
      <c r="G274" s="10" t="s">
        <v>942</v>
      </c>
      <c r="H274" s="10" t="s">
        <v>943</v>
      </c>
      <c r="I274" s="10" t="s">
        <v>944</v>
      </c>
      <c r="J274" s="10" t="s">
        <v>945</v>
      </c>
      <c r="K274" s="10" t="s">
        <v>68</v>
      </c>
      <c r="L274" s="10" t="s">
        <v>68</v>
      </c>
      <c r="M274" s="10" t="s">
        <v>69</v>
      </c>
      <c r="N274" s="10"/>
      <c r="O274" s="10"/>
      <c r="P274" s="10" t="s">
        <v>71</v>
      </c>
      <c r="Q274" s="11" t="s">
        <v>72</v>
      </c>
      <c r="R274" s="11" t="s">
        <v>946</v>
      </c>
      <c r="S274" s="11" t="s">
        <v>74</v>
      </c>
      <c r="T274" s="11" t="s">
        <v>1037</v>
      </c>
      <c r="U274" s="10" t="n">
        <f aca="false">IF(AND($D274="",$E274="",$F274=""),1,0)</f>
        <v>0</v>
      </c>
      <c r="V274" s="10" t="n">
        <f aca="false">IF(OR($I274="",$I274="—"),1,0)</f>
        <v>0</v>
      </c>
      <c r="W274" s="10" t="n">
        <f aca="false">IF(AND(ISNUMBER($D274),ISNUMBER($E274)),IF($E274&gt;$D274,1,0),0)+IF(AND(ISNUMBER($D274),ISNUMBER($F274)),IF($D274&gt;$F274,1,0),0)+IF(AND(ISNUMBER($E274),ISNUMBER($F274)),IF($E274&gt;$F274,1,0),0)</f>
        <v>0</v>
      </c>
      <c r="X274" s="13" t="s">
        <v>76</v>
      </c>
    </row>
    <row r="275" customFormat="false" ht="15" hidden="false" customHeight="false" outlineLevel="0" collapsed="false">
      <c r="A275" s="10" t="s">
        <v>1044</v>
      </c>
      <c r="B275" s="10" t="s">
        <v>1045</v>
      </c>
      <c r="C275" s="10" t="s">
        <v>1046</v>
      </c>
      <c r="D275" s="12" t="n">
        <v>0.15</v>
      </c>
      <c r="E275" s="12"/>
      <c r="F275" s="12"/>
      <c r="G275" s="10" t="s">
        <v>942</v>
      </c>
      <c r="H275" s="10" t="s">
        <v>943</v>
      </c>
      <c r="I275" s="10" t="s">
        <v>944</v>
      </c>
      <c r="J275" s="10" t="s">
        <v>945</v>
      </c>
      <c r="K275" s="10" t="s">
        <v>68</v>
      </c>
      <c r="L275" s="10" t="s">
        <v>68</v>
      </c>
      <c r="M275" s="10" t="s">
        <v>69</v>
      </c>
      <c r="N275" s="10"/>
      <c r="O275" s="10"/>
      <c r="P275" s="10" t="s">
        <v>71</v>
      </c>
      <c r="Q275" s="11" t="s">
        <v>72</v>
      </c>
      <c r="R275" s="11" t="s">
        <v>946</v>
      </c>
      <c r="S275" s="11" t="s">
        <v>74</v>
      </c>
      <c r="T275" s="11" t="s">
        <v>1047</v>
      </c>
      <c r="U275" s="10" t="n">
        <f aca="false">IF(AND($D275="",$E275="",$F275=""),1,0)</f>
        <v>0</v>
      </c>
      <c r="V275" s="10" t="n">
        <f aca="false">IF(OR($I275="",$I275="—"),1,0)</f>
        <v>0</v>
      </c>
      <c r="W275" s="10" t="n">
        <f aca="false">IF(AND(ISNUMBER($D275),ISNUMBER($E275)),IF($E275&gt;$D275,1,0),0)+IF(AND(ISNUMBER($D275),ISNUMBER($F275)),IF($D275&gt;$F275,1,0),0)+IF(AND(ISNUMBER($E275),ISNUMBER($F275)),IF($E275&gt;$F275,1,0),0)</f>
        <v>0</v>
      </c>
      <c r="X275" s="13" t="s">
        <v>76</v>
      </c>
    </row>
    <row r="276" customFormat="false" ht="15" hidden="false" customHeight="false" outlineLevel="0" collapsed="false">
      <c r="A276" s="10" t="s">
        <v>1048</v>
      </c>
      <c r="B276" s="10" t="s">
        <v>1049</v>
      </c>
      <c r="C276" s="10" t="s">
        <v>1050</v>
      </c>
      <c r="D276" s="12" t="n">
        <v>0.03</v>
      </c>
      <c r="E276" s="12"/>
      <c r="F276" s="12"/>
      <c r="G276" s="10" t="s">
        <v>942</v>
      </c>
      <c r="H276" s="10" t="s">
        <v>943</v>
      </c>
      <c r="I276" s="10" t="s">
        <v>944</v>
      </c>
      <c r="J276" s="10" t="s">
        <v>945</v>
      </c>
      <c r="K276" s="10" t="s">
        <v>68</v>
      </c>
      <c r="L276" s="10" t="s">
        <v>68</v>
      </c>
      <c r="M276" s="10" t="s">
        <v>69</v>
      </c>
      <c r="N276" s="10"/>
      <c r="O276" s="10"/>
      <c r="P276" s="10" t="s">
        <v>71</v>
      </c>
      <c r="Q276" s="11" t="s">
        <v>72</v>
      </c>
      <c r="R276" s="11" t="s">
        <v>946</v>
      </c>
      <c r="S276" s="11" t="s">
        <v>74</v>
      </c>
      <c r="T276" s="11" t="s">
        <v>1047</v>
      </c>
      <c r="U276" s="10" t="n">
        <f aca="false">IF(AND($D276="",$E276="",$F276=""),1,0)</f>
        <v>0</v>
      </c>
      <c r="V276" s="10" t="n">
        <f aca="false">IF(OR($I276="",$I276="—"),1,0)</f>
        <v>0</v>
      </c>
      <c r="W276" s="10" t="n">
        <f aca="false">IF(AND(ISNUMBER($D276),ISNUMBER($E276)),IF($E276&gt;$D276,1,0),0)+IF(AND(ISNUMBER($D276),ISNUMBER($F276)),IF($D276&gt;$F276,1,0),0)+IF(AND(ISNUMBER($E276),ISNUMBER($F276)),IF($E276&gt;$F276,1,0),0)</f>
        <v>0</v>
      </c>
      <c r="X276" s="13" t="s">
        <v>76</v>
      </c>
    </row>
    <row r="277" customFormat="false" ht="15" hidden="false" customHeight="false" outlineLevel="0" collapsed="false">
      <c r="A277" s="10" t="s">
        <v>1051</v>
      </c>
      <c r="B277" s="10" t="s">
        <v>1052</v>
      </c>
      <c r="C277" s="10" t="s">
        <v>1053</v>
      </c>
      <c r="D277" s="12" t="n">
        <v>0.5</v>
      </c>
      <c r="E277" s="12"/>
      <c r="F277" s="12"/>
      <c r="G277" s="10" t="s">
        <v>942</v>
      </c>
      <c r="H277" s="10" t="s">
        <v>943</v>
      </c>
      <c r="I277" s="10" t="s">
        <v>944</v>
      </c>
      <c r="J277" s="10" t="s">
        <v>945</v>
      </c>
      <c r="K277" s="10" t="s">
        <v>68</v>
      </c>
      <c r="L277" s="10" t="s">
        <v>68</v>
      </c>
      <c r="M277" s="10" t="s">
        <v>69</v>
      </c>
      <c r="N277" s="10"/>
      <c r="O277" s="10"/>
      <c r="P277" s="10" t="s">
        <v>71</v>
      </c>
      <c r="Q277" s="11" t="s">
        <v>72</v>
      </c>
      <c r="R277" s="11" t="s">
        <v>946</v>
      </c>
      <c r="S277" s="11" t="s">
        <v>74</v>
      </c>
      <c r="T277" s="11" t="s">
        <v>1047</v>
      </c>
      <c r="U277" s="10" t="n">
        <f aca="false">IF(AND($D277="",$E277="",$F277=""),1,0)</f>
        <v>0</v>
      </c>
      <c r="V277" s="10" t="n">
        <f aca="false">IF(OR($I277="",$I277="—"),1,0)</f>
        <v>0</v>
      </c>
      <c r="W277" s="10" t="n">
        <f aca="false">IF(AND(ISNUMBER($D277),ISNUMBER($E277)),IF($E277&gt;$D277,1,0),0)+IF(AND(ISNUMBER($D277),ISNUMBER($F277)),IF($D277&gt;$F277,1,0),0)+IF(AND(ISNUMBER($E277),ISNUMBER($F277)),IF($E277&gt;$F277,1,0),0)</f>
        <v>0</v>
      </c>
      <c r="X277" s="13" t="s">
        <v>76</v>
      </c>
    </row>
    <row r="278" customFormat="false" ht="15" hidden="false" customHeight="false" outlineLevel="0" collapsed="false">
      <c r="A278" s="10" t="s">
        <v>1054</v>
      </c>
      <c r="B278" s="10" t="s">
        <v>1055</v>
      </c>
      <c r="C278" s="10" t="s">
        <v>1056</v>
      </c>
      <c r="D278" s="12" t="n">
        <v>0.37</v>
      </c>
      <c r="E278" s="12"/>
      <c r="F278" s="12"/>
      <c r="G278" s="10" t="s">
        <v>942</v>
      </c>
      <c r="H278" s="10" t="s">
        <v>943</v>
      </c>
      <c r="I278" s="10" t="s">
        <v>944</v>
      </c>
      <c r="J278" s="10" t="s">
        <v>945</v>
      </c>
      <c r="K278" s="10" t="s">
        <v>68</v>
      </c>
      <c r="L278" s="10" t="s">
        <v>68</v>
      </c>
      <c r="M278" s="10" t="s">
        <v>69</v>
      </c>
      <c r="N278" s="10"/>
      <c r="O278" s="10"/>
      <c r="P278" s="10" t="s">
        <v>71</v>
      </c>
      <c r="Q278" s="11" t="s">
        <v>72</v>
      </c>
      <c r="R278" s="11" t="s">
        <v>946</v>
      </c>
      <c r="S278" s="11" t="s">
        <v>74</v>
      </c>
      <c r="T278" s="11" t="s">
        <v>1057</v>
      </c>
      <c r="U278" s="10" t="n">
        <f aca="false">IF(AND($D278="",$E278="",$F278=""),1,0)</f>
        <v>0</v>
      </c>
      <c r="V278" s="10" t="n">
        <f aca="false">IF(OR($I278="",$I278="—"),1,0)</f>
        <v>0</v>
      </c>
      <c r="W278" s="10" t="n">
        <f aca="false">IF(AND(ISNUMBER($D278),ISNUMBER($E278)),IF($E278&gt;$D278,1,0),0)+IF(AND(ISNUMBER($D278),ISNUMBER($F278)),IF($D278&gt;$F278,1,0),0)+IF(AND(ISNUMBER($E278),ISNUMBER($F278)),IF($E278&gt;$F278,1,0),0)</f>
        <v>0</v>
      </c>
      <c r="X278" s="13" t="s">
        <v>76</v>
      </c>
    </row>
    <row r="279" customFormat="false" ht="15" hidden="false" customHeight="false" outlineLevel="0" collapsed="false">
      <c r="A279" s="10" t="s">
        <v>1058</v>
      </c>
      <c r="B279" s="10" t="s">
        <v>1059</v>
      </c>
      <c r="C279" s="10" t="s">
        <v>1060</v>
      </c>
      <c r="D279" s="12" t="n">
        <v>0.075</v>
      </c>
      <c r="E279" s="12"/>
      <c r="F279" s="12"/>
      <c r="G279" s="10" t="s">
        <v>942</v>
      </c>
      <c r="H279" s="10" t="s">
        <v>943</v>
      </c>
      <c r="I279" s="10" t="s">
        <v>944</v>
      </c>
      <c r="J279" s="10" t="s">
        <v>945</v>
      </c>
      <c r="K279" s="10" t="s">
        <v>68</v>
      </c>
      <c r="L279" s="10" t="s">
        <v>68</v>
      </c>
      <c r="M279" s="10" t="s">
        <v>69</v>
      </c>
      <c r="N279" s="10"/>
      <c r="O279" s="10"/>
      <c r="P279" s="10" t="s">
        <v>71</v>
      </c>
      <c r="Q279" s="11" t="s">
        <v>72</v>
      </c>
      <c r="R279" s="11" t="s">
        <v>946</v>
      </c>
      <c r="S279" s="11" t="s">
        <v>74</v>
      </c>
      <c r="T279" s="11" t="s">
        <v>1057</v>
      </c>
      <c r="U279" s="10" t="n">
        <f aca="false">IF(AND($D279="",$E279="",$F279=""),1,0)</f>
        <v>0</v>
      </c>
      <c r="V279" s="10" t="n">
        <f aca="false">IF(OR($I279="",$I279="—"),1,0)</f>
        <v>0</v>
      </c>
      <c r="W279" s="10" t="n">
        <f aca="false">IF(AND(ISNUMBER($D279),ISNUMBER($E279)),IF($E279&gt;$D279,1,0),0)+IF(AND(ISNUMBER($D279),ISNUMBER($F279)),IF($D279&gt;$F279,1,0),0)+IF(AND(ISNUMBER($E279),ISNUMBER($F279)),IF($E279&gt;$F279,1,0),0)</f>
        <v>0</v>
      </c>
      <c r="X279" s="13" t="s">
        <v>76</v>
      </c>
    </row>
    <row r="280" customFormat="false" ht="15" hidden="false" customHeight="false" outlineLevel="0" collapsed="false">
      <c r="A280" s="10" t="s">
        <v>1061</v>
      </c>
      <c r="B280" s="10" t="s">
        <v>1062</v>
      </c>
      <c r="C280" s="10" t="s">
        <v>1063</v>
      </c>
      <c r="D280" s="12" t="n">
        <v>1.25</v>
      </c>
      <c r="E280" s="12"/>
      <c r="F280" s="12"/>
      <c r="G280" s="10" t="s">
        <v>942</v>
      </c>
      <c r="H280" s="10" t="s">
        <v>943</v>
      </c>
      <c r="I280" s="10" t="s">
        <v>944</v>
      </c>
      <c r="J280" s="10" t="s">
        <v>945</v>
      </c>
      <c r="K280" s="10" t="s">
        <v>68</v>
      </c>
      <c r="L280" s="10" t="s">
        <v>68</v>
      </c>
      <c r="M280" s="10" t="s">
        <v>69</v>
      </c>
      <c r="N280" s="10"/>
      <c r="O280" s="10"/>
      <c r="P280" s="10" t="s">
        <v>71</v>
      </c>
      <c r="Q280" s="11" t="s">
        <v>72</v>
      </c>
      <c r="R280" s="11" t="s">
        <v>946</v>
      </c>
      <c r="S280" s="11" t="s">
        <v>74</v>
      </c>
      <c r="T280" s="11" t="s">
        <v>1057</v>
      </c>
      <c r="U280" s="10" t="n">
        <f aca="false">IF(AND($D280="",$E280="",$F280=""),1,0)</f>
        <v>0</v>
      </c>
      <c r="V280" s="10" t="n">
        <f aca="false">IF(OR($I280="",$I280="—"),1,0)</f>
        <v>0</v>
      </c>
      <c r="W280" s="10" t="n">
        <f aca="false">IF(AND(ISNUMBER($D280),ISNUMBER($E280)),IF($E280&gt;$D280,1,0),0)+IF(AND(ISNUMBER($D280),ISNUMBER($F280)),IF($D280&gt;$F280,1,0),0)+IF(AND(ISNUMBER($E280),ISNUMBER($F280)),IF($E280&gt;$F280,1,0),0)</f>
        <v>0</v>
      </c>
      <c r="X280" s="13" t="s">
        <v>76</v>
      </c>
    </row>
    <row r="281" customFormat="false" ht="15" hidden="false" customHeight="false" outlineLevel="0" collapsed="false">
      <c r="A281" s="10" t="s">
        <v>1064</v>
      </c>
      <c r="B281" s="10" t="s">
        <v>1065</v>
      </c>
      <c r="C281" s="10" t="s">
        <v>1066</v>
      </c>
      <c r="D281" s="12" t="n">
        <v>0.07</v>
      </c>
      <c r="E281" s="12"/>
      <c r="F281" s="12"/>
      <c r="G281" s="10" t="s">
        <v>942</v>
      </c>
      <c r="H281" s="10" t="s">
        <v>943</v>
      </c>
      <c r="I281" s="10" t="s">
        <v>944</v>
      </c>
      <c r="J281" s="10" t="s">
        <v>945</v>
      </c>
      <c r="K281" s="10" t="s">
        <v>68</v>
      </c>
      <c r="L281" s="10" t="s">
        <v>68</v>
      </c>
      <c r="M281" s="10" t="s">
        <v>69</v>
      </c>
      <c r="N281" s="10"/>
      <c r="O281" s="10"/>
      <c r="P281" s="10" t="s">
        <v>71</v>
      </c>
      <c r="Q281" s="11" t="s">
        <v>72</v>
      </c>
      <c r="R281" s="11" t="s">
        <v>946</v>
      </c>
      <c r="S281" s="11" t="s">
        <v>74</v>
      </c>
      <c r="T281" s="11" t="s">
        <v>1067</v>
      </c>
      <c r="U281" s="10" t="n">
        <f aca="false">IF(AND($D281="",$E281="",$F281=""),1,0)</f>
        <v>0</v>
      </c>
      <c r="V281" s="10" t="n">
        <f aca="false">IF(OR($I281="",$I281="—"),1,0)</f>
        <v>0</v>
      </c>
      <c r="W281" s="10" t="n">
        <f aca="false">IF(AND(ISNUMBER($D281),ISNUMBER($E281)),IF($E281&gt;$D281,1,0),0)+IF(AND(ISNUMBER($D281),ISNUMBER($F281)),IF($D281&gt;$F281,1,0),0)+IF(AND(ISNUMBER($E281),ISNUMBER($F281)),IF($E281&gt;$F281,1,0),0)</f>
        <v>0</v>
      </c>
      <c r="X281" s="13" t="s">
        <v>76</v>
      </c>
    </row>
    <row r="282" customFormat="false" ht="15" hidden="false" customHeight="false" outlineLevel="0" collapsed="false">
      <c r="A282" s="10" t="s">
        <v>1068</v>
      </c>
      <c r="B282" s="10" t="s">
        <v>1069</v>
      </c>
      <c r="C282" s="10" t="s">
        <v>1070</v>
      </c>
      <c r="D282" s="12" t="n">
        <v>0.01</v>
      </c>
      <c r="E282" s="12"/>
      <c r="F282" s="12"/>
      <c r="G282" s="10" t="s">
        <v>942</v>
      </c>
      <c r="H282" s="10" t="s">
        <v>943</v>
      </c>
      <c r="I282" s="10" t="s">
        <v>944</v>
      </c>
      <c r="J282" s="10" t="s">
        <v>945</v>
      </c>
      <c r="K282" s="10" t="s">
        <v>68</v>
      </c>
      <c r="L282" s="10" t="s">
        <v>68</v>
      </c>
      <c r="M282" s="10" t="s">
        <v>69</v>
      </c>
      <c r="N282" s="10"/>
      <c r="O282" s="10"/>
      <c r="P282" s="10" t="s">
        <v>71</v>
      </c>
      <c r="Q282" s="11" t="s">
        <v>72</v>
      </c>
      <c r="R282" s="11" t="s">
        <v>946</v>
      </c>
      <c r="S282" s="11" t="s">
        <v>74</v>
      </c>
      <c r="T282" s="11" t="s">
        <v>1067</v>
      </c>
      <c r="U282" s="10" t="n">
        <f aca="false">IF(AND($D282="",$E282="",$F282=""),1,0)</f>
        <v>0</v>
      </c>
      <c r="V282" s="10" t="n">
        <f aca="false">IF(OR($I282="",$I282="—"),1,0)</f>
        <v>0</v>
      </c>
      <c r="W282" s="10" t="n">
        <f aca="false">IF(AND(ISNUMBER($D282),ISNUMBER($E282)),IF($E282&gt;$D282,1,0),0)+IF(AND(ISNUMBER($D282),ISNUMBER($F282)),IF($D282&gt;$F282,1,0),0)+IF(AND(ISNUMBER($E282),ISNUMBER($F282)),IF($E282&gt;$F282,1,0),0)</f>
        <v>0</v>
      </c>
      <c r="X282" s="13" t="s">
        <v>76</v>
      </c>
    </row>
    <row r="283" customFormat="false" ht="15" hidden="false" customHeight="false" outlineLevel="0" collapsed="false">
      <c r="A283" s="10" t="s">
        <v>1071</v>
      </c>
      <c r="B283" s="10" t="s">
        <v>1072</v>
      </c>
      <c r="C283" s="10" t="s">
        <v>1073</v>
      </c>
      <c r="D283" s="12" t="n">
        <v>0.4</v>
      </c>
      <c r="E283" s="12"/>
      <c r="F283" s="12"/>
      <c r="G283" s="10" t="s">
        <v>942</v>
      </c>
      <c r="H283" s="10" t="s">
        <v>943</v>
      </c>
      <c r="I283" s="10" t="s">
        <v>944</v>
      </c>
      <c r="J283" s="10" t="s">
        <v>945</v>
      </c>
      <c r="K283" s="10" t="s">
        <v>68</v>
      </c>
      <c r="L283" s="10" t="s">
        <v>68</v>
      </c>
      <c r="M283" s="10" t="s">
        <v>69</v>
      </c>
      <c r="N283" s="10"/>
      <c r="O283" s="10"/>
      <c r="P283" s="10" t="s">
        <v>71</v>
      </c>
      <c r="Q283" s="11" t="s">
        <v>72</v>
      </c>
      <c r="R283" s="11" t="s">
        <v>946</v>
      </c>
      <c r="S283" s="11" t="s">
        <v>74</v>
      </c>
      <c r="T283" s="11" t="s">
        <v>1067</v>
      </c>
      <c r="U283" s="10" t="n">
        <f aca="false">IF(AND($D283="",$E283="",$F283=""),1,0)</f>
        <v>0</v>
      </c>
      <c r="V283" s="10" t="n">
        <f aca="false">IF(OR($I283="",$I283="—"),1,0)</f>
        <v>0</v>
      </c>
      <c r="W283" s="10" t="n">
        <f aca="false">IF(AND(ISNUMBER($D283),ISNUMBER($E283)),IF($E283&gt;$D283,1,0),0)+IF(AND(ISNUMBER($D283),ISNUMBER($F283)),IF($D283&gt;$F283,1,0),0)+IF(AND(ISNUMBER($E283),ISNUMBER($F283)),IF($E283&gt;$F283,1,0),0)</f>
        <v>0</v>
      </c>
      <c r="X283" s="13" t="s">
        <v>76</v>
      </c>
    </row>
    <row r="284" customFormat="false" ht="15" hidden="false" customHeight="false" outlineLevel="0" collapsed="false">
      <c r="A284" s="10" t="s">
        <v>1074</v>
      </c>
      <c r="B284" s="10" t="s">
        <v>1075</v>
      </c>
      <c r="C284" s="11" t="s">
        <v>1076</v>
      </c>
      <c r="D284" s="12" t="n">
        <v>0</v>
      </c>
      <c r="E284" s="12"/>
      <c r="F284" s="12"/>
      <c r="G284" s="10" t="s">
        <v>942</v>
      </c>
      <c r="H284" s="10" t="s">
        <v>943</v>
      </c>
      <c r="I284" s="10" t="s">
        <v>944</v>
      </c>
      <c r="J284" s="10" t="s">
        <v>945</v>
      </c>
      <c r="K284" s="10" t="s">
        <v>68</v>
      </c>
      <c r="L284" s="10" t="s">
        <v>68</v>
      </c>
      <c r="M284" s="10" t="s">
        <v>69</v>
      </c>
      <c r="N284" s="10"/>
      <c r="O284" s="10"/>
      <c r="P284" s="10" t="s">
        <v>71</v>
      </c>
      <c r="Q284" s="11" t="s">
        <v>72</v>
      </c>
      <c r="R284" s="11" t="s">
        <v>946</v>
      </c>
      <c r="S284" s="11" t="s">
        <v>74</v>
      </c>
      <c r="T284" s="11" t="s">
        <v>1077</v>
      </c>
      <c r="U284" s="10" t="n">
        <f aca="false">IF(AND($D284="",$E284="",$F284=""),1,0)</f>
        <v>0</v>
      </c>
      <c r="V284" s="10" t="n">
        <f aca="false">IF(OR($I284="",$I284="—"),1,0)</f>
        <v>0</v>
      </c>
      <c r="W284" s="10" t="n">
        <f aca="false">IF(AND(ISNUMBER($D284),ISNUMBER($E284)),IF($E284&gt;$D284,1,0),0)+IF(AND(ISNUMBER($D284),ISNUMBER($F284)),IF($D284&gt;$F284,1,0),0)+IF(AND(ISNUMBER($E284),ISNUMBER($F284)),IF($E284&gt;$F284,1,0),0)</f>
        <v>0</v>
      </c>
      <c r="X284" s="13" t="s">
        <v>76</v>
      </c>
    </row>
    <row r="285" customFormat="false" ht="15" hidden="false" customHeight="false" outlineLevel="0" collapsed="false">
      <c r="A285" s="10" t="s">
        <v>1078</v>
      </c>
      <c r="B285" s="10" t="s">
        <v>1079</v>
      </c>
      <c r="C285" s="11" t="s">
        <v>1080</v>
      </c>
      <c r="D285" s="12" t="n">
        <v>0.01</v>
      </c>
      <c r="E285" s="12"/>
      <c r="F285" s="12"/>
      <c r="G285" s="10" t="s">
        <v>1081</v>
      </c>
      <c r="H285" s="10" t="s">
        <v>943</v>
      </c>
      <c r="I285" s="10" t="s">
        <v>944</v>
      </c>
      <c r="J285" s="10" t="s">
        <v>945</v>
      </c>
      <c r="K285" s="10" t="s">
        <v>68</v>
      </c>
      <c r="L285" s="10" t="s">
        <v>68</v>
      </c>
      <c r="M285" s="10" t="s">
        <v>69</v>
      </c>
      <c r="N285" s="10"/>
      <c r="O285" s="10"/>
      <c r="P285" s="10" t="s">
        <v>71</v>
      </c>
      <c r="Q285" s="11" t="s">
        <v>72</v>
      </c>
      <c r="R285" s="11" t="s">
        <v>946</v>
      </c>
      <c r="S285" s="11" t="s">
        <v>74</v>
      </c>
      <c r="T285" s="11" t="s">
        <v>1082</v>
      </c>
      <c r="U285" s="10" t="n">
        <f aca="false">IF(AND($D285="",$E285="",$F285=""),1,0)</f>
        <v>0</v>
      </c>
      <c r="V285" s="10" t="n">
        <f aca="false">IF(OR($I285="",$I285="—"),1,0)</f>
        <v>0</v>
      </c>
      <c r="W285" s="10" t="n">
        <f aca="false">IF(AND(ISNUMBER($D285),ISNUMBER($E285)),IF($E285&gt;$D285,1,0),0)+IF(AND(ISNUMBER($D285),ISNUMBER($F285)),IF($D285&gt;$F285,1,0),0)+IF(AND(ISNUMBER($E285),ISNUMBER($F285)),IF($E285&gt;$F285,1,0),0)</f>
        <v>0</v>
      </c>
      <c r="X285" s="13" t="s">
        <v>76</v>
      </c>
    </row>
    <row r="286" customFormat="false" ht="15" hidden="false" customHeight="false" outlineLevel="0" collapsed="false">
      <c r="A286" s="10" t="s">
        <v>1083</v>
      </c>
      <c r="B286" s="10" t="s">
        <v>1084</v>
      </c>
      <c r="C286" s="10" t="s">
        <v>1085</v>
      </c>
      <c r="D286" s="12" t="n">
        <v>1.2</v>
      </c>
      <c r="E286" s="12"/>
      <c r="F286" s="12"/>
      <c r="G286" s="10" t="s">
        <v>942</v>
      </c>
      <c r="H286" s="10" t="s">
        <v>1086</v>
      </c>
      <c r="I286" s="10" t="s">
        <v>1087</v>
      </c>
      <c r="J286" s="10" t="s">
        <v>1088</v>
      </c>
      <c r="K286" s="10" t="s">
        <v>1089</v>
      </c>
      <c r="L286" s="10" t="s">
        <v>68</v>
      </c>
      <c r="M286" s="10" t="s">
        <v>69</v>
      </c>
      <c r="N286" s="10"/>
      <c r="O286" s="10"/>
      <c r="P286" s="10" t="s">
        <v>637</v>
      </c>
      <c r="Q286" s="11" t="s">
        <v>72</v>
      </c>
      <c r="R286" s="11" t="s">
        <v>1090</v>
      </c>
      <c r="S286" s="11" t="s">
        <v>710</v>
      </c>
      <c r="T286" s="11" t="s">
        <v>1091</v>
      </c>
      <c r="U286" s="10" t="n">
        <f aca="false">IF(AND($D286="",$E286="",$F286=""),1,0)</f>
        <v>0</v>
      </c>
      <c r="V286" s="10" t="n">
        <f aca="false">IF(OR($I286="",$I286="—"),1,0)</f>
        <v>0</v>
      </c>
      <c r="W286" s="10" t="n">
        <f aca="false">IF(AND(ISNUMBER($D286),ISNUMBER($E286)),IF($E286&gt;$D286,1,0),0)+IF(AND(ISNUMBER($D286),ISNUMBER($F286)),IF($D286&gt;$F286,1,0),0)+IF(AND(ISNUMBER($E286),ISNUMBER($F286)),IF($E286&gt;$F286,1,0),0)</f>
        <v>0</v>
      </c>
      <c r="X286" s="13" t="s">
        <v>76</v>
      </c>
    </row>
    <row r="287" customFormat="false" ht="15" hidden="false" customHeight="false" outlineLevel="0" collapsed="false">
      <c r="A287" s="10" t="s">
        <v>1092</v>
      </c>
      <c r="B287" s="10" t="s">
        <v>1093</v>
      </c>
      <c r="C287" s="10" t="s">
        <v>1094</v>
      </c>
      <c r="D287" s="12" t="n">
        <v>4</v>
      </c>
      <c r="E287" s="12"/>
      <c r="F287" s="12"/>
      <c r="G287" s="10" t="s">
        <v>942</v>
      </c>
      <c r="H287" s="10" t="s">
        <v>1086</v>
      </c>
      <c r="I287" s="10" t="s">
        <v>1087</v>
      </c>
      <c r="J287" s="10" t="s">
        <v>1088</v>
      </c>
      <c r="K287" s="10" t="s">
        <v>1089</v>
      </c>
      <c r="L287" s="10" t="s">
        <v>68</v>
      </c>
      <c r="M287" s="10" t="s">
        <v>69</v>
      </c>
      <c r="N287" s="10"/>
      <c r="O287" s="10"/>
      <c r="P287" s="10" t="s">
        <v>637</v>
      </c>
      <c r="Q287" s="11" t="s">
        <v>72</v>
      </c>
      <c r="R287" s="11" t="s">
        <v>1090</v>
      </c>
      <c r="S287" s="11" t="s">
        <v>710</v>
      </c>
      <c r="T287" s="11" t="s">
        <v>1095</v>
      </c>
      <c r="U287" s="10" t="n">
        <f aca="false">IF(AND($D287="",$E287="",$F287=""),1,0)</f>
        <v>0</v>
      </c>
      <c r="V287" s="10" t="n">
        <f aca="false">IF(OR($I287="",$I287="—"),1,0)</f>
        <v>0</v>
      </c>
      <c r="W287" s="10" t="n">
        <f aca="false">IF(AND(ISNUMBER($D287),ISNUMBER($E287)),IF($E287&gt;$D287,1,0),0)+IF(AND(ISNUMBER($D287),ISNUMBER($F287)),IF($D287&gt;$F287,1,0),0)+IF(AND(ISNUMBER($E287),ISNUMBER($F287)),IF($E287&gt;$F287,1,0),0)</f>
        <v>0</v>
      </c>
      <c r="X287" s="13" t="s">
        <v>76</v>
      </c>
    </row>
    <row r="288" customFormat="false" ht="15" hidden="false" customHeight="false" outlineLevel="0" collapsed="false">
      <c r="A288" s="10" t="s">
        <v>1096</v>
      </c>
      <c r="B288" s="10" t="s">
        <v>1097</v>
      </c>
      <c r="C288" s="10" t="s">
        <v>1098</v>
      </c>
      <c r="D288" s="12" t="n">
        <v>8</v>
      </c>
      <c r="E288" s="12"/>
      <c r="F288" s="12"/>
      <c r="G288" s="10" t="s">
        <v>1099</v>
      </c>
      <c r="H288" s="10" t="s">
        <v>1100</v>
      </c>
      <c r="I288" s="11" t="s">
        <v>1101</v>
      </c>
      <c r="J288" s="10" t="s">
        <v>1102</v>
      </c>
      <c r="K288" s="10" t="s">
        <v>1103</v>
      </c>
      <c r="L288" s="10" t="s">
        <v>68</v>
      </c>
      <c r="M288" s="10" t="s">
        <v>69</v>
      </c>
      <c r="N288" s="10"/>
      <c r="O288" s="10"/>
      <c r="P288" s="10" t="s">
        <v>637</v>
      </c>
      <c r="Q288" s="11" t="s">
        <v>72</v>
      </c>
      <c r="R288" s="11" t="s">
        <v>73</v>
      </c>
      <c r="S288" s="11" t="s">
        <v>1104</v>
      </c>
      <c r="T288" s="11" t="s">
        <v>1105</v>
      </c>
      <c r="U288" s="10" t="n">
        <f aca="false">IF(AND($D288="",$E288="",$F288=""),1,0)</f>
        <v>0</v>
      </c>
      <c r="V288" s="10" t="n">
        <f aca="false">IF(OR($I288="",$I288="—"),1,0)</f>
        <v>0</v>
      </c>
      <c r="W288" s="10" t="n">
        <f aca="false">IF(AND(ISNUMBER($D288),ISNUMBER($E288)),IF($E288&gt;$D288,1,0),0)+IF(AND(ISNUMBER($D288),ISNUMBER($F288)),IF($D288&gt;$F288,1,0),0)+IF(AND(ISNUMBER($E288),ISNUMBER($F288)),IF($E288&gt;$F288,1,0),0)</f>
        <v>0</v>
      </c>
      <c r="X288" s="13" t="s">
        <v>76</v>
      </c>
    </row>
    <row r="289" customFormat="false" ht="15" hidden="false" customHeight="false" outlineLevel="0" collapsed="false">
      <c r="A289" s="10" t="s">
        <v>1106</v>
      </c>
      <c r="B289" s="10" t="s">
        <v>1107</v>
      </c>
      <c r="C289" s="10" t="s">
        <v>1108</v>
      </c>
      <c r="D289" s="12" t="n">
        <v>2</v>
      </c>
      <c r="E289" s="12"/>
      <c r="F289" s="12"/>
      <c r="G289" s="10" t="s">
        <v>1099</v>
      </c>
      <c r="H289" s="10" t="s">
        <v>1100</v>
      </c>
      <c r="I289" s="11" t="s">
        <v>1101</v>
      </c>
      <c r="J289" s="10" t="s">
        <v>1102</v>
      </c>
      <c r="K289" s="10" t="s">
        <v>1103</v>
      </c>
      <c r="L289" s="10" t="s">
        <v>68</v>
      </c>
      <c r="M289" s="10" t="s">
        <v>69</v>
      </c>
      <c r="N289" s="10"/>
      <c r="O289" s="10"/>
      <c r="P289" s="10" t="s">
        <v>637</v>
      </c>
      <c r="Q289" s="11" t="s">
        <v>72</v>
      </c>
      <c r="R289" s="11" t="s">
        <v>73</v>
      </c>
      <c r="S289" s="11" t="s">
        <v>1104</v>
      </c>
      <c r="T289" s="11" t="s">
        <v>1105</v>
      </c>
      <c r="U289" s="10" t="n">
        <f aca="false">IF(AND($D289="",$E289="",$F289=""),1,0)</f>
        <v>0</v>
      </c>
      <c r="V289" s="10" t="n">
        <f aca="false">IF(OR($I289="",$I289="—"),1,0)</f>
        <v>0</v>
      </c>
      <c r="W289" s="10" t="n">
        <f aca="false">IF(AND(ISNUMBER($D289),ISNUMBER($E289)),IF($E289&gt;$D289,1,0),0)+IF(AND(ISNUMBER($D289),ISNUMBER($F289)),IF($D289&gt;$F289,1,0),0)+IF(AND(ISNUMBER($E289),ISNUMBER($F289)),IF($E289&gt;$F289,1,0),0)</f>
        <v>0</v>
      </c>
      <c r="X289" s="13" t="s">
        <v>76</v>
      </c>
    </row>
    <row r="290" customFormat="false" ht="15" hidden="false" customHeight="false" outlineLevel="0" collapsed="false">
      <c r="A290" s="10" t="s">
        <v>1109</v>
      </c>
      <c r="B290" s="10" t="s">
        <v>1110</v>
      </c>
      <c r="C290" s="10" t="s">
        <v>1111</v>
      </c>
      <c r="D290" s="12" t="n">
        <v>28</v>
      </c>
      <c r="E290" s="12"/>
      <c r="F290" s="12"/>
      <c r="G290" s="10" t="s">
        <v>1099</v>
      </c>
      <c r="H290" s="10" t="s">
        <v>1100</v>
      </c>
      <c r="I290" s="11" t="s">
        <v>1101</v>
      </c>
      <c r="J290" s="10" t="s">
        <v>1102</v>
      </c>
      <c r="K290" s="10" t="s">
        <v>1103</v>
      </c>
      <c r="L290" s="10" t="s">
        <v>68</v>
      </c>
      <c r="M290" s="10" t="s">
        <v>69</v>
      </c>
      <c r="N290" s="10"/>
      <c r="O290" s="10"/>
      <c r="P290" s="10" t="s">
        <v>637</v>
      </c>
      <c r="Q290" s="11" t="s">
        <v>72</v>
      </c>
      <c r="R290" s="11" t="s">
        <v>73</v>
      </c>
      <c r="S290" s="11" t="s">
        <v>1104</v>
      </c>
      <c r="T290" s="11" t="s">
        <v>1105</v>
      </c>
      <c r="U290" s="10" t="n">
        <f aca="false">IF(AND($D290="",$E290="",$F290=""),1,0)</f>
        <v>0</v>
      </c>
      <c r="V290" s="10" t="n">
        <f aca="false">IF(OR($I290="",$I290="—"),1,0)</f>
        <v>0</v>
      </c>
      <c r="W290" s="10" t="n">
        <f aca="false">IF(AND(ISNUMBER($D290),ISNUMBER($E290)),IF($E290&gt;$D290,1,0),0)+IF(AND(ISNUMBER($D290),ISNUMBER($F290)),IF($D290&gt;$F290,1,0),0)+IF(AND(ISNUMBER($E290),ISNUMBER($F290)),IF($E290&gt;$F290,1,0),0)</f>
        <v>0</v>
      </c>
      <c r="X290" s="13" t="s">
        <v>76</v>
      </c>
    </row>
    <row r="291" customFormat="false" ht="15" hidden="false" customHeight="false" outlineLevel="0" collapsed="false">
      <c r="A291" s="10" t="s">
        <v>1112</v>
      </c>
      <c r="B291" s="10" t="s">
        <v>1113</v>
      </c>
      <c r="C291" s="10" t="s">
        <v>1114</v>
      </c>
      <c r="D291" s="12" t="n">
        <v>8</v>
      </c>
      <c r="E291" s="12"/>
      <c r="F291" s="12"/>
      <c r="G291" s="10" t="s">
        <v>1099</v>
      </c>
      <c r="H291" s="10" t="s">
        <v>1100</v>
      </c>
      <c r="I291" s="11" t="s">
        <v>1101</v>
      </c>
      <c r="J291" s="10" t="s">
        <v>1102</v>
      </c>
      <c r="K291" s="10" t="s">
        <v>1103</v>
      </c>
      <c r="L291" s="10" t="s">
        <v>68</v>
      </c>
      <c r="M291" s="10" t="s">
        <v>69</v>
      </c>
      <c r="N291" s="10"/>
      <c r="O291" s="10"/>
      <c r="P291" s="10" t="s">
        <v>637</v>
      </c>
      <c r="Q291" s="11" t="s">
        <v>72</v>
      </c>
      <c r="R291" s="11" t="s">
        <v>73</v>
      </c>
      <c r="S291" s="11" t="s">
        <v>1104</v>
      </c>
      <c r="T291" s="11" t="s">
        <v>1115</v>
      </c>
      <c r="U291" s="10" t="n">
        <f aca="false">IF(AND($D291="",$E291="",$F291=""),1,0)</f>
        <v>0</v>
      </c>
      <c r="V291" s="10" t="n">
        <f aca="false">IF(OR($I291="",$I291="—"),1,0)</f>
        <v>0</v>
      </c>
      <c r="W291" s="10" t="n">
        <f aca="false">IF(AND(ISNUMBER($D291),ISNUMBER($E291)),IF($E291&gt;$D291,1,0),0)+IF(AND(ISNUMBER($D291),ISNUMBER($F291)),IF($D291&gt;$F291,1,0),0)+IF(AND(ISNUMBER($E291),ISNUMBER($F291)),IF($E291&gt;$F291,1,0),0)</f>
        <v>0</v>
      </c>
      <c r="X291" s="13" t="s">
        <v>76</v>
      </c>
    </row>
    <row r="292" customFormat="false" ht="15" hidden="false" customHeight="false" outlineLevel="0" collapsed="false">
      <c r="A292" s="10" t="s">
        <v>1116</v>
      </c>
      <c r="B292" s="10" t="s">
        <v>1117</v>
      </c>
      <c r="C292" s="10" t="s">
        <v>1118</v>
      </c>
      <c r="D292" s="12" t="n">
        <v>2</v>
      </c>
      <c r="E292" s="12"/>
      <c r="F292" s="12"/>
      <c r="G292" s="10" t="s">
        <v>1099</v>
      </c>
      <c r="H292" s="10" t="s">
        <v>1100</v>
      </c>
      <c r="I292" s="11" t="s">
        <v>1101</v>
      </c>
      <c r="J292" s="10" t="s">
        <v>1102</v>
      </c>
      <c r="K292" s="10" t="s">
        <v>1103</v>
      </c>
      <c r="L292" s="10" t="s">
        <v>68</v>
      </c>
      <c r="M292" s="10" t="s">
        <v>69</v>
      </c>
      <c r="N292" s="10"/>
      <c r="O292" s="10"/>
      <c r="P292" s="10" t="s">
        <v>637</v>
      </c>
      <c r="Q292" s="11" t="s">
        <v>72</v>
      </c>
      <c r="R292" s="11" t="s">
        <v>73</v>
      </c>
      <c r="S292" s="11" t="s">
        <v>1104</v>
      </c>
      <c r="T292" s="11" t="s">
        <v>1115</v>
      </c>
      <c r="U292" s="10" t="n">
        <f aca="false">IF(AND($D292="",$E292="",$F292=""),1,0)</f>
        <v>0</v>
      </c>
      <c r="V292" s="10" t="n">
        <f aca="false">IF(OR($I292="",$I292="—"),1,0)</f>
        <v>0</v>
      </c>
      <c r="W292" s="10" t="n">
        <f aca="false">IF(AND(ISNUMBER($D292),ISNUMBER($E292)),IF($E292&gt;$D292,1,0),0)+IF(AND(ISNUMBER($D292),ISNUMBER($F292)),IF($D292&gt;$F292,1,0),0)+IF(AND(ISNUMBER($E292),ISNUMBER($F292)),IF($E292&gt;$F292,1,0),0)</f>
        <v>0</v>
      </c>
      <c r="X292" s="13" t="s">
        <v>76</v>
      </c>
    </row>
    <row r="293" customFormat="false" ht="15" hidden="false" customHeight="false" outlineLevel="0" collapsed="false">
      <c r="A293" s="10" t="s">
        <v>1119</v>
      </c>
      <c r="B293" s="10" t="s">
        <v>1120</v>
      </c>
      <c r="C293" s="10" t="s">
        <v>1121</v>
      </c>
      <c r="D293" s="12" t="n">
        <v>28</v>
      </c>
      <c r="E293" s="12"/>
      <c r="F293" s="12"/>
      <c r="G293" s="10" t="s">
        <v>1099</v>
      </c>
      <c r="H293" s="10" t="s">
        <v>1100</v>
      </c>
      <c r="I293" s="11" t="s">
        <v>1101</v>
      </c>
      <c r="J293" s="10" t="s">
        <v>1102</v>
      </c>
      <c r="K293" s="10" t="s">
        <v>1103</v>
      </c>
      <c r="L293" s="10" t="s">
        <v>68</v>
      </c>
      <c r="M293" s="10" t="s">
        <v>69</v>
      </c>
      <c r="N293" s="10"/>
      <c r="O293" s="10"/>
      <c r="P293" s="10" t="s">
        <v>637</v>
      </c>
      <c r="Q293" s="11" t="s">
        <v>72</v>
      </c>
      <c r="R293" s="11" t="s">
        <v>73</v>
      </c>
      <c r="S293" s="11" t="s">
        <v>1104</v>
      </c>
      <c r="T293" s="11" t="s">
        <v>1115</v>
      </c>
      <c r="U293" s="10" t="n">
        <f aca="false">IF(AND($D293="",$E293="",$F293=""),1,0)</f>
        <v>0</v>
      </c>
      <c r="V293" s="10" t="n">
        <f aca="false">IF(OR($I293="",$I293="—"),1,0)</f>
        <v>0</v>
      </c>
      <c r="W293" s="10" t="n">
        <f aca="false">IF(AND(ISNUMBER($D293),ISNUMBER($E293)),IF($E293&gt;$D293,1,0),0)+IF(AND(ISNUMBER($D293),ISNUMBER($F293)),IF($D293&gt;$F293,1,0),0)+IF(AND(ISNUMBER($E293),ISNUMBER($F293)),IF($E293&gt;$F293,1,0),0)</f>
        <v>0</v>
      </c>
      <c r="X293" s="13" t="s">
        <v>76</v>
      </c>
    </row>
    <row r="294" customFormat="false" ht="15" hidden="false" customHeight="false" outlineLevel="0" collapsed="false">
      <c r="A294" s="10" t="s">
        <v>1122</v>
      </c>
      <c r="B294" s="10" t="s">
        <v>1123</v>
      </c>
      <c r="C294" s="10" t="s">
        <v>1124</v>
      </c>
      <c r="D294" s="12" t="n">
        <v>6</v>
      </c>
      <c r="E294" s="12"/>
      <c r="F294" s="12"/>
      <c r="G294" s="10" t="s">
        <v>1099</v>
      </c>
      <c r="H294" s="10" t="s">
        <v>1100</v>
      </c>
      <c r="I294" s="11" t="s">
        <v>1101</v>
      </c>
      <c r="J294" s="10" t="s">
        <v>1102</v>
      </c>
      <c r="K294" s="10" t="s">
        <v>1103</v>
      </c>
      <c r="L294" s="10" t="s">
        <v>68</v>
      </c>
      <c r="M294" s="10" t="s">
        <v>69</v>
      </c>
      <c r="N294" s="10"/>
      <c r="O294" s="10"/>
      <c r="P294" s="10" t="s">
        <v>637</v>
      </c>
      <c r="Q294" s="11" t="s">
        <v>72</v>
      </c>
      <c r="R294" s="11" t="s">
        <v>73</v>
      </c>
      <c r="S294" s="11" t="s">
        <v>1104</v>
      </c>
      <c r="T294" s="11" t="s">
        <v>1125</v>
      </c>
      <c r="U294" s="10" t="n">
        <f aca="false">IF(AND($D294="",$E294="",$F294=""),1,0)</f>
        <v>0</v>
      </c>
      <c r="V294" s="10" t="n">
        <f aca="false">IF(OR($I294="",$I294="—"),1,0)</f>
        <v>0</v>
      </c>
      <c r="W294" s="10" t="n">
        <f aca="false">IF(AND(ISNUMBER($D294),ISNUMBER($E294)),IF($E294&gt;$D294,1,0),0)+IF(AND(ISNUMBER($D294),ISNUMBER($F294)),IF($D294&gt;$F294,1,0),0)+IF(AND(ISNUMBER($E294),ISNUMBER($F294)),IF($E294&gt;$F294,1,0),0)</f>
        <v>0</v>
      </c>
      <c r="X294" s="13" t="s">
        <v>76</v>
      </c>
    </row>
    <row r="295" customFormat="false" ht="15" hidden="false" customHeight="false" outlineLevel="0" collapsed="false">
      <c r="A295" s="10" t="s">
        <v>1126</v>
      </c>
      <c r="B295" s="10" t="s">
        <v>1127</v>
      </c>
      <c r="C295" s="10" t="s">
        <v>1128</v>
      </c>
      <c r="D295" s="12" t="n">
        <v>1.3</v>
      </c>
      <c r="E295" s="12"/>
      <c r="F295" s="12"/>
      <c r="G295" s="10" t="s">
        <v>1099</v>
      </c>
      <c r="H295" s="10" t="s">
        <v>1100</v>
      </c>
      <c r="I295" s="11" t="s">
        <v>1101</v>
      </c>
      <c r="J295" s="10" t="s">
        <v>1102</v>
      </c>
      <c r="K295" s="10" t="s">
        <v>1103</v>
      </c>
      <c r="L295" s="10" t="s">
        <v>68</v>
      </c>
      <c r="M295" s="10" t="s">
        <v>69</v>
      </c>
      <c r="N295" s="10"/>
      <c r="O295" s="10"/>
      <c r="P295" s="10" t="s">
        <v>637</v>
      </c>
      <c r="Q295" s="11" t="s">
        <v>72</v>
      </c>
      <c r="R295" s="11" t="s">
        <v>73</v>
      </c>
      <c r="S295" s="11" t="s">
        <v>1104</v>
      </c>
      <c r="T295" s="11" t="s">
        <v>1125</v>
      </c>
      <c r="U295" s="10" t="n">
        <f aca="false">IF(AND($D295="",$E295="",$F295=""),1,0)</f>
        <v>0</v>
      </c>
      <c r="V295" s="10" t="n">
        <f aca="false">IF(OR($I295="",$I295="—"),1,0)</f>
        <v>0</v>
      </c>
      <c r="W295" s="10" t="n">
        <f aca="false">IF(AND(ISNUMBER($D295),ISNUMBER($E295)),IF($E295&gt;$D295,1,0),0)+IF(AND(ISNUMBER($D295),ISNUMBER($F295)),IF($D295&gt;$F295,1,0),0)+IF(AND(ISNUMBER($E295),ISNUMBER($F295)),IF($E295&gt;$F295,1,0),0)</f>
        <v>0</v>
      </c>
      <c r="X295" s="13" t="s">
        <v>76</v>
      </c>
    </row>
    <row r="296" customFormat="false" ht="15" hidden="false" customHeight="false" outlineLevel="0" collapsed="false">
      <c r="A296" s="10" t="s">
        <v>1129</v>
      </c>
      <c r="B296" s="10" t="s">
        <v>1130</v>
      </c>
      <c r="C296" s="10" t="s">
        <v>1131</v>
      </c>
      <c r="D296" s="12" t="n">
        <v>24</v>
      </c>
      <c r="E296" s="12"/>
      <c r="F296" s="12"/>
      <c r="G296" s="10" t="s">
        <v>1099</v>
      </c>
      <c r="H296" s="10" t="s">
        <v>1100</v>
      </c>
      <c r="I296" s="11" t="s">
        <v>1101</v>
      </c>
      <c r="J296" s="10" t="s">
        <v>1102</v>
      </c>
      <c r="K296" s="10" t="s">
        <v>1103</v>
      </c>
      <c r="L296" s="10" t="s">
        <v>68</v>
      </c>
      <c r="M296" s="10" t="s">
        <v>69</v>
      </c>
      <c r="N296" s="10"/>
      <c r="O296" s="10"/>
      <c r="P296" s="10" t="s">
        <v>637</v>
      </c>
      <c r="Q296" s="11" t="s">
        <v>72</v>
      </c>
      <c r="R296" s="11" t="s">
        <v>73</v>
      </c>
      <c r="S296" s="11" t="s">
        <v>1104</v>
      </c>
      <c r="T296" s="11" t="s">
        <v>1125</v>
      </c>
      <c r="U296" s="10" t="n">
        <f aca="false">IF(AND($D296="",$E296="",$F296=""),1,0)</f>
        <v>0</v>
      </c>
      <c r="V296" s="10" t="n">
        <f aca="false">IF(OR($I296="",$I296="—"),1,0)</f>
        <v>0</v>
      </c>
      <c r="W296" s="10" t="n">
        <f aca="false">IF(AND(ISNUMBER($D296),ISNUMBER($E296)),IF($E296&gt;$D296,1,0),0)+IF(AND(ISNUMBER($D296),ISNUMBER($F296)),IF($D296&gt;$F296,1,0),0)+IF(AND(ISNUMBER($E296),ISNUMBER($F296)),IF($E296&gt;$F296,1,0),0)</f>
        <v>0</v>
      </c>
      <c r="X296" s="13" t="s">
        <v>76</v>
      </c>
    </row>
    <row r="297" customFormat="false" ht="15" hidden="false" customHeight="false" outlineLevel="0" collapsed="false">
      <c r="A297" s="10" t="s">
        <v>1132</v>
      </c>
      <c r="B297" s="10" t="s">
        <v>1133</v>
      </c>
      <c r="C297" s="10" t="s">
        <v>1134</v>
      </c>
      <c r="D297" s="12" t="n">
        <v>8</v>
      </c>
      <c r="E297" s="12"/>
      <c r="F297" s="12"/>
      <c r="G297" s="10" t="s">
        <v>1099</v>
      </c>
      <c r="H297" s="10" t="s">
        <v>1100</v>
      </c>
      <c r="I297" s="11" t="s">
        <v>1101</v>
      </c>
      <c r="J297" s="10" t="s">
        <v>1102</v>
      </c>
      <c r="K297" s="10" t="s">
        <v>1103</v>
      </c>
      <c r="L297" s="10" t="s">
        <v>68</v>
      </c>
      <c r="M297" s="10" t="s">
        <v>69</v>
      </c>
      <c r="N297" s="10"/>
      <c r="O297" s="10"/>
      <c r="P297" s="10" t="s">
        <v>637</v>
      </c>
      <c r="Q297" s="11" t="s">
        <v>72</v>
      </c>
      <c r="R297" s="11" t="s">
        <v>73</v>
      </c>
      <c r="S297" s="11" t="s">
        <v>1104</v>
      </c>
      <c r="T297" s="11" t="s">
        <v>1135</v>
      </c>
      <c r="U297" s="10" t="n">
        <f aca="false">IF(AND($D297="",$E297="",$F297=""),1,0)</f>
        <v>0</v>
      </c>
      <c r="V297" s="10" t="n">
        <f aca="false">IF(OR($I297="",$I297="—"),1,0)</f>
        <v>0</v>
      </c>
      <c r="W297" s="10" t="n">
        <f aca="false">IF(AND(ISNUMBER($D297),ISNUMBER($E297)),IF($E297&gt;$D297,1,0),0)+IF(AND(ISNUMBER($D297),ISNUMBER($F297)),IF($D297&gt;$F297,1,0),0)+IF(AND(ISNUMBER($E297),ISNUMBER($F297)),IF($E297&gt;$F297,1,0),0)</f>
        <v>0</v>
      </c>
      <c r="X297" s="13" t="s">
        <v>76</v>
      </c>
    </row>
    <row r="298" customFormat="false" ht="15" hidden="false" customHeight="false" outlineLevel="0" collapsed="false">
      <c r="A298" s="10" t="s">
        <v>1136</v>
      </c>
      <c r="B298" s="10" t="s">
        <v>1137</v>
      </c>
      <c r="C298" s="10" t="s">
        <v>1138</v>
      </c>
      <c r="D298" s="12" t="n">
        <v>2</v>
      </c>
      <c r="E298" s="12"/>
      <c r="F298" s="12"/>
      <c r="G298" s="10" t="s">
        <v>1099</v>
      </c>
      <c r="H298" s="10" t="s">
        <v>1100</v>
      </c>
      <c r="I298" s="11" t="s">
        <v>1101</v>
      </c>
      <c r="J298" s="10" t="s">
        <v>1102</v>
      </c>
      <c r="K298" s="10" t="s">
        <v>1103</v>
      </c>
      <c r="L298" s="10" t="s">
        <v>68</v>
      </c>
      <c r="M298" s="10" t="s">
        <v>69</v>
      </c>
      <c r="N298" s="10"/>
      <c r="O298" s="10"/>
      <c r="P298" s="10" t="s">
        <v>637</v>
      </c>
      <c r="Q298" s="11" t="s">
        <v>72</v>
      </c>
      <c r="R298" s="11" t="s">
        <v>73</v>
      </c>
      <c r="S298" s="11" t="s">
        <v>1104</v>
      </c>
      <c r="T298" s="11" t="s">
        <v>1135</v>
      </c>
      <c r="U298" s="10" t="n">
        <f aca="false">IF(AND($D298="",$E298="",$F298=""),1,0)</f>
        <v>0</v>
      </c>
      <c r="V298" s="10" t="n">
        <f aca="false">IF(OR($I298="",$I298="—"),1,0)</f>
        <v>0</v>
      </c>
      <c r="W298" s="10" t="n">
        <f aca="false">IF(AND(ISNUMBER($D298),ISNUMBER($E298)),IF($E298&gt;$D298,1,0),0)+IF(AND(ISNUMBER($D298),ISNUMBER($F298)),IF($D298&gt;$F298,1,0),0)+IF(AND(ISNUMBER($E298),ISNUMBER($F298)),IF($E298&gt;$F298,1,0),0)</f>
        <v>0</v>
      </c>
      <c r="X298" s="13" t="s">
        <v>76</v>
      </c>
    </row>
    <row r="299" customFormat="false" ht="15" hidden="false" customHeight="false" outlineLevel="0" collapsed="false">
      <c r="A299" s="10" t="s">
        <v>1139</v>
      </c>
      <c r="B299" s="10" t="s">
        <v>1140</v>
      </c>
      <c r="C299" s="10" t="s">
        <v>1141</v>
      </c>
      <c r="D299" s="12" t="n">
        <v>28</v>
      </c>
      <c r="E299" s="12"/>
      <c r="F299" s="12"/>
      <c r="G299" s="10" t="s">
        <v>1099</v>
      </c>
      <c r="H299" s="10" t="s">
        <v>1100</v>
      </c>
      <c r="I299" s="11" t="s">
        <v>1101</v>
      </c>
      <c r="J299" s="10" t="s">
        <v>1102</v>
      </c>
      <c r="K299" s="10" t="s">
        <v>1103</v>
      </c>
      <c r="L299" s="10" t="s">
        <v>68</v>
      </c>
      <c r="M299" s="10" t="s">
        <v>69</v>
      </c>
      <c r="N299" s="10"/>
      <c r="O299" s="10"/>
      <c r="P299" s="10" t="s">
        <v>637</v>
      </c>
      <c r="Q299" s="11" t="s">
        <v>72</v>
      </c>
      <c r="R299" s="11" t="s">
        <v>73</v>
      </c>
      <c r="S299" s="11" t="s">
        <v>1104</v>
      </c>
      <c r="T299" s="11" t="s">
        <v>1135</v>
      </c>
      <c r="U299" s="10" t="n">
        <f aca="false">IF(AND($D299="",$E299="",$F299=""),1,0)</f>
        <v>0</v>
      </c>
      <c r="V299" s="10" t="n">
        <f aca="false">IF(OR($I299="",$I299="—"),1,0)</f>
        <v>0</v>
      </c>
      <c r="W299" s="10" t="n">
        <f aca="false">IF(AND(ISNUMBER($D299),ISNUMBER($E299)),IF($E299&gt;$D299,1,0),0)+IF(AND(ISNUMBER($D299),ISNUMBER($F299)),IF($D299&gt;$F299,1,0),0)+IF(AND(ISNUMBER($E299),ISNUMBER($F299)),IF($E299&gt;$F299,1,0),0)</f>
        <v>0</v>
      </c>
      <c r="X299" s="13" t="s">
        <v>76</v>
      </c>
    </row>
    <row r="300" customFormat="false" ht="15" hidden="false" customHeight="false" outlineLevel="0" collapsed="false">
      <c r="A300" s="10" t="s">
        <v>1142</v>
      </c>
      <c r="B300" s="10" t="s">
        <v>1143</v>
      </c>
      <c r="C300" s="10" t="s">
        <v>1144</v>
      </c>
      <c r="D300" s="12" t="n">
        <v>5</v>
      </c>
      <c r="E300" s="12"/>
      <c r="F300" s="12"/>
      <c r="G300" s="10" t="s">
        <v>1099</v>
      </c>
      <c r="H300" s="10" t="s">
        <v>1100</v>
      </c>
      <c r="I300" s="11" t="s">
        <v>1101</v>
      </c>
      <c r="J300" s="10" t="s">
        <v>1102</v>
      </c>
      <c r="K300" s="10" t="s">
        <v>1103</v>
      </c>
      <c r="L300" s="10" t="s">
        <v>68</v>
      </c>
      <c r="M300" s="10" t="s">
        <v>69</v>
      </c>
      <c r="N300" s="10"/>
      <c r="O300" s="10"/>
      <c r="P300" s="10" t="s">
        <v>637</v>
      </c>
      <c r="Q300" s="11" t="s">
        <v>72</v>
      </c>
      <c r="R300" s="11" t="s">
        <v>73</v>
      </c>
      <c r="S300" s="11" t="s">
        <v>1104</v>
      </c>
      <c r="T300" s="11" t="s">
        <v>1145</v>
      </c>
      <c r="U300" s="10" t="n">
        <f aca="false">IF(AND($D300="",$E300="",$F300=""),1,0)</f>
        <v>0</v>
      </c>
      <c r="V300" s="10" t="n">
        <f aca="false">IF(OR($I300="",$I300="—"),1,0)</f>
        <v>0</v>
      </c>
      <c r="W300" s="10" t="n">
        <f aca="false">IF(AND(ISNUMBER($D300),ISNUMBER($E300)),IF($E300&gt;$D300,1,0),0)+IF(AND(ISNUMBER($D300),ISNUMBER($F300)),IF($D300&gt;$F300,1,0),0)+IF(AND(ISNUMBER($E300),ISNUMBER($F300)),IF($E300&gt;$F300,1,0),0)</f>
        <v>0</v>
      </c>
      <c r="X300" s="13" t="s">
        <v>76</v>
      </c>
    </row>
    <row r="301" customFormat="false" ht="15" hidden="false" customHeight="false" outlineLevel="0" collapsed="false">
      <c r="A301" s="10" t="s">
        <v>1146</v>
      </c>
      <c r="B301" s="10" t="s">
        <v>1147</v>
      </c>
      <c r="C301" s="10" t="s">
        <v>1148</v>
      </c>
      <c r="D301" s="12" t="n">
        <v>1.2</v>
      </c>
      <c r="E301" s="12"/>
      <c r="F301" s="12"/>
      <c r="G301" s="10" t="s">
        <v>1099</v>
      </c>
      <c r="H301" s="10" t="s">
        <v>1100</v>
      </c>
      <c r="I301" s="11" t="s">
        <v>1101</v>
      </c>
      <c r="J301" s="10" t="s">
        <v>1102</v>
      </c>
      <c r="K301" s="10" t="s">
        <v>1103</v>
      </c>
      <c r="L301" s="10" t="s">
        <v>68</v>
      </c>
      <c r="M301" s="10" t="s">
        <v>69</v>
      </c>
      <c r="N301" s="10"/>
      <c r="O301" s="10"/>
      <c r="P301" s="10" t="s">
        <v>637</v>
      </c>
      <c r="Q301" s="11" t="s">
        <v>72</v>
      </c>
      <c r="R301" s="11" t="s">
        <v>73</v>
      </c>
      <c r="S301" s="11" t="s">
        <v>1104</v>
      </c>
      <c r="T301" s="11" t="s">
        <v>1145</v>
      </c>
      <c r="U301" s="10" t="n">
        <f aca="false">IF(AND($D301="",$E301="",$F301=""),1,0)</f>
        <v>0</v>
      </c>
      <c r="V301" s="10" t="n">
        <f aca="false">IF(OR($I301="",$I301="—"),1,0)</f>
        <v>0</v>
      </c>
      <c r="W301" s="10" t="n">
        <f aca="false">IF(AND(ISNUMBER($D301),ISNUMBER($E301)),IF($E301&gt;$D301,1,0),0)+IF(AND(ISNUMBER($D301),ISNUMBER($F301)),IF($D301&gt;$F301,1,0),0)+IF(AND(ISNUMBER($E301),ISNUMBER($F301)),IF($E301&gt;$F301,1,0),0)</f>
        <v>0</v>
      </c>
      <c r="X301" s="13" t="s">
        <v>76</v>
      </c>
    </row>
    <row r="302" customFormat="false" ht="15" hidden="false" customHeight="false" outlineLevel="0" collapsed="false">
      <c r="A302" s="10" t="s">
        <v>1149</v>
      </c>
      <c r="B302" s="10" t="s">
        <v>1150</v>
      </c>
      <c r="C302" s="10" t="s">
        <v>1151</v>
      </c>
      <c r="D302" s="12" t="n">
        <v>22</v>
      </c>
      <c r="E302" s="12"/>
      <c r="F302" s="12"/>
      <c r="G302" s="10" t="s">
        <v>1099</v>
      </c>
      <c r="H302" s="10" t="s">
        <v>1100</v>
      </c>
      <c r="I302" s="11" t="s">
        <v>1101</v>
      </c>
      <c r="J302" s="10" t="s">
        <v>1102</v>
      </c>
      <c r="K302" s="10" t="s">
        <v>1103</v>
      </c>
      <c r="L302" s="10" t="s">
        <v>68</v>
      </c>
      <c r="M302" s="10" t="s">
        <v>69</v>
      </c>
      <c r="N302" s="10"/>
      <c r="O302" s="10"/>
      <c r="P302" s="10" t="s">
        <v>637</v>
      </c>
      <c r="Q302" s="11" t="s">
        <v>72</v>
      </c>
      <c r="R302" s="11" t="s">
        <v>73</v>
      </c>
      <c r="S302" s="11" t="s">
        <v>1104</v>
      </c>
      <c r="T302" s="11" t="s">
        <v>1145</v>
      </c>
      <c r="U302" s="10" t="n">
        <f aca="false">IF(AND($D302="",$E302="",$F302=""),1,0)</f>
        <v>0</v>
      </c>
      <c r="V302" s="10" t="n">
        <f aca="false">IF(OR($I302="",$I302="—"),1,0)</f>
        <v>0</v>
      </c>
      <c r="W302" s="10" t="n">
        <f aca="false">IF(AND(ISNUMBER($D302),ISNUMBER($E302)),IF($E302&gt;$D302,1,0),0)+IF(AND(ISNUMBER($D302),ISNUMBER($F302)),IF($D302&gt;$F302,1,0),0)+IF(AND(ISNUMBER($E302),ISNUMBER($F302)),IF($E302&gt;$F302,1,0),0)</f>
        <v>0</v>
      </c>
      <c r="X302" s="13" t="s">
        <v>76</v>
      </c>
    </row>
    <row r="303" customFormat="false" ht="15" hidden="false" customHeight="false" outlineLevel="0" collapsed="false">
      <c r="A303" s="10" t="s">
        <v>1152</v>
      </c>
      <c r="B303" s="10" t="s">
        <v>1153</v>
      </c>
      <c r="C303" s="10" t="s">
        <v>1154</v>
      </c>
      <c r="D303" s="12" t="n">
        <v>7</v>
      </c>
      <c r="E303" s="12"/>
      <c r="F303" s="12"/>
      <c r="G303" s="10" t="s">
        <v>1099</v>
      </c>
      <c r="H303" s="10" t="s">
        <v>1100</v>
      </c>
      <c r="I303" s="11" t="s">
        <v>1101</v>
      </c>
      <c r="J303" s="10" t="s">
        <v>1102</v>
      </c>
      <c r="K303" s="10" t="s">
        <v>1103</v>
      </c>
      <c r="L303" s="10" t="s">
        <v>68</v>
      </c>
      <c r="M303" s="10" t="s">
        <v>69</v>
      </c>
      <c r="N303" s="10"/>
      <c r="O303" s="10"/>
      <c r="P303" s="10" t="s">
        <v>637</v>
      </c>
      <c r="Q303" s="11" t="s">
        <v>72</v>
      </c>
      <c r="R303" s="11" t="s">
        <v>73</v>
      </c>
      <c r="S303" s="11" t="s">
        <v>1104</v>
      </c>
      <c r="T303" s="11" t="s">
        <v>1155</v>
      </c>
      <c r="U303" s="10" t="n">
        <f aca="false">IF(AND($D303="",$E303="",$F303=""),1,0)</f>
        <v>0</v>
      </c>
      <c r="V303" s="10" t="n">
        <f aca="false">IF(OR($I303="",$I303="—"),1,0)</f>
        <v>0</v>
      </c>
      <c r="W303" s="10" t="n">
        <f aca="false">IF(AND(ISNUMBER($D303),ISNUMBER($E303)),IF($E303&gt;$D303,1,0),0)+IF(AND(ISNUMBER($D303),ISNUMBER($F303)),IF($D303&gt;$F303,1,0),0)+IF(AND(ISNUMBER($E303),ISNUMBER($F303)),IF($E303&gt;$F303,1,0),0)</f>
        <v>0</v>
      </c>
      <c r="X303" s="13" t="s">
        <v>76</v>
      </c>
    </row>
    <row r="304" customFormat="false" ht="15" hidden="false" customHeight="false" outlineLevel="0" collapsed="false">
      <c r="A304" s="10" t="s">
        <v>1156</v>
      </c>
      <c r="B304" s="10" t="s">
        <v>1157</v>
      </c>
      <c r="C304" s="10" t="s">
        <v>1158</v>
      </c>
      <c r="D304" s="12" t="n">
        <v>1.8</v>
      </c>
      <c r="E304" s="12"/>
      <c r="F304" s="12"/>
      <c r="G304" s="10" t="s">
        <v>1099</v>
      </c>
      <c r="H304" s="10" t="s">
        <v>1100</v>
      </c>
      <c r="I304" s="11" t="s">
        <v>1101</v>
      </c>
      <c r="J304" s="10" t="s">
        <v>1102</v>
      </c>
      <c r="K304" s="10" t="s">
        <v>1103</v>
      </c>
      <c r="L304" s="10" t="s">
        <v>68</v>
      </c>
      <c r="M304" s="10" t="s">
        <v>69</v>
      </c>
      <c r="N304" s="10"/>
      <c r="O304" s="10"/>
      <c r="P304" s="10" t="s">
        <v>637</v>
      </c>
      <c r="Q304" s="11" t="s">
        <v>72</v>
      </c>
      <c r="R304" s="11" t="s">
        <v>73</v>
      </c>
      <c r="S304" s="11" t="s">
        <v>1104</v>
      </c>
      <c r="T304" s="11" t="s">
        <v>1155</v>
      </c>
      <c r="U304" s="10" t="n">
        <f aca="false">IF(AND($D304="",$E304="",$F304=""),1,0)</f>
        <v>0</v>
      </c>
      <c r="V304" s="10" t="n">
        <f aca="false">IF(OR($I304="",$I304="—"),1,0)</f>
        <v>0</v>
      </c>
      <c r="W304" s="10" t="n">
        <f aca="false">IF(AND(ISNUMBER($D304),ISNUMBER($E304)),IF($E304&gt;$D304,1,0),0)+IF(AND(ISNUMBER($D304),ISNUMBER($F304)),IF($D304&gt;$F304,1,0),0)+IF(AND(ISNUMBER($E304),ISNUMBER($F304)),IF($E304&gt;$F304,1,0),0)</f>
        <v>0</v>
      </c>
      <c r="X304" s="13" t="s">
        <v>76</v>
      </c>
    </row>
    <row r="305" customFormat="false" ht="15" hidden="false" customHeight="false" outlineLevel="0" collapsed="false">
      <c r="A305" s="10" t="s">
        <v>1159</v>
      </c>
      <c r="B305" s="10" t="s">
        <v>1160</v>
      </c>
      <c r="C305" s="10" t="s">
        <v>1161</v>
      </c>
      <c r="D305" s="12" t="n">
        <v>26</v>
      </c>
      <c r="E305" s="12"/>
      <c r="F305" s="12"/>
      <c r="G305" s="10" t="s">
        <v>1099</v>
      </c>
      <c r="H305" s="10" t="s">
        <v>1100</v>
      </c>
      <c r="I305" s="11" t="s">
        <v>1101</v>
      </c>
      <c r="J305" s="10" t="s">
        <v>1102</v>
      </c>
      <c r="K305" s="10" t="s">
        <v>1103</v>
      </c>
      <c r="L305" s="10" t="s">
        <v>68</v>
      </c>
      <c r="M305" s="10" t="s">
        <v>69</v>
      </c>
      <c r="N305" s="10"/>
      <c r="O305" s="10"/>
      <c r="P305" s="10" t="s">
        <v>637</v>
      </c>
      <c r="Q305" s="11" t="s">
        <v>72</v>
      </c>
      <c r="R305" s="11" t="s">
        <v>73</v>
      </c>
      <c r="S305" s="11" t="s">
        <v>1104</v>
      </c>
      <c r="T305" s="11" t="s">
        <v>1155</v>
      </c>
      <c r="U305" s="10" t="n">
        <f aca="false">IF(AND($D305="",$E305="",$F305=""),1,0)</f>
        <v>0</v>
      </c>
      <c r="V305" s="10" t="n">
        <f aca="false">IF(OR($I305="",$I305="—"),1,0)</f>
        <v>0</v>
      </c>
      <c r="W305" s="10" t="n">
        <f aca="false">IF(AND(ISNUMBER($D305),ISNUMBER($E305)),IF($E305&gt;$D305,1,0),0)+IF(AND(ISNUMBER($D305),ISNUMBER($F305)),IF($D305&gt;$F305,1,0),0)+IF(AND(ISNUMBER($E305),ISNUMBER($F305)),IF($E305&gt;$F305,1,0),0)</f>
        <v>0</v>
      </c>
      <c r="X305" s="13" t="s">
        <v>76</v>
      </c>
    </row>
    <row r="306" customFormat="false" ht="15" hidden="false" customHeight="false" outlineLevel="0" collapsed="false">
      <c r="A306" s="10" t="s">
        <v>1162</v>
      </c>
      <c r="B306" s="10" t="s">
        <v>1163</v>
      </c>
      <c r="C306" s="10" t="s">
        <v>1164</v>
      </c>
      <c r="D306" s="12" t="n">
        <v>4</v>
      </c>
      <c r="E306" s="12"/>
      <c r="F306" s="12"/>
      <c r="G306" s="10" t="s">
        <v>1099</v>
      </c>
      <c r="H306" s="10" t="s">
        <v>1100</v>
      </c>
      <c r="I306" s="11" t="s">
        <v>1101</v>
      </c>
      <c r="J306" s="10" t="s">
        <v>1102</v>
      </c>
      <c r="K306" s="10" t="s">
        <v>1103</v>
      </c>
      <c r="L306" s="10" t="s">
        <v>68</v>
      </c>
      <c r="M306" s="10" t="s">
        <v>69</v>
      </c>
      <c r="N306" s="10"/>
      <c r="O306" s="10"/>
      <c r="P306" s="10" t="s">
        <v>637</v>
      </c>
      <c r="Q306" s="11" t="s">
        <v>72</v>
      </c>
      <c r="R306" s="11" t="s">
        <v>73</v>
      </c>
      <c r="S306" s="11" t="s">
        <v>1104</v>
      </c>
      <c r="T306" s="11" t="s">
        <v>1165</v>
      </c>
      <c r="U306" s="10" t="n">
        <f aca="false">IF(AND($D306="",$E306="",$F306=""),1,0)</f>
        <v>0</v>
      </c>
      <c r="V306" s="10" t="n">
        <f aca="false">IF(OR($I306="",$I306="—"),1,0)</f>
        <v>0</v>
      </c>
      <c r="W306" s="10" t="n">
        <f aca="false">IF(AND(ISNUMBER($D306),ISNUMBER($E306)),IF($E306&gt;$D306,1,0),0)+IF(AND(ISNUMBER($D306),ISNUMBER($F306)),IF($D306&gt;$F306,1,0),0)+IF(AND(ISNUMBER($E306),ISNUMBER($F306)),IF($E306&gt;$F306,1,0),0)</f>
        <v>0</v>
      </c>
      <c r="X306" s="13" t="s">
        <v>76</v>
      </c>
    </row>
    <row r="307" customFormat="false" ht="15" hidden="false" customHeight="false" outlineLevel="0" collapsed="false">
      <c r="A307" s="10" t="s">
        <v>1166</v>
      </c>
      <c r="B307" s="10" t="s">
        <v>1167</v>
      </c>
      <c r="C307" s="10" t="s">
        <v>1168</v>
      </c>
      <c r="D307" s="12" t="n">
        <v>1</v>
      </c>
      <c r="E307" s="12"/>
      <c r="F307" s="12"/>
      <c r="G307" s="10" t="s">
        <v>1099</v>
      </c>
      <c r="H307" s="10" t="s">
        <v>1100</v>
      </c>
      <c r="I307" s="11" t="s">
        <v>1101</v>
      </c>
      <c r="J307" s="10" t="s">
        <v>1102</v>
      </c>
      <c r="K307" s="10" t="s">
        <v>1103</v>
      </c>
      <c r="L307" s="10" t="s">
        <v>68</v>
      </c>
      <c r="M307" s="10" t="s">
        <v>69</v>
      </c>
      <c r="N307" s="10"/>
      <c r="O307" s="10"/>
      <c r="P307" s="10" t="s">
        <v>637</v>
      </c>
      <c r="Q307" s="11" t="s">
        <v>72</v>
      </c>
      <c r="R307" s="11" t="s">
        <v>73</v>
      </c>
      <c r="S307" s="11" t="s">
        <v>1104</v>
      </c>
      <c r="T307" s="11" t="s">
        <v>1165</v>
      </c>
      <c r="U307" s="10" t="n">
        <f aca="false">IF(AND($D307="",$E307="",$F307=""),1,0)</f>
        <v>0</v>
      </c>
      <c r="V307" s="10" t="n">
        <f aca="false">IF(OR($I307="",$I307="—"),1,0)</f>
        <v>0</v>
      </c>
      <c r="W307" s="10" t="n">
        <f aca="false">IF(AND(ISNUMBER($D307),ISNUMBER($E307)),IF($E307&gt;$D307,1,0),0)+IF(AND(ISNUMBER($D307),ISNUMBER($F307)),IF($D307&gt;$F307,1,0),0)+IF(AND(ISNUMBER($E307),ISNUMBER($F307)),IF($E307&gt;$F307,1,0),0)</f>
        <v>0</v>
      </c>
      <c r="X307" s="13" t="s">
        <v>76</v>
      </c>
    </row>
    <row r="308" customFormat="false" ht="15" hidden="false" customHeight="false" outlineLevel="0" collapsed="false">
      <c r="A308" s="10" t="s">
        <v>1169</v>
      </c>
      <c r="B308" s="10" t="s">
        <v>1170</v>
      </c>
      <c r="C308" s="10" t="s">
        <v>1171</v>
      </c>
      <c r="D308" s="12" t="n">
        <v>18</v>
      </c>
      <c r="E308" s="12"/>
      <c r="F308" s="12"/>
      <c r="G308" s="10" t="s">
        <v>1099</v>
      </c>
      <c r="H308" s="10" t="s">
        <v>1100</v>
      </c>
      <c r="I308" s="11" t="s">
        <v>1101</v>
      </c>
      <c r="J308" s="10" t="s">
        <v>1102</v>
      </c>
      <c r="K308" s="10" t="s">
        <v>1103</v>
      </c>
      <c r="L308" s="10" t="s">
        <v>68</v>
      </c>
      <c r="M308" s="10" t="s">
        <v>69</v>
      </c>
      <c r="N308" s="10"/>
      <c r="O308" s="10"/>
      <c r="P308" s="10" t="s">
        <v>637</v>
      </c>
      <c r="Q308" s="11" t="s">
        <v>72</v>
      </c>
      <c r="R308" s="11" t="s">
        <v>73</v>
      </c>
      <c r="S308" s="11" t="s">
        <v>1104</v>
      </c>
      <c r="T308" s="11" t="s">
        <v>1165</v>
      </c>
      <c r="U308" s="10" t="n">
        <f aca="false">IF(AND($D308="",$E308="",$F308=""),1,0)</f>
        <v>0</v>
      </c>
      <c r="V308" s="10" t="n">
        <f aca="false">IF(OR($I308="",$I308="—"),1,0)</f>
        <v>0</v>
      </c>
      <c r="W308" s="10" t="n">
        <f aca="false">IF(AND(ISNUMBER($D308),ISNUMBER($E308)),IF($E308&gt;$D308,1,0),0)+IF(AND(ISNUMBER($D308),ISNUMBER($F308)),IF($D308&gt;$F308,1,0),0)+IF(AND(ISNUMBER($E308),ISNUMBER($F308)),IF($E308&gt;$F308,1,0),0)</f>
        <v>0</v>
      </c>
      <c r="X308" s="13" t="s">
        <v>76</v>
      </c>
    </row>
    <row r="309" customFormat="false" ht="15" hidden="false" customHeight="false" outlineLevel="0" collapsed="false">
      <c r="A309" s="10" t="s">
        <v>1172</v>
      </c>
      <c r="B309" s="10" t="s">
        <v>1173</v>
      </c>
      <c r="C309" s="10" t="s">
        <v>1174</v>
      </c>
      <c r="D309" s="12" t="n">
        <v>6</v>
      </c>
      <c r="E309" s="12"/>
      <c r="F309" s="12"/>
      <c r="G309" s="10" t="s">
        <v>1099</v>
      </c>
      <c r="H309" s="10" t="s">
        <v>1100</v>
      </c>
      <c r="I309" s="11" t="s">
        <v>1101</v>
      </c>
      <c r="J309" s="10" t="s">
        <v>1102</v>
      </c>
      <c r="K309" s="10" t="s">
        <v>1103</v>
      </c>
      <c r="L309" s="10" t="s">
        <v>68</v>
      </c>
      <c r="M309" s="10" t="s">
        <v>69</v>
      </c>
      <c r="N309" s="10"/>
      <c r="O309" s="10"/>
      <c r="P309" s="10" t="s">
        <v>637</v>
      </c>
      <c r="Q309" s="11" t="s">
        <v>72</v>
      </c>
      <c r="R309" s="11" t="s">
        <v>73</v>
      </c>
      <c r="S309" s="11" t="s">
        <v>1104</v>
      </c>
      <c r="T309" s="11" t="s">
        <v>1175</v>
      </c>
      <c r="U309" s="10" t="n">
        <f aca="false">IF(AND($D309="",$E309="",$F309=""),1,0)</f>
        <v>0</v>
      </c>
      <c r="V309" s="10" t="n">
        <f aca="false">IF(OR($I309="",$I309="—"),1,0)</f>
        <v>0</v>
      </c>
      <c r="W309" s="10" t="n">
        <f aca="false">IF(AND(ISNUMBER($D309),ISNUMBER($E309)),IF($E309&gt;$D309,1,0),0)+IF(AND(ISNUMBER($D309),ISNUMBER($F309)),IF($D309&gt;$F309,1,0),0)+IF(AND(ISNUMBER($E309),ISNUMBER($F309)),IF($E309&gt;$F309,1,0),0)</f>
        <v>0</v>
      </c>
      <c r="X309" s="13" t="s">
        <v>76</v>
      </c>
    </row>
    <row r="310" customFormat="false" ht="15" hidden="false" customHeight="false" outlineLevel="0" collapsed="false">
      <c r="A310" s="10" t="s">
        <v>1176</v>
      </c>
      <c r="B310" s="10" t="s">
        <v>1177</v>
      </c>
      <c r="C310" s="10" t="s">
        <v>1178</v>
      </c>
      <c r="D310" s="12" t="n">
        <v>1.5</v>
      </c>
      <c r="E310" s="12"/>
      <c r="F310" s="12"/>
      <c r="G310" s="10" t="s">
        <v>1099</v>
      </c>
      <c r="H310" s="10" t="s">
        <v>1100</v>
      </c>
      <c r="I310" s="11" t="s">
        <v>1101</v>
      </c>
      <c r="J310" s="10" t="s">
        <v>1102</v>
      </c>
      <c r="K310" s="10" t="s">
        <v>1103</v>
      </c>
      <c r="L310" s="10" t="s">
        <v>68</v>
      </c>
      <c r="M310" s="10" t="s">
        <v>69</v>
      </c>
      <c r="N310" s="10"/>
      <c r="O310" s="10"/>
      <c r="P310" s="10" t="s">
        <v>637</v>
      </c>
      <c r="Q310" s="11" t="s">
        <v>72</v>
      </c>
      <c r="R310" s="11" t="s">
        <v>73</v>
      </c>
      <c r="S310" s="11" t="s">
        <v>1104</v>
      </c>
      <c r="T310" s="11" t="s">
        <v>1175</v>
      </c>
      <c r="U310" s="10" t="n">
        <f aca="false">IF(AND($D310="",$E310="",$F310=""),1,0)</f>
        <v>0</v>
      </c>
      <c r="V310" s="10" t="n">
        <f aca="false">IF(OR($I310="",$I310="—"),1,0)</f>
        <v>0</v>
      </c>
      <c r="W310" s="10" t="n">
        <f aca="false">IF(AND(ISNUMBER($D310),ISNUMBER($E310)),IF($E310&gt;$D310,1,0),0)+IF(AND(ISNUMBER($D310),ISNUMBER($F310)),IF($D310&gt;$F310,1,0),0)+IF(AND(ISNUMBER($E310),ISNUMBER($F310)),IF($E310&gt;$F310,1,0),0)</f>
        <v>0</v>
      </c>
      <c r="X310" s="13" t="s">
        <v>76</v>
      </c>
    </row>
    <row r="311" customFormat="false" ht="15" hidden="false" customHeight="false" outlineLevel="0" collapsed="false">
      <c r="A311" s="10" t="s">
        <v>1179</v>
      </c>
      <c r="B311" s="10" t="s">
        <v>1180</v>
      </c>
      <c r="C311" s="10" t="s">
        <v>1181</v>
      </c>
      <c r="D311" s="12" t="n">
        <v>22</v>
      </c>
      <c r="E311" s="12"/>
      <c r="F311" s="12"/>
      <c r="G311" s="10" t="s">
        <v>1099</v>
      </c>
      <c r="H311" s="10" t="s">
        <v>1100</v>
      </c>
      <c r="I311" s="11" t="s">
        <v>1101</v>
      </c>
      <c r="J311" s="10" t="s">
        <v>1102</v>
      </c>
      <c r="K311" s="10" t="s">
        <v>1103</v>
      </c>
      <c r="L311" s="10" t="s">
        <v>68</v>
      </c>
      <c r="M311" s="10" t="s">
        <v>69</v>
      </c>
      <c r="N311" s="10"/>
      <c r="O311" s="10"/>
      <c r="P311" s="10" t="s">
        <v>637</v>
      </c>
      <c r="Q311" s="11" t="s">
        <v>72</v>
      </c>
      <c r="R311" s="11" t="s">
        <v>73</v>
      </c>
      <c r="S311" s="11" t="s">
        <v>1104</v>
      </c>
      <c r="T311" s="11" t="s">
        <v>1175</v>
      </c>
      <c r="U311" s="10" t="n">
        <f aca="false">IF(AND($D311="",$E311="",$F311=""),1,0)</f>
        <v>0</v>
      </c>
      <c r="V311" s="10" t="n">
        <f aca="false">IF(OR($I311="",$I311="—"),1,0)</f>
        <v>0</v>
      </c>
      <c r="W311" s="10" t="n">
        <f aca="false">IF(AND(ISNUMBER($D311),ISNUMBER($E311)),IF($E311&gt;$D311,1,0),0)+IF(AND(ISNUMBER($D311),ISNUMBER($F311)),IF($D311&gt;$F311,1,0),0)+IF(AND(ISNUMBER($E311),ISNUMBER($F311)),IF($E311&gt;$F311,1,0),0)</f>
        <v>0</v>
      </c>
      <c r="X311" s="13" t="s">
        <v>76</v>
      </c>
    </row>
    <row r="312" customFormat="false" ht="15" hidden="false" customHeight="false" outlineLevel="0" collapsed="false">
      <c r="A312" s="10" t="s">
        <v>1182</v>
      </c>
      <c r="B312" s="10" t="s">
        <v>1183</v>
      </c>
      <c r="C312" s="10" t="s">
        <v>1184</v>
      </c>
      <c r="D312" s="12" t="n">
        <v>2</v>
      </c>
      <c r="E312" s="12"/>
      <c r="F312" s="12"/>
      <c r="G312" s="10" t="s">
        <v>1099</v>
      </c>
      <c r="H312" s="10" t="s">
        <v>1100</v>
      </c>
      <c r="I312" s="11" t="s">
        <v>1101</v>
      </c>
      <c r="J312" s="10" t="s">
        <v>1102</v>
      </c>
      <c r="K312" s="10" t="s">
        <v>1103</v>
      </c>
      <c r="L312" s="10" t="s">
        <v>68</v>
      </c>
      <c r="M312" s="10" t="s">
        <v>69</v>
      </c>
      <c r="N312" s="10"/>
      <c r="O312" s="10"/>
      <c r="P312" s="10" t="s">
        <v>637</v>
      </c>
      <c r="Q312" s="11" t="s">
        <v>72</v>
      </c>
      <c r="R312" s="11" t="s">
        <v>73</v>
      </c>
      <c r="S312" s="11" t="s">
        <v>1104</v>
      </c>
      <c r="T312" s="11" t="s">
        <v>1185</v>
      </c>
      <c r="U312" s="10" t="n">
        <f aca="false">IF(AND($D312="",$E312="",$F312=""),1,0)</f>
        <v>0</v>
      </c>
      <c r="V312" s="10" t="n">
        <f aca="false">IF(OR($I312="",$I312="—"),1,0)</f>
        <v>0</v>
      </c>
      <c r="W312" s="10" t="n">
        <f aca="false">IF(AND(ISNUMBER($D312),ISNUMBER($E312)),IF($E312&gt;$D312,1,0),0)+IF(AND(ISNUMBER($D312),ISNUMBER($F312)),IF($D312&gt;$F312,1,0),0)+IF(AND(ISNUMBER($E312),ISNUMBER($F312)),IF($E312&gt;$F312,1,0),0)</f>
        <v>0</v>
      </c>
      <c r="X312" s="13" t="s">
        <v>76</v>
      </c>
    </row>
    <row r="313" customFormat="false" ht="15" hidden="false" customHeight="false" outlineLevel="0" collapsed="false">
      <c r="A313" s="10" t="s">
        <v>1186</v>
      </c>
      <c r="B313" s="10" t="s">
        <v>1187</v>
      </c>
      <c r="C313" s="10" t="s">
        <v>1188</v>
      </c>
      <c r="D313" s="12" t="n">
        <v>0.4</v>
      </c>
      <c r="E313" s="12"/>
      <c r="F313" s="12"/>
      <c r="G313" s="10" t="s">
        <v>1099</v>
      </c>
      <c r="H313" s="10" t="s">
        <v>1100</v>
      </c>
      <c r="I313" s="11" t="s">
        <v>1101</v>
      </c>
      <c r="J313" s="10" t="s">
        <v>1102</v>
      </c>
      <c r="K313" s="10" t="s">
        <v>1103</v>
      </c>
      <c r="L313" s="10" t="s">
        <v>68</v>
      </c>
      <c r="M313" s="10" t="s">
        <v>69</v>
      </c>
      <c r="N313" s="10"/>
      <c r="O313" s="10"/>
      <c r="P313" s="10" t="s">
        <v>637</v>
      </c>
      <c r="Q313" s="11" t="s">
        <v>72</v>
      </c>
      <c r="R313" s="11" t="s">
        <v>73</v>
      </c>
      <c r="S313" s="11" t="s">
        <v>1104</v>
      </c>
      <c r="T313" s="11" t="s">
        <v>1185</v>
      </c>
      <c r="U313" s="10" t="n">
        <f aca="false">IF(AND($D313="",$E313="",$F313=""),1,0)</f>
        <v>0</v>
      </c>
      <c r="V313" s="10" t="n">
        <f aca="false">IF(OR($I313="",$I313="—"),1,0)</f>
        <v>0</v>
      </c>
      <c r="W313" s="10" t="n">
        <f aca="false">IF(AND(ISNUMBER($D313),ISNUMBER($E313)),IF($E313&gt;$D313,1,0),0)+IF(AND(ISNUMBER($D313),ISNUMBER($F313)),IF($D313&gt;$F313,1,0),0)+IF(AND(ISNUMBER($E313),ISNUMBER($F313)),IF($E313&gt;$F313,1,0),0)</f>
        <v>0</v>
      </c>
      <c r="X313" s="13" t="s">
        <v>76</v>
      </c>
    </row>
    <row r="314" customFormat="false" ht="15" hidden="false" customHeight="false" outlineLevel="0" collapsed="false">
      <c r="A314" s="10" t="s">
        <v>1189</v>
      </c>
      <c r="B314" s="10" t="s">
        <v>1190</v>
      </c>
      <c r="C314" s="10" t="s">
        <v>1191</v>
      </c>
      <c r="D314" s="12" t="n">
        <v>8</v>
      </c>
      <c r="E314" s="12"/>
      <c r="F314" s="12"/>
      <c r="G314" s="10" t="s">
        <v>1099</v>
      </c>
      <c r="H314" s="10" t="s">
        <v>1100</v>
      </c>
      <c r="I314" s="11" t="s">
        <v>1101</v>
      </c>
      <c r="J314" s="10" t="s">
        <v>1102</v>
      </c>
      <c r="K314" s="10" t="s">
        <v>1103</v>
      </c>
      <c r="L314" s="10" t="s">
        <v>68</v>
      </c>
      <c r="M314" s="10" t="s">
        <v>69</v>
      </c>
      <c r="N314" s="10"/>
      <c r="O314" s="10"/>
      <c r="P314" s="10" t="s">
        <v>637</v>
      </c>
      <c r="Q314" s="11" t="s">
        <v>72</v>
      </c>
      <c r="R314" s="11" t="s">
        <v>73</v>
      </c>
      <c r="S314" s="11" t="s">
        <v>1104</v>
      </c>
      <c r="T314" s="11" t="s">
        <v>1185</v>
      </c>
      <c r="U314" s="10" t="n">
        <f aca="false">IF(AND($D314="",$E314="",$F314=""),1,0)</f>
        <v>0</v>
      </c>
      <c r="V314" s="10" t="n">
        <f aca="false">IF(OR($I314="",$I314="—"),1,0)</f>
        <v>0</v>
      </c>
      <c r="W314" s="10" t="n">
        <f aca="false">IF(AND(ISNUMBER($D314),ISNUMBER($E314)),IF($E314&gt;$D314,1,0),0)+IF(AND(ISNUMBER($D314),ISNUMBER($F314)),IF($D314&gt;$F314,1,0),0)+IF(AND(ISNUMBER($E314),ISNUMBER($F314)),IF($E314&gt;$F314,1,0),0)</f>
        <v>0</v>
      </c>
      <c r="X314" s="13" t="s">
        <v>76</v>
      </c>
    </row>
    <row r="315" customFormat="false" ht="15" hidden="false" customHeight="false" outlineLevel="0" collapsed="false">
      <c r="A315" s="10" t="s">
        <v>1192</v>
      </c>
      <c r="B315" s="10" t="s">
        <v>1193</v>
      </c>
      <c r="C315" s="10" t="s">
        <v>1194</v>
      </c>
      <c r="D315" s="12" t="n">
        <v>3</v>
      </c>
      <c r="E315" s="12"/>
      <c r="F315" s="12"/>
      <c r="G315" s="10" t="s">
        <v>1099</v>
      </c>
      <c r="H315" s="10" t="s">
        <v>1100</v>
      </c>
      <c r="I315" s="11" t="s">
        <v>1101</v>
      </c>
      <c r="J315" s="10" t="s">
        <v>1102</v>
      </c>
      <c r="K315" s="10" t="s">
        <v>1103</v>
      </c>
      <c r="L315" s="10" t="s">
        <v>68</v>
      </c>
      <c r="M315" s="10" t="s">
        <v>69</v>
      </c>
      <c r="N315" s="10"/>
      <c r="O315" s="10"/>
      <c r="P315" s="10" t="s">
        <v>637</v>
      </c>
      <c r="Q315" s="11" t="s">
        <v>72</v>
      </c>
      <c r="R315" s="11" t="s">
        <v>73</v>
      </c>
      <c r="S315" s="11" t="s">
        <v>1104</v>
      </c>
      <c r="T315" s="11" t="s">
        <v>1195</v>
      </c>
      <c r="U315" s="10" t="n">
        <f aca="false">IF(AND($D315="",$E315="",$F315=""),1,0)</f>
        <v>0</v>
      </c>
      <c r="V315" s="10" t="n">
        <f aca="false">IF(OR($I315="",$I315="—"),1,0)</f>
        <v>0</v>
      </c>
      <c r="W315" s="10" t="n">
        <f aca="false">IF(AND(ISNUMBER($D315),ISNUMBER($E315)),IF($E315&gt;$D315,1,0),0)+IF(AND(ISNUMBER($D315),ISNUMBER($F315)),IF($D315&gt;$F315,1,0),0)+IF(AND(ISNUMBER($E315),ISNUMBER($F315)),IF($E315&gt;$F315,1,0),0)</f>
        <v>0</v>
      </c>
      <c r="X315" s="13" t="s">
        <v>76</v>
      </c>
    </row>
    <row r="316" customFormat="false" ht="15" hidden="false" customHeight="false" outlineLevel="0" collapsed="false">
      <c r="A316" s="10" t="s">
        <v>1196</v>
      </c>
      <c r="B316" s="10" t="s">
        <v>1197</v>
      </c>
      <c r="C316" s="10" t="s">
        <v>1198</v>
      </c>
      <c r="D316" s="12" t="n">
        <v>0.6</v>
      </c>
      <c r="E316" s="12"/>
      <c r="F316" s="12"/>
      <c r="G316" s="10" t="s">
        <v>1099</v>
      </c>
      <c r="H316" s="10" t="s">
        <v>1100</v>
      </c>
      <c r="I316" s="11" t="s">
        <v>1101</v>
      </c>
      <c r="J316" s="10" t="s">
        <v>1102</v>
      </c>
      <c r="K316" s="10" t="s">
        <v>1103</v>
      </c>
      <c r="L316" s="10" t="s">
        <v>68</v>
      </c>
      <c r="M316" s="10" t="s">
        <v>69</v>
      </c>
      <c r="N316" s="10"/>
      <c r="O316" s="10"/>
      <c r="P316" s="10" t="s">
        <v>637</v>
      </c>
      <c r="Q316" s="11" t="s">
        <v>72</v>
      </c>
      <c r="R316" s="11" t="s">
        <v>73</v>
      </c>
      <c r="S316" s="11" t="s">
        <v>1104</v>
      </c>
      <c r="T316" s="11" t="s">
        <v>1195</v>
      </c>
      <c r="U316" s="10" t="n">
        <f aca="false">IF(AND($D316="",$E316="",$F316=""),1,0)</f>
        <v>0</v>
      </c>
      <c r="V316" s="10" t="n">
        <f aca="false">IF(OR($I316="",$I316="—"),1,0)</f>
        <v>0</v>
      </c>
      <c r="W316" s="10" t="n">
        <f aca="false">IF(AND(ISNUMBER($D316),ISNUMBER($E316)),IF($E316&gt;$D316,1,0),0)+IF(AND(ISNUMBER($D316),ISNUMBER($F316)),IF($D316&gt;$F316,1,0),0)+IF(AND(ISNUMBER($E316),ISNUMBER($F316)),IF($E316&gt;$F316,1,0),0)</f>
        <v>0</v>
      </c>
      <c r="X316" s="13" t="s">
        <v>76</v>
      </c>
    </row>
    <row r="317" customFormat="false" ht="15" hidden="false" customHeight="false" outlineLevel="0" collapsed="false">
      <c r="A317" s="10" t="s">
        <v>1199</v>
      </c>
      <c r="B317" s="10" t="s">
        <v>1200</v>
      </c>
      <c r="C317" s="10" t="s">
        <v>1201</v>
      </c>
      <c r="D317" s="12" t="n">
        <v>14</v>
      </c>
      <c r="E317" s="12"/>
      <c r="F317" s="12"/>
      <c r="G317" s="10" t="s">
        <v>1099</v>
      </c>
      <c r="H317" s="10" t="s">
        <v>1100</v>
      </c>
      <c r="I317" s="11" t="s">
        <v>1101</v>
      </c>
      <c r="J317" s="10" t="s">
        <v>1102</v>
      </c>
      <c r="K317" s="10" t="s">
        <v>1103</v>
      </c>
      <c r="L317" s="10" t="s">
        <v>68</v>
      </c>
      <c r="M317" s="10" t="s">
        <v>69</v>
      </c>
      <c r="N317" s="10"/>
      <c r="O317" s="10"/>
      <c r="P317" s="10" t="s">
        <v>637</v>
      </c>
      <c r="Q317" s="11" t="s">
        <v>72</v>
      </c>
      <c r="R317" s="11" t="s">
        <v>73</v>
      </c>
      <c r="S317" s="11" t="s">
        <v>1104</v>
      </c>
      <c r="T317" s="11" t="s">
        <v>1195</v>
      </c>
      <c r="U317" s="10" t="n">
        <f aca="false">IF(AND($D317="",$E317="",$F317=""),1,0)</f>
        <v>0</v>
      </c>
      <c r="V317" s="10" t="n">
        <f aca="false">IF(OR($I317="",$I317="—"),1,0)</f>
        <v>0</v>
      </c>
      <c r="W317" s="10" t="n">
        <f aca="false">IF(AND(ISNUMBER($D317),ISNUMBER($E317)),IF($E317&gt;$D317,1,0),0)+IF(AND(ISNUMBER($D317),ISNUMBER($F317)),IF($D317&gt;$F317,1,0),0)+IF(AND(ISNUMBER($E317),ISNUMBER($F317)),IF($E317&gt;$F317,1,0),0)</f>
        <v>0</v>
      </c>
      <c r="X317" s="13" t="s">
        <v>76</v>
      </c>
    </row>
    <row r="318" customFormat="false" ht="15" hidden="false" customHeight="false" outlineLevel="0" collapsed="false">
      <c r="A318" s="10" t="s">
        <v>1202</v>
      </c>
      <c r="B318" s="10" t="s">
        <v>1203</v>
      </c>
      <c r="C318" s="10" t="s">
        <v>1204</v>
      </c>
      <c r="D318" s="12" t="n">
        <v>4</v>
      </c>
      <c r="E318" s="12"/>
      <c r="F318" s="12"/>
      <c r="G318" s="10" t="s">
        <v>1099</v>
      </c>
      <c r="H318" s="10" t="s">
        <v>1100</v>
      </c>
      <c r="I318" s="11" t="s">
        <v>1101</v>
      </c>
      <c r="J318" s="10" t="s">
        <v>1102</v>
      </c>
      <c r="K318" s="10" t="s">
        <v>1103</v>
      </c>
      <c r="L318" s="10" t="s">
        <v>68</v>
      </c>
      <c r="M318" s="10" t="s">
        <v>69</v>
      </c>
      <c r="N318" s="10"/>
      <c r="O318" s="10"/>
      <c r="P318" s="10" t="s">
        <v>637</v>
      </c>
      <c r="Q318" s="11" t="s">
        <v>72</v>
      </c>
      <c r="R318" s="11" t="s">
        <v>73</v>
      </c>
      <c r="S318" s="11" t="s">
        <v>1104</v>
      </c>
      <c r="T318" s="11" t="s">
        <v>1205</v>
      </c>
      <c r="U318" s="10" t="n">
        <f aca="false">IF(AND($D318="",$E318="",$F318=""),1,0)</f>
        <v>0</v>
      </c>
      <c r="V318" s="10" t="n">
        <f aca="false">IF(OR($I318="",$I318="—"),1,0)</f>
        <v>0</v>
      </c>
      <c r="W318" s="10" t="n">
        <f aca="false">IF(AND(ISNUMBER($D318),ISNUMBER($E318)),IF($E318&gt;$D318,1,0),0)+IF(AND(ISNUMBER($D318),ISNUMBER($F318)),IF($D318&gt;$F318,1,0),0)+IF(AND(ISNUMBER($E318),ISNUMBER($F318)),IF($E318&gt;$F318,1,0),0)</f>
        <v>0</v>
      </c>
      <c r="X318" s="13" t="s">
        <v>76</v>
      </c>
    </row>
    <row r="319" customFormat="false" ht="15" hidden="false" customHeight="false" outlineLevel="0" collapsed="false">
      <c r="A319" s="10" t="s">
        <v>1206</v>
      </c>
      <c r="B319" s="10" t="s">
        <v>1207</v>
      </c>
      <c r="C319" s="10" t="s">
        <v>1208</v>
      </c>
      <c r="D319" s="12" t="n">
        <v>0.8</v>
      </c>
      <c r="E319" s="12"/>
      <c r="F319" s="12"/>
      <c r="G319" s="10" t="s">
        <v>1099</v>
      </c>
      <c r="H319" s="10" t="s">
        <v>1100</v>
      </c>
      <c r="I319" s="11" t="s">
        <v>1101</v>
      </c>
      <c r="J319" s="10" t="s">
        <v>1102</v>
      </c>
      <c r="K319" s="10" t="s">
        <v>1103</v>
      </c>
      <c r="L319" s="10" t="s">
        <v>68</v>
      </c>
      <c r="M319" s="10" t="s">
        <v>69</v>
      </c>
      <c r="N319" s="10"/>
      <c r="O319" s="10"/>
      <c r="P319" s="10" t="s">
        <v>637</v>
      </c>
      <c r="Q319" s="11" t="s">
        <v>72</v>
      </c>
      <c r="R319" s="11" t="s">
        <v>73</v>
      </c>
      <c r="S319" s="11" t="s">
        <v>1104</v>
      </c>
      <c r="T319" s="11" t="s">
        <v>1205</v>
      </c>
      <c r="U319" s="10" t="n">
        <f aca="false">IF(AND($D319="",$E319="",$F319=""),1,0)</f>
        <v>0</v>
      </c>
      <c r="V319" s="10" t="n">
        <f aca="false">IF(OR($I319="",$I319="—"),1,0)</f>
        <v>0</v>
      </c>
      <c r="W319" s="10" t="n">
        <f aca="false">IF(AND(ISNUMBER($D319),ISNUMBER($E319)),IF($E319&gt;$D319,1,0),0)+IF(AND(ISNUMBER($D319),ISNUMBER($F319)),IF($D319&gt;$F319,1,0),0)+IF(AND(ISNUMBER($E319),ISNUMBER($F319)),IF($E319&gt;$F319,1,0),0)</f>
        <v>0</v>
      </c>
      <c r="X319" s="13" t="s">
        <v>76</v>
      </c>
    </row>
    <row r="320" customFormat="false" ht="15" hidden="false" customHeight="false" outlineLevel="0" collapsed="false">
      <c r="A320" s="10" t="s">
        <v>1209</v>
      </c>
      <c r="B320" s="10" t="s">
        <v>1210</v>
      </c>
      <c r="C320" s="10" t="s">
        <v>1211</v>
      </c>
      <c r="D320" s="12" t="n">
        <v>16</v>
      </c>
      <c r="E320" s="12"/>
      <c r="F320" s="12"/>
      <c r="G320" s="10" t="s">
        <v>1099</v>
      </c>
      <c r="H320" s="10" t="s">
        <v>1100</v>
      </c>
      <c r="I320" s="11" t="s">
        <v>1101</v>
      </c>
      <c r="J320" s="10" t="s">
        <v>1102</v>
      </c>
      <c r="K320" s="10" t="s">
        <v>1103</v>
      </c>
      <c r="L320" s="10" t="s">
        <v>68</v>
      </c>
      <c r="M320" s="10" t="s">
        <v>69</v>
      </c>
      <c r="N320" s="10"/>
      <c r="O320" s="10"/>
      <c r="P320" s="10" t="s">
        <v>637</v>
      </c>
      <c r="Q320" s="11" t="s">
        <v>72</v>
      </c>
      <c r="R320" s="11" t="s">
        <v>73</v>
      </c>
      <c r="S320" s="11" t="s">
        <v>1104</v>
      </c>
      <c r="T320" s="11" t="s">
        <v>1205</v>
      </c>
      <c r="U320" s="10" t="n">
        <f aca="false">IF(AND($D320="",$E320="",$F320=""),1,0)</f>
        <v>0</v>
      </c>
      <c r="V320" s="10" t="n">
        <f aca="false">IF(OR($I320="",$I320="—"),1,0)</f>
        <v>0</v>
      </c>
      <c r="W320" s="10" t="n">
        <f aca="false">IF(AND(ISNUMBER($D320),ISNUMBER($E320)),IF($E320&gt;$D320,1,0),0)+IF(AND(ISNUMBER($D320),ISNUMBER($F320)),IF($D320&gt;$F320,1,0),0)+IF(AND(ISNUMBER($E320),ISNUMBER($F320)),IF($E320&gt;$F320,1,0),0)</f>
        <v>0</v>
      </c>
      <c r="X320" s="13" t="s">
        <v>76</v>
      </c>
    </row>
    <row r="321" customFormat="false" ht="15" hidden="false" customHeight="false" outlineLevel="0" collapsed="false">
      <c r="A321" s="10" t="s">
        <v>1212</v>
      </c>
      <c r="B321" s="10" t="s">
        <v>1213</v>
      </c>
      <c r="C321" s="10" t="s">
        <v>1214</v>
      </c>
      <c r="D321" s="12" t="n">
        <v>0.8</v>
      </c>
      <c r="E321" s="12"/>
      <c r="F321" s="12"/>
      <c r="G321" s="10" t="s">
        <v>1099</v>
      </c>
      <c r="H321" s="10" t="s">
        <v>1100</v>
      </c>
      <c r="I321" s="11" t="s">
        <v>1101</v>
      </c>
      <c r="J321" s="10" t="s">
        <v>1102</v>
      </c>
      <c r="K321" s="10" t="s">
        <v>1103</v>
      </c>
      <c r="L321" s="10" t="s">
        <v>68</v>
      </c>
      <c r="M321" s="10" t="s">
        <v>69</v>
      </c>
      <c r="N321" s="10"/>
      <c r="O321" s="10"/>
      <c r="P321" s="10" t="s">
        <v>637</v>
      </c>
      <c r="Q321" s="11" t="s">
        <v>72</v>
      </c>
      <c r="R321" s="11" t="s">
        <v>73</v>
      </c>
      <c r="S321" s="11" t="s">
        <v>1104</v>
      </c>
      <c r="T321" s="11" t="s">
        <v>1215</v>
      </c>
      <c r="U321" s="10" t="n">
        <f aca="false">IF(AND($D321="",$E321="",$F321=""),1,0)</f>
        <v>0</v>
      </c>
      <c r="V321" s="10" t="n">
        <f aca="false">IF(OR($I321="",$I321="—"),1,0)</f>
        <v>0</v>
      </c>
      <c r="W321" s="10" t="n">
        <f aca="false">IF(AND(ISNUMBER($D321),ISNUMBER($E321)),IF($E321&gt;$D321,1,0),0)+IF(AND(ISNUMBER($D321),ISNUMBER($F321)),IF($D321&gt;$F321,1,0),0)+IF(AND(ISNUMBER($E321),ISNUMBER($F321)),IF($E321&gt;$F321,1,0),0)</f>
        <v>0</v>
      </c>
      <c r="X321" s="13" t="s">
        <v>76</v>
      </c>
    </row>
    <row r="322" customFormat="false" ht="15" hidden="false" customHeight="false" outlineLevel="0" collapsed="false">
      <c r="A322" s="10" t="s">
        <v>1216</v>
      </c>
      <c r="B322" s="10" t="s">
        <v>1217</v>
      </c>
      <c r="C322" s="10" t="s">
        <v>1218</v>
      </c>
      <c r="D322" s="12" t="n">
        <v>0.16</v>
      </c>
      <c r="E322" s="12"/>
      <c r="F322" s="12"/>
      <c r="G322" s="10" t="s">
        <v>1099</v>
      </c>
      <c r="H322" s="10" t="s">
        <v>1100</v>
      </c>
      <c r="I322" s="11" t="s">
        <v>1101</v>
      </c>
      <c r="J322" s="10" t="s">
        <v>1102</v>
      </c>
      <c r="K322" s="10" t="s">
        <v>1103</v>
      </c>
      <c r="L322" s="10" t="s">
        <v>68</v>
      </c>
      <c r="M322" s="10" t="s">
        <v>69</v>
      </c>
      <c r="N322" s="10"/>
      <c r="O322" s="10"/>
      <c r="P322" s="10" t="s">
        <v>637</v>
      </c>
      <c r="Q322" s="11" t="s">
        <v>72</v>
      </c>
      <c r="R322" s="11" t="s">
        <v>73</v>
      </c>
      <c r="S322" s="11" t="s">
        <v>1104</v>
      </c>
      <c r="T322" s="11" t="s">
        <v>1215</v>
      </c>
      <c r="U322" s="10" t="n">
        <f aca="false">IF(AND($D322="",$E322="",$F322=""),1,0)</f>
        <v>0</v>
      </c>
      <c r="V322" s="10" t="n">
        <f aca="false">IF(OR($I322="",$I322="—"),1,0)</f>
        <v>0</v>
      </c>
      <c r="W322" s="10" t="n">
        <f aca="false">IF(AND(ISNUMBER($D322),ISNUMBER($E322)),IF($E322&gt;$D322,1,0),0)+IF(AND(ISNUMBER($D322),ISNUMBER($F322)),IF($D322&gt;$F322,1,0),0)+IF(AND(ISNUMBER($E322),ISNUMBER($F322)),IF($E322&gt;$F322,1,0),0)</f>
        <v>0</v>
      </c>
      <c r="X322" s="13" t="s">
        <v>76</v>
      </c>
    </row>
    <row r="323" customFormat="false" ht="15" hidden="false" customHeight="false" outlineLevel="0" collapsed="false">
      <c r="A323" s="10" t="s">
        <v>1219</v>
      </c>
      <c r="B323" s="10" t="s">
        <v>1220</v>
      </c>
      <c r="C323" s="10" t="s">
        <v>1221</v>
      </c>
      <c r="D323" s="12" t="n">
        <v>2</v>
      </c>
      <c r="E323" s="12"/>
      <c r="F323" s="12"/>
      <c r="G323" s="10" t="s">
        <v>1099</v>
      </c>
      <c r="H323" s="10" t="s">
        <v>1100</v>
      </c>
      <c r="I323" s="11" t="s">
        <v>1101</v>
      </c>
      <c r="J323" s="10" t="s">
        <v>1102</v>
      </c>
      <c r="K323" s="10" t="s">
        <v>1103</v>
      </c>
      <c r="L323" s="10" t="s">
        <v>68</v>
      </c>
      <c r="M323" s="10" t="s">
        <v>69</v>
      </c>
      <c r="N323" s="10"/>
      <c r="O323" s="10"/>
      <c r="P323" s="10" t="s">
        <v>637</v>
      </c>
      <c r="Q323" s="11" t="s">
        <v>72</v>
      </c>
      <c r="R323" s="11" t="s">
        <v>73</v>
      </c>
      <c r="S323" s="11" t="s">
        <v>1104</v>
      </c>
      <c r="T323" s="11" t="s">
        <v>1215</v>
      </c>
      <c r="U323" s="10" t="n">
        <f aca="false">IF(AND($D323="",$E323="",$F323=""),1,0)</f>
        <v>0</v>
      </c>
      <c r="V323" s="10" t="n">
        <f aca="false">IF(OR($I323="",$I323="—"),1,0)</f>
        <v>0</v>
      </c>
      <c r="W323" s="10" t="n">
        <f aca="false">IF(AND(ISNUMBER($D323),ISNUMBER($E323)),IF($E323&gt;$D323,1,0),0)+IF(AND(ISNUMBER($D323),ISNUMBER($F323)),IF($D323&gt;$F323,1,0),0)+IF(AND(ISNUMBER($E323),ISNUMBER($F323)),IF($E323&gt;$F323,1,0),0)</f>
        <v>0</v>
      </c>
      <c r="X323" s="13" t="s">
        <v>76</v>
      </c>
    </row>
    <row r="324" customFormat="false" ht="15" hidden="false" customHeight="false" outlineLevel="0" collapsed="false">
      <c r="A324" s="10" t="s">
        <v>1222</v>
      </c>
      <c r="B324" s="10" t="s">
        <v>1223</v>
      </c>
      <c r="C324" s="10" t="s">
        <v>1224</v>
      </c>
      <c r="D324" s="12" t="n">
        <v>0.8</v>
      </c>
      <c r="E324" s="12"/>
      <c r="F324" s="12"/>
      <c r="G324" s="10" t="s">
        <v>1099</v>
      </c>
      <c r="H324" s="10" t="s">
        <v>1100</v>
      </c>
      <c r="I324" s="11" t="s">
        <v>1101</v>
      </c>
      <c r="J324" s="10" t="s">
        <v>1102</v>
      </c>
      <c r="K324" s="10" t="s">
        <v>1103</v>
      </c>
      <c r="L324" s="10" t="s">
        <v>68</v>
      </c>
      <c r="M324" s="10" t="s">
        <v>69</v>
      </c>
      <c r="N324" s="10"/>
      <c r="O324" s="10"/>
      <c r="P324" s="10" t="s">
        <v>637</v>
      </c>
      <c r="Q324" s="11" t="s">
        <v>72</v>
      </c>
      <c r="R324" s="11" t="s">
        <v>73</v>
      </c>
      <c r="S324" s="11" t="s">
        <v>1104</v>
      </c>
      <c r="T324" s="11" t="s">
        <v>1225</v>
      </c>
      <c r="U324" s="10" t="n">
        <f aca="false">IF(AND($D324="",$E324="",$F324=""),1,0)</f>
        <v>0</v>
      </c>
      <c r="V324" s="10" t="n">
        <f aca="false">IF(OR($I324="",$I324="—"),1,0)</f>
        <v>0</v>
      </c>
      <c r="W324" s="10" t="n">
        <f aca="false">IF(AND(ISNUMBER($D324),ISNUMBER($E324)),IF($E324&gt;$D324,1,0),0)+IF(AND(ISNUMBER($D324),ISNUMBER($F324)),IF($D324&gt;$F324,1,0),0)+IF(AND(ISNUMBER($E324),ISNUMBER($F324)),IF($E324&gt;$F324,1,0),0)</f>
        <v>0</v>
      </c>
      <c r="X324" s="13" t="s">
        <v>76</v>
      </c>
    </row>
    <row r="325" customFormat="false" ht="15" hidden="false" customHeight="false" outlineLevel="0" collapsed="false">
      <c r="A325" s="10" t="s">
        <v>1226</v>
      </c>
      <c r="B325" s="10" t="s">
        <v>1227</v>
      </c>
      <c r="C325" s="10" t="s">
        <v>1228</v>
      </c>
      <c r="D325" s="12" t="n">
        <v>0.16</v>
      </c>
      <c r="E325" s="12"/>
      <c r="F325" s="12"/>
      <c r="G325" s="10" t="s">
        <v>1099</v>
      </c>
      <c r="H325" s="10" t="s">
        <v>1100</v>
      </c>
      <c r="I325" s="11" t="s">
        <v>1101</v>
      </c>
      <c r="J325" s="10" t="s">
        <v>1102</v>
      </c>
      <c r="K325" s="10" t="s">
        <v>1103</v>
      </c>
      <c r="L325" s="10" t="s">
        <v>68</v>
      </c>
      <c r="M325" s="10" t="s">
        <v>69</v>
      </c>
      <c r="N325" s="10"/>
      <c r="O325" s="10"/>
      <c r="P325" s="10" t="s">
        <v>637</v>
      </c>
      <c r="Q325" s="11" t="s">
        <v>72</v>
      </c>
      <c r="R325" s="11" t="s">
        <v>73</v>
      </c>
      <c r="S325" s="11" t="s">
        <v>1104</v>
      </c>
      <c r="T325" s="11" t="s">
        <v>1225</v>
      </c>
      <c r="U325" s="10" t="n">
        <f aca="false">IF(AND($D325="",$E325="",$F325=""),1,0)</f>
        <v>0</v>
      </c>
      <c r="V325" s="10" t="n">
        <f aca="false">IF(OR($I325="",$I325="—"),1,0)</f>
        <v>0</v>
      </c>
      <c r="W325" s="10" t="n">
        <f aca="false">IF(AND(ISNUMBER($D325),ISNUMBER($E325)),IF($E325&gt;$D325,1,0),0)+IF(AND(ISNUMBER($D325),ISNUMBER($F325)),IF($D325&gt;$F325,1,0),0)+IF(AND(ISNUMBER($E325),ISNUMBER($F325)),IF($E325&gt;$F325,1,0),0)</f>
        <v>0</v>
      </c>
      <c r="X325" s="13" t="s">
        <v>76</v>
      </c>
    </row>
    <row r="326" customFormat="false" ht="15" hidden="false" customHeight="false" outlineLevel="0" collapsed="false">
      <c r="A326" s="10" t="s">
        <v>1229</v>
      </c>
      <c r="B326" s="10" t="s">
        <v>1230</v>
      </c>
      <c r="C326" s="10" t="s">
        <v>1231</v>
      </c>
      <c r="D326" s="12" t="n">
        <v>6</v>
      </c>
      <c r="E326" s="12"/>
      <c r="F326" s="12"/>
      <c r="G326" s="10" t="s">
        <v>1099</v>
      </c>
      <c r="H326" s="10" t="s">
        <v>1100</v>
      </c>
      <c r="I326" s="11" t="s">
        <v>1101</v>
      </c>
      <c r="J326" s="10" t="s">
        <v>1102</v>
      </c>
      <c r="K326" s="10" t="s">
        <v>1103</v>
      </c>
      <c r="L326" s="10" t="s">
        <v>68</v>
      </c>
      <c r="M326" s="10" t="s">
        <v>69</v>
      </c>
      <c r="N326" s="10"/>
      <c r="O326" s="10"/>
      <c r="P326" s="10" t="s">
        <v>637</v>
      </c>
      <c r="Q326" s="11" t="s">
        <v>72</v>
      </c>
      <c r="R326" s="11" t="s">
        <v>73</v>
      </c>
      <c r="S326" s="11" t="s">
        <v>1104</v>
      </c>
      <c r="T326" s="11" t="s">
        <v>1225</v>
      </c>
      <c r="U326" s="10" t="n">
        <f aca="false">IF(AND($D326="",$E326="",$F326=""),1,0)</f>
        <v>0</v>
      </c>
      <c r="V326" s="10" t="n">
        <f aca="false">IF(OR($I326="",$I326="—"),1,0)</f>
        <v>0</v>
      </c>
      <c r="W326" s="10" t="n">
        <f aca="false">IF(AND(ISNUMBER($D326),ISNUMBER($E326)),IF($E326&gt;$D326,1,0),0)+IF(AND(ISNUMBER($D326),ISNUMBER($F326)),IF($D326&gt;$F326,1,0),0)+IF(AND(ISNUMBER($E326),ISNUMBER($F326)),IF($E326&gt;$F326,1,0),0)</f>
        <v>0</v>
      </c>
      <c r="X326" s="13" t="s">
        <v>76</v>
      </c>
    </row>
    <row r="327" customFormat="false" ht="15" hidden="false" customHeight="false" outlineLevel="0" collapsed="false">
      <c r="A327" s="10" t="s">
        <v>1232</v>
      </c>
      <c r="B327" s="10" t="s">
        <v>1233</v>
      </c>
      <c r="C327" s="10" t="s">
        <v>1234</v>
      </c>
      <c r="D327" s="12" t="n">
        <v>1.2</v>
      </c>
      <c r="E327" s="12"/>
      <c r="F327" s="12"/>
      <c r="G327" s="10" t="s">
        <v>1099</v>
      </c>
      <c r="H327" s="10" t="s">
        <v>1100</v>
      </c>
      <c r="I327" s="11" t="s">
        <v>1101</v>
      </c>
      <c r="J327" s="10" t="s">
        <v>1102</v>
      </c>
      <c r="K327" s="10" t="s">
        <v>1103</v>
      </c>
      <c r="L327" s="10" t="s">
        <v>68</v>
      </c>
      <c r="M327" s="10" t="s">
        <v>69</v>
      </c>
      <c r="N327" s="10"/>
      <c r="O327" s="10"/>
      <c r="P327" s="10" t="s">
        <v>637</v>
      </c>
      <c r="Q327" s="11" t="s">
        <v>72</v>
      </c>
      <c r="R327" s="11" t="s">
        <v>73</v>
      </c>
      <c r="S327" s="11" t="s">
        <v>1104</v>
      </c>
      <c r="T327" s="11" t="s">
        <v>1235</v>
      </c>
      <c r="U327" s="10" t="n">
        <f aca="false">IF(AND($D327="",$E327="",$F327=""),1,0)</f>
        <v>0</v>
      </c>
      <c r="V327" s="10" t="n">
        <f aca="false">IF(OR($I327="",$I327="—"),1,0)</f>
        <v>0</v>
      </c>
      <c r="W327" s="10" t="n">
        <f aca="false">IF(AND(ISNUMBER($D327),ISNUMBER($E327)),IF($E327&gt;$D327,1,0),0)+IF(AND(ISNUMBER($D327),ISNUMBER($F327)),IF($D327&gt;$F327,1,0),0)+IF(AND(ISNUMBER($E327),ISNUMBER($F327)),IF($E327&gt;$F327,1,0),0)</f>
        <v>0</v>
      </c>
      <c r="X327" s="13" t="s">
        <v>76</v>
      </c>
    </row>
    <row r="328" customFormat="false" ht="15" hidden="false" customHeight="false" outlineLevel="0" collapsed="false">
      <c r="A328" s="10" t="s">
        <v>1236</v>
      </c>
      <c r="B328" s="10" t="s">
        <v>1237</v>
      </c>
      <c r="C328" s="10" t="s">
        <v>1238</v>
      </c>
      <c r="D328" s="12" t="n">
        <v>0.24</v>
      </c>
      <c r="E328" s="12"/>
      <c r="F328" s="12"/>
      <c r="G328" s="10" t="s">
        <v>1099</v>
      </c>
      <c r="H328" s="10" t="s">
        <v>1100</v>
      </c>
      <c r="I328" s="11" t="s">
        <v>1101</v>
      </c>
      <c r="J328" s="10" t="s">
        <v>1102</v>
      </c>
      <c r="K328" s="10" t="s">
        <v>1103</v>
      </c>
      <c r="L328" s="10" t="s">
        <v>68</v>
      </c>
      <c r="M328" s="10" t="s">
        <v>69</v>
      </c>
      <c r="N328" s="10"/>
      <c r="O328" s="10"/>
      <c r="P328" s="10" t="s">
        <v>637</v>
      </c>
      <c r="Q328" s="11" t="s">
        <v>72</v>
      </c>
      <c r="R328" s="11" t="s">
        <v>73</v>
      </c>
      <c r="S328" s="11" t="s">
        <v>1104</v>
      </c>
      <c r="T328" s="11" t="s">
        <v>1235</v>
      </c>
      <c r="U328" s="10" t="n">
        <f aca="false">IF(AND($D328="",$E328="",$F328=""),1,0)</f>
        <v>0</v>
      </c>
      <c r="V328" s="10" t="n">
        <f aca="false">IF(OR($I328="",$I328="—"),1,0)</f>
        <v>0</v>
      </c>
      <c r="W328" s="10" t="n">
        <f aca="false">IF(AND(ISNUMBER($D328),ISNUMBER($E328)),IF($E328&gt;$D328,1,0),0)+IF(AND(ISNUMBER($D328),ISNUMBER($F328)),IF($D328&gt;$F328,1,0),0)+IF(AND(ISNUMBER($E328),ISNUMBER($F328)),IF($E328&gt;$F328,1,0),0)</f>
        <v>0</v>
      </c>
      <c r="X328" s="13" t="s">
        <v>76</v>
      </c>
    </row>
    <row r="329" customFormat="false" ht="15" hidden="false" customHeight="false" outlineLevel="0" collapsed="false">
      <c r="A329" s="10" t="s">
        <v>1239</v>
      </c>
      <c r="B329" s="10" t="s">
        <v>1240</v>
      </c>
      <c r="C329" s="10" t="s">
        <v>1241</v>
      </c>
      <c r="D329" s="12" t="n">
        <v>8</v>
      </c>
      <c r="E329" s="12"/>
      <c r="F329" s="12"/>
      <c r="G329" s="10" t="s">
        <v>1099</v>
      </c>
      <c r="H329" s="10" t="s">
        <v>1100</v>
      </c>
      <c r="I329" s="11" t="s">
        <v>1101</v>
      </c>
      <c r="J329" s="10" t="s">
        <v>1102</v>
      </c>
      <c r="K329" s="10" t="s">
        <v>1103</v>
      </c>
      <c r="L329" s="10" t="s">
        <v>68</v>
      </c>
      <c r="M329" s="10" t="s">
        <v>69</v>
      </c>
      <c r="N329" s="10"/>
      <c r="O329" s="10"/>
      <c r="P329" s="10" t="s">
        <v>637</v>
      </c>
      <c r="Q329" s="11" t="s">
        <v>72</v>
      </c>
      <c r="R329" s="11" t="s">
        <v>73</v>
      </c>
      <c r="S329" s="11" t="s">
        <v>1104</v>
      </c>
      <c r="T329" s="11" t="s">
        <v>1235</v>
      </c>
      <c r="U329" s="10" t="n">
        <f aca="false">IF(AND($D329="",$E329="",$F329=""),1,0)</f>
        <v>0</v>
      </c>
      <c r="V329" s="10" t="n">
        <f aca="false">IF(OR($I329="",$I329="—"),1,0)</f>
        <v>0</v>
      </c>
      <c r="W329" s="10" t="n">
        <f aca="false">IF(AND(ISNUMBER($D329),ISNUMBER($E329)),IF($E329&gt;$D329,1,0),0)+IF(AND(ISNUMBER($D329),ISNUMBER($F329)),IF($D329&gt;$F329,1,0),0)+IF(AND(ISNUMBER($E329),ISNUMBER($F329)),IF($E329&gt;$F329,1,0),0)</f>
        <v>0</v>
      </c>
      <c r="X329" s="13" t="s">
        <v>76</v>
      </c>
    </row>
    <row r="330" customFormat="false" ht="15" hidden="false" customHeight="false" outlineLevel="0" collapsed="false">
      <c r="A330" s="10" t="s">
        <v>1242</v>
      </c>
      <c r="B330" s="10" t="s">
        <v>1243</v>
      </c>
      <c r="C330" s="10" t="s">
        <v>1244</v>
      </c>
      <c r="D330" s="12" t="n">
        <v>0.5</v>
      </c>
      <c r="E330" s="12"/>
      <c r="F330" s="12"/>
      <c r="G330" s="10" t="s">
        <v>1099</v>
      </c>
      <c r="H330" s="10" t="s">
        <v>1100</v>
      </c>
      <c r="I330" s="11" t="s">
        <v>1101</v>
      </c>
      <c r="J330" s="10" t="s">
        <v>1102</v>
      </c>
      <c r="K330" s="10" t="s">
        <v>1103</v>
      </c>
      <c r="L330" s="10" t="s">
        <v>68</v>
      </c>
      <c r="M330" s="10" t="s">
        <v>69</v>
      </c>
      <c r="N330" s="10"/>
      <c r="O330" s="10"/>
      <c r="P330" s="10" t="s">
        <v>637</v>
      </c>
      <c r="Q330" s="11" t="s">
        <v>72</v>
      </c>
      <c r="R330" s="11" t="s">
        <v>73</v>
      </c>
      <c r="S330" s="11" t="s">
        <v>1104</v>
      </c>
      <c r="T330" s="11" t="s">
        <v>1245</v>
      </c>
      <c r="U330" s="10" t="n">
        <f aca="false">IF(AND($D330="",$E330="",$F330=""),1,0)</f>
        <v>0</v>
      </c>
      <c r="V330" s="10" t="n">
        <f aca="false">IF(OR($I330="",$I330="—"),1,0)</f>
        <v>0</v>
      </c>
      <c r="W330" s="10" t="n">
        <f aca="false">IF(AND(ISNUMBER($D330),ISNUMBER($E330)),IF($E330&gt;$D330,1,0),0)+IF(AND(ISNUMBER($D330),ISNUMBER($F330)),IF($D330&gt;$F330,1,0),0)+IF(AND(ISNUMBER($E330),ISNUMBER($F330)),IF($E330&gt;$F330,1,0),0)</f>
        <v>0</v>
      </c>
      <c r="X330" s="13" t="s">
        <v>76</v>
      </c>
    </row>
    <row r="331" customFormat="false" ht="15" hidden="false" customHeight="false" outlineLevel="0" collapsed="false">
      <c r="A331" s="10" t="s">
        <v>1246</v>
      </c>
      <c r="B331" s="10" t="s">
        <v>1247</v>
      </c>
      <c r="C331" s="10" t="s">
        <v>1248</v>
      </c>
      <c r="D331" s="12" t="n">
        <v>0.1</v>
      </c>
      <c r="E331" s="12"/>
      <c r="F331" s="12"/>
      <c r="G331" s="10" t="s">
        <v>1099</v>
      </c>
      <c r="H331" s="10" t="s">
        <v>1100</v>
      </c>
      <c r="I331" s="11" t="s">
        <v>1101</v>
      </c>
      <c r="J331" s="10" t="s">
        <v>1102</v>
      </c>
      <c r="K331" s="10" t="s">
        <v>1103</v>
      </c>
      <c r="L331" s="10" t="s">
        <v>68</v>
      </c>
      <c r="M331" s="10" t="s">
        <v>69</v>
      </c>
      <c r="N331" s="10"/>
      <c r="O331" s="10"/>
      <c r="P331" s="10" t="s">
        <v>637</v>
      </c>
      <c r="Q331" s="11" t="s">
        <v>72</v>
      </c>
      <c r="R331" s="11" t="s">
        <v>73</v>
      </c>
      <c r="S331" s="11" t="s">
        <v>1104</v>
      </c>
      <c r="T331" s="11" t="s">
        <v>1245</v>
      </c>
      <c r="U331" s="10" t="n">
        <f aca="false">IF(AND($D331="",$E331="",$F331=""),1,0)</f>
        <v>0</v>
      </c>
      <c r="V331" s="10" t="n">
        <f aca="false">IF(OR($I331="",$I331="—"),1,0)</f>
        <v>0</v>
      </c>
      <c r="W331" s="10" t="n">
        <f aca="false">IF(AND(ISNUMBER($D331),ISNUMBER($E331)),IF($E331&gt;$D331,1,0),0)+IF(AND(ISNUMBER($D331),ISNUMBER($F331)),IF($D331&gt;$F331,1,0),0)+IF(AND(ISNUMBER($E331),ISNUMBER($F331)),IF($E331&gt;$F331,1,0),0)</f>
        <v>0</v>
      </c>
      <c r="X331" s="13" t="s">
        <v>76</v>
      </c>
    </row>
    <row r="332" customFormat="false" ht="15" hidden="false" customHeight="false" outlineLevel="0" collapsed="false">
      <c r="A332" s="10" t="s">
        <v>1249</v>
      </c>
      <c r="B332" s="10" t="s">
        <v>1250</v>
      </c>
      <c r="C332" s="10" t="s">
        <v>1251</v>
      </c>
      <c r="D332" s="12" t="n">
        <v>3</v>
      </c>
      <c r="E332" s="12"/>
      <c r="F332" s="12"/>
      <c r="G332" s="10" t="s">
        <v>1099</v>
      </c>
      <c r="H332" s="10" t="s">
        <v>1100</v>
      </c>
      <c r="I332" s="11" t="s">
        <v>1101</v>
      </c>
      <c r="J332" s="10" t="s">
        <v>1102</v>
      </c>
      <c r="K332" s="10" t="s">
        <v>1103</v>
      </c>
      <c r="L332" s="10" t="s">
        <v>68</v>
      </c>
      <c r="M332" s="10" t="s">
        <v>69</v>
      </c>
      <c r="N332" s="10"/>
      <c r="O332" s="10"/>
      <c r="P332" s="10" t="s">
        <v>637</v>
      </c>
      <c r="Q332" s="11" t="s">
        <v>72</v>
      </c>
      <c r="R332" s="11" t="s">
        <v>73</v>
      </c>
      <c r="S332" s="11" t="s">
        <v>1104</v>
      </c>
      <c r="T332" s="11" t="s">
        <v>1245</v>
      </c>
      <c r="U332" s="10" t="n">
        <f aca="false">IF(AND($D332="",$E332="",$F332=""),1,0)</f>
        <v>0</v>
      </c>
      <c r="V332" s="10" t="n">
        <f aca="false">IF(OR($I332="",$I332="—"),1,0)</f>
        <v>0</v>
      </c>
      <c r="W332" s="10" t="n">
        <f aca="false">IF(AND(ISNUMBER($D332),ISNUMBER($E332)),IF($E332&gt;$D332,1,0),0)+IF(AND(ISNUMBER($D332),ISNUMBER($F332)),IF($D332&gt;$F332,1,0),0)+IF(AND(ISNUMBER($E332),ISNUMBER($F332)),IF($E332&gt;$F332,1,0),0)</f>
        <v>0</v>
      </c>
      <c r="X332" s="13" t="s">
        <v>76</v>
      </c>
    </row>
    <row r="333" customFormat="false" ht="15" hidden="false" customHeight="false" outlineLevel="0" collapsed="false">
      <c r="A333" s="10" t="s">
        <v>1252</v>
      </c>
      <c r="B333" s="10" t="s">
        <v>1253</v>
      </c>
      <c r="C333" s="10" t="s">
        <v>1254</v>
      </c>
      <c r="D333" s="12" t="n">
        <v>0.8</v>
      </c>
      <c r="E333" s="12"/>
      <c r="F333" s="12"/>
      <c r="G333" s="10" t="s">
        <v>1099</v>
      </c>
      <c r="H333" s="10" t="s">
        <v>1100</v>
      </c>
      <c r="I333" s="11" t="s">
        <v>1101</v>
      </c>
      <c r="J333" s="10" t="s">
        <v>1102</v>
      </c>
      <c r="K333" s="10" t="s">
        <v>1103</v>
      </c>
      <c r="L333" s="10" t="s">
        <v>68</v>
      </c>
      <c r="M333" s="10" t="s">
        <v>69</v>
      </c>
      <c r="N333" s="10"/>
      <c r="O333" s="10"/>
      <c r="P333" s="10" t="s">
        <v>637</v>
      </c>
      <c r="Q333" s="11" t="s">
        <v>72</v>
      </c>
      <c r="R333" s="11" t="s">
        <v>73</v>
      </c>
      <c r="S333" s="11" t="s">
        <v>1104</v>
      </c>
      <c r="T333" s="11" t="s">
        <v>1255</v>
      </c>
      <c r="U333" s="10" t="n">
        <f aca="false">IF(AND($D333="",$E333="",$F333=""),1,0)</f>
        <v>0</v>
      </c>
      <c r="V333" s="10" t="n">
        <f aca="false">IF(OR($I333="",$I333="—"),1,0)</f>
        <v>0</v>
      </c>
      <c r="W333" s="10" t="n">
        <f aca="false">IF(AND(ISNUMBER($D333),ISNUMBER($E333)),IF($E333&gt;$D333,1,0),0)+IF(AND(ISNUMBER($D333),ISNUMBER($F333)),IF($D333&gt;$F333,1,0),0)+IF(AND(ISNUMBER($E333),ISNUMBER($F333)),IF($E333&gt;$F333,1,0),0)</f>
        <v>0</v>
      </c>
      <c r="X333" s="13" t="s">
        <v>76</v>
      </c>
    </row>
    <row r="334" customFormat="false" ht="15" hidden="false" customHeight="false" outlineLevel="0" collapsed="false">
      <c r="A334" s="10" t="s">
        <v>1256</v>
      </c>
      <c r="B334" s="10" t="s">
        <v>1257</v>
      </c>
      <c r="C334" s="10" t="s">
        <v>1258</v>
      </c>
      <c r="D334" s="12" t="n">
        <v>0.23</v>
      </c>
      <c r="E334" s="12"/>
      <c r="F334" s="12"/>
      <c r="G334" s="10" t="s">
        <v>1099</v>
      </c>
      <c r="H334" s="10" t="s">
        <v>1100</v>
      </c>
      <c r="I334" s="11" t="s">
        <v>1101</v>
      </c>
      <c r="J334" s="10" t="s">
        <v>1102</v>
      </c>
      <c r="K334" s="10" t="s">
        <v>1103</v>
      </c>
      <c r="L334" s="10" t="s">
        <v>68</v>
      </c>
      <c r="M334" s="10" t="s">
        <v>69</v>
      </c>
      <c r="N334" s="10"/>
      <c r="O334" s="10"/>
      <c r="P334" s="10" t="s">
        <v>637</v>
      </c>
      <c r="Q334" s="11" t="s">
        <v>72</v>
      </c>
      <c r="R334" s="11" t="s">
        <v>73</v>
      </c>
      <c r="S334" s="11" t="s">
        <v>1104</v>
      </c>
      <c r="T334" s="11" t="s">
        <v>1255</v>
      </c>
      <c r="U334" s="10" t="n">
        <f aca="false">IF(AND($D334="",$E334="",$F334=""),1,0)</f>
        <v>0</v>
      </c>
      <c r="V334" s="10" t="n">
        <f aca="false">IF(OR($I334="",$I334="—"),1,0)</f>
        <v>0</v>
      </c>
      <c r="W334" s="10" t="n">
        <f aca="false">IF(AND(ISNUMBER($D334),ISNUMBER($E334)),IF($E334&gt;$D334,1,0),0)+IF(AND(ISNUMBER($D334),ISNUMBER($F334)),IF($D334&gt;$F334,1,0),0)+IF(AND(ISNUMBER($E334),ISNUMBER($F334)),IF($E334&gt;$F334,1,0),0)</f>
        <v>0</v>
      </c>
      <c r="X334" s="13" t="s">
        <v>76</v>
      </c>
    </row>
    <row r="335" customFormat="false" ht="15" hidden="false" customHeight="false" outlineLevel="0" collapsed="false">
      <c r="A335" s="10" t="s">
        <v>1259</v>
      </c>
      <c r="B335" s="10" t="s">
        <v>1260</v>
      </c>
      <c r="C335" s="10" t="s">
        <v>1261</v>
      </c>
      <c r="D335" s="12" t="n">
        <v>2.8</v>
      </c>
      <c r="E335" s="12"/>
      <c r="F335" s="12"/>
      <c r="G335" s="10" t="s">
        <v>1099</v>
      </c>
      <c r="H335" s="10" t="s">
        <v>1100</v>
      </c>
      <c r="I335" s="11" t="s">
        <v>1101</v>
      </c>
      <c r="J335" s="10" t="s">
        <v>1102</v>
      </c>
      <c r="K335" s="10" t="s">
        <v>1103</v>
      </c>
      <c r="L335" s="10" t="s">
        <v>68</v>
      </c>
      <c r="M335" s="10" t="s">
        <v>69</v>
      </c>
      <c r="N335" s="10"/>
      <c r="O335" s="10"/>
      <c r="P335" s="10" t="s">
        <v>637</v>
      </c>
      <c r="Q335" s="11" t="s">
        <v>72</v>
      </c>
      <c r="R335" s="11" t="s">
        <v>73</v>
      </c>
      <c r="S335" s="11" t="s">
        <v>1104</v>
      </c>
      <c r="T335" s="11" t="s">
        <v>1255</v>
      </c>
      <c r="U335" s="10" t="n">
        <f aca="false">IF(AND($D335="",$E335="",$F335=""),1,0)</f>
        <v>0</v>
      </c>
      <c r="V335" s="10" t="n">
        <f aca="false">IF(OR($I335="",$I335="—"),1,0)</f>
        <v>0</v>
      </c>
      <c r="W335" s="10" t="n">
        <f aca="false">IF(AND(ISNUMBER($D335),ISNUMBER($E335)),IF($E335&gt;$D335,1,0),0)+IF(AND(ISNUMBER($D335),ISNUMBER($F335)),IF($D335&gt;$F335,1,0),0)+IF(AND(ISNUMBER($E335),ISNUMBER($F335)),IF($E335&gt;$F335,1,0),0)</f>
        <v>0</v>
      </c>
      <c r="X335" s="13" t="s">
        <v>76</v>
      </c>
    </row>
    <row r="336" customFormat="false" ht="15" hidden="false" customHeight="false" outlineLevel="0" collapsed="false">
      <c r="A336" s="10" t="s">
        <v>1262</v>
      </c>
      <c r="B336" s="10" t="s">
        <v>1263</v>
      </c>
      <c r="C336" s="11" t="s">
        <v>1264</v>
      </c>
      <c r="D336" s="12" t="n">
        <v>0.5</v>
      </c>
      <c r="E336" s="12"/>
      <c r="F336" s="12"/>
      <c r="G336" s="11" t="s">
        <v>1265</v>
      </c>
      <c r="H336" s="10" t="s">
        <v>1266</v>
      </c>
      <c r="I336" s="11" t="s">
        <v>1101</v>
      </c>
      <c r="J336" s="10" t="s">
        <v>1102</v>
      </c>
      <c r="K336" s="10" t="s">
        <v>1103</v>
      </c>
      <c r="L336" s="10" t="s">
        <v>68</v>
      </c>
      <c r="M336" s="10" t="s">
        <v>69</v>
      </c>
      <c r="N336" s="10"/>
      <c r="O336" s="10"/>
      <c r="P336" s="10" t="s">
        <v>637</v>
      </c>
      <c r="Q336" s="11" t="s">
        <v>72</v>
      </c>
      <c r="R336" s="11" t="s">
        <v>73</v>
      </c>
      <c r="S336" s="11" t="s">
        <v>1104</v>
      </c>
      <c r="T336" s="11" t="s">
        <v>1267</v>
      </c>
      <c r="U336" s="10" t="n">
        <f aca="false">IF(AND($D336="",$E336="",$F336=""),1,0)</f>
        <v>0</v>
      </c>
      <c r="V336" s="10" t="n">
        <f aca="false">IF(OR($I336="",$I336="—"),1,0)</f>
        <v>0</v>
      </c>
      <c r="W336" s="10" t="n">
        <f aca="false">IF(AND(ISNUMBER($D336),ISNUMBER($E336)),IF($E336&gt;$D336,1,0),0)+IF(AND(ISNUMBER($D336),ISNUMBER($F336)),IF($D336&gt;$F336,1,0),0)+IF(AND(ISNUMBER($E336),ISNUMBER($F336)),IF($E336&gt;$F336,1,0),0)</f>
        <v>0</v>
      </c>
      <c r="X336" s="13" t="s">
        <v>76</v>
      </c>
    </row>
    <row r="337" customFormat="false" ht="15" hidden="false" customHeight="false" outlineLevel="0" collapsed="false">
      <c r="A337" s="10" t="s">
        <v>1268</v>
      </c>
      <c r="B337" s="10" t="s">
        <v>1269</v>
      </c>
      <c r="C337" s="10" t="s">
        <v>1270</v>
      </c>
      <c r="D337" s="12" t="n">
        <v>0</v>
      </c>
      <c r="E337" s="12"/>
      <c r="F337" s="12"/>
      <c r="G337" s="10" t="s">
        <v>1099</v>
      </c>
      <c r="H337" s="10" t="s">
        <v>1266</v>
      </c>
      <c r="I337" s="11" t="s">
        <v>1101</v>
      </c>
      <c r="J337" s="10" t="s">
        <v>1102</v>
      </c>
      <c r="K337" s="10" t="s">
        <v>1103</v>
      </c>
      <c r="L337" s="10" t="s">
        <v>68</v>
      </c>
      <c r="M337" s="10" t="s">
        <v>69</v>
      </c>
      <c r="N337" s="10"/>
      <c r="O337" s="10"/>
      <c r="P337" s="10" t="s">
        <v>637</v>
      </c>
      <c r="Q337" s="11" t="s">
        <v>72</v>
      </c>
      <c r="R337" s="11" t="s">
        <v>73</v>
      </c>
      <c r="S337" s="11" t="s">
        <v>1104</v>
      </c>
      <c r="T337" s="11" t="s">
        <v>1271</v>
      </c>
      <c r="U337" s="10" t="n">
        <f aca="false">IF(AND($D337="",$E337="",$F337=""),1,0)</f>
        <v>0</v>
      </c>
      <c r="V337" s="10" t="n">
        <f aca="false">IF(OR($I337="",$I337="—"),1,0)</f>
        <v>0</v>
      </c>
      <c r="W337" s="10" t="n">
        <f aca="false">IF(AND(ISNUMBER($D337),ISNUMBER($E337)),IF($E337&gt;$D337,1,0),0)+IF(AND(ISNUMBER($D337),ISNUMBER($F337)),IF($D337&gt;$F337,1,0),0)+IF(AND(ISNUMBER($E337),ISNUMBER($F337)),IF($E337&gt;$F337,1,0),0)</f>
        <v>0</v>
      </c>
      <c r="X337" s="13" t="s">
        <v>76</v>
      </c>
    </row>
    <row r="338" customFormat="false" ht="15" hidden="false" customHeight="false" outlineLevel="0" collapsed="false">
      <c r="A338" s="10" t="s">
        <v>1272</v>
      </c>
      <c r="B338" s="10" t="s">
        <v>1273</v>
      </c>
      <c r="C338" s="10" t="s">
        <v>1274</v>
      </c>
      <c r="D338" s="12"/>
      <c r="E338" s="12" t="n">
        <v>5.6</v>
      </c>
      <c r="F338" s="12" t="n">
        <v>8</v>
      </c>
      <c r="G338" s="10" t="s">
        <v>1099</v>
      </c>
      <c r="H338" s="10" t="s">
        <v>943</v>
      </c>
      <c r="I338" s="11" t="s">
        <v>1275</v>
      </c>
      <c r="J338" s="10" t="s">
        <v>1276</v>
      </c>
      <c r="K338" s="10" t="s">
        <v>68</v>
      </c>
      <c r="L338" s="10" t="s">
        <v>68</v>
      </c>
      <c r="M338" s="10" t="s">
        <v>416</v>
      </c>
      <c r="N338" s="11" t="s">
        <v>1277</v>
      </c>
      <c r="O338" s="10"/>
      <c r="P338" s="10" t="s">
        <v>637</v>
      </c>
      <c r="Q338" s="11" t="s">
        <v>72</v>
      </c>
      <c r="R338" s="11" t="s">
        <v>1277</v>
      </c>
      <c r="S338" s="11" t="s">
        <v>1278</v>
      </c>
      <c r="T338" s="11" t="s">
        <v>1279</v>
      </c>
      <c r="U338" s="10" t="n">
        <f aca="false">IF(AND($D338="",$E338="",$F338=""),1,0)</f>
        <v>0</v>
      </c>
      <c r="V338" s="10" t="n">
        <f aca="false">IF(OR($I338="",$I338="—"),1,0)</f>
        <v>0</v>
      </c>
      <c r="W338" s="10" t="n">
        <f aca="false">IF(AND(ISNUMBER($D338),ISNUMBER($E338)),IF($E338&gt;$D338,1,0),0)+IF(AND(ISNUMBER($D338),ISNUMBER($F338)),IF($D338&gt;$F338,1,0),0)+IF(AND(ISNUMBER($E338),ISNUMBER($F338)),IF($E338&gt;$F338,1,0),0)</f>
        <v>0</v>
      </c>
      <c r="X338" s="13" t="s">
        <v>76</v>
      </c>
    </row>
    <row r="339" customFormat="false" ht="15" hidden="false" customHeight="false" outlineLevel="0" collapsed="false">
      <c r="A339" s="10" t="s">
        <v>1280</v>
      </c>
      <c r="B339" s="10" t="s">
        <v>1281</v>
      </c>
      <c r="C339" s="10" t="s">
        <v>1282</v>
      </c>
      <c r="D339" s="12"/>
      <c r="E339" s="12" t="n">
        <v>19.6</v>
      </c>
      <c r="F339" s="12" t="n">
        <v>28</v>
      </c>
      <c r="G339" s="10" t="s">
        <v>1099</v>
      </c>
      <c r="H339" s="10" t="s">
        <v>943</v>
      </c>
      <c r="I339" s="11" t="s">
        <v>1275</v>
      </c>
      <c r="J339" s="10" t="s">
        <v>1276</v>
      </c>
      <c r="K339" s="10" t="s">
        <v>68</v>
      </c>
      <c r="L339" s="10" t="s">
        <v>68</v>
      </c>
      <c r="M339" s="10" t="s">
        <v>416</v>
      </c>
      <c r="N339" s="11" t="s">
        <v>1277</v>
      </c>
      <c r="O339" s="10"/>
      <c r="P339" s="10" t="s">
        <v>637</v>
      </c>
      <c r="Q339" s="11" t="s">
        <v>72</v>
      </c>
      <c r="R339" s="11" t="s">
        <v>1277</v>
      </c>
      <c r="S339" s="11" t="s">
        <v>1278</v>
      </c>
      <c r="T339" s="11" t="s">
        <v>1283</v>
      </c>
      <c r="U339" s="10" t="n">
        <f aca="false">IF(AND($D339="",$E339="",$F339=""),1,0)</f>
        <v>0</v>
      </c>
      <c r="V339" s="10" t="n">
        <f aca="false">IF(OR($I339="",$I339="—"),1,0)</f>
        <v>0</v>
      </c>
      <c r="W339" s="10" t="n">
        <f aca="false">IF(AND(ISNUMBER($D339),ISNUMBER($E339)),IF($E339&gt;$D339,1,0),0)+IF(AND(ISNUMBER($D339),ISNUMBER($F339)),IF($D339&gt;$F339,1,0),0)+IF(AND(ISNUMBER($E339),ISNUMBER($F339)),IF($E339&gt;$F339,1,0),0)</f>
        <v>0</v>
      </c>
      <c r="X339" s="13" t="s">
        <v>76</v>
      </c>
    </row>
    <row r="340" customFormat="false" ht="15" hidden="false" customHeight="false" outlineLevel="0" collapsed="false">
      <c r="A340" s="10" t="s">
        <v>1284</v>
      </c>
      <c r="B340" s="10" t="s">
        <v>1285</v>
      </c>
      <c r="C340" s="10" t="s">
        <v>1286</v>
      </c>
      <c r="D340" s="12" t="n">
        <v>0.8</v>
      </c>
      <c r="E340" s="12"/>
      <c r="F340" s="12"/>
      <c r="G340" s="10" t="s">
        <v>1099</v>
      </c>
      <c r="H340" s="10" t="s">
        <v>1287</v>
      </c>
      <c r="I340" s="11" t="s">
        <v>1288</v>
      </c>
      <c r="J340" s="10" t="s">
        <v>1289</v>
      </c>
      <c r="K340" s="10" t="s">
        <v>1290</v>
      </c>
      <c r="L340" s="10" t="s">
        <v>68</v>
      </c>
      <c r="M340" s="10" t="s">
        <v>69</v>
      </c>
      <c r="N340" s="10"/>
      <c r="O340" s="10"/>
      <c r="P340" s="10" t="s">
        <v>637</v>
      </c>
      <c r="Q340" s="11" t="s">
        <v>72</v>
      </c>
      <c r="R340" s="11" t="s">
        <v>1090</v>
      </c>
      <c r="S340" s="11" t="s">
        <v>1278</v>
      </c>
      <c r="T340" s="11" t="s">
        <v>1291</v>
      </c>
      <c r="U340" s="10" t="n">
        <f aca="false">IF(AND($D340="",$E340="",$F340=""),1,0)</f>
        <v>0</v>
      </c>
      <c r="V340" s="10" t="n">
        <f aca="false">IF(OR($I340="",$I340="—"),1,0)</f>
        <v>0</v>
      </c>
      <c r="W340" s="10" t="n">
        <f aca="false">IF(AND(ISNUMBER($D340),ISNUMBER($E340)),IF($E340&gt;$D340,1,0),0)+IF(AND(ISNUMBER($D340),ISNUMBER($F340)),IF($D340&gt;$F340,1,0),0)+IF(AND(ISNUMBER($E340),ISNUMBER($F340)),IF($E340&gt;$F340,1,0),0)</f>
        <v>0</v>
      </c>
      <c r="X340" s="13" t="s">
        <v>76</v>
      </c>
    </row>
    <row r="341" customFormat="false" ht="15" hidden="false" customHeight="false" outlineLevel="0" collapsed="false">
      <c r="A341" s="10" t="s">
        <v>1292</v>
      </c>
      <c r="B341" s="10" t="s">
        <v>1293</v>
      </c>
      <c r="C341" s="10" t="s">
        <v>1294</v>
      </c>
      <c r="D341" s="12" t="n">
        <v>2</v>
      </c>
      <c r="E341" s="12"/>
      <c r="F341" s="12"/>
      <c r="G341" s="10" t="s">
        <v>1099</v>
      </c>
      <c r="H341" s="10" t="s">
        <v>1287</v>
      </c>
      <c r="I341" s="11" t="s">
        <v>1288</v>
      </c>
      <c r="J341" s="10" t="s">
        <v>1289</v>
      </c>
      <c r="K341" s="10" t="s">
        <v>1290</v>
      </c>
      <c r="L341" s="10" t="s">
        <v>68</v>
      </c>
      <c r="M341" s="10" t="s">
        <v>69</v>
      </c>
      <c r="N341" s="10"/>
      <c r="O341" s="10"/>
      <c r="P341" s="10" t="s">
        <v>637</v>
      </c>
      <c r="Q341" s="11" t="s">
        <v>72</v>
      </c>
      <c r="R341" s="11" t="s">
        <v>1090</v>
      </c>
      <c r="S341" s="11" t="s">
        <v>1278</v>
      </c>
      <c r="T341" s="11" t="s">
        <v>1095</v>
      </c>
      <c r="U341" s="10" t="n">
        <f aca="false">IF(AND($D341="",$E341="",$F341=""),1,0)</f>
        <v>0</v>
      </c>
      <c r="V341" s="10" t="n">
        <f aca="false">IF(OR($I341="",$I341="—"),1,0)</f>
        <v>0</v>
      </c>
      <c r="W341" s="10" t="n">
        <f aca="false">IF(AND(ISNUMBER($D341),ISNUMBER($E341)),IF($E341&gt;$D341,1,0),0)+IF(AND(ISNUMBER($D341),ISNUMBER($F341)),IF($D341&gt;$F341,1,0),0)+IF(AND(ISNUMBER($E341),ISNUMBER($F341)),IF($E341&gt;$F341,1,0),0)</f>
        <v>0</v>
      </c>
      <c r="X341" s="13" t="s">
        <v>76</v>
      </c>
    </row>
    <row r="342" customFormat="false" ht="15" hidden="false" customHeight="false" outlineLevel="0" collapsed="false">
      <c r="A342" s="10" t="s">
        <v>1295</v>
      </c>
      <c r="B342" s="10" t="s">
        <v>1296</v>
      </c>
      <c r="C342" s="10" t="s">
        <v>1297</v>
      </c>
      <c r="D342" s="12" t="n">
        <v>5</v>
      </c>
      <c r="E342" s="12"/>
      <c r="F342" s="12"/>
      <c r="G342" s="10" t="s">
        <v>1099</v>
      </c>
      <c r="H342" s="10" t="s">
        <v>1298</v>
      </c>
      <c r="I342" s="11" t="s">
        <v>1299</v>
      </c>
      <c r="J342" s="10" t="s">
        <v>1300</v>
      </c>
      <c r="K342" s="10" t="s">
        <v>1298</v>
      </c>
      <c r="L342" s="10" t="s">
        <v>68</v>
      </c>
      <c r="M342" s="10" t="s">
        <v>69</v>
      </c>
      <c r="N342" s="10"/>
      <c r="O342" s="10"/>
      <c r="P342" s="10" t="s">
        <v>637</v>
      </c>
      <c r="Q342" s="11" t="s">
        <v>72</v>
      </c>
      <c r="R342" s="11" t="s">
        <v>1090</v>
      </c>
      <c r="S342" s="11" t="s">
        <v>1278</v>
      </c>
      <c r="T342" s="10" t="s">
        <v>1301</v>
      </c>
      <c r="U342" s="10" t="n">
        <f aca="false">IF(AND($D342="",$E342="",$F342=""),1,0)</f>
        <v>0</v>
      </c>
      <c r="V342" s="10" t="n">
        <f aca="false">IF(OR($I342="",$I342="—"),1,0)</f>
        <v>0</v>
      </c>
      <c r="W342" s="10" t="n">
        <f aca="false">IF(AND(ISNUMBER($D342),ISNUMBER($E342)),IF($E342&gt;$D342,1,0),0)+IF(AND(ISNUMBER($D342),ISNUMBER($F342)),IF($D342&gt;$F342,1,0),0)+IF(AND(ISNUMBER($E342),ISNUMBER($F342)),IF($E342&gt;$F342,1,0),0)</f>
        <v>0</v>
      </c>
      <c r="X342" s="13" t="s">
        <v>76</v>
      </c>
    </row>
    <row r="343" customFormat="false" ht="15" hidden="false" customHeight="false" outlineLevel="0" collapsed="false">
      <c r="A343" s="10" t="s">
        <v>1302</v>
      </c>
      <c r="B343" s="10" t="s">
        <v>1303</v>
      </c>
      <c r="C343" s="10" t="s">
        <v>1304</v>
      </c>
      <c r="D343" s="12" t="n">
        <v>0.6</v>
      </c>
      <c r="E343" s="12" t="n">
        <v>0.6</v>
      </c>
      <c r="F343" s="12" t="n">
        <v>0.6</v>
      </c>
      <c r="G343" s="10" t="s">
        <v>942</v>
      </c>
      <c r="H343" s="10" t="s">
        <v>1305</v>
      </c>
      <c r="I343" s="10" t="s">
        <v>1306</v>
      </c>
      <c r="J343" s="10" t="s">
        <v>1307</v>
      </c>
      <c r="K343" s="10" t="s">
        <v>1305</v>
      </c>
      <c r="L343" s="10" t="s">
        <v>68</v>
      </c>
      <c r="M343" s="10" t="s">
        <v>1308</v>
      </c>
      <c r="N343" s="10"/>
      <c r="O343" s="10"/>
      <c r="P343" s="10" t="s">
        <v>637</v>
      </c>
      <c r="Q343" s="11" t="s">
        <v>1309</v>
      </c>
      <c r="R343" s="11" t="s">
        <v>1310</v>
      </c>
      <c r="S343" s="11" t="s">
        <v>1278</v>
      </c>
      <c r="T343" s="11" t="s">
        <v>1311</v>
      </c>
      <c r="U343" s="10" t="n">
        <f aca="false">IF(AND($D343="",$E343="",$F343=""),1,0)</f>
        <v>0</v>
      </c>
      <c r="V343" s="10" t="n">
        <f aca="false">IF(OR($I343="",$I343="—"),1,0)</f>
        <v>0</v>
      </c>
      <c r="W343" s="10" t="n">
        <f aca="false">IF(AND(ISNUMBER($D343),ISNUMBER($E343)),IF($E343&gt;$D343,1,0),0)+IF(AND(ISNUMBER($D343),ISNUMBER($F343)),IF($D343&gt;$F343,1,0),0)+IF(AND(ISNUMBER($E343),ISNUMBER($F343)),IF($E343&gt;$F343,1,0),0)</f>
        <v>0</v>
      </c>
      <c r="X343" s="13" t="s">
        <v>76</v>
      </c>
    </row>
    <row r="344" customFormat="false" ht="15" hidden="false" customHeight="false" outlineLevel="0" collapsed="false">
      <c r="A344" s="10" t="s">
        <v>1312</v>
      </c>
      <c r="B344" s="10" t="s">
        <v>1313</v>
      </c>
      <c r="C344" s="10" t="s">
        <v>1314</v>
      </c>
      <c r="D344" s="12" t="n">
        <v>1</v>
      </c>
      <c r="E344" s="12" t="n">
        <v>1</v>
      </c>
      <c r="F344" s="12" t="n">
        <v>1</v>
      </c>
      <c r="G344" s="10" t="s">
        <v>942</v>
      </c>
      <c r="H344" s="10" t="s">
        <v>1315</v>
      </c>
      <c r="I344" s="10" t="s">
        <v>1316</v>
      </c>
      <c r="J344" s="10" t="s">
        <v>1317</v>
      </c>
      <c r="K344" s="10" t="s">
        <v>1315</v>
      </c>
      <c r="L344" s="10" t="s">
        <v>68</v>
      </c>
      <c r="M344" s="10" t="s">
        <v>1308</v>
      </c>
      <c r="N344" s="10"/>
      <c r="O344" s="10"/>
      <c r="P344" s="10" t="s">
        <v>637</v>
      </c>
      <c r="Q344" s="11" t="s">
        <v>1309</v>
      </c>
      <c r="R344" s="11" t="s">
        <v>1310</v>
      </c>
      <c r="S344" s="11" t="s">
        <v>1278</v>
      </c>
      <c r="T344" s="11" t="s">
        <v>1318</v>
      </c>
      <c r="U344" s="10" t="n">
        <f aca="false">IF(AND($D344="",$E344="",$F344=""),1,0)</f>
        <v>0</v>
      </c>
      <c r="V344" s="10" t="n">
        <f aca="false">IF(OR($I344="",$I344="—"),1,0)</f>
        <v>0</v>
      </c>
      <c r="W344" s="10" t="n">
        <f aca="false">IF(AND(ISNUMBER($D344),ISNUMBER($E344)),IF($E344&gt;$D344,1,0),0)+IF(AND(ISNUMBER($D344),ISNUMBER($F344)),IF($D344&gt;$F344,1,0),0)+IF(AND(ISNUMBER($E344),ISNUMBER($F344)),IF($E344&gt;$F344,1,0),0)</f>
        <v>0</v>
      </c>
      <c r="X344" s="13" t="s">
        <v>76</v>
      </c>
    </row>
    <row r="345" customFormat="false" ht="15" hidden="false" customHeight="false" outlineLevel="0" collapsed="false">
      <c r="A345" s="10" t="s">
        <v>1319</v>
      </c>
      <c r="B345" s="10" t="s">
        <v>1320</v>
      </c>
      <c r="C345" s="10" t="s">
        <v>1321</v>
      </c>
      <c r="D345" s="12" t="n">
        <v>0.15</v>
      </c>
      <c r="E345" s="12"/>
      <c r="F345" s="12"/>
      <c r="G345" s="10" t="s">
        <v>942</v>
      </c>
      <c r="H345" s="10" t="s">
        <v>1322</v>
      </c>
      <c r="I345" s="10" t="s">
        <v>1323</v>
      </c>
      <c r="J345" s="10" t="s">
        <v>1324</v>
      </c>
      <c r="K345" s="10" t="s">
        <v>1322</v>
      </c>
      <c r="L345" s="10" t="s">
        <v>68</v>
      </c>
      <c r="M345" s="10" t="s">
        <v>69</v>
      </c>
      <c r="N345" s="10"/>
      <c r="O345" s="10"/>
      <c r="P345" s="10" t="s">
        <v>637</v>
      </c>
      <c r="Q345" s="11" t="s">
        <v>72</v>
      </c>
      <c r="R345" s="11" t="s">
        <v>1090</v>
      </c>
      <c r="S345" s="11" t="s">
        <v>1278</v>
      </c>
      <c r="T345" s="11" t="s">
        <v>1325</v>
      </c>
      <c r="U345" s="10" t="n">
        <f aca="false">IF(AND($D345="",$E345="",$F345=""),1,0)</f>
        <v>0</v>
      </c>
      <c r="V345" s="10" t="n">
        <f aca="false">IF(OR($I345="",$I345="—"),1,0)</f>
        <v>0</v>
      </c>
      <c r="W345" s="10" t="n">
        <f aca="false">IF(AND(ISNUMBER($D345),ISNUMBER($E345)),IF($E345&gt;$D345,1,0),0)+IF(AND(ISNUMBER($D345),ISNUMBER($F345)),IF($D345&gt;$F345,1,0),0)+IF(AND(ISNUMBER($E345),ISNUMBER($F345)),IF($E345&gt;$F345,1,0),0)</f>
        <v>0</v>
      </c>
      <c r="X345" s="13" t="s">
        <v>76</v>
      </c>
    </row>
    <row r="346" customFormat="false" ht="15" hidden="false" customHeight="false" outlineLevel="0" collapsed="false">
      <c r="A346" s="10" t="s">
        <v>1326</v>
      </c>
      <c r="B346" s="10" t="s">
        <v>1327</v>
      </c>
      <c r="C346" s="11" t="s">
        <v>1328</v>
      </c>
      <c r="D346" s="12"/>
      <c r="E346" s="12" t="n">
        <v>67</v>
      </c>
      <c r="F346" s="12" t="n">
        <v>100</v>
      </c>
      <c r="G346" s="10" t="s">
        <v>401</v>
      </c>
      <c r="H346" s="10" t="s">
        <v>1329</v>
      </c>
      <c r="I346" s="10" t="s">
        <v>1330</v>
      </c>
      <c r="J346" s="10" t="s">
        <v>1331</v>
      </c>
      <c r="K346" s="10" t="s">
        <v>1332</v>
      </c>
      <c r="L346" s="10" t="s">
        <v>68</v>
      </c>
      <c r="M346" s="10" t="s">
        <v>416</v>
      </c>
      <c r="N346" s="11" t="s">
        <v>1333</v>
      </c>
      <c r="O346" s="10"/>
      <c r="P346" s="10" t="s">
        <v>637</v>
      </c>
      <c r="Q346" s="11" t="s">
        <v>72</v>
      </c>
      <c r="R346" s="11" t="s">
        <v>1333</v>
      </c>
      <c r="S346" s="11" t="s">
        <v>710</v>
      </c>
      <c r="T346" s="11" t="s">
        <v>1334</v>
      </c>
      <c r="U346" s="10" t="n">
        <f aca="false">IF(AND($D346="",$E346="",$F346=""),1,0)</f>
        <v>0</v>
      </c>
      <c r="V346" s="10" t="n">
        <f aca="false">IF(OR($I346="",$I346="—"),1,0)</f>
        <v>0</v>
      </c>
      <c r="W346" s="10" t="n">
        <f aca="false">IF(AND(ISNUMBER($D346),ISNUMBER($E346)),IF($E346&gt;$D346,1,0),0)+IF(AND(ISNUMBER($D346),ISNUMBER($F346)),IF($D346&gt;$F346,1,0),0)+IF(AND(ISNUMBER($E346),ISNUMBER($F346)),IF($E346&gt;$F346,1,0),0)</f>
        <v>0</v>
      </c>
      <c r="X346" s="13" t="s">
        <v>76</v>
      </c>
    </row>
    <row r="347" customFormat="false" ht="15" hidden="false" customHeight="false" outlineLevel="0" collapsed="false">
      <c r="A347" s="10" t="s">
        <v>1335</v>
      </c>
      <c r="B347" s="10" t="s">
        <v>1336</v>
      </c>
      <c r="C347" s="10" t="s">
        <v>1337</v>
      </c>
      <c r="D347" s="12" t="n">
        <v>10</v>
      </c>
      <c r="E347" s="12"/>
      <c r="F347" s="12"/>
      <c r="G347" s="10" t="s">
        <v>401</v>
      </c>
      <c r="H347" s="10" t="s">
        <v>1338</v>
      </c>
      <c r="I347" s="11" t="s">
        <v>1339</v>
      </c>
      <c r="J347" s="10" t="s">
        <v>1340</v>
      </c>
      <c r="K347" s="10" t="s">
        <v>1341</v>
      </c>
      <c r="L347" s="10" t="s">
        <v>68</v>
      </c>
      <c r="M347" s="10" t="s">
        <v>416</v>
      </c>
      <c r="N347" s="11" t="s">
        <v>1342</v>
      </c>
      <c r="O347" s="10"/>
      <c r="P347" s="10" t="s">
        <v>637</v>
      </c>
      <c r="Q347" s="11" t="s">
        <v>72</v>
      </c>
      <c r="R347" s="11" t="s">
        <v>1342</v>
      </c>
      <c r="S347" s="11" t="s">
        <v>710</v>
      </c>
      <c r="T347" s="11" t="s">
        <v>1343</v>
      </c>
      <c r="U347" s="10" t="n">
        <f aca="false">IF(AND($D347="",$E347="",$F347=""),1,0)</f>
        <v>0</v>
      </c>
      <c r="V347" s="10" t="n">
        <f aca="false">IF(OR($I347="",$I347="—"),1,0)</f>
        <v>0</v>
      </c>
      <c r="W347" s="10" t="n">
        <f aca="false">IF(AND(ISNUMBER($D347),ISNUMBER($E347)),IF($E347&gt;$D347,1,0),0)+IF(AND(ISNUMBER($D347),ISNUMBER($F347)),IF($D347&gt;$F347,1,0),0)+IF(AND(ISNUMBER($E347),ISNUMBER($F347)),IF($E347&gt;$F347,1,0),0)</f>
        <v>0</v>
      </c>
      <c r="X347" s="13" t="s">
        <v>76</v>
      </c>
    </row>
    <row r="348" customFormat="false" ht="15" hidden="false" customHeight="false" outlineLevel="0" collapsed="false">
      <c r="A348" s="10" t="s">
        <v>1344</v>
      </c>
      <c r="B348" s="10" t="s">
        <v>1345</v>
      </c>
      <c r="C348" s="10" t="s">
        <v>1346</v>
      </c>
      <c r="D348" s="12"/>
      <c r="E348" s="12" t="n">
        <v>8</v>
      </c>
      <c r="F348" s="12" t="n">
        <v>17</v>
      </c>
      <c r="G348" s="10" t="s">
        <v>401</v>
      </c>
      <c r="H348" s="10" t="s">
        <v>1347</v>
      </c>
      <c r="I348" s="11" t="s">
        <v>1339</v>
      </c>
      <c r="J348" s="10" t="s">
        <v>1340</v>
      </c>
      <c r="K348" s="10" t="s">
        <v>1341</v>
      </c>
      <c r="L348" s="10" t="s">
        <v>68</v>
      </c>
      <c r="M348" s="10" t="s">
        <v>416</v>
      </c>
      <c r="N348" s="11" t="s">
        <v>709</v>
      </c>
      <c r="O348" s="10"/>
      <c r="P348" s="10" t="s">
        <v>637</v>
      </c>
      <c r="Q348" s="11" t="s">
        <v>72</v>
      </c>
      <c r="R348" s="11" t="s">
        <v>709</v>
      </c>
      <c r="S348" s="11" t="s">
        <v>710</v>
      </c>
      <c r="T348" s="11" t="s">
        <v>1348</v>
      </c>
      <c r="U348" s="10" t="n">
        <f aca="false">IF(AND($D348="",$E348="",$F348=""),1,0)</f>
        <v>0</v>
      </c>
      <c r="V348" s="10" t="n">
        <f aca="false">IF(OR($I348="",$I348="—"),1,0)</f>
        <v>0</v>
      </c>
      <c r="W348" s="10" t="n">
        <f aca="false">IF(AND(ISNUMBER($D348),ISNUMBER($E348)),IF($E348&gt;$D348,1,0),0)+IF(AND(ISNUMBER($D348),ISNUMBER($F348)),IF($D348&gt;$F348,1,0),0)+IF(AND(ISNUMBER($E348),ISNUMBER($F348)),IF($E348&gt;$F348,1,0),0)</f>
        <v>0</v>
      </c>
      <c r="X348" s="13" t="s">
        <v>76</v>
      </c>
    </row>
    <row r="349" customFormat="false" ht="15" hidden="false" customHeight="false" outlineLevel="0" collapsed="false">
      <c r="A349" s="10" t="s">
        <v>1349</v>
      </c>
      <c r="B349" s="10" t="s">
        <v>1350</v>
      </c>
      <c r="C349" s="10" t="s">
        <v>1351</v>
      </c>
      <c r="D349" s="12" t="n">
        <v>83</v>
      </c>
      <c r="E349" s="12"/>
      <c r="F349" s="12"/>
      <c r="G349" s="10" t="s">
        <v>401</v>
      </c>
      <c r="H349" s="10" t="s">
        <v>1352</v>
      </c>
      <c r="I349" s="11" t="s">
        <v>1353</v>
      </c>
      <c r="J349" s="10" t="s">
        <v>1354</v>
      </c>
      <c r="K349" s="10" t="s">
        <v>1355</v>
      </c>
      <c r="L349" s="10" t="s">
        <v>68</v>
      </c>
      <c r="M349" s="10" t="s">
        <v>416</v>
      </c>
      <c r="N349" s="11" t="s">
        <v>1356</v>
      </c>
      <c r="O349" s="10"/>
      <c r="P349" s="10" t="s">
        <v>637</v>
      </c>
      <c r="Q349" s="11" t="s">
        <v>72</v>
      </c>
      <c r="R349" s="11" t="s">
        <v>1356</v>
      </c>
      <c r="S349" s="11" t="s">
        <v>710</v>
      </c>
      <c r="T349" s="11" t="s">
        <v>1357</v>
      </c>
      <c r="U349" s="10" t="n">
        <f aca="false">IF(AND($D349="",$E349="",$F349=""),1,0)</f>
        <v>0</v>
      </c>
      <c r="V349" s="10" t="n">
        <f aca="false">IF(OR($I349="",$I349="—"),1,0)</f>
        <v>0</v>
      </c>
      <c r="W349" s="10" t="n">
        <f aca="false">IF(AND(ISNUMBER($D349),ISNUMBER($E349)),IF($E349&gt;$D349,1,0),0)+IF(AND(ISNUMBER($D349),ISNUMBER($F349)),IF($D349&gt;$F349,1,0),0)+IF(AND(ISNUMBER($E349),ISNUMBER($F349)),IF($E349&gt;$F349,1,0),0)</f>
        <v>0</v>
      </c>
      <c r="X349" s="13" t="s">
        <v>76</v>
      </c>
    </row>
    <row r="350" customFormat="false" ht="15" hidden="false" customHeight="false" outlineLevel="0" collapsed="false">
      <c r="A350" s="10" t="s">
        <v>1358</v>
      </c>
      <c r="B350" s="10" t="s">
        <v>1359</v>
      </c>
      <c r="C350" s="10" t="s">
        <v>1360</v>
      </c>
      <c r="D350" s="12" t="n">
        <v>83</v>
      </c>
      <c r="E350" s="12"/>
      <c r="F350" s="12"/>
      <c r="G350" s="10" t="s">
        <v>401</v>
      </c>
      <c r="H350" s="11" t="s">
        <v>1361</v>
      </c>
      <c r="I350" s="11" t="s">
        <v>1362</v>
      </c>
      <c r="J350" s="10" t="s">
        <v>448</v>
      </c>
      <c r="K350" s="10" t="s">
        <v>449</v>
      </c>
      <c r="L350" s="10" t="s">
        <v>68</v>
      </c>
      <c r="M350" s="10" t="s">
        <v>416</v>
      </c>
      <c r="N350" s="11" t="s">
        <v>1363</v>
      </c>
      <c r="O350" s="10"/>
      <c r="P350" s="10" t="s">
        <v>71</v>
      </c>
      <c r="Q350" s="11" t="s">
        <v>72</v>
      </c>
      <c r="R350" s="11" t="s">
        <v>1363</v>
      </c>
      <c r="S350" s="11" t="s">
        <v>74</v>
      </c>
      <c r="T350" s="11" t="s">
        <v>1364</v>
      </c>
      <c r="U350" s="10" t="n">
        <f aca="false">IF(AND($D350="",$E350="",$F350=""),1,0)</f>
        <v>0</v>
      </c>
      <c r="V350" s="10" t="n">
        <f aca="false">IF(OR($I350="",$I350="—"),1,0)</f>
        <v>0</v>
      </c>
      <c r="W350" s="10" t="n">
        <f aca="false">IF(AND(ISNUMBER($D350),ISNUMBER($E350)),IF($E350&gt;$D350,1,0),0)+IF(AND(ISNUMBER($D350),ISNUMBER($F350)),IF($D350&gt;$F350,1,0),0)+IF(AND(ISNUMBER($E350),ISNUMBER($F350)),IF($E350&gt;$F350,1,0),0)</f>
        <v>0</v>
      </c>
      <c r="X350" s="13" t="s">
        <v>76</v>
      </c>
    </row>
    <row r="351" customFormat="false" ht="15" hidden="false" customHeight="false" outlineLevel="0" collapsed="false">
      <c r="A351" s="10" t="s">
        <v>1365</v>
      </c>
      <c r="B351" s="10" t="s">
        <v>1366</v>
      </c>
      <c r="C351" s="10" t="s">
        <v>1367</v>
      </c>
      <c r="D351" s="12" t="n">
        <v>101</v>
      </c>
      <c r="E351" s="12"/>
      <c r="F351" s="12"/>
      <c r="G351" s="10" t="s">
        <v>401</v>
      </c>
      <c r="H351" s="10" t="s">
        <v>1368</v>
      </c>
      <c r="I351" s="11" t="s">
        <v>1369</v>
      </c>
      <c r="J351" s="10" t="s">
        <v>664</v>
      </c>
      <c r="K351" s="10" t="s">
        <v>665</v>
      </c>
      <c r="L351" s="10" t="s">
        <v>68</v>
      </c>
      <c r="M351" s="10" t="s">
        <v>416</v>
      </c>
      <c r="N351" s="11" t="s">
        <v>1363</v>
      </c>
      <c r="O351" s="10"/>
      <c r="P351" s="10" t="s">
        <v>71</v>
      </c>
      <c r="Q351" s="11" t="s">
        <v>72</v>
      </c>
      <c r="R351" s="11" t="s">
        <v>1363</v>
      </c>
      <c r="S351" s="11" t="s">
        <v>74</v>
      </c>
      <c r="T351" s="11" t="s">
        <v>1370</v>
      </c>
      <c r="U351" s="10" t="n">
        <f aca="false">IF(AND($D351="",$E351="",$F351=""),1,0)</f>
        <v>0</v>
      </c>
      <c r="V351" s="10" t="n">
        <f aca="false">IF(OR($I351="",$I351="—"),1,0)</f>
        <v>0</v>
      </c>
      <c r="W351" s="10" t="n">
        <f aca="false">IF(AND(ISNUMBER($D351),ISNUMBER($E351)),IF($E351&gt;$D351,1,0),0)+IF(AND(ISNUMBER($D351),ISNUMBER($F351)),IF($D351&gt;$F351,1,0),0)+IF(AND(ISNUMBER($E351),ISNUMBER($F351)),IF($E351&gt;$F351,1,0),0)</f>
        <v>0</v>
      </c>
      <c r="X351" s="13" t="s">
        <v>76</v>
      </c>
    </row>
    <row r="352" customFormat="false" ht="15" hidden="false" customHeight="false" outlineLevel="0" collapsed="false">
      <c r="A352" s="10" t="s">
        <v>1371</v>
      </c>
      <c r="B352" s="10" t="s">
        <v>1372</v>
      </c>
      <c r="C352" s="10" t="s">
        <v>1373</v>
      </c>
      <c r="D352" s="12" t="n">
        <v>101</v>
      </c>
      <c r="E352" s="12"/>
      <c r="F352" s="12"/>
      <c r="G352" s="10" t="s">
        <v>401</v>
      </c>
      <c r="H352" s="10" t="s">
        <v>662</v>
      </c>
      <c r="I352" s="11" t="s">
        <v>1374</v>
      </c>
      <c r="J352" s="10" t="s">
        <v>1375</v>
      </c>
      <c r="K352" s="10" t="s">
        <v>665</v>
      </c>
      <c r="L352" s="10" t="s">
        <v>68</v>
      </c>
      <c r="M352" s="10" t="s">
        <v>416</v>
      </c>
      <c r="N352" s="11" t="s">
        <v>1363</v>
      </c>
      <c r="O352" s="10"/>
      <c r="P352" s="10" t="s">
        <v>637</v>
      </c>
      <c r="Q352" s="11" t="s">
        <v>72</v>
      </c>
      <c r="R352" s="11" t="s">
        <v>1363</v>
      </c>
      <c r="S352" s="11" t="s">
        <v>710</v>
      </c>
      <c r="T352" s="11" t="s">
        <v>1376</v>
      </c>
      <c r="U352" s="10" t="n">
        <f aca="false">IF(AND($D352="",$E352="",$F352=""),1,0)</f>
        <v>0</v>
      </c>
      <c r="V352" s="10" t="n">
        <f aca="false">IF(OR($I352="",$I352="—"),1,0)</f>
        <v>0</v>
      </c>
      <c r="W352" s="10" t="n">
        <f aca="false">IF(AND(ISNUMBER($D352),ISNUMBER($E352)),IF($E352&gt;$D352,1,0),0)+IF(AND(ISNUMBER($D352),ISNUMBER($F352)),IF($D352&gt;$F352,1,0),0)+IF(AND(ISNUMBER($E352),ISNUMBER($F352)),IF($E352&gt;$F352,1,0),0)</f>
        <v>0</v>
      </c>
      <c r="X352" s="13" t="s">
        <v>76</v>
      </c>
    </row>
    <row r="353" customFormat="false" ht="15" hidden="false" customHeight="false" outlineLevel="0" collapsed="false">
      <c r="A353" s="10" t="s">
        <v>1377</v>
      </c>
      <c r="B353" s="10" t="s">
        <v>1378</v>
      </c>
      <c r="C353" s="10" t="s">
        <v>1379</v>
      </c>
      <c r="D353" s="12" t="n">
        <v>30</v>
      </c>
      <c r="E353" s="12" t="n">
        <v>30</v>
      </c>
      <c r="F353" s="12"/>
      <c r="G353" s="10" t="s">
        <v>917</v>
      </c>
      <c r="H353" s="10" t="s">
        <v>1329</v>
      </c>
      <c r="I353" s="11" t="s">
        <v>1380</v>
      </c>
      <c r="J353" s="10" t="s">
        <v>1381</v>
      </c>
      <c r="K353" s="10" t="s">
        <v>1329</v>
      </c>
      <c r="L353" s="10" t="s">
        <v>68</v>
      </c>
      <c r="M353" s="10" t="s">
        <v>416</v>
      </c>
      <c r="N353" s="11" t="s">
        <v>1363</v>
      </c>
      <c r="O353" s="10"/>
      <c r="P353" s="10" t="s">
        <v>637</v>
      </c>
      <c r="Q353" s="11" t="s">
        <v>72</v>
      </c>
      <c r="R353" s="11" t="s">
        <v>1363</v>
      </c>
      <c r="S353" s="11" t="s">
        <v>710</v>
      </c>
      <c r="T353" s="11" t="s">
        <v>1382</v>
      </c>
      <c r="U353" s="10" t="n">
        <f aca="false">IF(AND($D353="",$E353="",$F353=""),1,0)</f>
        <v>0</v>
      </c>
      <c r="V353" s="10" t="n">
        <f aca="false">IF(OR($I353="",$I353="—"),1,0)</f>
        <v>0</v>
      </c>
      <c r="W353" s="10" t="n">
        <f aca="false">IF(AND(ISNUMBER($D353),ISNUMBER($E353)),IF($E353&gt;$D353,1,0),0)+IF(AND(ISNUMBER($D353),ISNUMBER($F353)),IF($D353&gt;$F353,1,0),0)+IF(AND(ISNUMBER($E353),ISNUMBER($F353)),IF($E353&gt;$F353,1,0),0)</f>
        <v>0</v>
      </c>
      <c r="X353" s="13" t="s">
        <v>76</v>
      </c>
    </row>
    <row r="354" customFormat="false" ht="15" hidden="false" customHeight="false" outlineLevel="0" collapsed="false">
      <c r="A354" s="10" t="s">
        <v>1383</v>
      </c>
      <c r="B354" s="10" t="s">
        <v>1384</v>
      </c>
      <c r="C354" s="10" t="s">
        <v>1385</v>
      </c>
      <c r="D354" s="12" t="n">
        <v>30</v>
      </c>
      <c r="E354" s="12"/>
      <c r="F354" s="12"/>
      <c r="G354" s="10" t="s">
        <v>401</v>
      </c>
      <c r="H354" s="10" t="s">
        <v>1386</v>
      </c>
      <c r="I354" s="11" t="s">
        <v>1362</v>
      </c>
      <c r="J354" s="10" t="s">
        <v>448</v>
      </c>
      <c r="K354" s="10" t="s">
        <v>449</v>
      </c>
      <c r="L354" s="10" t="s">
        <v>68</v>
      </c>
      <c r="M354" s="10" t="s">
        <v>416</v>
      </c>
      <c r="N354" s="11" t="s">
        <v>1363</v>
      </c>
      <c r="O354" s="10"/>
      <c r="P354" s="10" t="s">
        <v>71</v>
      </c>
      <c r="Q354" s="11" t="s">
        <v>72</v>
      </c>
      <c r="R354" s="11" t="s">
        <v>1363</v>
      </c>
      <c r="S354" s="11" t="s">
        <v>74</v>
      </c>
      <c r="T354" s="11" t="s">
        <v>1387</v>
      </c>
      <c r="U354" s="10" t="n">
        <f aca="false">IF(AND($D354="",$E354="",$F354=""),1,0)</f>
        <v>0</v>
      </c>
      <c r="V354" s="10" t="n">
        <f aca="false">IF(OR($I354="",$I354="—"),1,0)</f>
        <v>0</v>
      </c>
      <c r="W354" s="10" t="n">
        <f aca="false">IF(AND(ISNUMBER($D354),ISNUMBER($E354)),IF($E354&gt;$D354,1,0),0)+IF(AND(ISNUMBER($D354),ISNUMBER($F354)),IF($D354&gt;$F354,1,0),0)+IF(AND(ISNUMBER($E354),ISNUMBER($F354)),IF($E354&gt;$F354,1,0),0)</f>
        <v>0</v>
      </c>
      <c r="X354" s="13" t="s">
        <v>76</v>
      </c>
    </row>
    <row r="355" customFormat="false" ht="15" hidden="false" customHeight="false" outlineLevel="0" collapsed="false">
      <c r="A355" s="10" t="s">
        <v>1388</v>
      </c>
      <c r="B355" s="10" t="s">
        <v>1389</v>
      </c>
      <c r="C355" s="11" t="s">
        <v>1390</v>
      </c>
      <c r="D355" s="12"/>
      <c r="E355" s="12" t="n">
        <v>30</v>
      </c>
      <c r="F355" s="12" t="n">
        <v>60</v>
      </c>
      <c r="G355" s="10" t="s">
        <v>401</v>
      </c>
      <c r="H355" s="10" t="s">
        <v>1329</v>
      </c>
      <c r="I355" s="10" t="s">
        <v>1391</v>
      </c>
      <c r="J355" s="10" t="s">
        <v>1331</v>
      </c>
      <c r="K355" s="10" t="s">
        <v>1332</v>
      </c>
      <c r="L355" s="10" t="s">
        <v>68</v>
      </c>
      <c r="M355" s="10" t="s">
        <v>416</v>
      </c>
      <c r="N355" s="11" t="s">
        <v>709</v>
      </c>
      <c r="O355" s="10"/>
      <c r="P355" s="10" t="s">
        <v>637</v>
      </c>
      <c r="Q355" s="11" t="s">
        <v>72</v>
      </c>
      <c r="R355" s="11" t="s">
        <v>709</v>
      </c>
      <c r="S355" s="11" t="s">
        <v>710</v>
      </c>
      <c r="T355" s="11" t="s">
        <v>1392</v>
      </c>
      <c r="U355" s="10" t="n">
        <f aca="false">IF(AND($D355="",$E355="",$F355=""),1,0)</f>
        <v>0</v>
      </c>
      <c r="V355" s="10" t="n">
        <f aca="false">IF(OR($I355="",$I355="—"),1,0)</f>
        <v>0</v>
      </c>
      <c r="W355" s="10" t="n">
        <f aca="false">IF(AND(ISNUMBER($D355),ISNUMBER($E355)),IF($E355&gt;$D355,1,0),0)+IF(AND(ISNUMBER($D355),ISNUMBER($F355)),IF($D355&gt;$F355,1,0),0)+IF(AND(ISNUMBER($E355),ISNUMBER($F355)),IF($E355&gt;$F355,1,0),0)</f>
        <v>0</v>
      </c>
      <c r="X355" s="13" t="s">
        <v>76</v>
      </c>
    </row>
    <row r="356" customFormat="false" ht="15" hidden="false" customHeight="false" outlineLevel="0" collapsed="false">
      <c r="A356" s="10" t="s">
        <v>1393</v>
      </c>
      <c r="B356" s="10" t="s">
        <v>1394</v>
      </c>
      <c r="C356" s="11" t="s">
        <v>1395</v>
      </c>
      <c r="D356" s="12"/>
      <c r="E356" s="12" t="n">
        <v>80</v>
      </c>
      <c r="F356" s="12" t="n">
        <v>150</v>
      </c>
      <c r="G356" s="10" t="s">
        <v>401</v>
      </c>
      <c r="H356" s="10" t="s">
        <v>1396</v>
      </c>
      <c r="I356" s="11" t="s">
        <v>1353</v>
      </c>
      <c r="J356" s="10" t="s">
        <v>1354</v>
      </c>
      <c r="K356" s="10" t="s">
        <v>1355</v>
      </c>
      <c r="L356" s="10" t="s">
        <v>68</v>
      </c>
      <c r="M356" s="10" t="s">
        <v>416</v>
      </c>
      <c r="N356" s="11" t="s">
        <v>709</v>
      </c>
      <c r="O356" s="10"/>
      <c r="P356" s="10" t="s">
        <v>637</v>
      </c>
      <c r="Q356" s="11" t="s">
        <v>72</v>
      </c>
      <c r="R356" s="11" t="s">
        <v>709</v>
      </c>
      <c r="S356" s="11" t="s">
        <v>710</v>
      </c>
      <c r="T356" s="11" t="s">
        <v>1397</v>
      </c>
      <c r="U356" s="10" t="n">
        <f aca="false">IF(AND($D356="",$E356="",$F356=""),1,0)</f>
        <v>0</v>
      </c>
      <c r="V356" s="10" t="n">
        <f aca="false">IF(OR($I356="",$I356="—"),1,0)</f>
        <v>0</v>
      </c>
      <c r="W356" s="10" t="n">
        <f aca="false">IF(AND(ISNUMBER($D356),ISNUMBER($E356)),IF($E356&gt;$D356,1,0),0)+IF(AND(ISNUMBER($D356),ISNUMBER($F356)),IF($D356&gt;$F356,1,0),0)+IF(AND(ISNUMBER($E356),ISNUMBER($F356)),IF($E356&gt;$F356,1,0),0)</f>
        <v>0</v>
      </c>
      <c r="X356" s="13" t="s">
        <v>76</v>
      </c>
    </row>
    <row r="357" customFormat="false" ht="15" hidden="false" customHeight="false" outlineLevel="0" collapsed="false">
      <c r="A357" s="10" t="s">
        <v>1398</v>
      </c>
      <c r="B357" s="10" t="s">
        <v>1399</v>
      </c>
      <c r="C357" s="10" t="s">
        <v>1400</v>
      </c>
      <c r="D357" s="12"/>
      <c r="E357" s="12"/>
      <c r="F357" s="12"/>
      <c r="G357" s="11" t="s">
        <v>1401</v>
      </c>
      <c r="H357" s="10" t="s">
        <v>1402</v>
      </c>
      <c r="I357" s="10" t="s">
        <v>1403</v>
      </c>
      <c r="J357" s="10" t="s">
        <v>1404</v>
      </c>
      <c r="K357" s="10" t="s">
        <v>1405</v>
      </c>
      <c r="L357" s="10" t="s">
        <v>68</v>
      </c>
      <c r="M357" s="10" t="s">
        <v>69</v>
      </c>
      <c r="N357" s="10"/>
      <c r="O357" s="10"/>
      <c r="P357" s="10" t="s">
        <v>637</v>
      </c>
      <c r="Q357" s="11" t="s">
        <v>72</v>
      </c>
      <c r="R357" s="11" t="s">
        <v>1090</v>
      </c>
      <c r="S357" s="11" t="s">
        <v>710</v>
      </c>
      <c r="T357" s="11" t="s">
        <v>1406</v>
      </c>
      <c r="U357" s="10" t="n">
        <f aca="false">IF(AND($D357="",$E357="",$F357=""),1,0)</f>
        <v>1</v>
      </c>
      <c r="V357" s="10" t="n">
        <f aca="false">IF(OR($I357="",$I357="—"),1,0)</f>
        <v>0</v>
      </c>
      <c r="W357" s="10" t="n">
        <f aca="false">IF(AND(ISNUMBER($D357),ISNUMBER($E357)),IF($E357&gt;$D357,1,0),0)+IF(AND(ISNUMBER($D357),ISNUMBER($F357)),IF($D357&gt;$F357,1,0),0)+IF(AND(ISNUMBER($E357),ISNUMBER($F357)),IF($E357&gt;$F357,1,0),0)</f>
        <v>0</v>
      </c>
      <c r="X357" s="13" t="s">
        <v>76</v>
      </c>
    </row>
    <row r="358" customFormat="false" ht="15" hidden="false" customHeight="false" outlineLevel="0" collapsed="false">
      <c r="A358" s="10" t="s">
        <v>1407</v>
      </c>
      <c r="B358" s="10" t="s">
        <v>1408</v>
      </c>
      <c r="C358" s="10" t="s">
        <v>1409</v>
      </c>
      <c r="D358" s="12"/>
      <c r="E358" s="12" t="n">
        <v>20</v>
      </c>
      <c r="F358" s="12" t="n">
        <v>100</v>
      </c>
      <c r="G358" s="10" t="s">
        <v>1410</v>
      </c>
      <c r="H358" s="10" t="s">
        <v>1411</v>
      </c>
      <c r="I358" s="11" t="s">
        <v>1412</v>
      </c>
      <c r="J358" s="10" t="s">
        <v>1413</v>
      </c>
      <c r="K358" s="10" t="s">
        <v>1414</v>
      </c>
      <c r="L358" s="10" t="s">
        <v>68</v>
      </c>
      <c r="M358" s="10" t="s">
        <v>69</v>
      </c>
      <c r="N358" s="10"/>
      <c r="O358" s="10"/>
      <c r="P358" s="10" t="s">
        <v>637</v>
      </c>
      <c r="Q358" s="11" t="s">
        <v>72</v>
      </c>
      <c r="R358" s="11" t="s">
        <v>1090</v>
      </c>
      <c r="S358" s="11" t="s">
        <v>710</v>
      </c>
      <c r="T358" s="11" t="s">
        <v>1415</v>
      </c>
      <c r="U358" s="10" t="n">
        <f aca="false">IF(AND($D358="",$E358="",$F358=""),1,0)</f>
        <v>0</v>
      </c>
      <c r="V358" s="10" t="n">
        <f aca="false">IF(OR($I358="",$I358="—"),1,0)</f>
        <v>0</v>
      </c>
      <c r="W358" s="10" t="n">
        <f aca="false">IF(AND(ISNUMBER($D358),ISNUMBER($E358)),IF($E358&gt;$D358,1,0),0)+IF(AND(ISNUMBER($D358),ISNUMBER($F358)),IF($D358&gt;$F358,1,0),0)+IF(AND(ISNUMBER($E358),ISNUMBER($F358)),IF($E358&gt;$F358,1,0),0)</f>
        <v>0</v>
      </c>
      <c r="X358" s="13" t="s">
        <v>76</v>
      </c>
    </row>
    <row r="359" customFormat="false" ht="15" hidden="false" customHeight="false" outlineLevel="0" collapsed="false">
      <c r="A359" s="10" t="s">
        <v>1416</v>
      </c>
      <c r="B359" s="10" t="s">
        <v>1417</v>
      </c>
      <c r="C359" s="11" t="s">
        <v>1418</v>
      </c>
      <c r="D359" s="12" t="n">
        <v>3</v>
      </c>
      <c r="E359" s="12" t="n">
        <v>3</v>
      </c>
      <c r="F359" s="12" t="n">
        <v>3</v>
      </c>
      <c r="G359" s="10" t="s">
        <v>1419</v>
      </c>
      <c r="H359" s="10" t="s">
        <v>1420</v>
      </c>
      <c r="I359" s="10" t="s">
        <v>1421</v>
      </c>
      <c r="J359" s="10" t="s">
        <v>1422</v>
      </c>
      <c r="K359" s="10" t="s">
        <v>1423</v>
      </c>
      <c r="L359" s="10" t="s">
        <v>68</v>
      </c>
      <c r="M359" s="10" t="s">
        <v>1308</v>
      </c>
      <c r="N359" s="10"/>
      <c r="O359" s="10"/>
      <c r="P359" s="10" t="s">
        <v>637</v>
      </c>
      <c r="Q359" s="11" t="s">
        <v>1309</v>
      </c>
      <c r="R359" s="11" t="s">
        <v>1310</v>
      </c>
      <c r="S359" s="11" t="s">
        <v>710</v>
      </c>
      <c r="T359" s="11" t="s">
        <v>1424</v>
      </c>
      <c r="U359" s="10" t="n">
        <f aca="false">IF(AND($D359="",$E359="",$F359=""),1,0)</f>
        <v>0</v>
      </c>
      <c r="V359" s="10" t="n">
        <f aca="false">IF(OR($I359="",$I359="—"),1,0)</f>
        <v>0</v>
      </c>
      <c r="W359" s="10" t="n">
        <f aca="false">IF(AND(ISNUMBER($D359),ISNUMBER($E359)),IF($E359&gt;$D359,1,0),0)+IF(AND(ISNUMBER($D359),ISNUMBER($F359)),IF($D359&gt;$F359,1,0),0)+IF(AND(ISNUMBER($E359),ISNUMBER($F359)),IF($E359&gt;$F359,1,0),0)</f>
        <v>0</v>
      </c>
      <c r="X359" s="13" t="s">
        <v>76</v>
      </c>
    </row>
    <row r="360" customFormat="false" ht="15" hidden="false" customHeight="false" outlineLevel="0" collapsed="false">
      <c r="A360" s="10" t="s">
        <v>1425</v>
      </c>
      <c r="B360" s="10" t="s">
        <v>1426</v>
      </c>
      <c r="C360" s="10" t="s">
        <v>1427</v>
      </c>
      <c r="D360" s="12" t="n">
        <v>49</v>
      </c>
      <c r="E360" s="12"/>
      <c r="F360" s="12"/>
      <c r="G360" s="10" t="s">
        <v>1410</v>
      </c>
      <c r="H360" s="10" t="s">
        <v>1428</v>
      </c>
      <c r="I360" s="10" t="s">
        <v>1429</v>
      </c>
      <c r="J360" s="10" t="s">
        <v>1430</v>
      </c>
      <c r="K360" s="10" t="s">
        <v>1431</v>
      </c>
      <c r="L360" s="10" t="s">
        <v>68</v>
      </c>
      <c r="M360" s="10" t="s">
        <v>69</v>
      </c>
      <c r="N360" s="10"/>
      <c r="O360" s="10"/>
      <c r="P360" s="10" t="s">
        <v>637</v>
      </c>
      <c r="Q360" s="11" t="s">
        <v>72</v>
      </c>
      <c r="R360" s="11" t="s">
        <v>1090</v>
      </c>
      <c r="S360" s="11" t="s">
        <v>710</v>
      </c>
      <c r="T360" s="11" t="s">
        <v>1432</v>
      </c>
      <c r="U360" s="10" t="n">
        <f aca="false">IF(AND($D360="",$E360="",$F360=""),1,0)</f>
        <v>0</v>
      </c>
      <c r="V360" s="10" t="n">
        <f aca="false">IF(OR($I360="",$I360="—"),1,0)</f>
        <v>0</v>
      </c>
      <c r="W360" s="10" t="n">
        <f aca="false">IF(AND(ISNUMBER($D360),ISNUMBER($E360)),IF($E360&gt;$D360,1,0),0)+IF(AND(ISNUMBER($D360),ISNUMBER($F360)),IF($D360&gt;$F360,1,0),0)+IF(AND(ISNUMBER($E360),ISNUMBER($F360)),IF($E360&gt;$F360,1,0),0)</f>
        <v>0</v>
      </c>
      <c r="X360" s="13" t="s">
        <v>76</v>
      </c>
    </row>
    <row r="361" customFormat="false" ht="15" hidden="false" customHeight="false" outlineLevel="0" collapsed="false">
      <c r="A361" s="10" t="s">
        <v>1433</v>
      </c>
      <c r="B361" s="10" t="s">
        <v>1434</v>
      </c>
      <c r="C361" s="10" t="s">
        <v>1435</v>
      </c>
      <c r="D361" s="12" t="n">
        <v>44</v>
      </c>
      <c r="E361" s="12"/>
      <c r="F361" s="12"/>
      <c r="G361" s="10" t="s">
        <v>1410</v>
      </c>
      <c r="H361" s="10" t="s">
        <v>1436</v>
      </c>
      <c r="I361" s="10" t="s">
        <v>1429</v>
      </c>
      <c r="J361" s="10" t="s">
        <v>1430</v>
      </c>
      <c r="K361" s="10" t="s">
        <v>1431</v>
      </c>
      <c r="L361" s="10" t="s">
        <v>68</v>
      </c>
      <c r="M361" s="10" t="s">
        <v>69</v>
      </c>
      <c r="N361" s="10"/>
      <c r="O361" s="10"/>
      <c r="P361" s="10" t="s">
        <v>637</v>
      </c>
      <c r="Q361" s="11" t="s">
        <v>72</v>
      </c>
      <c r="R361" s="11" t="s">
        <v>1090</v>
      </c>
      <c r="S361" s="11" t="s">
        <v>710</v>
      </c>
      <c r="T361" s="11" t="s">
        <v>1437</v>
      </c>
      <c r="U361" s="10" t="n">
        <f aca="false">IF(AND($D361="",$E361="",$F361=""),1,0)</f>
        <v>0</v>
      </c>
      <c r="V361" s="10" t="n">
        <f aca="false">IF(OR($I361="",$I361="—"),1,0)</f>
        <v>0</v>
      </c>
      <c r="W361" s="10" t="n">
        <f aca="false">IF(AND(ISNUMBER($D361),ISNUMBER($E361)),IF($E361&gt;$D361,1,0),0)+IF(AND(ISNUMBER($D361),ISNUMBER($F361)),IF($D361&gt;$F361,1,0),0)+IF(AND(ISNUMBER($E361),ISNUMBER($F361)),IF($E361&gt;$F361,1,0),0)</f>
        <v>0</v>
      </c>
      <c r="X361" s="13" t="s">
        <v>76</v>
      </c>
    </row>
    <row r="362" customFormat="false" ht="15" hidden="false" customHeight="false" outlineLevel="0" collapsed="false">
      <c r="A362" s="10" t="s">
        <v>1438</v>
      </c>
      <c r="B362" s="10" t="s">
        <v>1439</v>
      </c>
      <c r="C362" s="10" t="s">
        <v>1440</v>
      </c>
      <c r="D362" s="12" t="n">
        <v>34</v>
      </c>
      <c r="E362" s="12"/>
      <c r="F362" s="12"/>
      <c r="G362" s="10" t="s">
        <v>1410</v>
      </c>
      <c r="H362" s="10" t="s">
        <v>1436</v>
      </c>
      <c r="I362" s="10" t="s">
        <v>1429</v>
      </c>
      <c r="J362" s="10" t="s">
        <v>1430</v>
      </c>
      <c r="K362" s="10" t="s">
        <v>1431</v>
      </c>
      <c r="L362" s="10" t="s">
        <v>68</v>
      </c>
      <c r="M362" s="10" t="s">
        <v>69</v>
      </c>
      <c r="N362" s="10"/>
      <c r="O362" s="10"/>
      <c r="P362" s="10" t="s">
        <v>637</v>
      </c>
      <c r="Q362" s="11" t="s">
        <v>72</v>
      </c>
      <c r="R362" s="11" t="s">
        <v>1090</v>
      </c>
      <c r="S362" s="11" t="s">
        <v>710</v>
      </c>
      <c r="T362" s="11" t="s">
        <v>1441</v>
      </c>
      <c r="U362" s="10" t="n">
        <f aca="false">IF(AND($D362="",$E362="",$F362=""),1,0)</f>
        <v>0</v>
      </c>
      <c r="V362" s="10" t="n">
        <f aca="false">IF(OR($I362="",$I362="—"),1,0)</f>
        <v>0</v>
      </c>
      <c r="W362" s="10" t="n">
        <f aca="false">IF(AND(ISNUMBER($D362),ISNUMBER($E362)),IF($E362&gt;$D362,1,0),0)+IF(AND(ISNUMBER($D362),ISNUMBER($F362)),IF($D362&gt;$F362,1,0),0)+IF(AND(ISNUMBER($E362),ISNUMBER($F362)),IF($E362&gt;$F362,1,0),0)</f>
        <v>0</v>
      </c>
      <c r="X362" s="13" t="s">
        <v>76</v>
      </c>
    </row>
    <row r="363" customFormat="false" ht="15" hidden="false" customHeight="false" outlineLevel="0" collapsed="false">
      <c r="A363" s="10" t="s">
        <v>1442</v>
      </c>
      <c r="B363" s="10" t="s">
        <v>1443</v>
      </c>
      <c r="C363" s="10" t="s">
        <v>1444</v>
      </c>
      <c r="D363" s="12" t="n">
        <v>149</v>
      </c>
      <c r="E363" s="12"/>
      <c r="F363" s="12"/>
      <c r="G363" s="10" t="s">
        <v>1410</v>
      </c>
      <c r="H363" s="10" t="s">
        <v>1428</v>
      </c>
      <c r="I363" s="10" t="s">
        <v>1429</v>
      </c>
      <c r="J363" s="10" t="s">
        <v>1430</v>
      </c>
      <c r="K363" s="10" t="s">
        <v>1431</v>
      </c>
      <c r="L363" s="10" t="s">
        <v>68</v>
      </c>
      <c r="M363" s="10" t="s">
        <v>69</v>
      </c>
      <c r="N363" s="10"/>
      <c r="O363" s="10"/>
      <c r="P363" s="10" t="s">
        <v>637</v>
      </c>
      <c r="Q363" s="11" t="s">
        <v>72</v>
      </c>
      <c r="R363" s="11" t="s">
        <v>1090</v>
      </c>
      <c r="S363" s="11" t="s">
        <v>710</v>
      </c>
      <c r="T363" s="11" t="s">
        <v>1445</v>
      </c>
      <c r="U363" s="10" t="n">
        <f aca="false">IF(AND($D363="",$E363="",$F363=""),1,0)</f>
        <v>0</v>
      </c>
      <c r="V363" s="10" t="n">
        <f aca="false">IF(OR($I363="",$I363="—"),1,0)</f>
        <v>0</v>
      </c>
      <c r="W363" s="10" t="n">
        <f aca="false">IF(AND(ISNUMBER($D363),ISNUMBER($E363)),IF($E363&gt;$D363,1,0),0)+IF(AND(ISNUMBER($D363),ISNUMBER($F363)),IF($D363&gt;$F363,1,0),0)+IF(AND(ISNUMBER($E363),ISNUMBER($F363)),IF($E363&gt;$F363,1,0),0)</f>
        <v>0</v>
      </c>
      <c r="X363" s="13" t="s">
        <v>76</v>
      </c>
    </row>
    <row r="364" customFormat="false" ht="15" hidden="false" customHeight="false" outlineLevel="0" collapsed="false">
      <c r="A364" s="10" t="s">
        <v>1446</v>
      </c>
      <c r="B364" s="10" t="s">
        <v>1447</v>
      </c>
      <c r="C364" s="10" t="s">
        <v>1448</v>
      </c>
      <c r="D364" s="12" t="n">
        <v>134</v>
      </c>
      <c r="E364" s="12"/>
      <c r="F364" s="12"/>
      <c r="G364" s="10" t="s">
        <v>1410</v>
      </c>
      <c r="H364" s="10" t="s">
        <v>1436</v>
      </c>
      <c r="I364" s="10" t="s">
        <v>1429</v>
      </c>
      <c r="J364" s="10" t="s">
        <v>1430</v>
      </c>
      <c r="K364" s="10" t="s">
        <v>1431</v>
      </c>
      <c r="L364" s="10" t="s">
        <v>68</v>
      </c>
      <c r="M364" s="10" t="s">
        <v>69</v>
      </c>
      <c r="N364" s="10"/>
      <c r="O364" s="10"/>
      <c r="P364" s="10" t="s">
        <v>637</v>
      </c>
      <c r="Q364" s="11" t="s">
        <v>72</v>
      </c>
      <c r="R364" s="11" t="s">
        <v>1090</v>
      </c>
      <c r="S364" s="11" t="s">
        <v>710</v>
      </c>
      <c r="T364" s="11" t="s">
        <v>1437</v>
      </c>
      <c r="U364" s="10" t="n">
        <f aca="false">IF(AND($D364="",$E364="",$F364=""),1,0)</f>
        <v>0</v>
      </c>
      <c r="V364" s="10" t="n">
        <f aca="false">IF(OR($I364="",$I364="—"),1,0)</f>
        <v>0</v>
      </c>
      <c r="W364" s="10" t="n">
        <f aca="false">IF(AND(ISNUMBER($D364),ISNUMBER($E364)),IF($E364&gt;$D364,1,0),0)+IF(AND(ISNUMBER($D364),ISNUMBER($F364)),IF($D364&gt;$F364,1,0),0)+IF(AND(ISNUMBER($E364),ISNUMBER($F364)),IF($E364&gt;$F364,1,0),0)</f>
        <v>0</v>
      </c>
      <c r="X364" s="13" t="s">
        <v>76</v>
      </c>
    </row>
    <row r="365" customFormat="false" ht="15" hidden="false" customHeight="false" outlineLevel="0" collapsed="false">
      <c r="A365" s="10" t="s">
        <v>1449</v>
      </c>
      <c r="B365" s="10" t="s">
        <v>1450</v>
      </c>
      <c r="C365" s="10" t="s">
        <v>1451</v>
      </c>
      <c r="D365" s="12" t="n">
        <v>104</v>
      </c>
      <c r="E365" s="12"/>
      <c r="F365" s="12"/>
      <c r="G365" s="10" t="s">
        <v>1410</v>
      </c>
      <c r="H365" s="10" t="s">
        <v>1436</v>
      </c>
      <c r="I365" s="10" t="s">
        <v>1429</v>
      </c>
      <c r="J365" s="10" t="s">
        <v>1430</v>
      </c>
      <c r="K365" s="10" t="s">
        <v>1431</v>
      </c>
      <c r="L365" s="10" t="s">
        <v>68</v>
      </c>
      <c r="M365" s="10" t="s">
        <v>69</v>
      </c>
      <c r="N365" s="10"/>
      <c r="O365" s="10"/>
      <c r="P365" s="10" t="s">
        <v>637</v>
      </c>
      <c r="Q365" s="11" t="s">
        <v>72</v>
      </c>
      <c r="R365" s="11" t="s">
        <v>1090</v>
      </c>
      <c r="S365" s="11" t="s">
        <v>710</v>
      </c>
      <c r="T365" s="11" t="s">
        <v>1441</v>
      </c>
      <c r="U365" s="10" t="n">
        <f aca="false">IF(AND($D365="",$E365="",$F365=""),1,0)</f>
        <v>0</v>
      </c>
      <c r="V365" s="10" t="n">
        <f aca="false">IF(OR($I365="",$I365="—"),1,0)</f>
        <v>0</v>
      </c>
      <c r="W365" s="10" t="n">
        <f aca="false">IF(AND(ISNUMBER($D365),ISNUMBER($E365)),IF($E365&gt;$D365,1,0),0)+IF(AND(ISNUMBER($D365),ISNUMBER($F365)),IF($D365&gt;$F365,1,0),0)+IF(AND(ISNUMBER($E365),ISNUMBER($F365)),IF($E365&gt;$F365,1,0),0)</f>
        <v>0</v>
      </c>
      <c r="X365" s="13" t="s">
        <v>76</v>
      </c>
    </row>
    <row r="366" customFormat="false" ht="15" hidden="false" customHeight="false" outlineLevel="0" collapsed="false">
      <c r="A366" s="10" t="s">
        <v>1452</v>
      </c>
      <c r="B366" s="10" t="s">
        <v>1453</v>
      </c>
      <c r="C366" s="10" t="s">
        <v>1454</v>
      </c>
      <c r="D366" s="12" t="n">
        <v>469</v>
      </c>
      <c r="E366" s="12"/>
      <c r="F366" s="12"/>
      <c r="G366" s="10" t="s">
        <v>1410</v>
      </c>
      <c r="H366" s="10" t="s">
        <v>1428</v>
      </c>
      <c r="I366" s="10" t="s">
        <v>1429</v>
      </c>
      <c r="J366" s="10" t="s">
        <v>1430</v>
      </c>
      <c r="K366" s="10" t="s">
        <v>1431</v>
      </c>
      <c r="L366" s="10" t="s">
        <v>68</v>
      </c>
      <c r="M366" s="10" t="s">
        <v>69</v>
      </c>
      <c r="N366" s="10"/>
      <c r="O366" s="10"/>
      <c r="P366" s="10" t="s">
        <v>637</v>
      </c>
      <c r="Q366" s="11" t="s">
        <v>72</v>
      </c>
      <c r="R366" s="11" t="s">
        <v>1090</v>
      </c>
      <c r="S366" s="11" t="s">
        <v>710</v>
      </c>
      <c r="T366" s="11" t="s">
        <v>1455</v>
      </c>
      <c r="U366" s="10" t="n">
        <f aca="false">IF(AND($D366="",$E366="",$F366=""),1,0)</f>
        <v>0</v>
      </c>
      <c r="V366" s="10" t="n">
        <f aca="false">IF(OR($I366="",$I366="—"),1,0)</f>
        <v>0</v>
      </c>
      <c r="W366" s="10" t="n">
        <f aca="false">IF(AND(ISNUMBER($D366),ISNUMBER($E366)),IF($E366&gt;$D366,1,0),0)+IF(AND(ISNUMBER($D366),ISNUMBER($F366)),IF($D366&gt;$F366,1,0),0)+IF(AND(ISNUMBER($E366),ISNUMBER($F366)),IF($E366&gt;$F366,1,0),0)</f>
        <v>0</v>
      </c>
      <c r="X366" s="13" t="s">
        <v>76</v>
      </c>
    </row>
    <row r="367" customFormat="false" ht="15" hidden="false" customHeight="false" outlineLevel="0" collapsed="false">
      <c r="A367" s="10" t="s">
        <v>1456</v>
      </c>
      <c r="B367" s="10" t="s">
        <v>1457</v>
      </c>
      <c r="C367" s="10" t="s">
        <v>1458</v>
      </c>
      <c r="D367" s="12" t="n">
        <v>422</v>
      </c>
      <c r="E367" s="12"/>
      <c r="F367" s="12"/>
      <c r="G367" s="10" t="s">
        <v>1410</v>
      </c>
      <c r="H367" s="10" t="s">
        <v>1436</v>
      </c>
      <c r="I367" s="10" t="s">
        <v>1429</v>
      </c>
      <c r="J367" s="10" t="s">
        <v>1430</v>
      </c>
      <c r="K367" s="10" t="s">
        <v>1431</v>
      </c>
      <c r="L367" s="10" t="s">
        <v>68</v>
      </c>
      <c r="M367" s="10" t="s">
        <v>69</v>
      </c>
      <c r="N367" s="10"/>
      <c r="O367" s="10"/>
      <c r="P367" s="10" t="s">
        <v>637</v>
      </c>
      <c r="Q367" s="11" t="s">
        <v>72</v>
      </c>
      <c r="R367" s="11" t="s">
        <v>1090</v>
      </c>
      <c r="S367" s="11" t="s">
        <v>710</v>
      </c>
      <c r="T367" s="11" t="s">
        <v>1437</v>
      </c>
      <c r="U367" s="10" t="n">
        <f aca="false">IF(AND($D367="",$E367="",$F367=""),1,0)</f>
        <v>0</v>
      </c>
      <c r="V367" s="10" t="n">
        <f aca="false">IF(OR($I367="",$I367="—"),1,0)</f>
        <v>0</v>
      </c>
      <c r="W367" s="10" t="n">
        <f aca="false">IF(AND(ISNUMBER($D367),ISNUMBER($E367)),IF($E367&gt;$D367,1,0),0)+IF(AND(ISNUMBER($D367),ISNUMBER($F367)),IF($D367&gt;$F367,1,0),0)+IF(AND(ISNUMBER($E367),ISNUMBER($F367)),IF($E367&gt;$F367,1,0),0)</f>
        <v>0</v>
      </c>
      <c r="X367" s="13" t="s">
        <v>76</v>
      </c>
    </row>
    <row r="368" customFormat="false" ht="15" hidden="false" customHeight="false" outlineLevel="0" collapsed="false">
      <c r="A368" s="10" t="s">
        <v>1459</v>
      </c>
      <c r="B368" s="10" t="s">
        <v>1460</v>
      </c>
      <c r="C368" s="10" t="s">
        <v>1461</v>
      </c>
      <c r="D368" s="12" t="n">
        <v>328</v>
      </c>
      <c r="E368" s="12"/>
      <c r="F368" s="12"/>
      <c r="G368" s="10" t="s">
        <v>1410</v>
      </c>
      <c r="H368" s="10" t="s">
        <v>1436</v>
      </c>
      <c r="I368" s="10" t="s">
        <v>1429</v>
      </c>
      <c r="J368" s="10" t="s">
        <v>1430</v>
      </c>
      <c r="K368" s="10" t="s">
        <v>1431</v>
      </c>
      <c r="L368" s="10" t="s">
        <v>68</v>
      </c>
      <c r="M368" s="10" t="s">
        <v>69</v>
      </c>
      <c r="N368" s="10"/>
      <c r="O368" s="10"/>
      <c r="P368" s="10" t="s">
        <v>637</v>
      </c>
      <c r="Q368" s="11" t="s">
        <v>72</v>
      </c>
      <c r="R368" s="11" t="s">
        <v>1090</v>
      </c>
      <c r="S368" s="11" t="s">
        <v>710</v>
      </c>
      <c r="T368" s="11" t="s">
        <v>1441</v>
      </c>
      <c r="U368" s="10" t="n">
        <f aca="false">IF(AND($D368="",$E368="",$F368=""),1,0)</f>
        <v>0</v>
      </c>
      <c r="V368" s="10" t="n">
        <f aca="false">IF(OR($I368="",$I368="—"),1,0)</f>
        <v>0</v>
      </c>
      <c r="W368" s="10" t="n">
        <f aca="false">IF(AND(ISNUMBER($D368),ISNUMBER($E368)),IF($E368&gt;$D368,1,0),0)+IF(AND(ISNUMBER($D368),ISNUMBER($F368)),IF($D368&gt;$F368,1,0),0)+IF(AND(ISNUMBER($E368),ISNUMBER($F368)),IF($E368&gt;$F368,1,0),0)</f>
        <v>0</v>
      </c>
      <c r="X368" s="13" t="s">
        <v>76</v>
      </c>
    </row>
    <row r="369" customFormat="false" ht="15" hidden="false" customHeight="false" outlineLevel="0" collapsed="false">
      <c r="A369" s="10" t="s">
        <v>1462</v>
      </c>
      <c r="B369" s="10" t="s">
        <v>1463</v>
      </c>
      <c r="C369" s="10" t="s">
        <v>1464</v>
      </c>
      <c r="D369" s="12" t="n">
        <v>402</v>
      </c>
      <c r="E369" s="12"/>
      <c r="F369" s="12"/>
      <c r="G369" s="10" t="s">
        <v>1465</v>
      </c>
      <c r="H369" s="10" t="s">
        <v>1332</v>
      </c>
      <c r="I369" s="10" t="s">
        <v>1466</v>
      </c>
      <c r="J369" s="10" t="s">
        <v>1467</v>
      </c>
      <c r="K369" s="10" t="s">
        <v>1332</v>
      </c>
      <c r="L369" s="10" t="s">
        <v>68</v>
      </c>
      <c r="M369" s="10" t="s">
        <v>69</v>
      </c>
      <c r="N369" s="10"/>
      <c r="O369" s="10"/>
      <c r="P369" s="10" t="s">
        <v>637</v>
      </c>
      <c r="Q369" s="11" t="s">
        <v>72</v>
      </c>
      <c r="R369" s="11" t="s">
        <v>1090</v>
      </c>
      <c r="S369" s="11" t="s">
        <v>1278</v>
      </c>
      <c r="T369" s="11" t="s">
        <v>1468</v>
      </c>
      <c r="U369" s="10" t="n">
        <f aca="false">IF(AND($D369="",$E369="",$F369=""),1,0)</f>
        <v>0</v>
      </c>
      <c r="V369" s="10" t="n">
        <f aca="false">IF(OR($I369="",$I369="—"),1,0)</f>
        <v>0</v>
      </c>
      <c r="W369" s="10" t="n">
        <f aca="false">IF(AND(ISNUMBER($D369),ISNUMBER($E369)),IF($E369&gt;$D369,1,0),0)+IF(AND(ISNUMBER($D369),ISNUMBER($F369)),IF($D369&gt;$F369,1,0),0)+IF(AND(ISNUMBER($E369),ISNUMBER($F369)),IF($E369&gt;$F369,1,0),0)</f>
        <v>0</v>
      </c>
      <c r="X369" s="13" t="s">
        <v>76</v>
      </c>
    </row>
    <row r="370" customFormat="false" ht="15" hidden="false" customHeight="false" outlineLevel="0" collapsed="false">
      <c r="A370" s="10" t="s">
        <v>1469</v>
      </c>
      <c r="B370" s="10" t="s">
        <v>1470</v>
      </c>
      <c r="C370" s="10" t="s">
        <v>1471</v>
      </c>
      <c r="D370" s="12" t="n">
        <v>1251</v>
      </c>
      <c r="E370" s="12"/>
      <c r="F370" s="12"/>
      <c r="G370" s="10" t="s">
        <v>1472</v>
      </c>
      <c r="H370" s="10" t="s">
        <v>1332</v>
      </c>
      <c r="I370" s="10" t="s">
        <v>1466</v>
      </c>
      <c r="J370" s="10" t="s">
        <v>1467</v>
      </c>
      <c r="K370" s="10" t="s">
        <v>1332</v>
      </c>
      <c r="L370" s="10" t="s">
        <v>68</v>
      </c>
      <c r="M370" s="10" t="s">
        <v>69</v>
      </c>
      <c r="N370" s="10"/>
      <c r="O370" s="10"/>
      <c r="P370" s="10" t="s">
        <v>637</v>
      </c>
      <c r="Q370" s="11" t="s">
        <v>72</v>
      </c>
      <c r="R370" s="11" t="s">
        <v>1090</v>
      </c>
      <c r="S370" s="11" t="s">
        <v>1278</v>
      </c>
      <c r="T370" s="11" t="s">
        <v>1473</v>
      </c>
      <c r="U370" s="10" t="n">
        <f aca="false">IF(AND($D370="",$E370="",$F370=""),1,0)</f>
        <v>0</v>
      </c>
      <c r="V370" s="10" t="n">
        <f aca="false">IF(OR($I370="",$I370="—"),1,0)</f>
        <v>0</v>
      </c>
      <c r="W370" s="10" t="n">
        <f aca="false">IF(AND(ISNUMBER($D370),ISNUMBER($E370)),IF($E370&gt;$D370,1,0),0)+IF(AND(ISNUMBER($D370),ISNUMBER($F370)),IF($D370&gt;$F370,1,0),0)+IF(AND(ISNUMBER($E370),ISNUMBER($F370)),IF($E370&gt;$F370,1,0),0)</f>
        <v>0</v>
      </c>
      <c r="X370" s="13" t="s">
        <v>76</v>
      </c>
    </row>
    <row r="371" customFormat="false" ht="15" hidden="false" customHeight="false" outlineLevel="0" collapsed="false">
      <c r="A371" s="10" t="s">
        <v>1474</v>
      </c>
      <c r="B371" s="10" t="s">
        <v>1475</v>
      </c>
      <c r="C371" s="10" t="s">
        <v>1476</v>
      </c>
      <c r="D371" s="12" t="n">
        <v>18</v>
      </c>
      <c r="E371" s="12"/>
      <c r="F371" s="12"/>
      <c r="G371" s="10" t="s">
        <v>1419</v>
      </c>
      <c r="H371" s="10" t="s">
        <v>1477</v>
      </c>
      <c r="I371" s="10" t="s">
        <v>1478</v>
      </c>
      <c r="J371" s="10" t="s">
        <v>1479</v>
      </c>
      <c r="K371" s="10" t="s">
        <v>1480</v>
      </c>
      <c r="L371" s="10" t="s">
        <v>68</v>
      </c>
      <c r="M371" s="10" t="s">
        <v>69</v>
      </c>
      <c r="N371" s="10"/>
      <c r="O371" s="10"/>
      <c r="P371" s="10" t="s">
        <v>637</v>
      </c>
      <c r="Q371" s="11" t="s">
        <v>72</v>
      </c>
      <c r="R371" s="11" t="s">
        <v>1090</v>
      </c>
      <c r="S371" s="11" t="s">
        <v>710</v>
      </c>
      <c r="T371" s="11" t="s">
        <v>1481</v>
      </c>
      <c r="U371" s="10" t="n">
        <f aca="false">IF(AND($D371="",$E371="",$F371=""),1,0)</f>
        <v>0</v>
      </c>
      <c r="V371" s="10" t="n">
        <f aca="false">IF(OR($I371="",$I371="—"),1,0)</f>
        <v>0</v>
      </c>
      <c r="W371" s="10" t="n">
        <f aca="false">IF(AND(ISNUMBER($D371),ISNUMBER($E371)),IF($E371&gt;$D371,1,0),0)+IF(AND(ISNUMBER($D371),ISNUMBER($F371)),IF($D371&gt;$F371,1,0),0)+IF(AND(ISNUMBER($E371),ISNUMBER($F371)),IF($E371&gt;$F371,1,0),0)</f>
        <v>0</v>
      </c>
      <c r="X371" s="13" t="s">
        <v>76</v>
      </c>
    </row>
    <row r="372" customFormat="false" ht="15" hidden="false" customHeight="false" outlineLevel="0" collapsed="false">
      <c r="A372" s="10" t="s">
        <v>1482</v>
      </c>
      <c r="B372" s="10" t="s">
        <v>1483</v>
      </c>
      <c r="C372" s="10" t="s">
        <v>1484</v>
      </c>
      <c r="D372" s="12" t="n">
        <v>12.6</v>
      </c>
      <c r="E372" s="12"/>
      <c r="F372" s="12"/>
      <c r="G372" s="10" t="s">
        <v>1419</v>
      </c>
      <c r="H372" s="10" t="s">
        <v>1485</v>
      </c>
      <c r="I372" s="10" t="s">
        <v>1486</v>
      </c>
      <c r="J372" s="10" t="s">
        <v>1088</v>
      </c>
      <c r="K372" s="10" t="s">
        <v>1089</v>
      </c>
      <c r="L372" s="10" t="s">
        <v>68</v>
      </c>
      <c r="M372" s="10" t="s">
        <v>69</v>
      </c>
      <c r="N372" s="10"/>
      <c r="O372" s="10"/>
      <c r="P372" s="10" t="s">
        <v>637</v>
      </c>
      <c r="Q372" s="11" t="s">
        <v>72</v>
      </c>
      <c r="R372" s="11" t="s">
        <v>1090</v>
      </c>
      <c r="S372" s="11" t="s">
        <v>710</v>
      </c>
      <c r="T372" s="11" t="s">
        <v>1487</v>
      </c>
      <c r="U372" s="10" t="n">
        <f aca="false">IF(AND($D372="",$E372="",$F372=""),1,0)</f>
        <v>0</v>
      </c>
      <c r="V372" s="10" t="n">
        <f aca="false">IF(OR($I372="",$I372="—"),1,0)</f>
        <v>0</v>
      </c>
      <c r="W372" s="10" t="n">
        <f aca="false">IF(AND(ISNUMBER($D372),ISNUMBER($E372)),IF($E372&gt;$D372,1,0),0)+IF(AND(ISNUMBER($D372),ISNUMBER($F372)),IF($D372&gt;$F372,1,0),0)+IF(AND(ISNUMBER($E372),ISNUMBER($F372)),IF($E372&gt;$F372,1,0),0)</f>
        <v>0</v>
      </c>
      <c r="X372" s="13" t="s">
        <v>76</v>
      </c>
    </row>
    <row r="373" customFormat="false" ht="15" hidden="false" customHeight="false" outlineLevel="0" collapsed="false">
      <c r="A373" s="10" t="s">
        <v>1488</v>
      </c>
      <c r="B373" s="10" t="s">
        <v>1489</v>
      </c>
      <c r="C373" s="10" t="s">
        <v>1490</v>
      </c>
      <c r="D373" s="12" t="n">
        <v>72</v>
      </c>
      <c r="E373" s="12"/>
      <c r="F373" s="12"/>
      <c r="G373" s="10" t="s">
        <v>1419</v>
      </c>
      <c r="H373" s="10" t="s">
        <v>1477</v>
      </c>
      <c r="I373" s="10" t="s">
        <v>1478</v>
      </c>
      <c r="J373" s="10" t="s">
        <v>1479</v>
      </c>
      <c r="K373" s="10" t="s">
        <v>1480</v>
      </c>
      <c r="L373" s="10" t="s">
        <v>68</v>
      </c>
      <c r="M373" s="10" t="s">
        <v>69</v>
      </c>
      <c r="N373" s="10"/>
      <c r="O373" s="10"/>
      <c r="P373" s="10" t="s">
        <v>637</v>
      </c>
      <c r="Q373" s="11" t="s">
        <v>72</v>
      </c>
      <c r="R373" s="11" t="s">
        <v>1090</v>
      </c>
      <c r="S373" s="11" t="s">
        <v>710</v>
      </c>
      <c r="T373" s="11" t="s">
        <v>1491</v>
      </c>
      <c r="U373" s="10" t="n">
        <f aca="false">IF(AND($D373="",$E373="",$F373=""),1,0)</f>
        <v>0</v>
      </c>
      <c r="V373" s="10" t="n">
        <f aca="false">IF(OR($I373="",$I373="—"),1,0)</f>
        <v>0</v>
      </c>
      <c r="W373" s="10" t="n">
        <f aca="false">IF(AND(ISNUMBER($D373),ISNUMBER($E373)),IF($E373&gt;$D373,1,0),0)+IF(AND(ISNUMBER($D373),ISNUMBER($F373)),IF($D373&gt;$F373,1,0),0)+IF(AND(ISNUMBER($E373),ISNUMBER($F373)),IF($E373&gt;$F373,1,0),0)</f>
        <v>0</v>
      </c>
      <c r="X373" s="13" t="s">
        <v>76</v>
      </c>
    </row>
    <row r="374" customFormat="false" ht="15" hidden="false" customHeight="false" outlineLevel="0" collapsed="false">
      <c r="A374" s="10" t="s">
        <v>1492</v>
      </c>
      <c r="B374" s="10" t="s">
        <v>1493</v>
      </c>
      <c r="C374" s="10" t="s">
        <v>1494</v>
      </c>
      <c r="D374" s="12" t="n">
        <v>50.4</v>
      </c>
      <c r="E374" s="12"/>
      <c r="F374" s="12"/>
      <c r="G374" s="10" t="s">
        <v>1419</v>
      </c>
      <c r="H374" s="10" t="s">
        <v>1485</v>
      </c>
      <c r="I374" s="10" t="s">
        <v>1486</v>
      </c>
      <c r="J374" s="10" t="s">
        <v>1088</v>
      </c>
      <c r="K374" s="10" t="s">
        <v>1089</v>
      </c>
      <c r="L374" s="10" t="s">
        <v>68</v>
      </c>
      <c r="M374" s="10" t="s">
        <v>69</v>
      </c>
      <c r="N374" s="10"/>
      <c r="O374" s="10"/>
      <c r="P374" s="10" t="s">
        <v>637</v>
      </c>
      <c r="Q374" s="11" t="s">
        <v>72</v>
      </c>
      <c r="R374" s="11" t="s">
        <v>1090</v>
      </c>
      <c r="S374" s="11" t="s">
        <v>710</v>
      </c>
      <c r="T374" s="11" t="s">
        <v>1487</v>
      </c>
      <c r="U374" s="10" t="n">
        <f aca="false">IF(AND($D374="",$E374="",$F374=""),1,0)</f>
        <v>0</v>
      </c>
      <c r="V374" s="10" t="n">
        <f aca="false">IF(OR($I374="",$I374="—"),1,0)</f>
        <v>0</v>
      </c>
      <c r="W374" s="10" t="n">
        <f aca="false">IF(AND(ISNUMBER($D374),ISNUMBER($E374)),IF($E374&gt;$D374,1,0),0)+IF(AND(ISNUMBER($D374),ISNUMBER($F374)),IF($D374&gt;$F374,1,0),0)+IF(AND(ISNUMBER($E374),ISNUMBER($F374)),IF($E374&gt;$F374,1,0),0)</f>
        <v>0</v>
      </c>
      <c r="X374" s="13" t="s">
        <v>76</v>
      </c>
    </row>
    <row r="375" customFormat="false" ht="15" hidden="false" customHeight="false" outlineLevel="0" collapsed="false">
      <c r="A375" s="10" t="s">
        <v>1495</v>
      </c>
      <c r="B375" s="10" t="s">
        <v>1496</v>
      </c>
      <c r="C375" s="10" t="s">
        <v>1497</v>
      </c>
      <c r="D375" s="12" t="n">
        <v>160</v>
      </c>
      <c r="E375" s="12"/>
      <c r="F375" s="12"/>
      <c r="G375" s="10" t="s">
        <v>1419</v>
      </c>
      <c r="H375" s="10" t="s">
        <v>1477</v>
      </c>
      <c r="I375" s="10" t="s">
        <v>1478</v>
      </c>
      <c r="J375" s="10" t="s">
        <v>1479</v>
      </c>
      <c r="K375" s="10" t="s">
        <v>1480</v>
      </c>
      <c r="L375" s="10" t="s">
        <v>68</v>
      </c>
      <c r="M375" s="10" t="s">
        <v>69</v>
      </c>
      <c r="N375" s="10"/>
      <c r="O375" s="10"/>
      <c r="P375" s="10" t="s">
        <v>637</v>
      </c>
      <c r="Q375" s="11" t="s">
        <v>72</v>
      </c>
      <c r="R375" s="11" t="s">
        <v>1090</v>
      </c>
      <c r="S375" s="11" t="s">
        <v>710</v>
      </c>
      <c r="T375" s="11" t="s">
        <v>1498</v>
      </c>
      <c r="U375" s="10" t="n">
        <f aca="false">IF(AND($D375="",$E375="",$F375=""),1,0)</f>
        <v>0</v>
      </c>
      <c r="V375" s="10" t="n">
        <f aca="false">IF(OR($I375="",$I375="—"),1,0)</f>
        <v>0</v>
      </c>
      <c r="W375" s="10" t="n">
        <f aca="false">IF(AND(ISNUMBER($D375),ISNUMBER($E375)),IF($E375&gt;$D375,1,0),0)+IF(AND(ISNUMBER($D375),ISNUMBER($F375)),IF($D375&gt;$F375,1,0),0)+IF(AND(ISNUMBER($E375),ISNUMBER($F375)),IF($E375&gt;$F375,1,0),0)</f>
        <v>0</v>
      </c>
      <c r="X375" s="13" t="s">
        <v>76</v>
      </c>
    </row>
    <row r="376" customFormat="false" ht="15" hidden="false" customHeight="false" outlineLevel="0" collapsed="false">
      <c r="A376" s="10" t="s">
        <v>1499</v>
      </c>
      <c r="B376" s="10" t="s">
        <v>1500</v>
      </c>
      <c r="C376" s="10" t="s">
        <v>1501</v>
      </c>
      <c r="D376" s="12" t="n">
        <v>112</v>
      </c>
      <c r="E376" s="12"/>
      <c r="F376" s="12"/>
      <c r="G376" s="10" t="s">
        <v>1419</v>
      </c>
      <c r="H376" s="10" t="s">
        <v>1485</v>
      </c>
      <c r="I376" s="10" t="s">
        <v>1486</v>
      </c>
      <c r="J376" s="10" t="s">
        <v>1088</v>
      </c>
      <c r="K376" s="10" t="s">
        <v>1089</v>
      </c>
      <c r="L376" s="10" t="s">
        <v>68</v>
      </c>
      <c r="M376" s="10" t="s">
        <v>69</v>
      </c>
      <c r="N376" s="10"/>
      <c r="O376" s="10"/>
      <c r="P376" s="10" t="s">
        <v>637</v>
      </c>
      <c r="Q376" s="11" t="s">
        <v>72</v>
      </c>
      <c r="R376" s="11" t="s">
        <v>1090</v>
      </c>
      <c r="S376" s="11" t="s">
        <v>710</v>
      </c>
      <c r="T376" s="11" t="s">
        <v>1487</v>
      </c>
      <c r="U376" s="10" t="n">
        <f aca="false">IF(AND($D376="",$E376="",$F376=""),1,0)</f>
        <v>0</v>
      </c>
      <c r="V376" s="10" t="n">
        <f aca="false">IF(OR($I376="",$I376="—"),1,0)</f>
        <v>0</v>
      </c>
      <c r="W376" s="10" t="n">
        <f aca="false">IF(AND(ISNUMBER($D376),ISNUMBER($E376)),IF($E376&gt;$D376,1,0),0)+IF(AND(ISNUMBER($D376),ISNUMBER($F376)),IF($D376&gt;$F376,1,0),0)+IF(AND(ISNUMBER($E376),ISNUMBER($F376)),IF($E376&gt;$F376,1,0),0)</f>
        <v>0</v>
      </c>
      <c r="X376" s="13" t="s">
        <v>76</v>
      </c>
    </row>
    <row r="377" customFormat="false" ht="15" hidden="false" customHeight="false" outlineLevel="0" collapsed="false">
      <c r="A377" s="10" t="s">
        <v>1502</v>
      </c>
      <c r="B377" s="10" t="s">
        <v>1503</v>
      </c>
      <c r="C377" s="10" t="s">
        <v>1504</v>
      </c>
      <c r="D377" s="12" t="n">
        <v>30</v>
      </c>
      <c r="E377" s="12"/>
      <c r="F377" s="12"/>
      <c r="G377" s="10" t="s">
        <v>1505</v>
      </c>
      <c r="H377" s="10" t="s">
        <v>1506</v>
      </c>
      <c r="I377" s="10" t="s">
        <v>1507</v>
      </c>
      <c r="J377" s="10" t="s">
        <v>1088</v>
      </c>
      <c r="K377" s="10" t="s">
        <v>1089</v>
      </c>
      <c r="L377" s="10" t="s">
        <v>68</v>
      </c>
      <c r="M377" s="10" t="s">
        <v>69</v>
      </c>
      <c r="N377" s="10"/>
      <c r="O377" s="10"/>
      <c r="P377" s="10" t="s">
        <v>637</v>
      </c>
      <c r="Q377" s="11" t="s">
        <v>72</v>
      </c>
      <c r="R377" s="11" t="s">
        <v>1090</v>
      </c>
      <c r="S377" s="11" t="s">
        <v>710</v>
      </c>
      <c r="T377" s="10" t="s">
        <v>1508</v>
      </c>
      <c r="U377" s="10" t="n">
        <f aca="false">IF(AND($D377="",$E377="",$F377=""),1,0)</f>
        <v>0</v>
      </c>
      <c r="V377" s="10" t="n">
        <f aca="false">IF(OR($I377="",$I377="—"),1,0)</f>
        <v>0</v>
      </c>
      <c r="W377" s="10" t="n">
        <f aca="false">IF(AND(ISNUMBER($D377),ISNUMBER($E377)),IF($E377&gt;$D377,1,0),0)+IF(AND(ISNUMBER($D377),ISNUMBER($F377)),IF($D377&gt;$F377,1,0),0)+IF(AND(ISNUMBER($E377),ISNUMBER($F377)),IF($E377&gt;$F377,1,0),0)</f>
        <v>0</v>
      </c>
      <c r="X377" s="13" t="s">
        <v>76</v>
      </c>
    </row>
    <row r="378" customFormat="false" ht="15" hidden="false" customHeight="false" outlineLevel="0" collapsed="false">
      <c r="A378" s="10" t="s">
        <v>1509</v>
      </c>
      <c r="B378" s="10" t="s">
        <v>1510</v>
      </c>
      <c r="C378" s="10" t="s">
        <v>1511</v>
      </c>
      <c r="D378" s="12" t="n">
        <v>90</v>
      </c>
      <c r="E378" s="12"/>
      <c r="F378" s="12"/>
      <c r="G378" s="10" t="s">
        <v>1505</v>
      </c>
      <c r="H378" s="10" t="s">
        <v>1506</v>
      </c>
      <c r="I378" s="10" t="s">
        <v>1507</v>
      </c>
      <c r="J378" s="10" t="s">
        <v>1088</v>
      </c>
      <c r="K378" s="10" t="s">
        <v>1089</v>
      </c>
      <c r="L378" s="10" t="s">
        <v>68</v>
      </c>
      <c r="M378" s="10" t="s">
        <v>69</v>
      </c>
      <c r="N378" s="10"/>
      <c r="O378" s="10"/>
      <c r="P378" s="10" t="s">
        <v>637</v>
      </c>
      <c r="Q378" s="11" t="s">
        <v>72</v>
      </c>
      <c r="R378" s="11" t="s">
        <v>1090</v>
      </c>
      <c r="S378" s="11" t="s">
        <v>710</v>
      </c>
      <c r="T378" s="10" t="s">
        <v>1512</v>
      </c>
      <c r="U378" s="10" t="n">
        <f aca="false">IF(AND($D378="",$E378="",$F378=""),1,0)</f>
        <v>0</v>
      </c>
      <c r="V378" s="10" t="n">
        <f aca="false">IF(OR($I378="",$I378="—"),1,0)</f>
        <v>0</v>
      </c>
      <c r="W378" s="10" t="n">
        <f aca="false">IF(AND(ISNUMBER($D378),ISNUMBER($E378)),IF($E378&gt;$D378,1,0),0)+IF(AND(ISNUMBER($D378),ISNUMBER($F378)),IF($D378&gt;$F378,1,0),0)+IF(AND(ISNUMBER($E378),ISNUMBER($F378)),IF($E378&gt;$F378,1,0),0)</f>
        <v>0</v>
      </c>
      <c r="X378" s="13" t="s">
        <v>76</v>
      </c>
    </row>
    <row r="379" customFormat="false" ht="15" hidden="false" customHeight="false" outlineLevel="0" collapsed="false">
      <c r="A379" s="10" t="s">
        <v>1513</v>
      </c>
      <c r="B379" s="10" t="s">
        <v>1514</v>
      </c>
      <c r="C379" s="10" t="s">
        <v>1515</v>
      </c>
      <c r="D379" s="12" t="n">
        <v>240</v>
      </c>
      <c r="E379" s="12"/>
      <c r="F379" s="12"/>
      <c r="G379" s="10" t="s">
        <v>1505</v>
      </c>
      <c r="H379" s="10" t="s">
        <v>1506</v>
      </c>
      <c r="I379" s="10" t="s">
        <v>1507</v>
      </c>
      <c r="J379" s="10" t="s">
        <v>1088</v>
      </c>
      <c r="K379" s="10" t="s">
        <v>1089</v>
      </c>
      <c r="L379" s="10" t="s">
        <v>68</v>
      </c>
      <c r="M379" s="10" t="s">
        <v>69</v>
      </c>
      <c r="N379" s="10"/>
      <c r="O379" s="10"/>
      <c r="P379" s="10" t="s">
        <v>637</v>
      </c>
      <c r="Q379" s="11" t="s">
        <v>72</v>
      </c>
      <c r="R379" s="11" t="s">
        <v>1090</v>
      </c>
      <c r="S379" s="11" t="s">
        <v>710</v>
      </c>
      <c r="T379" s="10" t="s">
        <v>1516</v>
      </c>
      <c r="U379" s="10" t="n">
        <f aca="false">IF(AND($D379="",$E379="",$F379=""),1,0)</f>
        <v>0</v>
      </c>
      <c r="V379" s="10" t="n">
        <f aca="false">IF(OR($I379="",$I379="—"),1,0)</f>
        <v>0</v>
      </c>
      <c r="W379" s="10" t="n">
        <f aca="false">IF(AND(ISNUMBER($D379),ISNUMBER($E379)),IF($E379&gt;$D379,1,0),0)+IF(AND(ISNUMBER($D379),ISNUMBER($F379)),IF($D379&gt;$F379,1,0),0)+IF(AND(ISNUMBER($E379),ISNUMBER($F379)),IF($E379&gt;$F379,1,0),0)</f>
        <v>0</v>
      </c>
      <c r="X379" s="13" t="s">
        <v>76</v>
      </c>
    </row>
    <row r="380" customFormat="false" ht="15" hidden="false" customHeight="false" outlineLevel="0" collapsed="false">
      <c r="A380" s="10" t="s">
        <v>1517</v>
      </c>
      <c r="B380" s="10" t="s">
        <v>1518</v>
      </c>
      <c r="C380" s="10" t="s">
        <v>1519</v>
      </c>
      <c r="D380" s="12" t="n">
        <v>80</v>
      </c>
      <c r="E380" s="12"/>
      <c r="F380" s="12"/>
      <c r="G380" s="10" t="s">
        <v>1520</v>
      </c>
      <c r="H380" s="10" t="s">
        <v>1521</v>
      </c>
      <c r="I380" s="10" t="s">
        <v>1403</v>
      </c>
      <c r="J380" s="10" t="s">
        <v>1404</v>
      </c>
      <c r="K380" s="10" t="s">
        <v>1405</v>
      </c>
      <c r="L380" s="10" t="s">
        <v>68</v>
      </c>
      <c r="M380" s="10" t="s">
        <v>69</v>
      </c>
      <c r="N380" s="10"/>
      <c r="O380" s="10"/>
      <c r="P380" s="10" t="s">
        <v>637</v>
      </c>
      <c r="Q380" s="11" t="s">
        <v>72</v>
      </c>
      <c r="R380" s="11" t="s">
        <v>1090</v>
      </c>
      <c r="S380" s="11" t="s">
        <v>710</v>
      </c>
      <c r="T380" s="10" t="s">
        <v>1522</v>
      </c>
      <c r="U380" s="10" t="n">
        <f aca="false">IF(AND($D380="",$E380="",$F380=""),1,0)</f>
        <v>0</v>
      </c>
      <c r="V380" s="10" t="n">
        <f aca="false">IF(OR($I380="",$I380="—"),1,0)</f>
        <v>0</v>
      </c>
      <c r="W380" s="10" t="n">
        <f aca="false">IF(AND(ISNUMBER($D380),ISNUMBER($E380)),IF($E380&gt;$D380,1,0),0)+IF(AND(ISNUMBER($D380),ISNUMBER($F380)),IF($D380&gt;$F380,1,0),0)+IF(AND(ISNUMBER($E380),ISNUMBER($F380)),IF($E380&gt;$F380,1,0),0)</f>
        <v>0</v>
      </c>
      <c r="X380" s="13" t="s">
        <v>76</v>
      </c>
    </row>
    <row r="381" customFormat="false" ht="15" hidden="false" customHeight="false" outlineLevel="0" collapsed="false">
      <c r="A381" s="10" t="s">
        <v>1523</v>
      </c>
      <c r="B381" s="10" t="s">
        <v>1524</v>
      </c>
      <c r="C381" s="10" t="s">
        <v>1525</v>
      </c>
      <c r="D381" s="12" t="n">
        <v>400</v>
      </c>
      <c r="E381" s="12"/>
      <c r="F381" s="12"/>
      <c r="G381" s="10" t="s">
        <v>1520</v>
      </c>
      <c r="H381" s="10" t="s">
        <v>1521</v>
      </c>
      <c r="I381" s="10" t="s">
        <v>1403</v>
      </c>
      <c r="J381" s="10" t="s">
        <v>1404</v>
      </c>
      <c r="K381" s="10" t="s">
        <v>1405</v>
      </c>
      <c r="L381" s="10" t="s">
        <v>68</v>
      </c>
      <c r="M381" s="10" t="s">
        <v>69</v>
      </c>
      <c r="N381" s="10"/>
      <c r="O381" s="10"/>
      <c r="P381" s="10" t="s">
        <v>637</v>
      </c>
      <c r="Q381" s="11" t="s">
        <v>72</v>
      </c>
      <c r="R381" s="11" t="s">
        <v>1090</v>
      </c>
      <c r="S381" s="11" t="s">
        <v>710</v>
      </c>
      <c r="T381" s="10" t="s">
        <v>1526</v>
      </c>
      <c r="U381" s="10" t="n">
        <f aca="false">IF(AND($D381="",$E381="",$F381=""),1,0)</f>
        <v>0</v>
      </c>
      <c r="V381" s="10" t="n">
        <f aca="false">IF(OR($I381="",$I381="—"),1,0)</f>
        <v>0</v>
      </c>
      <c r="W381" s="10" t="n">
        <f aca="false">IF(AND(ISNUMBER($D381),ISNUMBER($E381)),IF($E381&gt;$D381,1,0),0)+IF(AND(ISNUMBER($D381),ISNUMBER($F381)),IF($D381&gt;$F381,1,0),0)+IF(AND(ISNUMBER($E381),ISNUMBER($F381)),IF($E381&gt;$F381,1,0),0)</f>
        <v>0</v>
      </c>
      <c r="X381" s="13" t="s">
        <v>76</v>
      </c>
    </row>
    <row r="382" customFormat="false" ht="15" hidden="false" customHeight="false" outlineLevel="0" collapsed="false">
      <c r="A382" s="10" t="s">
        <v>1527</v>
      </c>
      <c r="B382" s="10" t="s">
        <v>1528</v>
      </c>
      <c r="C382" s="10" t="s">
        <v>1529</v>
      </c>
      <c r="D382" s="12" t="n">
        <v>1600</v>
      </c>
      <c r="E382" s="12"/>
      <c r="F382" s="12"/>
      <c r="G382" s="10" t="s">
        <v>1520</v>
      </c>
      <c r="H382" s="10" t="s">
        <v>1521</v>
      </c>
      <c r="I382" s="10" t="s">
        <v>1403</v>
      </c>
      <c r="J382" s="10" t="s">
        <v>1404</v>
      </c>
      <c r="K382" s="10" t="s">
        <v>1405</v>
      </c>
      <c r="L382" s="10" t="s">
        <v>68</v>
      </c>
      <c r="M382" s="10" t="s">
        <v>69</v>
      </c>
      <c r="N382" s="10"/>
      <c r="O382" s="10"/>
      <c r="P382" s="10" t="s">
        <v>637</v>
      </c>
      <c r="Q382" s="11" t="s">
        <v>72</v>
      </c>
      <c r="R382" s="11" t="s">
        <v>1090</v>
      </c>
      <c r="S382" s="11" t="s">
        <v>710</v>
      </c>
      <c r="T382" s="10" t="s">
        <v>1530</v>
      </c>
      <c r="U382" s="10" t="n">
        <f aca="false">IF(AND($D382="",$E382="",$F382=""),1,0)</f>
        <v>0</v>
      </c>
      <c r="V382" s="10" t="n">
        <f aca="false">IF(OR($I382="",$I382="—"),1,0)</f>
        <v>0</v>
      </c>
      <c r="W382" s="10" t="n">
        <f aca="false">IF(AND(ISNUMBER($D382),ISNUMBER($E382)),IF($E382&gt;$D382,1,0),0)+IF(AND(ISNUMBER($D382),ISNUMBER($F382)),IF($D382&gt;$F382,1,0),0)+IF(AND(ISNUMBER($E382),ISNUMBER($F382)),IF($E382&gt;$F382,1,0),0)</f>
        <v>0</v>
      </c>
      <c r="X382" s="13" t="s">
        <v>76</v>
      </c>
    </row>
    <row r="383" customFormat="false" ht="15" hidden="false" customHeight="false" outlineLevel="0" collapsed="false">
      <c r="A383" s="10" t="s">
        <v>1531</v>
      </c>
      <c r="B383" s="10" t="s">
        <v>1532</v>
      </c>
      <c r="C383" s="11" t="s">
        <v>1533</v>
      </c>
      <c r="D383" s="12"/>
      <c r="E383" s="12" t="n">
        <v>15</v>
      </c>
      <c r="F383" s="12" t="n">
        <v>20</v>
      </c>
      <c r="G383" s="11" t="s">
        <v>1534</v>
      </c>
      <c r="H383" s="10" t="s">
        <v>1347</v>
      </c>
      <c r="I383" s="10" t="s">
        <v>1403</v>
      </c>
      <c r="J383" s="10" t="s">
        <v>1404</v>
      </c>
      <c r="K383" s="10" t="s">
        <v>1405</v>
      </c>
      <c r="L383" s="10" t="s">
        <v>68</v>
      </c>
      <c r="M383" s="10" t="s">
        <v>416</v>
      </c>
      <c r="N383" s="11" t="s">
        <v>1363</v>
      </c>
      <c r="O383" s="10"/>
      <c r="P383" s="10" t="s">
        <v>637</v>
      </c>
      <c r="Q383" s="11" t="s">
        <v>72</v>
      </c>
      <c r="R383" s="11" t="s">
        <v>1363</v>
      </c>
      <c r="S383" s="11" t="s">
        <v>710</v>
      </c>
      <c r="T383" s="11" t="s">
        <v>1535</v>
      </c>
      <c r="U383" s="10" t="n">
        <f aca="false">IF(AND($D383="",$E383="",$F383=""),1,0)</f>
        <v>0</v>
      </c>
      <c r="V383" s="10" t="n">
        <f aca="false">IF(OR($I383="",$I383="—"),1,0)</f>
        <v>0</v>
      </c>
      <c r="W383" s="10" t="n">
        <f aca="false">IF(AND(ISNUMBER($D383),ISNUMBER($E383)),IF($E383&gt;$D383,1,0),0)+IF(AND(ISNUMBER($D383),ISNUMBER($F383)),IF($D383&gt;$F383,1,0),0)+IF(AND(ISNUMBER($E383),ISNUMBER($F383)),IF($E383&gt;$F383,1,0),0)</f>
        <v>0</v>
      </c>
      <c r="X383" s="13" t="s">
        <v>76</v>
      </c>
    </row>
    <row r="384" customFormat="false" ht="15" hidden="false" customHeight="false" outlineLevel="0" collapsed="false">
      <c r="A384" s="10" t="s">
        <v>1536</v>
      </c>
      <c r="B384" s="10" t="s">
        <v>1537</v>
      </c>
      <c r="C384" s="11" t="s">
        <v>1538</v>
      </c>
      <c r="D384" s="12" t="n">
        <v>79</v>
      </c>
      <c r="E384" s="12"/>
      <c r="F384" s="12"/>
      <c r="G384" s="10" t="s">
        <v>1410</v>
      </c>
      <c r="H384" s="10" t="s">
        <v>1539</v>
      </c>
      <c r="I384" s="10" t="s">
        <v>1540</v>
      </c>
      <c r="J384" s="10" t="s">
        <v>1541</v>
      </c>
      <c r="K384" s="10" t="s">
        <v>68</v>
      </c>
      <c r="L384" s="10" t="s">
        <v>68</v>
      </c>
      <c r="M384" s="10" t="s">
        <v>69</v>
      </c>
      <c r="N384" s="10"/>
      <c r="O384" s="10"/>
      <c r="P384" s="10" t="s">
        <v>71</v>
      </c>
      <c r="Q384" s="11" t="s">
        <v>72</v>
      </c>
      <c r="R384" s="11" t="s">
        <v>946</v>
      </c>
      <c r="S384" s="11" t="s">
        <v>74</v>
      </c>
      <c r="T384" s="10" t="s">
        <v>1542</v>
      </c>
      <c r="U384" s="10" t="n">
        <f aca="false">IF(AND($D384="",$E384="",$F384=""),1,0)</f>
        <v>0</v>
      </c>
      <c r="V384" s="10" t="n">
        <f aca="false">IF(OR($I384="",$I384="—"),1,0)</f>
        <v>0</v>
      </c>
      <c r="W384" s="10" t="n">
        <f aca="false">IF(AND(ISNUMBER($D384),ISNUMBER($E384)),IF($E384&gt;$D384,1,0),0)+IF(AND(ISNUMBER($D384),ISNUMBER($F384)),IF($D384&gt;$F384,1,0),0)+IF(AND(ISNUMBER($E384),ISNUMBER($F384)),IF($E384&gt;$F384,1,0),0)</f>
        <v>0</v>
      </c>
      <c r="X384" s="13" t="s">
        <v>76</v>
      </c>
    </row>
    <row r="385" customFormat="false" ht="15" hidden="false" customHeight="false" outlineLevel="0" collapsed="false">
      <c r="A385" s="10" t="s">
        <v>1543</v>
      </c>
      <c r="B385" s="10" t="s">
        <v>1544</v>
      </c>
      <c r="C385" s="11" t="s">
        <v>1545</v>
      </c>
      <c r="D385" s="12" t="n">
        <v>219</v>
      </c>
      <c r="E385" s="12"/>
      <c r="F385" s="12"/>
      <c r="G385" s="10" t="s">
        <v>1465</v>
      </c>
      <c r="H385" s="10" t="s">
        <v>1539</v>
      </c>
      <c r="I385" s="10" t="s">
        <v>1540</v>
      </c>
      <c r="J385" s="10" t="s">
        <v>1541</v>
      </c>
      <c r="K385" s="10" t="s">
        <v>68</v>
      </c>
      <c r="L385" s="10" t="s">
        <v>68</v>
      </c>
      <c r="M385" s="10" t="s">
        <v>69</v>
      </c>
      <c r="N385" s="10"/>
      <c r="O385" s="10"/>
      <c r="P385" s="10" t="s">
        <v>71</v>
      </c>
      <c r="Q385" s="11" t="s">
        <v>72</v>
      </c>
      <c r="R385" s="11" t="s">
        <v>946</v>
      </c>
      <c r="S385" s="11" t="s">
        <v>74</v>
      </c>
      <c r="T385" s="11" t="s">
        <v>1546</v>
      </c>
      <c r="U385" s="10" t="n">
        <f aca="false">IF(AND($D385="",$E385="",$F385=""),1,0)</f>
        <v>0</v>
      </c>
      <c r="V385" s="10" t="n">
        <f aca="false">IF(OR($I385="",$I385="—"),1,0)</f>
        <v>0</v>
      </c>
      <c r="W385" s="10" t="n">
        <f aca="false">IF(AND(ISNUMBER($D385),ISNUMBER($E385)),IF($E385&gt;$D385,1,0),0)+IF(AND(ISNUMBER($D385),ISNUMBER($F385)),IF($D385&gt;$F385,1,0),0)+IF(AND(ISNUMBER($E385),ISNUMBER($F385)),IF($E385&gt;$F385,1,0),0)</f>
        <v>0</v>
      </c>
      <c r="X385" s="13" t="s">
        <v>76</v>
      </c>
    </row>
    <row r="386" customFormat="false" ht="15" hidden="false" customHeight="false" outlineLevel="0" collapsed="false">
      <c r="A386" s="10" t="s">
        <v>1547</v>
      </c>
      <c r="B386" s="10" t="s">
        <v>1548</v>
      </c>
      <c r="C386" s="11" t="s">
        <v>1549</v>
      </c>
      <c r="D386" s="12" t="n">
        <v>859</v>
      </c>
      <c r="E386" s="12"/>
      <c r="F386" s="12"/>
      <c r="G386" s="10" t="s">
        <v>1472</v>
      </c>
      <c r="H386" s="10" t="s">
        <v>1539</v>
      </c>
      <c r="I386" s="10" t="s">
        <v>1540</v>
      </c>
      <c r="J386" s="10" t="s">
        <v>1541</v>
      </c>
      <c r="K386" s="10" t="s">
        <v>68</v>
      </c>
      <c r="L386" s="10" t="s">
        <v>68</v>
      </c>
      <c r="M386" s="10" t="s">
        <v>69</v>
      </c>
      <c r="N386" s="10"/>
      <c r="O386" s="10"/>
      <c r="P386" s="10" t="s">
        <v>71</v>
      </c>
      <c r="Q386" s="11" t="s">
        <v>72</v>
      </c>
      <c r="R386" s="11" t="s">
        <v>946</v>
      </c>
      <c r="S386" s="11" t="s">
        <v>74</v>
      </c>
      <c r="T386" s="11" t="s">
        <v>1550</v>
      </c>
      <c r="U386" s="10" t="n">
        <f aca="false">IF(AND($D386="",$E386="",$F386=""),1,0)</f>
        <v>0</v>
      </c>
      <c r="V386" s="10" t="n">
        <f aca="false">IF(OR($I386="",$I386="—"),1,0)</f>
        <v>0</v>
      </c>
      <c r="W386" s="10" t="n">
        <f aca="false">IF(AND(ISNUMBER($D386),ISNUMBER($E386)),IF($E386&gt;$D386,1,0),0)+IF(AND(ISNUMBER($D386),ISNUMBER($F386)),IF($D386&gt;$F386,1,0),0)+IF(AND(ISNUMBER($E386),ISNUMBER($F386)),IF($E386&gt;$F386,1,0),0)</f>
        <v>0</v>
      </c>
      <c r="X386" s="13" t="s">
        <v>76</v>
      </c>
    </row>
    <row r="387" customFormat="false" ht="15" hidden="false" customHeight="false" outlineLevel="0" collapsed="false">
      <c r="A387" s="10" t="s">
        <v>1551</v>
      </c>
      <c r="B387" s="10" t="s">
        <v>1552</v>
      </c>
      <c r="C387" s="11" t="s">
        <v>1553</v>
      </c>
      <c r="D387" s="12" t="n">
        <v>119</v>
      </c>
      <c r="E387" s="12"/>
      <c r="F387" s="12"/>
      <c r="G387" s="10" t="s">
        <v>1410</v>
      </c>
      <c r="H387" s="10" t="s">
        <v>1539</v>
      </c>
      <c r="I387" s="10" t="s">
        <v>1540</v>
      </c>
      <c r="J387" s="10" t="s">
        <v>1541</v>
      </c>
      <c r="K387" s="10" t="s">
        <v>68</v>
      </c>
      <c r="L387" s="10" t="s">
        <v>68</v>
      </c>
      <c r="M387" s="10" t="s">
        <v>69</v>
      </c>
      <c r="N387" s="10"/>
      <c r="O387" s="10"/>
      <c r="P387" s="10" t="s">
        <v>71</v>
      </c>
      <c r="Q387" s="11" t="s">
        <v>72</v>
      </c>
      <c r="R387" s="11" t="s">
        <v>946</v>
      </c>
      <c r="S387" s="11" t="s">
        <v>74</v>
      </c>
      <c r="T387" s="11" t="s">
        <v>1554</v>
      </c>
      <c r="U387" s="10" t="n">
        <f aca="false">IF(AND($D387="",$E387="",$F387=""),1,0)</f>
        <v>0</v>
      </c>
      <c r="V387" s="10" t="n">
        <f aca="false">IF(OR($I387="",$I387="—"),1,0)</f>
        <v>0</v>
      </c>
      <c r="W387" s="10" t="n">
        <f aca="false">IF(AND(ISNUMBER($D387),ISNUMBER($E387)),IF($E387&gt;$D387,1,0),0)+IF(AND(ISNUMBER($D387),ISNUMBER($F387)),IF($D387&gt;$F387,1,0),0)+IF(AND(ISNUMBER($E387),ISNUMBER($F387)),IF($E387&gt;$F387,1,0),0)</f>
        <v>0</v>
      </c>
      <c r="X387" s="13" t="s">
        <v>76</v>
      </c>
    </row>
    <row r="388" customFormat="false" ht="15" hidden="false" customHeight="false" outlineLevel="0" collapsed="false">
      <c r="A388" s="10" t="s">
        <v>1555</v>
      </c>
      <c r="B388" s="10" t="s">
        <v>1556</v>
      </c>
      <c r="C388" s="11" t="s">
        <v>1557</v>
      </c>
      <c r="D388" s="12" t="n">
        <v>229</v>
      </c>
      <c r="E388" s="12"/>
      <c r="F388" s="12"/>
      <c r="G388" s="10" t="s">
        <v>1410</v>
      </c>
      <c r="H388" s="10" t="s">
        <v>1539</v>
      </c>
      <c r="I388" s="10" t="s">
        <v>1540</v>
      </c>
      <c r="J388" s="10" t="s">
        <v>1541</v>
      </c>
      <c r="K388" s="10" t="s">
        <v>68</v>
      </c>
      <c r="L388" s="10" t="s">
        <v>68</v>
      </c>
      <c r="M388" s="10" t="s">
        <v>69</v>
      </c>
      <c r="N388" s="10"/>
      <c r="O388" s="10"/>
      <c r="P388" s="10" t="s">
        <v>71</v>
      </c>
      <c r="Q388" s="11" t="s">
        <v>72</v>
      </c>
      <c r="R388" s="11" t="s">
        <v>946</v>
      </c>
      <c r="S388" s="11" t="s">
        <v>74</v>
      </c>
      <c r="T388" s="11" t="s">
        <v>1558</v>
      </c>
      <c r="U388" s="10" t="n">
        <f aca="false">IF(AND($D388="",$E388="",$F388=""),1,0)</f>
        <v>0</v>
      </c>
      <c r="V388" s="10" t="n">
        <f aca="false">IF(OR($I388="",$I388="—"),1,0)</f>
        <v>0</v>
      </c>
      <c r="W388" s="10" t="n">
        <f aca="false">IF(AND(ISNUMBER($D388),ISNUMBER($E388)),IF($E388&gt;$D388,1,0),0)+IF(AND(ISNUMBER($D388),ISNUMBER($F388)),IF($D388&gt;$F388,1,0),0)+IF(AND(ISNUMBER($E388),ISNUMBER($F388)),IF($E388&gt;$F388,1,0),0)</f>
        <v>0</v>
      </c>
      <c r="X388" s="13" t="s">
        <v>76</v>
      </c>
    </row>
    <row r="389" customFormat="false" ht="15" hidden="false" customHeight="false" outlineLevel="0" collapsed="false">
      <c r="A389" s="10" t="s">
        <v>1559</v>
      </c>
      <c r="B389" s="10" t="s">
        <v>1560</v>
      </c>
      <c r="C389" s="11" t="s">
        <v>1561</v>
      </c>
      <c r="D389" s="12" t="n">
        <v>19</v>
      </c>
      <c r="E389" s="12"/>
      <c r="F389" s="12"/>
      <c r="G389" s="10" t="s">
        <v>1410</v>
      </c>
      <c r="H389" s="11" t="s">
        <v>1562</v>
      </c>
      <c r="I389" s="10" t="s">
        <v>1540</v>
      </c>
      <c r="J389" s="10" t="s">
        <v>1541</v>
      </c>
      <c r="K389" s="10" t="s">
        <v>68</v>
      </c>
      <c r="L389" s="10" t="s">
        <v>68</v>
      </c>
      <c r="M389" s="10" t="s">
        <v>69</v>
      </c>
      <c r="N389" s="10"/>
      <c r="O389" s="10"/>
      <c r="P389" s="10" t="s">
        <v>71</v>
      </c>
      <c r="Q389" s="11" t="s">
        <v>72</v>
      </c>
      <c r="R389" s="11" t="s">
        <v>946</v>
      </c>
      <c r="S389" s="11" t="s">
        <v>74</v>
      </c>
      <c r="T389" s="11" t="s">
        <v>1563</v>
      </c>
      <c r="U389" s="10" t="n">
        <f aca="false">IF(AND($D389="",$E389="",$F389=""),1,0)</f>
        <v>0</v>
      </c>
      <c r="V389" s="10" t="n">
        <f aca="false">IF(OR($I389="",$I389="—"),1,0)</f>
        <v>0</v>
      </c>
      <c r="W389" s="10" t="n">
        <f aca="false">IF(AND(ISNUMBER($D389),ISNUMBER($E389)),IF($E389&gt;$D389,1,0),0)+IF(AND(ISNUMBER($D389),ISNUMBER($F389)),IF($D389&gt;$F389,1,0),0)+IF(AND(ISNUMBER($E389),ISNUMBER($F389)),IF($E389&gt;$F389,1,0),0)</f>
        <v>0</v>
      </c>
      <c r="X389" s="13" t="s">
        <v>76</v>
      </c>
    </row>
    <row r="390" customFormat="false" ht="15" hidden="false" customHeight="false" outlineLevel="0" collapsed="false">
      <c r="A390" s="10" t="s">
        <v>1564</v>
      </c>
      <c r="B390" s="10" t="s">
        <v>1565</v>
      </c>
      <c r="C390" s="10" t="s">
        <v>1566</v>
      </c>
      <c r="D390" s="12"/>
      <c r="E390" s="12"/>
      <c r="F390" s="12"/>
      <c r="G390" s="11" t="s">
        <v>1401</v>
      </c>
      <c r="H390" s="10" t="s">
        <v>1567</v>
      </c>
      <c r="I390" s="10" t="s">
        <v>1568</v>
      </c>
      <c r="J390" s="10" t="s">
        <v>1569</v>
      </c>
      <c r="K390" s="10" t="s">
        <v>68</v>
      </c>
      <c r="L390" s="10" t="s">
        <v>68</v>
      </c>
      <c r="M390" s="10" t="s">
        <v>69</v>
      </c>
      <c r="N390" s="10"/>
      <c r="O390" s="10"/>
      <c r="P390" s="10" t="s">
        <v>637</v>
      </c>
      <c r="Q390" s="11" t="s">
        <v>72</v>
      </c>
      <c r="R390" s="11" t="s">
        <v>1090</v>
      </c>
      <c r="S390" s="11" t="s">
        <v>710</v>
      </c>
      <c r="T390" s="11" t="s">
        <v>1570</v>
      </c>
      <c r="U390" s="10" t="n">
        <f aca="false">IF(AND($D390="",$E390="",$F390=""),1,0)</f>
        <v>1</v>
      </c>
      <c r="V390" s="10" t="n">
        <f aca="false">IF(OR($I390="",$I390="—"),1,0)</f>
        <v>0</v>
      </c>
      <c r="W390" s="10" t="n">
        <f aca="false">IF(AND(ISNUMBER($D390),ISNUMBER($E390)),IF($E390&gt;$D390,1,0),0)+IF(AND(ISNUMBER($D390),ISNUMBER($F390)),IF($D390&gt;$F390,1,0),0)+IF(AND(ISNUMBER($E390),ISNUMBER($F390)),IF($E390&gt;$F390,1,0),0)</f>
        <v>0</v>
      </c>
      <c r="X390" s="13" t="s">
        <v>76</v>
      </c>
    </row>
    <row r="391" customFormat="false" ht="15" hidden="false" customHeight="false" outlineLevel="0" collapsed="false">
      <c r="A391" s="10" t="s">
        <v>1571</v>
      </c>
      <c r="B391" s="10" t="s">
        <v>1572</v>
      </c>
      <c r="C391" s="10" t="s">
        <v>1573</v>
      </c>
      <c r="D391" s="12"/>
      <c r="E391" s="12"/>
      <c r="F391" s="12"/>
      <c r="G391" s="11" t="s">
        <v>1401</v>
      </c>
      <c r="H391" s="10" t="s">
        <v>1574</v>
      </c>
      <c r="I391" s="10" t="s">
        <v>1575</v>
      </c>
      <c r="J391" s="10" t="s">
        <v>1576</v>
      </c>
      <c r="K391" s="10" t="s">
        <v>68</v>
      </c>
      <c r="L391" s="10" t="s">
        <v>68</v>
      </c>
      <c r="M391" s="10" t="s">
        <v>69</v>
      </c>
      <c r="N391" s="10"/>
      <c r="O391" s="10"/>
      <c r="P391" s="10" t="s">
        <v>637</v>
      </c>
      <c r="Q391" s="11" t="s">
        <v>72</v>
      </c>
      <c r="R391" s="11" t="s">
        <v>1090</v>
      </c>
      <c r="S391" s="11" t="s">
        <v>1278</v>
      </c>
      <c r="T391" s="11" t="s">
        <v>1577</v>
      </c>
      <c r="U391" s="10" t="n">
        <f aca="false">IF(AND($D391="",$E391="",$F391=""),1,0)</f>
        <v>1</v>
      </c>
      <c r="V391" s="10" t="n">
        <f aca="false">IF(OR($I391="",$I391="—"),1,0)</f>
        <v>0</v>
      </c>
      <c r="W391" s="10" t="n">
        <f aca="false">IF(AND(ISNUMBER($D391),ISNUMBER($E391)),IF($E391&gt;$D391,1,0),0)+IF(AND(ISNUMBER($D391),ISNUMBER($F391)),IF($D391&gt;$F391,1,0),0)+IF(AND(ISNUMBER($E391),ISNUMBER($F391)),IF($E391&gt;$F391,1,0),0)</f>
        <v>0</v>
      </c>
      <c r="X391" s="13" t="s">
        <v>76</v>
      </c>
    </row>
    <row r="392" customFormat="false" ht="15" hidden="false" customHeight="false" outlineLevel="0" collapsed="false">
      <c r="A392" s="10" t="s">
        <v>1578</v>
      </c>
      <c r="B392" s="10" t="s">
        <v>1579</v>
      </c>
      <c r="C392" s="10" t="s">
        <v>1580</v>
      </c>
      <c r="D392" s="12"/>
      <c r="E392" s="12"/>
      <c r="F392" s="12"/>
      <c r="G392" s="11" t="s">
        <v>1401</v>
      </c>
      <c r="H392" s="10" t="s">
        <v>1305</v>
      </c>
      <c r="I392" s="10" t="s">
        <v>1568</v>
      </c>
      <c r="J392" s="10" t="s">
        <v>1569</v>
      </c>
      <c r="K392" s="10" t="s">
        <v>68</v>
      </c>
      <c r="L392" s="10" t="s">
        <v>68</v>
      </c>
      <c r="M392" s="10" t="s">
        <v>69</v>
      </c>
      <c r="N392" s="10"/>
      <c r="O392" s="10"/>
      <c r="P392" s="10" t="s">
        <v>637</v>
      </c>
      <c r="Q392" s="11" t="s">
        <v>72</v>
      </c>
      <c r="R392" s="11" t="s">
        <v>1090</v>
      </c>
      <c r="S392" s="11" t="s">
        <v>710</v>
      </c>
      <c r="T392" s="11" t="s">
        <v>1581</v>
      </c>
      <c r="U392" s="10" t="n">
        <f aca="false">IF(AND($D392="",$E392="",$F392=""),1,0)</f>
        <v>1</v>
      </c>
      <c r="V392" s="10" t="n">
        <f aca="false">IF(OR($I392="",$I392="—"),1,0)</f>
        <v>0</v>
      </c>
      <c r="W392" s="10" t="n">
        <f aca="false">IF(AND(ISNUMBER($D392),ISNUMBER($E392)),IF($E392&gt;$D392,1,0),0)+IF(AND(ISNUMBER($D392),ISNUMBER($F392)),IF($D392&gt;$F392,1,0),0)+IF(AND(ISNUMBER($E392),ISNUMBER($F392)),IF($E392&gt;$F392,1,0),0)</f>
        <v>0</v>
      </c>
      <c r="X392" s="13" t="s">
        <v>76</v>
      </c>
    </row>
    <row r="393" customFormat="false" ht="15" hidden="false" customHeight="false" outlineLevel="0" collapsed="false">
      <c r="A393" s="10" t="s">
        <v>1582</v>
      </c>
      <c r="B393" s="10" t="s">
        <v>1583</v>
      </c>
      <c r="C393" s="10" t="s">
        <v>1584</v>
      </c>
      <c r="D393" s="12"/>
      <c r="E393" s="12"/>
      <c r="F393" s="12"/>
      <c r="G393" s="11" t="s">
        <v>1401</v>
      </c>
      <c r="H393" s="10" t="s">
        <v>1585</v>
      </c>
      <c r="I393" s="10" t="s">
        <v>1575</v>
      </c>
      <c r="J393" s="10" t="s">
        <v>1576</v>
      </c>
      <c r="K393" s="10" t="s">
        <v>68</v>
      </c>
      <c r="L393" s="10" t="s">
        <v>68</v>
      </c>
      <c r="M393" s="10" t="s">
        <v>69</v>
      </c>
      <c r="N393" s="10"/>
      <c r="O393" s="10"/>
      <c r="P393" s="10" t="s">
        <v>637</v>
      </c>
      <c r="Q393" s="11" t="s">
        <v>72</v>
      </c>
      <c r="R393" s="11" t="s">
        <v>1090</v>
      </c>
      <c r="S393" s="11" t="s">
        <v>1278</v>
      </c>
      <c r="T393" s="11" t="s">
        <v>1586</v>
      </c>
      <c r="U393" s="10" t="n">
        <f aca="false">IF(AND($D393="",$E393="",$F393=""),1,0)</f>
        <v>1</v>
      </c>
      <c r="V393" s="10" t="n">
        <f aca="false">IF(OR($I393="",$I393="—"),1,0)</f>
        <v>0</v>
      </c>
      <c r="W393" s="10" t="n">
        <f aca="false">IF(AND(ISNUMBER($D393),ISNUMBER($E393)),IF($E393&gt;$D393,1,0),0)+IF(AND(ISNUMBER($D393),ISNUMBER($F393)),IF($D393&gt;$F393,1,0),0)+IF(AND(ISNUMBER($E393),ISNUMBER($F393)),IF($E393&gt;$F393,1,0),0)</f>
        <v>0</v>
      </c>
      <c r="X393" s="13" t="s">
        <v>76</v>
      </c>
    </row>
    <row r="394" customFormat="false" ht="15" hidden="false" customHeight="false" outlineLevel="0" collapsed="false">
      <c r="A394" s="10" t="s">
        <v>1587</v>
      </c>
      <c r="B394" s="10" t="s">
        <v>1588</v>
      </c>
      <c r="C394" s="10" t="s">
        <v>1589</v>
      </c>
      <c r="D394" s="12"/>
      <c r="E394" s="12"/>
      <c r="F394" s="12"/>
      <c r="G394" s="11" t="s">
        <v>1401</v>
      </c>
      <c r="H394" s="10" t="s">
        <v>1329</v>
      </c>
      <c r="I394" s="11" t="s">
        <v>1590</v>
      </c>
      <c r="J394" s="10" t="s">
        <v>1591</v>
      </c>
      <c r="K394" s="10" t="s">
        <v>1332</v>
      </c>
      <c r="L394" s="10" t="s">
        <v>68</v>
      </c>
      <c r="M394" s="10" t="s">
        <v>69</v>
      </c>
      <c r="N394" s="10"/>
      <c r="O394" s="10"/>
      <c r="P394" s="10" t="s">
        <v>637</v>
      </c>
      <c r="Q394" s="11" t="s">
        <v>72</v>
      </c>
      <c r="R394" s="11" t="s">
        <v>1090</v>
      </c>
      <c r="S394" s="11" t="s">
        <v>710</v>
      </c>
      <c r="T394" s="10" t="s">
        <v>1592</v>
      </c>
      <c r="U394" s="10" t="n">
        <f aca="false">IF(AND($D394="",$E394="",$F394=""),1,0)</f>
        <v>1</v>
      </c>
      <c r="V394" s="10" t="n">
        <f aca="false">IF(OR($I394="",$I394="—"),1,0)</f>
        <v>0</v>
      </c>
      <c r="W394" s="10" t="n">
        <f aca="false">IF(AND(ISNUMBER($D394),ISNUMBER($E394)),IF($E394&gt;$D394,1,0),0)+IF(AND(ISNUMBER($D394),ISNUMBER($F394)),IF($D394&gt;$F394,1,0),0)+IF(AND(ISNUMBER($E394),ISNUMBER($F394)),IF($E394&gt;$F394,1,0),0)</f>
        <v>0</v>
      </c>
      <c r="X394" s="13" t="s">
        <v>76</v>
      </c>
    </row>
    <row r="395" customFormat="false" ht="15" hidden="false" customHeight="false" outlineLevel="0" collapsed="false">
      <c r="A395" s="10" t="s">
        <v>1593</v>
      </c>
      <c r="B395" s="10" t="s">
        <v>1594</v>
      </c>
      <c r="C395" s="10" t="s">
        <v>1595</v>
      </c>
      <c r="D395" s="12"/>
      <c r="E395" s="12"/>
      <c r="F395" s="12"/>
      <c r="G395" s="11" t="s">
        <v>1401</v>
      </c>
      <c r="H395" s="10" t="s">
        <v>1315</v>
      </c>
      <c r="I395" s="10" t="s">
        <v>1575</v>
      </c>
      <c r="J395" s="10" t="s">
        <v>1576</v>
      </c>
      <c r="K395" s="10" t="s">
        <v>68</v>
      </c>
      <c r="L395" s="10" t="s">
        <v>68</v>
      </c>
      <c r="M395" s="10" t="s">
        <v>69</v>
      </c>
      <c r="N395" s="10"/>
      <c r="O395" s="10"/>
      <c r="P395" s="10" t="s">
        <v>637</v>
      </c>
      <c r="Q395" s="11" t="s">
        <v>72</v>
      </c>
      <c r="R395" s="11" t="s">
        <v>1090</v>
      </c>
      <c r="S395" s="11" t="s">
        <v>1278</v>
      </c>
      <c r="T395" s="11" t="s">
        <v>1596</v>
      </c>
      <c r="U395" s="10" t="n">
        <f aca="false">IF(AND($D395="",$E395="",$F395=""),1,0)</f>
        <v>1</v>
      </c>
      <c r="V395" s="10" t="n">
        <f aca="false">IF(OR($I395="",$I395="—"),1,0)</f>
        <v>0</v>
      </c>
      <c r="W395" s="10" t="n">
        <f aca="false">IF(AND(ISNUMBER($D395),ISNUMBER($E395)),IF($E395&gt;$D395,1,0),0)+IF(AND(ISNUMBER($D395),ISNUMBER($F395)),IF($D395&gt;$F395,1,0),0)+IF(AND(ISNUMBER($E395),ISNUMBER($F395)),IF($E395&gt;$F395,1,0),0)</f>
        <v>0</v>
      </c>
      <c r="X395" s="13" t="s">
        <v>76</v>
      </c>
    </row>
    <row r="396" customFormat="false" ht="15" hidden="false" customHeight="false" outlineLevel="0" collapsed="false">
      <c r="A396" s="10" t="s">
        <v>1597</v>
      </c>
      <c r="B396" s="10" t="s">
        <v>1598</v>
      </c>
      <c r="C396" s="10" t="s">
        <v>1599</v>
      </c>
      <c r="D396" s="12"/>
      <c r="E396" s="12"/>
      <c r="F396" s="12"/>
      <c r="G396" s="11" t="s">
        <v>1401</v>
      </c>
      <c r="H396" s="10" t="s">
        <v>1338</v>
      </c>
      <c r="I396" s="10" t="s">
        <v>1600</v>
      </c>
      <c r="J396" s="10" t="s">
        <v>1569</v>
      </c>
      <c r="K396" s="10" t="s">
        <v>68</v>
      </c>
      <c r="L396" s="10" t="s">
        <v>68</v>
      </c>
      <c r="M396" s="10" t="s">
        <v>69</v>
      </c>
      <c r="N396" s="10"/>
      <c r="O396" s="10"/>
      <c r="P396" s="10" t="s">
        <v>637</v>
      </c>
      <c r="Q396" s="11" t="s">
        <v>72</v>
      </c>
      <c r="R396" s="11" t="s">
        <v>1090</v>
      </c>
      <c r="S396" s="11" t="s">
        <v>710</v>
      </c>
      <c r="T396" s="11" t="s">
        <v>1601</v>
      </c>
      <c r="U396" s="10" t="n">
        <f aca="false">IF(AND($D396="",$E396="",$F396=""),1,0)</f>
        <v>1</v>
      </c>
      <c r="V396" s="10" t="n">
        <f aca="false">IF(OR($I396="",$I396="—"),1,0)</f>
        <v>0</v>
      </c>
      <c r="W396" s="10" t="n">
        <f aca="false">IF(AND(ISNUMBER($D396),ISNUMBER($E396)),IF($E396&gt;$D396,1,0),0)+IF(AND(ISNUMBER($D396),ISNUMBER($F396)),IF($D396&gt;$F396,1,0),0)+IF(AND(ISNUMBER($E396),ISNUMBER($F396)),IF($E396&gt;$F396,1,0),0)</f>
        <v>0</v>
      </c>
      <c r="X396" s="13" t="s">
        <v>76</v>
      </c>
    </row>
    <row r="397" customFormat="false" ht="15" hidden="false" customHeight="false" outlineLevel="0" collapsed="false">
      <c r="A397" s="10" t="s">
        <v>1602</v>
      </c>
      <c r="B397" s="10" t="s">
        <v>1603</v>
      </c>
      <c r="C397" s="10" t="s">
        <v>1604</v>
      </c>
      <c r="D397" s="12"/>
      <c r="E397" s="12"/>
      <c r="F397" s="12"/>
      <c r="G397" s="11" t="s">
        <v>1401</v>
      </c>
      <c r="H397" s="10" t="s">
        <v>1605</v>
      </c>
      <c r="I397" s="10" t="s">
        <v>1606</v>
      </c>
      <c r="J397" s="10" t="s">
        <v>1607</v>
      </c>
      <c r="K397" s="10" t="s">
        <v>1608</v>
      </c>
      <c r="L397" s="10" t="s">
        <v>68</v>
      </c>
      <c r="M397" s="10" t="s">
        <v>69</v>
      </c>
      <c r="N397" s="10"/>
      <c r="O397" s="10"/>
      <c r="P397" s="10" t="s">
        <v>637</v>
      </c>
      <c r="Q397" s="11" t="s">
        <v>72</v>
      </c>
      <c r="R397" s="11" t="s">
        <v>1090</v>
      </c>
      <c r="S397" s="11" t="s">
        <v>710</v>
      </c>
      <c r="T397" s="11" t="s">
        <v>1609</v>
      </c>
      <c r="U397" s="10" t="n">
        <f aca="false">IF(AND($D397="",$E397="",$F397=""),1,0)</f>
        <v>1</v>
      </c>
      <c r="V397" s="10" t="n">
        <f aca="false">IF(OR($I397="",$I397="—"),1,0)</f>
        <v>0</v>
      </c>
      <c r="W397" s="10" t="n">
        <f aca="false">IF(AND(ISNUMBER($D397),ISNUMBER($E397)),IF($E397&gt;$D397,1,0),0)+IF(AND(ISNUMBER($D397),ISNUMBER($F397)),IF($D397&gt;$F397,1,0),0)+IF(AND(ISNUMBER($E397),ISNUMBER($F397)),IF($E397&gt;$F397,1,0),0)</f>
        <v>0</v>
      </c>
      <c r="X397" s="13" t="s">
        <v>76</v>
      </c>
    </row>
    <row r="398" customFormat="false" ht="15" hidden="false" customHeight="false" outlineLevel="0" collapsed="false">
      <c r="A398" s="10" t="s">
        <v>1610</v>
      </c>
      <c r="B398" s="10" t="s">
        <v>1611</v>
      </c>
      <c r="C398" s="10" t="s">
        <v>1612</v>
      </c>
      <c r="D398" s="12"/>
      <c r="E398" s="12"/>
      <c r="F398" s="12"/>
      <c r="G398" s="11" t="s">
        <v>1401</v>
      </c>
      <c r="H398" s="10" t="s">
        <v>1613</v>
      </c>
      <c r="I398" s="11" t="s">
        <v>1614</v>
      </c>
      <c r="J398" s="10" t="s">
        <v>1276</v>
      </c>
      <c r="K398" s="10" t="s">
        <v>68</v>
      </c>
      <c r="L398" s="10" t="s">
        <v>68</v>
      </c>
      <c r="M398" s="10" t="s">
        <v>69</v>
      </c>
      <c r="N398" s="10"/>
      <c r="O398" s="10"/>
      <c r="P398" s="10" t="s">
        <v>637</v>
      </c>
      <c r="Q398" s="11" t="s">
        <v>72</v>
      </c>
      <c r="R398" s="11" t="s">
        <v>1090</v>
      </c>
      <c r="S398" s="11" t="s">
        <v>1278</v>
      </c>
      <c r="T398" s="11" t="s">
        <v>1615</v>
      </c>
      <c r="U398" s="10" t="n">
        <f aca="false">IF(AND($D398="",$E398="",$F398=""),1,0)</f>
        <v>1</v>
      </c>
      <c r="V398" s="10" t="n">
        <f aca="false">IF(OR($I398="",$I398="—"),1,0)</f>
        <v>0</v>
      </c>
      <c r="W398" s="10" t="n">
        <f aca="false">IF(AND(ISNUMBER($D398),ISNUMBER($E398)),IF($E398&gt;$D398,1,0),0)+IF(AND(ISNUMBER($D398),ISNUMBER($F398)),IF($D398&gt;$F398,1,0),0)+IF(AND(ISNUMBER($E398),ISNUMBER($F398)),IF($E398&gt;$F398,1,0),0)</f>
        <v>0</v>
      </c>
      <c r="X398" s="13" t="s">
        <v>76</v>
      </c>
    </row>
    <row r="399" customFormat="false" ht="15" hidden="false" customHeight="false" outlineLevel="0" collapsed="false">
      <c r="A399" s="10" t="s">
        <v>1616</v>
      </c>
      <c r="B399" s="10" t="s">
        <v>1617</v>
      </c>
      <c r="C399" s="10" t="s">
        <v>1618</v>
      </c>
      <c r="D399" s="12"/>
      <c r="E399" s="12"/>
      <c r="F399" s="12"/>
      <c r="G399" s="11" t="s">
        <v>1401</v>
      </c>
      <c r="H399" s="10" t="s">
        <v>1619</v>
      </c>
      <c r="I399" s="10" t="s">
        <v>1620</v>
      </c>
      <c r="J399" s="10" t="s">
        <v>1621</v>
      </c>
      <c r="K399" s="10" t="s">
        <v>1622</v>
      </c>
      <c r="L399" s="10" t="s">
        <v>68</v>
      </c>
      <c r="M399" s="10" t="s">
        <v>69</v>
      </c>
      <c r="N399" s="10"/>
      <c r="O399" s="10"/>
      <c r="P399" s="10" t="s">
        <v>637</v>
      </c>
      <c r="Q399" s="11" t="s">
        <v>72</v>
      </c>
      <c r="R399" s="11" t="s">
        <v>1090</v>
      </c>
      <c r="S399" s="11" t="s">
        <v>1278</v>
      </c>
      <c r="T399" s="11" t="s">
        <v>1623</v>
      </c>
      <c r="U399" s="10" t="n">
        <f aca="false">IF(AND($D399="",$E399="",$F399=""),1,0)</f>
        <v>1</v>
      </c>
      <c r="V399" s="10" t="n">
        <f aca="false">IF(OR($I399="",$I399="—"),1,0)</f>
        <v>0</v>
      </c>
      <c r="W399" s="10" t="n">
        <f aca="false">IF(AND(ISNUMBER($D399),ISNUMBER($E399)),IF($E399&gt;$D399,1,0),0)+IF(AND(ISNUMBER($D399),ISNUMBER($F399)),IF($D399&gt;$F399,1,0),0)+IF(AND(ISNUMBER($E399),ISNUMBER($F399)),IF($E399&gt;$F399,1,0),0)</f>
        <v>0</v>
      </c>
      <c r="X399" s="13" t="s">
        <v>76</v>
      </c>
    </row>
    <row r="400" customFormat="false" ht="15" hidden="false" customHeight="false" outlineLevel="0" collapsed="false">
      <c r="A400" s="10" t="s">
        <v>1624</v>
      </c>
      <c r="B400" s="10" t="s">
        <v>1625</v>
      </c>
      <c r="C400" s="10" t="s">
        <v>1626</v>
      </c>
      <c r="D400" s="12"/>
      <c r="E400" s="12"/>
      <c r="F400" s="12"/>
      <c r="G400" s="11" t="s">
        <v>1401</v>
      </c>
      <c r="H400" s="10" t="s">
        <v>1322</v>
      </c>
      <c r="I400" s="10" t="s">
        <v>1627</v>
      </c>
      <c r="J400" s="10" t="s">
        <v>1628</v>
      </c>
      <c r="K400" s="10" t="s">
        <v>1629</v>
      </c>
      <c r="L400" s="10" t="s">
        <v>68</v>
      </c>
      <c r="M400" s="10" t="s">
        <v>69</v>
      </c>
      <c r="N400" s="10"/>
      <c r="O400" s="10"/>
      <c r="P400" s="10" t="s">
        <v>637</v>
      </c>
      <c r="Q400" s="11" t="s">
        <v>72</v>
      </c>
      <c r="R400" s="11" t="s">
        <v>1090</v>
      </c>
      <c r="S400" s="11" t="s">
        <v>1278</v>
      </c>
      <c r="T400" s="11" t="s">
        <v>1630</v>
      </c>
      <c r="U400" s="10" t="n">
        <f aca="false">IF(AND($D400="",$E400="",$F400=""),1,0)</f>
        <v>1</v>
      </c>
      <c r="V400" s="10" t="n">
        <f aca="false">IF(OR($I400="",$I400="—"),1,0)</f>
        <v>0</v>
      </c>
      <c r="W400" s="10" t="n">
        <f aca="false">IF(AND(ISNUMBER($D400),ISNUMBER($E400)),IF($E400&gt;$D400,1,0),0)+IF(AND(ISNUMBER($D400),ISNUMBER($F400)),IF($D400&gt;$F400,1,0),0)+IF(AND(ISNUMBER($E400),ISNUMBER($F400)),IF($E400&gt;$F400,1,0),0)</f>
        <v>0</v>
      </c>
      <c r="X400" s="13" t="s">
        <v>76</v>
      </c>
    </row>
    <row r="401" customFormat="false" ht="15" hidden="false" customHeight="false" outlineLevel="0" collapsed="false">
      <c r="A401" s="10" t="s">
        <v>1631</v>
      </c>
      <c r="B401" s="10" t="s">
        <v>1632</v>
      </c>
      <c r="C401" s="10" t="s">
        <v>1633</v>
      </c>
      <c r="D401" s="12" t="n">
        <v>580</v>
      </c>
      <c r="E401" s="12"/>
      <c r="F401" s="12"/>
      <c r="G401" s="11" t="s">
        <v>1634</v>
      </c>
      <c r="H401" s="10" t="s">
        <v>824</v>
      </c>
      <c r="I401" s="11" t="s">
        <v>1635</v>
      </c>
      <c r="J401" s="10" t="s">
        <v>664</v>
      </c>
      <c r="K401" s="10" t="s">
        <v>665</v>
      </c>
      <c r="L401" s="10" t="s">
        <v>68</v>
      </c>
      <c r="M401" s="10" t="s">
        <v>416</v>
      </c>
      <c r="N401" s="11" t="s">
        <v>1363</v>
      </c>
      <c r="O401" s="11" t="s">
        <v>441</v>
      </c>
      <c r="P401" s="10" t="s">
        <v>71</v>
      </c>
      <c r="Q401" s="11" t="s">
        <v>72</v>
      </c>
      <c r="R401" s="11" t="s">
        <v>1363</v>
      </c>
      <c r="S401" s="11" t="s">
        <v>74</v>
      </c>
      <c r="T401" s="11" t="s">
        <v>1636</v>
      </c>
      <c r="U401" s="10" t="n">
        <f aca="false">IF(AND($D401="",$E401="",$F401=""),1,0)</f>
        <v>0</v>
      </c>
      <c r="V401" s="10" t="n">
        <f aca="false">IF(OR($I401="",$I401="—"),1,0)</f>
        <v>0</v>
      </c>
      <c r="W401" s="10" t="n">
        <f aca="false">IF(AND(ISNUMBER($D401),ISNUMBER($E401)),IF($E401&gt;$D401,1,0),0)+IF(AND(ISNUMBER($D401),ISNUMBER($F401)),IF($D401&gt;$F401,1,0),0)+IF(AND(ISNUMBER($E401),ISNUMBER($F401)),IF($E401&gt;$F401,1,0),0)</f>
        <v>0</v>
      </c>
      <c r="X401" s="13" t="s">
        <v>76</v>
      </c>
    </row>
    <row r="402" customFormat="false" ht="15" hidden="false" customHeight="false" outlineLevel="0" collapsed="false">
      <c r="A402" s="10" t="s">
        <v>1637</v>
      </c>
      <c r="B402" s="10" t="s">
        <v>1638</v>
      </c>
      <c r="C402" s="10" t="s">
        <v>1639</v>
      </c>
      <c r="D402" s="12" t="n">
        <v>740</v>
      </c>
      <c r="E402" s="12"/>
      <c r="F402" s="12"/>
      <c r="G402" s="11" t="s">
        <v>1634</v>
      </c>
      <c r="H402" s="10" t="s">
        <v>1640</v>
      </c>
      <c r="I402" s="11" t="s">
        <v>1635</v>
      </c>
      <c r="J402" s="10" t="s">
        <v>664</v>
      </c>
      <c r="K402" s="10" t="s">
        <v>665</v>
      </c>
      <c r="L402" s="10" t="s">
        <v>68</v>
      </c>
      <c r="M402" s="10" t="s">
        <v>416</v>
      </c>
      <c r="N402" s="11" t="s">
        <v>1363</v>
      </c>
      <c r="O402" s="11" t="s">
        <v>441</v>
      </c>
      <c r="P402" s="10" t="s">
        <v>71</v>
      </c>
      <c r="Q402" s="11" t="s">
        <v>72</v>
      </c>
      <c r="R402" s="11" t="s">
        <v>1363</v>
      </c>
      <c r="S402" s="11" t="s">
        <v>74</v>
      </c>
      <c r="T402" s="11" t="s">
        <v>1641</v>
      </c>
      <c r="U402" s="10" t="n">
        <f aca="false">IF(AND($D402="",$E402="",$F402=""),1,0)</f>
        <v>0</v>
      </c>
      <c r="V402" s="10" t="n">
        <f aca="false">IF(OR($I402="",$I402="—"),1,0)</f>
        <v>0</v>
      </c>
      <c r="W402" s="10" t="n">
        <f aca="false">IF(AND(ISNUMBER($D402),ISNUMBER($E402)),IF($E402&gt;$D402,1,0),0)+IF(AND(ISNUMBER($D402),ISNUMBER($F402)),IF($D402&gt;$F402,1,0),0)+IF(AND(ISNUMBER($E402),ISNUMBER($F402)),IF($E402&gt;$F402,1,0),0)</f>
        <v>0</v>
      </c>
      <c r="X402" s="13" t="s">
        <v>76</v>
      </c>
    </row>
    <row r="403" customFormat="false" ht="15" hidden="false" customHeight="false" outlineLevel="0" collapsed="false">
      <c r="A403" s="10" t="s">
        <v>1642</v>
      </c>
      <c r="B403" s="10" t="s">
        <v>1643</v>
      </c>
      <c r="C403" s="10" t="s">
        <v>1644</v>
      </c>
      <c r="D403" s="12" t="n">
        <v>144</v>
      </c>
      <c r="E403" s="12"/>
      <c r="F403" s="12"/>
      <c r="G403" s="10" t="s">
        <v>401</v>
      </c>
      <c r="H403" s="10" t="s">
        <v>1645</v>
      </c>
      <c r="I403" s="11" t="s">
        <v>1646</v>
      </c>
      <c r="J403" s="10" t="s">
        <v>664</v>
      </c>
      <c r="K403" s="10" t="s">
        <v>665</v>
      </c>
      <c r="L403" s="10" t="s">
        <v>68</v>
      </c>
      <c r="M403" s="10" t="s">
        <v>416</v>
      </c>
      <c r="N403" s="11" t="s">
        <v>1363</v>
      </c>
      <c r="O403" s="10"/>
      <c r="P403" s="10" t="s">
        <v>71</v>
      </c>
      <c r="Q403" s="11" t="s">
        <v>72</v>
      </c>
      <c r="R403" s="11" t="s">
        <v>1363</v>
      </c>
      <c r="S403" s="11" t="s">
        <v>74</v>
      </c>
      <c r="T403" s="11" t="s">
        <v>1647</v>
      </c>
      <c r="U403" s="10" t="n">
        <f aca="false">IF(AND($D403="",$E403="",$F403=""),1,0)</f>
        <v>0</v>
      </c>
      <c r="V403" s="10" t="n">
        <f aca="false">IF(OR($I403="",$I403="—"),1,0)</f>
        <v>0</v>
      </c>
      <c r="W403" s="10" t="n">
        <f aca="false">IF(AND(ISNUMBER($D403),ISNUMBER($E403)),IF($E403&gt;$D403,1,0),0)+IF(AND(ISNUMBER($D403),ISNUMBER($F403)),IF($D403&gt;$F403,1,0),0)+IF(AND(ISNUMBER($E403),ISNUMBER($F403)),IF($E403&gt;$F403,1,0),0)</f>
        <v>0</v>
      </c>
      <c r="X403" s="13" t="s">
        <v>76</v>
      </c>
    </row>
    <row r="404" customFormat="false" ht="15" hidden="false" customHeight="false" outlineLevel="0" collapsed="false">
      <c r="A404" s="10" t="s">
        <v>1648</v>
      </c>
      <c r="B404" s="10" t="s">
        <v>1649</v>
      </c>
      <c r="C404" s="11" t="s">
        <v>1650</v>
      </c>
      <c r="D404" s="12" t="n">
        <v>400</v>
      </c>
      <c r="E404" s="12"/>
      <c r="F404" s="12"/>
      <c r="G404" s="11" t="s">
        <v>1634</v>
      </c>
      <c r="H404" s="10" t="s">
        <v>1651</v>
      </c>
      <c r="I404" s="11" t="s">
        <v>1362</v>
      </c>
      <c r="J404" s="10" t="s">
        <v>448</v>
      </c>
      <c r="K404" s="10" t="s">
        <v>449</v>
      </c>
      <c r="L404" s="10" t="s">
        <v>68</v>
      </c>
      <c r="M404" s="10" t="s">
        <v>416</v>
      </c>
      <c r="N404" s="11" t="s">
        <v>1363</v>
      </c>
      <c r="O404" s="10"/>
      <c r="P404" s="10" t="s">
        <v>71</v>
      </c>
      <c r="Q404" s="11" t="s">
        <v>72</v>
      </c>
      <c r="R404" s="11" t="s">
        <v>1363</v>
      </c>
      <c r="S404" s="11" t="s">
        <v>74</v>
      </c>
      <c r="T404" s="11" t="s">
        <v>1652</v>
      </c>
      <c r="U404" s="10" t="n">
        <f aca="false">IF(AND($D404="",$E404="",$F404=""),1,0)</f>
        <v>0</v>
      </c>
      <c r="V404" s="10" t="n">
        <f aca="false">IF(OR($I404="",$I404="—"),1,0)</f>
        <v>0</v>
      </c>
      <c r="W404" s="10" t="n">
        <f aca="false">IF(AND(ISNUMBER($D404),ISNUMBER($E404)),IF($E404&gt;$D404,1,0),0)+IF(AND(ISNUMBER($D404),ISNUMBER($F404)),IF($D404&gt;$F404,1,0),0)+IF(AND(ISNUMBER($E404),ISNUMBER($F404)),IF($E404&gt;$F404,1,0),0)</f>
        <v>0</v>
      </c>
      <c r="X404" s="13" t="s">
        <v>76</v>
      </c>
    </row>
    <row r="405" customFormat="false" ht="15" hidden="false" customHeight="false" outlineLevel="0" collapsed="false">
      <c r="A405" s="10" t="s">
        <v>1653</v>
      </c>
      <c r="B405" s="10" t="s">
        <v>1654</v>
      </c>
      <c r="C405" s="11" t="s">
        <v>1655</v>
      </c>
      <c r="D405" s="12" t="n">
        <v>603</v>
      </c>
      <c r="E405" s="12"/>
      <c r="F405" s="12"/>
      <c r="G405" s="10" t="s">
        <v>401</v>
      </c>
      <c r="H405" s="10" t="s">
        <v>1656</v>
      </c>
      <c r="I405" s="11" t="s">
        <v>1646</v>
      </c>
      <c r="J405" s="10" t="s">
        <v>664</v>
      </c>
      <c r="K405" s="10" t="s">
        <v>665</v>
      </c>
      <c r="L405" s="10" t="s">
        <v>68</v>
      </c>
      <c r="M405" s="10" t="s">
        <v>416</v>
      </c>
      <c r="N405" s="11" t="s">
        <v>1363</v>
      </c>
      <c r="O405" s="10"/>
      <c r="P405" s="10" t="s">
        <v>71</v>
      </c>
      <c r="Q405" s="11" t="s">
        <v>72</v>
      </c>
      <c r="R405" s="11" t="s">
        <v>1363</v>
      </c>
      <c r="S405" s="11" t="s">
        <v>74</v>
      </c>
      <c r="T405" s="11" t="s">
        <v>1657</v>
      </c>
      <c r="U405" s="10" t="n">
        <f aca="false">IF(AND($D405="",$E405="",$F405=""),1,0)</f>
        <v>0</v>
      </c>
      <c r="V405" s="10" t="n">
        <f aca="false">IF(OR($I405="",$I405="—"),1,0)</f>
        <v>0</v>
      </c>
      <c r="W405" s="10" t="n">
        <f aca="false">IF(AND(ISNUMBER($D405),ISNUMBER($E405)),IF($E405&gt;$D405,1,0),0)+IF(AND(ISNUMBER($D405),ISNUMBER($F405)),IF($D405&gt;$F405,1,0),0)+IF(AND(ISNUMBER($E405),ISNUMBER($F405)),IF($E405&gt;$F405,1,0),0)</f>
        <v>0</v>
      </c>
      <c r="X405" s="13" t="s">
        <v>76</v>
      </c>
    </row>
    <row r="406" customFormat="false" ht="15" hidden="false" customHeight="false" outlineLevel="0" collapsed="false">
      <c r="A406" s="10" t="s">
        <v>1658</v>
      </c>
      <c r="B406" s="10" t="s">
        <v>1659</v>
      </c>
      <c r="C406" s="10" t="s">
        <v>1660</v>
      </c>
      <c r="D406" s="12" t="n">
        <v>24.2</v>
      </c>
      <c r="E406" s="12"/>
      <c r="F406" s="12"/>
      <c r="G406" s="11" t="s">
        <v>1634</v>
      </c>
      <c r="H406" s="11" t="s">
        <v>1361</v>
      </c>
      <c r="I406" s="11" t="s">
        <v>1362</v>
      </c>
      <c r="J406" s="10" t="s">
        <v>448</v>
      </c>
      <c r="K406" s="10" t="s">
        <v>449</v>
      </c>
      <c r="L406" s="10" t="s">
        <v>68</v>
      </c>
      <c r="M406" s="10" t="s">
        <v>416</v>
      </c>
      <c r="N406" s="11" t="s">
        <v>1363</v>
      </c>
      <c r="O406" s="10"/>
      <c r="P406" s="10" t="s">
        <v>71</v>
      </c>
      <c r="Q406" s="11" t="s">
        <v>72</v>
      </c>
      <c r="R406" s="11" t="s">
        <v>1363</v>
      </c>
      <c r="S406" s="11" t="s">
        <v>74</v>
      </c>
      <c r="T406" s="11" t="s">
        <v>1661</v>
      </c>
      <c r="U406" s="10" t="n">
        <f aca="false">IF(AND($D406="",$E406="",$F406=""),1,0)</f>
        <v>0</v>
      </c>
      <c r="V406" s="10" t="n">
        <f aca="false">IF(OR($I406="",$I406="—"),1,0)</f>
        <v>0</v>
      </c>
      <c r="W406" s="10" t="n">
        <f aca="false">IF(AND(ISNUMBER($D406),ISNUMBER($E406)),IF($E406&gt;$D406,1,0),0)+IF(AND(ISNUMBER($D406),ISNUMBER($F406)),IF($D406&gt;$F406,1,0),0)+IF(AND(ISNUMBER($E406),ISNUMBER($F406)),IF($E406&gt;$F406,1,0),0)</f>
        <v>0</v>
      </c>
      <c r="X406" s="13" t="s">
        <v>76</v>
      </c>
    </row>
    <row r="407" customFormat="false" ht="15" hidden="false" customHeight="false" outlineLevel="0" collapsed="false">
      <c r="A407" s="10" t="s">
        <v>1662</v>
      </c>
      <c r="B407" s="10" t="s">
        <v>1663</v>
      </c>
      <c r="C407" s="10" t="s">
        <v>1664</v>
      </c>
      <c r="D407" s="12" t="n">
        <v>40</v>
      </c>
      <c r="E407" s="12"/>
      <c r="F407" s="12"/>
      <c r="G407" s="11" t="s">
        <v>1634</v>
      </c>
      <c r="H407" s="10" t="s">
        <v>1651</v>
      </c>
      <c r="I407" s="11" t="s">
        <v>1362</v>
      </c>
      <c r="J407" s="10" t="s">
        <v>448</v>
      </c>
      <c r="K407" s="10" t="s">
        <v>449</v>
      </c>
      <c r="L407" s="10" t="s">
        <v>68</v>
      </c>
      <c r="M407" s="10" t="s">
        <v>416</v>
      </c>
      <c r="N407" s="11" t="s">
        <v>1363</v>
      </c>
      <c r="O407" s="10"/>
      <c r="P407" s="10" t="s">
        <v>71</v>
      </c>
      <c r="Q407" s="11" t="s">
        <v>72</v>
      </c>
      <c r="R407" s="11" t="s">
        <v>1363</v>
      </c>
      <c r="S407" s="11" t="s">
        <v>74</v>
      </c>
      <c r="T407" s="11" t="s">
        <v>1665</v>
      </c>
      <c r="U407" s="10" t="n">
        <f aca="false">IF(AND($D407="",$E407="",$F407=""),1,0)</f>
        <v>0</v>
      </c>
      <c r="V407" s="10" t="n">
        <f aca="false">IF(OR($I407="",$I407="—"),1,0)</f>
        <v>0</v>
      </c>
      <c r="W407" s="10" t="n">
        <f aca="false">IF(AND(ISNUMBER($D407),ISNUMBER($E407)),IF($E407&gt;$D407,1,0),0)+IF(AND(ISNUMBER($D407),ISNUMBER($F407)),IF($D407&gt;$F407,1,0),0)+IF(AND(ISNUMBER($E407),ISNUMBER($F407)),IF($E407&gt;$F407,1,0),0)</f>
        <v>0</v>
      </c>
      <c r="X407" s="13" t="s">
        <v>76</v>
      </c>
    </row>
    <row r="408" customFormat="false" ht="15" hidden="false" customHeight="false" outlineLevel="0" collapsed="false">
      <c r="A408" s="10" t="s">
        <v>1666</v>
      </c>
      <c r="B408" s="10" t="s">
        <v>1667</v>
      </c>
      <c r="C408" s="11" t="s">
        <v>1668</v>
      </c>
      <c r="D408" s="12" t="n">
        <v>8000</v>
      </c>
      <c r="E408" s="12"/>
      <c r="F408" s="12"/>
      <c r="G408" s="11" t="s">
        <v>1669</v>
      </c>
      <c r="H408" s="10" t="s">
        <v>440</v>
      </c>
      <c r="I408" s="11" t="s">
        <v>1670</v>
      </c>
      <c r="J408" s="10" t="s">
        <v>415</v>
      </c>
      <c r="K408" s="10" t="s">
        <v>67</v>
      </c>
      <c r="L408" s="10" t="s">
        <v>68</v>
      </c>
      <c r="M408" s="10" t="s">
        <v>416</v>
      </c>
      <c r="N408" s="11" t="s">
        <v>1363</v>
      </c>
      <c r="O408" s="10"/>
      <c r="P408" s="10" t="s">
        <v>71</v>
      </c>
      <c r="Q408" s="11" t="s">
        <v>72</v>
      </c>
      <c r="R408" s="11" t="s">
        <v>1363</v>
      </c>
      <c r="S408" s="11" t="s">
        <v>74</v>
      </c>
      <c r="T408" s="11" t="s">
        <v>1671</v>
      </c>
      <c r="U408" s="10" t="n">
        <f aca="false">IF(AND($D408="",$E408="",$F408=""),1,0)</f>
        <v>0</v>
      </c>
      <c r="V408" s="10" t="n">
        <f aca="false">IF(OR($I408="",$I408="—"),1,0)</f>
        <v>0</v>
      </c>
      <c r="W408" s="10" t="n">
        <f aca="false">IF(AND(ISNUMBER($D408),ISNUMBER($E408)),IF($E408&gt;$D408,1,0),0)+IF(AND(ISNUMBER($D408),ISNUMBER($F408)),IF($D408&gt;$F408,1,0),0)+IF(AND(ISNUMBER($E408),ISNUMBER($F408)),IF($E408&gt;$F408,1,0),0)</f>
        <v>0</v>
      </c>
      <c r="X408" s="13" t="s">
        <v>76</v>
      </c>
    </row>
    <row r="409" customFormat="false" ht="15" hidden="false" customHeight="false" outlineLevel="0" collapsed="false">
      <c r="A409" s="10" t="s">
        <v>1672</v>
      </c>
      <c r="B409" s="10" t="s">
        <v>1673</v>
      </c>
      <c r="C409" s="11" t="s">
        <v>1674</v>
      </c>
      <c r="D409" s="12" t="n">
        <v>12000</v>
      </c>
      <c r="E409" s="12"/>
      <c r="F409" s="12"/>
      <c r="G409" s="11" t="s">
        <v>1669</v>
      </c>
      <c r="H409" s="10" t="s">
        <v>1675</v>
      </c>
      <c r="I409" s="11" t="s">
        <v>1670</v>
      </c>
      <c r="J409" s="10" t="s">
        <v>415</v>
      </c>
      <c r="K409" s="10" t="s">
        <v>67</v>
      </c>
      <c r="L409" s="10" t="s">
        <v>68</v>
      </c>
      <c r="M409" s="10" t="s">
        <v>416</v>
      </c>
      <c r="N409" s="11" t="s">
        <v>1363</v>
      </c>
      <c r="O409" s="10"/>
      <c r="P409" s="10" t="s">
        <v>71</v>
      </c>
      <c r="Q409" s="11" t="s">
        <v>72</v>
      </c>
      <c r="R409" s="11" t="s">
        <v>1363</v>
      </c>
      <c r="S409" s="11" t="s">
        <v>74</v>
      </c>
      <c r="T409" s="11" t="s">
        <v>1676</v>
      </c>
      <c r="U409" s="10" t="n">
        <f aca="false">IF(AND($D409="",$E409="",$F409=""),1,0)</f>
        <v>0</v>
      </c>
      <c r="V409" s="10" t="n">
        <f aca="false">IF(OR($I409="",$I409="—"),1,0)</f>
        <v>0</v>
      </c>
      <c r="W409" s="10" t="n">
        <f aca="false">IF(AND(ISNUMBER($D409),ISNUMBER($E409)),IF($E409&gt;$D409,1,0),0)+IF(AND(ISNUMBER($D409),ISNUMBER($F409)),IF($D409&gt;$F409,1,0),0)+IF(AND(ISNUMBER($E409),ISNUMBER($F409)),IF($E409&gt;$F409,1,0),0)</f>
        <v>0</v>
      </c>
      <c r="X409" s="13" t="s">
        <v>76</v>
      </c>
    </row>
    <row r="410" customFormat="false" ht="15" hidden="false" customHeight="false" outlineLevel="0" collapsed="false">
      <c r="A410" s="10" t="s">
        <v>1677</v>
      </c>
      <c r="B410" s="10" t="s">
        <v>1678</v>
      </c>
      <c r="C410" s="11" t="s">
        <v>1679</v>
      </c>
      <c r="D410" s="12" t="n">
        <v>8000</v>
      </c>
      <c r="E410" s="12"/>
      <c r="F410" s="12"/>
      <c r="G410" s="11" t="s">
        <v>1680</v>
      </c>
      <c r="H410" s="11" t="s">
        <v>1681</v>
      </c>
      <c r="I410" s="11" t="s">
        <v>1670</v>
      </c>
      <c r="J410" s="10" t="s">
        <v>415</v>
      </c>
      <c r="K410" s="10" t="s">
        <v>67</v>
      </c>
      <c r="L410" s="10" t="s">
        <v>68</v>
      </c>
      <c r="M410" s="10" t="s">
        <v>416</v>
      </c>
      <c r="N410" s="11" t="s">
        <v>1363</v>
      </c>
      <c r="O410" s="10"/>
      <c r="P410" s="10" t="s">
        <v>71</v>
      </c>
      <c r="Q410" s="11" t="s">
        <v>72</v>
      </c>
      <c r="R410" s="11" t="s">
        <v>1363</v>
      </c>
      <c r="S410" s="11" t="s">
        <v>74</v>
      </c>
      <c r="T410" s="11" t="s">
        <v>1682</v>
      </c>
      <c r="U410" s="10" t="n">
        <f aca="false">IF(AND($D410="",$E410="",$F410=""),1,0)</f>
        <v>0</v>
      </c>
      <c r="V410" s="10" t="n">
        <f aca="false">IF(OR($I410="",$I410="—"),1,0)</f>
        <v>0</v>
      </c>
      <c r="W410" s="10" t="n">
        <f aca="false">IF(AND(ISNUMBER($D410),ISNUMBER($E410)),IF($E410&gt;$D410,1,0),0)+IF(AND(ISNUMBER($D410),ISNUMBER($F410)),IF($D410&gt;$F410,1,0),0)+IF(AND(ISNUMBER($E410),ISNUMBER($F410)),IF($E410&gt;$F410,1,0),0)</f>
        <v>0</v>
      </c>
      <c r="X410" s="13" t="s">
        <v>76</v>
      </c>
    </row>
    <row r="411" customFormat="false" ht="15" hidden="false" customHeight="false" outlineLevel="0" collapsed="false">
      <c r="A411" s="10" t="s">
        <v>1683</v>
      </c>
      <c r="B411" s="10" t="s">
        <v>1684</v>
      </c>
      <c r="C411" s="11" t="s">
        <v>1685</v>
      </c>
      <c r="D411" s="12" t="n">
        <v>9</v>
      </c>
      <c r="E411" s="12"/>
      <c r="F411" s="12"/>
      <c r="G411" s="11" t="s">
        <v>1669</v>
      </c>
      <c r="H411" s="10" t="s">
        <v>1651</v>
      </c>
      <c r="I411" s="11" t="s">
        <v>1686</v>
      </c>
      <c r="J411" s="10" t="s">
        <v>448</v>
      </c>
      <c r="K411" s="10" t="s">
        <v>449</v>
      </c>
      <c r="L411" s="10" t="s">
        <v>68</v>
      </c>
      <c r="M411" s="10" t="s">
        <v>416</v>
      </c>
      <c r="N411" s="11" t="s">
        <v>1363</v>
      </c>
      <c r="O411" s="10"/>
      <c r="P411" s="10" t="s">
        <v>71</v>
      </c>
      <c r="Q411" s="11" t="s">
        <v>72</v>
      </c>
      <c r="R411" s="11" t="s">
        <v>1363</v>
      </c>
      <c r="S411" s="11" t="s">
        <v>74</v>
      </c>
      <c r="T411" s="11" t="s">
        <v>1687</v>
      </c>
      <c r="U411" s="10" t="n">
        <f aca="false">IF(AND($D411="",$E411="",$F411=""),1,0)</f>
        <v>0</v>
      </c>
      <c r="V411" s="10" t="n">
        <f aca="false">IF(OR($I411="",$I411="—"),1,0)</f>
        <v>0</v>
      </c>
      <c r="W411" s="10" t="n">
        <f aca="false">IF(AND(ISNUMBER($D411),ISNUMBER($E411)),IF($E411&gt;$D411,1,0),0)+IF(AND(ISNUMBER($D411),ISNUMBER($F411)),IF($D411&gt;$F411,1,0),0)+IF(AND(ISNUMBER($E411),ISNUMBER($F411)),IF($E411&gt;$F411,1,0),0)</f>
        <v>0</v>
      </c>
      <c r="X411" s="13" t="s">
        <v>76</v>
      </c>
    </row>
    <row r="412" customFormat="false" ht="15" hidden="false" customHeight="false" outlineLevel="0" collapsed="false">
      <c r="A412" s="10" t="s">
        <v>1688</v>
      </c>
      <c r="B412" s="10" t="s">
        <v>1689</v>
      </c>
      <c r="C412" s="11" t="s">
        <v>1690</v>
      </c>
      <c r="D412" s="12" t="n">
        <v>218</v>
      </c>
      <c r="E412" s="12"/>
      <c r="F412" s="12"/>
      <c r="G412" s="11" t="s">
        <v>1691</v>
      </c>
      <c r="H412" s="10" t="s">
        <v>446</v>
      </c>
      <c r="I412" s="11" t="s">
        <v>1686</v>
      </c>
      <c r="J412" s="10" t="s">
        <v>448</v>
      </c>
      <c r="K412" s="10" t="s">
        <v>449</v>
      </c>
      <c r="L412" s="10" t="s">
        <v>68</v>
      </c>
      <c r="M412" s="10" t="s">
        <v>416</v>
      </c>
      <c r="N412" s="11" t="s">
        <v>1363</v>
      </c>
      <c r="O412" s="10"/>
      <c r="P412" s="10" t="s">
        <v>71</v>
      </c>
      <c r="Q412" s="11" t="s">
        <v>72</v>
      </c>
      <c r="R412" s="11" t="s">
        <v>1363</v>
      </c>
      <c r="S412" s="11" t="s">
        <v>74</v>
      </c>
      <c r="T412" s="11" t="s">
        <v>1692</v>
      </c>
      <c r="U412" s="10" t="n">
        <f aca="false">IF(AND($D412="",$E412="",$F412=""),1,0)</f>
        <v>0</v>
      </c>
      <c r="V412" s="10" t="n">
        <f aca="false">IF(OR($I412="",$I412="—"),1,0)</f>
        <v>0</v>
      </c>
      <c r="W412" s="10" t="n">
        <f aca="false">IF(AND(ISNUMBER($D412),ISNUMBER($E412)),IF($E412&gt;$D412,1,0),0)+IF(AND(ISNUMBER($D412),ISNUMBER($F412)),IF($D412&gt;$F412,1,0),0)+IF(AND(ISNUMBER($E412),ISNUMBER($F412)),IF($E412&gt;$F412,1,0),0)</f>
        <v>0</v>
      </c>
      <c r="X412" s="13" t="s">
        <v>76</v>
      </c>
    </row>
    <row r="413" customFormat="false" ht="15" hidden="false" customHeight="false" outlineLevel="0" collapsed="false">
      <c r="A413" s="10" t="s">
        <v>1693</v>
      </c>
      <c r="B413" s="10" t="s">
        <v>1694</v>
      </c>
      <c r="C413" s="11" t="s">
        <v>1695</v>
      </c>
      <c r="D413" s="12" t="n">
        <v>233</v>
      </c>
      <c r="E413" s="12"/>
      <c r="F413" s="12"/>
      <c r="G413" s="11" t="s">
        <v>1691</v>
      </c>
      <c r="H413" s="10" t="s">
        <v>662</v>
      </c>
      <c r="I413" s="11" t="s">
        <v>1374</v>
      </c>
      <c r="J413" s="10" t="s">
        <v>1375</v>
      </c>
      <c r="K413" s="10" t="s">
        <v>665</v>
      </c>
      <c r="L413" s="10" t="s">
        <v>68</v>
      </c>
      <c r="M413" s="10" t="s">
        <v>416</v>
      </c>
      <c r="N413" s="11" t="s">
        <v>1363</v>
      </c>
      <c r="O413" s="10"/>
      <c r="P413" s="10" t="s">
        <v>637</v>
      </c>
      <c r="Q413" s="11" t="s">
        <v>72</v>
      </c>
      <c r="R413" s="11" t="s">
        <v>1363</v>
      </c>
      <c r="S413" s="11" t="s">
        <v>710</v>
      </c>
      <c r="T413" s="11" t="s">
        <v>1696</v>
      </c>
      <c r="U413" s="10" t="n">
        <f aca="false">IF(AND($D413="",$E413="",$F413=""),1,0)</f>
        <v>0</v>
      </c>
      <c r="V413" s="10" t="n">
        <f aca="false">IF(OR($I413="",$I413="—"),1,0)</f>
        <v>0</v>
      </c>
      <c r="W413" s="10" t="n">
        <f aca="false">IF(AND(ISNUMBER($D413),ISNUMBER($E413)),IF($E413&gt;$D413,1,0),0)+IF(AND(ISNUMBER($D413),ISNUMBER($F413)),IF($D413&gt;$F413,1,0),0)+IF(AND(ISNUMBER($E413),ISNUMBER($F413)),IF($E413&gt;$F413,1,0),0)</f>
        <v>0</v>
      </c>
      <c r="X413" s="13" t="s">
        <v>76</v>
      </c>
    </row>
    <row r="414" customFormat="false" ht="15" hidden="false" customHeight="false" outlineLevel="0" collapsed="false">
      <c r="A414" s="10" t="s">
        <v>1697</v>
      </c>
      <c r="B414" s="10" t="s">
        <v>1698</v>
      </c>
      <c r="C414" s="10" t="s">
        <v>1699</v>
      </c>
      <c r="D414" s="12" t="n">
        <v>40</v>
      </c>
      <c r="E414" s="12"/>
      <c r="F414" s="12"/>
      <c r="G414" s="11" t="s">
        <v>1700</v>
      </c>
      <c r="H414" s="10" t="s">
        <v>1656</v>
      </c>
      <c r="I414" s="11" t="s">
        <v>1369</v>
      </c>
      <c r="J414" s="10" t="s">
        <v>664</v>
      </c>
      <c r="K414" s="10" t="s">
        <v>665</v>
      </c>
      <c r="L414" s="10" t="s">
        <v>68</v>
      </c>
      <c r="M414" s="10" t="s">
        <v>416</v>
      </c>
      <c r="N414" s="11" t="s">
        <v>1363</v>
      </c>
      <c r="O414" s="10"/>
      <c r="P414" s="10" t="s">
        <v>71</v>
      </c>
      <c r="Q414" s="11" t="s">
        <v>72</v>
      </c>
      <c r="R414" s="11" t="s">
        <v>1363</v>
      </c>
      <c r="S414" s="11" t="s">
        <v>74</v>
      </c>
      <c r="T414" s="11" t="s">
        <v>1701</v>
      </c>
      <c r="U414" s="10" t="n">
        <f aca="false">IF(AND($D414="",$E414="",$F414=""),1,0)</f>
        <v>0</v>
      </c>
      <c r="V414" s="10" t="n">
        <f aca="false">IF(OR($I414="",$I414="—"),1,0)</f>
        <v>0</v>
      </c>
      <c r="W414" s="10" t="n">
        <f aca="false">IF(AND(ISNUMBER($D414),ISNUMBER($E414)),IF($E414&gt;$D414,1,0),0)+IF(AND(ISNUMBER($D414),ISNUMBER($F414)),IF($D414&gt;$F414,1,0),0)+IF(AND(ISNUMBER($E414),ISNUMBER($F414)),IF($E414&gt;$F414,1,0),0)</f>
        <v>0</v>
      </c>
      <c r="X414" s="13" t="s">
        <v>76</v>
      </c>
    </row>
    <row r="415" customFormat="false" ht="15" hidden="false" customHeight="false" outlineLevel="0" collapsed="false">
      <c r="A415" s="10" t="s">
        <v>1702</v>
      </c>
      <c r="B415" s="10" t="s">
        <v>1703</v>
      </c>
      <c r="C415" s="10" t="s">
        <v>1704</v>
      </c>
      <c r="D415" s="12" t="n">
        <v>23</v>
      </c>
      <c r="E415" s="12"/>
      <c r="F415" s="12"/>
      <c r="G415" s="11" t="s">
        <v>1700</v>
      </c>
      <c r="H415" s="10" t="s">
        <v>1656</v>
      </c>
      <c r="I415" s="11" t="s">
        <v>1369</v>
      </c>
      <c r="J415" s="10" t="s">
        <v>664</v>
      </c>
      <c r="K415" s="10" t="s">
        <v>665</v>
      </c>
      <c r="L415" s="10" t="s">
        <v>68</v>
      </c>
      <c r="M415" s="10" t="s">
        <v>416</v>
      </c>
      <c r="N415" s="11" t="s">
        <v>1363</v>
      </c>
      <c r="O415" s="10"/>
      <c r="P415" s="10" t="s">
        <v>71</v>
      </c>
      <c r="Q415" s="11" t="s">
        <v>72</v>
      </c>
      <c r="R415" s="11" t="s">
        <v>1363</v>
      </c>
      <c r="S415" s="11" t="s">
        <v>74</v>
      </c>
      <c r="T415" s="11" t="s">
        <v>1705</v>
      </c>
      <c r="U415" s="10" t="n">
        <f aca="false">IF(AND($D415="",$E415="",$F415=""),1,0)</f>
        <v>0</v>
      </c>
      <c r="V415" s="10" t="n">
        <f aca="false">IF(OR($I415="",$I415="—"),1,0)</f>
        <v>0</v>
      </c>
      <c r="W415" s="10" t="n">
        <f aca="false">IF(AND(ISNUMBER($D415),ISNUMBER($E415)),IF($E415&gt;$D415,1,0),0)+IF(AND(ISNUMBER($D415),ISNUMBER($F415)),IF($D415&gt;$F415,1,0),0)+IF(AND(ISNUMBER($E415),ISNUMBER($F415)),IF($E415&gt;$F415,1,0),0)</f>
        <v>0</v>
      </c>
      <c r="X415" s="13" t="s">
        <v>76</v>
      </c>
    </row>
    <row r="416" customFormat="false" ht="15" hidden="false" customHeight="false" outlineLevel="0" collapsed="false">
      <c r="A416" s="10" t="s">
        <v>1706</v>
      </c>
      <c r="B416" s="10" t="s">
        <v>1707</v>
      </c>
      <c r="C416" s="11" t="s">
        <v>1708</v>
      </c>
      <c r="D416" s="12" t="n">
        <v>98</v>
      </c>
      <c r="E416" s="12"/>
      <c r="F416" s="12"/>
      <c r="G416" s="11" t="s">
        <v>1709</v>
      </c>
      <c r="H416" s="10" t="s">
        <v>1656</v>
      </c>
      <c r="I416" s="11" t="s">
        <v>1646</v>
      </c>
      <c r="J416" s="10" t="s">
        <v>664</v>
      </c>
      <c r="K416" s="10" t="s">
        <v>665</v>
      </c>
      <c r="L416" s="10" t="s">
        <v>68</v>
      </c>
      <c r="M416" s="10" t="s">
        <v>416</v>
      </c>
      <c r="N416" s="11" t="s">
        <v>1363</v>
      </c>
      <c r="O416" s="10"/>
      <c r="P416" s="10" t="s">
        <v>71</v>
      </c>
      <c r="Q416" s="11" t="s">
        <v>72</v>
      </c>
      <c r="R416" s="11" t="s">
        <v>1363</v>
      </c>
      <c r="S416" s="11" t="s">
        <v>74</v>
      </c>
      <c r="T416" s="11" t="s">
        <v>1710</v>
      </c>
      <c r="U416" s="10" t="n">
        <f aca="false">IF(AND($D416="",$E416="",$F416=""),1,0)</f>
        <v>0</v>
      </c>
      <c r="V416" s="10" t="n">
        <f aca="false">IF(OR($I416="",$I416="—"),1,0)</f>
        <v>0</v>
      </c>
      <c r="W416" s="10" t="n">
        <f aca="false">IF(AND(ISNUMBER($D416),ISNUMBER($E416)),IF($E416&gt;$D416,1,0),0)+IF(AND(ISNUMBER($D416),ISNUMBER($F416)),IF($D416&gt;$F416,1,0),0)+IF(AND(ISNUMBER($E416),ISNUMBER($F416)),IF($E416&gt;$F416,1,0),0)</f>
        <v>0</v>
      </c>
      <c r="X416" s="13" t="s">
        <v>76</v>
      </c>
    </row>
    <row r="417" customFormat="false" ht="15" hidden="false" customHeight="false" outlineLevel="0" collapsed="false">
      <c r="A417" s="10" t="s">
        <v>1711</v>
      </c>
      <c r="B417" s="10" t="s">
        <v>1712</v>
      </c>
      <c r="C417" s="11" t="s">
        <v>1713</v>
      </c>
      <c r="D417" s="12" t="n">
        <v>4.2</v>
      </c>
      <c r="E417" s="12"/>
      <c r="F417" s="12"/>
      <c r="G417" s="10" t="s">
        <v>1714</v>
      </c>
      <c r="H417" s="10" t="s">
        <v>1715</v>
      </c>
      <c r="I417" s="11" t="s">
        <v>1670</v>
      </c>
      <c r="J417" s="10" t="s">
        <v>415</v>
      </c>
      <c r="K417" s="10" t="s">
        <v>67</v>
      </c>
      <c r="L417" s="10" t="s">
        <v>68</v>
      </c>
      <c r="M417" s="10" t="s">
        <v>416</v>
      </c>
      <c r="N417" s="11" t="s">
        <v>1363</v>
      </c>
      <c r="O417" s="11" t="s">
        <v>441</v>
      </c>
      <c r="P417" s="10" t="s">
        <v>71</v>
      </c>
      <c r="Q417" s="11" t="s">
        <v>72</v>
      </c>
      <c r="R417" s="11" t="s">
        <v>1363</v>
      </c>
      <c r="S417" s="11" t="s">
        <v>74</v>
      </c>
      <c r="T417" s="11" t="s">
        <v>1716</v>
      </c>
      <c r="U417" s="10" t="n">
        <f aca="false">IF(AND($D417="",$E417="",$F417=""),1,0)</f>
        <v>0</v>
      </c>
      <c r="V417" s="10" t="n">
        <f aca="false">IF(OR($I417="",$I417="—"),1,0)</f>
        <v>0</v>
      </c>
      <c r="W417" s="10" t="n">
        <f aca="false">IF(AND(ISNUMBER($D417),ISNUMBER($E417)),IF($E417&gt;$D417,1,0),0)+IF(AND(ISNUMBER($D417),ISNUMBER($F417)),IF($D417&gt;$F417,1,0),0)+IF(AND(ISNUMBER($E417),ISNUMBER($F417)),IF($E417&gt;$F417,1,0),0)</f>
        <v>0</v>
      </c>
      <c r="X417" s="13" t="s">
        <v>76</v>
      </c>
    </row>
    <row r="418" customFormat="false" ht="15" hidden="false" customHeight="false" outlineLevel="0" collapsed="false">
      <c r="A418" s="10" t="s">
        <v>1717</v>
      </c>
      <c r="B418" s="10" t="s">
        <v>1718</v>
      </c>
      <c r="C418" s="11" t="s">
        <v>1719</v>
      </c>
      <c r="D418" s="12" t="n">
        <v>4.6</v>
      </c>
      <c r="E418" s="12"/>
      <c r="F418" s="12"/>
      <c r="G418" s="10" t="s">
        <v>1714</v>
      </c>
      <c r="H418" s="10" t="s">
        <v>92</v>
      </c>
      <c r="I418" s="11" t="s">
        <v>1720</v>
      </c>
      <c r="J418" s="10" t="s">
        <v>1721</v>
      </c>
      <c r="K418" s="10" t="s">
        <v>806</v>
      </c>
      <c r="L418" s="10" t="s">
        <v>68</v>
      </c>
      <c r="M418" s="10" t="s">
        <v>416</v>
      </c>
      <c r="N418" s="11" t="s">
        <v>1722</v>
      </c>
      <c r="O418" s="10"/>
      <c r="P418" s="10" t="s">
        <v>637</v>
      </c>
      <c r="Q418" s="11" t="s">
        <v>72</v>
      </c>
      <c r="R418" s="11" t="s">
        <v>1722</v>
      </c>
      <c r="S418" s="11" t="s">
        <v>710</v>
      </c>
      <c r="T418" s="11" t="s">
        <v>1723</v>
      </c>
      <c r="U418" s="10" t="n">
        <f aca="false">IF(AND($D418="",$E418="",$F418=""),1,0)</f>
        <v>0</v>
      </c>
      <c r="V418" s="10" t="n">
        <f aca="false">IF(OR($I418="",$I418="—"),1,0)</f>
        <v>0</v>
      </c>
      <c r="W418" s="10" t="n">
        <f aca="false">IF(AND(ISNUMBER($D418),ISNUMBER($E418)),IF($E418&gt;$D418,1,0),0)+IF(AND(ISNUMBER($D418),ISNUMBER($F418)),IF($D418&gt;$F418,1,0),0)+IF(AND(ISNUMBER($E418),ISNUMBER($F418)),IF($E418&gt;$F418,1,0),0)</f>
        <v>0</v>
      </c>
      <c r="X418" s="13" t="s">
        <v>76</v>
      </c>
    </row>
    <row r="419" customFormat="false" ht="15" hidden="false" customHeight="false" outlineLevel="0" collapsed="false">
      <c r="A419" s="10" t="s">
        <v>1724</v>
      </c>
      <c r="B419" s="10" t="s">
        <v>1725</v>
      </c>
      <c r="C419" s="11" t="s">
        <v>1726</v>
      </c>
      <c r="D419" s="12" t="n">
        <v>0.0005</v>
      </c>
      <c r="E419" s="12"/>
      <c r="F419" s="12"/>
      <c r="G419" s="10" t="s">
        <v>1714</v>
      </c>
      <c r="H419" s="10" t="s">
        <v>64</v>
      </c>
      <c r="I419" s="11" t="s">
        <v>1720</v>
      </c>
      <c r="J419" s="10" t="s">
        <v>1721</v>
      </c>
      <c r="K419" s="10" t="s">
        <v>806</v>
      </c>
      <c r="L419" s="10" t="s">
        <v>68</v>
      </c>
      <c r="M419" s="10" t="s">
        <v>416</v>
      </c>
      <c r="N419" s="11" t="s">
        <v>1727</v>
      </c>
      <c r="O419" s="10"/>
      <c r="P419" s="10" t="s">
        <v>637</v>
      </c>
      <c r="Q419" s="11" t="s">
        <v>72</v>
      </c>
      <c r="R419" s="11" t="s">
        <v>1727</v>
      </c>
      <c r="S419" s="11" t="s">
        <v>710</v>
      </c>
      <c r="T419" s="11" t="s">
        <v>1728</v>
      </c>
      <c r="U419" s="10" t="n">
        <f aca="false">IF(AND($D419="",$E419="",$F419=""),1,0)</f>
        <v>0</v>
      </c>
      <c r="V419" s="10" t="n">
        <f aca="false">IF(OR($I419="",$I419="—"),1,0)</f>
        <v>0</v>
      </c>
      <c r="W419" s="10" t="n">
        <f aca="false">IF(AND(ISNUMBER($D419),ISNUMBER($E419)),IF($E419&gt;$D419,1,0),0)+IF(AND(ISNUMBER($D419),ISNUMBER($F419)),IF($D419&gt;$F419,1,0),0)+IF(AND(ISNUMBER($E419),ISNUMBER($F419)),IF($E419&gt;$F419,1,0),0)</f>
        <v>0</v>
      </c>
      <c r="X419" s="13" t="s">
        <v>76</v>
      </c>
    </row>
    <row r="420" customFormat="false" ht="15" hidden="false" customHeight="false" outlineLevel="0" collapsed="false">
      <c r="A420" s="10" t="s">
        <v>1729</v>
      </c>
      <c r="B420" s="10" t="s">
        <v>1730</v>
      </c>
      <c r="C420" s="10" t="s">
        <v>1731</v>
      </c>
      <c r="D420" s="12" t="n">
        <v>62</v>
      </c>
      <c r="E420" s="12"/>
      <c r="F420" s="12"/>
      <c r="G420" s="10" t="s">
        <v>1732</v>
      </c>
      <c r="H420" s="10" t="s">
        <v>1733</v>
      </c>
      <c r="I420" s="11" t="s">
        <v>1734</v>
      </c>
      <c r="J420" s="10" t="s">
        <v>664</v>
      </c>
      <c r="K420" s="10" t="s">
        <v>665</v>
      </c>
      <c r="L420" s="10" t="s">
        <v>68</v>
      </c>
      <c r="M420" s="10" t="s">
        <v>416</v>
      </c>
      <c r="N420" s="11" t="s">
        <v>1363</v>
      </c>
      <c r="O420" s="10"/>
      <c r="P420" s="10" t="s">
        <v>71</v>
      </c>
      <c r="Q420" s="11" t="s">
        <v>72</v>
      </c>
      <c r="R420" s="11" t="s">
        <v>1363</v>
      </c>
      <c r="S420" s="11" t="s">
        <v>74</v>
      </c>
      <c r="T420" s="11" t="s">
        <v>1735</v>
      </c>
      <c r="U420" s="10" t="n">
        <f aca="false">IF(AND($D420="",$E420="",$F420=""),1,0)</f>
        <v>0</v>
      </c>
      <c r="V420" s="10" t="n">
        <f aca="false">IF(OR($I420="",$I420="—"),1,0)</f>
        <v>0</v>
      </c>
      <c r="W420" s="10" t="n">
        <f aca="false">IF(AND(ISNUMBER($D420),ISNUMBER($E420)),IF($E420&gt;$D420,1,0),0)+IF(AND(ISNUMBER($D420),ISNUMBER($F420)),IF($D420&gt;$F420,1,0),0)+IF(AND(ISNUMBER($E420),ISNUMBER($F420)),IF($E420&gt;$F420,1,0),0)</f>
        <v>0</v>
      </c>
      <c r="X420" s="13" t="s">
        <v>76</v>
      </c>
    </row>
    <row r="421" customFormat="false" ht="15" hidden="false" customHeight="false" outlineLevel="0" collapsed="false">
      <c r="A421" s="10" t="s">
        <v>1736</v>
      </c>
      <c r="B421" s="10" t="s">
        <v>1737</v>
      </c>
      <c r="C421" s="10" t="s">
        <v>1738</v>
      </c>
      <c r="D421" s="12" t="n">
        <v>16</v>
      </c>
      <c r="E421" s="12"/>
      <c r="F421" s="12"/>
      <c r="G421" s="10" t="s">
        <v>1739</v>
      </c>
      <c r="H421" s="10" t="s">
        <v>1740</v>
      </c>
      <c r="I421" s="11" t="s">
        <v>1741</v>
      </c>
      <c r="J421" s="10" t="s">
        <v>1742</v>
      </c>
      <c r="K421" s="10" t="s">
        <v>707</v>
      </c>
      <c r="L421" s="10" t="s">
        <v>68</v>
      </c>
      <c r="M421" s="10" t="s">
        <v>416</v>
      </c>
      <c r="N421" s="11" t="s">
        <v>1363</v>
      </c>
      <c r="O421" s="10"/>
      <c r="P421" s="10" t="s">
        <v>637</v>
      </c>
      <c r="Q421" s="11" t="s">
        <v>72</v>
      </c>
      <c r="R421" s="11" t="s">
        <v>1363</v>
      </c>
      <c r="S421" s="11" t="s">
        <v>710</v>
      </c>
      <c r="T421" s="11" t="s">
        <v>1743</v>
      </c>
      <c r="U421" s="10" t="n">
        <f aca="false">IF(AND($D421="",$E421="",$F421=""),1,0)</f>
        <v>0</v>
      </c>
      <c r="V421" s="10" t="n">
        <f aca="false">IF(OR($I421="",$I421="—"),1,0)</f>
        <v>0</v>
      </c>
      <c r="W421" s="10" t="n">
        <f aca="false">IF(AND(ISNUMBER($D421),ISNUMBER($E421)),IF($E421&gt;$D421,1,0),0)+IF(AND(ISNUMBER($D421),ISNUMBER($F421)),IF($D421&gt;$F421,1,0),0)+IF(AND(ISNUMBER($E421),ISNUMBER($F421)),IF($E421&gt;$F421,1,0),0)</f>
        <v>0</v>
      </c>
      <c r="X421" s="13" t="s">
        <v>76</v>
      </c>
    </row>
    <row r="422" customFormat="false" ht="15" hidden="false" customHeight="false" outlineLevel="0" collapsed="false">
      <c r="A422" s="10" t="s">
        <v>1744</v>
      </c>
      <c r="B422" s="10" t="s">
        <v>1745</v>
      </c>
      <c r="C422" s="10" t="s">
        <v>1746</v>
      </c>
      <c r="D422" s="12" t="n">
        <v>20</v>
      </c>
      <c r="E422" s="12"/>
      <c r="F422" s="12"/>
      <c r="G422" s="10" t="s">
        <v>1747</v>
      </c>
      <c r="H422" s="10" t="s">
        <v>1740</v>
      </c>
      <c r="I422" s="11" t="s">
        <v>1741</v>
      </c>
      <c r="J422" s="10" t="s">
        <v>1742</v>
      </c>
      <c r="K422" s="10" t="s">
        <v>707</v>
      </c>
      <c r="L422" s="10" t="s">
        <v>68</v>
      </c>
      <c r="M422" s="10" t="s">
        <v>416</v>
      </c>
      <c r="N422" s="11" t="s">
        <v>1363</v>
      </c>
      <c r="O422" s="10"/>
      <c r="P422" s="10" t="s">
        <v>637</v>
      </c>
      <c r="Q422" s="11" t="s">
        <v>72</v>
      </c>
      <c r="R422" s="11" t="s">
        <v>1363</v>
      </c>
      <c r="S422" s="11" t="s">
        <v>710</v>
      </c>
      <c r="T422" s="11" t="s">
        <v>1748</v>
      </c>
      <c r="U422" s="10" t="n">
        <f aca="false">IF(AND($D422="",$E422="",$F422=""),1,0)</f>
        <v>0</v>
      </c>
      <c r="V422" s="10" t="n">
        <f aca="false">IF(OR($I422="",$I422="—"),1,0)</f>
        <v>0</v>
      </c>
      <c r="W422" s="10" t="n">
        <f aca="false">IF(AND(ISNUMBER($D422),ISNUMBER($E422)),IF($E422&gt;$D422,1,0),0)+IF(AND(ISNUMBER($D422),ISNUMBER($F422)),IF($D422&gt;$F422,1,0),0)+IF(AND(ISNUMBER($E422),ISNUMBER($F422)),IF($E422&gt;$F422,1,0),0)</f>
        <v>0</v>
      </c>
      <c r="X422" s="13" t="s">
        <v>76</v>
      </c>
    </row>
    <row r="423" customFormat="false" ht="15" hidden="false" customHeight="false" outlineLevel="0" collapsed="false">
      <c r="A423" s="10" t="s">
        <v>1749</v>
      </c>
      <c r="B423" s="10" t="s">
        <v>1750</v>
      </c>
      <c r="C423" s="11" t="s">
        <v>1751</v>
      </c>
      <c r="D423" s="12" t="n">
        <v>18</v>
      </c>
      <c r="E423" s="12"/>
      <c r="F423" s="12"/>
      <c r="G423" s="10" t="s">
        <v>1739</v>
      </c>
      <c r="H423" s="10" t="s">
        <v>1752</v>
      </c>
      <c r="I423" s="11" t="s">
        <v>1753</v>
      </c>
      <c r="J423" s="10" t="s">
        <v>1754</v>
      </c>
      <c r="K423" s="10" t="s">
        <v>1752</v>
      </c>
      <c r="L423" s="10" t="s">
        <v>68</v>
      </c>
      <c r="M423" s="10" t="s">
        <v>416</v>
      </c>
      <c r="N423" s="11" t="s">
        <v>1363</v>
      </c>
      <c r="O423" s="10"/>
      <c r="P423" s="10" t="s">
        <v>637</v>
      </c>
      <c r="Q423" s="11" t="s">
        <v>72</v>
      </c>
      <c r="R423" s="11" t="s">
        <v>1363</v>
      </c>
      <c r="S423" s="11" t="s">
        <v>710</v>
      </c>
      <c r="T423" s="11" t="s">
        <v>1755</v>
      </c>
      <c r="U423" s="10" t="n">
        <f aca="false">IF(AND($D423="",$E423="",$F423=""),1,0)</f>
        <v>0</v>
      </c>
      <c r="V423" s="10" t="n">
        <f aca="false">IF(OR($I423="",$I423="—"),1,0)</f>
        <v>0</v>
      </c>
      <c r="W423" s="10" t="n">
        <f aca="false">IF(AND(ISNUMBER($D423),ISNUMBER($E423)),IF($E423&gt;$D423,1,0),0)+IF(AND(ISNUMBER($D423),ISNUMBER($F423)),IF($D423&gt;$F423,1,0),0)+IF(AND(ISNUMBER($E423),ISNUMBER($F423)),IF($E423&gt;$F423,1,0),0)</f>
        <v>0</v>
      </c>
      <c r="X423" s="13" t="s">
        <v>76</v>
      </c>
    </row>
    <row r="424" customFormat="false" ht="15" hidden="false" customHeight="false" outlineLevel="0" collapsed="false">
      <c r="A424" s="10" t="s">
        <v>1756</v>
      </c>
      <c r="B424" s="10" t="s">
        <v>1757</v>
      </c>
      <c r="C424" s="11" t="s">
        <v>1758</v>
      </c>
      <c r="D424" s="12" t="n">
        <v>30</v>
      </c>
      <c r="E424" s="12"/>
      <c r="F424" s="12"/>
      <c r="G424" s="10" t="s">
        <v>1739</v>
      </c>
      <c r="H424" s="10" t="s">
        <v>1759</v>
      </c>
      <c r="I424" s="11" t="s">
        <v>1753</v>
      </c>
      <c r="J424" s="10" t="s">
        <v>1754</v>
      </c>
      <c r="K424" s="10" t="s">
        <v>1752</v>
      </c>
      <c r="L424" s="10" t="s">
        <v>68</v>
      </c>
      <c r="M424" s="10" t="s">
        <v>416</v>
      </c>
      <c r="N424" s="11" t="s">
        <v>1363</v>
      </c>
      <c r="O424" s="10"/>
      <c r="P424" s="10" t="s">
        <v>637</v>
      </c>
      <c r="Q424" s="11" t="s">
        <v>72</v>
      </c>
      <c r="R424" s="11" t="s">
        <v>1363</v>
      </c>
      <c r="S424" s="11" t="s">
        <v>710</v>
      </c>
      <c r="T424" s="11" t="s">
        <v>1760</v>
      </c>
      <c r="U424" s="10" t="n">
        <f aca="false">IF(AND($D424="",$E424="",$F424=""),1,0)</f>
        <v>0</v>
      </c>
      <c r="V424" s="10" t="n">
        <f aca="false">IF(OR($I424="",$I424="—"),1,0)</f>
        <v>0</v>
      </c>
      <c r="W424" s="10" t="n">
        <f aca="false">IF(AND(ISNUMBER($D424),ISNUMBER($E424)),IF($E424&gt;$D424,1,0),0)+IF(AND(ISNUMBER($D424),ISNUMBER($F424)),IF($D424&gt;$F424,1,0),0)+IF(AND(ISNUMBER($E424),ISNUMBER($F424)),IF($E424&gt;$F424,1,0),0)</f>
        <v>0</v>
      </c>
      <c r="X424" s="13" t="s">
        <v>76</v>
      </c>
    </row>
    <row r="425" customFormat="false" ht="15" hidden="false" customHeight="false" outlineLevel="0" collapsed="false">
      <c r="A425" s="10" t="s">
        <v>1761</v>
      </c>
      <c r="B425" s="10" t="s">
        <v>1762</v>
      </c>
      <c r="C425" s="10" t="s">
        <v>1763</v>
      </c>
      <c r="D425" s="12" t="n">
        <v>10</v>
      </c>
      <c r="E425" s="12"/>
      <c r="F425" s="12"/>
      <c r="G425" s="11" t="s">
        <v>1709</v>
      </c>
      <c r="H425" s="10" t="s">
        <v>1764</v>
      </c>
      <c r="I425" s="11" t="s">
        <v>1753</v>
      </c>
      <c r="J425" s="10" t="s">
        <v>1754</v>
      </c>
      <c r="K425" s="10" t="s">
        <v>1752</v>
      </c>
      <c r="L425" s="10" t="s">
        <v>68</v>
      </c>
      <c r="M425" s="10" t="s">
        <v>416</v>
      </c>
      <c r="N425" s="11" t="s">
        <v>1363</v>
      </c>
      <c r="O425" s="10"/>
      <c r="P425" s="10" t="s">
        <v>637</v>
      </c>
      <c r="Q425" s="11" t="s">
        <v>72</v>
      </c>
      <c r="R425" s="11" t="s">
        <v>1363</v>
      </c>
      <c r="S425" s="11" t="s">
        <v>710</v>
      </c>
      <c r="T425" s="11" t="s">
        <v>1765</v>
      </c>
      <c r="U425" s="10" t="n">
        <f aca="false">IF(AND($D425="",$E425="",$F425=""),1,0)</f>
        <v>0</v>
      </c>
      <c r="V425" s="10" t="n">
        <f aca="false">IF(OR($I425="",$I425="—"),1,0)</f>
        <v>0</v>
      </c>
      <c r="W425" s="10" t="n">
        <f aca="false">IF(AND(ISNUMBER($D425),ISNUMBER($E425)),IF($E425&gt;$D425,1,0),0)+IF(AND(ISNUMBER($D425),ISNUMBER($F425)),IF($D425&gt;$F425,1,0),0)+IF(AND(ISNUMBER($E425),ISNUMBER($F425)),IF($E425&gt;$F425,1,0),0)</f>
        <v>0</v>
      </c>
      <c r="X425" s="13" t="s">
        <v>76</v>
      </c>
    </row>
    <row r="426" customFormat="false" ht="15" hidden="false" customHeight="false" outlineLevel="0" collapsed="false">
      <c r="A426" s="10" t="s">
        <v>1766</v>
      </c>
      <c r="B426" s="10" t="s">
        <v>1767</v>
      </c>
      <c r="C426" s="10" t="s">
        <v>1768</v>
      </c>
      <c r="D426" s="12"/>
      <c r="E426" s="12"/>
      <c r="F426" s="12"/>
      <c r="G426" s="11" t="s">
        <v>1769</v>
      </c>
      <c r="H426" s="10" t="s">
        <v>1770</v>
      </c>
      <c r="I426" s="10" t="s">
        <v>1771</v>
      </c>
      <c r="J426" s="10" t="s">
        <v>1569</v>
      </c>
      <c r="K426" s="10" t="s">
        <v>68</v>
      </c>
      <c r="L426" s="10" t="s">
        <v>68</v>
      </c>
      <c r="M426" s="10" t="s">
        <v>416</v>
      </c>
      <c r="N426" s="11" t="s">
        <v>1772</v>
      </c>
      <c r="O426" s="10"/>
      <c r="P426" s="10" t="s">
        <v>637</v>
      </c>
      <c r="Q426" s="11" t="s">
        <v>72</v>
      </c>
      <c r="R426" s="11" t="s">
        <v>1772</v>
      </c>
      <c r="S426" s="11" t="s">
        <v>710</v>
      </c>
      <c r="T426" s="11" t="s">
        <v>1773</v>
      </c>
      <c r="U426" s="10" t="n">
        <f aca="false">IF(AND($D426="",$E426="",$F426=""),1,0)</f>
        <v>1</v>
      </c>
      <c r="V426" s="10" t="n">
        <f aca="false">IF(OR($I426="",$I426="—"),1,0)</f>
        <v>0</v>
      </c>
      <c r="W426" s="10" t="n">
        <f aca="false">IF(AND(ISNUMBER($D426),ISNUMBER($E426)),IF($E426&gt;$D426,1,0),0)+IF(AND(ISNUMBER($D426),ISNUMBER($F426)),IF($D426&gt;$F426,1,0),0)+IF(AND(ISNUMBER($E426),ISNUMBER($F426)),IF($E426&gt;$F426,1,0),0)</f>
        <v>0</v>
      </c>
      <c r="X426" s="13" t="s">
        <v>76</v>
      </c>
    </row>
    <row r="427" customFormat="false" ht="15" hidden="false" customHeight="false" outlineLevel="0" collapsed="false">
      <c r="A427" s="10" t="s">
        <v>1774</v>
      </c>
      <c r="B427" s="10" t="s">
        <v>1775</v>
      </c>
      <c r="C427" s="11" t="s">
        <v>1776</v>
      </c>
      <c r="D427" s="12" t="n">
        <v>55.4</v>
      </c>
      <c r="E427" s="12"/>
      <c r="F427" s="12"/>
      <c r="G427" s="10" t="s">
        <v>401</v>
      </c>
      <c r="H427" s="10" t="s">
        <v>64</v>
      </c>
      <c r="I427" s="11" t="s">
        <v>1670</v>
      </c>
      <c r="J427" s="10" t="s">
        <v>415</v>
      </c>
      <c r="K427" s="10" t="s">
        <v>67</v>
      </c>
      <c r="L427" s="10" t="s">
        <v>68</v>
      </c>
      <c r="M427" s="10" t="s">
        <v>69</v>
      </c>
      <c r="N427" s="10"/>
      <c r="O427" s="11" t="s">
        <v>1777</v>
      </c>
      <c r="P427" s="10" t="s">
        <v>71</v>
      </c>
      <c r="Q427" s="11" t="s">
        <v>72</v>
      </c>
      <c r="R427" s="11" t="s">
        <v>73</v>
      </c>
      <c r="S427" s="11" t="s">
        <v>74</v>
      </c>
      <c r="T427" s="11" t="s">
        <v>1778</v>
      </c>
      <c r="U427" s="10" t="n">
        <f aca="false">IF(AND($D427="",$E427="",$F427=""),1,0)</f>
        <v>0</v>
      </c>
      <c r="V427" s="10" t="n">
        <f aca="false">IF(OR($I427="",$I427="—"),1,0)</f>
        <v>0</v>
      </c>
      <c r="W427" s="10" t="n">
        <f aca="false">IF(AND(ISNUMBER($D427),ISNUMBER($E427)),IF($E427&gt;$D427,1,0),0)+IF(AND(ISNUMBER($D427),ISNUMBER($F427)),IF($D427&gt;$F427,1,0),0)+IF(AND(ISNUMBER($E427),ISNUMBER($F427)),IF($E427&gt;$F427,1,0),0)</f>
        <v>0</v>
      </c>
      <c r="X427" s="13" t="s">
        <v>76</v>
      </c>
    </row>
    <row r="428" customFormat="false" ht="15" hidden="false" customHeight="false" outlineLevel="0" collapsed="false">
      <c r="A428" s="10" t="s">
        <v>1779</v>
      </c>
      <c r="B428" s="10" t="s">
        <v>1780</v>
      </c>
      <c r="C428" s="11" t="s">
        <v>1781</v>
      </c>
      <c r="D428" s="12" t="n">
        <v>15.4</v>
      </c>
      <c r="E428" s="12"/>
      <c r="F428" s="12"/>
      <c r="G428" s="10" t="s">
        <v>401</v>
      </c>
      <c r="H428" s="10" t="s">
        <v>64</v>
      </c>
      <c r="I428" s="11" t="s">
        <v>1670</v>
      </c>
      <c r="J428" s="10" t="s">
        <v>415</v>
      </c>
      <c r="K428" s="10" t="s">
        <v>67</v>
      </c>
      <c r="L428" s="10" t="s">
        <v>68</v>
      </c>
      <c r="M428" s="10" t="s">
        <v>69</v>
      </c>
      <c r="N428" s="10"/>
      <c r="O428" s="11" t="s">
        <v>1777</v>
      </c>
      <c r="P428" s="10" t="s">
        <v>71</v>
      </c>
      <c r="Q428" s="11" t="s">
        <v>72</v>
      </c>
      <c r="R428" s="11" t="s">
        <v>73</v>
      </c>
      <c r="S428" s="11" t="s">
        <v>74</v>
      </c>
      <c r="T428" s="11" t="s">
        <v>1095</v>
      </c>
      <c r="U428" s="10" t="n">
        <f aca="false">IF(AND($D428="",$E428="",$F428=""),1,0)</f>
        <v>0</v>
      </c>
      <c r="V428" s="10" t="n">
        <f aca="false">IF(OR($I428="",$I428="—"),1,0)</f>
        <v>0</v>
      </c>
      <c r="W428" s="10" t="n">
        <f aca="false">IF(AND(ISNUMBER($D428),ISNUMBER($E428)),IF($E428&gt;$D428,1,0),0)+IF(AND(ISNUMBER($D428),ISNUMBER($F428)),IF($D428&gt;$F428,1,0),0)+IF(AND(ISNUMBER($E428),ISNUMBER($F428)),IF($E428&gt;$F428,1,0),0)</f>
        <v>0</v>
      </c>
      <c r="X428" s="13" t="s">
        <v>76</v>
      </c>
    </row>
    <row r="429" customFormat="false" ht="15" hidden="false" customHeight="false" outlineLevel="0" collapsed="false">
      <c r="A429" s="10" t="s">
        <v>1782</v>
      </c>
      <c r="B429" s="10" t="s">
        <v>1783</v>
      </c>
      <c r="C429" s="11" t="s">
        <v>1776</v>
      </c>
      <c r="D429" s="12" t="n">
        <v>61.5</v>
      </c>
      <c r="E429" s="12"/>
      <c r="F429" s="12"/>
      <c r="G429" s="10" t="s">
        <v>401</v>
      </c>
      <c r="H429" s="10" t="s">
        <v>79</v>
      </c>
      <c r="I429" s="11" t="s">
        <v>1670</v>
      </c>
      <c r="J429" s="10" t="s">
        <v>415</v>
      </c>
      <c r="K429" s="10" t="s">
        <v>67</v>
      </c>
      <c r="L429" s="10" t="s">
        <v>68</v>
      </c>
      <c r="M429" s="10" t="s">
        <v>69</v>
      </c>
      <c r="N429" s="10"/>
      <c r="O429" s="11" t="s">
        <v>1777</v>
      </c>
      <c r="P429" s="10" t="s">
        <v>71</v>
      </c>
      <c r="Q429" s="11" t="s">
        <v>72</v>
      </c>
      <c r="R429" s="11" t="s">
        <v>73</v>
      </c>
      <c r="S429" s="11" t="s">
        <v>74</v>
      </c>
      <c r="T429" s="11" t="s">
        <v>1784</v>
      </c>
      <c r="U429" s="10" t="n">
        <f aca="false">IF(AND($D429="",$E429="",$F429=""),1,0)</f>
        <v>0</v>
      </c>
      <c r="V429" s="10" t="n">
        <f aca="false">IF(OR($I429="",$I429="—"),1,0)</f>
        <v>0</v>
      </c>
      <c r="W429" s="10" t="n">
        <f aca="false">IF(AND(ISNUMBER($D429),ISNUMBER($E429)),IF($E429&gt;$D429,1,0),0)+IF(AND(ISNUMBER($D429),ISNUMBER($F429)),IF($D429&gt;$F429,1,0),0)+IF(AND(ISNUMBER($E429),ISNUMBER($F429)),IF($E429&gt;$F429,1,0),0)</f>
        <v>0</v>
      </c>
      <c r="X429" s="13" t="s">
        <v>76</v>
      </c>
    </row>
    <row r="430" customFormat="false" ht="15" hidden="false" customHeight="false" outlineLevel="0" collapsed="false">
      <c r="A430" s="10" t="s">
        <v>1785</v>
      </c>
      <c r="B430" s="10" t="s">
        <v>1786</v>
      </c>
      <c r="C430" s="11" t="s">
        <v>1781</v>
      </c>
      <c r="D430" s="12" t="n">
        <v>14.7</v>
      </c>
      <c r="E430" s="12"/>
      <c r="F430" s="12"/>
      <c r="G430" s="10" t="s">
        <v>401</v>
      </c>
      <c r="H430" s="10" t="s">
        <v>79</v>
      </c>
      <c r="I430" s="11" t="s">
        <v>1670</v>
      </c>
      <c r="J430" s="10" t="s">
        <v>415</v>
      </c>
      <c r="K430" s="10" t="s">
        <v>67</v>
      </c>
      <c r="L430" s="10" t="s">
        <v>68</v>
      </c>
      <c r="M430" s="10" t="s">
        <v>69</v>
      </c>
      <c r="N430" s="10"/>
      <c r="O430" s="11" t="s">
        <v>1777</v>
      </c>
      <c r="P430" s="10" t="s">
        <v>71</v>
      </c>
      <c r="Q430" s="11" t="s">
        <v>72</v>
      </c>
      <c r="R430" s="11" t="s">
        <v>73</v>
      </c>
      <c r="S430" s="11" t="s">
        <v>74</v>
      </c>
      <c r="T430" s="11" t="s">
        <v>1095</v>
      </c>
      <c r="U430" s="10" t="n">
        <f aca="false">IF(AND($D430="",$E430="",$F430=""),1,0)</f>
        <v>0</v>
      </c>
      <c r="V430" s="10" t="n">
        <f aca="false">IF(OR($I430="",$I430="—"),1,0)</f>
        <v>0</v>
      </c>
      <c r="W430" s="10" t="n">
        <f aca="false">IF(AND(ISNUMBER($D430),ISNUMBER($E430)),IF($E430&gt;$D430,1,0),0)+IF(AND(ISNUMBER($D430),ISNUMBER($F430)),IF($D430&gt;$F430,1,0),0)+IF(AND(ISNUMBER($E430),ISNUMBER($F430)),IF($E430&gt;$F430,1,0),0)</f>
        <v>0</v>
      </c>
      <c r="X430" s="13" t="s">
        <v>76</v>
      </c>
    </row>
    <row r="431" customFormat="false" ht="15" hidden="false" customHeight="false" outlineLevel="0" collapsed="false">
      <c r="A431" s="10" t="s">
        <v>1787</v>
      </c>
      <c r="B431" s="10" t="s">
        <v>1788</v>
      </c>
      <c r="C431" s="11" t="s">
        <v>1776</v>
      </c>
      <c r="D431" s="12" t="n">
        <v>45.5</v>
      </c>
      <c r="E431" s="12"/>
      <c r="F431" s="12"/>
      <c r="G431" s="10" t="s">
        <v>401</v>
      </c>
      <c r="H431" s="10" t="s">
        <v>83</v>
      </c>
      <c r="I431" s="11" t="s">
        <v>1670</v>
      </c>
      <c r="J431" s="10" t="s">
        <v>415</v>
      </c>
      <c r="K431" s="10" t="s">
        <v>67</v>
      </c>
      <c r="L431" s="10" t="s">
        <v>68</v>
      </c>
      <c r="M431" s="10" t="s">
        <v>69</v>
      </c>
      <c r="N431" s="10"/>
      <c r="O431" s="11" t="s">
        <v>1777</v>
      </c>
      <c r="P431" s="10" t="s">
        <v>71</v>
      </c>
      <c r="Q431" s="11" t="s">
        <v>72</v>
      </c>
      <c r="R431" s="11" t="s">
        <v>73</v>
      </c>
      <c r="S431" s="11" t="s">
        <v>74</v>
      </c>
      <c r="T431" s="11" t="s">
        <v>1789</v>
      </c>
      <c r="U431" s="10" t="n">
        <f aca="false">IF(AND($D431="",$E431="",$F431=""),1,0)</f>
        <v>0</v>
      </c>
      <c r="V431" s="10" t="n">
        <f aca="false">IF(OR($I431="",$I431="—"),1,0)</f>
        <v>0</v>
      </c>
      <c r="W431" s="10" t="n">
        <f aca="false">IF(AND(ISNUMBER($D431),ISNUMBER($E431)),IF($E431&gt;$D431,1,0),0)+IF(AND(ISNUMBER($D431),ISNUMBER($F431)),IF($D431&gt;$F431,1,0),0)+IF(AND(ISNUMBER($E431),ISNUMBER($F431)),IF($E431&gt;$F431,1,0),0)</f>
        <v>0</v>
      </c>
      <c r="X431" s="13" t="s">
        <v>76</v>
      </c>
    </row>
    <row r="432" customFormat="false" ht="15" hidden="false" customHeight="false" outlineLevel="0" collapsed="false">
      <c r="A432" s="10" t="s">
        <v>1790</v>
      </c>
      <c r="B432" s="10" t="s">
        <v>1791</v>
      </c>
      <c r="C432" s="11" t="s">
        <v>1781</v>
      </c>
      <c r="D432" s="12" t="n">
        <v>19</v>
      </c>
      <c r="E432" s="12"/>
      <c r="F432" s="12"/>
      <c r="G432" s="10" t="s">
        <v>401</v>
      </c>
      <c r="H432" s="10" t="s">
        <v>83</v>
      </c>
      <c r="I432" s="11" t="s">
        <v>1670</v>
      </c>
      <c r="J432" s="10" t="s">
        <v>415</v>
      </c>
      <c r="K432" s="10" t="s">
        <v>67</v>
      </c>
      <c r="L432" s="10" t="s">
        <v>68</v>
      </c>
      <c r="M432" s="10" t="s">
        <v>69</v>
      </c>
      <c r="N432" s="10"/>
      <c r="O432" s="11" t="s">
        <v>1777</v>
      </c>
      <c r="P432" s="10" t="s">
        <v>71</v>
      </c>
      <c r="Q432" s="11" t="s">
        <v>72</v>
      </c>
      <c r="R432" s="11" t="s">
        <v>73</v>
      </c>
      <c r="S432" s="11" t="s">
        <v>74</v>
      </c>
      <c r="T432" s="11" t="s">
        <v>1095</v>
      </c>
      <c r="U432" s="10" t="n">
        <f aca="false">IF(AND($D432="",$E432="",$F432=""),1,0)</f>
        <v>0</v>
      </c>
      <c r="V432" s="10" t="n">
        <f aca="false">IF(OR($I432="",$I432="—"),1,0)</f>
        <v>0</v>
      </c>
      <c r="W432" s="10" t="n">
        <f aca="false">IF(AND(ISNUMBER($D432),ISNUMBER($E432)),IF($E432&gt;$D432,1,0),0)+IF(AND(ISNUMBER($D432),ISNUMBER($F432)),IF($D432&gt;$F432,1,0),0)+IF(AND(ISNUMBER($E432),ISNUMBER($F432)),IF($E432&gt;$F432,1,0),0)</f>
        <v>0</v>
      </c>
      <c r="X432" s="13" t="s">
        <v>76</v>
      </c>
    </row>
    <row r="433" customFormat="false" ht="15" hidden="false" customHeight="false" outlineLevel="0" collapsed="false">
      <c r="A433" s="10" t="s">
        <v>1792</v>
      </c>
      <c r="B433" s="10" t="s">
        <v>1793</v>
      </c>
      <c r="C433" s="11" t="s">
        <v>1776</v>
      </c>
      <c r="D433" s="12" t="n">
        <v>40</v>
      </c>
      <c r="E433" s="12"/>
      <c r="F433" s="12"/>
      <c r="G433" s="10" t="s">
        <v>401</v>
      </c>
      <c r="H433" s="10" t="s">
        <v>92</v>
      </c>
      <c r="I433" s="11" t="s">
        <v>1670</v>
      </c>
      <c r="J433" s="10" t="s">
        <v>415</v>
      </c>
      <c r="K433" s="10" t="s">
        <v>67</v>
      </c>
      <c r="L433" s="10" t="s">
        <v>68</v>
      </c>
      <c r="M433" s="10" t="s">
        <v>69</v>
      </c>
      <c r="N433" s="10"/>
      <c r="O433" s="11" t="s">
        <v>1777</v>
      </c>
      <c r="P433" s="10" t="s">
        <v>71</v>
      </c>
      <c r="Q433" s="11" t="s">
        <v>72</v>
      </c>
      <c r="R433" s="11" t="s">
        <v>73</v>
      </c>
      <c r="S433" s="11" t="s">
        <v>74</v>
      </c>
      <c r="T433" s="11" t="s">
        <v>1794</v>
      </c>
      <c r="U433" s="10" t="n">
        <f aca="false">IF(AND($D433="",$E433="",$F433=""),1,0)</f>
        <v>0</v>
      </c>
      <c r="V433" s="10" t="n">
        <f aca="false">IF(OR($I433="",$I433="—"),1,0)</f>
        <v>0</v>
      </c>
      <c r="W433" s="10" t="n">
        <f aca="false">IF(AND(ISNUMBER($D433),ISNUMBER($E433)),IF($E433&gt;$D433,1,0),0)+IF(AND(ISNUMBER($D433),ISNUMBER($F433)),IF($D433&gt;$F433,1,0),0)+IF(AND(ISNUMBER($E433),ISNUMBER($F433)),IF($E433&gt;$F433,1,0),0)</f>
        <v>0</v>
      </c>
      <c r="X433" s="13" t="s">
        <v>76</v>
      </c>
    </row>
    <row r="434" customFormat="false" ht="15" hidden="false" customHeight="false" outlineLevel="0" collapsed="false">
      <c r="A434" s="10" t="s">
        <v>1795</v>
      </c>
      <c r="B434" s="10" t="s">
        <v>1796</v>
      </c>
      <c r="C434" s="11" t="s">
        <v>1781</v>
      </c>
      <c r="D434" s="12" t="n">
        <v>11</v>
      </c>
      <c r="E434" s="12"/>
      <c r="F434" s="12"/>
      <c r="G434" s="10" t="s">
        <v>401</v>
      </c>
      <c r="H434" s="10" t="s">
        <v>92</v>
      </c>
      <c r="I434" s="11" t="s">
        <v>1670</v>
      </c>
      <c r="J434" s="10" t="s">
        <v>415</v>
      </c>
      <c r="K434" s="10" t="s">
        <v>67</v>
      </c>
      <c r="L434" s="10" t="s">
        <v>68</v>
      </c>
      <c r="M434" s="10" t="s">
        <v>69</v>
      </c>
      <c r="N434" s="10"/>
      <c r="O434" s="11" t="s">
        <v>1777</v>
      </c>
      <c r="P434" s="10" t="s">
        <v>71</v>
      </c>
      <c r="Q434" s="11" t="s">
        <v>72</v>
      </c>
      <c r="R434" s="11" t="s">
        <v>73</v>
      </c>
      <c r="S434" s="11" t="s">
        <v>74</v>
      </c>
      <c r="T434" s="11" t="s">
        <v>1095</v>
      </c>
      <c r="U434" s="10" t="n">
        <f aca="false">IF(AND($D434="",$E434="",$F434=""),1,0)</f>
        <v>0</v>
      </c>
      <c r="V434" s="10" t="n">
        <f aca="false">IF(OR($I434="",$I434="—"),1,0)</f>
        <v>0</v>
      </c>
      <c r="W434" s="10" t="n">
        <f aca="false">IF(AND(ISNUMBER($D434),ISNUMBER($E434)),IF($E434&gt;$D434,1,0),0)+IF(AND(ISNUMBER($D434),ISNUMBER($F434)),IF($D434&gt;$F434,1,0),0)+IF(AND(ISNUMBER($E434),ISNUMBER($F434)),IF($E434&gt;$F434,1,0),0)</f>
        <v>0</v>
      </c>
      <c r="X434" s="13" t="s">
        <v>76</v>
      </c>
    </row>
    <row r="435" customFormat="false" ht="15" hidden="false" customHeight="false" outlineLevel="0" collapsed="false">
      <c r="A435" s="10" t="s">
        <v>1797</v>
      </c>
      <c r="B435" s="10" t="s">
        <v>1798</v>
      </c>
      <c r="C435" s="11" t="s">
        <v>1799</v>
      </c>
      <c r="D435" s="12" t="n">
        <v>1.42</v>
      </c>
      <c r="E435" s="12"/>
      <c r="F435" s="12"/>
      <c r="G435" s="10" t="s">
        <v>63</v>
      </c>
      <c r="H435" s="10" t="s">
        <v>83</v>
      </c>
      <c r="I435" s="11" t="s">
        <v>1800</v>
      </c>
      <c r="J435" s="10" t="s">
        <v>905</v>
      </c>
      <c r="K435" s="10" t="s">
        <v>906</v>
      </c>
      <c r="L435" s="10" t="s">
        <v>68</v>
      </c>
      <c r="M435" s="10" t="s">
        <v>69</v>
      </c>
      <c r="N435" s="10"/>
      <c r="O435" s="10"/>
      <c r="P435" s="10" t="s">
        <v>637</v>
      </c>
      <c r="Q435" s="11" t="s">
        <v>72</v>
      </c>
      <c r="R435" s="11" t="s">
        <v>1090</v>
      </c>
      <c r="S435" s="11" t="s">
        <v>710</v>
      </c>
      <c r="T435" s="11" t="s">
        <v>1801</v>
      </c>
      <c r="U435" s="10" t="n">
        <f aca="false">IF(AND($D435="",$E435="",$F435=""),1,0)</f>
        <v>0</v>
      </c>
      <c r="V435" s="10" t="n">
        <f aca="false">IF(OR($I435="",$I435="—"),1,0)</f>
        <v>0</v>
      </c>
      <c r="W435" s="10" t="n">
        <f aca="false">IF(AND(ISNUMBER($D435),ISNUMBER($E435)),IF($E435&gt;$D435,1,0),0)+IF(AND(ISNUMBER($D435),ISNUMBER($F435)),IF($D435&gt;$F435,1,0),0)+IF(AND(ISNUMBER($E435),ISNUMBER($F435)),IF($E435&gt;$F435,1,0),0)</f>
        <v>0</v>
      </c>
      <c r="X435" s="13" t="s">
        <v>76</v>
      </c>
    </row>
    <row r="436" customFormat="false" ht="15" hidden="false" customHeight="false" outlineLevel="0" collapsed="false">
      <c r="A436" s="10" t="s">
        <v>1802</v>
      </c>
      <c r="B436" s="10" t="s">
        <v>1803</v>
      </c>
      <c r="C436" s="10" t="s">
        <v>1804</v>
      </c>
      <c r="D436" s="12" t="n">
        <v>0</v>
      </c>
      <c r="E436" s="12"/>
      <c r="F436" s="12"/>
      <c r="G436" s="11" t="s">
        <v>1669</v>
      </c>
      <c r="H436" s="10" t="s">
        <v>446</v>
      </c>
      <c r="I436" s="11" t="s">
        <v>1805</v>
      </c>
      <c r="J436" s="10" t="s">
        <v>448</v>
      </c>
      <c r="K436" s="10" t="s">
        <v>449</v>
      </c>
      <c r="L436" s="10" t="s">
        <v>68</v>
      </c>
      <c r="M436" s="10" t="s">
        <v>69</v>
      </c>
      <c r="N436" s="10"/>
      <c r="O436" s="11" t="s">
        <v>1806</v>
      </c>
      <c r="P436" s="10" t="s">
        <v>71</v>
      </c>
      <c r="Q436" s="11" t="s">
        <v>72</v>
      </c>
      <c r="R436" s="11" t="s">
        <v>73</v>
      </c>
      <c r="S436" s="11" t="s">
        <v>74</v>
      </c>
      <c r="T436" s="11" t="s">
        <v>1807</v>
      </c>
      <c r="U436" s="10" t="n">
        <f aca="false">IF(AND($D436="",$E436="",$F436=""),1,0)</f>
        <v>0</v>
      </c>
      <c r="V436" s="10" t="n">
        <f aca="false">IF(OR($I436="",$I436="—"),1,0)</f>
        <v>0</v>
      </c>
      <c r="W436" s="10" t="n">
        <f aca="false">IF(AND(ISNUMBER($D436),ISNUMBER($E436)),IF($E436&gt;$D436,1,0),0)+IF(AND(ISNUMBER($D436),ISNUMBER($F436)),IF($D436&gt;$F436,1,0),0)+IF(AND(ISNUMBER($E436),ISNUMBER($F436)),IF($E436&gt;$F436,1,0),0)</f>
        <v>0</v>
      </c>
      <c r="X436" s="13" t="s">
        <v>76</v>
      </c>
    </row>
    <row r="437" customFormat="false" ht="15" hidden="false" customHeight="false" outlineLevel="0" collapsed="false">
      <c r="A437" s="10" t="s">
        <v>1808</v>
      </c>
      <c r="B437" s="10" t="s">
        <v>1809</v>
      </c>
      <c r="C437" s="11" t="s">
        <v>1810</v>
      </c>
      <c r="D437" s="12" t="n">
        <v>2.42</v>
      </c>
      <c r="E437" s="12"/>
      <c r="F437" s="12"/>
      <c r="G437" s="10" t="s">
        <v>1811</v>
      </c>
      <c r="H437" s="10" t="s">
        <v>1812</v>
      </c>
      <c r="I437" s="11" t="s">
        <v>1720</v>
      </c>
      <c r="J437" s="10" t="s">
        <v>1721</v>
      </c>
      <c r="K437" s="10" t="s">
        <v>806</v>
      </c>
      <c r="L437" s="10" t="s">
        <v>68</v>
      </c>
      <c r="M437" s="10" t="s">
        <v>416</v>
      </c>
      <c r="N437" s="11" t="s">
        <v>709</v>
      </c>
      <c r="O437" s="10"/>
      <c r="P437" s="10" t="s">
        <v>637</v>
      </c>
      <c r="Q437" s="11" t="s">
        <v>72</v>
      </c>
      <c r="R437" s="11" t="s">
        <v>709</v>
      </c>
      <c r="S437" s="11" t="s">
        <v>710</v>
      </c>
      <c r="T437" s="11" t="s">
        <v>1813</v>
      </c>
      <c r="U437" s="10" t="n">
        <f aca="false">IF(AND($D437="",$E437="",$F437=""),1,0)</f>
        <v>0</v>
      </c>
      <c r="V437" s="10" t="n">
        <f aca="false">IF(OR($I437="",$I437="—"),1,0)</f>
        <v>0</v>
      </c>
      <c r="W437" s="10" t="n">
        <f aca="false">IF(AND(ISNUMBER($D437),ISNUMBER($E437)),IF($E437&gt;$D437,1,0),0)+IF(AND(ISNUMBER($D437),ISNUMBER($F437)),IF($D437&gt;$F437,1,0),0)+IF(AND(ISNUMBER($E437),ISNUMBER($F437)),IF($E437&gt;$F437,1,0),0)</f>
        <v>0</v>
      </c>
      <c r="X437" s="13" t="s">
        <v>76</v>
      </c>
    </row>
    <row r="438" customFormat="false" ht="15" hidden="false" customHeight="false" outlineLevel="0" collapsed="false">
      <c r="A438" s="10" t="s">
        <v>1814</v>
      </c>
      <c r="B438" s="10" t="s">
        <v>1815</v>
      </c>
      <c r="C438" s="11" t="s">
        <v>1816</v>
      </c>
      <c r="D438" s="12"/>
      <c r="E438" s="12"/>
      <c r="F438" s="12"/>
      <c r="G438" s="11" t="s">
        <v>1817</v>
      </c>
      <c r="H438" s="10" t="s">
        <v>1818</v>
      </c>
      <c r="I438" s="11" t="s">
        <v>1819</v>
      </c>
      <c r="J438" s="10" t="s">
        <v>1820</v>
      </c>
      <c r="K438" s="10" t="s">
        <v>1821</v>
      </c>
      <c r="L438" s="10" t="s">
        <v>68</v>
      </c>
      <c r="M438" s="10" t="s">
        <v>1308</v>
      </c>
      <c r="N438" s="10"/>
      <c r="O438" s="10"/>
      <c r="P438" s="10" t="s">
        <v>637</v>
      </c>
      <c r="Q438" s="11" t="s">
        <v>1309</v>
      </c>
      <c r="R438" s="11" t="s">
        <v>1310</v>
      </c>
      <c r="S438" s="11" t="s">
        <v>710</v>
      </c>
      <c r="T438" s="11" t="s">
        <v>1822</v>
      </c>
      <c r="U438" s="10" t="n">
        <f aca="false">IF(AND($D438="",$E438="",$F438=""),1,0)</f>
        <v>1</v>
      </c>
      <c r="V438" s="10" t="n">
        <f aca="false">IF(OR($I438="",$I438="—"),1,0)</f>
        <v>0</v>
      </c>
      <c r="W438" s="10" t="n">
        <f aca="false">IF(AND(ISNUMBER($D438),ISNUMBER($E438)),IF($E438&gt;$D438,1,0),0)+IF(AND(ISNUMBER($D438),ISNUMBER($F438)),IF($D438&gt;$F438,1,0),0)+IF(AND(ISNUMBER($E438),ISNUMBER($F438)),IF($E438&gt;$F438,1,0),0)</f>
        <v>0</v>
      </c>
      <c r="X438" s="13" t="s">
        <v>76</v>
      </c>
    </row>
    <row r="439" customFormat="false" ht="15" hidden="false" customHeight="false" outlineLevel="0" collapsed="false">
      <c r="A439" s="10" t="s">
        <v>1823</v>
      </c>
      <c r="B439" s="10" t="s">
        <v>1824</v>
      </c>
      <c r="C439" s="10" t="s">
        <v>1825</v>
      </c>
      <c r="D439" s="12" t="n">
        <v>2.58</v>
      </c>
      <c r="E439" s="12" t="n">
        <v>2.58</v>
      </c>
      <c r="F439" s="12" t="n">
        <v>2.58</v>
      </c>
      <c r="G439" s="10" t="s">
        <v>1826</v>
      </c>
      <c r="H439" s="10" t="s">
        <v>1827</v>
      </c>
      <c r="I439" s="10" t="s">
        <v>1828</v>
      </c>
      <c r="J439" s="10" t="s">
        <v>1829</v>
      </c>
      <c r="K439" s="10" t="s">
        <v>1830</v>
      </c>
      <c r="L439" s="10" t="s">
        <v>68</v>
      </c>
      <c r="M439" s="10" t="s">
        <v>1308</v>
      </c>
      <c r="N439" s="10"/>
      <c r="O439" s="10"/>
      <c r="P439" s="10" t="s">
        <v>637</v>
      </c>
      <c r="Q439" s="11" t="s">
        <v>1309</v>
      </c>
      <c r="R439" s="11" t="s">
        <v>1310</v>
      </c>
      <c r="S439" s="11" t="s">
        <v>710</v>
      </c>
      <c r="T439" s="11" t="s">
        <v>1831</v>
      </c>
      <c r="U439" s="10" t="n">
        <f aca="false">IF(AND($D439="",$E439="",$F439=""),1,0)</f>
        <v>0</v>
      </c>
      <c r="V439" s="10" t="n">
        <f aca="false">IF(OR($I439="",$I439="—"),1,0)</f>
        <v>0</v>
      </c>
      <c r="W439" s="10" t="n">
        <f aca="false">IF(AND(ISNUMBER($D439),ISNUMBER($E439)),IF($E439&gt;$D439,1,0),0)+IF(AND(ISNUMBER($D439),ISNUMBER($F439)),IF($D439&gt;$F439,1,0),0)+IF(AND(ISNUMBER($E439),ISNUMBER($F439)),IF($E439&gt;$F439,1,0),0)</f>
        <v>0</v>
      </c>
      <c r="X439" s="13" t="s">
        <v>76</v>
      </c>
    </row>
    <row r="440" customFormat="false" ht="15" hidden="false" customHeight="false" outlineLevel="0" collapsed="false">
      <c r="A440" s="10" t="s">
        <v>1832</v>
      </c>
      <c r="B440" s="10" t="s">
        <v>1833</v>
      </c>
      <c r="C440" s="10" t="s">
        <v>1834</v>
      </c>
      <c r="D440" s="12" t="n">
        <v>46.7</v>
      </c>
      <c r="E440" s="12" t="n">
        <v>46.7</v>
      </c>
      <c r="F440" s="12" t="n">
        <v>46.7</v>
      </c>
      <c r="G440" s="10" t="s">
        <v>1826</v>
      </c>
      <c r="H440" s="10" t="s">
        <v>1827</v>
      </c>
      <c r="I440" s="10" t="s">
        <v>1828</v>
      </c>
      <c r="J440" s="10" t="s">
        <v>1829</v>
      </c>
      <c r="K440" s="10" t="s">
        <v>1830</v>
      </c>
      <c r="L440" s="10" t="s">
        <v>68</v>
      </c>
      <c r="M440" s="10" t="s">
        <v>1308</v>
      </c>
      <c r="N440" s="10"/>
      <c r="O440" s="10"/>
      <c r="P440" s="10" t="s">
        <v>637</v>
      </c>
      <c r="Q440" s="11" t="s">
        <v>1309</v>
      </c>
      <c r="R440" s="11" t="s">
        <v>1310</v>
      </c>
      <c r="S440" s="11" t="s">
        <v>710</v>
      </c>
      <c r="T440" s="11" t="s">
        <v>1835</v>
      </c>
      <c r="U440" s="10" t="n">
        <f aca="false">IF(AND($D440="",$E440="",$F440=""),1,0)</f>
        <v>0</v>
      </c>
      <c r="V440" s="10" t="n">
        <f aca="false">IF(OR($I440="",$I440="—"),1,0)</f>
        <v>0</v>
      </c>
      <c r="W440" s="10" t="n">
        <f aca="false">IF(AND(ISNUMBER($D440),ISNUMBER($E440)),IF($E440&gt;$D440,1,0),0)+IF(AND(ISNUMBER($D440),ISNUMBER($F440)),IF($D440&gt;$F440,1,0),0)+IF(AND(ISNUMBER($E440),ISNUMBER($F440)),IF($E440&gt;$F440,1,0),0)</f>
        <v>0</v>
      </c>
      <c r="X440" s="13" t="s">
        <v>76</v>
      </c>
    </row>
    <row r="441" customFormat="false" ht="15" hidden="false" customHeight="false" outlineLevel="0" collapsed="false">
      <c r="A441" s="10" t="s">
        <v>1836</v>
      </c>
      <c r="B441" s="10" t="s">
        <v>1837</v>
      </c>
      <c r="C441" s="10" t="s">
        <v>1838</v>
      </c>
      <c r="D441" s="12" t="n">
        <v>5.5</v>
      </c>
      <c r="E441" s="12" t="n">
        <v>4</v>
      </c>
      <c r="F441" s="12" t="n">
        <v>7</v>
      </c>
      <c r="G441" s="10" t="s">
        <v>401</v>
      </c>
      <c r="H441" s="10" t="s">
        <v>1827</v>
      </c>
      <c r="I441" s="11" t="s">
        <v>1839</v>
      </c>
      <c r="J441" s="10" t="s">
        <v>1829</v>
      </c>
      <c r="K441" s="10" t="s">
        <v>1830</v>
      </c>
      <c r="L441" s="10" t="s">
        <v>68</v>
      </c>
      <c r="M441" s="10" t="s">
        <v>636</v>
      </c>
      <c r="N441" s="10"/>
      <c r="O441" s="10"/>
      <c r="P441" s="10" t="s">
        <v>637</v>
      </c>
      <c r="Q441" s="11" t="s">
        <v>638</v>
      </c>
      <c r="R441" s="11" t="s">
        <v>639</v>
      </c>
      <c r="S441" s="11" t="s">
        <v>638</v>
      </c>
      <c r="T441" s="10" t="s">
        <v>1840</v>
      </c>
      <c r="U441" s="10" t="n">
        <f aca="false">IF(AND($D441="",$E441="",$F441=""),1,0)</f>
        <v>0</v>
      </c>
      <c r="V441" s="10" t="n">
        <f aca="false">IF(OR($I441="",$I441="—"),1,0)</f>
        <v>0</v>
      </c>
      <c r="W441" s="10" t="n">
        <f aca="false">IF(AND(ISNUMBER($D441),ISNUMBER($E441)),IF($E441&gt;$D441,1,0),0)+IF(AND(ISNUMBER($D441),ISNUMBER($F441)),IF($D441&gt;$F441,1,0),0)+IF(AND(ISNUMBER($E441),ISNUMBER($F441)),IF($E441&gt;$F441,1,0),0)</f>
        <v>0</v>
      </c>
      <c r="X441" s="13" t="s">
        <v>76</v>
      </c>
    </row>
    <row r="442" customFormat="false" ht="15" hidden="false" customHeight="false" outlineLevel="0" collapsed="false">
      <c r="A442" s="10" t="s">
        <v>1841</v>
      </c>
      <c r="B442" s="10" t="s">
        <v>1842</v>
      </c>
      <c r="C442" s="10" t="s">
        <v>1843</v>
      </c>
      <c r="D442" s="12" t="n">
        <v>4</v>
      </c>
      <c r="E442" s="12" t="n">
        <v>4</v>
      </c>
      <c r="F442" s="12" t="n">
        <v>5</v>
      </c>
      <c r="G442" s="11" t="s">
        <v>1844</v>
      </c>
      <c r="H442" s="10" t="s">
        <v>1845</v>
      </c>
      <c r="I442" s="11" t="s">
        <v>1846</v>
      </c>
      <c r="J442" s="10" t="s">
        <v>1847</v>
      </c>
      <c r="K442" s="10" t="s">
        <v>1848</v>
      </c>
      <c r="L442" s="10" t="s">
        <v>68</v>
      </c>
      <c r="M442" s="10" t="s">
        <v>1308</v>
      </c>
      <c r="N442" s="10"/>
      <c r="O442" s="10"/>
      <c r="P442" s="10" t="s">
        <v>637</v>
      </c>
      <c r="Q442" s="11" t="s">
        <v>1309</v>
      </c>
      <c r="R442" s="11" t="s">
        <v>1310</v>
      </c>
      <c r="S442" s="11" t="s">
        <v>710</v>
      </c>
      <c r="T442" s="11" t="s">
        <v>1849</v>
      </c>
      <c r="U442" s="10" t="n">
        <f aca="false">IF(AND($D442="",$E442="",$F442=""),1,0)</f>
        <v>0</v>
      </c>
      <c r="V442" s="10" t="n">
        <f aca="false">IF(OR($I442="",$I442="—"),1,0)</f>
        <v>0</v>
      </c>
      <c r="W442" s="10" t="n">
        <f aca="false">IF(AND(ISNUMBER($D442),ISNUMBER($E442)),IF($E442&gt;$D442,1,0),0)+IF(AND(ISNUMBER($D442),ISNUMBER($F442)),IF($D442&gt;$F442,1,0),0)+IF(AND(ISNUMBER($E442),ISNUMBER($F442)),IF($E442&gt;$F442,1,0),0)</f>
        <v>0</v>
      </c>
      <c r="X442" s="13" t="s">
        <v>76</v>
      </c>
    </row>
    <row r="443" customFormat="false" ht="15" hidden="false" customHeight="false" outlineLevel="0" collapsed="false">
      <c r="A443" s="10" t="s">
        <v>1850</v>
      </c>
      <c r="B443" s="10" t="s">
        <v>1851</v>
      </c>
      <c r="C443" s="10" t="s">
        <v>1852</v>
      </c>
      <c r="D443" s="12" t="n">
        <v>75</v>
      </c>
      <c r="E443" s="12"/>
      <c r="F443" s="12"/>
      <c r="G443" s="10" t="s">
        <v>1853</v>
      </c>
      <c r="H443" s="10" t="s">
        <v>1854</v>
      </c>
      <c r="I443" s="10" t="s">
        <v>1855</v>
      </c>
      <c r="J443" s="10" t="s">
        <v>1856</v>
      </c>
      <c r="K443" s="10" t="s">
        <v>1857</v>
      </c>
      <c r="L443" s="10" t="s">
        <v>68</v>
      </c>
      <c r="M443" s="10" t="s">
        <v>1308</v>
      </c>
      <c r="N443" s="10"/>
      <c r="O443" s="10"/>
      <c r="P443" s="10" t="s">
        <v>637</v>
      </c>
      <c r="Q443" s="11" t="s">
        <v>1309</v>
      </c>
      <c r="R443" s="11" t="s">
        <v>1310</v>
      </c>
      <c r="S443" s="11" t="s">
        <v>710</v>
      </c>
      <c r="T443" s="11" t="s">
        <v>1858</v>
      </c>
      <c r="U443" s="10" t="n">
        <f aca="false">IF(AND($D443="",$E443="",$F443=""),1,0)</f>
        <v>0</v>
      </c>
      <c r="V443" s="10" t="n">
        <f aca="false">IF(OR($I443="",$I443="—"),1,0)</f>
        <v>0</v>
      </c>
      <c r="W443" s="10" t="n">
        <f aca="false">IF(AND(ISNUMBER($D443),ISNUMBER($E443)),IF($E443&gt;$D443,1,0),0)+IF(AND(ISNUMBER($D443),ISNUMBER($F443)),IF($D443&gt;$F443,1,0),0)+IF(AND(ISNUMBER($E443),ISNUMBER($F443)),IF($E443&gt;$F443,1,0),0)</f>
        <v>0</v>
      </c>
      <c r="X443" s="13" t="s">
        <v>76</v>
      </c>
    </row>
    <row r="444" customFormat="false" ht="15" hidden="false" customHeight="false" outlineLevel="0" collapsed="false">
      <c r="A444" s="10" t="s">
        <v>1859</v>
      </c>
      <c r="B444" s="10" t="s">
        <v>1860</v>
      </c>
      <c r="C444" s="11" t="s">
        <v>1861</v>
      </c>
      <c r="D444" s="12" t="n">
        <v>54.5</v>
      </c>
      <c r="E444" s="12"/>
      <c r="F444" s="12"/>
      <c r="G444" s="10" t="s">
        <v>401</v>
      </c>
      <c r="H444" s="10" t="s">
        <v>64</v>
      </c>
      <c r="I444" s="11" t="s">
        <v>1670</v>
      </c>
      <c r="J444" s="10" t="s">
        <v>415</v>
      </c>
      <c r="K444" s="10" t="s">
        <v>67</v>
      </c>
      <c r="L444" s="10" t="s">
        <v>68</v>
      </c>
      <c r="M444" s="10" t="s">
        <v>69</v>
      </c>
      <c r="N444" s="10"/>
      <c r="O444" s="11" t="s">
        <v>1777</v>
      </c>
      <c r="P444" s="10" t="s">
        <v>71</v>
      </c>
      <c r="Q444" s="11" t="s">
        <v>72</v>
      </c>
      <c r="R444" s="11" t="s">
        <v>73</v>
      </c>
      <c r="S444" s="11" t="s">
        <v>74</v>
      </c>
      <c r="T444" s="11" t="s">
        <v>1862</v>
      </c>
      <c r="U444" s="10" t="n">
        <f aca="false">IF(AND($D444="",$E444="",$F444=""),1,0)</f>
        <v>0</v>
      </c>
      <c r="V444" s="10" t="n">
        <f aca="false">IF(OR($I444="",$I444="—"),1,0)</f>
        <v>0</v>
      </c>
      <c r="W444" s="10" t="n">
        <f aca="false">IF(AND(ISNUMBER($D444),ISNUMBER($E444)),IF($E444&gt;$D444,1,0),0)+IF(AND(ISNUMBER($D444),ISNUMBER($F444)),IF($D444&gt;$F444,1,0),0)+IF(AND(ISNUMBER($E444),ISNUMBER($F444)),IF($E444&gt;$F444,1,0),0)</f>
        <v>0</v>
      </c>
      <c r="X444" s="13" t="s">
        <v>76</v>
      </c>
    </row>
    <row r="445" customFormat="false" ht="15" hidden="false" customHeight="false" outlineLevel="0" collapsed="false">
      <c r="A445" s="10" t="s">
        <v>1863</v>
      </c>
      <c r="B445" s="10" t="s">
        <v>1864</v>
      </c>
      <c r="C445" s="11" t="s">
        <v>1865</v>
      </c>
      <c r="D445" s="12" t="n">
        <v>33.1</v>
      </c>
      <c r="E445" s="12"/>
      <c r="F445" s="12"/>
      <c r="G445" s="10" t="s">
        <v>401</v>
      </c>
      <c r="H445" s="10" t="s">
        <v>64</v>
      </c>
      <c r="I445" s="11" t="s">
        <v>1670</v>
      </c>
      <c r="J445" s="10" t="s">
        <v>415</v>
      </c>
      <c r="K445" s="10" t="s">
        <v>67</v>
      </c>
      <c r="L445" s="10" t="s">
        <v>68</v>
      </c>
      <c r="M445" s="10" t="s">
        <v>69</v>
      </c>
      <c r="N445" s="10"/>
      <c r="O445" s="11" t="s">
        <v>1777</v>
      </c>
      <c r="P445" s="10" t="s">
        <v>71</v>
      </c>
      <c r="Q445" s="11" t="s">
        <v>72</v>
      </c>
      <c r="R445" s="11" t="s">
        <v>73</v>
      </c>
      <c r="S445" s="11" t="s">
        <v>74</v>
      </c>
      <c r="T445" s="11" t="s">
        <v>1095</v>
      </c>
      <c r="U445" s="10" t="n">
        <f aca="false">IF(AND($D445="",$E445="",$F445=""),1,0)</f>
        <v>0</v>
      </c>
      <c r="V445" s="10" t="n">
        <f aca="false">IF(OR($I445="",$I445="—"),1,0)</f>
        <v>0</v>
      </c>
      <c r="W445" s="10" t="n">
        <f aca="false">IF(AND(ISNUMBER($D445),ISNUMBER($E445)),IF($E445&gt;$D445,1,0),0)+IF(AND(ISNUMBER($D445),ISNUMBER($F445)),IF($D445&gt;$F445,1,0),0)+IF(AND(ISNUMBER($E445),ISNUMBER($F445)),IF($E445&gt;$F445,1,0),0)</f>
        <v>0</v>
      </c>
      <c r="X445" s="13" t="s">
        <v>76</v>
      </c>
    </row>
    <row r="446" customFormat="false" ht="15" hidden="false" customHeight="false" outlineLevel="0" collapsed="false">
      <c r="A446" s="10" t="s">
        <v>1866</v>
      </c>
      <c r="B446" s="10" t="s">
        <v>1867</v>
      </c>
      <c r="C446" s="11" t="s">
        <v>1861</v>
      </c>
      <c r="D446" s="12" t="n">
        <v>53.6</v>
      </c>
      <c r="E446" s="12"/>
      <c r="F446" s="12"/>
      <c r="G446" s="10" t="s">
        <v>401</v>
      </c>
      <c r="H446" s="10" t="s">
        <v>79</v>
      </c>
      <c r="I446" s="11" t="s">
        <v>1670</v>
      </c>
      <c r="J446" s="10" t="s">
        <v>415</v>
      </c>
      <c r="K446" s="10" t="s">
        <v>67</v>
      </c>
      <c r="L446" s="10" t="s">
        <v>68</v>
      </c>
      <c r="M446" s="10" t="s">
        <v>69</v>
      </c>
      <c r="N446" s="10"/>
      <c r="O446" s="11" t="s">
        <v>1777</v>
      </c>
      <c r="P446" s="10" t="s">
        <v>71</v>
      </c>
      <c r="Q446" s="11" t="s">
        <v>72</v>
      </c>
      <c r="R446" s="11" t="s">
        <v>73</v>
      </c>
      <c r="S446" s="11" t="s">
        <v>74</v>
      </c>
      <c r="T446" s="11" t="s">
        <v>1868</v>
      </c>
      <c r="U446" s="10" t="n">
        <f aca="false">IF(AND($D446="",$E446="",$F446=""),1,0)</f>
        <v>0</v>
      </c>
      <c r="V446" s="10" t="n">
        <f aca="false">IF(OR($I446="",$I446="—"),1,0)</f>
        <v>0</v>
      </c>
      <c r="W446" s="10" t="n">
        <f aca="false">IF(AND(ISNUMBER($D446),ISNUMBER($E446)),IF($E446&gt;$D446,1,0),0)+IF(AND(ISNUMBER($D446),ISNUMBER($F446)),IF($D446&gt;$F446,1,0),0)+IF(AND(ISNUMBER($E446),ISNUMBER($F446)),IF($E446&gt;$F446,1,0),0)</f>
        <v>0</v>
      </c>
      <c r="X446" s="13" t="s">
        <v>76</v>
      </c>
    </row>
    <row r="447" customFormat="false" ht="15" hidden="false" customHeight="false" outlineLevel="0" collapsed="false">
      <c r="A447" s="10" t="s">
        <v>1869</v>
      </c>
      <c r="B447" s="10" t="s">
        <v>1870</v>
      </c>
      <c r="C447" s="11" t="s">
        <v>1865</v>
      </c>
      <c r="D447" s="12" t="n">
        <v>16.4</v>
      </c>
      <c r="E447" s="12"/>
      <c r="F447" s="12"/>
      <c r="G447" s="10" t="s">
        <v>401</v>
      </c>
      <c r="H447" s="10" t="s">
        <v>79</v>
      </c>
      <c r="I447" s="11" t="s">
        <v>1670</v>
      </c>
      <c r="J447" s="10" t="s">
        <v>415</v>
      </c>
      <c r="K447" s="10" t="s">
        <v>67</v>
      </c>
      <c r="L447" s="10" t="s">
        <v>68</v>
      </c>
      <c r="M447" s="10" t="s">
        <v>69</v>
      </c>
      <c r="N447" s="10"/>
      <c r="O447" s="11" t="s">
        <v>1777</v>
      </c>
      <c r="P447" s="10" t="s">
        <v>71</v>
      </c>
      <c r="Q447" s="11" t="s">
        <v>72</v>
      </c>
      <c r="R447" s="11" t="s">
        <v>73</v>
      </c>
      <c r="S447" s="11" t="s">
        <v>74</v>
      </c>
      <c r="T447" s="11" t="s">
        <v>1095</v>
      </c>
      <c r="U447" s="10" t="n">
        <f aca="false">IF(AND($D447="",$E447="",$F447=""),1,0)</f>
        <v>0</v>
      </c>
      <c r="V447" s="10" t="n">
        <f aca="false">IF(OR($I447="",$I447="—"),1,0)</f>
        <v>0</v>
      </c>
      <c r="W447" s="10" t="n">
        <f aca="false">IF(AND(ISNUMBER($D447),ISNUMBER($E447)),IF($E447&gt;$D447,1,0),0)+IF(AND(ISNUMBER($D447),ISNUMBER($F447)),IF($D447&gt;$F447,1,0),0)+IF(AND(ISNUMBER($E447),ISNUMBER($F447)),IF($E447&gt;$F447,1,0),0)</f>
        <v>0</v>
      </c>
      <c r="X447" s="13" t="s">
        <v>76</v>
      </c>
    </row>
    <row r="448" customFormat="false" ht="15" hidden="false" customHeight="false" outlineLevel="0" collapsed="false">
      <c r="A448" s="10" t="s">
        <v>1871</v>
      </c>
      <c r="B448" s="10" t="s">
        <v>1872</v>
      </c>
      <c r="C448" s="11" t="s">
        <v>1861</v>
      </c>
      <c r="D448" s="12" t="n">
        <v>47.3</v>
      </c>
      <c r="E448" s="12"/>
      <c r="F448" s="12"/>
      <c r="G448" s="10" t="s">
        <v>401</v>
      </c>
      <c r="H448" s="10" t="s">
        <v>83</v>
      </c>
      <c r="I448" s="11" t="s">
        <v>1670</v>
      </c>
      <c r="J448" s="10" t="s">
        <v>415</v>
      </c>
      <c r="K448" s="10" t="s">
        <v>67</v>
      </c>
      <c r="L448" s="10" t="s">
        <v>68</v>
      </c>
      <c r="M448" s="10" t="s">
        <v>69</v>
      </c>
      <c r="N448" s="10"/>
      <c r="O448" s="11" t="s">
        <v>1777</v>
      </c>
      <c r="P448" s="10" t="s">
        <v>71</v>
      </c>
      <c r="Q448" s="11" t="s">
        <v>72</v>
      </c>
      <c r="R448" s="11" t="s">
        <v>73</v>
      </c>
      <c r="S448" s="11" t="s">
        <v>74</v>
      </c>
      <c r="T448" s="11" t="s">
        <v>1873</v>
      </c>
      <c r="U448" s="10" t="n">
        <f aca="false">IF(AND($D448="",$E448="",$F448=""),1,0)</f>
        <v>0</v>
      </c>
      <c r="V448" s="10" t="n">
        <f aca="false">IF(OR($I448="",$I448="—"),1,0)</f>
        <v>0</v>
      </c>
      <c r="W448" s="10" t="n">
        <f aca="false">IF(AND(ISNUMBER($D448),ISNUMBER($E448)),IF($E448&gt;$D448,1,0),0)+IF(AND(ISNUMBER($D448),ISNUMBER($F448)),IF($D448&gt;$F448,1,0),0)+IF(AND(ISNUMBER($E448),ISNUMBER($F448)),IF($E448&gt;$F448,1,0),0)</f>
        <v>0</v>
      </c>
      <c r="X448" s="13" t="s">
        <v>76</v>
      </c>
    </row>
    <row r="449" customFormat="false" ht="15" hidden="false" customHeight="false" outlineLevel="0" collapsed="false">
      <c r="A449" s="10" t="s">
        <v>1874</v>
      </c>
      <c r="B449" s="10" t="s">
        <v>1875</v>
      </c>
      <c r="C449" s="11" t="s">
        <v>1865</v>
      </c>
      <c r="D449" s="12" t="n">
        <v>15.6</v>
      </c>
      <c r="E449" s="12"/>
      <c r="F449" s="12"/>
      <c r="G449" s="10" t="s">
        <v>401</v>
      </c>
      <c r="H449" s="10" t="s">
        <v>83</v>
      </c>
      <c r="I449" s="11" t="s">
        <v>1670</v>
      </c>
      <c r="J449" s="10" t="s">
        <v>415</v>
      </c>
      <c r="K449" s="10" t="s">
        <v>67</v>
      </c>
      <c r="L449" s="10" t="s">
        <v>68</v>
      </c>
      <c r="M449" s="10" t="s">
        <v>69</v>
      </c>
      <c r="N449" s="10"/>
      <c r="O449" s="11" t="s">
        <v>1777</v>
      </c>
      <c r="P449" s="10" t="s">
        <v>71</v>
      </c>
      <c r="Q449" s="11" t="s">
        <v>72</v>
      </c>
      <c r="R449" s="11" t="s">
        <v>73</v>
      </c>
      <c r="S449" s="11" t="s">
        <v>74</v>
      </c>
      <c r="T449" s="11" t="s">
        <v>1095</v>
      </c>
      <c r="U449" s="10" t="n">
        <f aca="false">IF(AND($D449="",$E449="",$F449=""),1,0)</f>
        <v>0</v>
      </c>
      <c r="V449" s="10" t="n">
        <f aca="false">IF(OR($I449="",$I449="—"),1,0)</f>
        <v>0</v>
      </c>
      <c r="W449" s="10" t="n">
        <f aca="false">IF(AND(ISNUMBER($D449),ISNUMBER($E449)),IF($E449&gt;$D449,1,0),0)+IF(AND(ISNUMBER($D449),ISNUMBER($F449)),IF($D449&gt;$F449,1,0),0)+IF(AND(ISNUMBER($E449),ISNUMBER($F449)),IF($E449&gt;$F449,1,0),0)</f>
        <v>0</v>
      </c>
      <c r="X449" s="13" t="s">
        <v>76</v>
      </c>
    </row>
    <row r="450" customFormat="false" ht="15" hidden="false" customHeight="false" outlineLevel="0" collapsed="false">
      <c r="A450" s="10" t="s">
        <v>1876</v>
      </c>
      <c r="B450" s="10" t="s">
        <v>1877</v>
      </c>
      <c r="C450" s="11" t="s">
        <v>1861</v>
      </c>
      <c r="D450" s="12" t="n">
        <v>50.2</v>
      </c>
      <c r="E450" s="12"/>
      <c r="F450" s="12"/>
      <c r="G450" s="10" t="s">
        <v>401</v>
      </c>
      <c r="H450" s="10" t="s">
        <v>92</v>
      </c>
      <c r="I450" s="11" t="s">
        <v>1670</v>
      </c>
      <c r="J450" s="10" t="s">
        <v>415</v>
      </c>
      <c r="K450" s="10" t="s">
        <v>67</v>
      </c>
      <c r="L450" s="10" t="s">
        <v>68</v>
      </c>
      <c r="M450" s="10" t="s">
        <v>69</v>
      </c>
      <c r="N450" s="10"/>
      <c r="O450" s="11" t="s">
        <v>1777</v>
      </c>
      <c r="P450" s="10" t="s">
        <v>71</v>
      </c>
      <c r="Q450" s="11" t="s">
        <v>72</v>
      </c>
      <c r="R450" s="11" t="s">
        <v>73</v>
      </c>
      <c r="S450" s="11" t="s">
        <v>74</v>
      </c>
      <c r="T450" s="11" t="s">
        <v>1878</v>
      </c>
      <c r="U450" s="10" t="n">
        <f aca="false">IF(AND($D450="",$E450="",$F450=""),1,0)</f>
        <v>0</v>
      </c>
      <c r="V450" s="10" t="n">
        <f aca="false">IF(OR($I450="",$I450="—"),1,0)</f>
        <v>0</v>
      </c>
      <c r="W450" s="10" t="n">
        <f aca="false">IF(AND(ISNUMBER($D450),ISNUMBER($E450)),IF($E450&gt;$D450,1,0),0)+IF(AND(ISNUMBER($D450),ISNUMBER($F450)),IF($D450&gt;$F450,1,0),0)+IF(AND(ISNUMBER($E450),ISNUMBER($F450)),IF($E450&gt;$F450,1,0),0)</f>
        <v>0</v>
      </c>
      <c r="X450" s="13" t="s">
        <v>76</v>
      </c>
    </row>
    <row r="451" customFormat="false" ht="15" hidden="false" customHeight="false" outlineLevel="0" collapsed="false">
      <c r="A451" s="10" t="s">
        <v>1879</v>
      </c>
      <c r="B451" s="10" t="s">
        <v>1880</v>
      </c>
      <c r="C451" s="11" t="s">
        <v>1865</v>
      </c>
      <c r="D451" s="12" t="n">
        <v>13.4</v>
      </c>
      <c r="E451" s="12"/>
      <c r="F451" s="12"/>
      <c r="G451" s="10" t="s">
        <v>401</v>
      </c>
      <c r="H451" s="10" t="s">
        <v>92</v>
      </c>
      <c r="I451" s="11" t="s">
        <v>1670</v>
      </c>
      <c r="J451" s="10" t="s">
        <v>415</v>
      </c>
      <c r="K451" s="10" t="s">
        <v>67</v>
      </c>
      <c r="L451" s="10" t="s">
        <v>68</v>
      </c>
      <c r="M451" s="10" t="s">
        <v>69</v>
      </c>
      <c r="N451" s="10"/>
      <c r="O451" s="11" t="s">
        <v>1777</v>
      </c>
      <c r="P451" s="10" t="s">
        <v>71</v>
      </c>
      <c r="Q451" s="11" t="s">
        <v>72</v>
      </c>
      <c r="R451" s="11" t="s">
        <v>73</v>
      </c>
      <c r="S451" s="11" t="s">
        <v>74</v>
      </c>
      <c r="T451" s="11" t="s">
        <v>1095</v>
      </c>
      <c r="U451" s="10" t="n">
        <f aca="false">IF(AND($D451="",$E451="",$F451=""),1,0)</f>
        <v>0</v>
      </c>
      <c r="V451" s="10" t="n">
        <f aca="false">IF(OR($I451="",$I451="—"),1,0)</f>
        <v>0</v>
      </c>
      <c r="W451" s="10" t="n">
        <f aca="false">IF(AND(ISNUMBER($D451),ISNUMBER($E451)),IF($E451&gt;$D451,1,0),0)+IF(AND(ISNUMBER($D451),ISNUMBER($F451)),IF($D451&gt;$F451,1,0),0)+IF(AND(ISNUMBER($E451),ISNUMBER($F451)),IF($E451&gt;$F451,1,0),0)</f>
        <v>0</v>
      </c>
      <c r="X451" s="13" t="s">
        <v>76</v>
      </c>
    </row>
    <row r="452" customFormat="false" ht="15" hidden="false" customHeight="false" outlineLevel="0" collapsed="false">
      <c r="A452" s="10" t="s">
        <v>1881</v>
      </c>
      <c r="B452" s="10" t="s">
        <v>1882</v>
      </c>
      <c r="C452" s="11" t="s">
        <v>1883</v>
      </c>
      <c r="D452" s="12" t="n">
        <v>15.52</v>
      </c>
      <c r="E452" s="12"/>
      <c r="F452" s="12"/>
      <c r="G452" s="10" t="s">
        <v>63</v>
      </c>
      <c r="H452" s="10" t="s">
        <v>83</v>
      </c>
      <c r="I452" s="11" t="s">
        <v>1800</v>
      </c>
      <c r="J452" s="10" t="s">
        <v>905</v>
      </c>
      <c r="K452" s="10" t="s">
        <v>906</v>
      </c>
      <c r="L452" s="10" t="s">
        <v>68</v>
      </c>
      <c r="M452" s="10" t="s">
        <v>416</v>
      </c>
      <c r="N452" s="11" t="s">
        <v>709</v>
      </c>
      <c r="O452" s="10"/>
      <c r="P452" s="10" t="s">
        <v>637</v>
      </c>
      <c r="Q452" s="11" t="s">
        <v>72</v>
      </c>
      <c r="R452" s="11" t="s">
        <v>709</v>
      </c>
      <c r="S452" s="11" t="s">
        <v>710</v>
      </c>
      <c r="T452" s="11" t="s">
        <v>1884</v>
      </c>
      <c r="U452" s="10" t="n">
        <f aca="false">IF(AND($D452="",$E452="",$F452=""),1,0)</f>
        <v>0</v>
      </c>
      <c r="V452" s="10" t="n">
        <f aca="false">IF(OR($I452="",$I452="—"),1,0)</f>
        <v>0</v>
      </c>
      <c r="W452" s="10" t="n">
        <f aca="false">IF(AND(ISNUMBER($D452),ISNUMBER($E452)),IF($E452&gt;$D452,1,0),0)+IF(AND(ISNUMBER($D452),ISNUMBER($F452)),IF($D452&gt;$F452,1,0),0)+IF(AND(ISNUMBER($E452),ISNUMBER($F452)),IF($E452&gt;$F452,1,0),0)</f>
        <v>0</v>
      </c>
      <c r="X452" s="13" t="s">
        <v>76</v>
      </c>
    </row>
    <row r="453" customFormat="false" ht="15" hidden="false" customHeight="false" outlineLevel="0" collapsed="false">
      <c r="A453" s="10" t="s">
        <v>1885</v>
      </c>
      <c r="B453" s="10" t="s">
        <v>1886</v>
      </c>
      <c r="C453" s="11" t="s">
        <v>1887</v>
      </c>
      <c r="D453" s="12" t="n">
        <v>15.53</v>
      </c>
      <c r="E453" s="12"/>
      <c r="F453" s="12"/>
      <c r="G453" s="10" t="s">
        <v>63</v>
      </c>
      <c r="H453" s="10" t="s">
        <v>83</v>
      </c>
      <c r="I453" s="11" t="s">
        <v>1888</v>
      </c>
      <c r="J453" s="10" t="s">
        <v>911</v>
      </c>
      <c r="K453" s="10" t="s">
        <v>912</v>
      </c>
      <c r="L453" s="10" t="s">
        <v>68</v>
      </c>
      <c r="M453" s="10" t="s">
        <v>416</v>
      </c>
      <c r="N453" s="11" t="s">
        <v>709</v>
      </c>
      <c r="O453" s="10"/>
      <c r="P453" s="10" t="s">
        <v>637</v>
      </c>
      <c r="Q453" s="11" t="s">
        <v>72</v>
      </c>
      <c r="R453" s="11" t="s">
        <v>709</v>
      </c>
      <c r="S453" s="11" t="s">
        <v>710</v>
      </c>
      <c r="T453" s="11" t="s">
        <v>1889</v>
      </c>
      <c r="U453" s="10" t="n">
        <f aca="false">IF(AND($D453="",$E453="",$F453=""),1,0)</f>
        <v>0</v>
      </c>
      <c r="V453" s="10" t="n">
        <f aca="false">IF(OR($I453="",$I453="—"),1,0)</f>
        <v>0</v>
      </c>
      <c r="W453" s="10" t="n">
        <f aca="false">IF(AND(ISNUMBER($D453),ISNUMBER($E453)),IF($E453&gt;$D453,1,0),0)+IF(AND(ISNUMBER($D453),ISNUMBER($F453)),IF($D453&gt;$F453,1,0),0)+IF(AND(ISNUMBER($E453),ISNUMBER($F453)),IF($E453&gt;$F453,1,0),0)</f>
        <v>0</v>
      </c>
      <c r="X453" s="13" t="s">
        <v>76</v>
      </c>
    </row>
    <row r="454" customFormat="false" ht="15" hidden="false" customHeight="false" outlineLevel="0" collapsed="false">
      <c r="A454" s="10" t="s">
        <v>1890</v>
      </c>
      <c r="B454" s="10" t="s">
        <v>1891</v>
      </c>
      <c r="C454" s="11" t="s">
        <v>1892</v>
      </c>
      <c r="D454" s="12" t="n">
        <v>11.45</v>
      </c>
      <c r="E454" s="12"/>
      <c r="F454" s="12"/>
      <c r="G454" s="10" t="s">
        <v>63</v>
      </c>
      <c r="H454" s="10" t="s">
        <v>92</v>
      </c>
      <c r="I454" s="11" t="s">
        <v>1720</v>
      </c>
      <c r="J454" s="10" t="s">
        <v>1721</v>
      </c>
      <c r="K454" s="10" t="s">
        <v>806</v>
      </c>
      <c r="L454" s="10" t="s">
        <v>68</v>
      </c>
      <c r="M454" s="10" t="s">
        <v>416</v>
      </c>
      <c r="N454" s="11" t="s">
        <v>709</v>
      </c>
      <c r="O454" s="10"/>
      <c r="P454" s="10" t="s">
        <v>637</v>
      </c>
      <c r="Q454" s="11" t="s">
        <v>72</v>
      </c>
      <c r="R454" s="11" t="s">
        <v>709</v>
      </c>
      <c r="S454" s="11" t="s">
        <v>710</v>
      </c>
      <c r="T454" s="11" t="s">
        <v>1893</v>
      </c>
      <c r="U454" s="10" t="n">
        <f aca="false">IF(AND($D454="",$E454="",$F454=""),1,0)</f>
        <v>0</v>
      </c>
      <c r="V454" s="10" t="n">
        <f aca="false">IF(OR($I454="",$I454="—"),1,0)</f>
        <v>0</v>
      </c>
      <c r="W454" s="10" t="n">
        <f aca="false">IF(AND(ISNUMBER($D454),ISNUMBER($E454)),IF($E454&gt;$D454,1,0),0)+IF(AND(ISNUMBER($D454),ISNUMBER($F454)),IF($D454&gt;$F454,1,0),0)+IF(AND(ISNUMBER($E454),ISNUMBER($F454)),IF($E454&gt;$F454,1,0),0)</f>
        <v>0</v>
      </c>
      <c r="X454" s="13" t="s">
        <v>76</v>
      </c>
    </row>
    <row r="455" customFormat="false" ht="15" hidden="false" customHeight="false" outlineLevel="0" collapsed="false">
      <c r="A455" s="10" t="s">
        <v>1894</v>
      </c>
      <c r="B455" s="10" t="s">
        <v>1895</v>
      </c>
      <c r="C455" s="11" t="s">
        <v>1892</v>
      </c>
      <c r="D455" s="12" t="n">
        <v>0.15</v>
      </c>
      <c r="E455" s="12"/>
      <c r="F455" s="12"/>
      <c r="G455" s="10" t="s">
        <v>63</v>
      </c>
      <c r="H455" s="10" t="s">
        <v>64</v>
      </c>
      <c r="I455" s="11" t="s">
        <v>1720</v>
      </c>
      <c r="J455" s="10" t="s">
        <v>1721</v>
      </c>
      <c r="K455" s="10" t="s">
        <v>806</v>
      </c>
      <c r="L455" s="10" t="s">
        <v>68</v>
      </c>
      <c r="M455" s="10" t="s">
        <v>416</v>
      </c>
      <c r="N455" s="11" t="s">
        <v>709</v>
      </c>
      <c r="O455" s="10"/>
      <c r="P455" s="10" t="s">
        <v>637</v>
      </c>
      <c r="Q455" s="11" t="s">
        <v>72</v>
      </c>
      <c r="R455" s="11" t="s">
        <v>709</v>
      </c>
      <c r="S455" s="11" t="s">
        <v>710</v>
      </c>
      <c r="T455" s="11" t="s">
        <v>1896</v>
      </c>
      <c r="U455" s="10" t="n">
        <f aca="false">IF(AND($D455="",$E455="",$F455=""),1,0)</f>
        <v>0</v>
      </c>
      <c r="V455" s="10" t="n">
        <f aca="false">IF(OR($I455="",$I455="—"),1,0)</f>
        <v>0</v>
      </c>
      <c r="W455" s="10" t="n">
        <f aca="false">IF(AND(ISNUMBER($D455),ISNUMBER($E455)),IF($E455&gt;$D455,1,0),0)+IF(AND(ISNUMBER($D455),ISNUMBER($F455)),IF($D455&gt;$F455,1,0),0)+IF(AND(ISNUMBER($E455),ISNUMBER($F455)),IF($E455&gt;$F455,1,0),0)</f>
        <v>0</v>
      </c>
      <c r="X455" s="13" t="s">
        <v>76</v>
      </c>
    </row>
    <row r="456" customFormat="false" ht="15" hidden="false" customHeight="false" outlineLevel="0" collapsed="false">
      <c r="A456" s="10" t="s">
        <v>1897</v>
      </c>
      <c r="B456" s="10" t="s">
        <v>1898</v>
      </c>
      <c r="C456" s="11" t="s">
        <v>1899</v>
      </c>
      <c r="D456" s="12" t="n">
        <v>100000</v>
      </c>
      <c r="E456" s="12"/>
      <c r="F456" s="12"/>
      <c r="G456" s="11" t="s">
        <v>1900</v>
      </c>
      <c r="H456" s="11" t="s">
        <v>1901</v>
      </c>
      <c r="I456" s="11" t="s">
        <v>1902</v>
      </c>
      <c r="J456" s="10" t="s">
        <v>664</v>
      </c>
      <c r="K456" s="10" t="s">
        <v>665</v>
      </c>
      <c r="L456" s="10" t="s">
        <v>68</v>
      </c>
      <c r="M456" s="10" t="s">
        <v>416</v>
      </c>
      <c r="N456" s="11" t="s">
        <v>1363</v>
      </c>
      <c r="O456" s="11" t="s">
        <v>441</v>
      </c>
      <c r="P456" s="10" t="s">
        <v>71</v>
      </c>
      <c r="Q456" s="11" t="s">
        <v>72</v>
      </c>
      <c r="R456" s="11" t="s">
        <v>1363</v>
      </c>
      <c r="S456" s="11" t="s">
        <v>74</v>
      </c>
      <c r="T456" s="11" t="s">
        <v>1903</v>
      </c>
      <c r="U456" s="10" t="n">
        <f aca="false">IF(AND($D456="",$E456="",$F456=""),1,0)</f>
        <v>0</v>
      </c>
      <c r="V456" s="10" t="n">
        <f aca="false">IF(OR($I456="",$I456="—"),1,0)</f>
        <v>0</v>
      </c>
      <c r="W456" s="10" t="n">
        <f aca="false">IF(AND(ISNUMBER($D456),ISNUMBER($E456)),IF($E456&gt;$D456,1,0),0)+IF(AND(ISNUMBER($D456),ISNUMBER($F456)),IF($D456&gt;$F456,1,0),0)+IF(AND(ISNUMBER($E456),ISNUMBER($F456)),IF($E456&gt;$F456,1,0),0)</f>
        <v>0</v>
      </c>
      <c r="X456" s="13" t="s">
        <v>76</v>
      </c>
    </row>
    <row r="457" customFormat="false" ht="15" hidden="false" customHeight="false" outlineLevel="0" collapsed="false">
      <c r="A457" s="10" t="s">
        <v>1904</v>
      </c>
      <c r="B457" s="10" t="s">
        <v>1905</v>
      </c>
      <c r="C457" s="11" t="s">
        <v>1906</v>
      </c>
      <c r="D457" s="12" t="n">
        <v>100000</v>
      </c>
      <c r="E457" s="12"/>
      <c r="F457" s="12"/>
      <c r="G457" s="11" t="s">
        <v>1907</v>
      </c>
      <c r="H457" s="10" t="s">
        <v>1908</v>
      </c>
      <c r="I457" s="11" t="s">
        <v>1909</v>
      </c>
      <c r="J457" s="10" t="s">
        <v>1742</v>
      </c>
      <c r="K457" s="10" t="s">
        <v>707</v>
      </c>
      <c r="L457" s="10" t="s">
        <v>68</v>
      </c>
      <c r="M457" s="10" t="s">
        <v>416</v>
      </c>
      <c r="N457" s="11" t="s">
        <v>1363</v>
      </c>
      <c r="O457" s="10"/>
      <c r="P457" s="10" t="s">
        <v>637</v>
      </c>
      <c r="Q457" s="11" t="s">
        <v>72</v>
      </c>
      <c r="R457" s="11" t="s">
        <v>1363</v>
      </c>
      <c r="S457" s="11" t="s">
        <v>710</v>
      </c>
      <c r="T457" s="11" t="s">
        <v>1910</v>
      </c>
      <c r="U457" s="10" t="n">
        <f aca="false">IF(AND($D457="",$E457="",$F457=""),1,0)</f>
        <v>0</v>
      </c>
      <c r="V457" s="10" t="n">
        <f aca="false">IF(OR($I457="",$I457="—"),1,0)</f>
        <v>0</v>
      </c>
      <c r="W457" s="10" t="n">
        <f aca="false">IF(AND(ISNUMBER($D457),ISNUMBER($E457)),IF($E457&gt;$D457,1,0),0)+IF(AND(ISNUMBER($D457),ISNUMBER($F457)),IF($D457&gt;$F457,1,0),0)+IF(AND(ISNUMBER($E457),ISNUMBER($F457)),IF($E457&gt;$F457,1,0),0)</f>
        <v>0</v>
      </c>
      <c r="X457" s="13" t="s">
        <v>76</v>
      </c>
    </row>
    <row r="458" customFormat="false" ht="15" hidden="false" customHeight="false" outlineLevel="0" collapsed="false">
      <c r="A458" s="10" t="s">
        <v>1911</v>
      </c>
      <c r="B458" s="10" t="s">
        <v>1912</v>
      </c>
      <c r="C458" s="11" t="s">
        <v>1913</v>
      </c>
      <c r="D458" s="12" t="n">
        <v>80</v>
      </c>
      <c r="E458" s="12"/>
      <c r="F458" s="12"/>
      <c r="G458" s="10" t="s">
        <v>401</v>
      </c>
      <c r="H458" s="10" t="s">
        <v>1914</v>
      </c>
      <c r="I458" s="11" t="s">
        <v>1902</v>
      </c>
      <c r="J458" s="10" t="s">
        <v>664</v>
      </c>
      <c r="K458" s="10" t="s">
        <v>665</v>
      </c>
      <c r="L458" s="10" t="s">
        <v>68</v>
      </c>
      <c r="M458" s="10" t="s">
        <v>416</v>
      </c>
      <c r="N458" s="11" t="s">
        <v>1363</v>
      </c>
      <c r="O458" s="10"/>
      <c r="P458" s="10" t="s">
        <v>71</v>
      </c>
      <c r="Q458" s="11" t="s">
        <v>72</v>
      </c>
      <c r="R458" s="11" t="s">
        <v>1363</v>
      </c>
      <c r="S458" s="11" t="s">
        <v>74</v>
      </c>
      <c r="T458" s="11" t="s">
        <v>1915</v>
      </c>
      <c r="U458" s="10" t="n">
        <f aca="false">IF(AND($D458="",$E458="",$F458=""),1,0)</f>
        <v>0</v>
      </c>
      <c r="V458" s="10" t="n">
        <f aca="false">IF(OR($I458="",$I458="—"),1,0)</f>
        <v>0</v>
      </c>
      <c r="W458" s="10" t="n">
        <f aca="false">IF(AND(ISNUMBER($D458),ISNUMBER($E458)),IF($E458&gt;$D458,1,0),0)+IF(AND(ISNUMBER($D458),ISNUMBER($F458)),IF($D458&gt;$F458,1,0),0)+IF(AND(ISNUMBER($E458),ISNUMBER($F458)),IF($E458&gt;$F458,1,0),0)</f>
        <v>0</v>
      </c>
      <c r="X458" s="13" t="s">
        <v>76</v>
      </c>
    </row>
    <row r="459" customFormat="false" ht="15" hidden="false" customHeight="false" outlineLevel="0" collapsed="false">
      <c r="A459" s="10" t="s">
        <v>1916</v>
      </c>
      <c r="B459" s="10" t="s">
        <v>1917</v>
      </c>
      <c r="C459" s="11" t="s">
        <v>1918</v>
      </c>
      <c r="D459" s="12" t="n">
        <v>3</v>
      </c>
      <c r="E459" s="12"/>
      <c r="F459" s="12"/>
      <c r="G459" s="11" t="s">
        <v>1709</v>
      </c>
      <c r="H459" s="10" t="s">
        <v>1919</v>
      </c>
      <c r="I459" s="11" t="s">
        <v>1920</v>
      </c>
      <c r="J459" s="10" t="s">
        <v>664</v>
      </c>
      <c r="K459" s="10" t="s">
        <v>665</v>
      </c>
      <c r="L459" s="10" t="s">
        <v>68</v>
      </c>
      <c r="M459" s="10" t="s">
        <v>416</v>
      </c>
      <c r="N459" s="11" t="s">
        <v>1363</v>
      </c>
      <c r="O459" s="10"/>
      <c r="P459" s="10" t="s">
        <v>71</v>
      </c>
      <c r="Q459" s="11" t="s">
        <v>72</v>
      </c>
      <c r="R459" s="11" t="s">
        <v>1363</v>
      </c>
      <c r="S459" s="11" t="s">
        <v>74</v>
      </c>
      <c r="T459" s="11" t="s">
        <v>1921</v>
      </c>
      <c r="U459" s="10" t="n">
        <f aca="false">IF(AND($D459="",$E459="",$F459=""),1,0)</f>
        <v>0</v>
      </c>
      <c r="V459" s="10" t="n">
        <f aca="false">IF(OR($I459="",$I459="—"),1,0)</f>
        <v>0</v>
      </c>
      <c r="W459" s="10" t="n">
        <f aca="false">IF(AND(ISNUMBER($D459),ISNUMBER($E459)),IF($E459&gt;$D459,1,0),0)+IF(AND(ISNUMBER($D459),ISNUMBER($F459)),IF($D459&gt;$F459,1,0),0)+IF(AND(ISNUMBER($E459),ISNUMBER($F459)),IF($E459&gt;$F459,1,0),0)</f>
        <v>0</v>
      </c>
      <c r="X459" s="13" t="s">
        <v>76</v>
      </c>
    </row>
    <row r="460" customFormat="false" ht="15" hidden="false" customHeight="false" outlineLevel="0" collapsed="false">
      <c r="A460" s="10" t="s">
        <v>1922</v>
      </c>
      <c r="B460" s="10" t="s">
        <v>1923</v>
      </c>
      <c r="C460" s="11" t="s">
        <v>1924</v>
      </c>
      <c r="D460" s="12" t="n">
        <v>14</v>
      </c>
      <c r="E460" s="12"/>
      <c r="F460" s="12"/>
      <c r="G460" s="11" t="s">
        <v>1709</v>
      </c>
      <c r="H460" s="10" t="s">
        <v>1925</v>
      </c>
      <c r="I460" s="11" t="s">
        <v>1646</v>
      </c>
      <c r="J460" s="10" t="s">
        <v>664</v>
      </c>
      <c r="K460" s="10" t="s">
        <v>665</v>
      </c>
      <c r="L460" s="10" t="s">
        <v>68</v>
      </c>
      <c r="M460" s="10" t="s">
        <v>416</v>
      </c>
      <c r="N460" s="11" t="s">
        <v>1363</v>
      </c>
      <c r="O460" s="10"/>
      <c r="P460" s="10" t="s">
        <v>71</v>
      </c>
      <c r="Q460" s="11" t="s">
        <v>72</v>
      </c>
      <c r="R460" s="11" t="s">
        <v>1363</v>
      </c>
      <c r="S460" s="11" t="s">
        <v>74</v>
      </c>
      <c r="T460" s="11" t="s">
        <v>1926</v>
      </c>
      <c r="U460" s="10" t="n">
        <f aca="false">IF(AND($D460="",$E460="",$F460=""),1,0)</f>
        <v>0</v>
      </c>
      <c r="V460" s="10" t="n">
        <f aca="false">IF(OR($I460="",$I460="—"),1,0)</f>
        <v>0</v>
      </c>
      <c r="W460" s="10" t="n">
        <f aca="false">IF(AND(ISNUMBER($D460),ISNUMBER($E460)),IF($E460&gt;$D460,1,0),0)+IF(AND(ISNUMBER($D460),ISNUMBER($F460)),IF($D460&gt;$F460,1,0),0)+IF(AND(ISNUMBER($E460),ISNUMBER($F460)),IF($E460&gt;$F460,1,0),0)</f>
        <v>0</v>
      </c>
      <c r="X460" s="13" t="s">
        <v>76</v>
      </c>
    </row>
    <row r="461" customFormat="false" ht="15" hidden="false" customHeight="false" outlineLevel="0" collapsed="false">
      <c r="A461" s="10" t="s">
        <v>1927</v>
      </c>
      <c r="B461" s="10" t="s">
        <v>1928</v>
      </c>
      <c r="C461" s="11" t="s">
        <v>1929</v>
      </c>
      <c r="D461" s="12" t="n">
        <v>50</v>
      </c>
      <c r="E461" s="12"/>
      <c r="F461" s="12"/>
      <c r="G461" s="10" t="s">
        <v>401</v>
      </c>
      <c r="H461" s="10" t="s">
        <v>446</v>
      </c>
      <c r="I461" s="11" t="s">
        <v>1686</v>
      </c>
      <c r="J461" s="10" t="s">
        <v>448</v>
      </c>
      <c r="K461" s="10" t="s">
        <v>449</v>
      </c>
      <c r="L461" s="10" t="s">
        <v>68</v>
      </c>
      <c r="M461" s="10" t="s">
        <v>416</v>
      </c>
      <c r="N461" s="11" t="s">
        <v>1363</v>
      </c>
      <c r="O461" s="10"/>
      <c r="P461" s="10" t="s">
        <v>71</v>
      </c>
      <c r="Q461" s="11" t="s">
        <v>72</v>
      </c>
      <c r="R461" s="11" t="s">
        <v>1363</v>
      </c>
      <c r="S461" s="11" t="s">
        <v>74</v>
      </c>
      <c r="T461" s="11" t="s">
        <v>1930</v>
      </c>
      <c r="U461" s="10" t="n">
        <f aca="false">IF(AND($D461="",$E461="",$F461=""),1,0)</f>
        <v>0</v>
      </c>
      <c r="V461" s="10" t="n">
        <f aca="false">IF(OR($I461="",$I461="—"),1,0)</f>
        <v>0</v>
      </c>
      <c r="W461" s="10" t="n">
        <f aca="false">IF(AND(ISNUMBER($D461),ISNUMBER($E461)),IF($E461&gt;$D461,1,0),0)+IF(AND(ISNUMBER($D461),ISNUMBER($F461)),IF($D461&gt;$F461,1,0),0)+IF(AND(ISNUMBER($E461),ISNUMBER($F461)),IF($E461&gt;$F461,1,0),0)</f>
        <v>0</v>
      </c>
      <c r="X461" s="13" t="s">
        <v>76</v>
      </c>
    </row>
    <row r="462" customFormat="false" ht="15" hidden="false" customHeight="false" outlineLevel="0" collapsed="false">
      <c r="A462" s="10" t="s">
        <v>1931</v>
      </c>
      <c r="B462" s="10" t="s">
        <v>1932</v>
      </c>
      <c r="C462" s="11" t="s">
        <v>1933</v>
      </c>
      <c r="D462" s="12" t="n">
        <v>1</v>
      </c>
      <c r="E462" s="12"/>
      <c r="F462" s="12"/>
      <c r="G462" s="10" t="s">
        <v>1934</v>
      </c>
      <c r="H462" s="10" t="s">
        <v>1935</v>
      </c>
      <c r="I462" s="11" t="s">
        <v>1936</v>
      </c>
      <c r="J462" s="10" t="s">
        <v>1937</v>
      </c>
      <c r="K462" s="10" t="s">
        <v>1935</v>
      </c>
      <c r="L462" s="10" t="s">
        <v>68</v>
      </c>
      <c r="M462" s="10" t="s">
        <v>416</v>
      </c>
      <c r="N462" s="11" t="s">
        <v>1363</v>
      </c>
      <c r="O462" s="10" t="s">
        <v>1938</v>
      </c>
      <c r="P462" s="10" t="s">
        <v>637</v>
      </c>
      <c r="Q462" s="11" t="s">
        <v>72</v>
      </c>
      <c r="R462" s="11" t="s">
        <v>1363</v>
      </c>
      <c r="S462" s="11" t="s">
        <v>710</v>
      </c>
      <c r="T462" s="11" t="s">
        <v>1939</v>
      </c>
      <c r="U462" s="10" t="n">
        <f aca="false">IF(AND($D462="",$E462="",$F462=""),1,0)</f>
        <v>0</v>
      </c>
      <c r="V462" s="10" t="n">
        <f aca="false">IF(OR($I462="",$I462="—"),1,0)</f>
        <v>0</v>
      </c>
      <c r="W462" s="10" t="n">
        <f aca="false">IF(AND(ISNUMBER($D462),ISNUMBER($E462)),IF($E462&gt;$D462,1,0),0)+IF(AND(ISNUMBER($D462),ISNUMBER($F462)),IF($D462&gt;$F462,1,0),0)+IF(AND(ISNUMBER($E462),ISNUMBER($F462)),IF($E462&gt;$F462,1,0),0)</f>
        <v>0</v>
      </c>
      <c r="X462" s="13" t="s">
        <v>76</v>
      </c>
    </row>
    <row r="463" customFormat="false" ht="15" hidden="false" customHeight="false" outlineLevel="0" collapsed="false">
      <c r="A463" s="10" t="s">
        <v>1940</v>
      </c>
      <c r="B463" s="10" t="s">
        <v>1941</v>
      </c>
      <c r="C463" s="11" t="s">
        <v>1942</v>
      </c>
      <c r="D463" s="12"/>
      <c r="E463" s="12"/>
      <c r="F463" s="12"/>
      <c r="G463" s="11" t="s">
        <v>1401</v>
      </c>
      <c r="H463" s="10" t="s">
        <v>1943</v>
      </c>
      <c r="I463" s="11" t="s">
        <v>1670</v>
      </c>
      <c r="J463" s="10" t="s">
        <v>415</v>
      </c>
      <c r="K463" s="10" t="s">
        <v>67</v>
      </c>
      <c r="L463" s="10" t="s">
        <v>68</v>
      </c>
      <c r="M463" s="10" t="s">
        <v>69</v>
      </c>
      <c r="N463" s="10"/>
      <c r="O463" s="10"/>
      <c r="P463" s="10" t="s">
        <v>71</v>
      </c>
      <c r="Q463" s="11" t="s">
        <v>72</v>
      </c>
      <c r="R463" s="11" t="s">
        <v>73</v>
      </c>
      <c r="S463" s="11" t="s">
        <v>74</v>
      </c>
      <c r="T463" s="11" t="s">
        <v>1944</v>
      </c>
      <c r="U463" s="10" t="n">
        <f aca="false">IF(AND($D463="",$E463="",$F463=""),1,0)</f>
        <v>1</v>
      </c>
      <c r="V463" s="10" t="n">
        <f aca="false">IF(OR($I463="",$I463="—"),1,0)</f>
        <v>0</v>
      </c>
      <c r="W463" s="10" t="n">
        <f aca="false">IF(AND(ISNUMBER($D463),ISNUMBER($E463)),IF($E463&gt;$D463,1,0),0)+IF(AND(ISNUMBER($D463),ISNUMBER($F463)),IF($D463&gt;$F463,1,0),0)+IF(AND(ISNUMBER($E463),ISNUMBER($F463)),IF($E463&gt;$F463,1,0),0)</f>
        <v>0</v>
      </c>
      <c r="X463" s="13" t="s">
        <v>76</v>
      </c>
    </row>
    <row r="464" customFormat="false" ht="15" hidden="false" customHeight="false" outlineLevel="0" collapsed="false">
      <c r="A464" s="10" t="s">
        <v>1945</v>
      </c>
      <c r="B464" s="10" t="s">
        <v>1946</v>
      </c>
      <c r="C464" s="10" t="s">
        <v>1947</v>
      </c>
      <c r="D464" s="12" t="n">
        <v>5</v>
      </c>
      <c r="E464" s="12"/>
      <c r="F464" s="12"/>
      <c r="G464" s="11" t="s">
        <v>1948</v>
      </c>
      <c r="H464" s="10" t="s">
        <v>1949</v>
      </c>
      <c r="I464" s="11" t="s">
        <v>1950</v>
      </c>
      <c r="J464" s="10" t="s">
        <v>1951</v>
      </c>
      <c r="K464" s="10" t="s">
        <v>1857</v>
      </c>
      <c r="L464" s="10" t="s">
        <v>68</v>
      </c>
      <c r="M464" s="10" t="s">
        <v>416</v>
      </c>
      <c r="N464" s="11" t="s">
        <v>1952</v>
      </c>
      <c r="O464" s="10"/>
      <c r="P464" s="10" t="s">
        <v>637</v>
      </c>
      <c r="Q464" s="11" t="s">
        <v>72</v>
      </c>
      <c r="R464" s="11" t="s">
        <v>1952</v>
      </c>
      <c r="S464" s="11" t="s">
        <v>710</v>
      </c>
      <c r="T464" s="11" t="s">
        <v>1953</v>
      </c>
      <c r="U464" s="10" t="n">
        <f aca="false">IF(AND($D464="",$E464="",$F464=""),1,0)</f>
        <v>0</v>
      </c>
      <c r="V464" s="10" t="n">
        <f aca="false">IF(OR($I464="",$I464="—"),1,0)</f>
        <v>0</v>
      </c>
      <c r="W464" s="10" t="n">
        <f aca="false">IF(AND(ISNUMBER($D464),ISNUMBER($E464)),IF($E464&gt;$D464,1,0),0)+IF(AND(ISNUMBER($D464),ISNUMBER($F464)),IF($D464&gt;$F464,1,0),0)+IF(AND(ISNUMBER($E464),ISNUMBER($F464)),IF($E464&gt;$F464,1,0),0)</f>
        <v>0</v>
      </c>
      <c r="X464" s="13" t="s">
        <v>76</v>
      </c>
    </row>
    <row r="465" customFormat="false" ht="15" hidden="false" customHeight="false" outlineLevel="0" collapsed="false">
      <c r="A465" s="10" t="s">
        <v>1954</v>
      </c>
      <c r="B465" s="10" t="s">
        <v>1955</v>
      </c>
      <c r="C465" s="11" t="s">
        <v>1956</v>
      </c>
      <c r="D465" s="12" t="n">
        <v>50</v>
      </c>
      <c r="E465" s="12"/>
      <c r="F465" s="12"/>
      <c r="G465" s="10" t="s">
        <v>1739</v>
      </c>
      <c r="H465" s="10" t="s">
        <v>1957</v>
      </c>
      <c r="I465" s="11" t="s">
        <v>1753</v>
      </c>
      <c r="J465" s="10" t="s">
        <v>1754</v>
      </c>
      <c r="K465" s="10" t="s">
        <v>1752</v>
      </c>
      <c r="L465" s="10" t="s">
        <v>68</v>
      </c>
      <c r="M465" s="10" t="s">
        <v>416</v>
      </c>
      <c r="N465" s="11" t="s">
        <v>1363</v>
      </c>
      <c r="O465" s="10"/>
      <c r="P465" s="10" t="s">
        <v>637</v>
      </c>
      <c r="Q465" s="11" t="s">
        <v>72</v>
      </c>
      <c r="R465" s="11" t="s">
        <v>1363</v>
      </c>
      <c r="S465" s="11" t="s">
        <v>710</v>
      </c>
      <c r="T465" s="11" t="s">
        <v>1958</v>
      </c>
      <c r="U465" s="10" t="n">
        <f aca="false">IF(AND($D465="",$E465="",$F465=""),1,0)</f>
        <v>0</v>
      </c>
      <c r="V465" s="10" t="n">
        <f aca="false">IF(OR($I465="",$I465="—"),1,0)</f>
        <v>0</v>
      </c>
      <c r="W465" s="10" t="n">
        <f aca="false">IF(AND(ISNUMBER($D465),ISNUMBER($E465)),IF($E465&gt;$D465,1,0),0)+IF(AND(ISNUMBER($D465),ISNUMBER($F465)),IF($D465&gt;$F465,1,0),0)+IF(AND(ISNUMBER($E465),ISNUMBER($F465)),IF($E465&gt;$F465,1,0),0)</f>
        <v>0</v>
      </c>
      <c r="X465" s="13" t="s">
        <v>76</v>
      </c>
    </row>
    <row r="466" customFormat="false" ht="15" hidden="false" customHeight="false" outlineLevel="0" collapsed="false">
      <c r="A466" s="10" t="s">
        <v>1959</v>
      </c>
      <c r="B466" s="10" t="s">
        <v>1960</v>
      </c>
      <c r="C466" s="10" t="s">
        <v>1961</v>
      </c>
      <c r="D466" s="12" t="n">
        <v>7.47</v>
      </c>
      <c r="E466" s="12" t="n">
        <v>7.03</v>
      </c>
      <c r="F466" s="12" t="n">
        <v>8.16</v>
      </c>
      <c r="G466" s="10" t="s">
        <v>1962</v>
      </c>
      <c r="H466" s="10" t="s">
        <v>707</v>
      </c>
      <c r="I466" s="11" t="s">
        <v>1963</v>
      </c>
      <c r="J466" s="10" t="s">
        <v>1964</v>
      </c>
      <c r="K466" s="10" t="s">
        <v>707</v>
      </c>
      <c r="L466" s="10" t="s">
        <v>68</v>
      </c>
      <c r="M466" s="10" t="s">
        <v>1308</v>
      </c>
      <c r="N466" s="10"/>
      <c r="O466" s="10"/>
      <c r="P466" s="10" t="s">
        <v>637</v>
      </c>
      <c r="Q466" s="11" t="s">
        <v>1309</v>
      </c>
      <c r="R466" s="11" t="s">
        <v>1310</v>
      </c>
      <c r="S466" s="11" t="s">
        <v>710</v>
      </c>
      <c r="T466" s="11" t="s">
        <v>1965</v>
      </c>
      <c r="U466" s="10" t="n">
        <f aca="false">IF(AND($D466="",$E466="",$F466=""),1,0)</f>
        <v>0</v>
      </c>
      <c r="V466" s="10" t="n">
        <f aca="false">IF(OR($I466="",$I466="—"),1,0)</f>
        <v>0</v>
      </c>
      <c r="W466" s="10" t="n">
        <f aca="false">IF(AND(ISNUMBER($D466),ISNUMBER($E466)),IF($E466&gt;$D466,1,0),0)+IF(AND(ISNUMBER($D466),ISNUMBER($F466)),IF($D466&gt;$F466,1,0),0)+IF(AND(ISNUMBER($E466),ISNUMBER($F466)),IF($E466&gt;$F466,1,0),0)</f>
        <v>0</v>
      </c>
      <c r="X466" s="13" t="s">
        <v>76</v>
      </c>
    </row>
    <row r="467" customFormat="false" ht="15" hidden="false" customHeight="false" outlineLevel="0" collapsed="false">
      <c r="A467" s="10" t="s">
        <v>1966</v>
      </c>
      <c r="B467" s="10" t="s">
        <v>1967</v>
      </c>
      <c r="C467" s="10" t="s">
        <v>1968</v>
      </c>
      <c r="D467" s="12" t="n">
        <v>43000</v>
      </c>
      <c r="E467" s="12" t="n">
        <v>40500</v>
      </c>
      <c r="F467" s="12" t="n">
        <v>47000</v>
      </c>
      <c r="G467" s="10" t="s">
        <v>1969</v>
      </c>
      <c r="H467" s="10" t="s">
        <v>707</v>
      </c>
      <c r="I467" s="11" t="s">
        <v>1963</v>
      </c>
      <c r="J467" s="10" t="s">
        <v>1964</v>
      </c>
      <c r="K467" s="10" t="s">
        <v>707</v>
      </c>
      <c r="L467" s="10" t="s">
        <v>68</v>
      </c>
      <c r="M467" s="10" t="s">
        <v>1308</v>
      </c>
      <c r="N467" s="10"/>
      <c r="O467" s="10"/>
      <c r="P467" s="10" t="s">
        <v>637</v>
      </c>
      <c r="Q467" s="11" t="s">
        <v>1309</v>
      </c>
      <c r="R467" s="11" t="s">
        <v>1310</v>
      </c>
      <c r="S467" s="11" t="s">
        <v>710</v>
      </c>
      <c r="T467" s="11" t="s">
        <v>1970</v>
      </c>
      <c r="U467" s="10" t="n">
        <f aca="false">IF(AND($D467="",$E467="",$F467=""),1,0)</f>
        <v>0</v>
      </c>
      <c r="V467" s="10" t="n">
        <f aca="false">IF(OR($I467="",$I467="—"),1,0)</f>
        <v>0</v>
      </c>
      <c r="W467" s="10" t="n">
        <f aca="false">IF(AND(ISNUMBER($D467),ISNUMBER($E467)),IF($E467&gt;$D467,1,0),0)+IF(AND(ISNUMBER($D467),ISNUMBER($F467)),IF($D467&gt;$F467,1,0),0)+IF(AND(ISNUMBER($E467),ISNUMBER($F467)),IF($E467&gt;$F467,1,0),0)</f>
        <v>0</v>
      </c>
      <c r="X467" s="13" t="s">
        <v>76</v>
      </c>
    </row>
    <row r="468" customFormat="false" ht="15" hidden="false" customHeight="false" outlineLevel="0" collapsed="false">
      <c r="A468" s="10" t="s">
        <v>1971</v>
      </c>
      <c r="B468" s="10" t="s">
        <v>1972</v>
      </c>
      <c r="C468" s="10" t="s">
        <v>1973</v>
      </c>
      <c r="D468" s="12" t="n">
        <v>35000</v>
      </c>
      <c r="E468" s="12" t="n">
        <v>34000</v>
      </c>
      <c r="F468" s="12" t="n">
        <v>35000</v>
      </c>
      <c r="G468" s="10" t="s">
        <v>1969</v>
      </c>
      <c r="H468" s="10" t="s">
        <v>1974</v>
      </c>
      <c r="I468" s="11" t="s">
        <v>1963</v>
      </c>
      <c r="J468" s="10" t="s">
        <v>1975</v>
      </c>
      <c r="K468" s="10" t="s">
        <v>1974</v>
      </c>
      <c r="L468" s="10" t="s">
        <v>68</v>
      </c>
      <c r="M468" s="10" t="s">
        <v>1308</v>
      </c>
      <c r="N468" s="10"/>
      <c r="O468" s="10"/>
      <c r="P468" s="10" t="s">
        <v>637</v>
      </c>
      <c r="Q468" s="11" t="s">
        <v>1309</v>
      </c>
      <c r="R468" s="11" t="s">
        <v>1310</v>
      </c>
      <c r="S468" s="11" t="s">
        <v>710</v>
      </c>
      <c r="T468" s="11" t="s">
        <v>1976</v>
      </c>
      <c r="U468" s="10" t="n">
        <f aca="false">IF(AND($D468="",$E468="",$F468=""),1,0)</f>
        <v>0</v>
      </c>
      <c r="V468" s="10" t="n">
        <f aca="false">IF(OR($I468="",$I468="—"),1,0)</f>
        <v>0</v>
      </c>
      <c r="W468" s="10" t="n">
        <f aca="false">IF(AND(ISNUMBER($D468),ISNUMBER($E468)),IF($E468&gt;$D468,1,0),0)+IF(AND(ISNUMBER($D468),ISNUMBER($F468)),IF($D468&gt;$F468,1,0),0)+IF(AND(ISNUMBER($E468),ISNUMBER($F468)),IF($E468&gt;$F468,1,0),0)</f>
        <v>0</v>
      </c>
      <c r="X468" s="13" t="s">
        <v>76</v>
      </c>
    </row>
    <row r="469" customFormat="false" ht="15" hidden="false" customHeight="false" outlineLevel="0" collapsed="false">
      <c r="A469" s="10" t="s">
        <v>1977</v>
      </c>
      <c r="B469" s="10" t="s">
        <v>1978</v>
      </c>
      <c r="C469" s="10" t="s">
        <v>1979</v>
      </c>
      <c r="D469" s="12" t="n">
        <v>78000</v>
      </c>
      <c r="E469" s="12" t="n">
        <v>78000</v>
      </c>
      <c r="F469" s="12" t="n">
        <v>85000</v>
      </c>
      <c r="G469" s="10" t="s">
        <v>1969</v>
      </c>
      <c r="H469" s="10" t="s">
        <v>1980</v>
      </c>
      <c r="I469" s="11" t="s">
        <v>1963</v>
      </c>
      <c r="J469" s="10" t="s">
        <v>1981</v>
      </c>
      <c r="K469" s="10" t="s">
        <v>1980</v>
      </c>
      <c r="L469" s="10" t="s">
        <v>68</v>
      </c>
      <c r="M469" s="10" t="s">
        <v>1308</v>
      </c>
      <c r="N469" s="10"/>
      <c r="O469" s="10"/>
      <c r="P469" s="10" t="s">
        <v>637</v>
      </c>
      <c r="Q469" s="11" t="s">
        <v>1309</v>
      </c>
      <c r="R469" s="11" t="s">
        <v>1310</v>
      </c>
      <c r="S469" s="11" t="s">
        <v>710</v>
      </c>
      <c r="T469" s="11" t="s">
        <v>1982</v>
      </c>
      <c r="U469" s="10" t="n">
        <f aca="false">IF(AND($D469="",$E469="",$F469=""),1,0)</f>
        <v>0</v>
      </c>
      <c r="V469" s="10" t="n">
        <f aca="false">IF(OR($I469="",$I469="—"),1,0)</f>
        <v>0</v>
      </c>
      <c r="W469" s="10" t="n">
        <f aca="false">IF(AND(ISNUMBER($D469),ISNUMBER($E469)),IF($E469&gt;$D469,1,0),0)+IF(AND(ISNUMBER($D469),ISNUMBER($F469)),IF($D469&gt;$F469,1,0),0)+IF(AND(ISNUMBER($E469),ISNUMBER($F469)),IF($E469&gt;$F469,1,0),0)</f>
        <v>0</v>
      </c>
      <c r="X469" s="13" t="s">
        <v>76</v>
      </c>
    </row>
    <row r="470" customFormat="false" ht="15" hidden="false" customHeight="false" outlineLevel="0" collapsed="false">
      <c r="A470" s="10" t="s">
        <v>1983</v>
      </c>
      <c r="B470" s="10" t="s">
        <v>1984</v>
      </c>
      <c r="C470" s="10" t="s">
        <v>1985</v>
      </c>
      <c r="D470" s="12" t="n">
        <v>36000</v>
      </c>
      <c r="E470" s="12" t="n">
        <v>34000</v>
      </c>
      <c r="F470" s="12" t="n">
        <v>36000</v>
      </c>
      <c r="G470" s="10" t="s">
        <v>1969</v>
      </c>
      <c r="H470" s="10" t="s">
        <v>1974</v>
      </c>
      <c r="I470" s="11" t="s">
        <v>1963</v>
      </c>
      <c r="J470" s="10" t="s">
        <v>1975</v>
      </c>
      <c r="K470" s="10" t="s">
        <v>1974</v>
      </c>
      <c r="L470" s="10" t="s">
        <v>68</v>
      </c>
      <c r="M470" s="10" t="s">
        <v>1308</v>
      </c>
      <c r="N470" s="10"/>
      <c r="O470" s="10"/>
      <c r="P470" s="10" t="s">
        <v>637</v>
      </c>
      <c r="Q470" s="11" t="s">
        <v>1309</v>
      </c>
      <c r="R470" s="11" t="s">
        <v>1310</v>
      </c>
      <c r="S470" s="11" t="s">
        <v>710</v>
      </c>
      <c r="T470" s="11" t="s">
        <v>1986</v>
      </c>
      <c r="U470" s="10" t="n">
        <f aca="false">IF(AND($D470="",$E470="",$F470=""),1,0)</f>
        <v>0</v>
      </c>
      <c r="V470" s="10" t="n">
        <f aca="false">IF(OR($I470="",$I470="—"),1,0)</f>
        <v>0</v>
      </c>
      <c r="W470" s="10" t="n">
        <f aca="false">IF(AND(ISNUMBER($D470),ISNUMBER($E470)),IF($E470&gt;$D470,1,0),0)+IF(AND(ISNUMBER($D470),ISNUMBER($F470)),IF($D470&gt;$F470,1,0),0)+IF(AND(ISNUMBER($E470),ISNUMBER($F470)),IF($E470&gt;$F470,1,0),0)</f>
        <v>0</v>
      </c>
      <c r="X470" s="13" t="s">
        <v>76</v>
      </c>
    </row>
    <row r="471" customFormat="false" ht="15" hidden="false" customHeight="false" outlineLevel="0" collapsed="false">
      <c r="A471" s="10" t="s">
        <v>1987</v>
      </c>
      <c r="B471" s="10" t="s">
        <v>1988</v>
      </c>
      <c r="C471" s="10" t="s">
        <v>1989</v>
      </c>
      <c r="D471" s="12" t="n">
        <v>85000</v>
      </c>
      <c r="E471" s="12" t="n">
        <v>75000</v>
      </c>
      <c r="F471" s="12" t="n">
        <v>85000</v>
      </c>
      <c r="G471" s="10" t="s">
        <v>1969</v>
      </c>
      <c r="H471" s="10" t="s">
        <v>1974</v>
      </c>
      <c r="I471" s="11" t="s">
        <v>1963</v>
      </c>
      <c r="J471" s="10" t="s">
        <v>1975</v>
      </c>
      <c r="K471" s="10" t="s">
        <v>1974</v>
      </c>
      <c r="L471" s="10" t="s">
        <v>68</v>
      </c>
      <c r="M471" s="10" t="s">
        <v>1308</v>
      </c>
      <c r="N471" s="10"/>
      <c r="O471" s="10"/>
      <c r="P471" s="10" t="s">
        <v>637</v>
      </c>
      <c r="Q471" s="11" t="s">
        <v>1309</v>
      </c>
      <c r="R471" s="11" t="s">
        <v>1310</v>
      </c>
      <c r="S471" s="11" t="s">
        <v>710</v>
      </c>
      <c r="T471" s="11" t="s">
        <v>1990</v>
      </c>
      <c r="U471" s="10" t="n">
        <f aca="false">IF(AND($D471="",$E471="",$F471=""),1,0)</f>
        <v>0</v>
      </c>
      <c r="V471" s="10" t="n">
        <f aca="false">IF(OR($I471="",$I471="—"),1,0)</f>
        <v>0</v>
      </c>
      <c r="W471" s="10" t="n">
        <f aca="false">IF(AND(ISNUMBER($D471),ISNUMBER($E471)),IF($E471&gt;$D471,1,0),0)+IF(AND(ISNUMBER($D471),ISNUMBER($F471)),IF($D471&gt;$F471,1,0),0)+IF(AND(ISNUMBER($E471),ISNUMBER($F471)),IF($E471&gt;$F471,1,0),0)</f>
        <v>0</v>
      </c>
      <c r="X471" s="13" t="s">
        <v>76</v>
      </c>
    </row>
    <row r="472" customFormat="false" ht="15" hidden="false" customHeight="false" outlineLevel="0" collapsed="false">
      <c r="A472" s="10" t="s">
        <v>1991</v>
      </c>
      <c r="B472" s="10" t="s">
        <v>1992</v>
      </c>
      <c r="C472" s="11" t="s">
        <v>1993</v>
      </c>
      <c r="D472" s="12" t="n">
        <v>16000</v>
      </c>
      <c r="E472" s="12" t="n">
        <v>15000</v>
      </c>
      <c r="F472" s="12" t="n">
        <v>16000</v>
      </c>
      <c r="G472" s="10" t="s">
        <v>1994</v>
      </c>
      <c r="H472" s="10" t="s">
        <v>1629</v>
      </c>
      <c r="I472" s="11" t="s">
        <v>1963</v>
      </c>
      <c r="J472" s="10" t="s">
        <v>1995</v>
      </c>
      <c r="K472" s="10" t="s">
        <v>1629</v>
      </c>
      <c r="L472" s="10" t="s">
        <v>68</v>
      </c>
      <c r="M472" s="10" t="s">
        <v>1308</v>
      </c>
      <c r="N472" s="10"/>
      <c r="O472" s="10"/>
      <c r="P472" s="10" t="s">
        <v>637</v>
      </c>
      <c r="Q472" s="11" t="s">
        <v>1309</v>
      </c>
      <c r="R472" s="11" t="s">
        <v>1310</v>
      </c>
      <c r="S472" s="11" t="s">
        <v>710</v>
      </c>
      <c r="T472" s="11" t="s">
        <v>1996</v>
      </c>
      <c r="U472" s="10" t="n">
        <f aca="false">IF(AND($D472="",$E472="",$F472=""),1,0)</f>
        <v>0</v>
      </c>
      <c r="V472" s="10" t="n">
        <f aca="false">IF(OR($I472="",$I472="—"),1,0)</f>
        <v>0</v>
      </c>
      <c r="W472" s="10" t="n">
        <f aca="false">IF(AND(ISNUMBER($D472),ISNUMBER($E472)),IF($E472&gt;$D472,1,0),0)+IF(AND(ISNUMBER($D472),ISNUMBER($F472)),IF($D472&gt;$F472,1,0),0)+IF(AND(ISNUMBER($E472),ISNUMBER($F472)),IF($E472&gt;$F472,1,0),0)</f>
        <v>0</v>
      </c>
      <c r="X472" s="13" t="s">
        <v>76</v>
      </c>
    </row>
    <row r="473" customFormat="false" ht="15" hidden="false" customHeight="false" outlineLevel="0" collapsed="false">
      <c r="A473" s="10" t="s">
        <v>1997</v>
      </c>
      <c r="B473" s="10" t="s">
        <v>1998</v>
      </c>
      <c r="C473" s="11" t="s">
        <v>1999</v>
      </c>
      <c r="D473" s="12" t="n">
        <v>16000</v>
      </c>
      <c r="E473" s="12" t="n">
        <v>16000</v>
      </c>
      <c r="F473" s="12" t="n">
        <v>19000</v>
      </c>
      <c r="G473" s="10" t="s">
        <v>1994</v>
      </c>
      <c r="H473" s="10" t="s">
        <v>2000</v>
      </c>
      <c r="I473" s="11" t="s">
        <v>1963</v>
      </c>
      <c r="J473" s="10" t="s">
        <v>2001</v>
      </c>
      <c r="K473" s="10" t="s">
        <v>2000</v>
      </c>
      <c r="L473" s="10" t="s">
        <v>68</v>
      </c>
      <c r="M473" s="10" t="s">
        <v>1308</v>
      </c>
      <c r="N473" s="10"/>
      <c r="O473" s="10"/>
      <c r="P473" s="10" t="s">
        <v>637</v>
      </c>
      <c r="Q473" s="11" t="s">
        <v>1309</v>
      </c>
      <c r="R473" s="11" t="s">
        <v>1310</v>
      </c>
      <c r="S473" s="11" t="s">
        <v>710</v>
      </c>
      <c r="T473" s="11" t="s">
        <v>2002</v>
      </c>
      <c r="U473" s="10" t="n">
        <f aca="false">IF(AND($D473="",$E473="",$F473=""),1,0)</f>
        <v>0</v>
      </c>
      <c r="V473" s="10" t="n">
        <f aca="false">IF(OR($I473="",$I473="—"),1,0)</f>
        <v>0</v>
      </c>
      <c r="W473" s="10" t="n">
        <f aca="false">IF(AND(ISNUMBER($D473),ISNUMBER($E473)),IF($E473&gt;$D473,1,0),0)+IF(AND(ISNUMBER($D473),ISNUMBER($F473)),IF($D473&gt;$F473,1,0),0)+IF(AND(ISNUMBER($E473),ISNUMBER($F473)),IF($E473&gt;$F473,1,0),0)</f>
        <v>0</v>
      </c>
      <c r="X473" s="13" t="s">
        <v>76</v>
      </c>
    </row>
    <row r="474" customFormat="false" ht="15" hidden="false" customHeight="false" outlineLevel="0" collapsed="false">
      <c r="A474" s="10" t="s">
        <v>2003</v>
      </c>
      <c r="B474" s="10" t="s">
        <v>2004</v>
      </c>
      <c r="C474" s="11" t="s">
        <v>2005</v>
      </c>
      <c r="D474" s="12" t="n">
        <v>12000</v>
      </c>
      <c r="E474" s="12" t="n">
        <v>12000</v>
      </c>
      <c r="F474" s="12" t="n">
        <v>17000</v>
      </c>
      <c r="G474" s="10" t="s">
        <v>1994</v>
      </c>
      <c r="H474" s="10" t="s">
        <v>665</v>
      </c>
      <c r="I474" s="11" t="s">
        <v>1963</v>
      </c>
      <c r="J474" s="10" t="s">
        <v>2006</v>
      </c>
      <c r="K474" s="10" t="s">
        <v>665</v>
      </c>
      <c r="L474" s="10" t="s">
        <v>68</v>
      </c>
      <c r="M474" s="10" t="s">
        <v>1308</v>
      </c>
      <c r="N474" s="10"/>
      <c r="O474" s="10"/>
      <c r="P474" s="10" t="s">
        <v>637</v>
      </c>
      <c r="Q474" s="11" t="s">
        <v>1309</v>
      </c>
      <c r="R474" s="11" t="s">
        <v>1310</v>
      </c>
      <c r="S474" s="11" t="s">
        <v>710</v>
      </c>
      <c r="T474" s="11" t="s">
        <v>2007</v>
      </c>
      <c r="U474" s="10" t="n">
        <f aca="false">IF(AND($D474="",$E474="",$F474=""),1,0)</f>
        <v>0</v>
      </c>
      <c r="V474" s="10" t="n">
        <f aca="false">IF(OR($I474="",$I474="—"),1,0)</f>
        <v>0</v>
      </c>
      <c r="W474" s="10" t="n">
        <f aca="false">IF(AND(ISNUMBER($D474),ISNUMBER($E474)),IF($E474&gt;$D474,1,0),0)+IF(AND(ISNUMBER($D474),ISNUMBER($F474)),IF($D474&gt;$F474,1,0),0)+IF(AND(ISNUMBER($E474),ISNUMBER($F474)),IF($E474&gt;$F474,1,0),0)</f>
        <v>0</v>
      </c>
      <c r="X474" s="13" t="s">
        <v>76</v>
      </c>
    </row>
    <row r="475" customFormat="false" ht="15" hidden="false" customHeight="false" outlineLevel="0" collapsed="false">
      <c r="A475" s="10" t="s">
        <v>2008</v>
      </c>
      <c r="B475" s="10" t="s">
        <v>2009</v>
      </c>
      <c r="C475" s="11" t="s">
        <v>2010</v>
      </c>
      <c r="D475" s="12" t="n">
        <v>25000</v>
      </c>
      <c r="E475" s="12" t="n">
        <v>16000</v>
      </c>
      <c r="F475" s="12" t="n">
        <v>25000</v>
      </c>
      <c r="G475" s="10" t="s">
        <v>2011</v>
      </c>
      <c r="H475" s="10" t="s">
        <v>2012</v>
      </c>
      <c r="I475" s="10" t="s">
        <v>2013</v>
      </c>
      <c r="J475" s="10" t="s">
        <v>2014</v>
      </c>
      <c r="K475" s="10" t="s">
        <v>2012</v>
      </c>
      <c r="L475" s="10" t="s">
        <v>68</v>
      </c>
      <c r="M475" s="10" t="s">
        <v>1308</v>
      </c>
      <c r="N475" s="10"/>
      <c r="O475" s="10"/>
      <c r="P475" s="10" t="s">
        <v>637</v>
      </c>
      <c r="Q475" s="11" t="s">
        <v>1309</v>
      </c>
      <c r="R475" s="11" t="s">
        <v>1310</v>
      </c>
      <c r="S475" s="11" t="s">
        <v>710</v>
      </c>
      <c r="T475" s="11" t="s">
        <v>2015</v>
      </c>
      <c r="U475" s="10" t="n">
        <f aca="false">IF(AND($D475="",$E475="",$F475=""),1,0)</f>
        <v>0</v>
      </c>
      <c r="V475" s="10" t="n">
        <f aca="false">IF(OR($I475="",$I475="—"),1,0)</f>
        <v>0</v>
      </c>
      <c r="W475" s="10" t="n">
        <f aca="false">IF(AND(ISNUMBER($D475),ISNUMBER($E475)),IF($E475&gt;$D475,1,0),0)+IF(AND(ISNUMBER($D475),ISNUMBER($F475)),IF($D475&gt;$F475,1,0),0)+IF(AND(ISNUMBER($E475),ISNUMBER($F475)),IF($E475&gt;$F475,1,0),0)</f>
        <v>0</v>
      </c>
      <c r="X475" s="13" t="s">
        <v>76</v>
      </c>
    </row>
    <row r="476" customFormat="false" ht="15" hidden="false" customHeight="false" outlineLevel="0" collapsed="false">
      <c r="A476" s="10" t="s">
        <v>2016</v>
      </c>
      <c r="B476" s="10" t="s">
        <v>2017</v>
      </c>
      <c r="C476" s="10" t="s">
        <v>2018</v>
      </c>
      <c r="D476" s="12" t="n">
        <v>18.75</v>
      </c>
      <c r="E476" s="12" t="n">
        <v>11.83</v>
      </c>
      <c r="F476" s="12" t="n">
        <v>18.75</v>
      </c>
      <c r="G476" s="10" t="s">
        <v>1962</v>
      </c>
      <c r="H476" s="10" t="s">
        <v>2012</v>
      </c>
      <c r="I476" s="10" t="s">
        <v>2013</v>
      </c>
      <c r="J476" s="10" t="s">
        <v>2014</v>
      </c>
      <c r="K476" s="10" t="s">
        <v>2012</v>
      </c>
      <c r="L476" s="10" t="s">
        <v>68</v>
      </c>
      <c r="M476" s="10" t="s">
        <v>1308</v>
      </c>
      <c r="N476" s="10"/>
      <c r="O476" s="10"/>
      <c r="P476" s="10" t="s">
        <v>637</v>
      </c>
      <c r="Q476" s="11" t="s">
        <v>1309</v>
      </c>
      <c r="R476" s="11" t="s">
        <v>1310</v>
      </c>
      <c r="S476" s="11" t="s">
        <v>710</v>
      </c>
      <c r="T476" s="11" t="s">
        <v>2019</v>
      </c>
      <c r="U476" s="10" t="n">
        <f aca="false">IF(AND($D476="",$E476="",$F476=""),1,0)</f>
        <v>0</v>
      </c>
      <c r="V476" s="10" t="n">
        <f aca="false">IF(OR($I476="",$I476="—"),1,0)</f>
        <v>0</v>
      </c>
      <c r="W476" s="10" t="n">
        <f aca="false">IF(AND(ISNUMBER($D476),ISNUMBER($E476)),IF($E476&gt;$D476,1,0),0)+IF(AND(ISNUMBER($D476),ISNUMBER($F476)),IF($D476&gt;$F476,1,0),0)+IF(AND(ISNUMBER($E476),ISNUMBER($F476)),IF($E476&gt;$F476,1,0),0)</f>
        <v>0</v>
      </c>
      <c r="X476" s="13" t="s">
        <v>76</v>
      </c>
    </row>
    <row r="477" customFormat="false" ht="15" hidden="false" customHeight="false" outlineLevel="0" collapsed="false">
      <c r="A477" s="10" t="s">
        <v>2020</v>
      </c>
      <c r="B477" s="10" t="s">
        <v>2021</v>
      </c>
      <c r="C477" s="10" t="s">
        <v>2022</v>
      </c>
      <c r="D477" s="12" t="n">
        <v>11.83</v>
      </c>
      <c r="E477" s="12" t="n">
        <v>11.83</v>
      </c>
      <c r="F477" s="12" t="n">
        <v>18.75</v>
      </c>
      <c r="G477" s="10" t="s">
        <v>1962</v>
      </c>
      <c r="H477" s="10" t="s">
        <v>2012</v>
      </c>
      <c r="I477" s="10" t="s">
        <v>2013</v>
      </c>
      <c r="J477" s="10" t="s">
        <v>2014</v>
      </c>
      <c r="K477" s="10" t="s">
        <v>2012</v>
      </c>
      <c r="L477" s="10" t="s">
        <v>68</v>
      </c>
      <c r="M477" s="10" t="s">
        <v>1308</v>
      </c>
      <c r="N477" s="10"/>
      <c r="O477" s="10"/>
      <c r="P477" s="10" t="s">
        <v>637</v>
      </c>
      <c r="Q477" s="11" t="s">
        <v>1309</v>
      </c>
      <c r="R477" s="11" t="s">
        <v>1310</v>
      </c>
      <c r="S477" s="11" t="s">
        <v>710</v>
      </c>
      <c r="T477" s="11" t="s">
        <v>1095</v>
      </c>
      <c r="U477" s="10" t="n">
        <f aca="false">IF(AND($D477="",$E477="",$F477=""),1,0)</f>
        <v>0</v>
      </c>
      <c r="V477" s="10" t="n">
        <f aca="false">IF(OR($I477="",$I477="—"),1,0)</f>
        <v>0</v>
      </c>
      <c r="W477" s="10" t="n">
        <f aca="false">IF(AND(ISNUMBER($D477),ISNUMBER($E477)),IF($E477&gt;$D477,1,0),0)+IF(AND(ISNUMBER($D477),ISNUMBER($F477)),IF($D477&gt;$F477,1,0),0)+IF(AND(ISNUMBER($E477),ISNUMBER($F477)),IF($E477&gt;$F477,1,0),0)</f>
        <v>0</v>
      </c>
      <c r="X477" s="13" t="s">
        <v>76</v>
      </c>
    </row>
    <row r="478" customFormat="false" ht="15" hidden="false" customHeight="false" outlineLevel="0" collapsed="false">
      <c r="A478" s="10" t="s">
        <v>2023</v>
      </c>
      <c r="B478" s="10" t="s">
        <v>2024</v>
      </c>
      <c r="C478" s="10" t="s">
        <v>2025</v>
      </c>
      <c r="D478" s="12" t="n">
        <v>13.36</v>
      </c>
      <c r="E478" s="12"/>
      <c r="F478" s="12"/>
      <c r="G478" s="10" t="s">
        <v>1962</v>
      </c>
      <c r="H478" s="10" t="s">
        <v>2026</v>
      </c>
      <c r="I478" s="11" t="s">
        <v>2027</v>
      </c>
      <c r="J478" s="10" t="s">
        <v>2028</v>
      </c>
      <c r="K478" s="10" t="s">
        <v>68</v>
      </c>
      <c r="L478" s="10" t="s">
        <v>68</v>
      </c>
      <c r="M478" s="10" t="s">
        <v>636</v>
      </c>
      <c r="N478" s="10"/>
      <c r="O478" s="10"/>
      <c r="P478" s="10" t="s">
        <v>637</v>
      </c>
      <c r="Q478" s="11" t="s">
        <v>638</v>
      </c>
      <c r="R478" s="11" t="s">
        <v>639</v>
      </c>
      <c r="S478" s="11" t="s">
        <v>638</v>
      </c>
      <c r="T478" s="10" t="s">
        <v>2029</v>
      </c>
      <c r="U478" s="10" t="n">
        <f aca="false">IF(AND($D478="",$E478="",$F478=""),1,0)</f>
        <v>0</v>
      </c>
      <c r="V478" s="10" t="n">
        <f aca="false">IF(OR($I478="",$I478="—"),1,0)</f>
        <v>0</v>
      </c>
      <c r="W478" s="10" t="n">
        <f aca="false">IF(AND(ISNUMBER($D478),ISNUMBER($E478)),IF($E478&gt;$D478,1,0),0)+IF(AND(ISNUMBER($D478),ISNUMBER($F478)),IF($D478&gt;$F478,1,0),0)+IF(AND(ISNUMBER($E478),ISNUMBER($F478)),IF($E478&gt;$F478,1,0),0)</f>
        <v>0</v>
      </c>
      <c r="X478" s="13" t="s">
        <v>76</v>
      </c>
    </row>
    <row r="479" customFormat="false" ht="15" hidden="false" customHeight="false" outlineLevel="0" collapsed="false">
      <c r="A479" s="10" t="s">
        <v>2030</v>
      </c>
      <c r="B479" s="10" t="s">
        <v>2031</v>
      </c>
      <c r="C479" s="10" t="s">
        <v>2032</v>
      </c>
      <c r="D479" s="12" t="n">
        <v>6.16</v>
      </c>
      <c r="E479" s="12"/>
      <c r="F479" s="12"/>
      <c r="G479" s="10" t="s">
        <v>1962</v>
      </c>
      <c r="H479" s="10" t="s">
        <v>2026</v>
      </c>
      <c r="I479" s="11" t="s">
        <v>2033</v>
      </c>
      <c r="J479" s="10" t="s">
        <v>2028</v>
      </c>
      <c r="K479" s="10" t="s">
        <v>68</v>
      </c>
      <c r="L479" s="10" t="s">
        <v>68</v>
      </c>
      <c r="M479" s="10" t="s">
        <v>636</v>
      </c>
      <c r="N479" s="10"/>
      <c r="O479" s="10"/>
      <c r="P479" s="10" t="s">
        <v>637</v>
      </c>
      <c r="Q479" s="11" t="s">
        <v>638</v>
      </c>
      <c r="R479" s="11" t="s">
        <v>639</v>
      </c>
      <c r="S479" s="11" t="s">
        <v>638</v>
      </c>
      <c r="T479" s="10" t="s">
        <v>2034</v>
      </c>
      <c r="U479" s="10" t="n">
        <f aca="false">IF(AND($D479="",$E479="",$F479=""),1,0)</f>
        <v>0</v>
      </c>
      <c r="V479" s="10" t="n">
        <f aca="false">IF(OR($I479="",$I479="—"),1,0)</f>
        <v>0</v>
      </c>
      <c r="W479" s="10" t="n">
        <f aca="false">IF(AND(ISNUMBER($D479),ISNUMBER($E479)),IF($E479&gt;$D479,1,0),0)+IF(AND(ISNUMBER($D479),ISNUMBER($F479)),IF($D479&gt;$F479,1,0),0)+IF(AND(ISNUMBER($E479),ISNUMBER($F479)),IF($E479&gt;$F479,1,0),0)</f>
        <v>0</v>
      </c>
      <c r="X479" s="13" t="s">
        <v>76</v>
      </c>
    </row>
    <row r="480" customFormat="false" ht="15" hidden="false" customHeight="false" outlineLevel="0" collapsed="false">
      <c r="A480" s="10" t="s">
        <v>2035</v>
      </c>
      <c r="B480" s="10" t="s">
        <v>2036</v>
      </c>
      <c r="C480" s="10" t="s">
        <v>2037</v>
      </c>
      <c r="D480" s="12" t="n">
        <v>13.7</v>
      </c>
      <c r="E480" s="12"/>
      <c r="F480" s="12"/>
      <c r="G480" s="10" t="s">
        <v>1962</v>
      </c>
      <c r="H480" s="10" t="s">
        <v>2026</v>
      </c>
      <c r="I480" s="11" t="s">
        <v>2038</v>
      </c>
      <c r="J480" s="10" t="s">
        <v>2028</v>
      </c>
      <c r="K480" s="10" t="s">
        <v>68</v>
      </c>
      <c r="L480" s="10" t="s">
        <v>68</v>
      </c>
      <c r="M480" s="10" t="s">
        <v>636</v>
      </c>
      <c r="N480" s="10"/>
      <c r="O480" s="10"/>
      <c r="P480" s="10" t="s">
        <v>637</v>
      </c>
      <c r="Q480" s="11" t="s">
        <v>638</v>
      </c>
      <c r="R480" s="11" t="s">
        <v>639</v>
      </c>
      <c r="S480" s="11" t="s">
        <v>638</v>
      </c>
      <c r="T480" s="10" t="s">
        <v>2039</v>
      </c>
      <c r="U480" s="10" t="n">
        <f aca="false">IF(AND($D480="",$E480="",$F480=""),1,0)</f>
        <v>0</v>
      </c>
      <c r="V480" s="10" t="n">
        <f aca="false">IF(OR($I480="",$I480="—"),1,0)</f>
        <v>0</v>
      </c>
      <c r="W480" s="10" t="n">
        <f aca="false">IF(AND(ISNUMBER($D480),ISNUMBER($E480)),IF($E480&gt;$D480,1,0),0)+IF(AND(ISNUMBER($D480),ISNUMBER($F480)),IF($D480&gt;$F480,1,0),0)+IF(AND(ISNUMBER($E480),ISNUMBER($F480)),IF($E480&gt;$F480,1,0),0)</f>
        <v>0</v>
      </c>
      <c r="X480" s="13" t="s">
        <v>76</v>
      </c>
    </row>
    <row r="481" customFormat="false" ht="15" hidden="false" customHeight="false" outlineLevel="0" collapsed="false">
      <c r="A481" s="10" t="s">
        <v>2040</v>
      </c>
      <c r="B481" s="10" t="s">
        <v>2041</v>
      </c>
      <c r="C481" s="10" t="s">
        <v>2042</v>
      </c>
      <c r="D481" s="12" t="n">
        <v>7.36</v>
      </c>
      <c r="E481" s="12"/>
      <c r="F481" s="12"/>
      <c r="G481" s="10" t="s">
        <v>1962</v>
      </c>
      <c r="H481" s="10" t="s">
        <v>2026</v>
      </c>
      <c r="I481" s="11" t="s">
        <v>2043</v>
      </c>
      <c r="J481" s="10" t="s">
        <v>2028</v>
      </c>
      <c r="K481" s="10" t="s">
        <v>68</v>
      </c>
      <c r="L481" s="10" t="s">
        <v>68</v>
      </c>
      <c r="M481" s="10" t="s">
        <v>636</v>
      </c>
      <c r="N481" s="10"/>
      <c r="O481" s="10"/>
      <c r="P481" s="10" t="s">
        <v>637</v>
      </c>
      <c r="Q481" s="11" t="s">
        <v>638</v>
      </c>
      <c r="R481" s="11" t="s">
        <v>639</v>
      </c>
      <c r="S481" s="11" t="s">
        <v>638</v>
      </c>
      <c r="T481" s="10" t="s">
        <v>2044</v>
      </c>
      <c r="U481" s="10" t="n">
        <f aca="false">IF(AND($D481="",$E481="",$F481=""),1,0)</f>
        <v>0</v>
      </c>
      <c r="V481" s="10" t="n">
        <f aca="false">IF(OR($I481="",$I481="—"),1,0)</f>
        <v>0</v>
      </c>
      <c r="W481" s="10" t="n">
        <f aca="false">IF(AND(ISNUMBER($D481),ISNUMBER($E481)),IF($E481&gt;$D481,1,0),0)+IF(AND(ISNUMBER($D481),ISNUMBER($F481)),IF($D481&gt;$F481,1,0),0)+IF(AND(ISNUMBER($E481),ISNUMBER($F481)),IF($E481&gt;$F481,1,0),0)</f>
        <v>0</v>
      </c>
      <c r="X481" s="13" t="s">
        <v>76</v>
      </c>
    </row>
    <row r="482" customFormat="false" ht="15" hidden="false" customHeight="false" outlineLevel="0" collapsed="false">
      <c r="A482" s="10" t="s">
        <v>2045</v>
      </c>
      <c r="B482" s="10" t="s">
        <v>2046</v>
      </c>
      <c r="C482" s="11" t="s">
        <v>2047</v>
      </c>
      <c r="D482" s="12" t="n">
        <v>2.74</v>
      </c>
      <c r="E482" s="12" t="n">
        <v>2.74</v>
      </c>
      <c r="F482" s="12" t="n">
        <v>4.28</v>
      </c>
      <c r="G482" s="10" t="s">
        <v>1962</v>
      </c>
      <c r="H482" s="10" t="s">
        <v>2048</v>
      </c>
      <c r="I482" s="11" t="s">
        <v>2049</v>
      </c>
      <c r="J482" s="10" t="s">
        <v>2028</v>
      </c>
      <c r="K482" s="10" t="s">
        <v>68</v>
      </c>
      <c r="L482" s="10" t="s">
        <v>68</v>
      </c>
      <c r="M482" s="10" t="s">
        <v>636</v>
      </c>
      <c r="N482" s="10"/>
      <c r="O482" s="10"/>
      <c r="P482" s="10" t="s">
        <v>637</v>
      </c>
      <c r="Q482" s="11" t="s">
        <v>638</v>
      </c>
      <c r="R482" s="11" t="s">
        <v>639</v>
      </c>
      <c r="S482" s="11" t="s">
        <v>710</v>
      </c>
      <c r="T482" s="10" t="s">
        <v>2050</v>
      </c>
      <c r="U482" s="10" t="n">
        <f aca="false">IF(AND($D482="",$E482="",$F482=""),1,0)</f>
        <v>0</v>
      </c>
      <c r="V482" s="10" t="n">
        <f aca="false">IF(OR($I482="",$I482="—"),1,0)</f>
        <v>0</v>
      </c>
      <c r="W482" s="10" t="n">
        <f aca="false">IF(AND(ISNUMBER($D482),ISNUMBER($E482)),IF($E482&gt;$D482,1,0),0)+IF(AND(ISNUMBER($D482),ISNUMBER($F482)),IF($D482&gt;$F482,1,0),0)+IF(AND(ISNUMBER($E482),ISNUMBER($F482)),IF($E482&gt;$F482,1,0),0)</f>
        <v>0</v>
      </c>
      <c r="X482" s="13" t="s">
        <v>76</v>
      </c>
    </row>
    <row r="483" customFormat="false" ht="15" hidden="false" customHeight="false" outlineLevel="0" collapsed="false">
      <c r="A483" s="10" t="s">
        <v>2051</v>
      </c>
      <c r="B483" s="10" t="s">
        <v>2052</v>
      </c>
      <c r="C483" s="11" t="s">
        <v>2053</v>
      </c>
      <c r="D483" s="12" t="n">
        <v>4.28</v>
      </c>
      <c r="E483" s="12" t="n">
        <v>2.74</v>
      </c>
      <c r="F483" s="12" t="n">
        <v>4.28</v>
      </c>
      <c r="G483" s="10" t="s">
        <v>1962</v>
      </c>
      <c r="H483" s="10" t="s">
        <v>2048</v>
      </c>
      <c r="I483" s="11" t="s">
        <v>2049</v>
      </c>
      <c r="J483" s="10" t="s">
        <v>2028</v>
      </c>
      <c r="K483" s="10" t="s">
        <v>68</v>
      </c>
      <c r="L483" s="10" t="s">
        <v>68</v>
      </c>
      <c r="M483" s="10" t="s">
        <v>636</v>
      </c>
      <c r="N483" s="10"/>
      <c r="O483" s="10"/>
      <c r="P483" s="10" t="s">
        <v>637</v>
      </c>
      <c r="Q483" s="11" t="s">
        <v>638</v>
      </c>
      <c r="R483" s="11" t="s">
        <v>639</v>
      </c>
      <c r="S483" s="11" t="s">
        <v>710</v>
      </c>
      <c r="T483" s="10" t="s">
        <v>2054</v>
      </c>
      <c r="U483" s="10" t="n">
        <f aca="false">IF(AND($D483="",$E483="",$F483=""),1,0)</f>
        <v>0</v>
      </c>
      <c r="V483" s="10" t="n">
        <f aca="false">IF(OR($I483="",$I483="—"),1,0)</f>
        <v>0</v>
      </c>
      <c r="W483" s="10" t="n">
        <f aca="false">IF(AND(ISNUMBER($D483),ISNUMBER($E483)),IF($E483&gt;$D483,1,0),0)+IF(AND(ISNUMBER($D483),ISNUMBER($F483)),IF($D483&gt;$F483,1,0),0)+IF(AND(ISNUMBER($E483),ISNUMBER($F483)),IF($E483&gt;$F483,1,0),0)</f>
        <v>0</v>
      </c>
      <c r="X483" s="13" t="s">
        <v>76</v>
      </c>
    </row>
    <row r="484" customFormat="false" ht="15" hidden="false" customHeight="false" outlineLevel="0" collapsed="false">
      <c r="A484" s="10" t="s">
        <v>2055</v>
      </c>
      <c r="B484" s="10" t="s">
        <v>2056</v>
      </c>
      <c r="C484" s="11" t="s">
        <v>2057</v>
      </c>
      <c r="D484" s="12" t="n">
        <v>0.6</v>
      </c>
      <c r="E484" s="12" t="n">
        <v>0.6</v>
      </c>
      <c r="F484" s="12" t="n">
        <v>0.8</v>
      </c>
      <c r="G484" s="11" t="s">
        <v>1709</v>
      </c>
      <c r="H484" s="10" t="s">
        <v>2058</v>
      </c>
      <c r="I484" s="10" t="s">
        <v>2059</v>
      </c>
      <c r="J484" s="10" t="s">
        <v>2060</v>
      </c>
      <c r="K484" s="10" t="s">
        <v>2061</v>
      </c>
      <c r="L484" s="10" t="s">
        <v>68</v>
      </c>
      <c r="M484" s="10" t="s">
        <v>1308</v>
      </c>
      <c r="N484" s="10"/>
      <c r="O484" s="10"/>
      <c r="P484" s="10" t="s">
        <v>637</v>
      </c>
      <c r="Q484" s="11" t="s">
        <v>1309</v>
      </c>
      <c r="R484" s="11" t="s">
        <v>1310</v>
      </c>
      <c r="S484" s="11" t="s">
        <v>710</v>
      </c>
      <c r="T484" s="11" t="s">
        <v>2062</v>
      </c>
      <c r="U484" s="10" t="n">
        <f aca="false">IF(AND($D484="",$E484="",$F484=""),1,0)</f>
        <v>0</v>
      </c>
      <c r="V484" s="10" t="n">
        <f aca="false">IF(OR($I484="",$I484="—"),1,0)</f>
        <v>0</v>
      </c>
      <c r="W484" s="10" t="n">
        <f aca="false">IF(AND(ISNUMBER($D484),ISNUMBER($E484)),IF($E484&gt;$D484,1,0),0)+IF(AND(ISNUMBER($D484),ISNUMBER($F484)),IF($D484&gt;$F484,1,0),0)+IF(AND(ISNUMBER($E484),ISNUMBER($F484)),IF($E484&gt;$F484,1,0),0)</f>
        <v>0</v>
      </c>
      <c r="X484" s="13" t="s">
        <v>76</v>
      </c>
    </row>
    <row r="485" customFormat="false" ht="15" hidden="false" customHeight="false" outlineLevel="0" collapsed="false">
      <c r="A485" s="10" t="s">
        <v>2063</v>
      </c>
      <c r="B485" s="10" t="s">
        <v>2064</v>
      </c>
      <c r="C485" s="11" t="s">
        <v>2065</v>
      </c>
      <c r="D485" s="12" t="n">
        <v>310</v>
      </c>
      <c r="E485" s="12" t="n">
        <v>310</v>
      </c>
      <c r="F485" s="12" t="n">
        <v>350</v>
      </c>
      <c r="G485" s="10" t="s">
        <v>2066</v>
      </c>
      <c r="H485" s="10" t="s">
        <v>2067</v>
      </c>
      <c r="I485" s="10" t="s">
        <v>2068</v>
      </c>
      <c r="J485" s="10" t="s">
        <v>2069</v>
      </c>
      <c r="K485" s="10" t="s">
        <v>2070</v>
      </c>
      <c r="L485" s="10" t="s">
        <v>68</v>
      </c>
      <c r="M485" s="10" t="s">
        <v>1308</v>
      </c>
      <c r="N485" s="10"/>
      <c r="O485" s="10"/>
      <c r="P485" s="10" t="s">
        <v>637</v>
      </c>
      <c r="Q485" s="11" t="s">
        <v>1309</v>
      </c>
      <c r="R485" s="10" t="s">
        <v>2071</v>
      </c>
      <c r="S485" s="11" t="s">
        <v>710</v>
      </c>
      <c r="T485" s="11" t="s">
        <v>2072</v>
      </c>
      <c r="U485" s="10" t="n">
        <f aca="false">IF(AND($D485="",$E485="",$F485=""),1,0)</f>
        <v>0</v>
      </c>
      <c r="V485" s="10" t="n">
        <f aca="false">IF(OR($I485="",$I485="—"),1,0)</f>
        <v>0</v>
      </c>
      <c r="W485" s="10" t="n">
        <f aca="false">IF(AND(ISNUMBER($D485),ISNUMBER($E485)),IF($E485&gt;$D485,1,0),0)+IF(AND(ISNUMBER($D485),ISNUMBER($F485)),IF($D485&gt;$F485,1,0),0)+IF(AND(ISNUMBER($E485),ISNUMBER($F485)),IF($E485&gt;$F485,1,0),0)</f>
        <v>0</v>
      </c>
      <c r="X485" s="13" t="s">
        <v>76</v>
      </c>
    </row>
    <row r="486" customFormat="false" ht="15" hidden="false" customHeight="false" outlineLevel="0" collapsed="false">
      <c r="A486" s="10" t="s">
        <v>2073</v>
      </c>
      <c r="B486" s="10" t="s">
        <v>2074</v>
      </c>
      <c r="C486" s="11" t="s">
        <v>2075</v>
      </c>
      <c r="D486" s="12" t="n">
        <v>752</v>
      </c>
      <c r="E486" s="12" t="n">
        <v>752</v>
      </c>
      <c r="F486" s="12" t="n">
        <v>780</v>
      </c>
      <c r="G486" s="10" t="s">
        <v>2076</v>
      </c>
      <c r="H486" s="10" t="s">
        <v>1287</v>
      </c>
      <c r="I486" s="10" t="s">
        <v>2077</v>
      </c>
      <c r="J486" s="10" t="s">
        <v>2078</v>
      </c>
      <c r="K486" s="10" t="s">
        <v>1290</v>
      </c>
      <c r="L486" s="10" t="s">
        <v>68</v>
      </c>
      <c r="M486" s="10" t="s">
        <v>1308</v>
      </c>
      <c r="N486" s="10"/>
      <c r="O486" s="10"/>
      <c r="P486" s="10" t="s">
        <v>637</v>
      </c>
      <c r="Q486" s="11" t="s">
        <v>1309</v>
      </c>
      <c r="R486" s="10" t="s">
        <v>2071</v>
      </c>
      <c r="S486" s="11" t="s">
        <v>710</v>
      </c>
      <c r="T486" s="11" t="s">
        <v>2079</v>
      </c>
      <c r="U486" s="10" t="n">
        <f aca="false">IF(AND($D486="",$E486="",$F486=""),1,0)</f>
        <v>0</v>
      </c>
      <c r="V486" s="10" t="n">
        <f aca="false">IF(OR($I486="",$I486="—"),1,0)</f>
        <v>0</v>
      </c>
      <c r="W486" s="10" t="n">
        <f aca="false">IF(AND(ISNUMBER($D486),ISNUMBER($E486)),IF($E486&gt;$D486,1,0),0)+IF(AND(ISNUMBER($D486),ISNUMBER($F486)),IF($D486&gt;$F486,1,0),0)+IF(AND(ISNUMBER($E486),ISNUMBER($F486)),IF($E486&gt;$F486,1,0),0)</f>
        <v>0</v>
      </c>
      <c r="X486" s="13" t="s">
        <v>76</v>
      </c>
    </row>
    <row r="487" customFormat="false" ht="15" hidden="false" customHeight="false" outlineLevel="0" collapsed="false">
      <c r="A487" s="10" t="s">
        <v>2080</v>
      </c>
      <c r="B487" s="10" t="s">
        <v>2081</v>
      </c>
      <c r="C487" s="10" t="s">
        <v>2082</v>
      </c>
      <c r="D487" s="12" t="n">
        <v>559</v>
      </c>
      <c r="E487" s="12" t="n">
        <v>559</v>
      </c>
      <c r="F487" s="12" t="n">
        <v>600</v>
      </c>
      <c r="G487" s="10" t="s">
        <v>2083</v>
      </c>
      <c r="H487" s="10" t="s">
        <v>2084</v>
      </c>
      <c r="I487" s="10" t="s">
        <v>2085</v>
      </c>
      <c r="J487" s="10" t="s">
        <v>2086</v>
      </c>
      <c r="K487" s="10" t="s">
        <v>2087</v>
      </c>
      <c r="L487" s="10" t="s">
        <v>68</v>
      </c>
      <c r="M487" s="10" t="s">
        <v>1308</v>
      </c>
      <c r="N487" s="10"/>
      <c r="O487" s="10"/>
      <c r="P487" s="10" t="s">
        <v>637</v>
      </c>
      <c r="Q487" s="11" t="s">
        <v>1309</v>
      </c>
      <c r="R487" s="10" t="s">
        <v>2071</v>
      </c>
      <c r="S487" s="11" t="s">
        <v>710</v>
      </c>
      <c r="T487" s="11" t="s">
        <v>2088</v>
      </c>
      <c r="U487" s="10" t="n">
        <f aca="false">IF(AND($D487="",$E487="",$F487=""),1,0)</f>
        <v>0</v>
      </c>
      <c r="V487" s="10" t="n">
        <f aca="false">IF(OR($I487="",$I487="—"),1,0)</f>
        <v>0</v>
      </c>
      <c r="W487" s="10" t="n">
        <f aca="false">IF(AND(ISNUMBER($D487),ISNUMBER($E487)),IF($E487&gt;$D487,1,0),0)+IF(AND(ISNUMBER($D487),ISNUMBER($F487)),IF($D487&gt;$F487,1,0),0)+IF(AND(ISNUMBER($E487),ISNUMBER($F487)),IF($E487&gt;$F487,1,0),0)</f>
        <v>0</v>
      </c>
      <c r="X487" s="13" t="s">
        <v>76</v>
      </c>
    </row>
    <row r="488" customFormat="false" ht="15" hidden="false" customHeight="false" outlineLevel="0" collapsed="false">
      <c r="A488" s="10" t="s">
        <v>2089</v>
      </c>
      <c r="B488" s="10" t="s">
        <v>2090</v>
      </c>
      <c r="C488" s="10" t="s">
        <v>2091</v>
      </c>
      <c r="D488" s="12" t="n">
        <v>3.9</v>
      </c>
      <c r="E488" s="12" t="n">
        <v>3.9</v>
      </c>
      <c r="F488" s="12" t="n">
        <v>4.1</v>
      </c>
      <c r="G488" s="11" t="s">
        <v>1709</v>
      </c>
      <c r="H488" s="10" t="s">
        <v>2084</v>
      </c>
      <c r="I488" s="10" t="s">
        <v>2085</v>
      </c>
      <c r="J488" s="10" t="s">
        <v>2086</v>
      </c>
      <c r="K488" s="10" t="s">
        <v>2087</v>
      </c>
      <c r="L488" s="10" t="s">
        <v>68</v>
      </c>
      <c r="M488" s="10" t="s">
        <v>1308</v>
      </c>
      <c r="N488" s="10"/>
      <c r="O488" s="10"/>
      <c r="P488" s="10" t="s">
        <v>637</v>
      </c>
      <c r="Q488" s="11" t="s">
        <v>1309</v>
      </c>
      <c r="R488" s="10" t="s">
        <v>2071</v>
      </c>
      <c r="S488" s="11" t="s">
        <v>710</v>
      </c>
      <c r="T488" s="10" t="s">
        <v>2092</v>
      </c>
      <c r="U488" s="10" t="n">
        <f aca="false">IF(AND($D488="",$E488="",$F488=""),1,0)</f>
        <v>0</v>
      </c>
      <c r="V488" s="10" t="n">
        <f aca="false">IF(OR($I488="",$I488="—"),1,0)</f>
        <v>0</v>
      </c>
      <c r="W488" s="10" t="n">
        <f aca="false">IF(AND(ISNUMBER($D488),ISNUMBER($E488)),IF($E488&gt;$D488,1,0),0)+IF(AND(ISNUMBER($D488),ISNUMBER($F488)),IF($D488&gt;$F488,1,0),0)+IF(AND(ISNUMBER($E488),ISNUMBER($F488)),IF($E488&gt;$F488,1,0),0)</f>
        <v>0</v>
      </c>
      <c r="X488" s="13" t="s">
        <v>76</v>
      </c>
    </row>
    <row r="489" customFormat="false" ht="15" hidden="false" customHeight="false" outlineLevel="0" collapsed="false">
      <c r="A489" s="10" t="s">
        <v>2093</v>
      </c>
      <c r="B489" s="10" t="s">
        <v>2094</v>
      </c>
      <c r="C489" s="10" t="s">
        <v>2095</v>
      </c>
      <c r="D489" s="12" t="n">
        <v>1943</v>
      </c>
      <c r="E489" s="12"/>
      <c r="F489" s="12"/>
      <c r="G489" s="10" t="s">
        <v>2096</v>
      </c>
      <c r="H489" s="10" t="s">
        <v>2097</v>
      </c>
      <c r="I489" s="11" t="s">
        <v>2098</v>
      </c>
      <c r="J489" s="10" t="s">
        <v>2099</v>
      </c>
      <c r="K489" s="10" t="s">
        <v>2100</v>
      </c>
      <c r="L489" s="10" t="s">
        <v>68</v>
      </c>
      <c r="M489" s="10" t="s">
        <v>416</v>
      </c>
      <c r="N489" s="11" t="s">
        <v>2101</v>
      </c>
      <c r="O489" s="10"/>
      <c r="P489" s="10" t="s">
        <v>637</v>
      </c>
      <c r="Q489" s="11" t="s">
        <v>72</v>
      </c>
      <c r="R489" s="11" t="s">
        <v>2101</v>
      </c>
      <c r="S489" s="11" t="s">
        <v>1278</v>
      </c>
      <c r="T489" s="11" t="s">
        <v>2102</v>
      </c>
      <c r="U489" s="10" t="n">
        <f aca="false">IF(AND($D489="",$E489="",$F489=""),1,0)</f>
        <v>0</v>
      </c>
      <c r="V489" s="10" t="n">
        <f aca="false">IF(OR($I489="",$I489="—"),1,0)</f>
        <v>0</v>
      </c>
      <c r="W489" s="10" t="n">
        <f aca="false">IF(AND(ISNUMBER($D489),ISNUMBER($E489)),IF($E489&gt;$D489,1,0),0)+IF(AND(ISNUMBER($D489),ISNUMBER($F489)),IF($D489&gt;$F489,1,0),0)+IF(AND(ISNUMBER($E489),ISNUMBER($F489)),IF($E489&gt;$F489,1,0),0)</f>
        <v>0</v>
      </c>
      <c r="X489" s="13" t="s">
        <v>76</v>
      </c>
    </row>
    <row r="490" customFormat="false" ht="15" hidden="false" customHeight="false" outlineLevel="0" collapsed="false">
      <c r="A490" s="10" t="s">
        <v>2103</v>
      </c>
      <c r="B490" s="10" t="s">
        <v>2104</v>
      </c>
      <c r="C490" s="10" t="s">
        <v>2105</v>
      </c>
      <c r="D490" s="12" t="n">
        <v>4.45</v>
      </c>
      <c r="E490" s="12"/>
      <c r="F490" s="12"/>
      <c r="G490" s="10" t="s">
        <v>2106</v>
      </c>
      <c r="H490" s="10" t="s">
        <v>2097</v>
      </c>
      <c r="I490" s="10" t="s">
        <v>2107</v>
      </c>
      <c r="J490" s="10" t="s">
        <v>2078</v>
      </c>
      <c r="K490" s="10" t="s">
        <v>1290</v>
      </c>
      <c r="L490" s="10" t="s">
        <v>68</v>
      </c>
      <c r="M490" s="10" t="s">
        <v>416</v>
      </c>
      <c r="N490" s="11" t="s">
        <v>2108</v>
      </c>
      <c r="O490" s="10"/>
      <c r="P490" s="10" t="s">
        <v>637</v>
      </c>
      <c r="Q490" s="11" t="s">
        <v>72</v>
      </c>
      <c r="R490" s="11" t="s">
        <v>2108</v>
      </c>
      <c r="S490" s="11" t="s">
        <v>710</v>
      </c>
      <c r="T490" s="11" t="s">
        <v>2109</v>
      </c>
      <c r="U490" s="10" t="n">
        <f aca="false">IF(AND($D490="",$E490="",$F490=""),1,0)</f>
        <v>0</v>
      </c>
      <c r="V490" s="10" t="n">
        <f aca="false">IF(OR($I490="",$I490="—"),1,0)</f>
        <v>0</v>
      </c>
      <c r="W490" s="10" t="n">
        <f aca="false">IF(AND(ISNUMBER($D490),ISNUMBER($E490)),IF($E490&gt;$D490,1,0),0)+IF(AND(ISNUMBER($D490),ISNUMBER($F490)),IF($D490&gt;$F490,1,0),0)+IF(AND(ISNUMBER($E490),ISNUMBER($F490)),IF($E490&gt;$F490,1,0),0)</f>
        <v>0</v>
      </c>
      <c r="X490" s="13" t="s">
        <v>76</v>
      </c>
    </row>
    <row r="491" customFormat="false" ht="15" hidden="false" customHeight="false" outlineLevel="0" collapsed="false">
      <c r="A491" s="10" t="s">
        <v>2110</v>
      </c>
      <c r="B491" s="10" t="s">
        <v>2111</v>
      </c>
      <c r="C491" s="10" t="s">
        <v>2112</v>
      </c>
      <c r="D491" s="12" t="n">
        <v>148</v>
      </c>
      <c r="E491" s="12"/>
      <c r="F491" s="12"/>
      <c r="G491" s="10" t="s">
        <v>2076</v>
      </c>
      <c r="H491" s="10" t="s">
        <v>2113</v>
      </c>
      <c r="I491" s="10" t="s">
        <v>2114</v>
      </c>
      <c r="J491" s="10" t="s">
        <v>2115</v>
      </c>
      <c r="K491" s="10" t="s">
        <v>2116</v>
      </c>
      <c r="L491" s="10" t="s">
        <v>68</v>
      </c>
      <c r="M491" s="10" t="s">
        <v>69</v>
      </c>
      <c r="N491" s="10"/>
      <c r="O491" s="10"/>
      <c r="P491" s="10" t="s">
        <v>637</v>
      </c>
      <c r="Q491" s="11" t="s">
        <v>72</v>
      </c>
      <c r="R491" s="11" t="s">
        <v>1090</v>
      </c>
      <c r="S491" s="11" t="s">
        <v>710</v>
      </c>
      <c r="T491" s="10" t="s">
        <v>2117</v>
      </c>
      <c r="U491" s="10" t="n">
        <f aca="false">IF(AND($D491="",$E491="",$F491=""),1,0)</f>
        <v>0</v>
      </c>
      <c r="V491" s="10" t="n">
        <f aca="false">IF(OR($I491="",$I491="—"),1,0)</f>
        <v>0</v>
      </c>
      <c r="W491" s="10" t="n">
        <f aca="false">IF(AND(ISNUMBER($D491),ISNUMBER($E491)),IF($E491&gt;$D491,1,0),0)+IF(AND(ISNUMBER($D491),ISNUMBER($F491)),IF($D491&gt;$F491,1,0),0)+IF(AND(ISNUMBER($E491),ISNUMBER($F491)),IF($E491&gt;$F491,1,0),0)</f>
        <v>0</v>
      </c>
      <c r="X491" s="13" t="s">
        <v>76</v>
      </c>
    </row>
    <row r="492" customFormat="false" ht="15" hidden="false" customHeight="false" outlineLevel="0" collapsed="false">
      <c r="A492" s="10" t="s">
        <v>2118</v>
      </c>
      <c r="B492" s="10" t="s">
        <v>2119</v>
      </c>
      <c r="C492" s="10" t="s">
        <v>2120</v>
      </c>
      <c r="D492" s="12" t="n">
        <v>1979</v>
      </c>
      <c r="E492" s="12"/>
      <c r="F492" s="12"/>
      <c r="G492" s="10" t="s">
        <v>2076</v>
      </c>
      <c r="H492" s="10" t="s">
        <v>2121</v>
      </c>
      <c r="I492" s="10" t="s">
        <v>2122</v>
      </c>
      <c r="J492" s="10" t="s">
        <v>2123</v>
      </c>
      <c r="K492" s="10" t="s">
        <v>68</v>
      </c>
      <c r="L492" s="10" t="s">
        <v>68</v>
      </c>
      <c r="M492" s="10" t="s">
        <v>69</v>
      </c>
      <c r="N492" s="10"/>
      <c r="O492" s="10"/>
      <c r="P492" s="10" t="s">
        <v>637</v>
      </c>
      <c r="Q492" s="11" t="s">
        <v>72</v>
      </c>
      <c r="R492" s="11" t="s">
        <v>1090</v>
      </c>
      <c r="S492" s="11" t="s">
        <v>710</v>
      </c>
      <c r="T492" s="11" t="s">
        <v>2124</v>
      </c>
      <c r="U492" s="10" t="n">
        <f aca="false">IF(AND($D492="",$E492="",$F492=""),1,0)</f>
        <v>0</v>
      </c>
      <c r="V492" s="10" t="n">
        <f aca="false">IF(OR($I492="",$I492="—"),1,0)</f>
        <v>0</v>
      </c>
      <c r="W492" s="10" t="n">
        <f aca="false">IF(AND(ISNUMBER($D492),ISNUMBER($E492)),IF($E492&gt;$D492,1,0),0)+IF(AND(ISNUMBER($D492),ISNUMBER($F492)),IF($D492&gt;$F492,1,0),0)+IF(AND(ISNUMBER($E492),ISNUMBER($F492)),IF($E492&gt;$F492,1,0),0)</f>
        <v>0</v>
      </c>
      <c r="X492" s="13" t="s">
        <v>76</v>
      </c>
    </row>
    <row r="493" customFormat="false" ht="15" hidden="false" customHeight="false" outlineLevel="0" collapsed="false">
      <c r="A493" s="10" t="s">
        <v>2125</v>
      </c>
      <c r="B493" s="10" t="s">
        <v>2126</v>
      </c>
      <c r="C493" s="10" t="s">
        <v>2127</v>
      </c>
      <c r="D493" s="12" t="n">
        <v>0.15</v>
      </c>
      <c r="E493" s="12"/>
      <c r="F493" s="12"/>
      <c r="G493" s="11" t="s">
        <v>1709</v>
      </c>
      <c r="H493" s="10" t="s">
        <v>2121</v>
      </c>
      <c r="I493" s="11" t="s">
        <v>2128</v>
      </c>
      <c r="J493" s="10" t="s">
        <v>2123</v>
      </c>
      <c r="K493" s="10" t="s">
        <v>68</v>
      </c>
      <c r="L493" s="10" t="s">
        <v>68</v>
      </c>
      <c r="M493" s="10" t="s">
        <v>636</v>
      </c>
      <c r="N493" s="10"/>
      <c r="O493" s="10"/>
      <c r="P493" s="10" t="s">
        <v>637</v>
      </c>
      <c r="Q493" s="11" t="s">
        <v>638</v>
      </c>
      <c r="R493" s="11" t="s">
        <v>639</v>
      </c>
      <c r="S493" s="11" t="s">
        <v>638</v>
      </c>
      <c r="T493" s="10" t="s">
        <v>2129</v>
      </c>
      <c r="U493" s="10" t="n">
        <f aca="false">IF(AND($D493="",$E493="",$F493=""),1,0)</f>
        <v>0</v>
      </c>
      <c r="V493" s="10" t="n">
        <f aca="false">IF(OR($I493="",$I493="—"),1,0)</f>
        <v>0</v>
      </c>
      <c r="W493" s="10" t="n">
        <f aca="false">IF(AND(ISNUMBER($D493),ISNUMBER($E493)),IF($E493&gt;$D493,1,0),0)+IF(AND(ISNUMBER($D493),ISNUMBER($F493)),IF($D493&gt;$F493,1,0),0)+IF(AND(ISNUMBER($E493),ISNUMBER($F493)),IF($E493&gt;$F493,1,0),0)</f>
        <v>0</v>
      </c>
      <c r="X493" s="13" t="s">
        <v>76</v>
      </c>
    </row>
    <row r="494" customFormat="false" ht="15" hidden="false" customHeight="false" outlineLevel="0" collapsed="false">
      <c r="A494" s="10" t="s">
        <v>2130</v>
      </c>
      <c r="B494" s="10" t="s">
        <v>2131</v>
      </c>
      <c r="C494" s="10" t="s">
        <v>2132</v>
      </c>
      <c r="D494" s="12" t="n">
        <v>0.34</v>
      </c>
      <c r="E494" s="12" t="n">
        <v>0.26</v>
      </c>
      <c r="F494" s="12" t="n">
        <v>0.42</v>
      </c>
      <c r="G494" s="11" t="s">
        <v>1709</v>
      </c>
      <c r="H494" s="10" t="s">
        <v>1266</v>
      </c>
      <c r="I494" s="10" t="s">
        <v>2133</v>
      </c>
      <c r="J494" s="10" t="s">
        <v>2134</v>
      </c>
      <c r="K494" s="10" t="s">
        <v>2135</v>
      </c>
      <c r="L494" s="10" t="s">
        <v>68</v>
      </c>
      <c r="M494" s="10" t="s">
        <v>1308</v>
      </c>
      <c r="N494" s="10"/>
      <c r="O494" s="10"/>
      <c r="P494" s="10" t="s">
        <v>637</v>
      </c>
      <c r="Q494" s="11" t="s">
        <v>1309</v>
      </c>
      <c r="R494" s="11" t="s">
        <v>1310</v>
      </c>
      <c r="S494" s="11" t="s">
        <v>710</v>
      </c>
      <c r="T494" s="10" t="s">
        <v>2136</v>
      </c>
      <c r="U494" s="10" t="n">
        <f aca="false">IF(AND($D494="",$E494="",$F494=""),1,0)</f>
        <v>0</v>
      </c>
      <c r="V494" s="10" t="n">
        <f aca="false">IF(OR($I494="",$I494="—"),1,0)</f>
        <v>0</v>
      </c>
      <c r="W494" s="10" t="n">
        <f aca="false">IF(AND(ISNUMBER($D494),ISNUMBER($E494)),IF($E494&gt;$D494,1,0),0)+IF(AND(ISNUMBER($D494),ISNUMBER($F494)),IF($D494&gt;$F494,1,0),0)+IF(AND(ISNUMBER($E494),ISNUMBER($F494)),IF($E494&gt;$F494,1,0),0)</f>
        <v>0</v>
      </c>
      <c r="X494" s="13" t="s">
        <v>76</v>
      </c>
    </row>
    <row r="495" customFormat="false" ht="15" hidden="false" customHeight="false" outlineLevel="0" collapsed="false">
      <c r="A495" s="10" t="s">
        <v>2137</v>
      </c>
      <c r="B495" s="10" t="s">
        <v>2138</v>
      </c>
      <c r="C495" s="10" t="s">
        <v>2139</v>
      </c>
      <c r="D495" s="12" t="n">
        <v>1.2</v>
      </c>
      <c r="E495" s="12" t="n">
        <v>0.5</v>
      </c>
      <c r="F495" s="12" t="n">
        <v>1.2</v>
      </c>
      <c r="G495" s="11" t="s">
        <v>1700</v>
      </c>
      <c r="H495" s="10" t="s">
        <v>2140</v>
      </c>
      <c r="I495" s="10" t="s">
        <v>2141</v>
      </c>
      <c r="J495" s="10" t="s">
        <v>2142</v>
      </c>
      <c r="K495" s="10" t="s">
        <v>2143</v>
      </c>
      <c r="L495" s="10" t="s">
        <v>68</v>
      </c>
      <c r="M495" s="10" t="s">
        <v>1308</v>
      </c>
      <c r="N495" s="10"/>
      <c r="O495" s="10"/>
      <c r="P495" s="10" t="s">
        <v>637</v>
      </c>
      <c r="Q495" s="11" t="s">
        <v>1309</v>
      </c>
      <c r="R495" s="10" t="s">
        <v>2071</v>
      </c>
      <c r="S495" s="11" t="s">
        <v>1278</v>
      </c>
      <c r="T495" s="11" t="s">
        <v>2144</v>
      </c>
      <c r="U495" s="10" t="n">
        <f aca="false">IF(AND($D495="",$E495="",$F495=""),1,0)</f>
        <v>0</v>
      </c>
      <c r="V495" s="10" t="n">
        <f aca="false">IF(OR($I495="",$I495="—"),1,0)</f>
        <v>0</v>
      </c>
      <c r="W495" s="10" t="n">
        <f aca="false">IF(AND(ISNUMBER($D495),ISNUMBER($E495)),IF($E495&gt;$D495,1,0),0)+IF(AND(ISNUMBER($D495),ISNUMBER($F495)),IF($D495&gt;$F495,1,0),0)+IF(AND(ISNUMBER($E495),ISNUMBER($F495)),IF($E495&gt;$F495,1,0),0)</f>
        <v>0</v>
      </c>
      <c r="X495" s="13" t="s">
        <v>76</v>
      </c>
    </row>
    <row r="496" customFormat="false" ht="15" hidden="false" customHeight="false" outlineLevel="0" collapsed="false">
      <c r="A496" s="10" t="s">
        <v>2145</v>
      </c>
      <c r="B496" s="10" t="s">
        <v>2146</v>
      </c>
      <c r="C496" s="11" t="s">
        <v>2147</v>
      </c>
      <c r="D496" s="12" t="n">
        <v>243.77</v>
      </c>
      <c r="E496" s="12"/>
      <c r="F496" s="12"/>
      <c r="G496" s="10" t="s">
        <v>63</v>
      </c>
      <c r="H496" s="10" t="s">
        <v>2148</v>
      </c>
      <c r="I496" s="11" t="s">
        <v>2149</v>
      </c>
      <c r="J496" s="10" t="s">
        <v>2150</v>
      </c>
      <c r="K496" s="10" t="s">
        <v>2151</v>
      </c>
      <c r="L496" s="10" t="s">
        <v>68</v>
      </c>
      <c r="M496" s="10" t="s">
        <v>69</v>
      </c>
      <c r="N496" s="10"/>
      <c r="O496" s="11" t="s">
        <v>2152</v>
      </c>
      <c r="P496" s="10" t="s">
        <v>637</v>
      </c>
      <c r="Q496" s="11" t="s">
        <v>72</v>
      </c>
      <c r="R496" s="11" t="s">
        <v>73</v>
      </c>
      <c r="S496" s="11" t="s">
        <v>1104</v>
      </c>
      <c r="T496" s="11" t="s">
        <v>2153</v>
      </c>
      <c r="U496" s="10" t="n">
        <f aca="false">IF(AND($D496="",$E496="",$F496=""),1,0)</f>
        <v>0</v>
      </c>
      <c r="V496" s="10" t="n">
        <f aca="false">IF(OR($I496="",$I496="—"),1,0)</f>
        <v>0</v>
      </c>
      <c r="W496" s="10" t="n">
        <f aca="false">IF(AND(ISNUMBER($D496),ISNUMBER($E496)),IF($E496&gt;$D496,1,0),0)+IF(AND(ISNUMBER($D496),ISNUMBER($F496)),IF($D496&gt;$F496,1,0),0)+IF(AND(ISNUMBER($E496),ISNUMBER($F496)),IF($E496&gt;$F496,1,0),0)</f>
        <v>0</v>
      </c>
      <c r="X496" s="13" t="s">
        <v>76</v>
      </c>
    </row>
    <row r="497" customFormat="false" ht="15" hidden="false" customHeight="false" outlineLevel="0" collapsed="false">
      <c r="A497" s="10" t="s">
        <v>2154</v>
      </c>
      <c r="B497" s="10" t="s">
        <v>2155</v>
      </c>
      <c r="C497" s="11" t="s">
        <v>2156</v>
      </c>
      <c r="D497" s="12" t="n">
        <v>83</v>
      </c>
      <c r="E497" s="12" t="n">
        <v>83</v>
      </c>
      <c r="F497" s="12" t="n">
        <v>83.6</v>
      </c>
      <c r="G497" s="10" t="s">
        <v>63</v>
      </c>
      <c r="H497" s="10" t="s">
        <v>2157</v>
      </c>
      <c r="I497" s="11" t="s">
        <v>2158</v>
      </c>
      <c r="J497" s="10" t="s">
        <v>2159</v>
      </c>
      <c r="K497" s="10" t="s">
        <v>2151</v>
      </c>
      <c r="L497" s="10" t="s">
        <v>68</v>
      </c>
      <c r="M497" s="10" t="s">
        <v>69</v>
      </c>
      <c r="N497" s="10"/>
      <c r="O497" s="11" t="s">
        <v>2160</v>
      </c>
      <c r="P497" s="10" t="s">
        <v>637</v>
      </c>
      <c r="Q497" s="11" t="s">
        <v>72</v>
      </c>
      <c r="R497" s="11" t="s">
        <v>1090</v>
      </c>
      <c r="S497" s="11" t="s">
        <v>710</v>
      </c>
      <c r="T497" s="11" t="s">
        <v>2161</v>
      </c>
      <c r="U497" s="10" t="n">
        <f aca="false">IF(AND($D497="",$E497="",$F497=""),1,0)</f>
        <v>0</v>
      </c>
      <c r="V497" s="10" t="n">
        <f aca="false">IF(OR($I497="",$I497="—"),1,0)</f>
        <v>0</v>
      </c>
      <c r="W497" s="10" t="n">
        <f aca="false">IF(AND(ISNUMBER($D497),ISNUMBER($E497)),IF($E497&gt;$D497,1,0),0)+IF(AND(ISNUMBER($D497),ISNUMBER($F497)),IF($D497&gt;$F497,1,0),0)+IF(AND(ISNUMBER($E497),ISNUMBER($F497)),IF($E497&gt;$F497,1,0),0)</f>
        <v>0</v>
      </c>
      <c r="X497" s="13" t="s">
        <v>76</v>
      </c>
    </row>
    <row r="498" customFormat="false" ht="15" hidden="false" customHeight="false" outlineLevel="0" collapsed="false">
      <c r="A498" s="10" t="s">
        <v>2162</v>
      </c>
      <c r="B498" s="10" t="s">
        <v>2163</v>
      </c>
      <c r="C498" s="11" t="s">
        <v>2164</v>
      </c>
      <c r="D498" s="12" t="n">
        <v>83.6</v>
      </c>
      <c r="E498" s="12"/>
      <c r="F498" s="12"/>
      <c r="G498" s="10" t="s">
        <v>63</v>
      </c>
      <c r="H498" s="10" t="s">
        <v>2157</v>
      </c>
      <c r="I498" s="11" t="s">
        <v>2165</v>
      </c>
      <c r="J498" s="10" t="s">
        <v>2166</v>
      </c>
      <c r="K498" s="10" t="s">
        <v>2167</v>
      </c>
      <c r="L498" s="10" t="s">
        <v>68</v>
      </c>
      <c r="M498" s="10" t="s">
        <v>69</v>
      </c>
      <c r="N498" s="10"/>
      <c r="O498" s="11" t="s">
        <v>2160</v>
      </c>
      <c r="P498" s="10" t="s">
        <v>637</v>
      </c>
      <c r="Q498" s="11" t="s">
        <v>72</v>
      </c>
      <c r="R498" s="11" t="s">
        <v>1090</v>
      </c>
      <c r="S498" s="11" t="s">
        <v>710</v>
      </c>
      <c r="T498" s="11" t="s">
        <v>2168</v>
      </c>
      <c r="U498" s="10" t="n">
        <f aca="false">IF(AND($D498="",$E498="",$F498=""),1,0)</f>
        <v>0</v>
      </c>
      <c r="V498" s="10" t="n">
        <f aca="false">IF(OR($I498="",$I498="—"),1,0)</f>
        <v>0</v>
      </c>
      <c r="W498" s="10" t="n">
        <f aca="false">IF(AND(ISNUMBER($D498),ISNUMBER($E498)),IF($E498&gt;$D498,1,0),0)+IF(AND(ISNUMBER($D498),ISNUMBER($F498)),IF($D498&gt;$F498,1,0),0)+IF(AND(ISNUMBER($E498),ISNUMBER($F498)),IF($E498&gt;$F498,1,0),0)</f>
        <v>0</v>
      </c>
      <c r="X498" s="13" t="s">
        <v>76</v>
      </c>
    </row>
    <row r="499" customFormat="false" ht="15" hidden="false" customHeight="false" outlineLevel="0" collapsed="false">
      <c r="A499" s="10" t="s">
        <v>2169</v>
      </c>
      <c r="B499" s="10" t="s">
        <v>2170</v>
      </c>
      <c r="C499" s="11" t="s">
        <v>2171</v>
      </c>
      <c r="D499" s="12" t="n">
        <v>0.4</v>
      </c>
      <c r="E499" s="12"/>
      <c r="F499" s="12"/>
      <c r="G499" s="10" t="s">
        <v>63</v>
      </c>
      <c r="H499" s="10" t="n">
        <v>2019</v>
      </c>
      <c r="I499" s="11" t="s">
        <v>2165</v>
      </c>
      <c r="J499" s="10" t="s">
        <v>2166</v>
      </c>
      <c r="K499" s="10" t="s">
        <v>2167</v>
      </c>
      <c r="L499" s="10" t="s">
        <v>68</v>
      </c>
      <c r="M499" s="10" t="s">
        <v>69</v>
      </c>
      <c r="N499" s="10"/>
      <c r="O499" s="11" t="s">
        <v>2160</v>
      </c>
      <c r="P499" s="10" t="s">
        <v>637</v>
      </c>
      <c r="Q499" s="11" t="s">
        <v>72</v>
      </c>
      <c r="R499" s="11" t="s">
        <v>1090</v>
      </c>
      <c r="S499" s="11" t="s">
        <v>710</v>
      </c>
      <c r="T499" s="11" t="s">
        <v>2172</v>
      </c>
      <c r="U499" s="10" t="n">
        <f aca="false">IF(AND($D499="",$E499="",$F499=""),1,0)</f>
        <v>0</v>
      </c>
      <c r="V499" s="10" t="n">
        <f aca="false">IF(OR($I499="",$I499="—"),1,0)</f>
        <v>0</v>
      </c>
      <c r="W499" s="10" t="n">
        <f aca="false">IF(AND(ISNUMBER($D499),ISNUMBER($E499)),IF($E499&gt;$D499,1,0),0)+IF(AND(ISNUMBER($D499),ISNUMBER($F499)),IF($D499&gt;$F499,1,0),0)+IF(AND(ISNUMBER($E499),ISNUMBER($F499)),IF($E499&gt;$F499,1,0),0)</f>
        <v>0</v>
      </c>
      <c r="X499" s="13" t="s">
        <v>76</v>
      </c>
    </row>
    <row r="500" customFormat="false" ht="15" hidden="false" customHeight="false" outlineLevel="0" collapsed="false">
      <c r="A500" s="10" t="s">
        <v>2173</v>
      </c>
      <c r="B500" s="10" t="s">
        <v>2174</v>
      </c>
      <c r="C500" s="10" t="s">
        <v>2175</v>
      </c>
      <c r="D500" s="12" t="n">
        <v>3.75</v>
      </c>
      <c r="E500" s="12"/>
      <c r="F500" s="12"/>
      <c r="G500" s="10" t="s">
        <v>63</v>
      </c>
      <c r="H500" s="10" t="n">
        <v>2019</v>
      </c>
      <c r="I500" s="11" t="s">
        <v>2165</v>
      </c>
      <c r="J500" s="10" t="s">
        <v>2166</v>
      </c>
      <c r="K500" s="10" t="s">
        <v>2167</v>
      </c>
      <c r="L500" s="10" t="s">
        <v>68</v>
      </c>
      <c r="M500" s="10" t="s">
        <v>69</v>
      </c>
      <c r="N500" s="10"/>
      <c r="O500" s="11" t="s">
        <v>2160</v>
      </c>
      <c r="P500" s="10" t="s">
        <v>637</v>
      </c>
      <c r="Q500" s="11" t="s">
        <v>72</v>
      </c>
      <c r="R500" s="11" t="s">
        <v>1090</v>
      </c>
      <c r="S500" s="11" t="s">
        <v>710</v>
      </c>
      <c r="T500" s="11" t="s">
        <v>2176</v>
      </c>
      <c r="U500" s="10" t="n">
        <f aca="false">IF(AND($D500="",$E500="",$F500=""),1,0)</f>
        <v>0</v>
      </c>
      <c r="V500" s="10" t="n">
        <f aca="false">IF(OR($I500="",$I500="—"),1,0)</f>
        <v>0</v>
      </c>
      <c r="W500" s="10" t="n">
        <f aca="false">IF(AND(ISNUMBER($D500),ISNUMBER($E500)),IF($E500&gt;$D500,1,0),0)+IF(AND(ISNUMBER($D500),ISNUMBER($F500)),IF($D500&gt;$F500,1,0),0)+IF(AND(ISNUMBER($E500),ISNUMBER($F500)),IF($E500&gt;$F500,1,0),0)</f>
        <v>0</v>
      </c>
      <c r="X500" s="13" t="s">
        <v>76</v>
      </c>
    </row>
    <row r="501" customFormat="false" ht="15" hidden="false" customHeight="false" outlineLevel="0" collapsed="false">
      <c r="A501" s="10" t="s">
        <v>2177</v>
      </c>
      <c r="B501" s="10" t="s">
        <v>2178</v>
      </c>
      <c r="C501" s="10" t="s">
        <v>2179</v>
      </c>
      <c r="D501" s="12" t="n">
        <v>1.52</v>
      </c>
      <c r="E501" s="12"/>
      <c r="F501" s="12"/>
      <c r="G501" s="10" t="s">
        <v>63</v>
      </c>
      <c r="H501" s="10" t="s">
        <v>2180</v>
      </c>
      <c r="I501" s="11" t="s">
        <v>2165</v>
      </c>
      <c r="J501" s="10" t="s">
        <v>2166</v>
      </c>
      <c r="K501" s="10" t="s">
        <v>2167</v>
      </c>
      <c r="L501" s="10" t="s">
        <v>68</v>
      </c>
      <c r="M501" s="10" t="s">
        <v>69</v>
      </c>
      <c r="N501" s="10"/>
      <c r="O501" s="11" t="s">
        <v>2160</v>
      </c>
      <c r="P501" s="10" t="s">
        <v>637</v>
      </c>
      <c r="Q501" s="11" t="s">
        <v>72</v>
      </c>
      <c r="R501" s="11" t="s">
        <v>1090</v>
      </c>
      <c r="S501" s="11" t="s">
        <v>710</v>
      </c>
      <c r="T501" s="11" t="s">
        <v>2181</v>
      </c>
      <c r="U501" s="10" t="n">
        <f aca="false">IF(AND($D501="",$E501="",$F501=""),1,0)</f>
        <v>0</v>
      </c>
      <c r="V501" s="10" t="n">
        <f aca="false">IF(OR($I501="",$I501="—"),1,0)</f>
        <v>0</v>
      </c>
      <c r="W501" s="10" t="n">
        <f aca="false">IF(AND(ISNUMBER($D501),ISNUMBER($E501)),IF($E501&gt;$D501,1,0),0)+IF(AND(ISNUMBER($D501),ISNUMBER($F501)),IF($D501&gt;$F501,1,0),0)+IF(AND(ISNUMBER($E501),ISNUMBER($F501)),IF($E501&gt;$F501,1,0),0)</f>
        <v>0</v>
      </c>
      <c r="X501" s="13" t="s">
        <v>76</v>
      </c>
    </row>
    <row r="502" customFormat="false" ht="15" hidden="false" customHeight="false" outlineLevel="0" collapsed="false">
      <c r="A502" s="10" t="s">
        <v>2182</v>
      </c>
      <c r="B502" s="10" t="s">
        <v>2183</v>
      </c>
      <c r="C502" s="10" t="s">
        <v>2184</v>
      </c>
      <c r="D502" s="12" t="n">
        <v>8.5</v>
      </c>
      <c r="E502" s="12"/>
      <c r="F502" s="12"/>
      <c r="G502" s="10" t="s">
        <v>63</v>
      </c>
      <c r="H502" s="10" t="s">
        <v>2180</v>
      </c>
      <c r="I502" s="11" t="s">
        <v>2165</v>
      </c>
      <c r="J502" s="10" t="s">
        <v>2166</v>
      </c>
      <c r="K502" s="10" t="s">
        <v>2167</v>
      </c>
      <c r="L502" s="10" t="s">
        <v>68</v>
      </c>
      <c r="M502" s="10" t="s">
        <v>69</v>
      </c>
      <c r="N502" s="10"/>
      <c r="O502" s="11" t="s">
        <v>2160</v>
      </c>
      <c r="P502" s="10" t="s">
        <v>637</v>
      </c>
      <c r="Q502" s="11" t="s">
        <v>72</v>
      </c>
      <c r="R502" s="11" t="s">
        <v>1090</v>
      </c>
      <c r="S502" s="11" t="s">
        <v>710</v>
      </c>
      <c r="T502" s="10" t="s">
        <v>2185</v>
      </c>
      <c r="U502" s="10" t="n">
        <f aca="false">IF(AND($D502="",$E502="",$F502=""),1,0)</f>
        <v>0</v>
      </c>
      <c r="V502" s="10" t="n">
        <f aca="false">IF(OR($I502="",$I502="—"),1,0)</f>
        <v>0</v>
      </c>
      <c r="W502" s="10" t="n">
        <f aca="false">IF(AND(ISNUMBER($D502),ISNUMBER($E502)),IF($E502&gt;$D502,1,0),0)+IF(AND(ISNUMBER($D502),ISNUMBER($F502)),IF($D502&gt;$F502,1,0),0)+IF(AND(ISNUMBER($E502),ISNUMBER($F502)),IF($E502&gt;$F502,1,0),0)</f>
        <v>0</v>
      </c>
      <c r="X502" s="13" t="s">
        <v>76</v>
      </c>
    </row>
    <row r="503" customFormat="false" ht="15" hidden="false" customHeight="false" outlineLevel="0" collapsed="false">
      <c r="A503" s="10" t="s">
        <v>2186</v>
      </c>
      <c r="B503" s="10" t="s">
        <v>2187</v>
      </c>
      <c r="C503" s="10" t="s">
        <v>2188</v>
      </c>
      <c r="D503" s="12" t="n">
        <v>2.1</v>
      </c>
      <c r="E503" s="12"/>
      <c r="F503" s="12"/>
      <c r="G503" s="10" t="s">
        <v>63</v>
      </c>
      <c r="H503" s="10" t="s">
        <v>2189</v>
      </c>
      <c r="I503" s="11" t="s">
        <v>2165</v>
      </c>
      <c r="J503" s="10" t="s">
        <v>2166</v>
      </c>
      <c r="K503" s="10" t="s">
        <v>2167</v>
      </c>
      <c r="L503" s="10" t="s">
        <v>68</v>
      </c>
      <c r="M503" s="10" t="s">
        <v>69</v>
      </c>
      <c r="N503" s="10"/>
      <c r="O503" s="11" t="s">
        <v>2160</v>
      </c>
      <c r="P503" s="10" t="s">
        <v>637</v>
      </c>
      <c r="Q503" s="11" t="s">
        <v>72</v>
      </c>
      <c r="R503" s="11" t="s">
        <v>1090</v>
      </c>
      <c r="S503" s="11" t="s">
        <v>710</v>
      </c>
      <c r="T503" s="11" t="s">
        <v>2190</v>
      </c>
      <c r="U503" s="10" t="n">
        <f aca="false">IF(AND($D503="",$E503="",$F503=""),1,0)</f>
        <v>0</v>
      </c>
      <c r="V503" s="10" t="n">
        <f aca="false">IF(OR($I503="",$I503="—"),1,0)</f>
        <v>0</v>
      </c>
      <c r="W503" s="10" t="n">
        <f aca="false">IF(AND(ISNUMBER($D503),ISNUMBER($E503)),IF($E503&gt;$D503,1,0),0)+IF(AND(ISNUMBER($D503),ISNUMBER($F503)),IF($D503&gt;$F503,1,0),0)+IF(AND(ISNUMBER($E503),ISNUMBER($F503)),IF($E503&gt;$F503,1,0),0)</f>
        <v>0</v>
      </c>
      <c r="X503" s="13" t="s">
        <v>76</v>
      </c>
    </row>
    <row r="504" customFormat="false" ht="15" hidden="false" customHeight="false" outlineLevel="0" collapsed="false">
      <c r="A504" s="10" t="s">
        <v>2191</v>
      </c>
      <c r="B504" s="10" t="s">
        <v>2192</v>
      </c>
      <c r="C504" s="10" t="s">
        <v>2193</v>
      </c>
      <c r="D504" s="12" t="n">
        <v>21.1</v>
      </c>
      <c r="E504" s="12"/>
      <c r="F504" s="12"/>
      <c r="G504" s="10" t="s">
        <v>63</v>
      </c>
      <c r="H504" s="10" t="s">
        <v>2189</v>
      </c>
      <c r="I504" s="11" t="s">
        <v>2165</v>
      </c>
      <c r="J504" s="10" t="s">
        <v>2166</v>
      </c>
      <c r="K504" s="10" t="s">
        <v>2167</v>
      </c>
      <c r="L504" s="10" t="s">
        <v>68</v>
      </c>
      <c r="M504" s="10" t="s">
        <v>69</v>
      </c>
      <c r="N504" s="10"/>
      <c r="O504" s="11" t="s">
        <v>2160</v>
      </c>
      <c r="P504" s="10" t="s">
        <v>637</v>
      </c>
      <c r="Q504" s="11" t="s">
        <v>72</v>
      </c>
      <c r="R504" s="11" t="s">
        <v>1090</v>
      </c>
      <c r="S504" s="11" t="s">
        <v>710</v>
      </c>
      <c r="T504" s="10" t="s">
        <v>2194</v>
      </c>
      <c r="U504" s="10" t="n">
        <f aca="false">IF(AND($D504="",$E504="",$F504=""),1,0)</f>
        <v>0</v>
      </c>
      <c r="V504" s="10" t="n">
        <f aca="false">IF(OR($I504="",$I504="—"),1,0)</f>
        <v>0</v>
      </c>
      <c r="W504" s="10" t="n">
        <f aca="false">IF(AND(ISNUMBER($D504),ISNUMBER($E504)),IF($E504&gt;$D504,1,0),0)+IF(AND(ISNUMBER($D504),ISNUMBER($F504)),IF($D504&gt;$F504,1,0),0)+IF(AND(ISNUMBER($E504),ISNUMBER($F504)),IF($E504&gt;$F504,1,0),0)</f>
        <v>0</v>
      </c>
      <c r="X504" s="13" t="s">
        <v>76</v>
      </c>
    </row>
    <row r="505" customFormat="false" ht="15" hidden="false" customHeight="false" outlineLevel="0" collapsed="false">
      <c r="A505" s="10" t="s">
        <v>2195</v>
      </c>
      <c r="B505" s="10" t="s">
        <v>2196</v>
      </c>
      <c r="C505" s="10" t="s">
        <v>2197</v>
      </c>
      <c r="D505" s="12" t="n">
        <v>3</v>
      </c>
      <c r="E505" s="12"/>
      <c r="F505" s="12"/>
      <c r="G505" s="10" t="s">
        <v>63</v>
      </c>
      <c r="H505" s="10" t="s">
        <v>2198</v>
      </c>
      <c r="I505" s="11" t="s">
        <v>2165</v>
      </c>
      <c r="J505" s="10" t="s">
        <v>2166</v>
      </c>
      <c r="K505" s="10" t="s">
        <v>2167</v>
      </c>
      <c r="L505" s="10" t="s">
        <v>68</v>
      </c>
      <c r="M505" s="10" t="s">
        <v>69</v>
      </c>
      <c r="N505" s="10"/>
      <c r="O505" s="11" t="s">
        <v>2160</v>
      </c>
      <c r="P505" s="10" t="s">
        <v>637</v>
      </c>
      <c r="Q505" s="11" t="s">
        <v>72</v>
      </c>
      <c r="R505" s="11" t="s">
        <v>1090</v>
      </c>
      <c r="S505" s="11" t="s">
        <v>710</v>
      </c>
      <c r="T505" s="11" t="s">
        <v>2199</v>
      </c>
      <c r="U505" s="10" t="n">
        <f aca="false">IF(AND($D505="",$E505="",$F505=""),1,0)</f>
        <v>0</v>
      </c>
      <c r="V505" s="10" t="n">
        <f aca="false">IF(OR($I505="",$I505="—"),1,0)</f>
        <v>0</v>
      </c>
      <c r="W505" s="10" t="n">
        <f aca="false">IF(AND(ISNUMBER($D505),ISNUMBER($E505)),IF($E505&gt;$D505,1,0),0)+IF(AND(ISNUMBER($D505),ISNUMBER($F505)),IF($D505&gt;$F505,1,0),0)+IF(AND(ISNUMBER($E505),ISNUMBER($F505)),IF($E505&gt;$F505,1,0),0)</f>
        <v>0</v>
      </c>
      <c r="X505" s="13" t="s">
        <v>76</v>
      </c>
    </row>
    <row r="506" customFormat="false" ht="15" hidden="false" customHeight="false" outlineLevel="0" collapsed="false">
      <c r="A506" s="10" t="s">
        <v>2200</v>
      </c>
      <c r="B506" s="10" t="s">
        <v>2201</v>
      </c>
      <c r="C506" s="11" t="s">
        <v>2202</v>
      </c>
      <c r="D506" s="12" t="n">
        <v>6</v>
      </c>
      <c r="E506" s="12"/>
      <c r="F506" s="12"/>
      <c r="G506" s="10" t="s">
        <v>63</v>
      </c>
      <c r="H506" s="10" t="s">
        <v>2203</v>
      </c>
      <c r="I506" s="11" t="s">
        <v>2165</v>
      </c>
      <c r="J506" s="10" t="s">
        <v>2166</v>
      </c>
      <c r="K506" s="10" t="s">
        <v>2167</v>
      </c>
      <c r="L506" s="10" t="s">
        <v>68</v>
      </c>
      <c r="M506" s="10" t="s">
        <v>69</v>
      </c>
      <c r="N506" s="10"/>
      <c r="O506" s="11" t="s">
        <v>2160</v>
      </c>
      <c r="P506" s="10" t="s">
        <v>637</v>
      </c>
      <c r="Q506" s="11" t="s">
        <v>72</v>
      </c>
      <c r="R506" s="11" t="s">
        <v>1090</v>
      </c>
      <c r="S506" s="11" t="s">
        <v>710</v>
      </c>
      <c r="T506" s="11" t="s">
        <v>2204</v>
      </c>
      <c r="U506" s="10" t="n">
        <f aca="false">IF(AND($D506="",$E506="",$F506=""),1,0)</f>
        <v>0</v>
      </c>
      <c r="V506" s="10" t="n">
        <f aca="false">IF(OR($I506="",$I506="—"),1,0)</f>
        <v>0</v>
      </c>
      <c r="W506" s="10" t="n">
        <f aca="false">IF(AND(ISNUMBER($D506),ISNUMBER($E506)),IF($E506&gt;$D506,1,0),0)+IF(AND(ISNUMBER($D506),ISNUMBER($F506)),IF($D506&gt;$F506,1,0),0)+IF(AND(ISNUMBER($E506),ISNUMBER($F506)),IF($E506&gt;$F506,1,0),0)</f>
        <v>0</v>
      </c>
      <c r="X506" s="13" t="s">
        <v>76</v>
      </c>
    </row>
    <row r="507" customFormat="false" ht="15" hidden="false" customHeight="false" outlineLevel="0" collapsed="false">
      <c r="A507" s="10" t="s">
        <v>2205</v>
      </c>
      <c r="B507" s="10" t="s">
        <v>2206</v>
      </c>
      <c r="C507" s="10" t="s">
        <v>2207</v>
      </c>
      <c r="D507" s="12" t="n">
        <v>2</v>
      </c>
      <c r="E507" s="12"/>
      <c r="F507" s="12"/>
      <c r="G507" s="10" t="s">
        <v>63</v>
      </c>
      <c r="H507" s="10" t="s">
        <v>2208</v>
      </c>
      <c r="I507" s="11" t="s">
        <v>2165</v>
      </c>
      <c r="J507" s="10" t="s">
        <v>2166</v>
      </c>
      <c r="K507" s="10" t="s">
        <v>2167</v>
      </c>
      <c r="L507" s="10" t="s">
        <v>68</v>
      </c>
      <c r="M507" s="10" t="s">
        <v>69</v>
      </c>
      <c r="N507" s="10"/>
      <c r="O507" s="11" t="s">
        <v>2160</v>
      </c>
      <c r="P507" s="10" t="s">
        <v>637</v>
      </c>
      <c r="Q507" s="11" t="s">
        <v>72</v>
      </c>
      <c r="R507" s="11" t="s">
        <v>1090</v>
      </c>
      <c r="S507" s="11" t="s">
        <v>710</v>
      </c>
      <c r="T507" s="11" t="s">
        <v>2209</v>
      </c>
      <c r="U507" s="10" t="n">
        <f aca="false">IF(AND($D507="",$E507="",$F507=""),1,0)</f>
        <v>0</v>
      </c>
      <c r="V507" s="10" t="n">
        <f aca="false">IF(OR($I507="",$I507="—"),1,0)</f>
        <v>0</v>
      </c>
      <c r="W507" s="10" t="n">
        <f aca="false">IF(AND(ISNUMBER($D507),ISNUMBER($E507)),IF($E507&gt;$D507,1,0),0)+IF(AND(ISNUMBER($D507),ISNUMBER($F507)),IF($D507&gt;$F507,1,0),0)+IF(AND(ISNUMBER($E507),ISNUMBER($F507)),IF($E507&gt;$F507,1,0),0)</f>
        <v>0</v>
      </c>
      <c r="X507" s="13" t="s">
        <v>76</v>
      </c>
    </row>
    <row r="508" customFormat="false" ht="15" hidden="false" customHeight="false" outlineLevel="0" collapsed="false">
      <c r="A508" s="10" t="s">
        <v>2210</v>
      </c>
      <c r="B508" s="10" t="s">
        <v>2211</v>
      </c>
      <c r="C508" s="10" t="s">
        <v>2212</v>
      </c>
      <c r="D508" s="12" t="n">
        <v>1.5</v>
      </c>
      <c r="E508" s="12"/>
      <c r="F508" s="12"/>
      <c r="G508" s="10" t="s">
        <v>63</v>
      </c>
      <c r="H508" s="10" t="s">
        <v>2208</v>
      </c>
      <c r="I508" s="11" t="s">
        <v>2165</v>
      </c>
      <c r="J508" s="10" t="s">
        <v>2166</v>
      </c>
      <c r="K508" s="10" t="s">
        <v>2167</v>
      </c>
      <c r="L508" s="10" t="s">
        <v>68</v>
      </c>
      <c r="M508" s="10" t="s">
        <v>69</v>
      </c>
      <c r="N508" s="10"/>
      <c r="O508" s="11" t="s">
        <v>2160</v>
      </c>
      <c r="P508" s="10" t="s">
        <v>637</v>
      </c>
      <c r="Q508" s="11" t="s">
        <v>72</v>
      </c>
      <c r="R508" s="11" t="s">
        <v>1090</v>
      </c>
      <c r="S508" s="11" t="s">
        <v>710</v>
      </c>
      <c r="T508" s="11" t="s">
        <v>2213</v>
      </c>
      <c r="U508" s="10" t="n">
        <f aca="false">IF(AND($D508="",$E508="",$F508=""),1,0)</f>
        <v>0</v>
      </c>
      <c r="V508" s="10" t="n">
        <f aca="false">IF(OR($I508="",$I508="—"),1,0)</f>
        <v>0</v>
      </c>
      <c r="W508" s="10" t="n">
        <f aca="false">IF(AND(ISNUMBER($D508),ISNUMBER($E508)),IF($E508&gt;$D508,1,0),0)+IF(AND(ISNUMBER($D508),ISNUMBER($F508)),IF($D508&gt;$F508,1,0),0)+IF(AND(ISNUMBER($E508),ISNUMBER($F508)),IF($E508&gt;$F508,1,0),0)</f>
        <v>0</v>
      </c>
      <c r="X508" s="13" t="s">
        <v>76</v>
      </c>
    </row>
    <row r="509" customFormat="false" ht="15" hidden="false" customHeight="false" outlineLevel="0" collapsed="false">
      <c r="A509" s="10" t="s">
        <v>2214</v>
      </c>
      <c r="B509" s="10" t="s">
        <v>2215</v>
      </c>
      <c r="C509" s="10" t="s">
        <v>2216</v>
      </c>
      <c r="D509" s="12"/>
      <c r="E509" s="12" t="n">
        <v>25</v>
      </c>
      <c r="F509" s="12"/>
      <c r="G509" s="10" t="s">
        <v>63</v>
      </c>
      <c r="H509" s="10" t="s">
        <v>79</v>
      </c>
      <c r="I509" s="11" t="s">
        <v>2217</v>
      </c>
      <c r="J509" s="10" t="s">
        <v>2218</v>
      </c>
      <c r="K509" s="10" t="s">
        <v>2219</v>
      </c>
      <c r="L509" s="10" t="s">
        <v>68</v>
      </c>
      <c r="M509" s="10" t="s">
        <v>416</v>
      </c>
      <c r="N509" s="11" t="s">
        <v>2220</v>
      </c>
      <c r="O509" s="11" t="s">
        <v>2221</v>
      </c>
      <c r="P509" s="10" t="s">
        <v>637</v>
      </c>
      <c r="Q509" s="11" t="s">
        <v>72</v>
      </c>
      <c r="R509" s="11" t="s">
        <v>2220</v>
      </c>
      <c r="S509" s="11" t="s">
        <v>1278</v>
      </c>
      <c r="T509" s="11" t="s">
        <v>2222</v>
      </c>
      <c r="U509" s="10" t="n">
        <f aca="false">IF(AND($D509="",$E509="",$F509=""),1,0)</f>
        <v>0</v>
      </c>
      <c r="V509" s="10" t="n">
        <f aca="false">IF(OR($I509="",$I509="—"),1,0)</f>
        <v>0</v>
      </c>
      <c r="W509" s="10" t="n">
        <f aca="false">IF(AND(ISNUMBER($D509),ISNUMBER($E509)),IF($E509&gt;$D509,1,0),0)+IF(AND(ISNUMBER($D509),ISNUMBER($F509)),IF($D509&gt;$F509,1,0),0)+IF(AND(ISNUMBER($E509),ISNUMBER($F509)),IF($E509&gt;$F509,1,0),0)</f>
        <v>0</v>
      </c>
      <c r="X509" s="13" t="s">
        <v>76</v>
      </c>
    </row>
    <row r="510" customFormat="false" ht="15" hidden="false" customHeight="false" outlineLevel="0" collapsed="false">
      <c r="A510" s="10" t="s">
        <v>2223</v>
      </c>
      <c r="B510" s="10" t="s">
        <v>2224</v>
      </c>
      <c r="C510" s="10" t="s">
        <v>2225</v>
      </c>
      <c r="D510" s="12" t="n">
        <v>400</v>
      </c>
      <c r="E510" s="12"/>
      <c r="F510" s="12"/>
      <c r="G510" s="10" t="s">
        <v>2226</v>
      </c>
      <c r="H510" s="10" t="s">
        <v>2227</v>
      </c>
      <c r="I510" s="10" t="s">
        <v>2228</v>
      </c>
      <c r="J510" s="10" t="s">
        <v>2229</v>
      </c>
      <c r="K510" s="10" t="s">
        <v>2230</v>
      </c>
      <c r="L510" s="10" t="s">
        <v>68</v>
      </c>
      <c r="M510" s="10" t="s">
        <v>416</v>
      </c>
      <c r="N510" s="10" t="s">
        <v>2231</v>
      </c>
      <c r="O510" s="11" t="s">
        <v>2232</v>
      </c>
      <c r="P510" s="10" t="s">
        <v>637</v>
      </c>
      <c r="Q510" s="11" t="s">
        <v>72</v>
      </c>
      <c r="R510" s="10" t="s">
        <v>2231</v>
      </c>
      <c r="S510" s="11" t="s">
        <v>710</v>
      </c>
      <c r="T510" s="11" t="s">
        <v>2233</v>
      </c>
      <c r="U510" s="10" t="n">
        <f aca="false">IF(AND($D510="",$E510="",$F510=""),1,0)</f>
        <v>0</v>
      </c>
      <c r="V510" s="10" t="n">
        <f aca="false">IF(OR($I510="",$I510="—"),1,0)</f>
        <v>0</v>
      </c>
      <c r="W510" s="10" t="n">
        <f aca="false">IF(AND(ISNUMBER($D510),ISNUMBER($E510)),IF($E510&gt;$D510,1,0),0)+IF(AND(ISNUMBER($D510),ISNUMBER($F510)),IF($D510&gt;$F510,1,0),0)+IF(AND(ISNUMBER($E510),ISNUMBER($F510)),IF($E510&gt;$F510,1,0),0)</f>
        <v>0</v>
      </c>
      <c r="X510" s="13" t="s">
        <v>76</v>
      </c>
    </row>
    <row r="511" customFormat="false" ht="15" hidden="false" customHeight="false" outlineLevel="0" collapsed="false">
      <c r="A511" s="10" t="s">
        <v>2234</v>
      </c>
      <c r="B511" s="10" t="s">
        <v>2235</v>
      </c>
      <c r="C511" s="10" t="s">
        <v>2236</v>
      </c>
      <c r="D511" s="12" t="n">
        <v>3</v>
      </c>
      <c r="E511" s="12"/>
      <c r="F511" s="12"/>
      <c r="G511" s="10" t="s">
        <v>2237</v>
      </c>
      <c r="H511" s="10" t="s">
        <v>2227</v>
      </c>
      <c r="I511" s="10" t="s">
        <v>2228</v>
      </c>
      <c r="J511" s="10" t="s">
        <v>2229</v>
      </c>
      <c r="K511" s="10" t="s">
        <v>2230</v>
      </c>
      <c r="L511" s="10" t="s">
        <v>68</v>
      </c>
      <c r="M511" s="10" t="s">
        <v>416</v>
      </c>
      <c r="N511" s="10" t="s">
        <v>2238</v>
      </c>
      <c r="O511" s="11" t="s">
        <v>2232</v>
      </c>
      <c r="P511" s="10" t="s">
        <v>637</v>
      </c>
      <c r="Q511" s="11" t="s">
        <v>72</v>
      </c>
      <c r="R511" s="10" t="s">
        <v>2238</v>
      </c>
      <c r="S511" s="11" t="s">
        <v>710</v>
      </c>
      <c r="T511" s="11" t="s">
        <v>2239</v>
      </c>
      <c r="U511" s="10" t="n">
        <f aca="false">IF(AND($D511="",$E511="",$F511=""),1,0)</f>
        <v>0</v>
      </c>
      <c r="V511" s="10" t="n">
        <f aca="false">IF(OR($I511="",$I511="—"),1,0)</f>
        <v>0</v>
      </c>
      <c r="W511" s="10" t="n">
        <f aca="false">IF(AND(ISNUMBER($D511),ISNUMBER($E511)),IF($E511&gt;$D511,1,0),0)+IF(AND(ISNUMBER($D511),ISNUMBER($F511)),IF($D511&gt;$F511,1,0),0)+IF(AND(ISNUMBER($E511),ISNUMBER($F511)),IF($E511&gt;$F511,1,0),0)</f>
        <v>0</v>
      </c>
      <c r="X511" s="13" t="s">
        <v>76</v>
      </c>
    </row>
    <row r="512" customFormat="false" ht="15" hidden="false" customHeight="false" outlineLevel="0" collapsed="false">
      <c r="A512" s="10" t="s">
        <v>2240</v>
      </c>
      <c r="B512" s="10" t="s">
        <v>2241</v>
      </c>
      <c r="C512" s="10" t="s">
        <v>2242</v>
      </c>
      <c r="D512" s="12" t="n">
        <v>200</v>
      </c>
      <c r="E512" s="12"/>
      <c r="F512" s="12"/>
      <c r="G512" s="10" t="s">
        <v>63</v>
      </c>
      <c r="H512" s="10" t="s">
        <v>2243</v>
      </c>
      <c r="I512" s="11" t="s">
        <v>2244</v>
      </c>
      <c r="J512" s="10" t="s">
        <v>2245</v>
      </c>
      <c r="K512" s="10" t="s">
        <v>2246</v>
      </c>
      <c r="L512" s="10" t="s">
        <v>68</v>
      </c>
      <c r="M512" s="10" t="s">
        <v>416</v>
      </c>
      <c r="N512" s="11" t="s">
        <v>2247</v>
      </c>
      <c r="O512" s="11" t="s">
        <v>2248</v>
      </c>
      <c r="P512" s="10" t="s">
        <v>637</v>
      </c>
      <c r="Q512" s="11" t="s">
        <v>72</v>
      </c>
      <c r="R512" s="11" t="s">
        <v>2247</v>
      </c>
      <c r="S512" s="11" t="s">
        <v>710</v>
      </c>
      <c r="T512" s="11" t="s">
        <v>2249</v>
      </c>
      <c r="U512" s="10" t="n">
        <f aca="false">IF(AND($D512="",$E512="",$F512=""),1,0)</f>
        <v>0</v>
      </c>
      <c r="V512" s="10" t="n">
        <f aca="false">IF(OR($I512="",$I512="—"),1,0)</f>
        <v>0</v>
      </c>
      <c r="W512" s="10" t="n">
        <f aca="false">IF(AND(ISNUMBER($D512),ISNUMBER($E512)),IF($E512&gt;$D512,1,0),0)+IF(AND(ISNUMBER($D512),ISNUMBER($F512)),IF($D512&gt;$F512,1,0),0)+IF(AND(ISNUMBER($E512),ISNUMBER($F512)),IF($E512&gt;$F512,1,0),0)</f>
        <v>0</v>
      </c>
      <c r="X512" s="13" t="s">
        <v>76</v>
      </c>
    </row>
    <row r="513" customFormat="false" ht="15" hidden="false" customHeight="false" outlineLevel="0" collapsed="false">
      <c r="A513" s="10" t="s">
        <v>2250</v>
      </c>
      <c r="B513" s="10" t="s">
        <v>2251</v>
      </c>
      <c r="C513" s="10" t="s">
        <v>2252</v>
      </c>
      <c r="D513" s="12" t="n">
        <v>30</v>
      </c>
      <c r="E513" s="12"/>
      <c r="F513" s="12"/>
      <c r="G513" s="10" t="s">
        <v>63</v>
      </c>
      <c r="H513" s="10" t="s">
        <v>2253</v>
      </c>
      <c r="I513" s="11" t="s">
        <v>2244</v>
      </c>
      <c r="J513" s="10" t="s">
        <v>2245</v>
      </c>
      <c r="K513" s="10" t="s">
        <v>2246</v>
      </c>
      <c r="L513" s="10" t="s">
        <v>68</v>
      </c>
      <c r="M513" s="10" t="s">
        <v>416</v>
      </c>
      <c r="N513" s="11" t="s">
        <v>2254</v>
      </c>
      <c r="O513" s="11" t="s">
        <v>2248</v>
      </c>
      <c r="P513" s="10" t="s">
        <v>637</v>
      </c>
      <c r="Q513" s="11" t="s">
        <v>72</v>
      </c>
      <c r="R513" s="11" t="s">
        <v>2254</v>
      </c>
      <c r="S513" s="11" t="s">
        <v>710</v>
      </c>
      <c r="T513" s="11" t="s">
        <v>2255</v>
      </c>
      <c r="U513" s="10" t="n">
        <f aca="false">IF(AND($D513="",$E513="",$F513=""),1,0)</f>
        <v>0</v>
      </c>
      <c r="V513" s="10" t="n">
        <f aca="false">IF(OR($I513="",$I513="—"),1,0)</f>
        <v>0</v>
      </c>
      <c r="W513" s="10" t="n">
        <f aca="false">IF(AND(ISNUMBER($D513),ISNUMBER($E513)),IF($E513&gt;$D513,1,0),0)+IF(AND(ISNUMBER($D513),ISNUMBER($F513)),IF($D513&gt;$F513,1,0),0)+IF(AND(ISNUMBER($E513),ISNUMBER($F513)),IF($E513&gt;$F513,1,0),0)</f>
        <v>0</v>
      </c>
      <c r="X513" s="13" t="s">
        <v>76</v>
      </c>
    </row>
    <row r="514" customFormat="false" ht="15" hidden="false" customHeight="false" outlineLevel="0" collapsed="false">
      <c r="A514" s="10" t="s">
        <v>2256</v>
      </c>
      <c r="B514" s="10" t="s">
        <v>2257</v>
      </c>
      <c r="C514" s="10" t="s">
        <v>2258</v>
      </c>
      <c r="D514" s="12"/>
      <c r="E514" s="12" t="n">
        <v>10</v>
      </c>
      <c r="F514" s="12"/>
      <c r="G514" s="10" t="s">
        <v>63</v>
      </c>
      <c r="H514" s="10" t="s">
        <v>2259</v>
      </c>
      <c r="I514" s="11" t="s">
        <v>2260</v>
      </c>
      <c r="J514" s="10" t="s">
        <v>2261</v>
      </c>
      <c r="K514" s="10" t="s">
        <v>2259</v>
      </c>
      <c r="L514" s="10" t="s">
        <v>68</v>
      </c>
      <c r="M514" s="10" t="s">
        <v>416</v>
      </c>
      <c r="N514" s="11" t="s">
        <v>2262</v>
      </c>
      <c r="O514" s="11" t="s">
        <v>2248</v>
      </c>
      <c r="P514" s="10" t="s">
        <v>637</v>
      </c>
      <c r="Q514" s="11" t="s">
        <v>72</v>
      </c>
      <c r="R514" s="11" t="s">
        <v>2262</v>
      </c>
      <c r="S514" s="11" t="s">
        <v>1278</v>
      </c>
      <c r="T514" s="11" t="s">
        <v>2263</v>
      </c>
      <c r="U514" s="10" t="n">
        <f aca="false">IF(AND($D514="",$E514="",$F514=""),1,0)</f>
        <v>0</v>
      </c>
      <c r="V514" s="10" t="n">
        <f aca="false">IF(OR($I514="",$I514="—"),1,0)</f>
        <v>0</v>
      </c>
      <c r="W514" s="10" t="n">
        <f aca="false">IF(AND(ISNUMBER($D514),ISNUMBER($E514)),IF($E514&gt;$D514,1,0),0)+IF(AND(ISNUMBER($D514),ISNUMBER($F514)),IF($D514&gt;$F514,1,0),0)+IF(AND(ISNUMBER($E514),ISNUMBER($F514)),IF($E514&gt;$F514,1,0),0)</f>
        <v>0</v>
      </c>
      <c r="X514" s="13" t="s">
        <v>76</v>
      </c>
    </row>
    <row r="515" customFormat="false" ht="15" hidden="false" customHeight="false" outlineLevel="0" collapsed="false">
      <c r="A515" s="10" t="s">
        <v>2264</v>
      </c>
      <c r="B515" s="10" t="s">
        <v>2265</v>
      </c>
      <c r="C515" s="10" t="s">
        <v>2266</v>
      </c>
      <c r="D515" s="12" t="n">
        <v>5</v>
      </c>
      <c r="E515" s="12"/>
      <c r="F515" s="12"/>
      <c r="G515" s="10" t="s">
        <v>63</v>
      </c>
      <c r="H515" s="10" t="s">
        <v>2267</v>
      </c>
      <c r="I515" s="11" t="s">
        <v>2260</v>
      </c>
      <c r="J515" s="10" t="s">
        <v>2268</v>
      </c>
      <c r="K515" s="10" t="s">
        <v>2269</v>
      </c>
      <c r="L515" s="10" t="s">
        <v>68</v>
      </c>
      <c r="M515" s="10" t="s">
        <v>416</v>
      </c>
      <c r="N515" s="11" t="s">
        <v>2270</v>
      </c>
      <c r="O515" s="11" t="s">
        <v>2248</v>
      </c>
      <c r="P515" s="10" t="s">
        <v>637</v>
      </c>
      <c r="Q515" s="11" t="s">
        <v>72</v>
      </c>
      <c r="R515" s="11" t="s">
        <v>2270</v>
      </c>
      <c r="S515" s="11" t="s">
        <v>1278</v>
      </c>
      <c r="T515" s="11" t="s">
        <v>2271</v>
      </c>
      <c r="U515" s="10" t="n">
        <f aca="false">IF(AND($D515="",$E515="",$F515=""),1,0)</f>
        <v>0</v>
      </c>
      <c r="V515" s="10" t="n">
        <f aca="false">IF(OR($I515="",$I515="—"),1,0)</f>
        <v>0</v>
      </c>
      <c r="W515" s="10" t="n">
        <f aca="false">IF(AND(ISNUMBER($D515),ISNUMBER($E515)),IF($E515&gt;$D515,1,0),0)+IF(AND(ISNUMBER($D515),ISNUMBER($F515)),IF($D515&gt;$F515,1,0),0)+IF(AND(ISNUMBER($E515),ISNUMBER($F515)),IF($E515&gt;$F515,1,0),0)</f>
        <v>0</v>
      </c>
      <c r="X515" s="13" t="s">
        <v>76</v>
      </c>
    </row>
    <row r="516" customFormat="false" ht="15" hidden="false" customHeight="false" outlineLevel="0" collapsed="false">
      <c r="A516" s="10" t="s">
        <v>2272</v>
      </c>
      <c r="B516" s="10" t="s">
        <v>2273</v>
      </c>
      <c r="C516" s="10" t="s">
        <v>2274</v>
      </c>
      <c r="D516" s="12" t="n">
        <v>3</v>
      </c>
      <c r="E516" s="12"/>
      <c r="F516" s="12"/>
      <c r="G516" s="10" t="s">
        <v>63</v>
      </c>
      <c r="H516" s="10" t="s">
        <v>2275</v>
      </c>
      <c r="I516" s="10" t="s">
        <v>2276</v>
      </c>
      <c r="J516" s="10" t="s">
        <v>2277</v>
      </c>
      <c r="K516" s="10" t="s">
        <v>2275</v>
      </c>
      <c r="L516" s="10" t="s">
        <v>68</v>
      </c>
      <c r="M516" s="10" t="s">
        <v>416</v>
      </c>
      <c r="N516" s="11" t="s">
        <v>2278</v>
      </c>
      <c r="O516" s="11" t="s">
        <v>2248</v>
      </c>
      <c r="P516" s="10" t="s">
        <v>637</v>
      </c>
      <c r="Q516" s="11" t="s">
        <v>72</v>
      </c>
      <c r="R516" s="11" t="s">
        <v>2278</v>
      </c>
      <c r="S516" s="11" t="s">
        <v>710</v>
      </c>
      <c r="T516" s="11" t="s">
        <v>2279</v>
      </c>
      <c r="U516" s="10" t="n">
        <f aca="false">IF(AND($D516="",$E516="",$F516=""),1,0)</f>
        <v>0</v>
      </c>
      <c r="V516" s="10" t="n">
        <f aca="false">IF(OR($I516="",$I516="—"),1,0)</f>
        <v>0</v>
      </c>
      <c r="W516" s="10" t="n">
        <f aca="false">IF(AND(ISNUMBER($D516),ISNUMBER($E516)),IF($E516&gt;$D516,1,0),0)+IF(AND(ISNUMBER($D516),ISNUMBER($F516)),IF($D516&gt;$F516,1,0),0)+IF(AND(ISNUMBER($E516),ISNUMBER($F516)),IF($E516&gt;$F516,1,0),0)</f>
        <v>0</v>
      </c>
      <c r="X516" s="13" t="s">
        <v>76</v>
      </c>
    </row>
    <row r="517" customFormat="false" ht="15" hidden="false" customHeight="false" outlineLevel="0" collapsed="false">
      <c r="A517" s="10" t="s">
        <v>2280</v>
      </c>
      <c r="B517" s="10" t="s">
        <v>2281</v>
      </c>
      <c r="C517" s="10" t="s">
        <v>2282</v>
      </c>
      <c r="D517" s="12" t="n">
        <v>10</v>
      </c>
      <c r="E517" s="12"/>
      <c r="F517" s="12"/>
      <c r="G517" s="10" t="s">
        <v>63</v>
      </c>
      <c r="H517" s="10" t="s">
        <v>2283</v>
      </c>
      <c r="I517" s="10" t="s">
        <v>2284</v>
      </c>
      <c r="J517" s="10" t="s">
        <v>2285</v>
      </c>
      <c r="K517" s="10" t="s">
        <v>2286</v>
      </c>
      <c r="L517" s="10" t="s">
        <v>68</v>
      </c>
      <c r="M517" s="10" t="s">
        <v>416</v>
      </c>
      <c r="N517" s="11" t="s">
        <v>2287</v>
      </c>
      <c r="O517" s="11" t="s">
        <v>2248</v>
      </c>
      <c r="P517" s="10" t="s">
        <v>637</v>
      </c>
      <c r="Q517" s="11" t="s">
        <v>72</v>
      </c>
      <c r="R517" s="11" t="s">
        <v>2287</v>
      </c>
      <c r="S517" s="11" t="s">
        <v>1278</v>
      </c>
      <c r="T517" s="11" t="s">
        <v>2288</v>
      </c>
      <c r="U517" s="10" t="n">
        <f aca="false">IF(AND($D517="",$E517="",$F517=""),1,0)</f>
        <v>0</v>
      </c>
      <c r="V517" s="10" t="n">
        <f aca="false">IF(OR($I517="",$I517="—"),1,0)</f>
        <v>0</v>
      </c>
      <c r="W517" s="10" t="n">
        <f aca="false">IF(AND(ISNUMBER($D517),ISNUMBER($E517)),IF($E517&gt;$D517,1,0),0)+IF(AND(ISNUMBER($D517),ISNUMBER($F517)),IF($D517&gt;$F517,1,0),0)+IF(AND(ISNUMBER($E517),ISNUMBER($F517)),IF($E517&gt;$F517,1,0),0)</f>
        <v>0</v>
      </c>
      <c r="X517" s="13" t="s">
        <v>76</v>
      </c>
    </row>
    <row r="518" customFormat="false" ht="15" hidden="false" customHeight="false" outlineLevel="0" collapsed="false">
      <c r="A518" s="10" t="s">
        <v>2289</v>
      </c>
      <c r="B518" s="10" t="s">
        <v>2290</v>
      </c>
      <c r="C518" s="11" t="s">
        <v>2291</v>
      </c>
      <c r="D518" s="12"/>
      <c r="E518" s="12" t="n">
        <v>20</v>
      </c>
      <c r="F518" s="12"/>
      <c r="G518" s="10" t="s">
        <v>63</v>
      </c>
      <c r="H518" s="10" t="s">
        <v>2292</v>
      </c>
      <c r="I518" s="11" t="s">
        <v>2165</v>
      </c>
      <c r="J518" s="10" t="s">
        <v>2166</v>
      </c>
      <c r="K518" s="10" t="s">
        <v>2167</v>
      </c>
      <c r="L518" s="10" t="s">
        <v>68</v>
      </c>
      <c r="M518" s="10" t="s">
        <v>69</v>
      </c>
      <c r="N518" s="10"/>
      <c r="O518" s="11" t="s">
        <v>2160</v>
      </c>
      <c r="P518" s="10" t="s">
        <v>637</v>
      </c>
      <c r="Q518" s="11" t="s">
        <v>72</v>
      </c>
      <c r="R518" s="11" t="s">
        <v>1090</v>
      </c>
      <c r="S518" s="11" t="s">
        <v>710</v>
      </c>
      <c r="T518" s="11" t="s">
        <v>2293</v>
      </c>
      <c r="U518" s="10" t="n">
        <f aca="false">IF(AND($D518="",$E518="",$F518=""),1,0)</f>
        <v>0</v>
      </c>
      <c r="V518" s="10" t="n">
        <f aca="false">IF(OR($I518="",$I518="—"),1,0)</f>
        <v>0</v>
      </c>
      <c r="W518" s="10" t="n">
        <f aca="false">IF(AND(ISNUMBER($D518),ISNUMBER($E518)),IF($E518&gt;$D518,1,0),0)+IF(AND(ISNUMBER($D518),ISNUMBER($F518)),IF($D518&gt;$F518,1,0),0)+IF(AND(ISNUMBER($E518),ISNUMBER($F518)),IF($E518&gt;$F518,1,0),0)</f>
        <v>0</v>
      </c>
      <c r="X518" s="13" t="s">
        <v>76</v>
      </c>
    </row>
    <row r="519" customFormat="false" ht="15" hidden="false" customHeight="false" outlineLevel="0" collapsed="false">
      <c r="A519" s="10" t="s">
        <v>2294</v>
      </c>
      <c r="B519" s="10" t="s">
        <v>2295</v>
      </c>
      <c r="C519" s="10" t="s">
        <v>2296</v>
      </c>
      <c r="D519" s="12" t="n">
        <v>116.2</v>
      </c>
      <c r="E519" s="12"/>
      <c r="F519" s="12"/>
      <c r="G519" s="10" t="s">
        <v>2297</v>
      </c>
      <c r="H519" s="10" t="s">
        <v>2167</v>
      </c>
      <c r="I519" s="11" t="s">
        <v>2298</v>
      </c>
      <c r="J519" s="10" t="s">
        <v>2299</v>
      </c>
      <c r="K519" s="10" t="s">
        <v>2300</v>
      </c>
      <c r="L519" s="10" t="s">
        <v>68</v>
      </c>
      <c r="M519" s="10" t="s">
        <v>69</v>
      </c>
      <c r="N519" s="10"/>
      <c r="O519" s="11" t="s">
        <v>2301</v>
      </c>
      <c r="P519" s="10" t="s">
        <v>71</v>
      </c>
      <c r="Q519" s="11" t="s">
        <v>72</v>
      </c>
      <c r="R519" s="11" t="s">
        <v>73</v>
      </c>
      <c r="S519" s="11" t="s">
        <v>74</v>
      </c>
      <c r="T519" s="11" t="s">
        <v>2302</v>
      </c>
      <c r="U519" s="10" t="n">
        <f aca="false">IF(AND($D519="",$E519="",$F519=""),1,0)</f>
        <v>0</v>
      </c>
      <c r="V519" s="10" t="n">
        <f aca="false">IF(OR($I519="",$I519="—"),1,0)</f>
        <v>0</v>
      </c>
      <c r="W519" s="10" t="n">
        <f aca="false">IF(AND(ISNUMBER($D519),ISNUMBER($E519)),IF($E519&gt;$D519,1,0),0)+IF(AND(ISNUMBER($D519),ISNUMBER($F519)),IF($D519&gt;$F519,1,0),0)+IF(AND(ISNUMBER($E519),ISNUMBER($F519)),IF($E519&gt;$F519,1,0),0)</f>
        <v>0</v>
      </c>
      <c r="X519" s="13" t="s">
        <v>76</v>
      </c>
    </row>
    <row r="520" customFormat="false" ht="15" hidden="false" customHeight="false" outlineLevel="0" collapsed="false">
      <c r="A520" s="10" t="s">
        <v>2303</v>
      </c>
      <c r="B520" s="10" t="s">
        <v>2304</v>
      </c>
      <c r="C520" s="10" t="s">
        <v>2305</v>
      </c>
      <c r="D520" s="12" t="n">
        <v>37419500</v>
      </c>
      <c r="E520" s="12"/>
      <c r="F520" s="12"/>
      <c r="G520" s="11" t="s">
        <v>2306</v>
      </c>
      <c r="H520" s="10" t="s">
        <v>2167</v>
      </c>
      <c r="I520" s="11" t="s">
        <v>2307</v>
      </c>
      <c r="J520" s="10" t="s">
        <v>2299</v>
      </c>
      <c r="K520" s="10" t="s">
        <v>2300</v>
      </c>
      <c r="L520" s="10" t="s">
        <v>68</v>
      </c>
      <c r="M520" s="10" t="s">
        <v>69</v>
      </c>
      <c r="N520" s="10"/>
      <c r="O520" s="11" t="s">
        <v>2301</v>
      </c>
      <c r="P520" s="10" t="s">
        <v>71</v>
      </c>
      <c r="Q520" s="11" t="s">
        <v>72</v>
      </c>
      <c r="R520" s="11" t="s">
        <v>73</v>
      </c>
      <c r="S520" s="11" t="s">
        <v>74</v>
      </c>
      <c r="T520" s="11" t="s">
        <v>2308</v>
      </c>
      <c r="U520" s="10" t="n">
        <f aca="false">IF(AND($D520="",$E520="",$F520=""),1,0)</f>
        <v>0</v>
      </c>
      <c r="V520" s="10" t="n">
        <f aca="false">IF(OR($I520="",$I520="—"),1,0)</f>
        <v>0</v>
      </c>
      <c r="W520" s="10" t="n">
        <f aca="false">IF(AND(ISNUMBER($D520),ISNUMBER($E520)),IF($E520&gt;$D520,1,0),0)+IF(AND(ISNUMBER($D520),ISNUMBER($F520)),IF($D520&gt;$F520,1,0),0)+IF(AND(ISNUMBER($E520),ISNUMBER($F520)),IF($E520&gt;$F520,1,0),0)</f>
        <v>0</v>
      </c>
      <c r="X520" s="13" t="s">
        <v>76</v>
      </c>
    </row>
    <row r="521" customFormat="false" ht="15" hidden="false" customHeight="false" outlineLevel="0" collapsed="false">
      <c r="A521" s="10" t="s">
        <v>2309</v>
      </c>
      <c r="B521" s="10" t="s">
        <v>2310</v>
      </c>
      <c r="C521" s="10" t="s">
        <v>2311</v>
      </c>
      <c r="D521" s="12" t="n">
        <v>4348.1</v>
      </c>
      <c r="E521" s="12"/>
      <c r="F521" s="12"/>
      <c r="G521" s="10" t="s">
        <v>2312</v>
      </c>
      <c r="H521" s="10" t="s">
        <v>2167</v>
      </c>
      <c r="I521" s="11" t="s">
        <v>2313</v>
      </c>
      <c r="J521" s="10" t="s">
        <v>2314</v>
      </c>
      <c r="K521" s="10" t="s">
        <v>2167</v>
      </c>
      <c r="L521" s="10" t="s">
        <v>68</v>
      </c>
      <c r="M521" s="10" t="s">
        <v>69</v>
      </c>
      <c r="N521" s="10"/>
      <c r="O521" s="11" t="s">
        <v>2315</v>
      </c>
      <c r="P521" s="10" t="s">
        <v>637</v>
      </c>
      <c r="Q521" s="11" t="s">
        <v>72</v>
      </c>
      <c r="R521" s="11" t="s">
        <v>73</v>
      </c>
      <c r="S521" s="11" t="s">
        <v>1104</v>
      </c>
      <c r="T521" s="11" t="s">
        <v>2316</v>
      </c>
      <c r="U521" s="10" t="n">
        <f aca="false">IF(AND($D521="",$E521="",$F521=""),1,0)</f>
        <v>0</v>
      </c>
      <c r="V521" s="10" t="n">
        <f aca="false">IF(OR($I521="",$I521="—"),1,0)</f>
        <v>0</v>
      </c>
      <c r="W521" s="10" t="n">
        <f aca="false">IF(AND(ISNUMBER($D521),ISNUMBER($E521)),IF($E521&gt;$D521,1,0),0)+IF(AND(ISNUMBER($D521),ISNUMBER($F521)),IF($D521&gt;$F521,1,0),0)+IF(AND(ISNUMBER($E521),ISNUMBER($F521)),IF($E521&gt;$F521,1,0),0)</f>
        <v>0</v>
      </c>
      <c r="X521" s="13" t="s">
        <v>76</v>
      </c>
    </row>
    <row r="522" customFormat="false" ht="15" hidden="false" customHeight="false" outlineLevel="0" collapsed="false">
      <c r="A522" s="10" t="s">
        <v>2317</v>
      </c>
      <c r="B522" s="10" t="s">
        <v>2318</v>
      </c>
      <c r="C522" s="10" t="s">
        <v>2319</v>
      </c>
      <c r="D522" s="12" t="n">
        <v>174.7</v>
      </c>
      <c r="E522" s="12"/>
      <c r="F522" s="12"/>
      <c r="G522" s="10" t="s">
        <v>2312</v>
      </c>
      <c r="H522" s="10" t="s">
        <v>2167</v>
      </c>
      <c r="I522" s="11" t="s">
        <v>2313</v>
      </c>
      <c r="J522" s="10" t="s">
        <v>2314</v>
      </c>
      <c r="K522" s="10" t="s">
        <v>2167</v>
      </c>
      <c r="L522" s="10" t="s">
        <v>68</v>
      </c>
      <c r="M522" s="10" t="s">
        <v>69</v>
      </c>
      <c r="N522" s="10"/>
      <c r="O522" s="11" t="s">
        <v>2315</v>
      </c>
      <c r="P522" s="10" t="s">
        <v>637</v>
      </c>
      <c r="Q522" s="11" t="s">
        <v>72</v>
      </c>
      <c r="R522" s="11" t="s">
        <v>73</v>
      </c>
      <c r="S522" s="11" t="s">
        <v>1104</v>
      </c>
      <c r="T522" s="11" t="s">
        <v>2320</v>
      </c>
      <c r="U522" s="10" t="n">
        <f aca="false">IF(AND($D522="",$E522="",$F522=""),1,0)</f>
        <v>0</v>
      </c>
      <c r="V522" s="10" t="n">
        <f aca="false">IF(OR($I522="",$I522="—"),1,0)</f>
        <v>0</v>
      </c>
      <c r="W522" s="10" t="n">
        <f aca="false">IF(AND(ISNUMBER($D522),ISNUMBER($E522)),IF($E522&gt;$D522,1,0),0)+IF(AND(ISNUMBER($D522),ISNUMBER($F522)),IF($D522&gt;$F522,1,0),0)+IF(AND(ISNUMBER($E522),ISNUMBER($F522)),IF($E522&gt;$F522,1,0),0)</f>
        <v>0</v>
      </c>
      <c r="X522" s="13" t="s">
        <v>76</v>
      </c>
    </row>
    <row r="523" customFormat="false" ht="15" hidden="false" customHeight="false" outlineLevel="0" collapsed="false">
      <c r="A523" s="10" t="s">
        <v>2321</v>
      </c>
      <c r="B523" s="10" t="s">
        <v>2322</v>
      </c>
      <c r="C523" s="10" t="s">
        <v>2323</v>
      </c>
      <c r="D523" s="12" t="n">
        <v>4173.4</v>
      </c>
      <c r="E523" s="12"/>
      <c r="F523" s="12"/>
      <c r="G523" s="10" t="s">
        <v>2312</v>
      </c>
      <c r="H523" s="10" t="s">
        <v>2167</v>
      </c>
      <c r="I523" s="11" t="s">
        <v>2324</v>
      </c>
      <c r="J523" s="10" t="s">
        <v>2314</v>
      </c>
      <c r="K523" s="10" t="s">
        <v>2167</v>
      </c>
      <c r="L523" s="10" t="s">
        <v>68</v>
      </c>
      <c r="M523" s="10" t="s">
        <v>69</v>
      </c>
      <c r="N523" s="10"/>
      <c r="O523" s="11" t="s">
        <v>2315</v>
      </c>
      <c r="P523" s="10" t="s">
        <v>637</v>
      </c>
      <c r="Q523" s="11" t="s">
        <v>72</v>
      </c>
      <c r="R523" s="11" t="s">
        <v>73</v>
      </c>
      <c r="S523" s="11" t="s">
        <v>1104</v>
      </c>
      <c r="T523" s="11" t="s">
        <v>2325</v>
      </c>
      <c r="U523" s="10" t="n">
        <f aca="false">IF(AND($D523="",$E523="",$F523=""),1,0)</f>
        <v>0</v>
      </c>
      <c r="V523" s="10" t="n">
        <f aca="false">IF(OR($I523="",$I523="—"),1,0)</f>
        <v>0</v>
      </c>
      <c r="W523" s="10" t="n">
        <f aca="false">IF(AND(ISNUMBER($D523),ISNUMBER($E523)),IF($E523&gt;$D523,1,0),0)+IF(AND(ISNUMBER($D523),ISNUMBER($F523)),IF($D523&gt;$F523,1,0),0)+IF(AND(ISNUMBER($E523),ISNUMBER($F523)),IF($E523&gt;$F523,1,0),0)</f>
        <v>0</v>
      </c>
      <c r="X523" s="13" t="s">
        <v>76</v>
      </c>
    </row>
    <row r="524" customFormat="false" ht="15" hidden="false" customHeight="false" outlineLevel="0" collapsed="false">
      <c r="A524" s="10" t="s">
        <v>2326</v>
      </c>
      <c r="B524" s="10" t="s">
        <v>2327</v>
      </c>
      <c r="C524" s="11" t="s">
        <v>2328</v>
      </c>
      <c r="D524" s="12" t="n">
        <v>5612900</v>
      </c>
      <c r="E524" s="12"/>
      <c r="F524" s="12"/>
      <c r="G524" s="11" t="s">
        <v>2306</v>
      </c>
      <c r="H524" s="10" t="s">
        <v>2329</v>
      </c>
      <c r="I524" s="11" t="s">
        <v>2330</v>
      </c>
      <c r="J524" s="10" t="s">
        <v>2314</v>
      </c>
      <c r="K524" s="10" t="s">
        <v>2167</v>
      </c>
      <c r="L524" s="10" t="s">
        <v>68</v>
      </c>
      <c r="M524" s="10" t="s">
        <v>69</v>
      </c>
      <c r="N524" s="10"/>
      <c r="O524" s="11" t="s">
        <v>2331</v>
      </c>
      <c r="P524" s="10" t="s">
        <v>637</v>
      </c>
      <c r="Q524" s="11" t="s">
        <v>72</v>
      </c>
      <c r="R524" s="11" t="s">
        <v>1090</v>
      </c>
      <c r="S524" s="11" t="s">
        <v>710</v>
      </c>
      <c r="T524" s="10" t="s">
        <v>2332</v>
      </c>
      <c r="U524" s="10" t="n">
        <f aca="false">IF(AND($D524="",$E524="",$F524=""),1,0)</f>
        <v>0</v>
      </c>
      <c r="V524" s="10" t="n">
        <f aca="false">IF(OR($I524="",$I524="—"),1,0)</f>
        <v>0</v>
      </c>
      <c r="W524" s="10" t="n">
        <f aca="false">IF(AND(ISNUMBER($D524),ISNUMBER($E524)),IF($E524&gt;$D524,1,0),0)+IF(AND(ISNUMBER($D524),ISNUMBER($F524)),IF($D524&gt;$F524,1,0),0)+IF(AND(ISNUMBER($E524),ISNUMBER($F524)),IF($E524&gt;$F524,1,0),0)</f>
        <v>0</v>
      </c>
      <c r="X524" s="13" t="s">
        <v>76</v>
      </c>
    </row>
    <row r="525" customFormat="false" ht="15" hidden="false" customHeight="false" outlineLevel="0" collapsed="false">
      <c r="A525" s="10" t="s">
        <v>2333</v>
      </c>
      <c r="B525" s="10" t="s">
        <v>2334</v>
      </c>
      <c r="C525" s="11" t="s">
        <v>2335</v>
      </c>
      <c r="D525" s="12" t="n">
        <v>5623900</v>
      </c>
      <c r="E525" s="12"/>
      <c r="F525" s="12"/>
      <c r="G525" s="11" t="s">
        <v>2306</v>
      </c>
      <c r="H525" s="10" t="s">
        <v>2329</v>
      </c>
      <c r="I525" s="11" t="s">
        <v>2307</v>
      </c>
      <c r="J525" s="10" t="s">
        <v>2299</v>
      </c>
      <c r="K525" s="10" t="s">
        <v>2300</v>
      </c>
      <c r="L525" s="10" t="s">
        <v>68</v>
      </c>
      <c r="M525" s="10" t="s">
        <v>69</v>
      </c>
      <c r="N525" s="10"/>
      <c r="O525" s="11" t="s">
        <v>2336</v>
      </c>
      <c r="P525" s="10" t="s">
        <v>71</v>
      </c>
      <c r="Q525" s="11" t="s">
        <v>72</v>
      </c>
      <c r="R525" s="11" t="s">
        <v>73</v>
      </c>
      <c r="S525" s="11" t="s">
        <v>74</v>
      </c>
      <c r="T525" s="11" t="s">
        <v>2337</v>
      </c>
      <c r="U525" s="10" t="n">
        <f aca="false">IF(AND($D525="",$E525="",$F525=""),1,0)</f>
        <v>0</v>
      </c>
      <c r="V525" s="10" t="n">
        <f aca="false">IF(OR($I525="",$I525="—"),1,0)</f>
        <v>0</v>
      </c>
      <c r="W525" s="10" t="n">
        <f aca="false">IF(AND(ISNUMBER($D525),ISNUMBER($E525)),IF($E525&gt;$D525,1,0),0)+IF(AND(ISNUMBER($D525),ISNUMBER($F525)),IF($D525&gt;$F525,1,0),0)+IF(AND(ISNUMBER($E525),ISNUMBER($F525)),IF($E525&gt;$F525,1,0),0)</f>
        <v>0</v>
      </c>
      <c r="X525" s="13" t="s">
        <v>76</v>
      </c>
    </row>
    <row r="526" customFormat="false" ht="15" hidden="false" customHeight="false" outlineLevel="0" collapsed="false">
      <c r="A526" s="10" t="s">
        <v>2338</v>
      </c>
      <c r="B526" s="10" t="s">
        <v>2339</v>
      </c>
      <c r="C526" s="10" t="s">
        <v>2340</v>
      </c>
      <c r="D526" s="12" t="n">
        <v>4896.2</v>
      </c>
      <c r="E526" s="12"/>
      <c r="F526" s="12"/>
      <c r="G526" s="10" t="s">
        <v>2312</v>
      </c>
      <c r="H526" s="10" t="s">
        <v>2341</v>
      </c>
      <c r="I526" s="11" t="s">
        <v>2307</v>
      </c>
      <c r="J526" s="10" t="s">
        <v>2299</v>
      </c>
      <c r="K526" s="10" t="s">
        <v>2300</v>
      </c>
      <c r="L526" s="10" t="s">
        <v>68</v>
      </c>
      <c r="M526" s="10" t="s">
        <v>69</v>
      </c>
      <c r="N526" s="10"/>
      <c r="O526" s="11" t="s">
        <v>2301</v>
      </c>
      <c r="P526" s="10" t="s">
        <v>71</v>
      </c>
      <c r="Q526" s="11" t="s">
        <v>72</v>
      </c>
      <c r="R526" s="11" t="s">
        <v>73</v>
      </c>
      <c r="S526" s="11" t="s">
        <v>74</v>
      </c>
      <c r="T526" s="11" t="s">
        <v>2342</v>
      </c>
      <c r="U526" s="10" t="n">
        <f aca="false">IF(AND($D526="",$E526="",$F526=""),1,0)</f>
        <v>0</v>
      </c>
      <c r="V526" s="10" t="n">
        <f aca="false">IF(OR($I526="",$I526="—"),1,0)</f>
        <v>0</v>
      </c>
      <c r="W526" s="10" t="n">
        <f aca="false">IF(AND(ISNUMBER($D526),ISNUMBER($E526)),IF($E526&gt;$D526,1,0),0)+IF(AND(ISNUMBER($D526),ISNUMBER($F526)),IF($D526&gt;$F526,1,0),0)+IF(AND(ISNUMBER($E526),ISNUMBER($F526)),IF($E526&gt;$F526,1,0),0)</f>
        <v>0</v>
      </c>
      <c r="X526" s="13" t="s">
        <v>76</v>
      </c>
    </row>
    <row r="527" customFormat="false" ht="15" hidden="false" customHeight="false" outlineLevel="0" collapsed="false">
      <c r="A527" s="10" t="s">
        <v>2343</v>
      </c>
      <c r="B527" s="10" t="s">
        <v>2344</v>
      </c>
      <c r="C527" s="11" t="s">
        <v>2345</v>
      </c>
      <c r="D527" s="12" t="n">
        <v>29.8</v>
      </c>
      <c r="E527" s="12"/>
      <c r="F527" s="12"/>
      <c r="G527" s="10" t="s">
        <v>2346</v>
      </c>
      <c r="H527" s="10" t="s">
        <v>2347</v>
      </c>
      <c r="I527" s="11" t="s">
        <v>2348</v>
      </c>
      <c r="J527" s="10" t="s">
        <v>2349</v>
      </c>
      <c r="K527" s="10" t="s">
        <v>67</v>
      </c>
      <c r="L527" s="10" t="s">
        <v>68</v>
      </c>
      <c r="M527" s="10" t="s">
        <v>69</v>
      </c>
      <c r="N527" s="10"/>
      <c r="O527" s="11" t="s">
        <v>2160</v>
      </c>
      <c r="P527" s="10" t="s">
        <v>637</v>
      </c>
      <c r="Q527" s="11" t="s">
        <v>72</v>
      </c>
      <c r="R527" s="11" t="s">
        <v>1090</v>
      </c>
      <c r="S527" s="11" t="s">
        <v>710</v>
      </c>
      <c r="T527" s="11" t="s">
        <v>2350</v>
      </c>
      <c r="U527" s="10" t="n">
        <f aca="false">IF(AND($D527="",$E527="",$F527=""),1,0)</f>
        <v>0</v>
      </c>
      <c r="V527" s="10" t="n">
        <f aca="false">IF(OR($I527="",$I527="—"),1,0)</f>
        <v>0</v>
      </c>
      <c r="W527" s="10" t="n">
        <f aca="false">IF(AND(ISNUMBER($D527),ISNUMBER($E527)),IF($E527&gt;$D527,1,0),0)+IF(AND(ISNUMBER($D527),ISNUMBER($F527)),IF($D527&gt;$F527,1,0),0)+IF(AND(ISNUMBER($E527),ISNUMBER($F527)),IF($E527&gt;$F527,1,0),0)</f>
        <v>0</v>
      </c>
      <c r="X527" s="13" t="s">
        <v>76</v>
      </c>
    </row>
    <row r="528" customFormat="false" ht="15" hidden="false" customHeight="false" outlineLevel="0" collapsed="false">
      <c r="A528" s="10" t="s">
        <v>2351</v>
      </c>
      <c r="B528" s="10" t="s">
        <v>2352</v>
      </c>
      <c r="C528" s="11" t="s">
        <v>2353</v>
      </c>
      <c r="D528" s="12" t="n">
        <v>1159.46</v>
      </c>
      <c r="E528" s="12"/>
      <c r="F528" s="12"/>
      <c r="G528" s="11" t="s">
        <v>1709</v>
      </c>
      <c r="H528" s="10" t="s">
        <v>2347</v>
      </c>
      <c r="I528" s="11" t="s">
        <v>2354</v>
      </c>
      <c r="J528" s="10" t="s">
        <v>2355</v>
      </c>
      <c r="K528" s="10" t="s">
        <v>2167</v>
      </c>
      <c r="L528" s="10" t="s">
        <v>68</v>
      </c>
      <c r="M528" s="10" t="s">
        <v>69</v>
      </c>
      <c r="N528" s="10"/>
      <c r="O528" s="11" t="s">
        <v>2315</v>
      </c>
      <c r="P528" s="10" t="s">
        <v>637</v>
      </c>
      <c r="Q528" s="11" t="s">
        <v>72</v>
      </c>
      <c r="R528" s="11" t="s">
        <v>1090</v>
      </c>
      <c r="S528" s="11" t="s">
        <v>1278</v>
      </c>
      <c r="T528" s="11" t="s">
        <v>2356</v>
      </c>
      <c r="U528" s="10" t="n">
        <f aca="false">IF(AND($D528="",$E528="",$F528=""),1,0)</f>
        <v>0</v>
      </c>
      <c r="V528" s="10" t="n">
        <f aca="false">IF(OR($I528="",$I528="—"),1,0)</f>
        <v>0</v>
      </c>
      <c r="W528" s="10" t="n">
        <f aca="false">IF(AND(ISNUMBER($D528),ISNUMBER($E528)),IF($E528&gt;$D528,1,0),0)+IF(AND(ISNUMBER($D528),ISNUMBER($F528)),IF($D528&gt;$F528,1,0),0)+IF(AND(ISNUMBER($E528),ISNUMBER($F528)),IF($E528&gt;$F528,1,0),0)</f>
        <v>0</v>
      </c>
      <c r="X528" s="13" t="s">
        <v>76</v>
      </c>
    </row>
    <row r="529" customFormat="false" ht="15" hidden="false" customHeight="false" outlineLevel="0" collapsed="false">
      <c r="A529" s="10" t="s">
        <v>2357</v>
      </c>
      <c r="B529" s="10" t="s">
        <v>2358</v>
      </c>
      <c r="C529" s="10" t="s">
        <v>2359</v>
      </c>
      <c r="D529" s="12" t="n">
        <v>70</v>
      </c>
      <c r="E529" s="12"/>
      <c r="F529" s="12"/>
      <c r="G529" s="10" t="s">
        <v>401</v>
      </c>
      <c r="H529" s="10" t="s">
        <v>2347</v>
      </c>
      <c r="I529" s="11" t="s">
        <v>2360</v>
      </c>
      <c r="J529" s="10" t="s">
        <v>2361</v>
      </c>
      <c r="K529" s="10" t="s">
        <v>67</v>
      </c>
      <c r="L529" s="10" t="s">
        <v>68</v>
      </c>
      <c r="M529" s="10" t="s">
        <v>69</v>
      </c>
      <c r="N529" s="10"/>
      <c r="O529" s="11" t="s">
        <v>2160</v>
      </c>
      <c r="P529" s="10" t="s">
        <v>637</v>
      </c>
      <c r="Q529" s="11" t="s">
        <v>72</v>
      </c>
      <c r="R529" s="11" t="s">
        <v>1090</v>
      </c>
      <c r="S529" s="11" t="s">
        <v>710</v>
      </c>
      <c r="T529" s="11" t="s">
        <v>2362</v>
      </c>
      <c r="U529" s="10" t="n">
        <f aca="false">IF(AND($D529="",$E529="",$F529=""),1,0)</f>
        <v>0</v>
      </c>
      <c r="V529" s="10" t="n">
        <f aca="false">IF(OR($I529="",$I529="—"),1,0)</f>
        <v>0</v>
      </c>
      <c r="W529" s="10" t="n">
        <f aca="false">IF(AND(ISNUMBER($D529),ISNUMBER($E529)),IF($E529&gt;$D529,1,0),0)+IF(AND(ISNUMBER($D529),ISNUMBER($F529)),IF($D529&gt;$F529,1,0),0)+IF(AND(ISNUMBER($E529),ISNUMBER($F529)),IF($E529&gt;$F529,1,0),0)</f>
        <v>0</v>
      </c>
      <c r="X529" s="13" t="s">
        <v>76</v>
      </c>
    </row>
    <row r="530" customFormat="false" ht="15" hidden="false" customHeight="false" outlineLevel="0" collapsed="false">
      <c r="A530" s="10" t="s">
        <v>2363</v>
      </c>
      <c r="B530" s="10" t="s">
        <v>2364</v>
      </c>
      <c r="C530" s="11" t="s">
        <v>2365</v>
      </c>
      <c r="D530" s="12" t="n">
        <v>440230190</v>
      </c>
      <c r="E530" s="12"/>
      <c r="F530" s="12"/>
      <c r="G530" s="11" t="s">
        <v>2306</v>
      </c>
      <c r="H530" s="10" t="s">
        <v>2167</v>
      </c>
      <c r="I530" s="11" t="s">
        <v>2313</v>
      </c>
      <c r="J530" s="10" t="s">
        <v>2314</v>
      </c>
      <c r="K530" s="10" t="s">
        <v>2167</v>
      </c>
      <c r="L530" s="10" t="s">
        <v>68</v>
      </c>
      <c r="M530" s="10" t="s">
        <v>69</v>
      </c>
      <c r="N530" s="10"/>
      <c r="O530" s="11" t="s">
        <v>2315</v>
      </c>
      <c r="P530" s="10" t="s">
        <v>637</v>
      </c>
      <c r="Q530" s="11" t="s">
        <v>72</v>
      </c>
      <c r="R530" s="11" t="s">
        <v>73</v>
      </c>
      <c r="S530" s="11" t="s">
        <v>1104</v>
      </c>
      <c r="T530" s="11" t="s">
        <v>2366</v>
      </c>
      <c r="U530" s="10" t="n">
        <f aca="false">IF(AND($D530="",$E530="",$F530=""),1,0)</f>
        <v>0</v>
      </c>
      <c r="V530" s="10" t="n">
        <f aca="false">IF(OR($I530="",$I530="—"),1,0)</f>
        <v>0</v>
      </c>
      <c r="W530" s="10" t="n">
        <f aca="false">IF(AND(ISNUMBER($D530),ISNUMBER($E530)),IF($E530&gt;$D530,1,0),0)+IF(AND(ISNUMBER($D530),ISNUMBER($F530)),IF($D530&gt;$F530,1,0),0)+IF(AND(ISNUMBER($E530),ISNUMBER($F530)),IF($E530&gt;$F530,1,0),0)</f>
        <v>0</v>
      </c>
      <c r="X530" s="13" t="s">
        <v>76</v>
      </c>
    </row>
    <row r="531" customFormat="false" ht="15" hidden="false" customHeight="false" outlineLevel="0" collapsed="false">
      <c r="A531" s="10" t="s">
        <v>2367</v>
      </c>
      <c r="B531" s="10" t="s">
        <v>2368</v>
      </c>
      <c r="C531" s="11" t="s">
        <v>2369</v>
      </c>
      <c r="D531" s="12" t="n">
        <v>511.5</v>
      </c>
      <c r="E531" s="12"/>
      <c r="F531" s="12"/>
      <c r="G531" s="10" t="s">
        <v>2346</v>
      </c>
      <c r="H531" s="10" t="s">
        <v>2167</v>
      </c>
      <c r="I531" s="11" t="s">
        <v>2370</v>
      </c>
      <c r="J531" s="10" t="s">
        <v>2349</v>
      </c>
      <c r="K531" s="10" t="s">
        <v>67</v>
      </c>
      <c r="L531" s="10" t="s">
        <v>68</v>
      </c>
      <c r="M531" s="10" t="s">
        <v>636</v>
      </c>
      <c r="N531" s="10"/>
      <c r="O531" s="11" t="s">
        <v>2371</v>
      </c>
      <c r="P531" s="10" t="s">
        <v>637</v>
      </c>
      <c r="Q531" s="11" t="s">
        <v>638</v>
      </c>
      <c r="R531" s="11" t="s">
        <v>639</v>
      </c>
      <c r="S531" s="11" t="s">
        <v>710</v>
      </c>
      <c r="T531" s="11" t="s">
        <v>2372</v>
      </c>
      <c r="U531" s="10" t="n">
        <f aca="false">IF(AND($D531="",$E531="",$F531=""),1,0)</f>
        <v>0</v>
      </c>
      <c r="V531" s="10" t="n">
        <f aca="false">IF(OR($I531="",$I531="—"),1,0)</f>
        <v>0</v>
      </c>
      <c r="W531" s="10" t="n">
        <f aca="false">IF(AND(ISNUMBER($D531),ISNUMBER($E531)),IF($E531&gt;$D531,1,0),0)+IF(AND(ISNUMBER($D531),ISNUMBER($F531)),IF($D531&gt;$F531,1,0),0)+IF(AND(ISNUMBER($E531),ISNUMBER($F531)),IF($E531&gt;$F531,1,0),0)</f>
        <v>0</v>
      </c>
      <c r="X531" s="13" t="s">
        <v>76</v>
      </c>
    </row>
    <row r="532" customFormat="false" ht="15" hidden="false" customHeight="false" outlineLevel="0" collapsed="false">
      <c r="A532" s="10" t="s">
        <v>2373</v>
      </c>
      <c r="B532" s="10" t="s">
        <v>2374</v>
      </c>
      <c r="C532" s="11" t="s">
        <v>2375</v>
      </c>
      <c r="D532" s="12" t="n">
        <v>528.3</v>
      </c>
      <c r="E532" s="12"/>
      <c r="F532" s="12"/>
      <c r="G532" s="10" t="s">
        <v>2346</v>
      </c>
      <c r="H532" s="10" t="s">
        <v>2167</v>
      </c>
      <c r="I532" s="10" t="s">
        <v>2376</v>
      </c>
      <c r="J532" s="10" t="s">
        <v>2377</v>
      </c>
      <c r="K532" s="10" t="s">
        <v>2167</v>
      </c>
      <c r="L532" s="10" t="s">
        <v>68</v>
      </c>
      <c r="M532" s="10" t="s">
        <v>636</v>
      </c>
      <c r="N532" s="10"/>
      <c r="O532" s="11" t="s">
        <v>2371</v>
      </c>
      <c r="P532" s="10" t="s">
        <v>637</v>
      </c>
      <c r="Q532" s="11" t="s">
        <v>638</v>
      </c>
      <c r="R532" s="11" t="s">
        <v>639</v>
      </c>
      <c r="S532" s="11" t="s">
        <v>710</v>
      </c>
      <c r="T532" s="11" t="s">
        <v>2378</v>
      </c>
      <c r="U532" s="10" t="n">
        <f aca="false">IF(AND($D532="",$E532="",$F532=""),1,0)</f>
        <v>0</v>
      </c>
      <c r="V532" s="10" t="n">
        <f aca="false">IF(OR($I532="",$I532="—"),1,0)</f>
        <v>0</v>
      </c>
      <c r="W532" s="10" t="n">
        <f aca="false">IF(AND(ISNUMBER($D532),ISNUMBER($E532)),IF($E532&gt;$D532,1,0),0)+IF(AND(ISNUMBER($D532),ISNUMBER($F532)),IF($D532&gt;$F532,1,0),0)+IF(AND(ISNUMBER($E532),ISNUMBER($F532)),IF($E532&gt;$F532,1,0),0)</f>
        <v>0</v>
      </c>
      <c r="X532" s="13" t="s">
        <v>76</v>
      </c>
    </row>
    <row r="533" customFormat="false" ht="15" hidden="false" customHeight="false" outlineLevel="0" collapsed="false">
      <c r="A533" s="10" t="s">
        <v>2379</v>
      </c>
      <c r="B533" s="10" t="s">
        <v>2380</v>
      </c>
      <c r="C533" s="11" t="s">
        <v>2381</v>
      </c>
      <c r="D533" s="12" t="n">
        <v>131.5</v>
      </c>
      <c r="E533" s="12"/>
      <c r="F533" s="12"/>
      <c r="G533" s="10" t="s">
        <v>2297</v>
      </c>
      <c r="H533" s="10" t="s">
        <v>2167</v>
      </c>
      <c r="I533" s="11" t="s">
        <v>2382</v>
      </c>
      <c r="J533" s="10" t="s">
        <v>2377</v>
      </c>
      <c r="K533" s="10" t="s">
        <v>2167</v>
      </c>
      <c r="L533" s="10" t="s">
        <v>68</v>
      </c>
      <c r="M533" s="10" t="s">
        <v>69</v>
      </c>
      <c r="N533" s="10"/>
      <c r="O533" s="11" t="s">
        <v>2383</v>
      </c>
      <c r="P533" s="10" t="s">
        <v>637</v>
      </c>
      <c r="Q533" s="11" t="s">
        <v>72</v>
      </c>
      <c r="R533" s="11" t="s">
        <v>1090</v>
      </c>
      <c r="S533" s="11" t="s">
        <v>710</v>
      </c>
      <c r="T533" s="11" t="s">
        <v>2384</v>
      </c>
      <c r="U533" s="10" t="n">
        <f aca="false">IF(AND($D533="",$E533="",$F533=""),1,0)</f>
        <v>0</v>
      </c>
      <c r="V533" s="10" t="n">
        <f aca="false">IF(OR($I533="",$I533="—"),1,0)</f>
        <v>0</v>
      </c>
      <c r="W533" s="10" t="n">
        <f aca="false">IF(AND(ISNUMBER($D533),ISNUMBER($E533)),IF($E533&gt;$D533,1,0),0)+IF(AND(ISNUMBER($D533),ISNUMBER($F533)),IF($D533&gt;$F533,1,0),0)+IF(AND(ISNUMBER($E533),ISNUMBER($F533)),IF($E533&gt;$F533,1,0),0)</f>
        <v>0</v>
      </c>
      <c r="X533" s="13" t="s">
        <v>76</v>
      </c>
    </row>
    <row r="534" customFormat="false" ht="15" hidden="false" customHeight="false" outlineLevel="0" collapsed="false">
      <c r="A534" s="10" t="s">
        <v>2385</v>
      </c>
      <c r="B534" s="10" t="s">
        <v>2386</v>
      </c>
      <c r="C534" s="11" t="s">
        <v>2387</v>
      </c>
      <c r="D534" s="12" t="n">
        <v>578.9</v>
      </c>
      <c r="E534" s="12"/>
      <c r="F534" s="12"/>
      <c r="G534" s="10" t="s">
        <v>2346</v>
      </c>
      <c r="H534" s="10" t="s">
        <v>2167</v>
      </c>
      <c r="I534" s="11" t="s">
        <v>2382</v>
      </c>
      <c r="J534" s="10" t="s">
        <v>2377</v>
      </c>
      <c r="K534" s="10" t="s">
        <v>2167</v>
      </c>
      <c r="L534" s="10" t="s">
        <v>68</v>
      </c>
      <c r="M534" s="10" t="s">
        <v>69</v>
      </c>
      <c r="N534" s="10"/>
      <c r="O534" s="11" t="s">
        <v>2383</v>
      </c>
      <c r="P534" s="10" t="s">
        <v>637</v>
      </c>
      <c r="Q534" s="11" t="s">
        <v>72</v>
      </c>
      <c r="R534" s="11" t="s">
        <v>1090</v>
      </c>
      <c r="S534" s="11" t="s">
        <v>710</v>
      </c>
      <c r="T534" s="11" t="s">
        <v>2388</v>
      </c>
      <c r="U534" s="10" t="n">
        <f aca="false">IF(AND($D534="",$E534="",$F534=""),1,0)</f>
        <v>0</v>
      </c>
      <c r="V534" s="10" t="n">
        <f aca="false">IF(OR($I534="",$I534="—"),1,0)</f>
        <v>0</v>
      </c>
      <c r="W534" s="10" t="n">
        <f aca="false">IF(AND(ISNUMBER($D534),ISNUMBER($E534)),IF($E534&gt;$D534,1,0),0)+IF(AND(ISNUMBER($D534),ISNUMBER($F534)),IF($D534&gt;$F534,1,0),0)+IF(AND(ISNUMBER($E534),ISNUMBER($F534)),IF($E534&gt;$F534,1,0),0)</f>
        <v>0</v>
      </c>
      <c r="X534" s="13" t="s">
        <v>76</v>
      </c>
    </row>
    <row r="535" customFormat="false" ht="15" hidden="false" customHeight="false" outlineLevel="0" collapsed="false">
      <c r="A535" s="10" t="s">
        <v>2389</v>
      </c>
      <c r="B535" s="10" t="s">
        <v>2390</v>
      </c>
      <c r="C535" s="11" t="s">
        <v>2391</v>
      </c>
      <c r="D535" s="12" t="n">
        <v>586</v>
      </c>
      <c r="E535" s="12"/>
      <c r="F535" s="12"/>
      <c r="G535" s="10" t="s">
        <v>2346</v>
      </c>
      <c r="H535" s="10" t="s">
        <v>2167</v>
      </c>
      <c r="I535" s="11" t="s">
        <v>910</v>
      </c>
      <c r="J535" s="10" t="s">
        <v>2392</v>
      </c>
      <c r="K535" s="10" t="s">
        <v>2393</v>
      </c>
      <c r="L535" s="10" t="s">
        <v>68</v>
      </c>
      <c r="M535" s="10" t="s">
        <v>69</v>
      </c>
      <c r="N535" s="10"/>
      <c r="O535" s="11" t="s">
        <v>2394</v>
      </c>
      <c r="P535" s="10" t="s">
        <v>637</v>
      </c>
      <c r="Q535" s="11" t="s">
        <v>72</v>
      </c>
      <c r="R535" s="11" t="s">
        <v>1090</v>
      </c>
      <c r="S535" s="11" t="s">
        <v>710</v>
      </c>
      <c r="T535" s="11" t="s">
        <v>2395</v>
      </c>
      <c r="U535" s="10" t="n">
        <f aca="false">IF(AND($D535="",$E535="",$F535=""),1,0)</f>
        <v>0</v>
      </c>
      <c r="V535" s="10" t="n">
        <f aca="false">IF(OR($I535="",$I535="—"),1,0)</f>
        <v>0</v>
      </c>
      <c r="W535" s="10" t="n">
        <f aca="false">IF(AND(ISNUMBER($D535),ISNUMBER($E535)),IF($E535&gt;$D535,1,0),0)+IF(AND(ISNUMBER($D535),ISNUMBER($F535)),IF($D535&gt;$F535,1,0),0)+IF(AND(ISNUMBER($E535),ISNUMBER($F535)),IF($E535&gt;$F535,1,0),0)</f>
        <v>0</v>
      </c>
      <c r="X535" s="13" t="s">
        <v>76</v>
      </c>
    </row>
    <row r="536" customFormat="false" ht="15" hidden="false" customHeight="false" outlineLevel="0" collapsed="false">
      <c r="A536" s="10" t="s">
        <v>2396</v>
      </c>
      <c r="B536" s="10" t="s">
        <v>2397</v>
      </c>
      <c r="C536" s="10" t="s">
        <v>2398</v>
      </c>
      <c r="D536" s="12" t="n">
        <v>1588</v>
      </c>
      <c r="E536" s="12"/>
      <c r="F536" s="12"/>
      <c r="G536" s="10" t="s">
        <v>2297</v>
      </c>
      <c r="H536" s="10" t="s">
        <v>2399</v>
      </c>
      <c r="I536" s="11" t="s">
        <v>2400</v>
      </c>
      <c r="J536" s="10" t="s">
        <v>2299</v>
      </c>
      <c r="K536" s="10" t="s">
        <v>2300</v>
      </c>
      <c r="L536" s="10" t="s">
        <v>68</v>
      </c>
      <c r="M536" s="10" t="s">
        <v>69</v>
      </c>
      <c r="N536" s="10"/>
      <c r="O536" s="11" t="s">
        <v>2301</v>
      </c>
      <c r="P536" s="10" t="s">
        <v>71</v>
      </c>
      <c r="Q536" s="11" t="s">
        <v>72</v>
      </c>
      <c r="R536" s="11" t="s">
        <v>73</v>
      </c>
      <c r="S536" s="11" t="s">
        <v>74</v>
      </c>
      <c r="T536" s="11" t="s">
        <v>2401</v>
      </c>
      <c r="U536" s="10" t="n">
        <f aca="false">IF(AND($D536="",$E536="",$F536=""),1,0)</f>
        <v>0</v>
      </c>
      <c r="V536" s="10" t="n">
        <f aca="false">IF(OR($I536="",$I536="—"),1,0)</f>
        <v>0</v>
      </c>
      <c r="W536" s="10" t="n">
        <f aca="false">IF(AND(ISNUMBER($D536),ISNUMBER($E536)),IF($E536&gt;$D536,1,0),0)+IF(AND(ISNUMBER($D536),ISNUMBER($F536)),IF($D536&gt;$F536,1,0),0)+IF(AND(ISNUMBER($E536),ISNUMBER($F536)),IF($E536&gt;$F536,1,0),0)</f>
        <v>0</v>
      </c>
      <c r="X536" s="13" t="s">
        <v>76</v>
      </c>
    </row>
    <row r="537" customFormat="false" ht="15" hidden="false" customHeight="false" outlineLevel="0" collapsed="false">
      <c r="A537" s="10" t="s">
        <v>2402</v>
      </c>
      <c r="B537" s="10" t="s">
        <v>2403</v>
      </c>
      <c r="C537" s="10" t="s">
        <v>2404</v>
      </c>
      <c r="D537" s="12" t="n">
        <v>19780000</v>
      </c>
      <c r="E537" s="12"/>
      <c r="F537" s="12"/>
      <c r="G537" s="11" t="s">
        <v>2306</v>
      </c>
      <c r="H537" s="10" t="s">
        <v>2405</v>
      </c>
      <c r="I537" s="11" t="s">
        <v>2406</v>
      </c>
      <c r="J537" s="10" t="s">
        <v>2407</v>
      </c>
      <c r="K537" s="10" t="s">
        <v>2408</v>
      </c>
      <c r="L537" s="10" t="s">
        <v>68</v>
      </c>
      <c r="M537" s="10" t="s">
        <v>69</v>
      </c>
      <c r="N537" s="10"/>
      <c r="O537" s="11" t="s">
        <v>2409</v>
      </c>
      <c r="P537" s="10" t="s">
        <v>637</v>
      </c>
      <c r="Q537" s="11" t="s">
        <v>72</v>
      </c>
      <c r="R537" s="11" t="s">
        <v>1090</v>
      </c>
      <c r="S537" s="11" t="s">
        <v>1278</v>
      </c>
      <c r="T537" s="11" t="s">
        <v>2410</v>
      </c>
      <c r="U537" s="10" t="n">
        <f aca="false">IF(AND($D537="",$E537="",$F537=""),1,0)</f>
        <v>0</v>
      </c>
      <c r="V537" s="10" t="n">
        <f aca="false">IF(OR($I537="",$I537="—"),1,0)</f>
        <v>0</v>
      </c>
      <c r="W537" s="10" t="n">
        <f aca="false">IF(AND(ISNUMBER($D537),ISNUMBER($E537)),IF($E537&gt;$D537,1,0),0)+IF(AND(ISNUMBER($D537),ISNUMBER($F537)),IF($D537&gt;$F537,1,0),0)+IF(AND(ISNUMBER($E537),ISNUMBER($F537)),IF($E537&gt;$F537,1,0),0)</f>
        <v>0</v>
      </c>
      <c r="X537" s="13" t="s">
        <v>76</v>
      </c>
    </row>
    <row r="538" customFormat="false" ht="15" hidden="false" customHeight="false" outlineLevel="0" collapsed="false">
      <c r="A538" s="10" t="s">
        <v>2411</v>
      </c>
      <c r="B538" s="10" t="s">
        <v>2412</v>
      </c>
      <c r="C538" s="10" t="s">
        <v>2413</v>
      </c>
      <c r="D538" s="12" t="n">
        <v>12.99</v>
      </c>
      <c r="E538" s="12"/>
      <c r="F538" s="12"/>
      <c r="G538" s="10" t="s">
        <v>401</v>
      </c>
      <c r="H538" s="10" t="s">
        <v>2414</v>
      </c>
      <c r="I538" s="11" t="s">
        <v>2415</v>
      </c>
      <c r="J538" s="10" t="s">
        <v>2416</v>
      </c>
      <c r="K538" s="10" t="s">
        <v>2399</v>
      </c>
      <c r="L538" s="10" t="s">
        <v>68</v>
      </c>
      <c r="M538" s="10" t="s">
        <v>69</v>
      </c>
      <c r="N538" s="10"/>
      <c r="O538" s="11" t="s">
        <v>2417</v>
      </c>
      <c r="P538" s="10" t="s">
        <v>637</v>
      </c>
      <c r="Q538" s="11" t="s">
        <v>72</v>
      </c>
      <c r="R538" s="11" t="s">
        <v>1090</v>
      </c>
      <c r="S538" s="11" t="s">
        <v>1278</v>
      </c>
      <c r="T538" s="11" t="s">
        <v>2418</v>
      </c>
      <c r="U538" s="10" t="n">
        <f aca="false">IF(AND($D538="",$E538="",$F538=""),1,0)</f>
        <v>0</v>
      </c>
      <c r="V538" s="10" t="n">
        <f aca="false">IF(OR($I538="",$I538="—"),1,0)</f>
        <v>0</v>
      </c>
      <c r="W538" s="10" t="n">
        <f aca="false">IF(AND(ISNUMBER($D538),ISNUMBER($E538)),IF($E538&gt;$D538,1,0),0)+IF(AND(ISNUMBER($D538),ISNUMBER($F538)),IF($D538&gt;$F538,1,0),0)+IF(AND(ISNUMBER($E538),ISNUMBER($F538)),IF($E538&gt;$F538,1,0),0)</f>
        <v>0</v>
      </c>
      <c r="X538" s="13" t="s">
        <v>76</v>
      </c>
    </row>
    <row r="539" customFormat="false" ht="15" hidden="false" customHeight="false" outlineLevel="0" collapsed="false">
      <c r="A539" s="10" t="s">
        <v>2419</v>
      </c>
      <c r="B539" s="10" t="s">
        <v>2420</v>
      </c>
      <c r="C539" s="10" t="s">
        <v>2421</v>
      </c>
      <c r="D539" s="12" t="n">
        <v>31411</v>
      </c>
      <c r="E539" s="12"/>
      <c r="F539" s="12"/>
      <c r="G539" s="10" t="s">
        <v>2312</v>
      </c>
      <c r="H539" s="10" t="s">
        <v>2405</v>
      </c>
      <c r="I539" s="11" t="s">
        <v>2422</v>
      </c>
      <c r="J539" s="10" t="s">
        <v>2423</v>
      </c>
      <c r="K539" s="10" t="s">
        <v>2405</v>
      </c>
      <c r="L539" s="10" t="s">
        <v>68</v>
      </c>
      <c r="M539" s="10" t="s">
        <v>69</v>
      </c>
      <c r="N539" s="10"/>
      <c r="O539" s="11" t="s">
        <v>2417</v>
      </c>
      <c r="P539" s="10" t="s">
        <v>637</v>
      </c>
      <c r="Q539" s="11" t="s">
        <v>72</v>
      </c>
      <c r="R539" s="11" t="s">
        <v>73</v>
      </c>
      <c r="S539" s="11" t="s">
        <v>1104</v>
      </c>
      <c r="T539" s="11" t="s">
        <v>2424</v>
      </c>
      <c r="U539" s="10" t="n">
        <f aca="false">IF(AND($D539="",$E539="",$F539=""),1,0)</f>
        <v>0</v>
      </c>
      <c r="V539" s="10" t="n">
        <f aca="false">IF(OR($I539="",$I539="—"),1,0)</f>
        <v>0</v>
      </c>
      <c r="W539" s="10" t="n">
        <f aca="false">IF(AND(ISNUMBER($D539),ISNUMBER($E539)),IF($E539&gt;$D539,1,0),0)+IF(AND(ISNUMBER($D539),ISNUMBER($F539)),IF($D539&gt;$F539,1,0),0)+IF(AND(ISNUMBER($E539),ISNUMBER($F539)),IF($E539&gt;$F539,1,0),0)</f>
        <v>0</v>
      </c>
      <c r="X539" s="13" t="s">
        <v>76</v>
      </c>
    </row>
    <row r="540" customFormat="false" ht="15" hidden="false" customHeight="false" outlineLevel="0" collapsed="false">
      <c r="A540" s="10" t="s">
        <v>2425</v>
      </c>
      <c r="B540" s="10" t="s">
        <v>2426</v>
      </c>
      <c r="C540" s="10" t="s">
        <v>2427</v>
      </c>
      <c r="D540" s="12" t="n">
        <v>31374.95</v>
      </c>
      <c r="E540" s="12"/>
      <c r="F540" s="12"/>
      <c r="G540" s="10" t="s">
        <v>2312</v>
      </c>
      <c r="H540" s="10" t="s">
        <v>2405</v>
      </c>
      <c r="I540" s="11" t="s">
        <v>2307</v>
      </c>
      <c r="J540" s="10" t="s">
        <v>2299</v>
      </c>
      <c r="K540" s="10" t="s">
        <v>2300</v>
      </c>
      <c r="L540" s="10" t="s">
        <v>68</v>
      </c>
      <c r="M540" s="10" t="s">
        <v>69</v>
      </c>
      <c r="N540" s="10"/>
      <c r="O540" s="11" t="s">
        <v>2301</v>
      </c>
      <c r="P540" s="10" t="s">
        <v>71</v>
      </c>
      <c r="Q540" s="11" t="s">
        <v>72</v>
      </c>
      <c r="R540" s="11" t="s">
        <v>73</v>
      </c>
      <c r="S540" s="11" t="s">
        <v>74</v>
      </c>
      <c r="T540" s="11" t="s">
        <v>2428</v>
      </c>
      <c r="U540" s="10" t="n">
        <f aca="false">IF(AND($D540="",$E540="",$F540=""),1,0)</f>
        <v>0</v>
      </c>
      <c r="V540" s="10" t="n">
        <f aca="false">IF(OR($I540="",$I540="—"),1,0)</f>
        <v>0</v>
      </c>
      <c r="W540" s="10" t="n">
        <f aca="false">IF(AND(ISNUMBER($D540),ISNUMBER($E540)),IF($E540&gt;$D540,1,0),0)+IF(AND(ISNUMBER($D540),ISNUMBER($F540)),IF($D540&gt;$F540,1,0),0)+IF(AND(ISNUMBER($E540),ISNUMBER($F540)),IF($E540&gt;$F540,1,0),0)</f>
        <v>0</v>
      </c>
      <c r="X540" s="13" t="s">
        <v>76</v>
      </c>
    </row>
    <row r="541" customFormat="false" ht="15" hidden="false" customHeight="false" outlineLevel="0" collapsed="false">
      <c r="A541" s="10" t="s">
        <v>2429</v>
      </c>
      <c r="B541" s="10" t="s">
        <v>2430</v>
      </c>
      <c r="C541" s="10" t="s">
        <v>2431</v>
      </c>
      <c r="D541" s="12"/>
      <c r="E541" s="12"/>
      <c r="F541" s="12"/>
      <c r="G541" s="10" t="s">
        <v>63</v>
      </c>
      <c r="H541" s="10" t="s">
        <v>2432</v>
      </c>
      <c r="I541" s="11" t="s">
        <v>2433</v>
      </c>
      <c r="J541" s="10" t="s">
        <v>2299</v>
      </c>
      <c r="K541" s="10" t="s">
        <v>2300</v>
      </c>
      <c r="L541" s="10" t="s">
        <v>68</v>
      </c>
      <c r="M541" s="10" t="s">
        <v>69</v>
      </c>
      <c r="N541" s="10"/>
      <c r="O541" s="11" t="s">
        <v>2434</v>
      </c>
      <c r="P541" s="10" t="s">
        <v>71</v>
      </c>
      <c r="Q541" s="11" t="s">
        <v>72</v>
      </c>
      <c r="R541" s="11" t="s">
        <v>73</v>
      </c>
      <c r="S541" s="11" t="s">
        <v>74</v>
      </c>
      <c r="T541" s="11" t="s">
        <v>2435</v>
      </c>
      <c r="U541" s="10" t="n">
        <f aca="false">IF(AND($D541="",$E541="",$F541=""),1,0)</f>
        <v>1</v>
      </c>
      <c r="V541" s="10" t="n">
        <f aca="false">IF(OR($I541="",$I541="—"),1,0)</f>
        <v>0</v>
      </c>
      <c r="W541" s="10" t="n">
        <f aca="false">IF(AND(ISNUMBER($D541),ISNUMBER($E541)),IF($E541&gt;$D541,1,0),0)+IF(AND(ISNUMBER($D541),ISNUMBER($F541)),IF($D541&gt;$F541,1,0),0)+IF(AND(ISNUMBER($E541),ISNUMBER($F541)),IF($E541&gt;$F541,1,0),0)</f>
        <v>0</v>
      </c>
      <c r="X541" s="13" t="s">
        <v>76</v>
      </c>
    </row>
    <row r="542" customFormat="false" ht="15" hidden="false" customHeight="false" outlineLevel="0" collapsed="false">
      <c r="A542" s="10" t="s">
        <v>2436</v>
      </c>
      <c r="B542" s="10" t="s">
        <v>2437</v>
      </c>
      <c r="C542" s="10" t="s">
        <v>2438</v>
      </c>
      <c r="D542" s="12" t="n">
        <v>4</v>
      </c>
      <c r="E542" s="12"/>
      <c r="F542" s="12"/>
      <c r="G542" s="10" t="s">
        <v>2237</v>
      </c>
      <c r="H542" s="10" t="s">
        <v>2414</v>
      </c>
      <c r="I542" s="10" t="s">
        <v>2439</v>
      </c>
      <c r="J542" s="10" t="s">
        <v>2440</v>
      </c>
      <c r="K542" s="10" t="s">
        <v>2414</v>
      </c>
      <c r="L542" s="10" t="s">
        <v>68</v>
      </c>
      <c r="M542" s="10" t="s">
        <v>416</v>
      </c>
      <c r="N542" s="11" t="s">
        <v>2441</v>
      </c>
      <c r="O542" s="11" t="s">
        <v>2442</v>
      </c>
      <c r="P542" s="10" t="s">
        <v>637</v>
      </c>
      <c r="Q542" s="11" t="s">
        <v>72</v>
      </c>
      <c r="R542" s="11" t="s">
        <v>2441</v>
      </c>
      <c r="S542" s="11" t="s">
        <v>1278</v>
      </c>
      <c r="T542" s="11" t="s">
        <v>2443</v>
      </c>
      <c r="U542" s="10" t="n">
        <f aca="false">IF(AND($D542="",$E542="",$F542=""),1,0)</f>
        <v>0</v>
      </c>
      <c r="V542" s="10" t="n">
        <f aca="false">IF(OR($I542="",$I542="—"),1,0)</f>
        <v>0</v>
      </c>
      <c r="W542" s="10" t="n">
        <f aca="false">IF(AND(ISNUMBER($D542),ISNUMBER($E542)),IF($E542&gt;$D542,1,0),0)+IF(AND(ISNUMBER($D542),ISNUMBER($F542)),IF($D542&gt;$F542,1,0),0)+IF(AND(ISNUMBER($E542),ISNUMBER($F542)),IF($E542&gt;$F542,1,0),0)</f>
        <v>0</v>
      </c>
      <c r="X542" s="13" t="s">
        <v>76</v>
      </c>
    </row>
    <row r="543" customFormat="false" ht="15" hidden="false" customHeight="false" outlineLevel="0" collapsed="false">
      <c r="A543" s="10" t="s">
        <v>2444</v>
      </c>
      <c r="B543" s="10" t="s">
        <v>2445</v>
      </c>
      <c r="C543" s="10" t="s">
        <v>2446</v>
      </c>
      <c r="D543" s="12" t="n">
        <v>55</v>
      </c>
      <c r="E543" s="12"/>
      <c r="F543" s="12"/>
      <c r="G543" s="10" t="s">
        <v>401</v>
      </c>
      <c r="H543" s="10" t="s">
        <v>2432</v>
      </c>
      <c r="I543" s="11" t="s">
        <v>2422</v>
      </c>
      <c r="J543" s="10" t="s">
        <v>2423</v>
      </c>
      <c r="K543" s="10" t="s">
        <v>2405</v>
      </c>
      <c r="L543" s="10" t="s">
        <v>68</v>
      </c>
      <c r="M543" s="10" t="s">
        <v>69</v>
      </c>
      <c r="N543" s="10"/>
      <c r="O543" s="11" t="s">
        <v>2417</v>
      </c>
      <c r="P543" s="10" t="s">
        <v>637</v>
      </c>
      <c r="Q543" s="11" t="s">
        <v>72</v>
      </c>
      <c r="R543" s="11" t="s">
        <v>73</v>
      </c>
      <c r="S543" s="11" t="s">
        <v>1104</v>
      </c>
      <c r="T543" s="11" t="s">
        <v>2447</v>
      </c>
      <c r="U543" s="10" t="n">
        <f aca="false">IF(AND($D543="",$E543="",$F543=""),1,0)</f>
        <v>0</v>
      </c>
      <c r="V543" s="10" t="n">
        <f aca="false">IF(OR($I543="",$I543="—"),1,0)</f>
        <v>0</v>
      </c>
      <c r="W543" s="10" t="n">
        <f aca="false">IF(AND(ISNUMBER($D543),ISNUMBER($E543)),IF($E543&gt;$D543,1,0),0)+IF(AND(ISNUMBER($D543),ISNUMBER($F543)),IF($D543&gt;$F543,1,0),0)+IF(AND(ISNUMBER($E543),ISNUMBER($F543)),IF($E543&gt;$F543,1,0),0)</f>
        <v>0</v>
      </c>
      <c r="X543" s="13" t="s">
        <v>76</v>
      </c>
    </row>
    <row r="544" customFormat="false" ht="15" hidden="false" customHeight="false" outlineLevel="0" collapsed="false">
      <c r="A544" s="10" t="s">
        <v>2448</v>
      </c>
      <c r="B544" s="10" t="s">
        <v>2449</v>
      </c>
      <c r="C544" s="10" t="s">
        <v>2450</v>
      </c>
      <c r="D544" s="12" t="n">
        <v>10954.8</v>
      </c>
      <c r="E544" s="12"/>
      <c r="F544" s="12"/>
      <c r="G544" s="10" t="s">
        <v>2312</v>
      </c>
      <c r="H544" s="10" t="s">
        <v>665</v>
      </c>
      <c r="I544" s="11" t="s">
        <v>2307</v>
      </c>
      <c r="J544" s="10" t="s">
        <v>2299</v>
      </c>
      <c r="K544" s="10" t="s">
        <v>2300</v>
      </c>
      <c r="L544" s="10" t="s">
        <v>68</v>
      </c>
      <c r="M544" s="10" t="s">
        <v>69</v>
      </c>
      <c r="N544" s="10"/>
      <c r="O544" s="11" t="s">
        <v>2301</v>
      </c>
      <c r="P544" s="10" t="s">
        <v>71</v>
      </c>
      <c r="Q544" s="11" t="s">
        <v>72</v>
      </c>
      <c r="R544" s="11" t="s">
        <v>73</v>
      </c>
      <c r="S544" s="11" t="s">
        <v>74</v>
      </c>
      <c r="T544" s="11" t="s">
        <v>2451</v>
      </c>
      <c r="U544" s="10" t="n">
        <f aca="false">IF(AND($D544="",$E544="",$F544=""),1,0)</f>
        <v>0</v>
      </c>
      <c r="V544" s="10" t="n">
        <f aca="false">IF(OR($I544="",$I544="—"),1,0)</f>
        <v>0</v>
      </c>
      <c r="W544" s="10" t="n">
        <f aca="false">IF(AND(ISNUMBER($D544),ISNUMBER($E544)),IF($E544&gt;$D544,1,0),0)+IF(AND(ISNUMBER($D544),ISNUMBER($F544)),IF($D544&gt;$F544,1,0),0)+IF(AND(ISNUMBER($E544),ISNUMBER($F544)),IF($E544&gt;$F544,1,0),0)</f>
        <v>0</v>
      </c>
      <c r="X544" s="13" t="s">
        <v>76</v>
      </c>
    </row>
    <row r="545" customFormat="false" ht="15" hidden="false" customHeight="false" outlineLevel="0" collapsed="false">
      <c r="A545" s="10" t="s">
        <v>2452</v>
      </c>
      <c r="B545" s="10" t="s">
        <v>2453</v>
      </c>
      <c r="C545" s="10" t="s">
        <v>2454</v>
      </c>
      <c r="D545" s="12" t="n">
        <v>714</v>
      </c>
      <c r="E545" s="12"/>
      <c r="F545" s="12"/>
      <c r="G545" s="10" t="s">
        <v>2297</v>
      </c>
      <c r="H545" s="10" t="s">
        <v>2455</v>
      </c>
      <c r="I545" s="11" t="s">
        <v>2307</v>
      </c>
      <c r="J545" s="10" t="s">
        <v>2299</v>
      </c>
      <c r="K545" s="10" t="s">
        <v>2300</v>
      </c>
      <c r="L545" s="10" t="s">
        <v>68</v>
      </c>
      <c r="M545" s="10" t="s">
        <v>69</v>
      </c>
      <c r="N545" s="10"/>
      <c r="O545" s="11" t="s">
        <v>2301</v>
      </c>
      <c r="P545" s="10" t="s">
        <v>71</v>
      </c>
      <c r="Q545" s="11" t="s">
        <v>72</v>
      </c>
      <c r="R545" s="11" t="s">
        <v>73</v>
      </c>
      <c r="S545" s="11" t="s">
        <v>74</v>
      </c>
      <c r="T545" s="11" t="s">
        <v>2456</v>
      </c>
      <c r="U545" s="10" t="n">
        <f aca="false">IF(AND($D545="",$E545="",$F545=""),1,0)</f>
        <v>0</v>
      </c>
      <c r="V545" s="10" t="n">
        <f aca="false">IF(OR($I545="",$I545="—"),1,0)</f>
        <v>0</v>
      </c>
      <c r="W545" s="10" t="n">
        <f aca="false">IF(AND(ISNUMBER($D545),ISNUMBER($E545)),IF($E545&gt;$D545,1,0),0)+IF(AND(ISNUMBER($D545),ISNUMBER($F545)),IF($D545&gt;$F545,1,0),0)+IF(AND(ISNUMBER($E545),ISNUMBER($F545)),IF($E545&gt;$F545,1,0),0)</f>
        <v>0</v>
      </c>
      <c r="X545" s="13" t="s">
        <v>76</v>
      </c>
    </row>
    <row r="546" customFormat="false" ht="15" hidden="false" customHeight="false" outlineLevel="0" collapsed="false">
      <c r="A546" s="10" t="s">
        <v>2457</v>
      </c>
      <c r="B546" s="10" t="s">
        <v>2458</v>
      </c>
      <c r="C546" s="10" t="s">
        <v>2459</v>
      </c>
      <c r="D546" s="12" t="n">
        <v>21965000</v>
      </c>
      <c r="E546" s="12"/>
      <c r="F546" s="12"/>
      <c r="G546" s="11" t="s">
        <v>2306</v>
      </c>
      <c r="H546" s="10" t="s">
        <v>1752</v>
      </c>
      <c r="I546" s="11" t="s">
        <v>2460</v>
      </c>
      <c r="J546" s="10" t="s">
        <v>2461</v>
      </c>
      <c r="K546" s="10" t="s">
        <v>2462</v>
      </c>
      <c r="L546" s="10" t="s">
        <v>68</v>
      </c>
      <c r="M546" s="10" t="s">
        <v>69</v>
      </c>
      <c r="N546" s="10"/>
      <c r="O546" s="11" t="s">
        <v>2463</v>
      </c>
      <c r="P546" s="10" t="s">
        <v>637</v>
      </c>
      <c r="Q546" s="11" t="s">
        <v>72</v>
      </c>
      <c r="R546" s="11" t="s">
        <v>73</v>
      </c>
      <c r="S546" s="11" t="s">
        <v>1104</v>
      </c>
      <c r="T546" s="11" t="s">
        <v>2464</v>
      </c>
      <c r="U546" s="10" t="n">
        <f aca="false">IF(AND($D546="",$E546="",$F546=""),1,0)</f>
        <v>0</v>
      </c>
      <c r="V546" s="10" t="n">
        <f aca="false">IF(OR($I546="",$I546="—"),1,0)</f>
        <v>0</v>
      </c>
      <c r="W546" s="10" t="n">
        <f aca="false">IF(AND(ISNUMBER($D546),ISNUMBER($E546)),IF($E546&gt;$D546,1,0),0)+IF(AND(ISNUMBER($D546),ISNUMBER($F546)),IF($D546&gt;$F546,1,0),0)+IF(AND(ISNUMBER($E546),ISNUMBER($F546)),IF($E546&gt;$F546,1,0),0)</f>
        <v>0</v>
      </c>
      <c r="X546" s="13" t="s">
        <v>76</v>
      </c>
    </row>
    <row r="547" customFormat="false" ht="15" hidden="false" customHeight="false" outlineLevel="0" collapsed="false">
      <c r="A547" s="10" t="s">
        <v>2465</v>
      </c>
      <c r="B547" s="10" t="s">
        <v>2466</v>
      </c>
      <c r="C547" s="10" t="s">
        <v>2467</v>
      </c>
      <c r="D547" s="12" t="n">
        <v>15683.01</v>
      </c>
      <c r="E547" s="12"/>
      <c r="F547" s="12"/>
      <c r="G547" s="10" t="s">
        <v>2312</v>
      </c>
      <c r="H547" s="10" t="s">
        <v>1752</v>
      </c>
      <c r="I547" s="11" t="s">
        <v>2307</v>
      </c>
      <c r="J547" s="10" t="s">
        <v>2299</v>
      </c>
      <c r="K547" s="10" t="s">
        <v>2300</v>
      </c>
      <c r="L547" s="10" t="s">
        <v>68</v>
      </c>
      <c r="M547" s="10" t="s">
        <v>69</v>
      </c>
      <c r="N547" s="10"/>
      <c r="O547" s="11" t="s">
        <v>2301</v>
      </c>
      <c r="P547" s="10" t="s">
        <v>71</v>
      </c>
      <c r="Q547" s="11" t="s">
        <v>72</v>
      </c>
      <c r="R547" s="11" t="s">
        <v>73</v>
      </c>
      <c r="S547" s="11" t="s">
        <v>74</v>
      </c>
      <c r="T547" s="11" t="s">
        <v>2468</v>
      </c>
      <c r="U547" s="10" t="n">
        <f aca="false">IF(AND($D547="",$E547="",$F547=""),1,0)</f>
        <v>0</v>
      </c>
      <c r="V547" s="10" t="n">
        <f aca="false">IF(OR($I547="",$I547="—"),1,0)</f>
        <v>0</v>
      </c>
      <c r="W547" s="10" t="n">
        <f aca="false">IF(AND(ISNUMBER($D547),ISNUMBER($E547)),IF($E547&gt;$D547,1,0),0)+IF(AND(ISNUMBER($D547),ISNUMBER($F547)),IF($D547&gt;$F547,1,0),0)+IF(AND(ISNUMBER($E547),ISNUMBER($F547)),IF($E547&gt;$F547,1,0),0)</f>
        <v>0</v>
      </c>
      <c r="X547" s="13" t="s">
        <v>76</v>
      </c>
    </row>
    <row r="548" customFormat="false" ht="15" hidden="false" customHeight="false" outlineLevel="0" collapsed="false">
      <c r="A548" s="10" t="s">
        <v>2469</v>
      </c>
      <c r="B548" s="10" t="s">
        <v>2470</v>
      </c>
      <c r="C548" s="10" t="s">
        <v>2471</v>
      </c>
      <c r="D548" s="12" t="n">
        <v>15664.13</v>
      </c>
      <c r="E548" s="12"/>
      <c r="F548" s="12"/>
      <c r="G548" s="10" t="s">
        <v>2312</v>
      </c>
      <c r="H548" s="10" t="s">
        <v>1752</v>
      </c>
      <c r="I548" s="11" t="s">
        <v>2307</v>
      </c>
      <c r="J548" s="10" t="s">
        <v>2299</v>
      </c>
      <c r="K548" s="10" t="s">
        <v>2300</v>
      </c>
      <c r="L548" s="10" t="s">
        <v>68</v>
      </c>
      <c r="M548" s="10" t="s">
        <v>69</v>
      </c>
      <c r="N548" s="10"/>
      <c r="O548" s="11" t="s">
        <v>2301</v>
      </c>
      <c r="P548" s="10" t="s">
        <v>71</v>
      </c>
      <c r="Q548" s="11" t="s">
        <v>72</v>
      </c>
      <c r="R548" s="11" t="s">
        <v>73</v>
      </c>
      <c r="S548" s="11" t="s">
        <v>74</v>
      </c>
      <c r="T548" s="11" t="s">
        <v>2472</v>
      </c>
      <c r="U548" s="10" t="n">
        <f aca="false">IF(AND($D548="",$E548="",$F548=""),1,0)</f>
        <v>0</v>
      </c>
      <c r="V548" s="10" t="n">
        <f aca="false">IF(OR($I548="",$I548="—"),1,0)</f>
        <v>0</v>
      </c>
      <c r="W548" s="10" t="n">
        <f aca="false">IF(AND(ISNUMBER($D548),ISNUMBER($E548)),IF($E548&gt;$D548,1,0),0)+IF(AND(ISNUMBER($D548),ISNUMBER($F548)),IF($D548&gt;$F548,1,0),0)+IF(AND(ISNUMBER($E548),ISNUMBER($F548)),IF($E548&gt;$F548,1,0),0)</f>
        <v>0</v>
      </c>
      <c r="X548" s="13" t="s">
        <v>76</v>
      </c>
    </row>
    <row r="549" customFormat="false" ht="15" hidden="false" customHeight="false" outlineLevel="0" collapsed="false">
      <c r="A549" s="10" t="s">
        <v>2473</v>
      </c>
      <c r="B549" s="10" t="s">
        <v>2474</v>
      </c>
      <c r="C549" s="10" t="s">
        <v>2475</v>
      </c>
      <c r="D549" s="12" t="n">
        <v>201.4</v>
      </c>
      <c r="E549" s="12"/>
      <c r="F549" s="12"/>
      <c r="G549" s="10" t="s">
        <v>63</v>
      </c>
      <c r="H549" s="10" t="s">
        <v>2476</v>
      </c>
      <c r="I549" s="11" t="s">
        <v>2307</v>
      </c>
      <c r="J549" s="10" t="s">
        <v>2299</v>
      </c>
      <c r="K549" s="10" t="s">
        <v>2300</v>
      </c>
      <c r="L549" s="10" t="s">
        <v>68</v>
      </c>
      <c r="M549" s="10" t="s">
        <v>69</v>
      </c>
      <c r="N549" s="10"/>
      <c r="O549" s="11" t="s">
        <v>2301</v>
      </c>
      <c r="P549" s="10" t="s">
        <v>71</v>
      </c>
      <c r="Q549" s="11" t="s">
        <v>72</v>
      </c>
      <c r="R549" s="11" t="s">
        <v>73</v>
      </c>
      <c r="S549" s="11" t="s">
        <v>74</v>
      </c>
      <c r="T549" s="11" t="s">
        <v>2477</v>
      </c>
      <c r="U549" s="10" t="n">
        <f aca="false">IF(AND($D549="",$E549="",$F549=""),1,0)</f>
        <v>0</v>
      </c>
      <c r="V549" s="10" t="n">
        <f aca="false">IF(OR($I549="",$I549="—"),1,0)</f>
        <v>0</v>
      </c>
      <c r="W549" s="10" t="n">
        <f aca="false">IF(AND(ISNUMBER($D549),ISNUMBER($E549)),IF($E549&gt;$D549,1,0),0)+IF(AND(ISNUMBER($D549),ISNUMBER($F549)),IF($D549&gt;$F549,1,0),0)+IF(AND(ISNUMBER($E549),ISNUMBER($F549)),IF($E549&gt;$F549,1,0),0)</f>
        <v>0</v>
      </c>
      <c r="X549" s="13" t="s">
        <v>76</v>
      </c>
    </row>
    <row r="550" customFormat="false" ht="15" hidden="false" customHeight="false" outlineLevel="0" collapsed="false">
      <c r="A550" s="10" t="s">
        <v>2478</v>
      </c>
      <c r="B550" s="10" t="s">
        <v>2479</v>
      </c>
      <c r="C550" s="11" t="s">
        <v>2480</v>
      </c>
      <c r="D550" s="12" t="n">
        <v>3015.64</v>
      </c>
      <c r="E550" s="12"/>
      <c r="F550" s="12"/>
      <c r="G550" s="10" t="s">
        <v>2226</v>
      </c>
      <c r="H550" s="10" t="s">
        <v>2462</v>
      </c>
      <c r="I550" s="11" t="s">
        <v>2307</v>
      </c>
      <c r="J550" s="10" t="s">
        <v>2299</v>
      </c>
      <c r="K550" s="10" t="s">
        <v>2300</v>
      </c>
      <c r="L550" s="10" t="s">
        <v>68</v>
      </c>
      <c r="M550" s="10" t="s">
        <v>69</v>
      </c>
      <c r="N550" s="10"/>
      <c r="O550" s="11" t="s">
        <v>2301</v>
      </c>
      <c r="P550" s="10" t="s">
        <v>71</v>
      </c>
      <c r="Q550" s="11" t="s">
        <v>72</v>
      </c>
      <c r="R550" s="11" t="s">
        <v>73</v>
      </c>
      <c r="S550" s="11" t="s">
        <v>74</v>
      </c>
      <c r="T550" s="11" t="s">
        <v>2481</v>
      </c>
      <c r="U550" s="10" t="n">
        <f aca="false">IF(AND($D550="",$E550="",$F550=""),1,0)</f>
        <v>0</v>
      </c>
      <c r="V550" s="10" t="n">
        <f aca="false">IF(OR($I550="",$I550="—"),1,0)</f>
        <v>0</v>
      </c>
      <c r="W550" s="10" t="n">
        <f aca="false">IF(AND(ISNUMBER($D550),ISNUMBER($E550)),IF($E550&gt;$D550,1,0),0)+IF(AND(ISNUMBER($D550),ISNUMBER($F550)),IF($D550&gt;$F550,1,0),0)+IF(AND(ISNUMBER($E550),ISNUMBER($F550)),IF($E550&gt;$F550,1,0),0)</f>
        <v>0</v>
      </c>
      <c r="X550" s="13" t="s">
        <v>76</v>
      </c>
    </row>
    <row r="551" customFormat="false" ht="15" hidden="false" customHeight="false" outlineLevel="0" collapsed="false">
      <c r="A551" s="10" t="s">
        <v>2482</v>
      </c>
      <c r="B551" s="10" t="s">
        <v>2483</v>
      </c>
      <c r="C551" s="11" t="s">
        <v>2484</v>
      </c>
      <c r="D551" s="12" t="n">
        <v>3010.77</v>
      </c>
      <c r="E551" s="12"/>
      <c r="F551" s="12"/>
      <c r="G551" s="10" t="s">
        <v>2226</v>
      </c>
      <c r="H551" s="10" t="s">
        <v>2462</v>
      </c>
      <c r="I551" s="11" t="s">
        <v>2307</v>
      </c>
      <c r="J551" s="10" t="s">
        <v>2299</v>
      </c>
      <c r="K551" s="10" t="s">
        <v>2300</v>
      </c>
      <c r="L551" s="10" t="s">
        <v>68</v>
      </c>
      <c r="M551" s="10" t="s">
        <v>69</v>
      </c>
      <c r="N551" s="10"/>
      <c r="O551" s="11" t="s">
        <v>2301</v>
      </c>
      <c r="P551" s="10" t="s">
        <v>71</v>
      </c>
      <c r="Q551" s="11" t="s">
        <v>72</v>
      </c>
      <c r="R551" s="11" t="s">
        <v>73</v>
      </c>
      <c r="S551" s="11" t="s">
        <v>74</v>
      </c>
      <c r="T551" s="11" t="s">
        <v>2485</v>
      </c>
      <c r="U551" s="10" t="n">
        <f aca="false">IF(AND($D551="",$E551="",$F551=""),1,0)</f>
        <v>0</v>
      </c>
      <c r="V551" s="10" t="n">
        <f aca="false">IF(OR($I551="",$I551="—"),1,0)</f>
        <v>0</v>
      </c>
      <c r="W551" s="10" t="n">
        <f aca="false">IF(AND(ISNUMBER($D551),ISNUMBER($E551)),IF($E551&gt;$D551,1,0),0)+IF(AND(ISNUMBER($D551),ISNUMBER($F551)),IF($D551&gt;$F551,1,0),0)+IF(AND(ISNUMBER($E551),ISNUMBER($F551)),IF($E551&gt;$F551,1,0),0)</f>
        <v>0</v>
      </c>
      <c r="X551" s="13" t="s">
        <v>76</v>
      </c>
    </row>
    <row r="552" customFormat="false" ht="15" hidden="false" customHeight="false" outlineLevel="0" collapsed="false">
      <c r="A552" s="10" t="s">
        <v>2486</v>
      </c>
      <c r="B552" s="10" t="s">
        <v>2487</v>
      </c>
      <c r="C552" s="11" t="s">
        <v>2488</v>
      </c>
      <c r="D552" s="12" t="n">
        <v>892.5</v>
      </c>
      <c r="E552" s="12"/>
      <c r="F552" s="12"/>
      <c r="G552" s="10" t="s">
        <v>2297</v>
      </c>
      <c r="H552" s="10" t="s">
        <v>2455</v>
      </c>
      <c r="I552" s="11" t="s">
        <v>2307</v>
      </c>
      <c r="J552" s="10" t="s">
        <v>2299</v>
      </c>
      <c r="K552" s="10" t="s">
        <v>2300</v>
      </c>
      <c r="L552" s="10" t="s">
        <v>68</v>
      </c>
      <c r="M552" s="10" t="s">
        <v>69</v>
      </c>
      <c r="N552" s="10"/>
      <c r="O552" s="11" t="s">
        <v>2301</v>
      </c>
      <c r="P552" s="10" t="s">
        <v>71</v>
      </c>
      <c r="Q552" s="11" t="s">
        <v>72</v>
      </c>
      <c r="R552" s="11" t="s">
        <v>73</v>
      </c>
      <c r="S552" s="11" t="s">
        <v>74</v>
      </c>
      <c r="T552" s="11" t="s">
        <v>2489</v>
      </c>
      <c r="U552" s="10" t="n">
        <f aca="false">IF(AND($D552="",$E552="",$F552=""),1,0)</f>
        <v>0</v>
      </c>
      <c r="V552" s="10" t="n">
        <f aca="false">IF(OR($I552="",$I552="—"),1,0)</f>
        <v>0</v>
      </c>
      <c r="W552" s="10" t="n">
        <f aca="false">IF(AND(ISNUMBER($D552),ISNUMBER($E552)),IF($E552&gt;$D552,1,0),0)+IF(AND(ISNUMBER($D552),ISNUMBER($F552)),IF($D552&gt;$F552,1,0),0)+IF(AND(ISNUMBER($E552),ISNUMBER($F552)),IF($E552&gt;$F552,1,0),0)</f>
        <v>0</v>
      </c>
      <c r="X552" s="13" t="s">
        <v>76</v>
      </c>
    </row>
    <row r="553" customFormat="false" ht="15" hidden="false" customHeight="false" outlineLevel="0" collapsed="false">
      <c r="A553" s="10" t="s">
        <v>2490</v>
      </c>
      <c r="B553" s="10" t="s">
        <v>2491</v>
      </c>
      <c r="C553" s="11" t="s">
        <v>2492</v>
      </c>
      <c r="D553" s="12" t="n">
        <v>26365026</v>
      </c>
      <c r="E553" s="12"/>
      <c r="F553" s="12"/>
      <c r="G553" s="11" t="s">
        <v>2306</v>
      </c>
      <c r="H553" s="10" t="s">
        <v>1957</v>
      </c>
      <c r="I553" s="11" t="s">
        <v>2307</v>
      </c>
      <c r="J553" s="10" t="s">
        <v>2299</v>
      </c>
      <c r="K553" s="10" t="s">
        <v>2300</v>
      </c>
      <c r="L553" s="10" t="s">
        <v>68</v>
      </c>
      <c r="M553" s="10" t="s">
        <v>69</v>
      </c>
      <c r="N553" s="10"/>
      <c r="O553" s="11" t="s">
        <v>2301</v>
      </c>
      <c r="P553" s="10" t="s">
        <v>71</v>
      </c>
      <c r="Q553" s="11" t="s">
        <v>72</v>
      </c>
      <c r="R553" s="11" t="s">
        <v>73</v>
      </c>
      <c r="S553" s="11" t="s">
        <v>74</v>
      </c>
      <c r="T553" s="11" t="s">
        <v>2493</v>
      </c>
      <c r="U553" s="10" t="n">
        <f aca="false">IF(AND($D553="",$E553="",$F553=""),1,0)</f>
        <v>0</v>
      </c>
      <c r="V553" s="10" t="n">
        <f aca="false">IF(OR($I553="",$I553="—"),1,0)</f>
        <v>0</v>
      </c>
      <c r="W553" s="10" t="n">
        <f aca="false">IF(AND(ISNUMBER($D553),ISNUMBER($E553)),IF($E553&gt;$D553,1,0),0)+IF(AND(ISNUMBER($D553),ISNUMBER($F553)),IF($D553&gt;$F553,1,0),0)+IF(AND(ISNUMBER($E553),ISNUMBER($F553)),IF($E553&gt;$F553,1,0),0)</f>
        <v>0</v>
      </c>
      <c r="X553" s="13" t="s">
        <v>76</v>
      </c>
    </row>
    <row r="554" customFormat="false" ht="15" hidden="false" customHeight="false" outlineLevel="0" collapsed="false">
      <c r="A554" s="10" t="s">
        <v>2494</v>
      </c>
      <c r="B554" s="10" t="s">
        <v>2495</v>
      </c>
      <c r="C554" s="10" t="s">
        <v>2496</v>
      </c>
      <c r="D554" s="12" t="n">
        <v>60</v>
      </c>
      <c r="E554" s="12"/>
      <c r="F554" s="12"/>
      <c r="G554" s="10" t="s">
        <v>401</v>
      </c>
      <c r="H554" s="10" t="s">
        <v>1957</v>
      </c>
      <c r="I554" s="11" t="s">
        <v>2307</v>
      </c>
      <c r="J554" s="10" t="s">
        <v>2299</v>
      </c>
      <c r="K554" s="10" t="s">
        <v>2300</v>
      </c>
      <c r="L554" s="10" t="s">
        <v>68</v>
      </c>
      <c r="M554" s="10" t="s">
        <v>69</v>
      </c>
      <c r="N554" s="10"/>
      <c r="O554" s="11" t="s">
        <v>2301</v>
      </c>
      <c r="P554" s="10" t="s">
        <v>71</v>
      </c>
      <c r="Q554" s="11" t="s">
        <v>72</v>
      </c>
      <c r="R554" s="11" t="s">
        <v>73</v>
      </c>
      <c r="S554" s="11" t="s">
        <v>74</v>
      </c>
      <c r="T554" s="10" t="s">
        <v>2497</v>
      </c>
      <c r="U554" s="10" t="n">
        <f aca="false">IF(AND($D554="",$E554="",$F554=""),1,0)</f>
        <v>0</v>
      </c>
      <c r="V554" s="10" t="n">
        <f aca="false">IF(OR($I554="",$I554="—"),1,0)</f>
        <v>0</v>
      </c>
      <c r="W554" s="10" t="n">
        <f aca="false">IF(AND(ISNUMBER($D554),ISNUMBER($E554)),IF($E554&gt;$D554,1,0),0)+IF(AND(ISNUMBER($D554),ISNUMBER($F554)),IF($D554&gt;$F554,1,0),0)+IF(AND(ISNUMBER($E554),ISNUMBER($F554)),IF($E554&gt;$F554,1,0),0)</f>
        <v>0</v>
      </c>
      <c r="X554" s="13" t="s">
        <v>76</v>
      </c>
    </row>
    <row r="555" customFormat="false" ht="15" hidden="false" customHeight="false" outlineLevel="0" collapsed="false">
      <c r="A555" s="10" t="s">
        <v>2498</v>
      </c>
      <c r="B555" s="10" t="s">
        <v>2499</v>
      </c>
      <c r="C555" s="10" t="s">
        <v>2500</v>
      </c>
      <c r="D555" s="12" t="n">
        <v>393.31</v>
      </c>
      <c r="E555" s="12"/>
      <c r="F555" s="12"/>
      <c r="G555" s="10" t="s">
        <v>2346</v>
      </c>
      <c r="H555" s="10" t="s">
        <v>1957</v>
      </c>
      <c r="I555" s="11" t="s">
        <v>2501</v>
      </c>
      <c r="J555" s="10" t="s">
        <v>2502</v>
      </c>
      <c r="K555" s="10" t="s">
        <v>1355</v>
      </c>
      <c r="L555" s="10" t="s">
        <v>68</v>
      </c>
      <c r="M555" s="10" t="s">
        <v>636</v>
      </c>
      <c r="N555" s="10"/>
      <c r="O555" s="11" t="s">
        <v>2503</v>
      </c>
      <c r="P555" s="10" t="s">
        <v>637</v>
      </c>
      <c r="Q555" s="11" t="s">
        <v>638</v>
      </c>
      <c r="R555" s="11" t="s">
        <v>639</v>
      </c>
      <c r="S555" s="11" t="s">
        <v>638</v>
      </c>
      <c r="T555" s="11" t="s">
        <v>2504</v>
      </c>
      <c r="U555" s="10" t="n">
        <f aca="false">IF(AND($D555="",$E555="",$F555=""),1,0)</f>
        <v>0</v>
      </c>
      <c r="V555" s="10" t="n">
        <f aca="false">IF(OR($I555="",$I555="—"),1,0)</f>
        <v>0</v>
      </c>
      <c r="W555" s="10" t="n">
        <f aca="false">IF(AND(ISNUMBER($D555),ISNUMBER($E555)),IF($E555&gt;$D555,1,0),0)+IF(AND(ISNUMBER($D555),ISNUMBER($F555)),IF($D555&gt;$F555,1,0),0)+IF(AND(ISNUMBER($E555),ISNUMBER($F555)),IF($E555&gt;$F555,1,0),0)</f>
        <v>0</v>
      </c>
      <c r="X555" s="13" t="s">
        <v>76</v>
      </c>
    </row>
    <row r="556" customFormat="false" ht="15" hidden="false" customHeight="false" outlineLevel="0" collapsed="false">
      <c r="A556" s="10" t="s">
        <v>2505</v>
      </c>
      <c r="B556" s="10" t="s">
        <v>2506</v>
      </c>
      <c r="C556" s="11" t="s">
        <v>2507</v>
      </c>
      <c r="D556" s="12" t="n">
        <v>2224.8</v>
      </c>
      <c r="E556" s="12"/>
      <c r="F556" s="12"/>
      <c r="G556" s="10" t="s">
        <v>2508</v>
      </c>
      <c r="H556" s="10" t="s">
        <v>824</v>
      </c>
      <c r="I556" s="11" t="s">
        <v>2509</v>
      </c>
      <c r="J556" s="10" t="s">
        <v>2510</v>
      </c>
      <c r="K556" s="10" t="s">
        <v>665</v>
      </c>
      <c r="L556" s="10" t="s">
        <v>68</v>
      </c>
      <c r="M556" s="10" t="s">
        <v>69</v>
      </c>
      <c r="N556" s="10"/>
      <c r="O556" s="11" t="s">
        <v>2511</v>
      </c>
      <c r="P556" s="10" t="s">
        <v>71</v>
      </c>
      <c r="Q556" s="11" t="s">
        <v>72</v>
      </c>
      <c r="R556" s="11" t="s">
        <v>73</v>
      </c>
      <c r="S556" s="11" t="s">
        <v>74</v>
      </c>
      <c r="T556" s="11" t="s">
        <v>2512</v>
      </c>
      <c r="U556" s="10" t="n">
        <f aca="false">IF(AND($D556="",$E556="",$F556=""),1,0)</f>
        <v>0</v>
      </c>
      <c r="V556" s="10" t="n">
        <f aca="false">IF(OR($I556="",$I556="—"),1,0)</f>
        <v>0</v>
      </c>
      <c r="W556" s="10" t="n">
        <f aca="false">IF(AND(ISNUMBER($D556),ISNUMBER($E556)),IF($E556&gt;$D556,1,0),0)+IF(AND(ISNUMBER($D556),ISNUMBER($F556)),IF($D556&gt;$F556,1,0),0)+IF(AND(ISNUMBER($E556),ISNUMBER($F556)),IF($E556&gt;$F556,1,0),0)</f>
        <v>0</v>
      </c>
      <c r="X556" s="13" t="s">
        <v>76</v>
      </c>
    </row>
    <row r="557" customFormat="false" ht="15" hidden="false" customHeight="false" outlineLevel="0" collapsed="false">
      <c r="A557" s="10" t="s">
        <v>2513</v>
      </c>
      <c r="B557" s="10" t="s">
        <v>2514</v>
      </c>
      <c r="C557" s="11" t="s">
        <v>2507</v>
      </c>
      <c r="D557" s="12" t="n">
        <v>689.5</v>
      </c>
      <c r="E557" s="12"/>
      <c r="F557" s="12"/>
      <c r="G557" s="10" t="s">
        <v>2508</v>
      </c>
      <c r="H557" s="10" t="s">
        <v>626</v>
      </c>
      <c r="I557" s="11" t="s">
        <v>2509</v>
      </c>
      <c r="J557" s="10" t="s">
        <v>2510</v>
      </c>
      <c r="K557" s="10" t="s">
        <v>665</v>
      </c>
      <c r="L557" s="10" t="s">
        <v>68</v>
      </c>
      <c r="M557" s="10" t="s">
        <v>69</v>
      </c>
      <c r="N557" s="10"/>
      <c r="O557" s="11" t="s">
        <v>2515</v>
      </c>
      <c r="P557" s="10" t="s">
        <v>71</v>
      </c>
      <c r="Q557" s="11" t="s">
        <v>72</v>
      </c>
      <c r="R557" s="11" t="s">
        <v>73</v>
      </c>
      <c r="S557" s="11" t="s">
        <v>74</v>
      </c>
      <c r="T557" s="10" t="s">
        <v>2516</v>
      </c>
      <c r="U557" s="10" t="n">
        <f aca="false">IF(AND($D557="",$E557="",$F557=""),1,0)</f>
        <v>0</v>
      </c>
      <c r="V557" s="10" t="n">
        <f aca="false">IF(OR($I557="",$I557="—"),1,0)</f>
        <v>0</v>
      </c>
      <c r="W557" s="10" t="n">
        <f aca="false">IF(AND(ISNUMBER($D557),ISNUMBER($E557)),IF($E557&gt;$D557,1,0),0)+IF(AND(ISNUMBER($D557),ISNUMBER($F557)),IF($D557&gt;$F557,1,0),0)+IF(AND(ISNUMBER($E557),ISNUMBER($F557)),IF($E557&gt;$F557,1,0),0)</f>
        <v>0</v>
      </c>
      <c r="X557" s="13" t="s">
        <v>76</v>
      </c>
    </row>
    <row r="558" customFormat="false" ht="15" hidden="false" customHeight="false" outlineLevel="0" collapsed="false">
      <c r="A558" s="10" t="s">
        <v>2517</v>
      </c>
      <c r="B558" s="10" t="s">
        <v>2518</v>
      </c>
      <c r="C558" s="11" t="s">
        <v>2519</v>
      </c>
      <c r="D558" s="12" t="n">
        <v>58.8</v>
      </c>
      <c r="E558" s="12"/>
      <c r="F558" s="12"/>
      <c r="G558" s="10" t="s">
        <v>401</v>
      </c>
      <c r="H558" s="10" t="s">
        <v>824</v>
      </c>
      <c r="I558" s="11" t="s">
        <v>2509</v>
      </c>
      <c r="J558" s="10" t="s">
        <v>2510</v>
      </c>
      <c r="K558" s="10" t="s">
        <v>665</v>
      </c>
      <c r="L558" s="10" t="s">
        <v>68</v>
      </c>
      <c r="M558" s="10" t="s">
        <v>69</v>
      </c>
      <c r="N558" s="10"/>
      <c r="O558" s="11" t="s">
        <v>2511</v>
      </c>
      <c r="P558" s="10" t="s">
        <v>71</v>
      </c>
      <c r="Q558" s="11" t="s">
        <v>72</v>
      </c>
      <c r="R558" s="11" t="s">
        <v>73</v>
      </c>
      <c r="S558" s="11" t="s">
        <v>74</v>
      </c>
      <c r="T558" s="11" t="s">
        <v>2520</v>
      </c>
      <c r="U558" s="10" t="n">
        <f aca="false">IF(AND($D558="",$E558="",$F558=""),1,0)</f>
        <v>0</v>
      </c>
      <c r="V558" s="10" t="n">
        <f aca="false">IF(OR($I558="",$I558="—"),1,0)</f>
        <v>0</v>
      </c>
      <c r="W558" s="10" t="n">
        <f aca="false">IF(AND(ISNUMBER($D558),ISNUMBER($E558)),IF($E558&gt;$D558,1,0),0)+IF(AND(ISNUMBER($D558),ISNUMBER($F558)),IF($D558&gt;$F558,1,0),0)+IF(AND(ISNUMBER($E558),ISNUMBER($F558)),IF($E558&gt;$F558,1,0),0)</f>
        <v>0</v>
      </c>
      <c r="X558" s="13" t="s">
        <v>76</v>
      </c>
    </row>
    <row r="559" customFormat="false" ht="15" hidden="false" customHeight="false" outlineLevel="0" collapsed="false">
      <c r="A559" s="10" t="s">
        <v>2521</v>
      </c>
      <c r="B559" s="10" t="s">
        <v>2522</v>
      </c>
      <c r="C559" s="11" t="s">
        <v>2523</v>
      </c>
      <c r="D559" s="12" t="n">
        <v>360.52</v>
      </c>
      <c r="E559" s="12"/>
      <c r="F559" s="12"/>
      <c r="G559" s="10" t="s">
        <v>2508</v>
      </c>
      <c r="H559" s="10" t="s">
        <v>1423</v>
      </c>
      <c r="I559" s="11" t="s">
        <v>2524</v>
      </c>
      <c r="J559" s="10" t="s">
        <v>2510</v>
      </c>
      <c r="K559" s="10" t="s">
        <v>665</v>
      </c>
      <c r="L559" s="10" t="s">
        <v>68</v>
      </c>
      <c r="M559" s="10" t="s">
        <v>69</v>
      </c>
      <c r="N559" s="10"/>
      <c r="O559" s="11" t="s">
        <v>2301</v>
      </c>
      <c r="P559" s="10" t="s">
        <v>71</v>
      </c>
      <c r="Q559" s="11" t="s">
        <v>72</v>
      </c>
      <c r="R559" s="11" t="s">
        <v>73</v>
      </c>
      <c r="S559" s="11" t="s">
        <v>74</v>
      </c>
      <c r="T559" s="11" t="s">
        <v>2525</v>
      </c>
      <c r="U559" s="10" t="n">
        <f aca="false">IF(AND($D559="",$E559="",$F559=""),1,0)</f>
        <v>0</v>
      </c>
      <c r="V559" s="10" t="n">
        <f aca="false">IF(OR($I559="",$I559="—"),1,0)</f>
        <v>0</v>
      </c>
      <c r="W559" s="10" t="n">
        <f aca="false">IF(AND(ISNUMBER($D559),ISNUMBER($E559)),IF($E559&gt;$D559,1,0),0)+IF(AND(ISNUMBER($D559),ISNUMBER($F559)),IF($D559&gt;$F559,1,0),0)+IF(AND(ISNUMBER($E559),ISNUMBER($F559)),IF($E559&gt;$F559,1,0),0)</f>
        <v>0</v>
      </c>
      <c r="X559" s="13" t="s">
        <v>76</v>
      </c>
    </row>
    <row r="560" customFormat="false" ht="15" hidden="false" customHeight="false" outlineLevel="0" collapsed="false">
      <c r="A560" s="10" t="s">
        <v>2526</v>
      </c>
      <c r="B560" s="10" t="s">
        <v>2527</v>
      </c>
      <c r="C560" s="11" t="s">
        <v>2528</v>
      </c>
      <c r="D560" s="12" t="n">
        <v>81.62</v>
      </c>
      <c r="E560" s="12"/>
      <c r="F560" s="12"/>
      <c r="G560" s="10" t="s">
        <v>2508</v>
      </c>
      <c r="H560" s="10" t="s">
        <v>1423</v>
      </c>
      <c r="I560" s="11" t="s">
        <v>2217</v>
      </c>
      <c r="J560" s="10" t="s">
        <v>2529</v>
      </c>
      <c r="K560" s="10" t="s">
        <v>1423</v>
      </c>
      <c r="L560" s="10" t="s">
        <v>68</v>
      </c>
      <c r="M560" s="10" t="s">
        <v>69</v>
      </c>
      <c r="N560" s="10"/>
      <c r="O560" s="11" t="s">
        <v>2417</v>
      </c>
      <c r="P560" s="10" t="s">
        <v>637</v>
      </c>
      <c r="Q560" s="11" t="s">
        <v>72</v>
      </c>
      <c r="R560" s="11" t="s">
        <v>1090</v>
      </c>
      <c r="S560" s="11" t="s">
        <v>1278</v>
      </c>
      <c r="T560" s="11" t="s">
        <v>2530</v>
      </c>
      <c r="U560" s="10" t="n">
        <f aca="false">IF(AND($D560="",$E560="",$F560=""),1,0)</f>
        <v>0</v>
      </c>
      <c r="V560" s="10" t="n">
        <f aca="false">IF(OR($I560="",$I560="—"),1,0)</f>
        <v>0</v>
      </c>
      <c r="W560" s="10" t="n">
        <f aca="false">IF(AND(ISNUMBER($D560),ISNUMBER($E560)),IF($E560&gt;$D560,1,0),0)+IF(AND(ISNUMBER($D560),ISNUMBER($F560)),IF($D560&gt;$F560,1,0),0)+IF(AND(ISNUMBER($E560),ISNUMBER($F560)),IF($E560&gt;$F560,1,0),0)</f>
        <v>0</v>
      </c>
      <c r="X560" s="13" t="s">
        <v>76</v>
      </c>
    </row>
    <row r="561" customFormat="false" ht="15" hidden="false" customHeight="false" outlineLevel="0" collapsed="false">
      <c r="A561" s="10" t="s">
        <v>2531</v>
      </c>
      <c r="B561" s="10" t="s">
        <v>2532</v>
      </c>
      <c r="C561" s="11" t="s">
        <v>2533</v>
      </c>
      <c r="D561" s="12" t="n">
        <v>390.6</v>
      </c>
      <c r="E561" s="12"/>
      <c r="F561" s="12"/>
      <c r="G561" s="10" t="s">
        <v>2508</v>
      </c>
      <c r="H561" s="10" t="s">
        <v>662</v>
      </c>
      <c r="I561" s="11" t="s">
        <v>2509</v>
      </c>
      <c r="J561" s="10" t="s">
        <v>2510</v>
      </c>
      <c r="K561" s="10" t="s">
        <v>665</v>
      </c>
      <c r="L561" s="10" t="s">
        <v>68</v>
      </c>
      <c r="M561" s="10" t="s">
        <v>69</v>
      </c>
      <c r="N561" s="10"/>
      <c r="O561" s="11" t="s">
        <v>2511</v>
      </c>
      <c r="P561" s="10" t="s">
        <v>71</v>
      </c>
      <c r="Q561" s="11" t="s">
        <v>72</v>
      </c>
      <c r="R561" s="11" t="s">
        <v>73</v>
      </c>
      <c r="S561" s="11" t="s">
        <v>74</v>
      </c>
      <c r="T561" s="10" t="s">
        <v>2534</v>
      </c>
      <c r="U561" s="10" t="n">
        <f aca="false">IF(AND($D561="",$E561="",$F561=""),1,0)</f>
        <v>0</v>
      </c>
      <c r="V561" s="10" t="n">
        <f aca="false">IF(OR($I561="",$I561="—"),1,0)</f>
        <v>0</v>
      </c>
      <c r="W561" s="10" t="n">
        <f aca="false">IF(AND(ISNUMBER($D561),ISNUMBER($E561)),IF($E561&gt;$D561,1,0),0)+IF(AND(ISNUMBER($D561),ISNUMBER($F561)),IF($D561&gt;$F561,1,0),0)+IF(AND(ISNUMBER($E561),ISNUMBER($F561)),IF($E561&gt;$F561,1,0),0)</f>
        <v>0</v>
      </c>
      <c r="X561" s="13" t="s">
        <v>76</v>
      </c>
    </row>
    <row r="562" customFormat="false" ht="15" hidden="false" customHeight="false" outlineLevel="0" collapsed="false">
      <c r="A562" s="10" t="s">
        <v>2535</v>
      </c>
      <c r="B562" s="10" t="s">
        <v>2536</v>
      </c>
      <c r="C562" s="11" t="s">
        <v>2537</v>
      </c>
      <c r="D562" s="12" t="n">
        <v>60</v>
      </c>
      <c r="E562" s="12"/>
      <c r="F562" s="12"/>
      <c r="G562" s="10" t="s">
        <v>401</v>
      </c>
      <c r="H562" s="10" t="s">
        <v>1935</v>
      </c>
      <c r="I562" s="11" t="s">
        <v>2538</v>
      </c>
      <c r="J562" s="10" t="s">
        <v>2539</v>
      </c>
      <c r="K562" s="10" t="s">
        <v>1974</v>
      </c>
      <c r="L562" s="10" t="s">
        <v>68</v>
      </c>
      <c r="M562" s="10" t="s">
        <v>416</v>
      </c>
      <c r="N562" s="11" t="s">
        <v>2540</v>
      </c>
      <c r="O562" s="11" t="s">
        <v>2541</v>
      </c>
      <c r="P562" s="10" t="s">
        <v>637</v>
      </c>
      <c r="Q562" s="11" t="s">
        <v>72</v>
      </c>
      <c r="R562" s="11" t="s">
        <v>2540</v>
      </c>
      <c r="S562" s="11" t="s">
        <v>1278</v>
      </c>
      <c r="T562" s="11" t="s">
        <v>2542</v>
      </c>
      <c r="U562" s="10" t="n">
        <f aca="false">IF(AND($D562="",$E562="",$F562=""),1,0)</f>
        <v>0</v>
      </c>
      <c r="V562" s="10" t="n">
        <f aca="false">IF(OR($I562="",$I562="—"),1,0)</f>
        <v>0</v>
      </c>
      <c r="W562" s="10" t="n">
        <f aca="false">IF(AND(ISNUMBER($D562),ISNUMBER($E562)),IF($E562&gt;$D562,1,0),0)+IF(AND(ISNUMBER($D562),ISNUMBER($F562)),IF($D562&gt;$F562,1,0),0)+IF(AND(ISNUMBER($E562),ISNUMBER($F562)),IF($E562&gt;$F562,1,0),0)</f>
        <v>0</v>
      </c>
      <c r="X562" s="13" t="s">
        <v>76</v>
      </c>
    </row>
    <row r="563" customFormat="false" ht="15" hidden="false" customHeight="false" outlineLevel="0" collapsed="false">
      <c r="A563" s="10" t="s">
        <v>2543</v>
      </c>
      <c r="B563" s="10" t="s">
        <v>2544</v>
      </c>
      <c r="C563" s="11" t="s">
        <v>2545</v>
      </c>
      <c r="D563" s="12"/>
      <c r="E563" s="12"/>
      <c r="F563" s="12"/>
      <c r="G563" s="10" t="s">
        <v>2546</v>
      </c>
      <c r="H563" s="10" t="s">
        <v>1935</v>
      </c>
      <c r="I563" s="10" t="s">
        <v>2547</v>
      </c>
      <c r="J563" s="10" t="s">
        <v>2548</v>
      </c>
      <c r="K563" s="10" t="s">
        <v>1935</v>
      </c>
      <c r="L563" s="10" t="s">
        <v>68</v>
      </c>
      <c r="M563" s="10" t="s">
        <v>416</v>
      </c>
      <c r="N563" s="11" t="s">
        <v>2248</v>
      </c>
      <c r="O563" s="11" t="s">
        <v>2442</v>
      </c>
      <c r="P563" s="10" t="s">
        <v>2549</v>
      </c>
      <c r="Q563" s="11" t="s">
        <v>72</v>
      </c>
      <c r="R563" s="11" t="s">
        <v>2248</v>
      </c>
      <c r="S563" s="11" t="s">
        <v>1278</v>
      </c>
      <c r="T563" s="11" t="s">
        <v>2550</v>
      </c>
      <c r="U563" s="10" t="n">
        <f aca="false">IF(AND($D563="",$E563="",$F563=""),1,0)</f>
        <v>1</v>
      </c>
      <c r="V563" s="10" t="n">
        <f aca="false">IF(OR($I563="",$I563="—"),1,0)</f>
        <v>0</v>
      </c>
      <c r="W563" s="10" t="n">
        <f aca="false">IF(AND(ISNUMBER($D563),ISNUMBER($E563)),IF($E563&gt;$D563,1,0),0)+IF(AND(ISNUMBER($D563),ISNUMBER($F563)),IF($D563&gt;$F563,1,0),0)+IF(AND(ISNUMBER($E563),ISNUMBER($F563)),IF($E563&gt;$F563,1,0),0)</f>
        <v>0</v>
      </c>
      <c r="X563" s="13" t="s">
        <v>76</v>
      </c>
    </row>
    <row r="564" customFormat="false" ht="15" hidden="false" customHeight="false" outlineLevel="0" collapsed="false">
      <c r="A564" s="10" t="s">
        <v>2551</v>
      </c>
      <c r="B564" s="10" t="s">
        <v>2552</v>
      </c>
      <c r="C564" s="11" t="s">
        <v>2553</v>
      </c>
      <c r="D564" s="12" t="n">
        <v>445843090</v>
      </c>
      <c r="E564" s="12"/>
      <c r="F564" s="12"/>
      <c r="G564" s="11" t="s">
        <v>2306</v>
      </c>
      <c r="H564" s="10" t="s">
        <v>824</v>
      </c>
      <c r="I564" s="11" t="s">
        <v>2554</v>
      </c>
      <c r="J564" s="10" t="s">
        <v>2555</v>
      </c>
      <c r="K564" s="10" t="s">
        <v>2556</v>
      </c>
      <c r="L564" s="10" t="s">
        <v>68</v>
      </c>
      <c r="M564" s="10" t="s">
        <v>69</v>
      </c>
      <c r="N564" s="10"/>
      <c r="O564" s="11" t="s">
        <v>2409</v>
      </c>
      <c r="P564" s="10" t="s">
        <v>637</v>
      </c>
      <c r="Q564" s="11" t="s">
        <v>72</v>
      </c>
      <c r="R564" s="11" t="s">
        <v>1090</v>
      </c>
      <c r="S564" s="11" t="s">
        <v>1278</v>
      </c>
      <c r="T564" s="10" t="s">
        <v>2557</v>
      </c>
      <c r="U564" s="10" t="n">
        <f aca="false">IF(AND($D564="",$E564="",$F564=""),1,0)</f>
        <v>0</v>
      </c>
      <c r="V564" s="10" t="n">
        <f aca="false">IF(OR($I564="",$I564="—"),1,0)</f>
        <v>0</v>
      </c>
      <c r="W564" s="10" t="n">
        <f aca="false">IF(AND(ISNUMBER($D564),ISNUMBER($E564)),IF($E564&gt;$D564,1,0),0)+IF(AND(ISNUMBER($D564),ISNUMBER($F564)),IF($D564&gt;$F564,1,0),0)+IF(AND(ISNUMBER($E564),ISNUMBER($F564)),IF($E564&gt;$F564,1,0),0)</f>
        <v>0</v>
      </c>
      <c r="X564" s="13" t="s">
        <v>76</v>
      </c>
    </row>
    <row r="565" customFormat="false" ht="15" hidden="false" customHeight="false" outlineLevel="0" collapsed="false">
      <c r="A565" s="10" t="s">
        <v>2558</v>
      </c>
      <c r="B565" s="10" t="s">
        <v>2559</v>
      </c>
      <c r="C565" s="10" t="s">
        <v>2560</v>
      </c>
      <c r="D565" s="12" t="n">
        <v>221314605</v>
      </c>
      <c r="E565" s="12"/>
      <c r="F565" s="12"/>
      <c r="G565" s="11" t="s">
        <v>2306</v>
      </c>
      <c r="H565" s="10" t="s">
        <v>824</v>
      </c>
      <c r="I565" s="11" t="s">
        <v>2554</v>
      </c>
      <c r="J565" s="10" t="s">
        <v>2555</v>
      </c>
      <c r="K565" s="10" t="s">
        <v>2556</v>
      </c>
      <c r="L565" s="10" t="s">
        <v>68</v>
      </c>
      <c r="M565" s="10" t="s">
        <v>69</v>
      </c>
      <c r="N565" s="10"/>
      <c r="O565" s="11" t="s">
        <v>2301</v>
      </c>
      <c r="P565" s="10" t="s">
        <v>637</v>
      </c>
      <c r="Q565" s="11" t="s">
        <v>72</v>
      </c>
      <c r="R565" s="11" t="s">
        <v>1090</v>
      </c>
      <c r="S565" s="11" t="s">
        <v>1278</v>
      </c>
      <c r="T565" s="11" t="s">
        <v>2561</v>
      </c>
      <c r="U565" s="10" t="n">
        <f aca="false">IF(AND($D565="",$E565="",$F565=""),1,0)</f>
        <v>0</v>
      </c>
      <c r="V565" s="10" t="n">
        <f aca="false">IF(OR($I565="",$I565="—"),1,0)</f>
        <v>0</v>
      </c>
      <c r="W565" s="10" t="n">
        <f aca="false">IF(AND(ISNUMBER($D565),ISNUMBER($E565)),IF($E565&gt;$D565,1,0),0)+IF(AND(ISNUMBER($D565),ISNUMBER($F565)),IF($D565&gt;$F565,1,0),0)+IF(AND(ISNUMBER($E565),ISNUMBER($F565)),IF($E565&gt;$F565,1,0),0)</f>
        <v>0</v>
      </c>
      <c r="X565" s="13" t="s">
        <v>76</v>
      </c>
    </row>
    <row r="566" customFormat="false" ht="15" hidden="false" customHeight="false" outlineLevel="0" collapsed="false">
      <c r="A566" s="10" t="s">
        <v>2562</v>
      </c>
      <c r="B566" s="10" t="s">
        <v>2563</v>
      </c>
      <c r="C566" s="11" t="s">
        <v>2564</v>
      </c>
      <c r="D566" s="12" t="n">
        <v>224528485</v>
      </c>
      <c r="E566" s="12"/>
      <c r="F566" s="12"/>
      <c r="G566" s="11" t="s">
        <v>2306</v>
      </c>
      <c r="H566" s="10" t="s">
        <v>2300</v>
      </c>
      <c r="I566" s="11" t="s">
        <v>2307</v>
      </c>
      <c r="J566" s="10" t="s">
        <v>2299</v>
      </c>
      <c r="K566" s="10" t="s">
        <v>2300</v>
      </c>
      <c r="L566" s="10" t="s">
        <v>68</v>
      </c>
      <c r="M566" s="10" t="s">
        <v>69</v>
      </c>
      <c r="N566" s="10"/>
      <c r="O566" s="11" t="s">
        <v>2301</v>
      </c>
      <c r="P566" s="10" t="s">
        <v>71</v>
      </c>
      <c r="Q566" s="11" t="s">
        <v>72</v>
      </c>
      <c r="R566" s="11" t="s">
        <v>73</v>
      </c>
      <c r="S566" s="11" t="s">
        <v>74</v>
      </c>
      <c r="T566" s="11" t="s">
        <v>2565</v>
      </c>
      <c r="U566" s="10" t="n">
        <f aca="false">IF(AND($D566="",$E566="",$F566=""),1,0)</f>
        <v>0</v>
      </c>
      <c r="V566" s="10" t="n">
        <f aca="false">IF(OR($I566="",$I566="—"),1,0)</f>
        <v>0</v>
      </c>
      <c r="W566" s="10" t="n">
        <f aca="false">IF(AND(ISNUMBER($D566),ISNUMBER($E566)),IF($E566&gt;$D566,1,0),0)+IF(AND(ISNUMBER($D566),ISNUMBER($F566)),IF($D566&gt;$F566,1,0),0)+IF(AND(ISNUMBER($E566),ISNUMBER($F566)),IF($E566&gt;$F566,1,0),0)</f>
        <v>0</v>
      </c>
      <c r="X566" s="13" t="s">
        <v>76</v>
      </c>
    </row>
    <row r="567" customFormat="false" ht="15" hidden="false" customHeight="false" outlineLevel="0" collapsed="false">
      <c r="A567" s="10" t="s">
        <v>2566</v>
      </c>
      <c r="B567" s="10" t="s">
        <v>2567</v>
      </c>
      <c r="C567" s="10" t="s">
        <v>2568</v>
      </c>
      <c r="D567" s="12" t="n">
        <v>487588090</v>
      </c>
      <c r="E567" s="12"/>
      <c r="F567" s="12"/>
      <c r="G567" s="11" t="s">
        <v>2306</v>
      </c>
      <c r="H567" s="10" t="s">
        <v>1752</v>
      </c>
      <c r="I567" s="11" t="s">
        <v>2569</v>
      </c>
      <c r="J567" s="10" t="s">
        <v>2299</v>
      </c>
      <c r="K567" s="10" t="s">
        <v>2300</v>
      </c>
      <c r="L567" s="10" t="s">
        <v>68</v>
      </c>
      <c r="M567" s="10" t="s">
        <v>69</v>
      </c>
      <c r="N567" s="10"/>
      <c r="O567" s="11" t="s">
        <v>2301</v>
      </c>
      <c r="P567" s="10" t="s">
        <v>71</v>
      </c>
      <c r="Q567" s="11" t="s">
        <v>72</v>
      </c>
      <c r="R567" s="11" t="s">
        <v>73</v>
      </c>
      <c r="S567" s="11" t="s">
        <v>74</v>
      </c>
      <c r="T567" s="10" t="s">
        <v>2570</v>
      </c>
      <c r="U567" s="10" t="n">
        <f aca="false">IF(AND($D567="",$E567="",$F567=""),1,0)</f>
        <v>0</v>
      </c>
      <c r="V567" s="10" t="n">
        <f aca="false">IF(OR($I567="",$I567="—"),1,0)</f>
        <v>0</v>
      </c>
      <c r="W567" s="10" t="n">
        <f aca="false">IF(AND(ISNUMBER($D567),ISNUMBER($E567)),IF($E567&gt;$D567,1,0),0)+IF(AND(ISNUMBER($D567),ISNUMBER($F567)),IF($D567&gt;$F567,1,0),0)+IF(AND(ISNUMBER($E567),ISNUMBER($F567)),IF($E567&gt;$F567,1,0),0)</f>
        <v>0</v>
      </c>
      <c r="X567" s="13" t="s">
        <v>76</v>
      </c>
    </row>
    <row r="568" customFormat="false" ht="15" hidden="false" customHeight="false" outlineLevel="0" collapsed="false">
      <c r="A568" s="10" t="s">
        <v>2571</v>
      </c>
      <c r="B568" s="10" t="s">
        <v>2572</v>
      </c>
      <c r="C568" s="11" t="s">
        <v>2573</v>
      </c>
      <c r="D568" s="12" t="n">
        <v>28.57</v>
      </c>
      <c r="E568" s="12"/>
      <c r="F568" s="12"/>
      <c r="G568" s="10" t="s">
        <v>401</v>
      </c>
      <c r="H568" s="10" t="s">
        <v>2300</v>
      </c>
      <c r="I568" s="11" t="s">
        <v>2307</v>
      </c>
      <c r="J568" s="10" t="s">
        <v>2299</v>
      </c>
      <c r="K568" s="10" t="s">
        <v>2300</v>
      </c>
      <c r="L568" s="10" t="s">
        <v>68</v>
      </c>
      <c r="M568" s="10" t="s">
        <v>69</v>
      </c>
      <c r="N568" s="10"/>
      <c r="O568" s="11" t="s">
        <v>2301</v>
      </c>
      <c r="P568" s="10" t="s">
        <v>71</v>
      </c>
      <c r="Q568" s="11" t="s">
        <v>72</v>
      </c>
      <c r="R568" s="11" t="s">
        <v>73</v>
      </c>
      <c r="S568" s="11" t="s">
        <v>74</v>
      </c>
      <c r="T568" s="11" t="s">
        <v>2574</v>
      </c>
      <c r="U568" s="10" t="n">
        <f aca="false">IF(AND($D568="",$E568="",$F568=""),1,0)</f>
        <v>0</v>
      </c>
      <c r="V568" s="10" t="n">
        <f aca="false">IF(OR($I568="",$I568="—"),1,0)</f>
        <v>0</v>
      </c>
      <c r="W568" s="10" t="n">
        <f aca="false">IF(AND(ISNUMBER($D568),ISNUMBER($E568)),IF($E568&gt;$D568,1,0),0)+IF(AND(ISNUMBER($D568),ISNUMBER($F568)),IF($D568&gt;$F568,1,0),0)+IF(AND(ISNUMBER($E568),ISNUMBER($F568)),IF($E568&gt;$F568,1,0),0)</f>
        <v>0</v>
      </c>
      <c r="X568" s="13" t="s">
        <v>76</v>
      </c>
    </row>
    <row r="569" customFormat="false" ht="15" hidden="false" customHeight="false" outlineLevel="0" collapsed="false">
      <c r="A569" s="10" t="s">
        <v>2575</v>
      </c>
      <c r="B569" s="10" t="s">
        <v>2576</v>
      </c>
      <c r="C569" s="11" t="s">
        <v>2577</v>
      </c>
      <c r="D569" s="12" t="n">
        <v>33.03</v>
      </c>
      <c r="E569" s="12"/>
      <c r="F569" s="12"/>
      <c r="G569" s="10" t="s">
        <v>401</v>
      </c>
      <c r="H569" s="10" t="s">
        <v>2151</v>
      </c>
      <c r="I569" s="11" t="s">
        <v>2149</v>
      </c>
      <c r="J569" s="10" t="s">
        <v>2150</v>
      </c>
      <c r="K569" s="10" t="s">
        <v>2151</v>
      </c>
      <c r="L569" s="10" t="s">
        <v>68</v>
      </c>
      <c r="M569" s="10" t="s">
        <v>69</v>
      </c>
      <c r="N569" s="10"/>
      <c r="O569" s="11" t="s">
        <v>2160</v>
      </c>
      <c r="P569" s="10" t="s">
        <v>637</v>
      </c>
      <c r="Q569" s="11" t="s">
        <v>72</v>
      </c>
      <c r="R569" s="11" t="s">
        <v>73</v>
      </c>
      <c r="S569" s="11" t="s">
        <v>1104</v>
      </c>
      <c r="T569" s="11" t="s">
        <v>2578</v>
      </c>
      <c r="U569" s="10" t="n">
        <f aca="false">IF(AND($D569="",$E569="",$F569=""),1,0)</f>
        <v>0</v>
      </c>
      <c r="V569" s="10" t="n">
        <f aca="false">IF(OR($I569="",$I569="—"),1,0)</f>
        <v>0</v>
      </c>
      <c r="W569" s="10" t="n">
        <f aca="false">IF(AND(ISNUMBER($D569),ISNUMBER($E569)),IF($E569&gt;$D569,1,0),0)+IF(AND(ISNUMBER($D569),ISNUMBER($F569)),IF($D569&gt;$F569,1,0),0)+IF(AND(ISNUMBER($E569),ISNUMBER($F569)),IF($E569&gt;$F569,1,0),0)</f>
        <v>0</v>
      </c>
      <c r="X569" s="13" t="s">
        <v>76</v>
      </c>
    </row>
    <row r="570" customFormat="false" ht="15" hidden="false" customHeight="false" outlineLevel="0" collapsed="false">
      <c r="A570" s="10" t="s">
        <v>2579</v>
      </c>
      <c r="B570" s="10" t="s">
        <v>2580</v>
      </c>
      <c r="C570" s="11" t="s">
        <v>2581</v>
      </c>
      <c r="D570" s="12" t="n">
        <v>6.73</v>
      </c>
      <c r="E570" s="12"/>
      <c r="F570" s="12"/>
      <c r="G570" s="10" t="s">
        <v>401</v>
      </c>
      <c r="H570" s="10" t="s">
        <v>2151</v>
      </c>
      <c r="I570" s="11" t="s">
        <v>2158</v>
      </c>
      <c r="J570" s="10" t="s">
        <v>2159</v>
      </c>
      <c r="K570" s="10" t="s">
        <v>2151</v>
      </c>
      <c r="L570" s="10" t="s">
        <v>68</v>
      </c>
      <c r="M570" s="10" t="s">
        <v>69</v>
      </c>
      <c r="N570" s="10"/>
      <c r="O570" s="11" t="s">
        <v>2160</v>
      </c>
      <c r="P570" s="10" t="s">
        <v>637</v>
      </c>
      <c r="Q570" s="11" t="s">
        <v>72</v>
      </c>
      <c r="R570" s="11" t="s">
        <v>1090</v>
      </c>
      <c r="S570" s="11" t="s">
        <v>710</v>
      </c>
      <c r="T570" s="11" t="s">
        <v>2582</v>
      </c>
      <c r="U570" s="10" t="n">
        <f aca="false">IF(AND($D570="",$E570="",$F570=""),1,0)</f>
        <v>0</v>
      </c>
      <c r="V570" s="10" t="n">
        <f aca="false">IF(OR($I570="",$I570="—"),1,0)</f>
        <v>0</v>
      </c>
      <c r="W570" s="10" t="n">
        <f aca="false">IF(AND(ISNUMBER($D570),ISNUMBER($E570)),IF($E570&gt;$D570,1,0),0)+IF(AND(ISNUMBER($D570),ISNUMBER($F570)),IF($D570&gt;$F570,1,0),0)+IF(AND(ISNUMBER($E570),ISNUMBER($F570)),IF($E570&gt;$F570,1,0),0)</f>
        <v>0</v>
      </c>
      <c r="X570" s="13" t="s">
        <v>76</v>
      </c>
    </row>
    <row r="571" customFormat="false" ht="15" hidden="false" customHeight="false" outlineLevel="0" collapsed="false">
      <c r="A571" s="10" t="s">
        <v>2583</v>
      </c>
      <c r="B571" s="10" t="s">
        <v>2584</v>
      </c>
      <c r="C571" s="11" t="s">
        <v>2585</v>
      </c>
      <c r="D571" s="12" t="n">
        <v>4.27</v>
      </c>
      <c r="E571" s="12"/>
      <c r="F571" s="12"/>
      <c r="G571" s="10" t="s">
        <v>401</v>
      </c>
      <c r="H571" s="10" t="s">
        <v>2151</v>
      </c>
      <c r="I571" s="11" t="s">
        <v>2158</v>
      </c>
      <c r="J571" s="10" t="s">
        <v>2159</v>
      </c>
      <c r="K571" s="10" t="s">
        <v>2151</v>
      </c>
      <c r="L571" s="10" t="s">
        <v>68</v>
      </c>
      <c r="M571" s="10" t="s">
        <v>69</v>
      </c>
      <c r="N571" s="10"/>
      <c r="O571" s="11" t="s">
        <v>2160</v>
      </c>
      <c r="P571" s="10" t="s">
        <v>637</v>
      </c>
      <c r="Q571" s="11" t="s">
        <v>72</v>
      </c>
      <c r="R571" s="11" t="s">
        <v>1090</v>
      </c>
      <c r="S571" s="11" t="s">
        <v>710</v>
      </c>
      <c r="T571" s="11" t="s">
        <v>2586</v>
      </c>
      <c r="U571" s="10" t="n">
        <f aca="false">IF(AND($D571="",$E571="",$F571=""),1,0)</f>
        <v>0</v>
      </c>
      <c r="V571" s="10" t="n">
        <f aca="false">IF(OR($I571="",$I571="—"),1,0)</f>
        <v>0</v>
      </c>
      <c r="W571" s="10" t="n">
        <f aca="false">IF(AND(ISNUMBER($D571),ISNUMBER($E571)),IF($E571&gt;$D571,1,0),0)+IF(AND(ISNUMBER($D571),ISNUMBER($F571)),IF($D571&gt;$F571,1,0),0)+IF(AND(ISNUMBER($E571),ISNUMBER($F571)),IF($E571&gt;$F571,1,0),0)</f>
        <v>0</v>
      </c>
      <c r="X571" s="13" t="s">
        <v>76</v>
      </c>
    </row>
    <row r="572" customFormat="false" ht="15" hidden="false" customHeight="false" outlineLevel="0" collapsed="false">
      <c r="A572" s="10" t="s">
        <v>2587</v>
      </c>
      <c r="B572" s="10" t="s">
        <v>2588</v>
      </c>
      <c r="C572" s="10" t="s">
        <v>2589</v>
      </c>
      <c r="D572" s="12"/>
      <c r="E572" s="12" t="n">
        <v>40</v>
      </c>
      <c r="F572" s="12"/>
      <c r="G572" s="10" t="s">
        <v>401</v>
      </c>
      <c r="H572" s="10" t="s">
        <v>2590</v>
      </c>
      <c r="I572" s="11" t="s">
        <v>910</v>
      </c>
      <c r="J572" s="10" t="s">
        <v>2392</v>
      </c>
      <c r="K572" s="10" t="s">
        <v>2393</v>
      </c>
      <c r="L572" s="10" t="s">
        <v>68</v>
      </c>
      <c r="M572" s="10" t="s">
        <v>416</v>
      </c>
      <c r="N572" s="11" t="s">
        <v>2591</v>
      </c>
      <c r="O572" s="11" t="s">
        <v>2442</v>
      </c>
      <c r="P572" s="10" t="s">
        <v>637</v>
      </c>
      <c r="Q572" s="11" t="s">
        <v>72</v>
      </c>
      <c r="R572" s="11" t="s">
        <v>2591</v>
      </c>
      <c r="S572" s="11" t="s">
        <v>710</v>
      </c>
      <c r="T572" s="11" t="s">
        <v>2592</v>
      </c>
      <c r="U572" s="10" t="n">
        <f aca="false">IF(AND($D572="",$E572="",$F572=""),1,0)</f>
        <v>0</v>
      </c>
      <c r="V572" s="10" t="n">
        <f aca="false">IF(OR($I572="",$I572="—"),1,0)</f>
        <v>0</v>
      </c>
      <c r="W572" s="10" t="n">
        <f aca="false">IF(AND(ISNUMBER($D572),ISNUMBER($E572)),IF($E572&gt;$D572,1,0),0)+IF(AND(ISNUMBER($D572),ISNUMBER($F572)),IF($D572&gt;$F572,1,0),0)+IF(AND(ISNUMBER($E572),ISNUMBER($F572)),IF($E572&gt;$F572,1,0),0)</f>
        <v>0</v>
      </c>
      <c r="X572" s="13" t="s">
        <v>76</v>
      </c>
    </row>
    <row r="573" customFormat="false" ht="15" hidden="false" customHeight="false" outlineLevel="0" collapsed="false">
      <c r="A573" s="10" t="s">
        <v>2593</v>
      </c>
      <c r="B573" s="10" t="s">
        <v>2594</v>
      </c>
      <c r="C573" s="11" t="s">
        <v>2595</v>
      </c>
      <c r="D573" s="12" t="n">
        <v>696</v>
      </c>
      <c r="E573" s="12"/>
      <c r="F573" s="12"/>
      <c r="G573" s="10" t="s">
        <v>2297</v>
      </c>
      <c r="H573" s="10" t="s">
        <v>2596</v>
      </c>
      <c r="I573" s="11" t="s">
        <v>2597</v>
      </c>
      <c r="J573" s="10" t="s">
        <v>2598</v>
      </c>
      <c r="K573" s="10" t="s">
        <v>2596</v>
      </c>
      <c r="L573" s="10" t="s">
        <v>68</v>
      </c>
      <c r="M573" s="10" t="s">
        <v>69</v>
      </c>
      <c r="N573" s="10"/>
      <c r="O573" s="11" t="s">
        <v>2383</v>
      </c>
      <c r="P573" s="10" t="s">
        <v>637</v>
      </c>
      <c r="Q573" s="11" t="s">
        <v>72</v>
      </c>
      <c r="R573" s="11" t="s">
        <v>1090</v>
      </c>
      <c r="S573" s="11" t="s">
        <v>710</v>
      </c>
      <c r="T573" s="10" t="s">
        <v>2599</v>
      </c>
      <c r="U573" s="10" t="n">
        <f aca="false">IF(AND($D573="",$E573="",$F573=""),1,0)</f>
        <v>0</v>
      </c>
      <c r="V573" s="10" t="n">
        <f aca="false">IF(OR($I573="",$I573="—"),1,0)</f>
        <v>0</v>
      </c>
      <c r="W573" s="10" t="n">
        <f aca="false">IF(AND(ISNUMBER($D573),ISNUMBER($E573)),IF($E573&gt;$D573,1,0),0)+IF(AND(ISNUMBER($D573),ISNUMBER($F573)),IF($D573&gt;$F573,1,0),0)+IF(AND(ISNUMBER($E573),ISNUMBER($F573)),IF($E573&gt;$F573,1,0),0)</f>
        <v>0</v>
      </c>
      <c r="X573" s="13" t="s">
        <v>76</v>
      </c>
    </row>
    <row r="574" customFormat="false" ht="15" hidden="false" customHeight="false" outlineLevel="0" collapsed="false">
      <c r="A574" s="10" t="s">
        <v>2600</v>
      </c>
      <c r="B574" s="10" t="s">
        <v>2601</v>
      </c>
      <c r="C574" s="11" t="s">
        <v>2602</v>
      </c>
      <c r="D574" s="12" t="n">
        <v>626.5</v>
      </c>
      <c r="E574" s="12"/>
      <c r="F574" s="12"/>
      <c r="G574" s="10" t="s">
        <v>2297</v>
      </c>
      <c r="H574" s="10" t="s">
        <v>2603</v>
      </c>
      <c r="I574" s="10" t="s">
        <v>2604</v>
      </c>
      <c r="J574" s="10" t="s">
        <v>2605</v>
      </c>
      <c r="K574" s="10" t="s">
        <v>2606</v>
      </c>
      <c r="L574" s="10" t="s">
        <v>68</v>
      </c>
      <c r="M574" s="10" t="s">
        <v>69</v>
      </c>
      <c r="N574" s="10"/>
      <c r="O574" s="11" t="s">
        <v>2383</v>
      </c>
      <c r="P574" s="10" t="s">
        <v>637</v>
      </c>
      <c r="Q574" s="11" t="s">
        <v>72</v>
      </c>
      <c r="R574" s="11" t="s">
        <v>1090</v>
      </c>
      <c r="S574" s="11" t="s">
        <v>710</v>
      </c>
      <c r="T574" s="11" t="s">
        <v>2607</v>
      </c>
      <c r="U574" s="10" t="n">
        <f aca="false">IF(AND($D574="",$E574="",$F574=""),1,0)</f>
        <v>0</v>
      </c>
      <c r="V574" s="10" t="n">
        <f aca="false">IF(OR($I574="",$I574="—"),1,0)</f>
        <v>0</v>
      </c>
      <c r="W574" s="10" t="n">
        <f aca="false">IF(AND(ISNUMBER($D574),ISNUMBER($E574)),IF($E574&gt;$D574,1,0),0)+IF(AND(ISNUMBER($D574),ISNUMBER($F574)),IF($D574&gt;$F574,1,0),0)+IF(AND(ISNUMBER($E574),ISNUMBER($F574)),IF($E574&gt;$F574,1,0),0)</f>
        <v>0</v>
      </c>
      <c r="X574" s="13" t="s">
        <v>76</v>
      </c>
    </row>
    <row r="575" customFormat="false" ht="15" hidden="false" customHeight="false" outlineLevel="0" collapsed="false">
      <c r="A575" s="10" t="s">
        <v>2608</v>
      </c>
      <c r="B575" s="10" t="s">
        <v>2609</v>
      </c>
      <c r="C575" s="11" t="s">
        <v>2610</v>
      </c>
      <c r="D575" s="12" t="n">
        <v>3396.48</v>
      </c>
      <c r="E575" s="12"/>
      <c r="F575" s="12"/>
      <c r="G575" s="10" t="s">
        <v>2346</v>
      </c>
      <c r="H575" s="10" t="s">
        <v>2596</v>
      </c>
      <c r="I575" s="11" t="s">
        <v>2597</v>
      </c>
      <c r="J575" s="10" t="s">
        <v>2598</v>
      </c>
      <c r="K575" s="10" t="s">
        <v>2596</v>
      </c>
      <c r="L575" s="10" t="s">
        <v>68</v>
      </c>
      <c r="M575" s="10" t="s">
        <v>69</v>
      </c>
      <c r="N575" s="10"/>
      <c r="O575" s="11" t="s">
        <v>2383</v>
      </c>
      <c r="P575" s="10" t="s">
        <v>637</v>
      </c>
      <c r="Q575" s="11" t="s">
        <v>72</v>
      </c>
      <c r="R575" s="11" t="s">
        <v>1090</v>
      </c>
      <c r="S575" s="11" t="s">
        <v>710</v>
      </c>
      <c r="T575" s="11" t="s">
        <v>2611</v>
      </c>
      <c r="U575" s="10" t="n">
        <f aca="false">IF(AND($D575="",$E575="",$F575=""),1,0)</f>
        <v>0</v>
      </c>
      <c r="V575" s="10" t="n">
        <f aca="false">IF(OR($I575="",$I575="—"),1,0)</f>
        <v>0</v>
      </c>
      <c r="W575" s="10" t="n">
        <f aca="false">IF(AND(ISNUMBER($D575),ISNUMBER($E575)),IF($E575&gt;$D575,1,0),0)+IF(AND(ISNUMBER($D575),ISNUMBER($F575)),IF($D575&gt;$F575,1,0),0)+IF(AND(ISNUMBER($E575),ISNUMBER($F575)),IF($E575&gt;$F575,1,0),0)</f>
        <v>0</v>
      </c>
      <c r="X575" s="13" t="s">
        <v>76</v>
      </c>
    </row>
    <row r="576" customFormat="false" ht="15" hidden="false" customHeight="false" outlineLevel="0" collapsed="false">
      <c r="A576" s="10" t="s">
        <v>2612</v>
      </c>
      <c r="B576" s="10" t="s">
        <v>2613</v>
      </c>
      <c r="C576" s="11" t="s">
        <v>2614</v>
      </c>
      <c r="D576" s="12" t="n">
        <v>3393.61</v>
      </c>
      <c r="E576" s="12"/>
      <c r="F576" s="12"/>
      <c r="G576" s="10" t="s">
        <v>2346</v>
      </c>
      <c r="H576" s="10" t="s">
        <v>2596</v>
      </c>
      <c r="I576" s="10" t="s">
        <v>2615</v>
      </c>
      <c r="J576" s="10" t="s">
        <v>2299</v>
      </c>
      <c r="K576" s="10" t="s">
        <v>2596</v>
      </c>
      <c r="L576" s="10" t="s">
        <v>68</v>
      </c>
      <c r="M576" s="10" t="s">
        <v>636</v>
      </c>
      <c r="N576" s="10"/>
      <c r="O576" s="11" t="s">
        <v>2616</v>
      </c>
      <c r="P576" s="10" t="s">
        <v>637</v>
      </c>
      <c r="Q576" s="11" t="s">
        <v>638</v>
      </c>
      <c r="R576" s="11" t="s">
        <v>639</v>
      </c>
      <c r="S576" s="11" t="s">
        <v>74</v>
      </c>
      <c r="T576" s="11" t="s">
        <v>2617</v>
      </c>
      <c r="U576" s="10" t="n">
        <f aca="false">IF(AND($D576="",$E576="",$F576=""),1,0)</f>
        <v>0</v>
      </c>
      <c r="V576" s="10" t="n">
        <f aca="false">IF(OR($I576="",$I576="—"),1,0)</f>
        <v>0</v>
      </c>
      <c r="W576" s="10" t="n">
        <f aca="false">IF(AND(ISNUMBER($D576),ISNUMBER($E576)),IF($E576&gt;$D576,1,0),0)+IF(AND(ISNUMBER($D576),ISNUMBER($F576)),IF($D576&gt;$F576,1,0),0)+IF(AND(ISNUMBER($E576),ISNUMBER($F576)),IF($E576&gt;$F576,1,0),0)</f>
        <v>0</v>
      </c>
      <c r="X576" s="13" t="s">
        <v>76</v>
      </c>
    </row>
    <row r="577" customFormat="false" ht="15" hidden="false" customHeight="false" outlineLevel="0" collapsed="false">
      <c r="A577" s="10" t="s">
        <v>2618</v>
      </c>
      <c r="B577" s="10" t="s">
        <v>2619</v>
      </c>
      <c r="C577" s="10" t="s">
        <v>2620</v>
      </c>
      <c r="D577" s="12" t="n">
        <v>2980</v>
      </c>
      <c r="E577" s="12"/>
      <c r="F577" s="12"/>
      <c r="G577" s="10" t="s">
        <v>2297</v>
      </c>
      <c r="H577" s="10" t="s">
        <v>2393</v>
      </c>
      <c r="I577" s="11" t="s">
        <v>2621</v>
      </c>
      <c r="J577" s="10" t="s">
        <v>2392</v>
      </c>
      <c r="K577" s="10" t="s">
        <v>2393</v>
      </c>
      <c r="L577" s="10" t="s">
        <v>68</v>
      </c>
      <c r="M577" s="10" t="s">
        <v>69</v>
      </c>
      <c r="N577" s="10"/>
      <c r="O577" s="11" t="s">
        <v>2383</v>
      </c>
      <c r="P577" s="10" t="s">
        <v>637</v>
      </c>
      <c r="Q577" s="11" t="s">
        <v>72</v>
      </c>
      <c r="R577" s="11" t="s">
        <v>1090</v>
      </c>
      <c r="S577" s="11" t="s">
        <v>710</v>
      </c>
      <c r="T577" s="10" t="s">
        <v>2622</v>
      </c>
      <c r="U577" s="10" t="n">
        <f aca="false">IF(AND($D577="",$E577="",$F577=""),1,0)</f>
        <v>0</v>
      </c>
      <c r="V577" s="10" t="n">
        <f aca="false">IF(OR($I577="",$I577="—"),1,0)</f>
        <v>0</v>
      </c>
      <c r="W577" s="10" t="n">
        <f aca="false">IF(AND(ISNUMBER($D577),ISNUMBER($E577)),IF($E577&gt;$D577,1,0),0)+IF(AND(ISNUMBER($D577),ISNUMBER($F577)),IF($D577&gt;$F577,1,0),0)+IF(AND(ISNUMBER($E577),ISNUMBER($F577)),IF($E577&gt;$F577,1,0),0)</f>
        <v>0</v>
      </c>
      <c r="X577" s="13" t="s">
        <v>76</v>
      </c>
    </row>
    <row r="578" customFormat="false" ht="15" hidden="false" customHeight="false" outlineLevel="0" collapsed="false">
      <c r="A578" s="10" t="s">
        <v>2623</v>
      </c>
      <c r="B578" s="10" t="s">
        <v>2624</v>
      </c>
      <c r="C578" s="10" t="s">
        <v>2625</v>
      </c>
      <c r="D578" s="12" t="n">
        <v>116.1</v>
      </c>
      <c r="E578" s="12"/>
      <c r="F578" s="12"/>
      <c r="G578" s="10" t="s">
        <v>2297</v>
      </c>
      <c r="H578" s="10" t="s">
        <v>2167</v>
      </c>
      <c r="I578" s="11" t="s">
        <v>2626</v>
      </c>
      <c r="J578" s="10" t="s">
        <v>2605</v>
      </c>
      <c r="K578" s="10" t="s">
        <v>2606</v>
      </c>
      <c r="L578" s="10" t="s">
        <v>68</v>
      </c>
      <c r="M578" s="10" t="s">
        <v>69</v>
      </c>
      <c r="N578" s="10"/>
      <c r="O578" s="11" t="s">
        <v>2383</v>
      </c>
      <c r="P578" s="10" t="s">
        <v>637</v>
      </c>
      <c r="Q578" s="11" t="s">
        <v>72</v>
      </c>
      <c r="R578" s="11" t="s">
        <v>1090</v>
      </c>
      <c r="S578" s="11" t="s">
        <v>710</v>
      </c>
      <c r="T578" s="10" t="s">
        <v>2627</v>
      </c>
      <c r="U578" s="10" t="n">
        <f aca="false">IF(AND($D578="",$E578="",$F578=""),1,0)</f>
        <v>0</v>
      </c>
      <c r="V578" s="10" t="n">
        <f aca="false">IF(OR($I578="",$I578="—"),1,0)</f>
        <v>0</v>
      </c>
      <c r="W578" s="10" t="n">
        <f aca="false">IF(AND(ISNUMBER($D578),ISNUMBER($E578)),IF($E578&gt;$D578,1,0),0)+IF(AND(ISNUMBER($D578),ISNUMBER($F578)),IF($D578&gt;$F578,1,0),0)+IF(AND(ISNUMBER($E578),ISNUMBER($F578)),IF($E578&gt;$F578,1,0),0)</f>
        <v>0</v>
      </c>
      <c r="X578" s="13" t="s">
        <v>76</v>
      </c>
    </row>
    <row r="579" customFormat="false" ht="15" hidden="false" customHeight="false" outlineLevel="0" collapsed="false">
      <c r="A579" s="10" t="s">
        <v>2628</v>
      </c>
      <c r="B579" s="10" t="s">
        <v>2629</v>
      </c>
      <c r="C579" s="11" t="s">
        <v>2630</v>
      </c>
      <c r="D579" s="12" t="n">
        <v>1232</v>
      </c>
      <c r="E579" s="12"/>
      <c r="F579" s="12"/>
      <c r="G579" s="10" t="s">
        <v>2297</v>
      </c>
      <c r="H579" s="10" t="s">
        <v>1935</v>
      </c>
      <c r="I579" s="11" t="s">
        <v>904</v>
      </c>
      <c r="J579" s="10" t="s">
        <v>2631</v>
      </c>
      <c r="K579" s="10" t="s">
        <v>1935</v>
      </c>
      <c r="L579" s="10" t="s">
        <v>68</v>
      </c>
      <c r="M579" s="10" t="s">
        <v>69</v>
      </c>
      <c r="N579" s="10"/>
      <c r="O579" s="11" t="s">
        <v>2632</v>
      </c>
      <c r="P579" s="10" t="s">
        <v>637</v>
      </c>
      <c r="Q579" s="11" t="s">
        <v>72</v>
      </c>
      <c r="R579" s="11" t="s">
        <v>1090</v>
      </c>
      <c r="S579" s="11" t="s">
        <v>710</v>
      </c>
      <c r="T579" s="11" t="s">
        <v>2633</v>
      </c>
      <c r="U579" s="10" t="n">
        <f aca="false">IF(AND($D579="",$E579="",$F579=""),1,0)</f>
        <v>0</v>
      </c>
      <c r="V579" s="10" t="n">
        <f aca="false">IF(OR($I579="",$I579="—"),1,0)</f>
        <v>0</v>
      </c>
      <c r="W579" s="10" t="n">
        <f aca="false">IF(AND(ISNUMBER($D579),ISNUMBER($E579)),IF($E579&gt;$D579,1,0),0)+IF(AND(ISNUMBER($D579),ISNUMBER($F579)),IF($D579&gt;$F579,1,0),0)+IF(AND(ISNUMBER($E579),ISNUMBER($F579)),IF($E579&gt;$F579,1,0),0)</f>
        <v>0</v>
      </c>
      <c r="X579" s="13" t="s">
        <v>76</v>
      </c>
    </row>
    <row r="580" customFormat="false" ht="15" hidden="false" customHeight="false" outlineLevel="0" collapsed="false">
      <c r="A580" s="10" t="s">
        <v>2634</v>
      </c>
      <c r="B580" s="10" t="s">
        <v>2635</v>
      </c>
      <c r="C580" s="11" t="s">
        <v>2636</v>
      </c>
      <c r="D580" s="12" t="n">
        <v>3</v>
      </c>
      <c r="E580" s="12"/>
      <c r="F580" s="12"/>
      <c r="G580" s="10" t="s">
        <v>2237</v>
      </c>
      <c r="H580" s="10" t="s">
        <v>2637</v>
      </c>
      <c r="I580" s="11" t="s">
        <v>2638</v>
      </c>
      <c r="J580" s="10" t="s">
        <v>1754</v>
      </c>
      <c r="K580" s="10" t="s">
        <v>1752</v>
      </c>
      <c r="L580" s="10" t="s">
        <v>68</v>
      </c>
      <c r="M580" s="10" t="s">
        <v>416</v>
      </c>
      <c r="N580" s="11" t="s">
        <v>2639</v>
      </c>
      <c r="O580" s="11" t="s">
        <v>441</v>
      </c>
      <c r="P580" s="10" t="s">
        <v>637</v>
      </c>
      <c r="Q580" s="11" t="s">
        <v>72</v>
      </c>
      <c r="R580" s="11" t="s">
        <v>2639</v>
      </c>
      <c r="S580" s="11" t="s">
        <v>710</v>
      </c>
      <c r="T580" s="11" t="s">
        <v>2640</v>
      </c>
      <c r="U580" s="10" t="n">
        <f aca="false">IF(AND($D580="",$E580="",$F580=""),1,0)</f>
        <v>0</v>
      </c>
      <c r="V580" s="10" t="n">
        <f aca="false">IF(OR($I580="",$I580="—"),1,0)</f>
        <v>0</v>
      </c>
      <c r="W580" s="10" t="n">
        <f aca="false">IF(AND(ISNUMBER($D580),ISNUMBER($E580)),IF($E580&gt;$D580,1,0),0)+IF(AND(ISNUMBER($D580),ISNUMBER($F580)),IF($D580&gt;$F580,1,0),0)+IF(AND(ISNUMBER($E580),ISNUMBER($F580)),IF($E580&gt;$F580,1,0),0)</f>
        <v>0</v>
      </c>
      <c r="X580" s="13" t="s">
        <v>76</v>
      </c>
    </row>
    <row r="581" customFormat="false" ht="15" hidden="false" customHeight="false" outlineLevel="0" collapsed="false">
      <c r="A581" s="10" t="s">
        <v>2641</v>
      </c>
      <c r="B581" s="10" t="s">
        <v>2642</v>
      </c>
      <c r="C581" s="11" t="s">
        <v>2643</v>
      </c>
      <c r="D581" s="12" t="n">
        <v>2.4</v>
      </c>
      <c r="E581" s="12"/>
      <c r="F581" s="12"/>
      <c r="G581" s="10" t="s">
        <v>2237</v>
      </c>
      <c r="H581" s="10" t="s">
        <v>2637</v>
      </c>
      <c r="I581" s="11" t="s">
        <v>2644</v>
      </c>
      <c r="J581" s="10" t="s">
        <v>1754</v>
      </c>
      <c r="K581" s="10" t="s">
        <v>1752</v>
      </c>
      <c r="L581" s="10" t="s">
        <v>68</v>
      </c>
      <c r="M581" s="10" t="s">
        <v>416</v>
      </c>
      <c r="N581" s="11" t="s">
        <v>2645</v>
      </c>
      <c r="O581" s="11" t="s">
        <v>441</v>
      </c>
      <c r="P581" s="10" t="s">
        <v>637</v>
      </c>
      <c r="Q581" s="11" t="s">
        <v>72</v>
      </c>
      <c r="R581" s="11" t="s">
        <v>2645</v>
      </c>
      <c r="S581" s="11" t="s">
        <v>710</v>
      </c>
      <c r="T581" s="11" t="s">
        <v>2646</v>
      </c>
      <c r="U581" s="10" t="n">
        <f aca="false">IF(AND($D581="",$E581="",$F581=""),1,0)</f>
        <v>0</v>
      </c>
      <c r="V581" s="10" t="n">
        <f aca="false">IF(OR($I581="",$I581="—"),1,0)</f>
        <v>0</v>
      </c>
      <c r="W581" s="10" t="n">
        <f aca="false">IF(AND(ISNUMBER($D581),ISNUMBER($E581)),IF($E581&gt;$D581,1,0),0)+IF(AND(ISNUMBER($D581),ISNUMBER($F581)),IF($D581&gt;$F581,1,0),0)+IF(AND(ISNUMBER($E581),ISNUMBER($F581)),IF($E581&gt;$F581,1,0),0)</f>
        <v>0</v>
      </c>
      <c r="X581" s="13" t="s">
        <v>76</v>
      </c>
    </row>
    <row r="582" customFormat="false" ht="15" hidden="false" customHeight="false" outlineLevel="0" collapsed="false">
      <c r="A582" s="10" t="s">
        <v>2647</v>
      </c>
      <c r="B582" s="10" t="s">
        <v>2648</v>
      </c>
      <c r="C582" s="11" t="s">
        <v>2649</v>
      </c>
      <c r="D582" s="12" t="n">
        <v>1.8</v>
      </c>
      <c r="E582" s="12"/>
      <c r="F582" s="12"/>
      <c r="G582" s="10" t="s">
        <v>2237</v>
      </c>
      <c r="H582" s="10" t="s">
        <v>1957</v>
      </c>
      <c r="I582" s="11" t="s">
        <v>2644</v>
      </c>
      <c r="J582" s="10" t="s">
        <v>1754</v>
      </c>
      <c r="K582" s="10" t="s">
        <v>1752</v>
      </c>
      <c r="L582" s="10" t="s">
        <v>68</v>
      </c>
      <c r="M582" s="10" t="s">
        <v>416</v>
      </c>
      <c r="N582" s="11" t="s">
        <v>2645</v>
      </c>
      <c r="O582" s="11" t="s">
        <v>2650</v>
      </c>
      <c r="P582" s="10" t="s">
        <v>637</v>
      </c>
      <c r="Q582" s="11" t="s">
        <v>72</v>
      </c>
      <c r="R582" s="11" t="s">
        <v>2645</v>
      </c>
      <c r="S582" s="11" t="s">
        <v>710</v>
      </c>
      <c r="T582" s="11" t="s">
        <v>2651</v>
      </c>
      <c r="U582" s="10" t="n">
        <f aca="false">IF(AND($D582="",$E582="",$F582=""),1,0)</f>
        <v>0</v>
      </c>
      <c r="V582" s="10" t="n">
        <f aca="false">IF(OR($I582="",$I582="—"),1,0)</f>
        <v>0</v>
      </c>
      <c r="W582" s="10" t="n">
        <f aca="false">IF(AND(ISNUMBER($D582),ISNUMBER($E582)),IF($E582&gt;$D582,1,0),0)+IF(AND(ISNUMBER($D582),ISNUMBER($F582)),IF($D582&gt;$F582,1,0),0)+IF(AND(ISNUMBER($E582),ISNUMBER($F582)),IF($E582&gt;$F582,1,0),0)</f>
        <v>0</v>
      </c>
      <c r="X582" s="13" t="s">
        <v>76</v>
      </c>
    </row>
    <row r="583" customFormat="false" ht="15" hidden="false" customHeight="false" outlineLevel="0" collapsed="false">
      <c r="A583" s="10" t="s">
        <v>2652</v>
      </c>
      <c r="B583" s="10" t="s">
        <v>2653</v>
      </c>
      <c r="C583" s="10" t="s">
        <v>2654</v>
      </c>
      <c r="D583" s="12" t="n">
        <v>1.6</v>
      </c>
      <c r="E583" s="12"/>
      <c r="F583" s="12" t="n">
        <v>2</v>
      </c>
      <c r="G583" s="10" t="s">
        <v>2237</v>
      </c>
      <c r="H583" s="10" t="s">
        <v>1266</v>
      </c>
      <c r="I583" s="11" t="s">
        <v>2655</v>
      </c>
      <c r="J583" s="10" t="s">
        <v>1375</v>
      </c>
      <c r="K583" s="10" t="s">
        <v>665</v>
      </c>
      <c r="L583" s="10" t="s">
        <v>68</v>
      </c>
      <c r="M583" s="10" t="s">
        <v>416</v>
      </c>
      <c r="N583" s="11" t="s">
        <v>2645</v>
      </c>
      <c r="O583" s="11" t="s">
        <v>441</v>
      </c>
      <c r="P583" s="10" t="s">
        <v>637</v>
      </c>
      <c r="Q583" s="11" t="s">
        <v>72</v>
      </c>
      <c r="R583" s="11" t="s">
        <v>2645</v>
      </c>
      <c r="S583" s="11" t="s">
        <v>710</v>
      </c>
      <c r="T583" s="10" t="s">
        <v>2656</v>
      </c>
      <c r="U583" s="10" t="n">
        <f aca="false">IF(AND($D583="",$E583="",$F583=""),1,0)</f>
        <v>0</v>
      </c>
      <c r="V583" s="10" t="n">
        <f aca="false">IF(OR($I583="",$I583="—"),1,0)</f>
        <v>0</v>
      </c>
      <c r="W583" s="10" t="n">
        <f aca="false">IF(AND(ISNUMBER($D583),ISNUMBER($E583)),IF($E583&gt;$D583,1,0),0)+IF(AND(ISNUMBER($D583),ISNUMBER($F583)),IF($D583&gt;$F583,1,0),0)+IF(AND(ISNUMBER($E583),ISNUMBER($F583)),IF($E583&gt;$F583,1,0),0)</f>
        <v>0</v>
      </c>
      <c r="X583" s="13" t="s">
        <v>76</v>
      </c>
    </row>
    <row r="584" customFormat="false" ht="15" hidden="false" customHeight="false" outlineLevel="0" collapsed="false">
      <c r="A584" s="10" t="s">
        <v>2657</v>
      </c>
      <c r="B584" s="10" t="s">
        <v>2658</v>
      </c>
      <c r="C584" s="11" t="s">
        <v>2659</v>
      </c>
      <c r="D584" s="12" t="n">
        <v>80</v>
      </c>
      <c r="E584" s="12"/>
      <c r="F584" s="12"/>
      <c r="G584" s="10" t="s">
        <v>401</v>
      </c>
      <c r="H584" s="10" t="s">
        <v>2660</v>
      </c>
      <c r="I584" s="11" t="s">
        <v>2655</v>
      </c>
      <c r="J584" s="10" t="s">
        <v>1375</v>
      </c>
      <c r="K584" s="10" t="s">
        <v>665</v>
      </c>
      <c r="L584" s="10" t="s">
        <v>68</v>
      </c>
      <c r="M584" s="10" t="s">
        <v>416</v>
      </c>
      <c r="N584" s="11" t="s">
        <v>2645</v>
      </c>
      <c r="O584" s="11" t="s">
        <v>441</v>
      </c>
      <c r="P584" s="10" t="s">
        <v>637</v>
      </c>
      <c r="Q584" s="11" t="s">
        <v>72</v>
      </c>
      <c r="R584" s="11" t="s">
        <v>2645</v>
      </c>
      <c r="S584" s="11" t="s">
        <v>710</v>
      </c>
      <c r="T584" s="11" t="s">
        <v>2661</v>
      </c>
      <c r="U584" s="10" t="n">
        <f aca="false">IF(AND($D584="",$E584="",$F584=""),1,0)</f>
        <v>0</v>
      </c>
      <c r="V584" s="10" t="n">
        <f aca="false">IF(OR($I584="",$I584="—"),1,0)</f>
        <v>0</v>
      </c>
      <c r="W584" s="10" t="n">
        <f aca="false">IF(AND(ISNUMBER($D584),ISNUMBER($E584)),IF($E584&gt;$D584,1,0),0)+IF(AND(ISNUMBER($D584),ISNUMBER($F584)),IF($D584&gt;$F584,1,0),0)+IF(AND(ISNUMBER($E584),ISNUMBER($F584)),IF($E584&gt;$F584,1,0),0)</f>
        <v>0</v>
      </c>
      <c r="X584" s="13" t="s">
        <v>76</v>
      </c>
    </row>
    <row r="585" customFormat="false" ht="15" hidden="false" customHeight="false" outlineLevel="0" collapsed="false">
      <c r="A585" s="10" t="s">
        <v>2662</v>
      </c>
      <c r="B585" s="10" t="s">
        <v>2663</v>
      </c>
      <c r="C585" s="11" t="s">
        <v>2664</v>
      </c>
      <c r="D585" s="12"/>
      <c r="E585" s="12"/>
      <c r="F585" s="12"/>
      <c r="G585" s="11" t="s">
        <v>2665</v>
      </c>
      <c r="H585" s="10"/>
      <c r="I585" s="11" t="s">
        <v>2666</v>
      </c>
      <c r="J585" s="10" t="s">
        <v>2510</v>
      </c>
      <c r="K585" s="10" t="s">
        <v>665</v>
      </c>
      <c r="L585" s="10" t="s">
        <v>68</v>
      </c>
      <c r="M585" s="10" t="s">
        <v>416</v>
      </c>
      <c r="N585" s="11" t="s">
        <v>2645</v>
      </c>
      <c r="O585" s="11" t="s">
        <v>2667</v>
      </c>
      <c r="P585" s="10" t="s">
        <v>71</v>
      </c>
      <c r="Q585" s="11" t="s">
        <v>72</v>
      </c>
      <c r="R585" s="11" t="s">
        <v>2645</v>
      </c>
      <c r="S585" s="11" t="s">
        <v>74</v>
      </c>
      <c r="T585" s="11" t="s">
        <v>2668</v>
      </c>
      <c r="U585" s="10" t="n">
        <f aca="false">IF(AND($D585="",$E585="",$F585=""),1,0)</f>
        <v>1</v>
      </c>
      <c r="V585" s="10" t="n">
        <f aca="false">IF(OR($I585="",$I585="—"),1,0)</f>
        <v>0</v>
      </c>
      <c r="W585" s="10" t="n">
        <f aca="false">IF(AND(ISNUMBER($D585),ISNUMBER($E585)),IF($E585&gt;$D585,1,0),0)+IF(AND(ISNUMBER($D585),ISNUMBER($F585)),IF($D585&gt;$F585,1,0),0)+IF(AND(ISNUMBER($E585),ISNUMBER($F585)),IF($E585&gt;$F585,1,0),0)</f>
        <v>0</v>
      </c>
      <c r="X585" s="13" t="s">
        <v>76</v>
      </c>
    </row>
    <row r="586" customFormat="false" ht="15" hidden="false" customHeight="false" outlineLevel="0" collapsed="false">
      <c r="A586" s="10" t="s">
        <v>2669</v>
      </c>
      <c r="B586" s="10" t="s">
        <v>2670</v>
      </c>
      <c r="C586" s="11" t="s">
        <v>2671</v>
      </c>
      <c r="D586" s="12" t="n">
        <v>6048</v>
      </c>
      <c r="E586" s="12"/>
      <c r="F586" s="12"/>
      <c r="G586" s="10" t="s">
        <v>2508</v>
      </c>
      <c r="H586" s="10" t="s">
        <v>2672</v>
      </c>
      <c r="I586" s="10" t="s">
        <v>2673</v>
      </c>
      <c r="J586" s="10" t="s">
        <v>2674</v>
      </c>
      <c r="K586" s="10" t="s">
        <v>2675</v>
      </c>
      <c r="L586" s="10" t="s">
        <v>68</v>
      </c>
      <c r="M586" s="10" t="s">
        <v>416</v>
      </c>
      <c r="N586" s="11" t="s">
        <v>2676</v>
      </c>
      <c r="O586" s="11" t="s">
        <v>2677</v>
      </c>
      <c r="P586" s="10" t="s">
        <v>637</v>
      </c>
      <c r="Q586" s="11" t="s">
        <v>72</v>
      </c>
      <c r="R586" s="11" t="s">
        <v>2676</v>
      </c>
      <c r="S586" s="11" t="s">
        <v>710</v>
      </c>
      <c r="T586" s="10" t="s">
        <v>2678</v>
      </c>
      <c r="U586" s="10" t="n">
        <f aca="false">IF(AND($D586="",$E586="",$F586=""),1,0)</f>
        <v>0</v>
      </c>
      <c r="V586" s="10" t="n">
        <f aca="false">IF(OR($I586="",$I586="—"),1,0)</f>
        <v>0</v>
      </c>
      <c r="W586" s="10" t="n">
        <f aca="false">IF(AND(ISNUMBER($D586),ISNUMBER($E586)),IF($E586&gt;$D586,1,0),0)+IF(AND(ISNUMBER($D586),ISNUMBER($F586)),IF($D586&gt;$F586,1,0),0)+IF(AND(ISNUMBER($E586),ISNUMBER($F586)),IF($E586&gt;$F586,1,0),0)</f>
        <v>0</v>
      </c>
      <c r="X586" s="13" t="s">
        <v>76</v>
      </c>
    </row>
    <row r="587" customFormat="false" ht="15" hidden="false" customHeight="false" outlineLevel="0" collapsed="false">
      <c r="A587" s="10" t="s">
        <v>2679</v>
      </c>
      <c r="B587" s="10" t="s">
        <v>2680</v>
      </c>
      <c r="C587" s="11" t="s">
        <v>2681</v>
      </c>
      <c r="D587" s="12" t="n">
        <v>18013</v>
      </c>
      <c r="E587" s="12"/>
      <c r="F587" s="12"/>
      <c r="G587" s="10" t="s">
        <v>2508</v>
      </c>
      <c r="H587" s="10" t="s">
        <v>2682</v>
      </c>
      <c r="I587" s="10" t="s">
        <v>2683</v>
      </c>
      <c r="J587" s="10" t="s">
        <v>2674</v>
      </c>
      <c r="K587" s="10" t="s">
        <v>2675</v>
      </c>
      <c r="L587" s="10" t="s">
        <v>68</v>
      </c>
      <c r="M587" s="10" t="s">
        <v>416</v>
      </c>
      <c r="N587" s="11" t="s">
        <v>2684</v>
      </c>
      <c r="O587" s="11" t="s">
        <v>2677</v>
      </c>
      <c r="P587" s="10" t="s">
        <v>637</v>
      </c>
      <c r="Q587" s="11" t="s">
        <v>72</v>
      </c>
      <c r="R587" s="11" t="s">
        <v>2684</v>
      </c>
      <c r="S587" s="11" t="s">
        <v>710</v>
      </c>
      <c r="T587" s="10" t="s">
        <v>2685</v>
      </c>
      <c r="U587" s="10" t="n">
        <f aca="false">IF(AND($D587="",$E587="",$F587=""),1,0)</f>
        <v>0</v>
      </c>
      <c r="V587" s="10" t="n">
        <f aca="false">IF(OR($I587="",$I587="—"),1,0)</f>
        <v>0</v>
      </c>
      <c r="W587" s="10" t="n">
        <f aca="false">IF(AND(ISNUMBER($D587),ISNUMBER($E587)),IF($E587&gt;$D587,1,0),0)+IF(AND(ISNUMBER($D587),ISNUMBER($F587)),IF($D587&gt;$F587,1,0),0)+IF(AND(ISNUMBER($E587),ISNUMBER($F587)),IF($E587&gt;$F587,1,0),0)</f>
        <v>0</v>
      </c>
      <c r="X587" s="13" t="s">
        <v>76</v>
      </c>
    </row>
    <row r="588" customFormat="false" ht="15" hidden="false" customHeight="false" outlineLevel="0" collapsed="false">
      <c r="A588" s="10" t="s">
        <v>2686</v>
      </c>
      <c r="B588" s="10" t="s">
        <v>2687</v>
      </c>
      <c r="C588" s="11" t="s">
        <v>2688</v>
      </c>
      <c r="D588" s="12" t="n">
        <v>37900</v>
      </c>
      <c r="E588" s="12"/>
      <c r="F588" s="12"/>
      <c r="G588" s="10" t="s">
        <v>2508</v>
      </c>
      <c r="H588" s="10" t="s">
        <v>2689</v>
      </c>
      <c r="I588" s="10" t="s">
        <v>2690</v>
      </c>
      <c r="J588" s="10" t="s">
        <v>2674</v>
      </c>
      <c r="K588" s="10" t="s">
        <v>2675</v>
      </c>
      <c r="L588" s="10" t="s">
        <v>68</v>
      </c>
      <c r="M588" s="10" t="s">
        <v>416</v>
      </c>
      <c r="N588" s="11" t="s">
        <v>2684</v>
      </c>
      <c r="O588" s="11" t="s">
        <v>2677</v>
      </c>
      <c r="P588" s="10" t="s">
        <v>637</v>
      </c>
      <c r="Q588" s="11" t="s">
        <v>72</v>
      </c>
      <c r="R588" s="11" t="s">
        <v>2684</v>
      </c>
      <c r="S588" s="11" t="s">
        <v>710</v>
      </c>
      <c r="T588" s="10" t="s">
        <v>2691</v>
      </c>
      <c r="U588" s="10" t="n">
        <f aca="false">IF(AND($D588="",$E588="",$F588=""),1,0)</f>
        <v>0</v>
      </c>
      <c r="V588" s="10" t="n">
        <f aca="false">IF(OR($I588="",$I588="—"),1,0)</f>
        <v>0</v>
      </c>
      <c r="W588" s="10" t="n">
        <f aca="false">IF(AND(ISNUMBER($D588),ISNUMBER($E588)),IF($E588&gt;$D588,1,0),0)+IF(AND(ISNUMBER($D588),ISNUMBER($F588)),IF($D588&gt;$F588,1,0),0)+IF(AND(ISNUMBER($E588),ISNUMBER($F588)),IF($E588&gt;$F588,1,0),0)</f>
        <v>0</v>
      </c>
      <c r="X588" s="13" t="s">
        <v>76</v>
      </c>
    </row>
    <row r="589" customFormat="false" ht="15" hidden="false" customHeight="false" outlineLevel="0" collapsed="false">
      <c r="A589" s="10" t="s">
        <v>2692</v>
      </c>
      <c r="B589" s="10" t="s">
        <v>2693</v>
      </c>
      <c r="C589" s="11" t="s">
        <v>2694</v>
      </c>
      <c r="D589" s="12" t="n">
        <v>-4594</v>
      </c>
      <c r="E589" s="12"/>
      <c r="F589" s="12"/>
      <c r="G589" s="10" t="s">
        <v>2508</v>
      </c>
      <c r="H589" s="10" t="s">
        <v>2672</v>
      </c>
      <c r="I589" s="10" t="s">
        <v>2695</v>
      </c>
      <c r="J589" s="10" t="s">
        <v>2674</v>
      </c>
      <c r="K589" s="10" t="s">
        <v>2675</v>
      </c>
      <c r="L589" s="10" t="s">
        <v>68</v>
      </c>
      <c r="M589" s="10" t="s">
        <v>416</v>
      </c>
      <c r="N589" s="11" t="s">
        <v>2684</v>
      </c>
      <c r="O589" s="11" t="s">
        <v>2677</v>
      </c>
      <c r="P589" s="10" t="s">
        <v>637</v>
      </c>
      <c r="Q589" s="11" t="s">
        <v>72</v>
      </c>
      <c r="R589" s="11" t="s">
        <v>2684</v>
      </c>
      <c r="S589" s="11" t="s">
        <v>710</v>
      </c>
      <c r="T589" s="10" t="s">
        <v>2696</v>
      </c>
      <c r="U589" s="10" t="n">
        <f aca="false">IF(AND($D589="",$E589="",$F589=""),1,0)</f>
        <v>0</v>
      </c>
      <c r="V589" s="10" t="n">
        <f aca="false">IF(OR($I589="",$I589="—"),1,0)</f>
        <v>0</v>
      </c>
      <c r="W589" s="10" t="n">
        <f aca="false">IF(AND(ISNUMBER($D589),ISNUMBER($E589)),IF($E589&gt;$D589,1,0),0)+IF(AND(ISNUMBER($D589),ISNUMBER($F589)),IF($D589&gt;$F589,1,0),0)+IF(AND(ISNUMBER($E589),ISNUMBER($F589)),IF($E589&gt;$F589,1,0),0)</f>
        <v>0</v>
      </c>
      <c r="X589" s="13" t="s">
        <v>76</v>
      </c>
    </row>
    <row r="590" customFormat="false" ht="15" hidden="false" customHeight="false" outlineLevel="0" collapsed="false">
      <c r="A590" s="10" t="s">
        <v>2697</v>
      </c>
      <c r="B590" s="10" t="s">
        <v>2698</v>
      </c>
      <c r="C590" s="11" t="s">
        <v>2699</v>
      </c>
      <c r="D590" s="12" t="n">
        <v>6.1</v>
      </c>
      <c r="E590" s="12"/>
      <c r="F590" s="12"/>
      <c r="G590" s="10" t="s">
        <v>2700</v>
      </c>
      <c r="H590" s="10" t="s">
        <v>2672</v>
      </c>
      <c r="I590" s="10" t="s">
        <v>2701</v>
      </c>
      <c r="J590" s="10" t="s">
        <v>2702</v>
      </c>
      <c r="K590" s="10" t="s">
        <v>2703</v>
      </c>
      <c r="L590" s="10" t="s">
        <v>68</v>
      </c>
      <c r="M590" s="10" t="s">
        <v>416</v>
      </c>
      <c r="N590" s="11" t="s">
        <v>2684</v>
      </c>
      <c r="O590" s="11" t="s">
        <v>2677</v>
      </c>
      <c r="P590" s="10" t="s">
        <v>637</v>
      </c>
      <c r="Q590" s="11" t="s">
        <v>72</v>
      </c>
      <c r="R590" s="11" t="s">
        <v>2684</v>
      </c>
      <c r="S590" s="11" t="s">
        <v>710</v>
      </c>
      <c r="T590" s="11" t="s">
        <v>2704</v>
      </c>
      <c r="U590" s="10" t="n">
        <f aca="false">IF(AND($D590="",$E590="",$F590=""),1,0)</f>
        <v>0</v>
      </c>
      <c r="V590" s="10" t="n">
        <f aca="false">IF(OR($I590="",$I590="—"),1,0)</f>
        <v>0</v>
      </c>
      <c r="W590" s="10" t="n">
        <f aca="false">IF(AND(ISNUMBER($D590),ISNUMBER($E590)),IF($E590&gt;$D590,1,0),0)+IF(AND(ISNUMBER($D590),ISNUMBER($F590)),IF($D590&gt;$F590,1,0),0)+IF(AND(ISNUMBER($E590),ISNUMBER($F590)),IF($E590&gt;$F590,1,0),0)</f>
        <v>0</v>
      </c>
      <c r="X590" s="13" t="s">
        <v>76</v>
      </c>
    </row>
    <row r="591" customFormat="false" ht="15" hidden="false" customHeight="false" outlineLevel="0" collapsed="false">
      <c r="A591" s="10" t="s">
        <v>2705</v>
      </c>
      <c r="B591" s="10" t="s">
        <v>2706</v>
      </c>
      <c r="C591" s="11" t="s">
        <v>2707</v>
      </c>
      <c r="D591" s="12" t="n">
        <v>1567.3</v>
      </c>
      <c r="E591" s="12"/>
      <c r="F591" s="12"/>
      <c r="G591" s="10" t="s">
        <v>2297</v>
      </c>
      <c r="H591" s="10" t="s">
        <v>2606</v>
      </c>
      <c r="I591" s="10" t="s">
        <v>2708</v>
      </c>
      <c r="J591" s="10" t="s">
        <v>2605</v>
      </c>
      <c r="K591" s="10" t="s">
        <v>2606</v>
      </c>
      <c r="L591" s="10" t="s">
        <v>68</v>
      </c>
      <c r="M591" s="10" t="s">
        <v>416</v>
      </c>
      <c r="N591" s="11" t="s">
        <v>2684</v>
      </c>
      <c r="O591" s="11" t="s">
        <v>2677</v>
      </c>
      <c r="P591" s="10" t="s">
        <v>637</v>
      </c>
      <c r="Q591" s="11" t="s">
        <v>72</v>
      </c>
      <c r="R591" s="11" t="s">
        <v>2684</v>
      </c>
      <c r="S591" s="11" t="s">
        <v>710</v>
      </c>
      <c r="T591" s="11" t="s">
        <v>2709</v>
      </c>
      <c r="U591" s="10" t="n">
        <f aca="false">IF(AND($D591="",$E591="",$F591=""),1,0)</f>
        <v>0</v>
      </c>
      <c r="V591" s="10" t="n">
        <f aca="false">IF(OR($I591="",$I591="—"),1,0)</f>
        <v>0</v>
      </c>
      <c r="W591" s="10" t="n">
        <f aca="false">IF(AND(ISNUMBER($D591),ISNUMBER($E591)),IF($E591&gt;$D591,1,0),0)+IF(AND(ISNUMBER($D591),ISNUMBER($F591)),IF($D591&gt;$F591,1,0),0)+IF(AND(ISNUMBER($E591),ISNUMBER($F591)),IF($E591&gt;$F591,1,0),0)</f>
        <v>0</v>
      </c>
      <c r="X591" s="13" t="s">
        <v>76</v>
      </c>
    </row>
    <row r="592" customFormat="false" ht="15" hidden="false" customHeight="false" outlineLevel="0" collapsed="false">
      <c r="A592" s="10" t="s">
        <v>2710</v>
      </c>
      <c r="B592" s="10" t="s">
        <v>2711</v>
      </c>
      <c r="C592" s="11" t="s">
        <v>2712</v>
      </c>
      <c r="D592" s="12" t="n">
        <v>1427</v>
      </c>
      <c r="E592" s="12" t="n">
        <v>549</v>
      </c>
      <c r="F592" s="12" t="n">
        <v>1928</v>
      </c>
      <c r="G592" s="10" t="s">
        <v>2713</v>
      </c>
      <c r="H592" s="10" t="s">
        <v>2703</v>
      </c>
      <c r="I592" s="10" t="s">
        <v>2714</v>
      </c>
      <c r="J592" s="10" t="s">
        <v>2702</v>
      </c>
      <c r="K592" s="10" t="s">
        <v>2703</v>
      </c>
      <c r="L592" s="10" t="s">
        <v>68</v>
      </c>
      <c r="M592" s="10" t="s">
        <v>416</v>
      </c>
      <c r="N592" s="11" t="s">
        <v>2715</v>
      </c>
      <c r="O592" s="11" t="s">
        <v>2677</v>
      </c>
      <c r="P592" s="10" t="s">
        <v>637</v>
      </c>
      <c r="Q592" s="11" t="s">
        <v>72</v>
      </c>
      <c r="R592" s="11" t="s">
        <v>2715</v>
      </c>
      <c r="S592" s="11" t="s">
        <v>710</v>
      </c>
      <c r="T592" s="11" t="s">
        <v>2716</v>
      </c>
      <c r="U592" s="10" t="n">
        <f aca="false">IF(AND($D592="",$E592="",$F592=""),1,0)</f>
        <v>0</v>
      </c>
      <c r="V592" s="10" t="n">
        <f aca="false">IF(OR($I592="",$I592="—"),1,0)</f>
        <v>0</v>
      </c>
      <c r="W592" s="10" t="n">
        <f aca="false">IF(AND(ISNUMBER($D592),ISNUMBER($E592)),IF($E592&gt;$D592,1,0),0)+IF(AND(ISNUMBER($D592),ISNUMBER($F592)),IF($D592&gt;$F592,1,0),0)+IF(AND(ISNUMBER($E592),ISNUMBER($F592)),IF($E592&gt;$F592,1,0),0)</f>
        <v>0</v>
      </c>
      <c r="X592" s="13" t="s">
        <v>76</v>
      </c>
    </row>
    <row r="593" customFormat="false" ht="15" hidden="false" customHeight="false" outlineLevel="0" collapsed="false">
      <c r="A593" s="10" t="s">
        <v>2717</v>
      </c>
      <c r="B593" s="10" t="s">
        <v>2718</v>
      </c>
      <c r="C593" s="11" t="s">
        <v>2719</v>
      </c>
      <c r="D593" s="12" t="n">
        <v>1560</v>
      </c>
      <c r="E593" s="12"/>
      <c r="F593" s="12"/>
      <c r="G593" s="10" t="s">
        <v>2297</v>
      </c>
      <c r="H593" s="10" t="s">
        <v>2720</v>
      </c>
      <c r="I593" s="11" t="s">
        <v>2721</v>
      </c>
      <c r="J593" s="10" t="s">
        <v>2722</v>
      </c>
      <c r="K593" s="10" t="s">
        <v>2720</v>
      </c>
      <c r="L593" s="10" t="s">
        <v>68</v>
      </c>
      <c r="M593" s="10" t="s">
        <v>416</v>
      </c>
      <c r="N593" s="11" t="s">
        <v>2723</v>
      </c>
      <c r="O593" s="11" t="s">
        <v>2715</v>
      </c>
      <c r="P593" s="10" t="s">
        <v>637</v>
      </c>
      <c r="Q593" s="11" t="s">
        <v>72</v>
      </c>
      <c r="R593" s="11" t="s">
        <v>2723</v>
      </c>
      <c r="S593" s="11" t="s">
        <v>710</v>
      </c>
      <c r="T593" s="11" t="s">
        <v>2724</v>
      </c>
      <c r="U593" s="10" t="n">
        <f aca="false">IF(AND($D593="",$E593="",$F593=""),1,0)</f>
        <v>0</v>
      </c>
      <c r="V593" s="10" t="n">
        <f aca="false">IF(OR($I593="",$I593="—"),1,0)</f>
        <v>0</v>
      </c>
      <c r="W593" s="10" t="n">
        <f aca="false">IF(AND(ISNUMBER($D593),ISNUMBER($E593)),IF($E593&gt;$D593,1,0),0)+IF(AND(ISNUMBER($D593),ISNUMBER($F593)),IF($D593&gt;$F593,1,0),0)+IF(AND(ISNUMBER($E593),ISNUMBER($F593)),IF($E593&gt;$F593,1,0),0)</f>
        <v>0</v>
      </c>
      <c r="X593" s="13" t="s">
        <v>76</v>
      </c>
    </row>
    <row r="594" customFormat="false" ht="15" hidden="false" customHeight="false" outlineLevel="0" collapsed="false">
      <c r="A594" s="10" t="s">
        <v>2725</v>
      </c>
      <c r="B594" s="10" t="s">
        <v>2726</v>
      </c>
      <c r="C594" s="11" t="s">
        <v>2727</v>
      </c>
      <c r="D594" s="12" t="n">
        <v>1600</v>
      </c>
      <c r="E594" s="12"/>
      <c r="F594" s="12"/>
      <c r="G594" s="10" t="s">
        <v>2297</v>
      </c>
      <c r="H594" s="10" t="s">
        <v>2728</v>
      </c>
      <c r="I594" s="11" t="s">
        <v>2729</v>
      </c>
      <c r="J594" s="10" t="s">
        <v>2730</v>
      </c>
      <c r="K594" s="10" t="s">
        <v>2728</v>
      </c>
      <c r="L594" s="10" t="s">
        <v>68</v>
      </c>
      <c r="M594" s="10" t="s">
        <v>416</v>
      </c>
      <c r="N594" s="11" t="s">
        <v>2731</v>
      </c>
      <c r="O594" s="11" t="s">
        <v>2715</v>
      </c>
      <c r="P594" s="10" t="s">
        <v>637</v>
      </c>
      <c r="Q594" s="11" t="s">
        <v>72</v>
      </c>
      <c r="R594" s="11" t="s">
        <v>2731</v>
      </c>
      <c r="S594" s="11" t="s">
        <v>710</v>
      </c>
      <c r="T594" s="11" t="s">
        <v>2732</v>
      </c>
      <c r="U594" s="10" t="n">
        <f aca="false">IF(AND($D594="",$E594="",$F594=""),1,0)</f>
        <v>0</v>
      </c>
      <c r="V594" s="10" t="n">
        <f aca="false">IF(OR($I594="",$I594="—"),1,0)</f>
        <v>0</v>
      </c>
      <c r="W594" s="10" t="n">
        <f aca="false">IF(AND(ISNUMBER($D594),ISNUMBER($E594)),IF($E594&gt;$D594,1,0),0)+IF(AND(ISNUMBER($D594),ISNUMBER($F594)),IF($D594&gt;$F594,1,0),0)+IF(AND(ISNUMBER($E594),ISNUMBER($F594)),IF($E594&gt;$F594,1,0),0)</f>
        <v>0</v>
      </c>
      <c r="X594" s="13" t="s">
        <v>76</v>
      </c>
    </row>
    <row r="595" customFormat="false" ht="15" hidden="false" customHeight="false" outlineLevel="0" collapsed="false">
      <c r="A595" s="10" t="s">
        <v>2733</v>
      </c>
      <c r="B595" s="10" t="s">
        <v>2734</v>
      </c>
      <c r="C595" s="11" t="s">
        <v>2735</v>
      </c>
      <c r="D595" s="12" t="n">
        <v>62</v>
      </c>
      <c r="E595" s="12"/>
      <c r="F595" s="12"/>
      <c r="G595" s="10" t="s">
        <v>2736</v>
      </c>
      <c r="H595" s="10" t="s">
        <v>2737</v>
      </c>
      <c r="I595" s="11" t="s">
        <v>2738</v>
      </c>
      <c r="J595" s="10" t="s">
        <v>716</v>
      </c>
      <c r="K595" s="10" t="s">
        <v>717</v>
      </c>
      <c r="L595" s="10" t="s">
        <v>68</v>
      </c>
      <c r="M595" s="10" t="s">
        <v>416</v>
      </c>
      <c r="N595" s="11" t="s">
        <v>2739</v>
      </c>
      <c r="O595" s="11" t="s">
        <v>2715</v>
      </c>
      <c r="P595" s="10" t="s">
        <v>637</v>
      </c>
      <c r="Q595" s="11" t="s">
        <v>72</v>
      </c>
      <c r="R595" s="11" t="s">
        <v>2739</v>
      </c>
      <c r="S595" s="11" t="s">
        <v>710</v>
      </c>
      <c r="T595" s="11" t="s">
        <v>2740</v>
      </c>
      <c r="U595" s="10" t="n">
        <f aca="false">IF(AND($D595="",$E595="",$F595=""),1,0)</f>
        <v>0</v>
      </c>
      <c r="V595" s="10" t="n">
        <f aca="false">IF(OR($I595="",$I595="—"),1,0)</f>
        <v>0</v>
      </c>
      <c r="W595" s="10" t="n">
        <f aca="false">IF(AND(ISNUMBER($D595),ISNUMBER($E595)),IF($E595&gt;$D595,1,0),0)+IF(AND(ISNUMBER($D595),ISNUMBER($F595)),IF($D595&gt;$F595,1,0),0)+IF(AND(ISNUMBER($E595),ISNUMBER($F595)),IF($E595&gt;$F595,1,0),0)</f>
        <v>0</v>
      </c>
      <c r="X595" s="13" t="s">
        <v>76</v>
      </c>
    </row>
    <row r="596" customFormat="false" ht="15" hidden="false" customHeight="false" outlineLevel="0" collapsed="false">
      <c r="A596" s="10" t="s">
        <v>2741</v>
      </c>
      <c r="B596" s="10" t="s">
        <v>2742</v>
      </c>
      <c r="C596" s="11" t="s">
        <v>2743</v>
      </c>
      <c r="D596" s="12" t="n">
        <v>42</v>
      </c>
      <c r="E596" s="12"/>
      <c r="F596" s="12"/>
      <c r="G596" s="10" t="s">
        <v>2736</v>
      </c>
      <c r="H596" s="10" t="s">
        <v>2737</v>
      </c>
      <c r="I596" s="11" t="s">
        <v>2744</v>
      </c>
      <c r="J596" s="10" t="s">
        <v>2745</v>
      </c>
      <c r="K596" s="10" t="s">
        <v>2746</v>
      </c>
      <c r="L596" s="10" t="s">
        <v>68</v>
      </c>
      <c r="M596" s="10" t="s">
        <v>416</v>
      </c>
      <c r="N596" s="11" t="s">
        <v>2747</v>
      </c>
      <c r="O596" s="11" t="s">
        <v>2715</v>
      </c>
      <c r="P596" s="10" t="s">
        <v>637</v>
      </c>
      <c r="Q596" s="11" t="s">
        <v>72</v>
      </c>
      <c r="R596" s="11" t="s">
        <v>2747</v>
      </c>
      <c r="S596" s="11" t="s">
        <v>710</v>
      </c>
      <c r="T596" s="10" t="s">
        <v>2748</v>
      </c>
      <c r="U596" s="10" t="n">
        <f aca="false">IF(AND($D596="",$E596="",$F596=""),1,0)</f>
        <v>0</v>
      </c>
      <c r="V596" s="10" t="n">
        <f aca="false">IF(OR($I596="",$I596="—"),1,0)</f>
        <v>0</v>
      </c>
      <c r="W596" s="10" t="n">
        <f aca="false">IF(AND(ISNUMBER($D596),ISNUMBER($E596)),IF($E596&gt;$D596,1,0),0)+IF(AND(ISNUMBER($D596),ISNUMBER($F596)),IF($D596&gt;$F596,1,0),0)+IF(AND(ISNUMBER($E596),ISNUMBER($F596)),IF($E596&gt;$F596,1,0),0)</f>
        <v>0</v>
      </c>
      <c r="X596" s="13" t="s">
        <v>76</v>
      </c>
    </row>
    <row r="597" customFormat="false" ht="15" hidden="false" customHeight="false" outlineLevel="0" collapsed="false">
      <c r="A597" s="10" t="s">
        <v>2749</v>
      </c>
      <c r="B597" s="10" t="s">
        <v>2750</v>
      </c>
      <c r="C597" s="11" t="s">
        <v>2751</v>
      </c>
      <c r="D597" s="12" t="n">
        <v>1500</v>
      </c>
      <c r="E597" s="12"/>
      <c r="F597" s="12"/>
      <c r="G597" s="10" t="s">
        <v>2297</v>
      </c>
      <c r="H597" s="10" t="s">
        <v>2752</v>
      </c>
      <c r="I597" s="11" t="s">
        <v>2753</v>
      </c>
      <c r="J597" s="10" t="s">
        <v>2754</v>
      </c>
      <c r="K597" s="10" t="s">
        <v>2752</v>
      </c>
      <c r="L597" s="10" t="s">
        <v>68</v>
      </c>
      <c r="M597" s="10" t="s">
        <v>416</v>
      </c>
      <c r="N597" s="11" t="s">
        <v>2755</v>
      </c>
      <c r="O597" s="11" t="s">
        <v>2715</v>
      </c>
      <c r="P597" s="10" t="s">
        <v>637</v>
      </c>
      <c r="Q597" s="11" t="s">
        <v>72</v>
      </c>
      <c r="R597" s="11" t="s">
        <v>2755</v>
      </c>
      <c r="S597" s="11" t="s">
        <v>710</v>
      </c>
      <c r="T597" s="11" t="s">
        <v>2756</v>
      </c>
      <c r="U597" s="10" t="n">
        <f aca="false">IF(AND($D597="",$E597="",$F597=""),1,0)</f>
        <v>0</v>
      </c>
      <c r="V597" s="10" t="n">
        <f aca="false">IF(OR($I597="",$I597="—"),1,0)</f>
        <v>0</v>
      </c>
      <c r="W597" s="10" t="n">
        <f aca="false">IF(AND(ISNUMBER($D597),ISNUMBER($E597)),IF($E597&gt;$D597,1,0),0)+IF(AND(ISNUMBER($D597),ISNUMBER($F597)),IF($D597&gt;$F597,1,0),0)+IF(AND(ISNUMBER($E597),ISNUMBER($F597)),IF($E597&gt;$F597,1,0),0)</f>
        <v>0</v>
      </c>
      <c r="X597" s="13" t="s">
        <v>76</v>
      </c>
    </row>
    <row r="598" customFormat="false" ht="15" hidden="false" customHeight="false" outlineLevel="0" collapsed="false">
      <c r="A598" s="10" t="s">
        <v>2757</v>
      </c>
      <c r="B598" s="10" t="s">
        <v>2758</v>
      </c>
      <c r="C598" s="11" t="s">
        <v>2759</v>
      </c>
      <c r="D598" s="12" t="n">
        <v>2000</v>
      </c>
      <c r="E598" s="12"/>
      <c r="F598" s="12"/>
      <c r="G598" s="10" t="s">
        <v>2297</v>
      </c>
      <c r="H598" s="10" t="s">
        <v>2414</v>
      </c>
      <c r="I598" s="11" t="s">
        <v>2760</v>
      </c>
      <c r="J598" s="10" t="s">
        <v>2761</v>
      </c>
      <c r="K598" s="10" t="s">
        <v>2414</v>
      </c>
      <c r="L598" s="10" t="s">
        <v>68</v>
      </c>
      <c r="M598" s="10" t="s">
        <v>416</v>
      </c>
      <c r="N598" s="11" t="s">
        <v>2762</v>
      </c>
      <c r="O598" s="11" t="s">
        <v>2715</v>
      </c>
      <c r="P598" s="10" t="s">
        <v>637</v>
      </c>
      <c r="Q598" s="11" t="s">
        <v>72</v>
      </c>
      <c r="R598" s="11" t="s">
        <v>2762</v>
      </c>
      <c r="S598" s="11" t="s">
        <v>710</v>
      </c>
      <c r="T598" s="11" t="s">
        <v>2763</v>
      </c>
      <c r="U598" s="10" t="n">
        <f aca="false">IF(AND($D598="",$E598="",$F598=""),1,0)</f>
        <v>0</v>
      </c>
      <c r="V598" s="10" t="n">
        <f aca="false">IF(OR($I598="",$I598="—"),1,0)</f>
        <v>0</v>
      </c>
      <c r="W598" s="10" t="n">
        <f aca="false">IF(AND(ISNUMBER($D598),ISNUMBER($E598)),IF($E598&gt;$D598,1,0),0)+IF(AND(ISNUMBER($D598),ISNUMBER($F598)),IF($D598&gt;$F598,1,0),0)+IF(AND(ISNUMBER($E598),ISNUMBER($F598)),IF($E598&gt;$F598,1,0),0)</f>
        <v>0</v>
      </c>
      <c r="X598" s="13" t="s">
        <v>76</v>
      </c>
    </row>
    <row r="599" customFormat="false" ht="15" hidden="false" customHeight="false" outlineLevel="0" collapsed="false">
      <c r="A599" s="10" t="s">
        <v>2764</v>
      </c>
      <c r="B599" s="10" t="s">
        <v>2765</v>
      </c>
      <c r="C599" s="10" t="s">
        <v>2766</v>
      </c>
      <c r="D599" s="12" t="n">
        <v>236</v>
      </c>
      <c r="E599" s="12"/>
      <c r="F599" s="12"/>
      <c r="G599" s="10" t="s">
        <v>2297</v>
      </c>
      <c r="H599" s="10" t="s">
        <v>2767</v>
      </c>
      <c r="I599" s="11" t="s">
        <v>2597</v>
      </c>
      <c r="J599" s="10" t="s">
        <v>2768</v>
      </c>
      <c r="K599" s="10" t="s">
        <v>2596</v>
      </c>
      <c r="L599" s="10" t="s">
        <v>68</v>
      </c>
      <c r="M599" s="10" t="s">
        <v>69</v>
      </c>
      <c r="N599" s="10"/>
      <c r="O599" s="11" t="s">
        <v>2769</v>
      </c>
      <c r="P599" s="10" t="s">
        <v>637</v>
      </c>
      <c r="Q599" s="11" t="s">
        <v>72</v>
      </c>
      <c r="R599" s="11" t="s">
        <v>1090</v>
      </c>
      <c r="S599" s="11" t="s">
        <v>710</v>
      </c>
      <c r="T599" s="10" t="s">
        <v>2770</v>
      </c>
      <c r="U599" s="10" t="n">
        <f aca="false">IF(AND($D599="",$E599="",$F599=""),1,0)</f>
        <v>0</v>
      </c>
      <c r="V599" s="10" t="n">
        <f aca="false">IF(OR($I599="",$I599="—"),1,0)</f>
        <v>0</v>
      </c>
      <c r="W599" s="10" t="n">
        <f aca="false">IF(AND(ISNUMBER($D599),ISNUMBER($E599)),IF($E599&gt;$D599,1,0),0)+IF(AND(ISNUMBER($D599),ISNUMBER($F599)),IF($D599&gt;$F599,1,0),0)+IF(AND(ISNUMBER($E599),ISNUMBER($F599)),IF($E599&gt;$F599,1,0),0)</f>
        <v>0</v>
      </c>
      <c r="X599" s="13" t="s">
        <v>76</v>
      </c>
    </row>
    <row r="600" customFormat="false" ht="15" hidden="false" customHeight="false" outlineLevel="0" collapsed="false">
      <c r="A600" s="10" t="s">
        <v>2771</v>
      </c>
      <c r="B600" s="10" t="s">
        <v>2772</v>
      </c>
      <c r="C600" s="10" t="s">
        <v>2773</v>
      </c>
      <c r="D600" s="12" t="n">
        <v>830.72</v>
      </c>
      <c r="E600" s="12"/>
      <c r="F600" s="12"/>
      <c r="G600" s="10" t="s">
        <v>2346</v>
      </c>
      <c r="H600" s="10" t="s">
        <v>2596</v>
      </c>
      <c r="I600" s="11" t="s">
        <v>2597</v>
      </c>
      <c r="J600" s="10" t="s">
        <v>2768</v>
      </c>
      <c r="K600" s="10" t="s">
        <v>2596</v>
      </c>
      <c r="L600" s="10" t="s">
        <v>68</v>
      </c>
      <c r="M600" s="10" t="s">
        <v>69</v>
      </c>
      <c r="N600" s="10"/>
      <c r="O600" s="11" t="s">
        <v>2383</v>
      </c>
      <c r="P600" s="10" t="s">
        <v>637</v>
      </c>
      <c r="Q600" s="11" t="s">
        <v>72</v>
      </c>
      <c r="R600" s="11" t="s">
        <v>1090</v>
      </c>
      <c r="S600" s="11" t="s">
        <v>710</v>
      </c>
      <c r="T600" s="10" t="s">
        <v>2774</v>
      </c>
      <c r="U600" s="10" t="n">
        <f aca="false">IF(AND($D600="",$E600="",$F600=""),1,0)</f>
        <v>0</v>
      </c>
      <c r="V600" s="10" t="n">
        <f aca="false">IF(OR($I600="",$I600="—"),1,0)</f>
        <v>0</v>
      </c>
      <c r="W600" s="10" t="n">
        <f aca="false">IF(AND(ISNUMBER($D600),ISNUMBER($E600)),IF($E600&gt;$D600,1,0),0)+IF(AND(ISNUMBER($D600),ISNUMBER($F600)),IF($D600&gt;$F600,1,0),0)+IF(AND(ISNUMBER($E600),ISNUMBER($F600)),IF($E600&gt;$F600,1,0),0)</f>
        <v>0</v>
      </c>
      <c r="X600" s="13" t="s">
        <v>76</v>
      </c>
    </row>
    <row r="601" customFormat="false" ht="15" hidden="false" customHeight="false" outlineLevel="0" collapsed="false">
      <c r="A601" s="10" t="s">
        <v>2775</v>
      </c>
      <c r="B601" s="10" t="s">
        <v>2776</v>
      </c>
      <c r="C601" s="10" t="s">
        <v>2777</v>
      </c>
      <c r="D601" s="12" t="n">
        <v>352480183</v>
      </c>
      <c r="E601" s="12"/>
      <c r="F601" s="12"/>
      <c r="G601" s="11" t="s">
        <v>2306</v>
      </c>
      <c r="H601" s="10" t="s">
        <v>2778</v>
      </c>
      <c r="I601" s="10" t="s">
        <v>2779</v>
      </c>
      <c r="J601" s="10" t="s">
        <v>2780</v>
      </c>
      <c r="K601" s="10" t="s">
        <v>2781</v>
      </c>
      <c r="L601" s="10" t="s">
        <v>68</v>
      </c>
      <c r="M601" s="10" t="s">
        <v>69</v>
      </c>
      <c r="N601" s="10"/>
      <c r="O601" s="11" t="s">
        <v>2301</v>
      </c>
      <c r="P601" s="10" t="s">
        <v>637</v>
      </c>
      <c r="Q601" s="11" t="s">
        <v>72</v>
      </c>
      <c r="R601" s="11" t="s">
        <v>1090</v>
      </c>
      <c r="S601" s="11" t="s">
        <v>1278</v>
      </c>
      <c r="T601" s="11" t="s">
        <v>2782</v>
      </c>
      <c r="U601" s="10" t="n">
        <f aca="false">IF(AND($D601="",$E601="",$F601=""),1,0)</f>
        <v>0</v>
      </c>
      <c r="V601" s="10" t="n">
        <f aca="false">IF(OR($I601="",$I601="—"),1,0)</f>
        <v>0</v>
      </c>
      <c r="W601" s="10" t="n">
        <f aca="false">IF(AND(ISNUMBER($D601),ISNUMBER($E601)),IF($E601&gt;$D601,1,0),0)+IF(AND(ISNUMBER($D601),ISNUMBER($F601)),IF($D601&gt;$F601,1,0),0)+IF(AND(ISNUMBER($E601),ISNUMBER($F601)),IF($E601&gt;$F601,1,0),0)</f>
        <v>0</v>
      </c>
      <c r="X601" s="13" t="s">
        <v>76</v>
      </c>
    </row>
    <row r="602" customFormat="false" ht="15" hidden="false" customHeight="false" outlineLevel="0" collapsed="false">
      <c r="A602" s="10" t="s">
        <v>2783</v>
      </c>
      <c r="B602" s="10" t="s">
        <v>2784</v>
      </c>
      <c r="C602" s="10" t="s">
        <v>2785</v>
      </c>
      <c r="D602" s="12" t="n">
        <v>79</v>
      </c>
      <c r="E602" s="12"/>
      <c r="F602" s="12"/>
      <c r="G602" s="10" t="s">
        <v>2226</v>
      </c>
      <c r="H602" s="10" t="s">
        <v>446</v>
      </c>
      <c r="I602" s="10" t="s">
        <v>2786</v>
      </c>
      <c r="J602" s="10" t="s">
        <v>2787</v>
      </c>
      <c r="K602" s="10" t="s">
        <v>2788</v>
      </c>
      <c r="L602" s="10" t="s">
        <v>68</v>
      </c>
      <c r="M602" s="10" t="s">
        <v>69</v>
      </c>
      <c r="N602" s="10"/>
      <c r="O602" s="11" t="s">
        <v>2789</v>
      </c>
      <c r="P602" s="10" t="s">
        <v>637</v>
      </c>
      <c r="Q602" s="11" t="s">
        <v>72</v>
      </c>
      <c r="R602" s="11" t="s">
        <v>1090</v>
      </c>
      <c r="S602" s="11" t="s">
        <v>1278</v>
      </c>
      <c r="T602" s="11" t="s">
        <v>2790</v>
      </c>
      <c r="U602" s="10" t="n">
        <f aca="false">IF(AND($D602="",$E602="",$F602=""),1,0)</f>
        <v>0</v>
      </c>
      <c r="V602" s="10" t="n">
        <f aca="false">IF(OR($I602="",$I602="—"),1,0)</f>
        <v>0</v>
      </c>
      <c r="W602" s="10" t="n">
        <f aca="false">IF(AND(ISNUMBER($D602),ISNUMBER($E602)),IF($E602&gt;$D602,1,0),0)+IF(AND(ISNUMBER($D602),ISNUMBER($F602)),IF($D602&gt;$F602,1,0),0)+IF(AND(ISNUMBER($E602),ISNUMBER($F602)),IF($E602&gt;$F602,1,0),0)</f>
        <v>0</v>
      </c>
      <c r="X602" s="13" t="s">
        <v>76</v>
      </c>
    </row>
    <row r="603" customFormat="false" ht="15" hidden="false" customHeight="false" outlineLevel="0" collapsed="false">
      <c r="A603" s="10" t="s">
        <v>2791</v>
      </c>
      <c r="B603" s="10" t="s">
        <v>2792</v>
      </c>
      <c r="C603" s="10" t="s">
        <v>2793</v>
      </c>
      <c r="D603" s="12" t="n">
        <v>-1871.6</v>
      </c>
      <c r="E603" s="12"/>
      <c r="F603" s="12"/>
      <c r="G603" s="10" t="s">
        <v>2226</v>
      </c>
      <c r="H603" s="10" t="s">
        <v>446</v>
      </c>
      <c r="I603" s="10" t="s">
        <v>2786</v>
      </c>
      <c r="J603" s="10" t="s">
        <v>2787</v>
      </c>
      <c r="K603" s="10" t="s">
        <v>2788</v>
      </c>
      <c r="L603" s="10" t="s">
        <v>68</v>
      </c>
      <c r="M603" s="10" t="s">
        <v>69</v>
      </c>
      <c r="N603" s="10"/>
      <c r="O603" s="11" t="s">
        <v>2789</v>
      </c>
      <c r="P603" s="10" t="s">
        <v>637</v>
      </c>
      <c r="Q603" s="11" t="s">
        <v>72</v>
      </c>
      <c r="R603" s="11" t="s">
        <v>1090</v>
      </c>
      <c r="S603" s="11" t="s">
        <v>1278</v>
      </c>
      <c r="T603" s="11" t="s">
        <v>2794</v>
      </c>
      <c r="U603" s="10" t="n">
        <f aca="false">IF(AND($D603="",$E603="",$F603=""),1,0)</f>
        <v>0</v>
      </c>
      <c r="V603" s="10" t="n">
        <f aca="false">IF(OR($I603="",$I603="—"),1,0)</f>
        <v>0</v>
      </c>
      <c r="W603" s="10" t="n">
        <f aca="false">IF(AND(ISNUMBER($D603),ISNUMBER($E603)),IF($E603&gt;$D603,1,0),0)+IF(AND(ISNUMBER($D603),ISNUMBER($F603)),IF($D603&gt;$F603,1,0),0)+IF(AND(ISNUMBER($E603),ISNUMBER($F603)),IF($E603&gt;$F603,1,0),0)</f>
        <v>0</v>
      </c>
      <c r="X603" s="13" t="s">
        <v>76</v>
      </c>
    </row>
    <row r="604" customFormat="false" ht="15" hidden="false" customHeight="false" outlineLevel="0" collapsed="false">
      <c r="A604" s="10" t="s">
        <v>2795</v>
      </c>
      <c r="B604" s="10" t="s">
        <v>2796</v>
      </c>
      <c r="C604" s="10" t="s">
        <v>2797</v>
      </c>
      <c r="D604" s="12" t="n">
        <v>-250.9</v>
      </c>
      <c r="E604" s="12"/>
      <c r="F604" s="12"/>
      <c r="G604" s="10" t="s">
        <v>2226</v>
      </c>
      <c r="H604" s="10" t="s">
        <v>446</v>
      </c>
      <c r="I604" s="10" t="s">
        <v>2786</v>
      </c>
      <c r="J604" s="10" t="s">
        <v>2787</v>
      </c>
      <c r="K604" s="10" t="s">
        <v>2788</v>
      </c>
      <c r="L604" s="10" t="s">
        <v>68</v>
      </c>
      <c r="M604" s="10" t="s">
        <v>69</v>
      </c>
      <c r="N604" s="10"/>
      <c r="O604" s="11" t="s">
        <v>2798</v>
      </c>
      <c r="P604" s="10" t="s">
        <v>637</v>
      </c>
      <c r="Q604" s="11" t="s">
        <v>72</v>
      </c>
      <c r="R604" s="11" t="s">
        <v>1090</v>
      </c>
      <c r="S604" s="11" t="s">
        <v>1278</v>
      </c>
      <c r="T604" s="11" t="s">
        <v>2799</v>
      </c>
      <c r="U604" s="10" t="n">
        <f aca="false">IF(AND($D604="",$E604="",$F604=""),1,0)</f>
        <v>0</v>
      </c>
      <c r="V604" s="10" t="n">
        <f aca="false">IF(OR($I604="",$I604="—"),1,0)</f>
        <v>0</v>
      </c>
      <c r="W604" s="10" t="n">
        <f aca="false">IF(AND(ISNUMBER($D604),ISNUMBER($E604)),IF($E604&gt;$D604,1,0),0)+IF(AND(ISNUMBER($D604),ISNUMBER($F604)),IF($D604&gt;$F604,1,0),0)+IF(AND(ISNUMBER($E604),ISNUMBER($F604)),IF($E604&gt;$F604,1,0),0)</f>
        <v>0</v>
      </c>
      <c r="X604" s="13" t="s">
        <v>76</v>
      </c>
    </row>
    <row r="605" customFormat="false" ht="15" hidden="false" customHeight="false" outlineLevel="0" collapsed="false">
      <c r="A605" s="10" t="s">
        <v>2800</v>
      </c>
      <c r="B605" s="10" t="s">
        <v>2801</v>
      </c>
      <c r="C605" s="10" t="s">
        <v>2802</v>
      </c>
      <c r="D605" s="12" t="n">
        <v>116.57</v>
      </c>
      <c r="E605" s="12"/>
      <c r="F605" s="12"/>
      <c r="G605" s="10" t="s">
        <v>2226</v>
      </c>
      <c r="H605" s="10" t="s">
        <v>662</v>
      </c>
      <c r="I605" s="11" t="s">
        <v>2803</v>
      </c>
      <c r="J605" s="10" t="s">
        <v>2804</v>
      </c>
      <c r="K605" s="10" t="s">
        <v>1322</v>
      </c>
      <c r="L605" s="10" t="s">
        <v>68</v>
      </c>
      <c r="M605" s="10" t="s">
        <v>69</v>
      </c>
      <c r="N605" s="10"/>
      <c r="O605" s="11" t="s">
        <v>2805</v>
      </c>
      <c r="P605" s="10" t="s">
        <v>637</v>
      </c>
      <c r="Q605" s="11" t="s">
        <v>72</v>
      </c>
      <c r="R605" s="11" t="s">
        <v>1090</v>
      </c>
      <c r="S605" s="11" t="s">
        <v>1278</v>
      </c>
      <c r="T605" s="11" t="s">
        <v>2806</v>
      </c>
      <c r="U605" s="10" t="n">
        <f aca="false">IF(AND($D605="",$E605="",$F605=""),1,0)</f>
        <v>0</v>
      </c>
      <c r="V605" s="10" t="n">
        <f aca="false">IF(OR($I605="",$I605="—"),1,0)</f>
        <v>0</v>
      </c>
      <c r="W605" s="10" t="n">
        <f aca="false">IF(AND(ISNUMBER($D605),ISNUMBER($E605)),IF($E605&gt;$D605,1,0),0)+IF(AND(ISNUMBER($D605),ISNUMBER($F605)),IF($D605&gt;$F605,1,0),0)+IF(AND(ISNUMBER($E605),ISNUMBER($F605)),IF($E605&gt;$F605,1,0),0)</f>
        <v>0</v>
      </c>
      <c r="X605" s="13" t="s">
        <v>76</v>
      </c>
    </row>
    <row r="606" customFormat="false" ht="15" hidden="false" customHeight="false" outlineLevel="0" collapsed="false">
      <c r="A606" s="10" t="s">
        <v>2807</v>
      </c>
      <c r="B606" s="10" t="s">
        <v>2808</v>
      </c>
      <c r="C606" s="10" t="s">
        <v>2809</v>
      </c>
      <c r="D606" s="12" t="n">
        <v>-357.99</v>
      </c>
      <c r="E606" s="12"/>
      <c r="F606" s="12"/>
      <c r="G606" s="10" t="s">
        <v>2226</v>
      </c>
      <c r="H606" s="10" t="s">
        <v>662</v>
      </c>
      <c r="I606" s="11" t="s">
        <v>2803</v>
      </c>
      <c r="J606" s="10" t="s">
        <v>2804</v>
      </c>
      <c r="K606" s="10" t="s">
        <v>1322</v>
      </c>
      <c r="L606" s="10" t="s">
        <v>68</v>
      </c>
      <c r="M606" s="10" t="s">
        <v>69</v>
      </c>
      <c r="N606" s="10"/>
      <c r="O606" s="11" t="s">
        <v>2810</v>
      </c>
      <c r="P606" s="10" t="s">
        <v>637</v>
      </c>
      <c r="Q606" s="11" t="s">
        <v>72</v>
      </c>
      <c r="R606" s="11" t="s">
        <v>1090</v>
      </c>
      <c r="S606" s="11" t="s">
        <v>1278</v>
      </c>
      <c r="T606" s="11" t="s">
        <v>2811</v>
      </c>
      <c r="U606" s="10" t="n">
        <f aca="false">IF(AND($D606="",$E606="",$F606=""),1,0)</f>
        <v>0</v>
      </c>
      <c r="V606" s="10" t="n">
        <f aca="false">IF(OR($I606="",$I606="—"),1,0)</f>
        <v>0</v>
      </c>
      <c r="W606" s="10" t="n">
        <f aca="false">IF(AND(ISNUMBER($D606),ISNUMBER($E606)),IF($E606&gt;$D606,1,0),0)+IF(AND(ISNUMBER($D606),ISNUMBER($F606)),IF($D606&gt;$F606,1,0),0)+IF(AND(ISNUMBER($E606),ISNUMBER($F606)),IF($E606&gt;$F606,1,0),0)</f>
        <v>0</v>
      </c>
      <c r="X606" s="13" t="s">
        <v>76</v>
      </c>
    </row>
    <row r="607" customFormat="false" ht="15" hidden="false" customHeight="false" outlineLevel="0" collapsed="false">
      <c r="A607" s="10" t="s">
        <v>2812</v>
      </c>
      <c r="B607" s="10" t="s">
        <v>2813</v>
      </c>
      <c r="C607" s="10" t="s">
        <v>2814</v>
      </c>
      <c r="D607" s="12" t="n">
        <v>1320</v>
      </c>
      <c r="E607" s="12"/>
      <c r="F607" s="12"/>
      <c r="G607" s="10" t="s">
        <v>2226</v>
      </c>
      <c r="H607" s="10" t="s">
        <v>824</v>
      </c>
      <c r="I607" s="11" t="s">
        <v>2803</v>
      </c>
      <c r="J607" s="10" t="s">
        <v>2804</v>
      </c>
      <c r="K607" s="10" t="s">
        <v>1322</v>
      </c>
      <c r="L607" s="10" t="s">
        <v>68</v>
      </c>
      <c r="M607" s="10" t="s">
        <v>69</v>
      </c>
      <c r="N607" s="10"/>
      <c r="O607" s="11" t="s">
        <v>2810</v>
      </c>
      <c r="P607" s="10" t="s">
        <v>637</v>
      </c>
      <c r="Q607" s="11" t="s">
        <v>72</v>
      </c>
      <c r="R607" s="11" t="s">
        <v>1090</v>
      </c>
      <c r="S607" s="11" t="s">
        <v>1278</v>
      </c>
      <c r="T607" s="11" t="s">
        <v>2815</v>
      </c>
      <c r="U607" s="10" t="n">
        <f aca="false">IF(AND($D607="",$E607="",$F607=""),1,0)</f>
        <v>0</v>
      </c>
      <c r="V607" s="10" t="n">
        <f aca="false">IF(OR($I607="",$I607="—"),1,0)</f>
        <v>0</v>
      </c>
      <c r="W607" s="10" t="n">
        <f aca="false">IF(AND(ISNUMBER($D607),ISNUMBER($E607)),IF($E607&gt;$D607,1,0),0)+IF(AND(ISNUMBER($D607),ISNUMBER($F607)),IF($D607&gt;$F607,1,0),0)+IF(AND(ISNUMBER($E607),ISNUMBER($F607)),IF($E607&gt;$F607,1,0),0)</f>
        <v>0</v>
      </c>
      <c r="X607" s="13" t="s">
        <v>76</v>
      </c>
    </row>
    <row r="608" customFormat="false" ht="15" hidden="false" customHeight="false" outlineLevel="0" collapsed="false">
      <c r="A608" s="10" t="s">
        <v>2816</v>
      </c>
      <c r="B608" s="10" t="s">
        <v>2817</v>
      </c>
      <c r="C608" s="10" t="s">
        <v>2818</v>
      </c>
      <c r="D608" s="12"/>
      <c r="E608" s="12"/>
      <c r="F608" s="12"/>
      <c r="G608" s="11" t="s">
        <v>1709</v>
      </c>
      <c r="H608" s="10" t="s">
        <v>2596</v>
      </c>
      <c r="I608" s="10" t="s">
        <v>2819</v>
      </c>
      <c r="J608" s="10" t="s">
        <v>2768</v>
      </c>
      <c r="K608" s="10" t="s">
        <v>2596</v>
      </c>
      <c r="L608" s="10" t="s">
        <v>68</v>
      </c>
      <c r="M608" s="10" t="s">
        <v>636</v>
      </c>
      <c r="N608" s="10"/>
      <c r="O608" s="11" t="s">
        <v>2371</v>
      </c>
      <c r="P608" s="10" t="s">
        <v>637</v>
      </c>
      <c r="Q608" s="11" t="s">
        <v>638</v>
      </c>
      <c r="R608" s="11" t="s">
        <v>639</v>
      </c>
      <c r="S608" s="11" t="s">
        <v>638</v>
      </c>
      <c r="T608" s="11" t="s">
        <v>2820</v>
      </c>
      <c r="U608" s="10" t="n">
        <f aca="false">IF(AND($D608="",$E608="",$F608=""),1,0)</f>
        <v>1</v>
      </c>
      <c r="V608" s="10" t="n">
        <f aca="false">IF(OR($I608="",$I608="—"),1,0)</f>
        <v>0</v>
      </c>
      <c r="W608" s="10" t="n">
        <f aca="false">IF(AND(ISNUMBER($D608),ISNUMBER($E608)),IF($E608&gt;$D608,1,0),0)+IF(AND(ISNUMBER($D608),ISNUMBER($F608)),IF($D608&gt;$F608,1,0),0)+IF(AND(ISNUMBER($E608),ISNUMBER($F608)),IF($E608&gt;$F608,1,0),0)</f>
        <v>0</v>
      </c>
      <c r="X608" s="13" t="s">
        <v>76</v>
      </c>
    </row>
    <row r="609" customFormat="false" ht="15" hidden="false" customHeight="false" outlineLevel="0" collapsed="false">
      <c r="A609" s="10" t="s">
        <v>2821</v>
      </c>
      <c r="B609" s="10" t="s">
        <v>2822</v>
      </c>
      <c r="C609" s="11" t="s">
        <v>2823</v>
      </c>
      <c r="D609" s="12" t="n">
        <v>2.47</v>
      </c>
      <c r="E609" s="12"/>
      <c r="F609" s="12"/>
      <c r="G609" s="10" t="s">
        <v>2824</v>
      </c>
      <c r="H609" s="10" t="s">
        <v>1812</v>
      </c>
      <c r="I609" s="11" t="s">
        <v>1720</v>
      </c>
      <c r="J609" s="10" t="s">
        <v>1721</v>
      </c>
      <c r="K609" s="10" t="s">
        <v>806</v>
      </c>
      <c r="L609" s="10" t="s">
        <v>68</v>
      </c>
      <c r="M609" s="10" t="s">
        <v>416</v>
      </c>
      <c r="N609" s="11" t="s">
        <v>709</v>
      </c>
      <c r="O609" s="10"/>
      <c r="P609" s="10" t="s">
        <v>637</v>
      </c>
      <c r="Q609" s="11" t="s">
        <v>72</v>
      </c>
      <c r="R609" s="11" t="s">
        <v>709</v>
      </c>
      <c r="S609" s="11" t="s">
        <v>710</v>
      </c>
      <c r="T609" s="10" t="s">
        <v>2825</v>
      </c>
      <c r="U609" s="10" t="n">
        <f aca="false">IF(AND($D609="",$E609="",$F609=""),1,0)</f>
        <v>0</v>
      </c>
      <c r="V609" s="10" t="n">
        <f aca="false">IF(OR($I609="",$I609="—"),1,0)</f>
        <v>0</v>
      </c>
      <c r="W609" s="10" t="n">
        <f aca="false">IF(AND(ISNUMBER($D609),ISNUMBER($E609)),IF($E609&gt;$D609,1,0),0)+IF(AND(ISNUMBER($D609),ISNUMBER($F609)),IF($D609&gt;$F609,1,0),0)+IF(AND(ISNUMBER($E609),ISNUMBER($F609)),IF($E609&gt;$F609,1,0),0)</f>
        <v>0</v>
      </c>
      <c r="X609" s="13" t="s">
        <v>76</v>
      </c>
    </row>
    <row r="610" customFormat="false" ht="15" hidden="false" customHeight="false" outlineLevel="0" collapsed="false">
      <c r="A610" s="10" t="s">
        <v>2826</v>
      </c>
      <c r="B610" s="10" t="s">
        <v>2827</v>
      </c>
      <c r="C610" s="11" t="s">
        <v>2828</v>
      </c>
      <c r="D610" s="12" t="n">
        <v>155</v>
      </c>
      <c r="E610" s="12"/>
      <c r="F610" s="12"/>
      <c r="G610" s="10" t="s">
        <v>63</v>
      </c>
      <c r="H610" s="10" t="s">
        <v>2682</v>
      </c>
      <c r="I610" s="11" t="s">
        <v>2738</v>
      </c>
      <c r="J610" s="10" t="s">
        <v>716</v>
      </c>
      <c r="K610" s="10" t="s">
        <v>717</v>
      </c>
      <c r="L610" s="10" t="s">
        <v>68</v>
      </c>
      <c r="M610" s="10" t="s">
        <v>416</v>
      </c>
      <c r="N610" s="11" t="s">
        <v>2739</v>
      </c>
      <c r="O610" s="11" t="s">
        <v>2715</v>
      </c>
      <c r="P610" s="10" t="s">
        <v>637</v>
      </c>
      <c r="Q610" s="11" t="s">
        <v>72</v>
      </c>
      <c r="R610" s="11" t="s">
        <v>2739</v>
      </c>
      <c r="S610" s="11" t="s">
        <v>710</v>
      </c>
      <c r="T610" s="10" t="s">
        <v>2829</v>
      </c>
      <c r="U610" s="10" t="n">
        <f aca="false">IF(AND($D610="",$E610="",$F610=""),1,0)</f>
        <v>0</v>
      </c>
      <c r="V610" s="10" t="n">
        <f aca="false">IF(OR($I610="",$I610="—"),1,0)</f>
        <v>0</v>
      </c>
      <c r="W610" s="10" t="n">
        <f aca="false">IF(AND(ISNUMBER($D610),ISNUMBER($E610)),IF($E610&gt;$D610,1,0),0)+IF(AND(ISNUMBER($D610),ISNUMBER($F610)),IF($D610&gt;$F610,1,0),0)+IF(AND(ISNUMBER($E610),ISNUMBER($F610)),IF($E610&gt;$F610,1,0),0)</f>
        <v>0</v>
      </c>
      <c r="X610" s="13" t="s">
        <v>76</v>
      </c>
    </row>
    <row r="611" customFormat="false" ht="15" hidden="false" customHeight="false" outlineLevel="0" collapsed="false">
      <c r="A611" s="10" t="s">
        <v>2830</v>
      </c>
      <c r="B611" s="10" t="s">
        <v>2831</v>
      </c>
      <c r="C611" s="11" t="s">
        <v>2832</v>
      </c>
      <c r="D611" s="12" t="n">
        <v>344</v>
      </c>
      <c r="E611" s="12"/>
      <c r="F611" s="12"/>
      <c r="G611" s="10" t="s">
        <v>63</v>
      </c>
      <c r="H611" s="10" t="s">
        <v>2689</v>
      </c>
      <c r="I611" s="11" t="s">
        <v>2738</v>
      </c>
      <c r="J611" s="10" t="s">
        <v>716</v>
      </c>
      <c r="K611" s="10" t="s">
        <v>717</v>
      </c>
      <c r="L611" s="10" t="s">
        <v>68</v>
      </c>
      <c r="M611" s="10" t="s">
        <v>416</v>
      </c>
      <c r="N611" s="11" t="s">
        <v>2739</v>
      </c>
      <c r="O611" s="11" t="s">
        <v>2715</v>
      </c>
      <c r="P611" s="10" t="s">
        <v>637</v>
      </c>
      <c r="Q611" s="11" t="s">
        <v>72</v>
      </c>
      <c r="R611" s="11" t="s">
        <v>2739</v>
      </c>
      <c r="S611" s="11" t="s">
        <v>710</v>
      </c>
      <c r="T611" s="10" t="s">
        <v>2833</v>
      </c>
      <c r="U611" s="10" t="n">
        <f aca="false">IF(AND($D611="",$E611="",$F611=""),1,0)</f>
        <v>0</v>
      </c>
      <c r="V611" s="10" t="n">
        <f aca="false">IF(OR($I611="",$I611="—"),1,0)</f>
        <v>0</v>
      </c>
      <c r="W611" s="10" t="n">
        <f aca="false">IF(AND(ISNUMBER($D611),ISNUMBER($E611)),IF($E611&gt;$D611,1,0),0)+IF(AND(ISNUMBER($D611),ISNUMBER($F611)),IF($D611&gt;$F611,1,0),0)+IF(AND(ISNUMBER($E611),ISNUMBER($F611)),IF($E611&gt;$F611,1,0),0)</f>
        <v>0</v>
      </c>
      <c r="X611" s="13" t="s">
        <v>76</v>
      </c>
    </row>
    <row r="612" customFormat="false" ht="15" hidden="false" customHeight="false" outlineLevel="0" collapsed="false">
      <c r="A612" s="10" t="s">
        <v>2834</v>
      </c>
      <c r="B612" s="10" t="s">
        <v>2835</v>
      </c>
      <c r="C612" s="11" t="s">
        <v>2836</v>
      </c>
      <c r="D612" s="12" t="n">
        <v>114</v>
      </c>
      <c r="E612" s="12"/>
      <c r="F612" s="12"/>
      <c r="G612" s="10" t="s">
        <v>63</v>
      </c>
      <c r="H612" s="10" t="s">
        <v>2682</v>
      </c>
      <c r="I612" s="11" t="s">
        <v>2744</v>
      </c>
      <c r="J612" s="10" t="s">
        <v>2745</v>
      </c>
      <c r="K612" s="10" t="s">
        <v>2746</v>
      </c>
      <c r="L612" s="10" t="s">
        <v>68</v>
      </c>
      <c r="M612" s="10" t="s">
        <v>416</v>
      </c>
      <c r="N612" s="11" t="s">
        <v>2747</v>
      </c>
      <c r="O612" s="11" t="s">
        <v>2715</v>
      </c>
      <c r="P612" s="10" t="s">
        <v>637</v>
      </c>
      <c r="Q612" s="11" t="s">
        <v>72</v>
      </c>
      <c r="R612" s="11" t="s">
        <v>2747</v>
      </c>
      <c r="S612" s="11" t="s">
        <v>710</v>
      </c>
      <c r="T612" s="10" t="s">
        <v>2837</v>
      </c>
      <c r="U612" s="10" t="n">
        <f aca="false">IF(AND($D612="",$E612="",$F612=""),1,0)</f>
        <v>0</v>
      </c>
      <c r="V612" s="10" t="n">
        <f aca="false">IF(OR($I612="",$I612="—"),1,0)</f>
        <v>0</v>
      </c>
      <c r="W612" s="10" t="n">
        <f aca="false">IF(AND(ISNUMBER($D612),ISNUMBER($E612)),IF($E612&gt;$D612,1,0),0)+IF(AND(ISNUMBER($D612),ISNUMBER($F612)),IF($D612&gt;$F612,1,0),0)+IF(AND(ISNUMBER($E612),ISNUMBER($F612)),IF($E612&gt;$F612,1,0),0)</f>
        <v>0</v>
      </c>
      <c r="X612" s="13" t="s">
        <v>76</v>
      </c>
    </row>
    <row r="613" customFormat="false" ht="15" hidden="false" customHeight="false" outlineLevel="0" collapsed="false">
      <c r="A613" s="10" t="s">
        <v>2838</v>
      </c>
      <c r="B613" s="10" t="s">
        <v>2839</v>
      </c>
      <c r="C613" s="11" t="s">
        <v>2840</v>
      </c>
      <c r="D613" s="12" t="n">
        <v>251</v>
      </c>
      <c r="E613" s="12"/>
      <c r="F613" s="12"/>
      <c r="G613" s="10" t="s">
        <v>63</v>
      </c>
      <c r="H613" s="10" t="s">
        <v>2689</v>
      </c>
      <c r="I613" s="11" t="s">
        <v>2744</v>
      </c>
      <c r="J613" s="10" t="s">
        <v>2745</v>
      </c>
      <c r="K613" s="10" t="s">
        <v>2746</v>
      </c>
      <c r="L613" s="10" t="s">
        <v>68</v>
      </c>
      <c r="M613" s="10" t="s">
        <v>416</v>
      </c>
      <c r="N613" s="11" t="s">
        <v>2747</v>
      </c>
      <c r="O613" s="11" t="s">
        <v>2715</v>
      </c>
      <c r="P613" s="10" t="s">
        <v>637</v>
      </c>
      <c r="Q613" s="11" t="s">
        <v>72</v>
      </c>
      <c r="R613" s="11" t="s">
        <v>2747</v>
      </c>
      <c r="S613" s="11" t="s">
        <v>710</v>
      </c>
      <c r="T613" s="10" t="s">
        <v>2841</v>
      </c>
      <c r="U613" s="10" t="n">
        <f aca="false">IF(AND($D613="",$E613="",$F613=""),1,0)</f>
        <v>0</v>
      </c>
      <c r="V613" s="10" t="n">
        <f aca="false">IF(OR($I613="",$I613="—"),1,0)</f>
        <v>0</v>
      </c>
      <c r="W613" s="10" t="n">
        <f aca="false">IF(AND(ISNUMBER($D613),ISNUMBER($E613)),IF($E613&gt;$D613,1,0),0)+IF(AND(ISNUMBER($D613),ISNUMBER($F613)),IF($D613&gt;$F613,1,0),0)+IF(AND(ISNUMBER($E613),ISNUMBER($F613)),IF($E613&gt;$F613,1,0),0)</f>
        <v>0</v>
      </c>
      <c r="X613" s="13" t="s">
        <v>76</v>
      </c>
    </row>
    <row r="614" customFormat="false" ht="15" hidden="false" customHeight="false" outlineLevel="0" collapsed="false">
      <c r="A614" s="10" t="s">
        <v>2842</v>
      </c>
      <c r="B614" s="10" t="s">
        <v>2843</v>
      </c>
      <c r="C614" s="11" t="s">
        <v>2844</v>
      </c>
      <c r="D614" s="12" t="n">
        <v>475</v>
      </c>
      <c r="E614" s="12"/>
      <c r="F614" s="12"/>
      <c r="G614" s="10" t="s">
        <v>63</v>
      </c>
      <c r="H614" s="10" t="s">
        <v>2845</v>
      </c>
      <c r="I614" s="11" t="s">
        <v>2753</v>
      </c>
      <c r="J614" s="10" t="s">
        <v>2754</v>
      </c>
      <c r="K614" s="10" t="s">
        <v>2752</v>
      </c>
      <c r="L614" s="10" t="s">
        <v>68</v>
      </c>
      <c r="M614" s="10" t="s">
        <v>416</v>
      </c>
      <c r="N614" s="11" t="s">
        <v>2755</v>
      </c>
      <c r="O614" s="11" t="s">
        <v>2715</v>
      </c>
      <c r="P614" s="10" t="s">
        <v>637</v>
      </c>
      <c r="Q614" s="11" t="s">
        <v>72</v>
      </c>
      <c r="R614" s="11" t="s">
        <v>2755</v>
      </c>
      <c r="S614" s="11" t="s">
        <v>710</v>
      </c>
      <c r="T614" s="10" t="s">
        <v>2846</v>
      </c>
      <c r="U614" s="10" t="n">
        <f aca="false">IF(AND($D614="",$E614="",$F614=""),1,0)</f>
        <v>0</v>
      </c>
      <c r="V614" s="10" t="n">
        <f aca="false">IF(OR($I614="",$I614="—"),1,0)</f>
        <v>0</v>
      </c>
      <c r="W614" s="10" t="n">
        <f aca="false">IF(AND(ISNUMBER($D614),ISNUMBER($E614)),IF($E614&gt;$D614,1,0),0)+IF(AND(ISNUMBER($D614),ISNUMBER($F614)),IF($D614&gt;$F614,1,0),0)+IF(AND(ISNUMBER($E614),ISNUMBER($F614)),IF($E614&gt;$F614,1,0),0)</f>
        <v>0</v>
      </c>
      <c r="X614" s="13" t="s">
        <v>76</v>
      </c>
    </row>
    <row r="615" customFormat="false" ht="15" hidden="false" customHeight="false" outlineLevel="0" collapsed="false">
      <c r="A615" s="10" t="s">
        <v>2847</v>
      </c>
      <c r="B615" s="10" t="s">
        <v>2848</v>
      </c>
      <c r="C615" s="11" t="s">
        <v>2849</v>
      </c>
      <c r="D615" s="12" t="n">
        <v>0.1463</v>
      </c>
      <c r="E615" s="12"/>
      <c r="F615" s="12"/>
      <c r="G615" s="10" t="s">
        <v>63</v>
      </c>
      <c r="H615" s="10" t="s">
        <v>64</v>
      </c>
      <c r="I615" s="11" t="s">
        <v>2850</v>
      </c>
      <c r="J615" s="10" t="s">
        <v>66</v>
      </c>
      <c r="K615" s="10" t="s">
        <v>67</v>
      </c>
      <c r="L615" s="10" t="s">
        <v>68</v>
      </c>
      <c r="M615" s="10" t="s">
        <v>69</v>
      </c>
      <c r="N615" s="10"/>
      <c r="O615" s="11" t="s">
        <v>2851</v>
      </c>
      <c r="P615" s="10" t="s">
        <v>71</v>
      </c>
      <c r="Q615" s="11" t="s">
        <v>72</v>
      </c>
      <c r="R615" s="11" t="s">
        <v>73</v>
      </c>
      <c r="S615" s="11" t="s">
        <v>74</v>
      </c>
      <c r="T615" s="11" t="s">
        <v>2852</v>
      </c>
      <c r="U615" s="10" t="n">
        <f aca="false">IF(AND($D615="",$E615="",$F615=""),1,0)</f>
        <v>0</v>
      </c>
      <c r="V615" s="10" t="n">
        <f aca="false">IF(OR($I615="",$I615="—"),1,0)</f>
        <v>0</v>
      </c>
      <c r="W615" s="10" t="n">
        <f aca="false">IF(AND(ISNUMBER($D615),ISNUMBER($E615)),IF($E615&gt;$D615,1,0),0)+IF(AND(ISNUMBER($D615),ISNUMBER($F615)),IF($D615&gt;$F615,1,0),0)+IF(AND(ISNUMBER($E615),ISNUMBER($F615)),IF($E615&gt;$F615,1,0),0)</f>
        <v>0</v>
      </c>
      <c r="X615" s="13" t="s">
        <v>76</v>
      </c>
    </row>
    <row r="616" customFormat="false" ht="15" hidden="false" customHeight="false" outlineLevel="0" collapsed="false">
      <c r="A616" s="10" t="s">
        <v>2853</v>
      </c>
      <c r="B616" s="10" t="s">
        <v>2854</v>
      </c>
      <c r="C616" s="11" t="s">
        <v>2849</v>
      </c>
      <c r="D616" s="12" t="n">
        <v>3.1175</v>
      </c>
      <c r="E616" s="12"/>
      <c r="F616" s="12"/>
      <c r="G616" s="10" t="s">
        <v>63</v>
      </c>
      <c r="H616" s="10" t="s">
        <v>79</v>
      </c>
      <c r="I616" s="11" t="s">
        <v>2850</v>
      </c>
      <c r="J616" s="10" t="s">
        <v>66</v>
      </c>
      <c r="K616" s="10" t="s">
        <v>67</v>
      </c>
      <c r="L616" s="10" t="s">
        <v>68</v>
      </c>
      <c r="M616" s="10" t="s">
        <v>69</v>
      </c>
      <c r="N616" s="10"/>
      <c r="O616" s="11" t="s">
        <v>2851</v>
      </c>
      <c r="P616" s="10" t="s">
        <v>71</v>
      </c>
      <c r="Q616" s="11" t="s">
        <v>72</v>
      </c>
      <c r="R616" s="11" t="s">
        <v>73</v>
      </c>
      <c r="S616" s="11" t="s">
        <v>74</v>
      </c>
      <c r="T616" s="11" t="s">
        <v>2855</v>
      </c>
      <c r="U616" s="10" t="n">
        <f aca="false">IF(AND($D616="",$E616="",$F616=""),1,0)</f>
        <v>0</v>
      </c>
      <c r="V616" s="10" t="n">
        <f aca="false">IF(OR($I616="",$I616="—"),1,0)</f>
        <v>0</v>
      </c>
      <c r="W616" s="10" t="n">
        <f aca="false">IF(AND(ISNUMBER($D616),ISNUMBER($E616)),IF($E616&gt;$D616,1,0),0)+IF(AND(ISNUMBER($D616),ISNUMBER($F616)),IF($D616&gt;$F616,1,0),0)+IF(AND(ISNUMBER($E616),ISNUMBER($F616)),IF($E616&gt;$F616,1,0),0)</f>
        <v>0</v>
      </c>
      <c r="X616" s="13" t="s">
        <v>76</v>
      </c>
    </row>
    <row r="617" customFormat="false" ht="15" hidden="false" customHeight="false" outlineLevel="0" collapsed="false">
      <c r="A617" s="10" t="s">
        <v>2856</v>
      </c>
      <c r="B617" s="10" t="s">
        <v>2857</v>
      </c>
      <c r="C617" s="11" t="s">
        <v>2849</v>
      </c>
      <c r="D617" s="12" t="n">
        <v>15.5283</v>
      </c>
      <c r="E617" s="12"/>
      <c r="F617" s="12"/>
      <c r="G617" s="10" t="s">
        <v>63</v>
      </c>
      <c r="H617" s="10" t="s">
        <v>83</v>
      </c>
      <c r="I617" s="11" t="s">
        <v>2850</v>
      </c>
      <c r="J617" s="10" t="s">
        <v>66</v>
      </c>
      <c r="K617" s="10" t="s">
        <v>67</v>
      </c>
      <c r="L617" s="10" t="s">
        <v>68</v>
      </c>
      <c r="M617" s="10" t="s">
        <v>69</v>
      </c>
      <c r="N617" s="10"/>
      <c r="O617" s="11" t="s">
        <v>2851</v>
      </c>
      <c r="P617" s="10" t="s">
        <v>71</v>
      </c>
      <c r="Q617" s="11" t="s">
        <v>72</v>
      </c>
      <c r="R617" s="11" t="s">
        <v>73</v>
      </c>
      <c r="S617" s="11" t="s">
        <v>74</v>
      </c>
      <c r="T617" s="11" t="s">
        <v>2858</v>
      </c>
      <c r="U617" s="10" t="n">
        <f aca="false">IF(AND($D617="",$E617="",$F617=""),1,0)</f>
        <v>0</v>
      </c>
      <c r="V617" s="10" t="n">
        <f aca="false">IF(OR($I617="",$I617="—"),1,0)</f>
        <v>0</v>
      </c>
      <c r="W617" s="10" t="n">
        <f aca="false">IF(AND(ISNUMBER($D617),ISNUMBER($E617)),IF($E617&gt;$D617,1,0),0)+IF(AND(ISNUMBER($D617),ISNUMBER($F617)),IF($D617&gt;$F617,1,0),0)+IF(AND(ISNUMBER($E617),ISNUMBER($F617)),IF($E617&gt;$F617,1,0),0)</f>
        <v>0</v>
      </c>
      <c r="X617" s="13" t="s">
        <v>76</v>
      </c>
    </row>
    <row r="618" customFormat="false" ht="15" hidden="false" customHeight="false" outlineLevel="0" collapsed="false">
      <c r="A618" s="10" t="s">
        <v>2859</v>
      </c>
      <c r="B618" s="10" t="s">
        <v>2860</v>
      </c>
      <c r="C618" s="11" t="s">
        <v>2849</v>
      </c>
      <c r="D618" s="12" t="n">
        <v>6.0324</v>
      </c>
      <c r="E618" s="12"/>
      <c r="F618" s="12"/>
      <c r="G618" s="10" t="s">
        <v>63</v>
      </c>
      <c r="H618" s="10" t="s">
        <v>87</v>
      </c>
      <c r="I618" s="11" t="s">
        <v>2850</v>
      </c>
      <c r="J618" s="10" t="s">
        <v>66</v>
      </c>
      <c r="K618" s="10" t="s">
        <v>67</v>
      </c>
      <c r="L618" s="10" t="s">
        <v>68</v>
      </c>
      <c r="M618" s="10" t="s">
        <v>69</v>
      </c>
      <c r="N618" s="10"/>
      <c r="O618" s="11" t="s">
        <v>2861</v>
      </c>
      <c r="P618" s="10" t="s">
        <v>71</v>
      </c>
      <c r="Q618" s="11" t="s">
        <v>72</v>
      </c>
      <c r="R618" s="11" t="s">
        <v>73</v>
      </c>
      <c r="S618" s="11" t="s">
        <v>74</v>
      </c>
      <c r="T618" s="11" t="s">
        <v>2862</v>
      </c>
      <c r="U618" s="10" t="n">
        <f aca="false">IF(AND($D618="",$E618="",$F618=""),1,0)</f>
        <v>0</v>
      </c>
      <c r="V618" s="10" t="n">
        <f aca="false">IF(OR($I618="",$I618="—"),1,0)</f>
        <v>0</v>
      </c>
      <c r="W618" s="10" t="n">
        <f aca="false">IF(AND(ISNUMBER($D618),ISNUMBER($E618)),IF($E618&gt;$D618,1,0),0)+IF(AND(ISNUMBER($D618),ISNUMBER($F618)),IF($D618&gt;$F618,1,0),0)+IF(AND(ISNUMBER($E618),ISNUMBER($F618)),IF($E618&gt;$F618,1,0),0)</f>
        <v>0</v>
      </c>
      <c r="X618" s="13" t="s">
        <v>76</v>
      </c>
    </row>
    <row r="619" customFormat="false" ht="15" hidden="false" customHeight="false" outlineLevel="0" collapsed="false">
      <c r="A619" s="10" t="s">
        <v>2863</v>
      </c>
      <c r="B619" s="10" t="s">
        <v>2864</v>
      </c>
      <c r="C619" s="11" t="s">
        <v>2849</v>
      </c>
      <c r="D619" s="12" t="n">
        <v>11.4512</v>
      </c>
      <c r="E619" s="12"/>
      <c r="F619" s="12"/>
      <c r="G619" s="10" t="s">
        <v>63</v>
      </c>
      <c r="H619" s="10" t="s">
        <v>92</v>
      </c>
      <c r="I619" s="11" t="s">
        <v>2850</v>
      </c>
      <c r="J619" s="10" t="s">
        <v>66</v>
      </c>
      <c r="K619" s="10" t="s">
        <v>67</v>
      </c>
      <c r="L619" s="10" t="s">
        <v>68</v>
      </c>
      <c r="M619" s="10" t="s">
        <v>69</v>
      </c>
      <c r="N619" s="10"/>
      <c r="O619" s="11" t="s">
        <v>2865</v>
      </c>
      <c r="P619" s="10" t="s">
        <v>71</v>
      </c>
      <c r="Q619" s="11" t="s">
        <v>72</v>
      </c>
      <c r="R619" s="11" t="s">
        <v>73</v>
      </c>
      <c r="S619" s="11" t="s">
        <v>74</v>
      </c>
      <c r="T619" s="11" t="s">
        <v>2866</v>
      </c>
      <c r="U619" s="10" t="n">
        <f aca="false">IF(AND($D619="",$E619="",$F619=""),1,0)</f>
        <v>0</v>
      </c>
      <c r="V619" s="10" t="n">
        <f aca="false">IF(OR($I619="",$I619="—"),1,0)</f>
        <v>0</v>
      </c>
      <c r="W619" s="10" t="n">
        <f aca="false">IF(AND(ISNUMBER($D619),ISNUMBER($E619)),IF($E619&gt;$D619,1,0),0)+IF(AND(ISNUMBER($D619),ISNUMBER($F619)),IF($D619&gt;$F619,1,0),0)+IF(AND(ISNUMBER($E619),ISNUMBER($F619)),IF($E619&gt;$F619,1,0),0)</f>
        <v>0</v>
      </c>
      <c r="X619" s="13" t="s">
        <v>76</v>
      </c>
    </row>
    <row r="620" customFormat="false" ht="15" hidden="false" customHeight="false" outlineLevel="0" collapsed="false">
      <c r="A620" s="10" t="s">
        <v>2867</v>
      </c>
      <c r="B620" s="10" t="s">
        <v>2868</v>
      </c>
      <c r="C620" s="11" t="s">
        <v>2869</v>
      </c>
      <c r="D620" s="12" t="n">
        <v>0.4198</v>
      </c>
      <c r="E620" s="12"/>
      <c r="F620" s="12"/>
      <c r="G620" s="10" t="s">
        <v>63</v>
      </c>
      <c r="H620" s="10" t="s">
        <v>64</v>
      </c>
      <c r="I620" s="11" t="s">
        <v>2850</v>
      </c>
      <c r="J620" s="10" t="s">
        <v>66</v>
      </c>
      <c r="K620" s="10" t="s">
        <v>67</v>
      </c>
      <c r="L620" s="10" t="s">
        <v>68</v>
      </c>
      <c r="M620" s="10" t="s">
        <v>69</v>
      </c>
      <c r="N620" s="10"/>
      <c r="O620" s="11" t="s">
        <v>2851</v>
      </c>
      <c r="P620" s="10" t="s">
        <v>71</v>
      </c>
      <c r="Q620" s="11" t="s">
        <v>72</v>
      </c>
      <c r="R620" s="11" t="s">
        <v>73</v>
      </c>
      <c r="S620" s="11" t="s">
        <v>74</v>
      </c>
      <c r="T620" s="11" t="s">
        <v>2870</v>
      </c>
      <c r="U620" s="10" t="n">
        <f aca="false">IF(AND($D620="",$E620="",$F620=""),1,0)</f>
        <v>0</v>
      </c>
      <c r="V620" s="10" t="n">
        <f aca="false">IF(OR($I620="",$I620="—"),1,0)</f>
        <v>0</v>
      </c>
      <c r="W620" s="10" t="n">
        <f aca="false">IF(AND(ISNUMBER($D620),ISNUMBER($E620)),IF($E620&gt;$D620,1,0),0)+IF(AND(ISNUMBER($D620),ISNUMBER($F620)),IF($D620&gt;$F620,1,0),0)+IF(AND(ISNUMBER($E620),ISNUMBER($F620)),IF($E620&gt;$F620,1,0),0)</f>
        <v>0</v>
      </c>
      <c r="X620" s="13" t="s">
        <v>76</v>
      </c>
    </row>
    <row r="621" customFormat="false" ht="15" hidden="false" customHeight="false" outlineLevel="0" collapsed="false">
      <c r="A621" s="10" t="s">
        <v>2871</v>
      </c>
      <c r="B621" s="10" t="s">
        <v>2872</v>
      </c>
      <c r="C621" s="11" t="s">
        <v>2869</v>
      </c>
      <c r="D621" s="12" t="n">
        <v>1.373</v>
      </c>
      <c r="E621" s="12"/>
      <c r="F621" s="12"/>
      <c r="G621" s="10" t="s">
        <v>63</v>
      </c>
      <c r="H621" s="10" t="s">
        <v>79</v>
      </c>
      <c r="I621" s="11" t="s">
        <v>2850</v>
      </c>
      <c r="J621" s="10" t="s">
        <v>66</v>
      </c>
      <c r="K621" s="10" t="s">
        <v>67</v>
      </c>
      <c r="L621" s="10" t="s">
        <v>68</v>
      </c>
      <c r="M621" s="10" t="s">
        <v>69</v>
      </c>
      <c r="N621" s="10"/>
      <c r="O621" s="11" t="s">
        <v>2851</v>
      </c>
      <c r="P621" s="10" t="s">
        <v>71</v>
      </c>
      <c r="Q621" s="11" t="s">
        <v>72</v>
      </c>
      <c r="R621" s="11" t="s">
        <v>73</v>
      </c>
      <c r="S621" s="11" t="s">
        <v>74</v>
      </c>
      <c r="T621" s="11" t="s">
        <v>2873</v>
      </c>
      <c r="U621" s="10" t="n">
        <f aca="false">IF(AND($D621="",$E621="",$F621=""),1,0)</f>
        <v>0</v>
      </c>
      <c r="V621" s="10" t="n">
        <f aca="false">IF(OR($I621="",$I621="—"),1,0)</f>
        <v>0</v>
      </c>
      <c r="W621" s="10" t="n">
        <f aca="false">IF(AND(ISNUMBER($D621),ISNUMBER($E621)),IF($E621&gt;$D621,1,0),0)+IF(AND(ISNUMBER($D621),ISNUMBER($F621)),IF($D621&gt;$F621,1,0),0)+IF(AND(ISNUMBER($E621),ISNUMBER($F621)),IF($E621&gt;$F621,1,0),0)</f>
        <v>0</v>
      </c>
      <c r="X621" s="13" t="s">
        <v>76</v>
      </c>
    </row>
    <row r="622" customFormat="false" ht="15" hidden="false" customHeight="false" outlineLevel="0" collapsed="false">
      <c r="A622" s="10" t="s">
        <v>2874</v>
      </c>
      <c r="B622" s="10" t="s">
        <v>2875</v>
      </c>
      <c r="C622" s="11" t="s">
        <v>2869</v>
      </c>
      <c r="D622" s="12" t="n">
        <v>3.2419</v>
      </c>
      <c r="E622" s="12"/>
      <c r="F622" s="12"/>
      <c r="G622" s="10" t="s">
        <v>63</v>
      </c>
      <c r="H622" s="10" t="s">
        <v>83</v>
      </c>
      <c r="I622" s="11" t="s">
        <v>2850</v>
      </c>
      <c r="J622" s="10" t="s">
        <v>66</v>
      </c>
      <c r="K622" s="10" t="s">
        <v>67</v>
      </c>
      <c r="L622" s="10" t="s">
        <v>68</v>
      </c>
      <c r="M622" s="10" t="s">
        <v>69</v>
      </c>
      <c r="N622" s="10"/>
      <c r="O622" s="11" t="s">
        <v>2851</v>
      </c>
      <c r="P622" s="10" t="s">
        <v>71</v>
      </c>
      <c r="Q622" s="11" t="s">
        <v>72</v>
      </c>
      <c r="R622" s="11" t="s">
        <v>73</v>
      </c>
      <c r="S622" s="11" t="s">
        <v>74</v>
      </c>
      <c r="T622" s="11" t="s">
        <v>2876</v>
      </c>
      <c r="U622" s="10" t="n">
        <f aca="false">IF(AND($D622="",$E622="",$F622=""),1,0)</f>
        <v>0</v>
      </c>
      <c r="V622" s="10" t="n">
        <f aca="false">IF(OR($I622="",$I622="—"),1,0)</f>
        <v>0</v>
      </c>
      <c r="W622" s="10" t="n">
        <f aca="false">IF(AND(ISNUMBER($D622),ISNUMBER($E622)),IF($E622&gt;$D622,1,0),0)+IF(AND(ISNUMBER($D622),ISNUMBER($F622)),IF($D622&gt;$F622,1,0),0)+IF(AND(ISNUMBER($E622),ISNUMBER($F622)),IF($E622&gt;$F622,1,0),0)</f>
        <v>0</v>
      </c>
      <c r="X622" s="13" t="s">
        <v>76</v>
      </c>
    </row>
    <row r="623" customFormat="false" ht="15" hidden="false" customHeight="false" outlineLevel="0" collapsed="false">
      <c r="A623" s="10" t="s">
        <v>2877</v>
      </c>
      <c r="B623" s="10" t="s">
        <v>2878</v>
      </c>
      <c r="C623" s="11" t="s">
        <v>2869</v>
      </c>
      <c r="D623" s="12" t="n">
        <v>1.0799</v>
      </c>
      <c r="E623" s="12"/>
      <c r="F623" s="12"/>
      <c r="G623" s="10" t="s">
        <v>63</v>
      </c>
      <c r="H623" s="10" t="s">
        <v>87</v>
      </c>
      <c r="I623" s="11" t="s">
        <v>2850</v>
      </c>
      <c r="J623" s="10" t="s">
        <v>66</v>
      </c>
      <c r="K623" s="10" t="s">
        <v>67</v>
      </c>
      <c r="L623" s="10" t="s">
        <v>68</v>
      </c>
      <c r="M623" s="10" t="s">
        <v>69</v>
      </c>
      <c r="N623" s="10"/>
      <c r="O623" s="11" t="s">
        <v>2861</v>
      </c>
      <c r="P623" s="10" t="s">
        <v>71</v>
      </c>
      <c r="Q623" s="11" t="s">
        <v>72</v>
      </c>
      <c r="R623" s="11" t="s">
        <v>73</v>
      </c>
      <c r="S623" s="11" t="s">
        <v>74</v>
      </c>
      <c r="T623" s="11" t="s">
        <v>2879</v>
      </c>
      <c r="U623" s="10" t="n">
        <f aca="false">IF(AND($D623="",$E623="",$F623=""),1,0)</f>
        <v>0</v>
      </c>
      <c r="V623" s="10" t="n">
        <f aca="false">IF(OR($I623="",$I623="—"),1,0)</f>
        <v>0</v>
      </c>
      <c r="W623" s="10" t="n">
        <f aca="false">IF(AND(ISNUMBER($D623),ISNUMBER($E623)),IF($E623&gt;$D623,1,0),0)+IF(AND(ISNUMBER($D623),ISNUMBER($F623)),IF($D623&gt;$F623,1,0),0)+IF(AND(ISNUMBER($E623),ISNUMBER($F623)),IF($E623&gt;$F623,1,0),0)</f>
        <v>0</v>
      </c>
      <c r="X623" s="13" t="s">
        <v>76</v>
      </c>
    </row>
    <row r="624" customFormat="false" ht="15" hidden="false" customHeight="false" outlineLevel="0" collapsed="false">
      <c r="A624" s="10" t="s">
        <v>2880</v>
      </c>
      <c r="B624" s="10" t="s">
        <v>2881</v>
      </c>
      <c r="C624" s="11" t="s">
        <v>2869</v>
      </c>
      <c r="D624" s="12" t="n">
        <v>2.6557</v>
      </c>
      <c r="E624" s="12"/>
      <c r="F624" s="12"/>
      <c r="G624" s="10" t="s">
        <v>63</v>
      </c>
      <c r="H624" s="10" t="s">
        <v>92</v>
      </c>
      <c r="I624" s="11" t="s">
        <v>2850</v>
      </c>
      <c r="J624" s="10" t="s">
        <v>66</v>
      </c>
      <c r="K624" s="10" t="s">
        <v>67</v>
      </c>
      <c r="L624" s="10" t="s">
        <v>68</v>
      </c>
      <c r="M624" s="10" t="s">
        <v>69</v>
      </c>
      <c r="N624" s="10"/>
      <c r="O624" s="11" t="s">
        <v>2865</v>
      </c>
      <c r="P624" s="10" t="s">
        <v>71</v>
      </c>
      <c r="Q624" s="11" t="s">
        <v>72</v>
      </c>
      <c r="R624" s="11" t="s">
        <v>73</v>
      </c>
      <c r="S624" s="11" t="s">
        <v>74</v>
      </c>
      <c r="T624" s="11" t="s">
        <v>2882</v>
      </c>
      <c r="U624" s="10" t="n">
        <f aca="false">IF(AND($D624="",$E624="",$F624=""),1,0)</f>
        <v>0</v>
      </c>
      <c r="V624" s="10" t="n">
        <f aca="false">IF(OR($I624="",$I624="—"),1,0)</f>
        <v>0</v>
      </c>
      <c r="W624" s="10" t="n">
        <f aca="false">IF(AND(ISNUMBER($D624),ISNUMBER($E624)),IF($E624&gt;$D624,1,0),0)+IF(AND(ISNUMBER($D624),ISNUMBER($F624)),IF($D624&gt;$F624,1,0),0)+IF(AND(ISNUMBER($E624),ISNUMBER($F624)),IF($E624&gt;$F624,1,0),0)</f>
        <v>0</v>
      </c>
      <c r="X624" s="13" t="s">
        <v>76</v>
      </c>
    </row>
    <row r="625" customFormat="false" ht="15" hidden="false" customHeight="false" outlineLevel="0" collapsed="false">
      <c r="A625" s="10" t="s">
        <v>2883</v>
      </c>
      <c r="B625" s="10" t="s">
        <v>2884</v>
      </c>
      <c r="C625" s="11" t="s">
        <v>2885</v>
      </c>
      <c r="D625" s="12" t="n">
        <v>0.1469</v>
      </c>
      <c r="E625" s="12"/>
      <c r="F625" s="12"/>
      <c r="G625" s="10" t="s">
        <v>63</v>
      </c>
      <c r="H625" s="10" t="s">
        <v>64</v>
      </c>
      <c r="I625" s="11" t="s">
        <v>2850</v>
      </c>
      <c r="J625" s="10" t="s">
        <v>66</v>
      </c>
      <c r="K625" s="10" t="s">
        <v>67</v>
      </c>
      <c r="L625" s="10" t="s">
        <v>68</v>
      </c>
      <c r="M625" s="10" t="s">
        <v>69</v>
      </c>
      <c r="N625" s="10"/>
      <c r="O625" s="11" t="s">
        <v>2851</v>
      </c>
      <c r="P625" s="10" t="s">
        <v>71</v>
      </c>
      <c r="Q625" s="11" t="s">
        <v>72</v>
      </c>
      <c r="R625" s="11" t="s">
        <v>73</v>
      </c>
      <c r="S625" s="11" t="s">
        <v>74</v>
      </c>
      <c r="T625" s="11" t="s">
        <v>2886</v>
      </c>
      <c r="U625" s="10" t="n">
        <f aca="false">IF(AND($D625="",$E625="",$F625=""),1,0)</f>
        <v>0</v>
      </c>
      <c r="V625" s="10" t="n">
        <f aca="false">IF(OR($I625="",$I625="—"),1,0)</f>
        <v>0</v>
      </c>
      <c r="W625" s="10" t="n">
        <f aca="false">IF(AND(ISNUMBER($D625),ISNUMBER($E625)),IF($E625&gt;$D625,1,0),0)+IF(AND(ISNUMBER($D625),ISNUMBER($F625)),IF($D625&gt;$F625,1,0),0)+IF(AND(ISNUMBER($E625),ISNUMBER($F625)),IF($E625&gt;$F625,1,0),0)</f>
        <v>0</v>
      </c>
      <c r="X625" s="13" t="s">
        <v>76</v>
      </c>
    </row>
    <row r="626" customFormat="false" ht="15" hidden="false" customHeight="false" outlineLevel="0" collapsed="false">
      <c r="A626" s="10" t="s">
        <v>2887</v>
      </c>
      <c r="B626" s="10" t="s">
        <v>2888</v>
      </c>
      <c r="C626" s="11" t="s">
        <v>2885</v>
      </c>
      <c r="D626" s="12" t="n">
        <v>0.4921</v>
      </c>
      <c r="E626" s="12"/>
      <c r="F626" s="12"/>
      <c r="G626" s="10" t="s">
        <v>63</v>
      </c>
      <c r="H626" s="10" t="s">
        <v>79</v>
      </c>
      <c r="I626" s="11" t="s">
        <v>2850</v>
      </c>
      <c r="J626" s="10" t="s">
        <v>66</v>
      </c>
      <c r="K626" s="10" t="s">
        <v>67</v>
      </c>
      <c r="L626" s="10" t="s">
        <v>68</v>
      </c>
      <c r="M626" s="10" t="s">
        <v>69</v>
      </c>
      <c r="N626" s="10"/>
      <c r="O626" s="11" t="s">
        <v>2851</v>
      </c>
      <c r="P626" s="10" t="s">
        <v>71</v>
      </c>
      <c r="Q626" s="11" t="s">
        <v>72</v>
      </c>
      <c r="R626" s="11" t="s">
        <v>73</v>
      </c>
      <c r="S626" s="11" t="s">
        <v>74</v>
      </c>
      <c r="T626" s="11" t="s">
        <v>2889</v>
      </c>
      <c r="U626" s="10" t="n">
        <f aca="false">IF(AND($D626="",$E626="",$F626=""),1,0)</f>
        <v>0</v>
      </c>
      <c r="V626" s="10" t="n">
        <f aca="false">IF(OR($I626="",$I626="—"),1,0)</f>
        <v>0</v>
      </c>
      <c r="W626" s="10" t="n">
        <f aca="false">IF(AND(ISNUMBER($D626),ISNUMBER($E626)),IF($E626&gt;$D626,1,0),0)+IF(AND(ISNUMBER($D626),ISNUMBER($F626)),IF($D626&gt;$F626,1,0),0)+IF(AND(ISNUMBER($E626),ISNUMBER($F626)),IF($E626&gt;$F626,1,0),0)</f>
        <v>0</v>
      </c>
      <c r="X626" s="13" t="s">
        <v>76</v>
      </c>
    </row>
    <row r="627" customFormat="false" ht="15" hidden="false" customHeight="false" outlineLevel="0" collapsed="false">
      <c r="A627" s="10" t="s">
        <v>2890</v>
      </c>
      <c r="B627" s="10" t="s">
        <v>2891</v>
      </c>
      <c r="C627" s="11" t="s">
        <v>2885</v>
      </c>
      <c r="D627" s="12" t="n">
        <v>2.5904</v>
      </c>
      <c r="E627" s="12"/>
      <c r="F627" s="12"/>
      <c r="G627" s="10" t="s">
        <v>63</v>
      </c>
      <c r="H627" s="10" t="s">
        <v>83</v>
      </c>
      <c r="I627" s="11" t="s">
        <v>2850</v>
      </c>
      <c r="J627" s="10" t="s">
        <v>66</v>
      </c>
      <c r="K627" s="10" t="s">
        <v>67</v>
      </c>
      <c r="L627" s="10" t="s">
        <v>68</v>
      </c>
      <c r="M627" s="10" t="s">
        <v>69</v>
      </c>
      <c r="N627" s="10"/>
      <c r="O627" s="11" t="s">
        <v>2851</v>
      </c>
      <c r="P627" s="10" t="s">
        <v>71</v>
      </c>
      <c r="Q627" s="11" t="s">
        <v>72</v>
      </c>
      <c r="R627" s="11" t="s">
        <v>73</v>
      </c>
      <c r="S627" s="11" t="s">
        <v>74</v>
      </c>
      <c r="T627" s="11" t="s">
        <v>2892</v>
      </c>
      <c r="U627" s="10" t="n">
        <f aca="false">IF(AND($D627="",$E627="",$F627=""),1,0)</f>
        <v>0</v>
      </c>
      <c r="V627" s="10" t="n">
        <f aca="false">IF(OR($I627="",$I627="—"),1,0)</f>
        <v>0</v>
      </c>
      <c r="W627" s="10" t="n">
        <f aca="false">IF(AND(ISNUMBER($D627),ISNUMBER($E627)),IF($E627&gt;$D627,1,0),0)+IF(AND(ISNUMBER($D627),ISNUMBER($F627)),IF($D627&gt;$F627,1,0),0)+IF(AND(ISNUMBER($E627),ISNUMBER($F627)),IF($E627&gt;$F627,1,0),0)</f>
        <v>0</v>
      </c>
      <c r="X627" s="13" t="s">
        <v>76</v>
      </c>
    </row>
    <row r="628" customFormat="false" ht="15" hidden="false" customHeight="false" outlineLevel="0" collapsed="false">
      <c r="A628" s="10" t="s">
        <v>2893</v>
      </c>
      <c r="B628" s="10" t="s">
        <v>2894</v>
      </c>
      <c r="C628" s="11" t="s">
        <v>2885</v>
      </c>
      <c r="D628" s="12" t="n">
        <v>1.1852</v>
      </c>
      <c r="E628" s="12"/>
      <c r="F628" s="12"/>
      <c r="G628" s="10" t="s">
        <v>63</v>
      </c>
      <c r="H628" s="10" t="s">
        <v>87</v>
      </c>
      <c r="I628" s="11" t="s">
        <v>2850</v>
      </c>
      <c r="J628" s="10" t="s">
        <v>66</v>
      </c>
      <c r="K628" s="10" t="s">
        <v>67</v>
      </c>
      <c r="L628" s="10" t="s">
        <v>68</v>
      </c>
      <c r="M628" s="10" t="s">
        <v>69</v>
      </c>
      <c r="N628" s="10"/>
      <c r="O628" s="11" t="s">
        <v>2861</v>
      </c>
      <c r="P628" s="10" t="s">
        <v>71</v>
      </c>
      <c r="Q628" s="11" t="s">
        <v>72</v>
      </c>
      <c r="R628" s="11" t="s">
        <v>73</v>
      </c>
      <c r="S628" s="11" t="s">
        <v>74</v>
      </c>
      <c r="T628" s="11" t="s">
        <v>2895</v>
      </c>
      <c r="U628" s="10" t="n">
        <f aca="false">IF(AND($D628="",$E628="",$F628=""),1,0)</f>
        <v>0</v>
      </c>
      <c r="V628" s="10" t="n">
        <f aca="false">IF(OR($I628="",$I628="—"),1,0)</f>
        <v>0</v>
      </c>
      <c r="W628" s="10" t="n">
        <f aca="false">IF(AND(ISNUMBER($D628),ISNUMBER($E628)),IF($E628&gt;$D628,1,0),0)+IF(AND(ISNUMBER($D628),ISNUMBER($F628)),IF($D628&gt;$F628,1,0),0)+IF(AND(ISNUMBER($E628),ISNUMBER($F628)),IF($E628&gt;$F628,1,0),0)</f>
        <v>0</v>
      </c>
      <c r="X628" s="13" t="s">
        <v>76</v>
      </c>
    </row>
    <row r="629" customFormat="false" ht="15" hidden="false" customHeight="false" outlineLevel="0" collapsed="false">
      <c r="A629" s="10" t="s">
        <v>2896</v>
      </c>
      <c r="B629" s="10" t="s">
        <v>2897</v>
      </c>
      <c r="C629" s="11" t="s">
        <v>2885</v>
      </c>
      <c r="D629" s="12" t="n">
        <v>1.2397</v>
      </c>
      <c r="E629" s="12"/>
      <c r="F629" s="12"/>
      <c r="G629" s="10" t="s">
        <v>63</v>
      </c>
      <c r="H629" s="10" t="s">
        <v>92</v>
      </c>
      <c r="I629" s="11" t="s">
        <v>2850</v>
      </c>
      <c r="J629" s="10" t="s">
        <v>66</v>
      </c>
      <c r="K629" s="10" t="s">
        <v>67</v>
      </c>
      <c r="L629" s="10" t="s">
        <v>68</v>
      </c>
      <c r="M629" s="10" t="s">
        <v>69</v>
      </c>
      <c r="N629" s="10"/>
      <c r="O629" s="11" t="s">
        <v>2865</v>
      </c>
      <c r="P629" s="10" t="s">
        <v>71</v>
      </c>
      <c r="Q629" s="11" t="s">
        <v>72</v>
      </c>
      <c r="R629" s="11" t="s">
        <v>73</v>
      </c>
      <c r="S629" s="11" t="s">
        <v>74</v>
      </c>
      <c r="T629" s="11" t="s">
        <v>2898</v>
      </c>
      <c r="U629" s="10" t="n">
        <f aca="false">IF(AND($D629="",$E629="",$F629=""),1,0)</f>
        <v>0</v>
      </c>
      <c r="V629" s="10" t="n">
        <f aca="false">IF(OR($I629="",$I629="—"),1,0)</f>
        <v>0</v>
      </c>
      <c r="W629" s="10" t="n">
        <f aca="false">IF(AND(ISNUMBER($D629),ISNUMBER($E629)),IF($E629&gt;$D629,1,0),0)+IF(AND(ISNUMBER($D629),ISNUMBER($F629)),IF($D629&gt;$F629,1,0),0)+IF(AND(ISNUMBER($E629),ISNUMBER($F629)),IF($E629&gt;$F629,1,0),0)</f>
        <v>0</v>
      </c>
      <c r="X629" s="13" t="s">
        <v>76</v>
      </c>
    </row>
    <row r="630" customFormat="false" ht="15" hidden="false" customHeight="false" outlineLevel="0" collapsed="false">
      <c r="A630" s="10" t="s">
        <v>2899</v>
      </c>
      <c r="B630" s="10" t="s">
        <v>2900</v>
      </c>
      <c r="C630" s="11" t="s">
        <v>2901</v>
      </c>
      <c r="D630" s="12" t="n">
        <v>0.1141</v>
      </c>
      <c r="E630" s="12"/>
      <c r="F630" s="12"/>
      <c r="G630" s="10" t="s">
        <v>63</v>
      </c>
      <c r="H630" s="10" t="s">
        <v>64</v>
      </c>
      <c r="I630" s="11" t="s">
        <v>2850</v>
      </c>
      <c r="J630" s="10" t="s">
        <v>66</v>
      </c>
      <c r="K630" s="10" t="s">
        <v>67</v>
      </c>
      <c r="L630" s="10" t="s">
        <v>68</v>
      </c>
      <c r="M630" s="10" t="s">
        <v>69</v>
      </c>
      <c r="N630" s="10"/>
      <c r="O630" s="11" t="s">
        <v>2851</v>
      </c>
      <c r="P630" s="10" t="s">
        <v>71</v>
      </c>
      <c r="Q630" s="11" t="s">
        <v>72</v>
      </c>
      <c r="R630" s="11" t="s">
        <v>73</v>
      </c>
      <c r="S630" s="11" t="s">
        <v>74</v>
      </c>
      <c r="T630" s="11" t="s">
        <v>2902</v>
      </c>
      <c r="U630" s="10" t="n">
        <f aca="false">IF(AND($D630="",$E630="",$F630=""),1,0)</f>
        <v>0</v>
      </c>
      <c r="V630" s="10" t="n">
        <f aca="false">IF(OR($I630="",$I630="—"),1,0)</f>
        <v>0</v>
      </c>
      <c r="W630" s="10" t="n">
        <f aca="false">IF(AND(ISNUMBER($D630),ISNUMBER($E630)),IF($E630&gt;$D630,1,0),0)+IF(AND(ISNUMBER($D630),ISNUMBER($F630)),IF($D630&gt;$F630,1,0),0)+IF(AND(ISNUMBER($E630),ISNUMBER($F630)),IF($E630&gt;$F630,1,0),0)</f>
        <v>0</v>
      </c>
      <c r="X630" s="13" t="s">
        <v>76</v>
      </c>
    </row>
    <row r="631" customFormat="false" ht="15" hidden="false" customHeight="false" outlineLevel="0" collapsed="false">
      <c r="A631" s="10" t="s">
        <v>2903</v>
      </c>
      <c r="B631" s="10" t="s">
        <v>2904</v>
      </c>
      <c r="C631" s="11" t="s">
        <v>2901</v>
      </c>
      <c r="D631" s="12" t="n">
        <v>0.2518</v>
      </c>
      <c r="E631" s="12"/>
      <c r="F631" s="12"/>
      <c r="G631" s="10" t="s">
        <v>63</v>
      </c>
      <c r="H631" s="10" t="s">
        <v>79</v>
      </c>
      <c r="I631" s="11" t="s">
        <v>2850</v>
      </c>
      <c r="J631" s="10" t="s">
        <v>66</v>
      </c>
      <c r="K631" s="10" t="s">
        <v>67</v>
      </c>
      <c r="L631" s="10" t="s">
        <v>68</v>
      </c>
      <c r="M631" s="10" t="s">
        <v>69</v>
      </c>
      <c r="N631" s="10"/>
      <c r="O631" s="11" t="s">
        <v>2851</v>
      </c>
      <c r="P631" s="10" t="s">
        <v>71</v>
      </c>
      <c r="Q631" s="11" t="s">
        <v>72</v>
      </c>
      <c r="R631" s="11" t="s">
        <v>73</v>
      </c>
      <c r="S631" s="11" t="s">
        <v>74</v>
      </c>
      <c r="T631" s="11" t="s">
        <v>2905</v>
      </c>
      <c r="U631" s="10" t="n">
        <f aca="false">IF(AND($D631="",$E631="",$F631=""),1,0)</f>
        <v>0</v>
      </c>
      <c r="V631" s="10" t="n">
        <f aca="false">IF(OR($I631="",$I631="—"),1,0)</f>
        <v>0</v>
      </c>
      <c r="W631" s="10" t="n">
        <f aca="false">IF(AND(ISNUMBER($D631),ISNUMBER($E631)),IF($E631&gt;$D631,1,0),0)+IF(AND(ISNUMBER($D631),ISNUMBER($F631)),IF($D631&gt;$F631,1,0),0)+IF(AND(ISNUMBER($E631),ISNUMBER($F631)),IF($E631&gt;$F631,1,0),0)</f>
        <v>0</v>
      </c>
      <c r="X631" s="13" t="s">
        <v>76</v>
      </c>
    </row>
    <row r="632" customFormat="false" ht="15" hidden="false" customHeight="false" outlineLevel="0" collapsed="false">
      <c r="A632" s="10" t="s">
        <v>2906</v>
      </c>
      <c r="B632" s="10" t="s">
        <v>2907</v>
      </c>
      <c r="C632" s="11" t="s">
        <v>2901</v>
      </c>
      <c r="D632" s="12" t="n">
        <v>0.4504</v>
      </c>
      <c r="E632" s="12"/>
      <c r="F632" s="12"/>
      <c r="G632" s="10" t="s">
        <v>63</v>
      </c>
      <c r="H632" s="10" t="s">
        <v>83</v>
      </c>
      <c r="I632" s="11" t="s">
        <v>2850</v>
      </c>
      <c r="J632" s="10" t="s">
        <v>66</v>
      </c>
      <c r="K632" s="10" t="s">
        <v>67</v>
      </c>
      <c r="L632" s="10" t="s">
        <v>68</v>
      </c>
      <c r="M632" s="10" t="s">
        <v>69</v>
      </c>
      <c r="N632" s="10"/>
      <c r="O632" s="11" t="s">
        <v>2851</v>
      </c>
      <c r="P632" s="10" t="s">
        <v>71</v>
      </c>
      <c r="Q632" s="11" t="s">
        <v>72</v>
      </c>
      <c r="R632" s="11" t="s">
        <v>73</v>
      </c>
      <c r="S632" s="11" t="s">
        <v>74</v>
      </c>
      <c r="T632" s="11" t="s">
        <v>2908</v>
      </c>
      <c r="U632" s="10" t="n">
        <f aca="false">IF(AND($D632="",$E632="",$F632=""),1,0)</f>
        <v>0</v>
      </c>
      <c r="V632" s="10" t="n">
        <f aca="false">IF(OR($I632="",$I632="—"),1,0)</f>
        <v>0</v>
      </c>
      <c r="W632" s="10" t="n">
        <f aca="false">IF(AND(ISNUMBER($D632),ISNUMBER($E632)),IF($E632&gt;$D632,1,0),0)+IF(AND(ISNUMBER($D632),ISNUMBER($F632)),IF($D632&gt;$F632,1,0),0)+IF(AND(ISNUMBER($E632),ISNUMBER($F632)),IF($E632&gt;$F632,1,0),0)</f>
        <v>0</v>
      </c>
      <c r="X632" s="13" t="s">
        <v>76</v>
      </c>
    </row>
    <row r="633" customFormat="false" ht="15" hidden="false" customHeight="false" outlineLevel="0" collapsed="false">
      <c r="A633" s="10" t="s">
        <v>2909</v>
      </c>
      <c r="B633" s="10" t="s">
        <v>2910</v>
      </c>
      <c r="C633" s="11" t="s">
        <v>2901</v>
      </c>
      <c r="D633" s="12" t="n">
        <v>0.2467</v>
      </c>
      <c r="E633" s="12"/>
      <c r="F633" s="12"/>
      <c r="G633" s="10" t="s">
        <v>63</v>
      </c>
      <c r="H633" s="10" t="s">
        <v>87</v>
      </c>
      <c r="I633" s="11" t="s">
        <v>2850</v>
      </c>
      <c r="J633" s="10" t="s">
        <v>66</v>
      </c>
      <c r="K633" s="10" t="s">
        <v>67</v>
      </c>
      <c r="L633" s="10" t="s">
        <v>68</v>
      </c>
      <c r="M633" s="10" t="s">
        <v>69</v>
      </c>
      <c r="N633" s="10"/>
      <c r="O633" s="11" t="s">
        <v>2861</v>
      </c>
      <c r="P633" s="10" t="s">
        <v>71</v>
      </c>
      <c r="Q633" s="11" t="s">
        <v>72</v>
      </c>
      <c r="R633" s="11" t="s">
        <v>73</v>
      </c>
      <c r="S633" s="11" t="s">
        <v>74</v>
      </c>
      <c r="T633" s="11" t="s">
        <v>2911</v>
      </c>
      <c r="U633" s="10" t="n">
        <f aca="false">IF(AND($D633="",$E633="",$F633=""),1,0)</f>
        <v>0</v>
      </c>
      <c r="V633" s="10" t="n">
        <f aca="false">IF(OR($I633="",$I633="—"),1,0)</f>
        <v>0</v>
      </c>
      <c r="W633" s="10" t="n">
        <f aca="false">IF(AND(ISNUMBER($D633),ISNUMBER($E633)),IF($E633&gt;$D633,1,0),0)+IF(AND(ISNUMBER($D633),ISNUMBER($F633)),IF($D633&gt;$F633,1,0),0)+IF(AND(ISNUMBER($E633),ISNUMBER($F633)),IF($E633&gt;$F633,1,0),0)</f>
        <v>0</v>
      </c>
      <c r="X633" s="13" t="s">
        <v>76</v>
      </c>
    </row>
    <row r="634" customFormat="false" ht="15" hidden="false" customHeight="false" outlineLevel="0" collapsed="false">
      <c r="A634" s="10" t="s">
        <v>2912</v>
      </c>
      <c r="B634" s="10" t="s">
        <v>2913</v>
      </c>
      <c r="C634" s="11" t="s">
        <v>2901</v>
      </c>
      <c r="D634" s="12" t="n">
        <v>0.5221</v>
      </c>
      <c r="E634" s="12"/>
      <c r="F634" s="12"/>
      <c r="G634" s="10" t="s">
        <v>63</v>
      </c>
      <c r="H634" s="10" t="s">
        <v>92</v>
      </c>
      <c r="I634" s="11" t="s">
        <v>2850</v>
      </c>
      <c r="J634" s="10" t="s">
        <v>66</v>
      </c>
      <c r="K634" s="10" t="s">
        <v>67</v>
      </c>
      <c r="L634" s="10" t="s">
        <v>68</v>
      </c>
      <c r="M634" s="10" t="s">
        <v>69</v>
      </c>
      <c r="N634" s="10"/>
      <c r="O634" s="11" t="s">
        <v>2865</v>
      </c>
      <c r="P634" s="10" t="s">
        <v>71</v>
      </c>
      <c r="Q634" s="11" t="s">
        <v>72</v>
      </c>
      <c r="R634" s="11" t="s">
        <v>73</v>
      </c>
      <c r="S634" s="11" t="s">
        <v>74</v>
      </c>
      <c r="T634" s="11" t="s">
        <v>2914</v>
      </c>
      <c r="U634" s="10" t="n">
        <f aca="false">IF(AND($D634="",$E634="",$F634=""),1,0)</f>
        <v>0</v>
      </c>
      <c r="V634" s="10" t="n">
        <f aca="false">IF(OR($I634="",$I634="—"),1,0)</f>
        <v>0</v>
      </c>
      <c r="W634" s="10" t="n">
        <f aca="false">IF(AND(ISNUMBER($D634),ISNUMBER($E634)),IF($E634&gt;$D634,1,0),0)+IF(AND(ISNUMBER($D634),ISNUMBER($F634)),IF($D634&gt;$F634,1,0),0)+IF(AND(ISNUMBER($E634),ISNUMBER($F634)),IF($E634&gt;$F634,1,0),0)</f>
        <v>0</v>
      </c>
      <c r="X634" s="13" t="s">
        <v>76</v>
      </c>
    </row>
    <row r="635" customFormat="false" ht="15" hidden="false" customHeight="false" outlineLevel="0" collapsed="false">
      <c r="A635" s="10" t="s">
        <v>2915</v>
      </c>
      <c r="B635" s="10" t="s">
        <v>2916</v>
      </c>
      <c r="C635" s="11" t="s">
        <v>2917</v>
      </c>
      <c r="D635" s="12" t="n">
        <v>0.0166</v>
      </c>
      <c r="E635" s="12"/>
      <c r="F635" s="12"/>
      <c r="G635" s="10" t="s">
        <v>63</v>
      </c>
      <c r="H635" s="10" t="s">
        <v>64</v>
      </c>
      <c r="I635" s="11" t="s">
        <v>2850</v>
      </c>
      <c r="J635" s="10" t="s">
        <v>66</v>
      </c>
      <c r="K635" s="10" t="s">
        <v>67</v>
      </c>
      <c r="L635" s="10" t="s">
        <v>68</v>
      </c>
      <c r="M635" s="10" t="s">
        <v>69</v>
      </c>
      <c r="N635" s="10"/>
      <c r="O635" s="11" t="s">
        <v>2851</v>
      </c>
      <c r="P635" s="10" t="s">
        <v>71</v>
      </c>
      <c r="Q635" s="11" t="s">
        <v>72</v>
      </c>
      <c r="R635" s="11" t="s">
        <v>73</v>
      </c>
      <c r="S635" s="11" t="s">
        <v>74</v>
      </c>
      <c r="T635" s="11" t="s">
        <v>2918</v>
      </c>
      <c r="U635" s="10" t="n">
        <f aca="false">IF(AND($D635="",$E635="",$F635=""),1,0)</f>
        <v>0</v>
      </c>
      <c r="V635" s="10" t="n">
        <f aca="false">IF(OR($I635="",$I635="—"),1,0)</f>
        <v>0</v>
      </c>
      <c r="W635" s="10" t="n">
        <f aca="false">IF(AND(ISNUMBER($D635),ISNUMBER($E635)),IF($E635&gt;$D635,1,0),0)+IF(AND(ISNUMBER($D635),ISNUMBER($F635)),IF($D635&gt;$F635,1,0),0)+IF(AND(ISNUMBER($E635),ISNUMBER($F635)),IF($E635&gt;$F635,1,0),0)</f>
        <v>0</v>
      </c>
      <c r="X635" s="13" t="s">
        <v>76</v>
      </c>
    </row>
    <row r="636" customFormat="false" ht="15" hidden="false" customHeight="false" outlineLevel="0" collapsed="false">
      <c r="A636" s="10" t="s">
        <v>2919</v>
      </c>
      <c r="B636" s="10" t="s">
        <v>2920</v>
      </c>
      <c r="C636" s="11" t="s">
        <v>2917</v>
      </c>
      <c r="D636" s="12" t="n">
        <v>0.0545</v>
      </c>
      <c r="E636" s="12"/>
      <c r="F636" s="12"/>
      <c r="G636" s="10" t="s">
        <v>63</v>
      </c>
      <c r="H636" s="10" t="s">
        <v>79</v>
      </c>
      <c r="I636" s="11" t="s">
        <v>2850</v>
      </c>
      <c r="J636" s="10" t="s">
        <v>66</v>
      </c>
      <c r="K636" s="10" t="s">
        <v>67</v>
      </c>
      <c r="L636" s="10" t="s">
        <v>68</v>
      </c>
      <c r="M636" s="10" t="s">
        <v>69</v>
      </c>
      <c r="N636" s="10"/>
      <c r="O636" s="11" t="s">
        <v>2851</v>
      </c>
      <c r="P636" s="10" t="s">
        <v>71</v>
      </c>
      <c r="Q636" s="11" t="s">
        <v>72</v>
      </c>
      <c r="R636" s="11" t="s">
        <v>73</v>
      </c>
      <c r="S636" s="11" t="s">
        <v>74</v>
      </c>
      <c r="T636" s="11" t="s">
        <v>2921</v>
      </c>
      <c r="U636" s="10" t="n">
        <f aca="false">IF(AND($D636="",$E636="",$F636=""),1,0)</f>
        <v>0</v>
      </c>
      <c r="V636" s="10" t="n">
        <f aca="false">IF(OR($I636="",$I636="—"),1,0)</f>
        <v>0</v>
      </c>
      <c r="W636" s="10" t="n">
        <f aca="false">IF(AND(ISNUMBER($D636),ISNUMBER($E636)),IF($E636&gt;$D636,1,0),0)+IF(AND(ISNUMBER($D636),ISNUMBER($F636)),IF($D636&gt;$F636,1,0),0)+IF(AND(ISNUMBER($E636),ISNUMBER($F636)),IF($E636&gt;$F636,1,0),0)</f>
        <v>0</v>
      </c>
      <c r="X636" s="13" t="s">
        <v>76</v>
      </c>
    </row>
    <row r="637" customFormat="false" ht="15" hidden="false" customHeight="false" outlineLevel="0" collapsed="false">
      <c r="A637" s="10" t="s">
        <v>2922</v>
      </c>
      <c r="B637" s="10" t="s">
        <v>2923</v>
      </c>
      <c r="C637" s="11" t="s">
        <v>2917</v>
      </c>
      <c r="D637" s="12" t="n">
        <v>0.1434</v>
      </c>
      <c r="E637" s="12"/>
      <c r="F637" s="12"/>
      <c r="G637" s="10" t="s">
        <v>63</v>
      </c>
      <c r="H637" s="10" t="s">
        <v>83</v>
      </c>
      <c r="I637" s="11" t="s">
        <v>2850</v>
      </c>
      <c r="J637" s="10" t="s">
        <v>66</v>
      </c>
      <c r="K637" s="10" t="s">
        <v>67</v>
      </c>
      <c r="L637" s="10" t="s">
        <v>68</v>
      </c>
      <c r="M637" s="10" t="s">
        <v>69</v>
      </c>
      <c r="N637" s="10"/>
      <c r="O637" s="11" t="s">
        <v>2851</v>
      </c>
      <c r="P637" s="10" t="s">
        <v>71</v>
      </c>
      <c r="Q637" s="11" t="s">
        <v>72</v>
      </c>
      <c r="R637" s="11" t="s">
        <v>73</v>
      </c>
      <c r="S637" s="11" t="s">
        <v>74</v>
      </c>
      <c r="T637" s="11" t="s">
        <v>2924</v>
      </c>
      <c r="U637" s="10" t="n">
        <f aca="false">IF(AND($D637="",$E637="",$F637=""),1,0)</f>
        <v>0</v>
      </c>
      <c r="V637" s="10" t="n">
        <f aca="false">IF(OR($I637="",$I637="—"),1,0)</f>
        <v>0</v>
      </c>
      <c r="W637" s="10" t="n">
        <f aca="false">IF(AND(ISNUMBER($D637),ISNUMBER($E637)),IF($E637&gt;$D637,1,0),0)+IF(AND(ISNUMBER($D637),ISNUMBER($F637)),IF($D637&gt;$F637,1,0),0)+IF(AND(ISNUMBER($E637),ISNUMBER($F637)),IF($E637&gt;$F637,1,0),0)</f>
        <v>0</v>
      </c>
      <c r="X637" s="13" t="s">
        <v>76</v>
      </c>
    </row>
    <row r="638" customFormat="false" ht="15" hidden="false" customHeight="false" outlineLevel="0" collapsed="false">
      <c r="A638" s="10" t="s">
        <v>2925</v>
      </c>
      <c r="B638" s="10" t="s">
        <v>2926</v>
      </c>
      <c r="C638" s="11" t="s">
        <v>2917</v>
      </c>
      <c r="D638" s="12" t="n">
        <v>0.0481</v>
      </c>
      <c r="E638" s="12"/>
      <c r="F638" s="12"/>
      <c r="G638" s="10" t="s">
        <v>63</v>
      </c>
      <c r="H638" s="10" t="s">
        <v>87</v>
      </c>
      <c r="I638" s="11" t="s">
        <v>2850</v>
      </c>
      <c r="J638" s="10" t="s">
        <v>66</v>
      </c>
      <c r="K638" s="10" t="s">
        <v>67</v>
      </c>
      <c r="L638" s="10" t="s">
        <v>68</v>
      </c>
      <c r="M638" s="10" t="s">
        <v>69</v>
      </c>
      <c r="N638" s="10"/>
      <c r="O638" s="11" t="s">
        <v>2861</v>
      </c>
      <c r="P638" s="10" t="s">
        <v>71</v>
      </c>
      <c r="Q638" s="11" t="s">
        <v>72</v>
      </c>
      <c r="R638" s="11" t="s">
        <v>73</v>
      </c>
      <c r="S638" s="11" t="s">
        <v>74</v>
      </c>
      <c r="T638" s="11" t="s">
        <v>2927</v>
      </c>
      <c r="U638" s="10" t="n">
        <f aca="false">IF(AND($D638="",$E638="",$F638=""),1,0)</f>
        <v>0</v>
      </c>
      <c r="V638" s="10" t="n">
        <f aca="false">IF(OR($I638="",$I638="—"),1,0)</f>
        <v>0</v>
      </c>
      <c r="W638" s="10" t="n">
        <f aca="false">IF(AND(ISNUMBER($D638),ISNUMBER($E638)),IF($E638&gt;$D638,1,0),0)+IF(AND(ISNUMBER($D638),ISNUMBER($F638)),IF($D638&gt;$F638,1,0),0)+IF(AND(ISNUMBER($E638),ISNUMBER($F638)),IF($E638&gt;$F638,1,0),0)</f>
        <v>0</v>
      </c>
      <c r="X638" s="13" t="s">
        <v>76</v>
      </c>
    </row>
    <row r="639" customFormat="false" ht="15" hidden="false" customHeight="false" outlineLevel="0" collapsed="false">
      <c r="A639" s="10" t="s">
        <v>2928</v>
      </c>
      <c r="B639" s="10" t="s">
        <v>2929</v>
      </c>
      <c r="C639" s="11" t="s">
        <v>2917</v>
      </c>
      <c r="D639" s="12" t="n">
        <v>0.078</v>
      </c>
      <c r="E639" s="12"/>
      <c r="F639" s="12"/>
      <c r="G639" s="10" t="s">
        <v>63</v>
      </c>
      <c r="H639" s="10" t="s">
        <v>92</v>
      </c>
      <c r="I639" s="11" t="s">
        <v>2850</v>
      </c>
      <c r="J639" s="10" t="s">
        <v>66</v>
      </c>
      <c r="K639" s="10" t="s">
        <v>67</v>
      </c>
      <c r="L639" s="10" t="s">
        <v>68</v>
      </c>
      <c r="M639" s="10" t="s">
        <v>69</v>
      </c>
      <c r="N639" s="10"/>
      <c r="O639" s="11" t="s">
        <v>2865</v>
      </c>
      <c r="P639" s="10" t="s">
        <v>71</v>
      </c>
      <c r="Q639" s="11" t="s">
        <v>72</v>
      </c>
      <c r="R639" s="11" t="s">
        <v>73</v>
      </c>
      <c r="S639" s="11" t="s">
        <v>74</v>
      </c>
      <c r="T639" s="11" t="s">
        <v>2930</v>
      </c>
      <c r="U639" s="10" t="n">
        <f aca="false">IF(AND($D639="",$E639="",$F639=""),1,0)</f>
        <v>0</v>
      </c>
      <c r="V639" s="10" t="n">
        <f aca="false">IF(OR($I639="",$I639="—"),1,0)</f>
        <v>0</v>
      </c>
      <c r="W639" s="10" t="n">
        <f aca="false">IF(AND(ISNUMBER($D639),ISNUMBER($E639)),IF($E639&gt;$D639,1,0),0)+IF(AND(ISNUMBER($D639),ISNUMBER($F639)),IF($D639&gt;$F639,1,0),0)+IF(AND(ISNUMBER($E639),ISNUMBER($F639)),IF($E639&gt;$F639,1,0),0)</f>
        <v>0</v>
      </c>
      <c r="X639" s="13" t="s">
        <v>76</v>
      </c>
    </row>
    <row r="640" customFormat="false" ht="15" hidden="false" customHeight="false" outlineLevel="0" collapsed="false">
      <c r="A640" s="10" t="s">
        <v>2931</v>
      </c>
      <c r="B640" s="10" t="s">
        <v>2932</v>
      </c>
      <c r="C640" s="11" t="s">
        <v>916</v>
      </c>
      <c r="D640" s="12" t="n">
        <v>17.3</v>
      </c>
      <c r="E640" s="12"/>
      <c r="F640" s="12"/>
      <c r="G640" s="10" t="s">
        <v>401</v>
      </c>
      <c r="H640" s="10" t="s">
        <v>64</v>
      </c>
      <c r="I640" s="11" t="s">
        <v>2850</v>
      </c>
      <c r="J640" s="10" t="s">
        <v>66</v>
      </c>
      <c r="K640" s="10" t="s">
        <v>67</v>
      </c>
      <c r="L640" s="10" t="s">
        <v>68</v>
      </c>
      <c r="M640" s="10" t="s">
        <v>69</v>
      </c>
      <c r="N640" s="10"/>
      <c r="O640" s="11" t="s">
        <v>2851</v>
      </c>
      <c r="P640" s="10" t="s">
        <v>71</v>
      </c>
      <c r="Q640" s="11" t="s">
        <v>72</v>
      </c>
      <c r="R640" s="11" t="s">
        <v>73</v>
      </c>
      <c r="S640" s="11" t="s">
        <v>74</v>
      </c>
      <c r="T640" s="11" t="s">
        <v>2933</v>
      </c>
      <c r="U640" s="10" t="n">
        <f aca="false">IF(AND($D640="",$E640="",$F640=""),1,0)</f>
        <v>0</v>
      </c>
      <c r="V640" s="10" t="n">
        <f aca="false">IF(OR($I640="",$I640="—"),1,0)</f>
        <v>0</v>
      </c>
      <c r="W640" s="10" t="n">
        <f aca="false">IF(AND(ISNUMBER($D640),ISNUMBER($E640)),IF($E640&gt;$D640,1,0),0)+IF(AND(ISNUMBER($D640),ISNUMBER($F640)),IF($D640&gt;$F640,1,0),0)+IF(AND(ISNUMBER($E640),ISNUMBER($F640)),IF($E640&gt;$F640,1,0),0)</f>
        <v>0</v>
      </c>
      <c r="X640" s="13" t="s">
        <v>76</v>
      </c>
    </row>
    <row r="641" customFormat="false" ht="15" hidden="false" customHeight="false" outlineLevel="0" collapsed="false">
      <c r="A641" s="10" t="s">
        <v>2934</v>
      </c>
      <c r="B641" s="10" t="s">
        <v>2935</v>
      </c>
      <c r="C641" s="11" t="s">
        <v>916</v>
      </c>
      <c r="D641" s="12" t="n">
        <v>58.9</v>
      </c>
      <c r="E641" s="12"/>
      <c r="F641" s="12"/>
      <c r="G641" s="10" t="s">
        <v>401</v>
      </c>
      <c r="H641" s="10" t="s">
        <v>79</v>
      </c>
      <c r="I641" s="11" t="s">
        <v>2850</v>
      </c>
      <c r="J641" s="10" t="s">
        <v>66</v>
      </c>
      <c r="K641" s="10" t="s">
        <v>67</v>
      </c>
      <c r="L641" s="10" t="s">
        <v>68</v>
      </c>
      <c r="M641" s="10" t="s">
        <v>69</v>
      </c>
      <c r="N641" s="10"/>
      <c r="O641" s="11" t="s">
        <v>2851</v>
      </c>
      <c r="P641" s="10" t="s">
        <v>71</v>
      </c>
      <c r="Q641" s="11" t="s">
        <v>72</v>
      </c>
      <c r="R641" s="11" t="s">
        <v>73</v>
      </c>
      <c r="S641" s="11" t="s">
        <v>74</v>
      </c>
      <c r="T641" s="11" t="s">
        <v>2933</v>
      </c>
      <c r="U641" s="10" t="n">
        <f aca="false">IF(AND($D641="",$E641="",$F641=""),1,0)</f>
        <v>0</v>
      </c>
      <c r="V641" s="10" t="n">
        <f aca="false">IF(OR($I641="",$I641="—"),1,0)</f>
        <v>0</v>
      </c>
      <c r="W641" s="10" t="n">
        <f aca="false">IF(AND(ISNUMBER($D641),ISNUMBER($E641)),IF($E641&gt;$D641,1,0),0)+IF(AND(ISNUMBER($D641),ISNUMBER($F641)),IF($D641&gt;$F641,1,0),0)+IF(AND(ISNUMBER($E641),ISNUMBER($F641)),IF($E641&gt;$F641,1,0),0)</f>
        <v>0</v>
      </c>
      <c r="X641" s="13" t="s">
        <v>76</v>
      </c>
    </row>
    <row r="642" customFormat="false" ht="15" hidden="false" customHeight="false" outlineLevel="0" collapsed="false">
      <c r="A642" s="10" t="s">
        <v>2936</v>
      </c>
      <c r="B642" s="10" t="s">
        <v>2937</v>
      </c>
      <c r="C642" s="11" t="s">
        <v>916</v>
      </c>
      <c r="D642" s="12" t="n">
        <v>70.7</v>
      </c>
      <c r="E642" s="12"/>
      <c r="F642" s="12"/>
      <c r="G642" s="10" t="s">
        <v>401</v>
      </c>
      <c r="H642" s="10" t="s">
        <v>83</v>
      </c>
      <c r="I642" s="11" t="s">
        <v>2850</v>
      </c>
      <c r="J642" s="10" t="s">
        <v>66</v>
      </c>
      <c r="K642" s="10" t="s">
        <v>67</v>
      </c>
      <c r="L642" s="10" t="s">
        <v>68</v>
      </c>
      <c r="M642" s="10" t="s">
        <v>69</v>
      </c>
      <c r="N642" s="10"/>
      <c r="O642" s="11" t="s">
        <v>2851</v>
      </c>
      <c r="P642" s="10" t="s">
        <v>71</v>
      </c>
      <c r="Q642" s="11" t="s">
        <v>72</v>
      </c>
      <c r="R642" s="11" t="s">
        <v>73</v>
      </c>
      <c r="S642" s="11" t="s">
        <v>74</v>
      </c>
      <c r="T642" s="11" t="s">
        <v>2933</v>
      </c>
      <c r="U642" s="10" t="n">
        <f aca="false">IF(AND($D642="",$E642="",$F642=""),1,0)</f>
        <v>0</v>
      </c>
      <c r="V642" s="10" t="n">
        <f aca="false">IF(OR($I642="",$I642="—"),1,0)</f>
        <v>0</v>
      </c>
      <c r="W642" s="10" t="n">
        <f aca="false">IF(AND(ISNUMBER($D642),ISNUMBER($E642)),IF($E642&gt;$D642,1,0),0)+IF(AND(ISNUMBER($D642),ISNUMBER($F642)),IF($D642&gt;$F642,1,0),0)+IF(AND(ISNUMBER($E642),ISNUMBER($F642)),IF($E642&gt;$F642,1,0),0)</f>
        <v>0</v>
      </c>
      <c r="X642" s="13" t="s">
        <v>76</v>
      </c>
    </row>
    <row r="643" customFormat="false" ht="15" hidden="false" customHeight="false" outlineLevel="0" collapsed="false">
      <c r="A643" s="10" t="s">
        <v>2938</v>
      </c>
      <c r="B643" s="10" t="s">
        <v>2939</v>
      </c>
      <c r="C643" s="11" t="s">
        <v>916</v>
      </c>
      <c r="D643" s="12" t="n">
        <v>70.2</v>
      </c>
      <c r="E643" s="12"/>
      <c r="F643" s="12"/>
      <c r="G643" s="10" t="s">
        <v>401</v>
      </c>
      <c r="H643" s="10" t="s">
        <v>87</v>
      </c>
      <c r="I643" s="11" t="s">
        <v>2850</v>
      </c>
      <c r="J643" s="10" t="s">
        <v>66</v>
      </c>
      <c r="K643" s="10" t="s">
        <v>67</v>
      </c>
      <c r="L643" s="10" t="s">
        <v>68</v>
      </c>
      <c r="M643" s="10" t="s">
        <v>69</v>
      </c>
      <c r="N643" s="10"/>
      <c r="O643" s="11" t="s">
        <v>2861</v>
      </c>
      <c r="P643" s="10" t="s">
        <v>71</v>
      </c>
      <c r="Q643" s="11" t="s">
        <v>72</v>
      </c>
      <c r="R643" s="11" t="s">
        <v>73</v>
      </c>
      <c r="S643" s="11" t="s">
        <v>74</v>
      </c>
      <c r="T643" s="11" t="s">
        <v>2933</v>
      </c>
      <c r="U643" s="10" t="n">
        <f aca="false">IF(AND($D643="",$E643="",$F643=""),1,0)</f>
        <v>0</v>
      </c>
      <c r="V643" s="10" t="n">
        <f aca="false">IF(OR($I643="",$I643="—"),1,0)</f>
        <v>0</v>
      </c>
      <c r="W643" s="10" t="n">
        <f aca="false">IF(AND(ISNUMBER($D643),ISNUMBER($E643)),IF($E643&gt;$D643,1,0),0)+IF(AND(ISNUMBER($D643),ISNUMBER($F643)),IF($D643&gt;$F643,1,0),0)+IF(AND(ISNUMBER($E643),ISNUMBER($F643)),IF($E643&gt;$F643,1,0),0)</f>
        <v>0</v>
      </c>
      <c r="X643" s="13" t="s">
        <v>76</v>
      </c>
    </row>
    <row r="644" customFormat="false" ht="15" hidden="false" customHeight="false" outlineLevel="0" collapsed="false">
      <c r="A644" s="10" t="s">
        <v>2940</v>
      </c>
      <c r="B644" s="10" t="s">
        <v>2941</v>
      </c>
      <c r="C644" s="11" t="s">
        <v>916</v>
      </c>
      <c r="D644" s="12" t="n">
        <v>71.8</v>
      </c>
      <c r="E644" s="12"/>
      <c r="F644" s="12"/>
      <c r="G644" s="10" t="s">
        <v>401</v>
      </c>
      <c r="H644" s="10" t="s">
        <v>92</v>
      </c>
      <c r="I644" s="11" t="s">
        <v>2850</v>
      </c>
      <c r="J644" s="10" t="s">
        <v>66</v>
      </c>
      <c r="K644" s="10" t="s">
        <v>67</v>
      </c>
      <c r="L644" s="10" t="s">
        <v>68</v>
      </c>
      <c r="M644" s="10" t="s">
        <v>69</v>
      </c>
      <c r="N644" s="10"/>
      <c r="O644" s="11" t="s">
        <v>2865</v>
      </c>
      <c r="P644" s="10" t="s">
        <v>71</v>
      </c>
      <c r="Q644" s="11" t="s">
        <v>72</v>
      </c>
      <c r="R644" s="11" t="s">
        <v>73</v>
      </c>
      <c r="S644" s="11" t="s">
        <v>74</v>
      </c>
      <c r="T644" s="11" t="s">
        <v>2933</v>
      </c>
      <c r="U644" s="10" t="n">
        <f aca="false">IF(AND($D644="",$E644="",$F644=""),1,0)</f>
        <v>0</v>
      </c>
      <c r="V644" s="10" t="n">
        <f aca="false">IF(OR($I644="",$I644="—"),1,0)</f>
        <v>0</v>
      </c>
      <c r="W644" s="10" t="n">
        <f aca="false">IF(AND(ISNUMBER($D644),ISNUMBER($E644)),IF($E644&gt;$D644,1,0),0)+IF(AND(ISNUMBER($D644),ISNUMBER($F644)),IF($D644&gt;$F644,1,0),0)+IF(AND(ISNUMBER($E644),ISNUMBER($F644)),IF($E644&gt;$F644,1,0),0)</f>
        <v>0</v>
      </c>
      <c r="X644" s="13" t="s">
        <v>76</v>
      </c>
    </row>
    <row r="645" customFormat="false" ht="15" hidden="false" customHeight="false" outlineLevel="0" collapsed="false">
      <c r="A645" s="10" t="s">
        <v>2942</v>
      </c>
      <c r="B645" s="10" t="s">
        <v>2943</v>
      </c>
      <c r="C645" s="11" t="s">
        <v>931</v>
      </c>
      <c r="D645" s="12" t="n">
        <v>49.8</v>
      </c>
      <c r="E645" s="12"/>
      <c r="F645" s="12"/>
      <c r="G645" s="10" t="s">
        <v>401</v>
      </c>
      <c r="H645" s="10" t="s">
        <v>64</v>
      </c>
      <c r="I645" s="11" t="s">
        <v>2850</v>
      </c>
      <c r="J645" s="10" t="s">
        <v>66</v>
      </c>
      <c r="K645" s="10" t="s">
        <v>67</v>
      </c>
      <c r="L645" s="10" t="s">
        <v>68</v>
      </c>
      <c r="M645" s="10" t="s">
        <v>69</v>
      </c>
      <c r="N645" s="10"/>
      <c r="O645" s="11" t="s">
        <v>2851</v>
      </c>
      <c r="P645" s="10" t="s">
        <v>71</v>
      </c>
      <c r="Q645" s="11" t="s">
        <v>72</v>
      </c>
      <c r="R645" s="11" t="s">
        <v>73</v>
      </c>
      <c r="S645" s="11" t="s">
        <v>74</v>
      </c>
      <c r="T645" s="11" t="s">
        <v>2944</v>
      </c>
      <c r="U645" s="10" t="n">
        <f aca="false">IF(AND($D645="",$E645="",$F645=""),1,0)</f>
        <v>0</v>
      </c>
      <c r="V645" s="10" t="n">
        <f aca="false">IF(OR($I645="",$I645="—"),1,0)</f>
        <v>0</v>
      </c>
      <c r="W645" s="10" t="n">
        <f aca="false">IF(AND(ISNUMBER($D645),ISNUMBER($E645)),IF($E645&gt;$D645,1,0),0)+IF(AND(ISNUMBER($D645),ISNUMBER($F645)),IF($D645&gt;$F645,1,0),0)+IF(AND(ISNUMBER($E645),ISNUMBER($F645)),IF($E645&gt;$F645,1,0),0)</f>
        <v>0</v>
      </c>
      <c r="X645" s="13" t="s">
        <v>76</v>
      </c>
    </row>
    <row r="646" customFormat="false" ht="15" hidden="false" customHeight="false" outlineLevel="0" collapsed="false">
      <c r="A646" s="10" t="s">
        <v>2945</v>
      </c>
      <c r="B646" s="10" t="s">
        <v>2946</v>
      </c>
      <c r="C646" s="11" t="s">
        <v>931</v>
      </c>
      <c r="D646" s="12" t="n">
        <v>26</v>
      </c>
      <c r="E646" s="12"/>
      <c r="F646" s="12"/>
      <c r="G646" s="10" t="s">
        <v>401</v>
      </c>
      <c r="H646" s="10" t="s">
        <v>79</v>
      </c>
      <c r="I646" s="11" t="s">
        <v>2850</v>
      </c>
      <c r="J646" s="10" t="s">
        <v>66</v>
      </c>
      <c r="K646" s="10" t="s">
        <v>67</v>
      </c>
      <c r="L646" s="10" t="s">
        <v>68</v>
      </c>
      <c r="M646" s="10" t="s">
        <v>69</v>
      </c>
      <c r="N646" s="10"/>
      <c r="O646" s="11" t="s">
        <v>2851</v>
      </c>
      <c r="P646" s="10" t="s">
        <v>71</v>
      </c>
      <c r="Q646" s="11" t="s">
        <v>72</v>
      </c>
      <c r="R646" s="11" t="s">
        <v>73</v>
      </c>
      <c r="S646" s="11" t="s">
        <v>74</v>
      </c>
      <c r="T646" s="11" t="s">
        <v>2944</v>
      </c>
      <c r="U646" s="10" t="n">
        <f aca="false">IF(AND($D646="",$E646="",$F646=""),1,0)</f>
        <v>0</v>
      </c>
      <c r="V646" s="10" t="n">
        <f aca="false">IF(OR($I646="",$I646="—"),1,0)</f>
        <v>0</v>
      </c>
      <c r="W646" s="10" t="n">
        <f aca="false">IF(AND(ISNUMBER($D646),ISNUMBER($E646)),IF($E646&gt;$D646,1,0),0)+IF(AND(ISNUMBER($D646),ISNUMBER($F646)),IF($D646&gt;$F646,1,0),0)+IF(AND(ISNUMBER($E646),ISNUMBER($F646)),IF($E646&gt;$F646,1,0),0)</f>
        <v>0</v>
      </c>
      <c r="X646" s="13" t="s">
        <v>76</v>
      </c>
    </row>
    <row r="647" customFormat="false" ht="15" hidden="false" customHeight="false" outlineLevel="0" collapsed="false">
      <c r="A647" s="10" t="s">
        <v>2947</v>
      </c>
      <c r="B647" s="10" t="s">
        <v>2948</v>
      </c>
      <c r="C647" s="11" t="s">
        <v>931</v>
      </c>
      <c r="D647" s="12" t="n">
        <v>14.8</v>
      </c>
      <c r="E647" s="12"/>
      <c r="F647" s="12"/>
      <c r="G647" s="10" t="s">
        <v>401</v>
      </c>
      <c r="H647" s="10" t="s">
        <v>83</v>
      </c>
      <c r="I647" s="11" t="s">
        <v>2850</v>
      </c>
      <c r="J647" s="10" t="s">
        <v>66</v>
      </c>
      <c r="K647" s="10" t="s">
        <v>67</v>
      </c>
      <c r="L647" s="10" t="s">
        <v>68</v>
      </c>
      <c r="M647" s="10" t="s">
        <v>69</v>
      </c>
      <c r="N647" s="10"/>
      <c r="O647" s="11" t="s">
        <v>2851</v>
      </c>
      <c r="P647" s="10" t="s">
        <v>71</v>
      </c>
      <c r="Q647" s="11" t="s">
        <v>72</v>
      </c>
      <c r="R647" s="11" t="s">
        <v>73</v>
      </c>
      <c r="S647" s="11" t="s">
        <v>74</v>
      </c>
      <c r="T647" s="11" t="s">
        <v>2949</v>
      </c>
      <c r="U647" s="10" t="n">
        <f aca="false">IF(AND($D647="",$E647="",$F647=""),1,0)</f>
        <v>0</v>
      </c>
      <c r="V647" s="10" t="n">
        <f aca="false">IF(OR($I647="",$I647="—"),1,0)</f>
        <v>0</v>
      </c>
      <c r="W647" s="10" t="n">
        <f aca="false">IF(AND(ISNUMBER($D647),ISNUMBER($E647)),IF($E647&gt;$D647,1,0),0)+IF(AND(ISNUMBER($D647),ISNUMBER($F647)),IF($D647&gt;$F647,1,0),0)+IF(AND(ISNUMBER($E647),ISNUMBER($F647)),IF($E647&gt;$F647,1,0),0)</f>
        <v>0</v>
      </c>
      <c r="X647" s="13" t="s">
        <v>76</v>
      </c>
    </row>
    <row r="648" customFormat="false" ht="15" hidden="false" customHeight="false" outlineLevel="0" collapsed="false">
      <c r="A648" s="10" t="s">
        <v>2950</v>
      </c>
      <c r="B648" s="10" t="s">
        <v>2951</v>
      </c>
      <c r="C648" s="11" t="s">
        <v>931</v>
      </c>
      <c r="D648" s="12" t="n">
        <v>12.6</v>
      </c>
      <c r="E648" s="12"/>
      <c r="F648" s="12"/>
      <c r="G648" s="10" t="s">
        <v>401</v>
      </c>
      <c r="H648" s="10" t="s">
        <v>87</v>
      </c>
      <c r="I648" s="11" t="s">
        <v>2850</v>
      </c>
      <c r="J648" s="10" t="s">
        <v>66</v>
      </c>
      <c r="K648" s="10" t="s">
        <v>67</v>
      </c>
      <c r="L648" s="10" t="s">
        <v>68</v>
      </c>
      <c r="M648" s="10" t="s">
        <v>69</v>
      </c>
      <c r="N648" s="10"/>
      <c r="O648" s="11" t="s">
        <v>2861</v>
      </c>
      <c r="P648" s="10" t="s">
        <v>71</v>
      </c>
      <c r="Q648" s="11" t="s">
        <v>72</v>
      </c>
      <c r="R648" s="11" t="s">
        <v>73</v>
      </c>
      <c r="S648" s="11" t="s">
        <v>74</v>
      </c>
      <c r="T648" s="11" t="s">
        <v>2944</v>
      </c>
      <c r="U648" s="10" t="n">
        <f aca="false">IF(AND($D648="",$E648="",$F648=""),1,0)</f>
        <v>0</v>
      </c>
      <c r="V648" s="10" t="n">
        <f aca="false">IF(OR($I648="",$I648="—"),1,0)</f>
        <v>0</v>
      </c>
      <c r="W648" s="10" t="n">
        <f aca="false">IF(AND(ISNUMBER($D648),ISNUMBER($E648)),IF($E648&gt;$D648,1,0),0)+IF(AND(ISNUMBER($D648),ISNUMBER($F648)),IF($D648&gt;$F648,1,0),0)+IF(AND(ISNUMBER($E648),ISNUMBER($F648)),IF($E648&gt;$F648,1,0),0)</f>
        <v>0</v>
      </c>
      <c r="X648" s="13" t="s">
        <v>76</v>
      </c>
    </row>
    <row r="649" customFormat="false" ht="15" hidden="false" customHeight="false" outlineLevel="0" collapsed="false">
      <c r="A649" s="10" t="s">
        <v>2952</v>
      </c>
      <c r="B649" s="10" t="s">
        <v>2953</v>
      </c>
      <c r="C649" s="11" t="s">
        <v>931</v>
      </c>
      <c r="D649" s="12" t="n">
        <v>16.7</v>
      </c>
      <c r="E649" s="12"/>
      <c r="F649" s="12"/>
      <c r="G649" s="10" t="s">
        <v>401</v>
      </c>
      <c r="H649" s="10" t="s">
        <v>92</v>
      </c>
      <c r="I649" s="11" t="s">
        <v>2850</v>
      </c>
      <c r="J649" s="10" t="s">
        <v>66</v>
      </c>
      <c r="K649" s="10" t="s">
        <v>67</v>
      </c>
      <c r="L649" s="10" t="s">
        <v>68</v>
      </c>
      <c r="M649" s="10" t="s">
        <v>69</v>
      </c>
      <c r="N649" s="10"/>
      <c r="O649" s="11" t="s">
        <v>2865</v>
      </c>
      <c r="P649" s="10" t="s">
        <v>71</v>
      </c>
      <c r="Q649" s="11" t="s">
        <v>72</v>
      </c>
      <c r="R649" s="11" t="s">
        <v>73</v>
      </c>
      <c r="S649" s="11" t="s">
        <v>74</v>
      </c>
      <c r="T649" s="11" t="s">
        <v>2944</v>
      </c>
      <c r="U649" s="10" t="n">
        <f aca="false">IF(AND($D649="",$E649="",$F649=""),1,0)</f>
        <v>0</v>
      </c>
      <c r="V649" s="10" t="n">
        <f aca="false">IF(OR($I649="",$I649="—"),1,0)</f>
        <v>0</v>
      </c>
      <c r="W649" s="10" t="n">
        <f aca="false">IF(AND(ISNUMBER($D649),ISNUMBER($E649)),IF($E649&gt;$D649,1,0),0)+IF(AND(ISNUMBER($D649),ISNUMBER($F649)),IF($D649&gt;$F649,1,0),0)+IF(AND(ISNUMBER($E649),ISNUMBER($F649)),IF($E649&gt;$F649,1,0),0)</f>
        <v>0</v>
      </c>
      <c r="X649" s="13" t="s">
        <v>76</v>
      </c>
    </row>
    <row r="650" customFormat="false" ht="15" hidden="false" customHeight="false" outlineLevel="0" collapsed="false">
      <c r="A650" s="10" t="s">
        <v>2954</v>
      </c>
      <c r="B650" s="10" t="s">
        <v>2955</v>
      </c>
      <c r="C650" s="11" t="s">
        <v>2956</v>
      </c>
      <c r="D650" s="12"/>
      <c r="E650" s="12"/>
      <c r="F650" s="12"/>
      <c r="G650" s="11" t="s">
        <v>2957</v>
      </c>
      <c r="H650" s="10" t="s">
        <v>2958</v>
      </c>
      <c r="I650" s="11" t="s">
        <v>2959</v>
      </c>
      <c r="J650" s="10" t="s">
        <v>66</v>
      </c>
      <c r="K650" s="10" t="s">
        <v>67</v>
      </c>
      <c r="L650" s="10" t="s">
        <v>68</v>
      </c>
      <c r="M650" s="10" t="s">
        <v>69</v>
      </c>
      <c r="N650" s="10"/>
      <c r="O650" s="11" t="s">
        <v>2960</v>
      </c>
      <c r="P650" s="10" t="s">
        <v>71</v>
      </c>
      <c r="Q650" s="11" t="s">
        <v>72</v>
      </c>
      <c r="R650" s="11" t="s">
        <v>73</v>
      </c>
      <c r="S650" s="11" t="s">
        <v>74</v>
      </c>
      <c r="T650" s="11" t="s">
        <v>2961</v>
      </c>
      <c r="U650" s="10" t="n">
        <f aca="false">IF(AND($D650="",$E650="",$F650=""),1,0)</f>
        <v>1</v>
      </c>
      <c r="V650" s="10" t="n">
        <f aca="false">IF(OR($I650="",$I650="—"),1,0)</f>
        <v>0</v>
      </c>
      <c r="W650" s="10" t="n">
        <f aca="false">IF(AND(ISNUMBER($D650),ISNUMBER($E650)),IF($E650&gt;$D650,1,0),0)+IF(AND(ISNUMBER($D650),ISNUMBER($F650)),IF($D650&gt;$F650,1,0),0)+IF(AND(ISNUMBER($E650),ISNUMBER($F650)),IF($E650&gt;$F650,1,0),0)</f>
        <v>0</v>
      </c>
      <c r="X650" s="13" t="s">
        <v>76</v>
      </c>
    </row>
    <row r="651" customFormat="false" ht="15" hidden="false" customHeight="false" outlineLevel="0" collapsed="false">
      <c r="A651" s="10" t="s">
        <v>2962</v>
      </c>
      <c r="B651" s="10" t="s">
        <v>2963</v>
      </c>
      <c r="C651" s="11" t="s">
        <v>2964</v>
      </c>
      <c r="D651" s="12"/>
      <c r="E651" s="12"/>
      <c r="F651" s="12"/>
      <c r="G651" s="11" t="s">
        <v>2957</v>
      </c>
      <c r="H651" s="10" t="s">
        <v>2965</v>
      </c>
      <c r="I651" s="11" t="s">
        <v>2966</v>
      </c>
      <c r="J651" s="10" t="s">
        <v>66</v>
      </c>
      <c r="K651" s="10" t="s">
        <v>67</v>
      </c>
      <c r="L651" s="10" t="s">
        <v>68</v>
      </c>
      <c r="M651" s="10" t="s">
        <v>69</v>
      </c>
      <c r="N651" s="10"/>
      <c r="O651" s="11" t="s">
        <v>2960</v>
      </c>
      <c r="P651" s="10" t="s">
        <v>71</v>
      </c>
      <c r="Q651" s="11" t="s">
        <v>72</v>
      </c>
      <c r="R651" s="11" t="s">
        <v>73</v>
      </c>
      <c r="S651" s="11" t="s">
        <v>74</v>
      </c>
      <c r="T651" s="11" t="s">
        <v>2967</v>
      </c>
      <c r="U651" s="10" t="n">
        <f aca="false">IF(AND($D651="",$E651="",$F651=""),1,0)</f>
        <v>1</v>
      </c>
      <c r="V651" s="10" t="n">
        <f aca="false">IF(OR($I651="",$I651="—"),1,0)</f>
        <v>0</v>
      </c>
      <c r="W651" s="10" t="n">
        <f aca="false">IF(AND(ISNUMBER($D651),ISNUMBER($E651)),IF($E651&gt;$D651,1,0),0)+IF(AND(ISNUMBER($D651),ISNUMBER($F651)),IF($D651&gt;$F651,1,0),0)+IF(AND(ISNUMBER($E651),ISNUMBER($F651)),IF($E651&gt;$F651,1,0),0)</f>
        <v>0</v>
      </c>
      <c r="X651" s="13" t="s">
        <v>76</v>
      </c>
    </row>
    <row r="652" customFormat="false" ht="15" hidden="false" customHeight="false" outlineLevel="0" collapsed="false">
      <c r="A652" s="10" t="s">
        <v>2968</v>
      </c>
      <c r="B652" s="10" t="s">
        <v>2969</v>
      </c>
      <c r="C652" s="11" t="s">
        <v>2970</v>
      </c>
      <c r="D652" s="12" t="n">
        <v>0</v>
      </c>
      <c r="E652" s="12"/>
      <c r="F652" s="12"/>
      <c r="G652" s="10" t="s">
        <v>63</v>
      </c>
      <c r="H652" s="10" t="s">
        <v>2958</v>
      </c>
      <c r="I652" s="11" t="s">
        <v>2850</v>
      </c>
      <c r="J652" s="10" t="s">
        <v>66</v>
      </c>
      <c r="K652" s="10" t="s">
        <v>67</v>
      </c>
      <c r="L652" s="10" t="s">
        <v>68</v>
      </c>
      <c r="M652" s="10" t="s">
        <v>69</v>
      </c>
      <c r="N652" s="10"/>
      <c r="O652" s="11" t="s">
        <v>2851</v>
      </c>
      <c r="P652" s="10" t="s">
        <v>71</v>
      </c>
      <c r="Q652" s="11" t="s">
        <v>72</v>
      </c>
      <c r="R652" s="11" t="s">
        <v>73</v>
      </c>
      <c r="S652" s="11" t="s">
        <v>74</v>
      </c>
      <c r="T652" s="11" t="s">
        <v>2971</v>
      </c>
      <c r="U652" s="10" t="n">
        <f aca="false">IF(AND($D652="",$E652="",$F652=""),1,0)</f>
        <v>0</v>
      </c>
      <c r="V652" s="10" t="n">
        <f aca="false">IF(OR($I652="",$I652="—"),1,0)</f>
        <v>0</v>
      </c>
      <c r="W652" s="10" t="n">
        <f aca="false">IF(AND(ISNUMBER($D652),ISNUMBER($E652)),IF($E652&gt;$D652,1,0),0)+IF(AND(ISNUMBER($D652),ISNUMBER($F652)),IF($D652&gt;$F652,1,0),0)+IF(AND(ISNUMBER($E652),ISNUMBER($F652)),IF($E652&gt;$F652,1,0),0)</f>
        <v>0</v>
      </c>
      <c r="X652" s="13" t="s">
        <v>76</v>
      </c>
    </row>
    <row r="653" customFormat="false" ht="15" hidden="false" customHeight="false" outlineLevel="0" collapsed="false">
      <c r="A653" s="10" t="s">
        <v>2972</v>
      </c>
      <c r="B653" s="10" t="s">
        <v>2973</v>
      </c>
      <c r="C653" s="11" t="s">
        <v>2974</v>
      </c>
      <c r="D653" s="12" t="n">
        <v>0.2589</v>
      </c>
      <c r="E653" s="12"/>
      <c r="F653" s="12"/>
      <c r="G653" s="10" t="s">
        <v>63</v>
      </c>
      <c r="H653" s="10" t="s">
        <v>64</v>
      </c>
      <c r="I653" s="11" t="s">
        <v>2975</v>
      </c>
      <c r="J653" s="10" t="s">
        <v>66</v>
      </c>
      <c r="K653" s="10" t="s">
        <v>67</v>
      </c>
      <c r="L653" s="10" t="s">
        <v>68</v>
      </c>
      <c r="M653" s="10" t="s">
        <v>69</v>
      </c>
      <c r="N653" s="10"/>
      <c r="O653" s="11" t="s">
        <v>2976</v>
      </c>
      <c r="P653" s="10" t="s">
        <v>71</v>
      </c>
      <c r="Q653" s="11" t="s">
        <v>72</v>
      </c>
      <c r="R653" s="11" t="s">
        <v>73</v>
      </c>
      <c r="S653" s="11" t="s">
        <v>74</v>
      </c>
      <c r="T653" s="11" t="s">
        <v>2977</v>
      </c>
      <c r="U653" s="10" t="n">
        <f aca="false">IF(AND($D653="",$E653="",$F653=""),1,0)</f>
        <v>0</v>
      </c>
      <c r="V653" s="10" t="n">
        <f aca="false">IF(OR($I653="",$I653="—"),1,0)</f>
        <v>0</v>
      </c>
      <c r="W653" s="10" t="n">
        <f aca="false">IF(AND(ISNUMBER($D653),ISNUMBER($E653)),IF($E653&gt;$D653,1,0),0)+IF(AND(ISNUMBER($D653),ISNUMBER($F653)),IF($D653&gt;$F653,1,0),0)+IF(AND(ISNUMBER($E653),ISNUMBER($F653)),IF($E653&gt;$F653,1,0),0)</f>
        <v>0</v>
      </c>
      <c r="X653" s="13" t="s">
        <v>76</v>
      </c>
    </row>
    <row r="654" customFormat="false" ht="15" hidden="false" customHeight="false" outlineLevel="0" collapsed="false">
      <c r="A654" s="10" t="s">
        <v>2978</v>
      </c>
      <c r="B654" s="10" t="s">
        <v>2979</v>
      </c>
      <c r="C654" s="11" t="s">
        <v>2974</v>
      </c>
      <c r="D654" s="12" t="n">
        <v>2.4781</v>
      </c>
      <c r="E654" s="12"/>
      <c r="F654" s="12"/>
      <c r="G654" s="10" t="s">
        <v>63</v>
      </c>
      <c r="H654" s="10" t="s">
        <v>79</v>
      </c>
      <c r="I654" s="11" t="s">
        <v>2975</v>
      </c>
      <c r="J654" s="10" t="s">
        <v>66</v>
      </c>
      <c r="K654" s="10" t="s">
        <v>67</v>
      </c>
      <c r="L654" s="10" t="s">
        <v>68</v>
      </c>
      <c r="M654" s="10" t="s">
        <v>69</v>
      </c>
      <c r="N654" s="10"/>
      <c r="O654" s="11" t="s">
        <v>2976</v>
      </c>
      <c r="P654" s="10" t="s">
        <v>71</v>
      </c>
      <c r="Q654" s="11" t="s">
        <v>72</v>
      </c>
      <c r="R654" s="11" t="s">
        <v>73</v>
      </c>
      <c r="S654" s="11" t="s">
        <v>74</v>
      </c>
      <c r="T654" s="11" t="s">
        <v>2980</v>
      </c>
      <c r="U654" s="10" t="n">
        <f aca="false">IF(AND($D654="",$E654="",$F654=""),1,0)</f>
        <v>0</v>
      </c>
      <c r="V654" s="10" t="n">
        <f aca="false">IF(OR($I654="",$I654="—"),1,0)</f>
        <v>0</v>
      </c>
      <c r="W654" s="10" t="n">
        <f aca="false">IF(AND(ISNUMBER($D654),ISNUMBER($E654)),IF($E654&gt;$D654,1,0),0)+IF(AND(ISNUMBER($D654),ISNUMBER($F654)),IF($D654&gt;$F654,1,0),0)+IF(AND(ISNUMBER($E654),ISNUMBER($F654)),IF($E654&gt;$F654,1,0),0)</f>
        <v>0</v>
      </c>
      <c r="X654" s="13" t="s">
        <v>76</v>
      </c>
    </row>
    <row r="655" customFormat="false" ht="15" hidden="false" customHeight="false" outlineLevel="0" collapsed="false">
      <c r="A655" s="10" t="s">
        <v>2981</v>
      </c>
      <c r="B655" s="10" t="s">
        <v>2982</v>
      </c>
      <c r="C655" s="11" t="s">
        <v>2974</v>
      </c>
      <c r="D655" s="12" t="n">
        <v>14.2561</v>
      </c>
      <c r="E655" s="12"/>
      <c r="F655" s="12"/>
      <c r="G655" s="10" t="s">
        <v>63</v>
      </c>
      <c r="H655" s="10" t="s">
        <v>83</v>
      </c>
      <c r="I655" s="11" t="s">
        <v>2975</v>
      </c>
      <c r="J655" s="10" t="s">
        <v>66</v>
      </c>
      <c r="K655" s="10" t="s">
        <v>67</v>
      </c>
      <c r="L655" s="10" t="s">
        <v>68</v>
      </c>
      <c r="M655" s="10" t="s">
        <v>69</v>
      </c>
      <c r="N655" s="10"/>
      <c r="O655" s="11" t="s">
        <v>2976</v>
      </c>
      <c r="P655" s="10" t="s">
        <v>71</v>
      </c>
      <c r="Q655" s="11" t="s">
        <v>72</v>
      </c>
      <c r="R655" s="11" t="s">
        <v>73</v>
      </c>
      <c r="S655" s="11" t="s">
        <v>74</v>
      </c>
      <c r="T655" s="11" t="s">
        <v>2983</v>
      </c>
      <c r="U655" s="10" t="n">
        <f aca="false">IF(AND($D655="",$E655="",$F655=""),1,0)</f>
        <v>0</v>
      </c>
      <c r="V655" s="10" t="n">
        <f aca="false">IF(OR($I655="",$I655="—"),1,0)</f>
        <v>0</v>
      </c>
      <c r="W655" s="10" t="n">
        <f aca="false">IF(AND(ISNUMBER($D655),ISNUMBER($E655)),IF($E655&gt;$D655,1,0),0)+IF(AND(ISNUMBER($D655),ISNUMBER($F655)),IF($D655&gt;$F655,1,0),0)+IF(AND(ISNUMBER($E655),ISNUMBER($F655)),IF($E655&gt;$F655,1,0),0)</f>
        <v>0</v>
      </c>
      <c r="X655" s="13" t="s">
        <v>76</v>
      </c>
    </row>
    <row r="656" customFormat="false" ht="15" hidden="false" customHeight="false" outlineLevel="0" collapsed="false">
      <c r="A656" s="10" t="s">
        <v>2984</v>
      </c>
      <c r="B656" s="10" t="s">
        <v>2985</v>
      </c>
      <c r="C656" s="11" t="s">
        <v>2974</v>
      </c>
      <c r="D656" s="12" t="n">
        <v>9.27</v>
      </c>
      <c r="E656" s="12"/>
      <c r="F656" s="12"/>
      <c r="G656" s="10" t="s">
        <v>63</v>
      </c>
      <c r="H656" s="10" t="s">
        <v>92</v>
      </c>
      <c r="I656" s="11" t="s">
        <v>2975</v>
      </c>
      <c r="J656" s="10" t="s">
        <v>66</v>
      </c>
      <c r="K656" s="10" t="s">
        <v>67</v>
      </c>
      <c r="L656" s="10" t="s">
        <v>68</v>
      </c>
      <c r="M656" s="10" t="s">
        <v>69</v>
      </c>
      <c r="N656" s="10"/>
      <c r="O656" s="11" t="s">
        <v>2976</v>
      </c>
      <c r="P656" s="10" t="s">
        <v>71</v>
      </c>
      <c r="Q656" s="11" t="s">
        <v>72</v>
      </c>
      <c r="R656" s="11" t="s">
        <v>73</v>
      </c>
      <c r="S656" s="11" t="s">
        <v>74</v>
      </c>
      <c r="T656" s="11" t="s">
        <v>2986</v>
      </c>
      <c r="U656" s="10" t="n">
        <f aca="false">IF(AND($D656="",$E656="",$F656=""),1,0)</f>
        <v>0</v>
      </c>
      <c r="V656" s="10" t="n">
        <f aca="false">IF(OR($I656="",$I656="—"),1,0)</f>
        <v>0</v>
      </c>
      <c r="W656" s="10" t="n">
        <f aca="false">IF(AND(ISNUMBER($D656),ISNUMBER($E656)),IF($E656&gt;$D656,1,0),0)+IF(AND(ISNUMBER($D656),ISNUMBER($F656)),IF($D656&gt;$F656,1,0),0)+IF(AND(ISNUMBER($E656),ISNUMBER($F656)),IF($E656&gt;$F656,1,0),0)</f>
        <v>0</v>
      </c>
      <c r="X656" s="13" t="s">
        <v>76</v>
      </c>
    </row>
    <row r="657" customFormat="false" ht="15" hidden="false" customHeight="false" outlineLevel="0" collapsed="false">
      <c r="A657" s="10" t="s">
        <v>2987</v>
      </c>
      <c r="B657" s="10" t="s">
        <v>2988</v>
      </c>
      <c r="C657" s="11" t="s">
        <v>2989</v>
      </c>
      <c r="D657" s="12" t="n">
        <v>0.8482</v>
      </c>
      <c r="E657" s="12"/>
      <c r="F657" s="12"/>
      <c r="G657" s="10" t="s">
        <v>63</v>
      </c>
      <c r="H657" s="10" t="s">
        <v>64</v>
      </c>
      <c r="I657" s="11" t="s">
        <v>2975</v>
      </c>
      <c r="J657" s="10" t="s">
        <v>66</v>
      </c>
      <c r="K657" s="10" t="s">
        <v>67</v>
      </c>
      <c r="L657" s="10" t="s">
        <v>68</v>
      </c>
      <c r="M657" s="10" t="s">
        <v>69</v>
      </c>
      <c r="N657" s="10"/>
      <c r="O657" s="11" t="s">
        <v>2990</v>
      </c>
      <c r="P657" s="10" t="s">
        <v>71</v>
      </c>
      <c r="Q657" s="11" t="s">
        <v>72</v>
      </c>
      <c r="R657" s="11" t="s">
        <v>73</v>
      </c>
      <c r="S657" s="11" t="s">
        <v>74</v>
      </c>
      <c r="T657" s="11" t="s">
        <v>2991</v>
      </c>
      <c r="U657" s="10" t="n">
        <f aca="false">IF(AND($D657="",$E657="",$F657=""),1,0)</f>
        <v>0</v>
      </c>
      <c r="V657" s="10" t="n">
        <f aca="false">IF(OR($I657="",$I657="—"),1,0)</f>
        <v>0</v>
      </c>
      <c r="W657" s="10" t="n">
        <f aca="false">IF(AND(ISNUMBER($D657),ISNUMBER($E657)),IF($E657&gt;$D657,1,0),0)+IF(AND(ISNUMBER($D657),ISNUMBER($F657)),IF($D657&gt;$F657,1,0),0)+IF(AND(ISNUMBER($E657),ISNUMBER($F657)),IF($E657&gt;$F657,1,0),0)</f>
        <v>0</v>
      </c>
      <c r="X657" s="13" t="s">
        <v>76</v>
      </c>
    </row>
    <row r="658" customFormat="false" ht="15" hidden="false" customHeight="false" outlineLevel="0" collapsed="false">
      <c r="A658" s="10" t="s">
        <v>2992</v>
      </c>
      <c r="B658" s="10" t="s">
        <v>2993</v>
      </c>
      <c r="C658" s="11" t="s">
        <v>2989</v>
      </c>
      <c r="D658" s="12" t="n">
        <v>1.8194</v>
      </c>
      <c r="E658" s="12"/>
      <c r="F658" s="12"/>
      <c r="G658" s="10" t="s">
        <v>63</v>
      </c>
      <c r="H658" s="10" t="s">
        <v>79</v>
      </c>
      <c r="I658" s="11" t="s">
        <v>2975</v>
      </c>
      <c r="J658" s="10" t="s">
        <v>66</v>
      </c>
      <c r="K658" s="10" t="s">
        <v>67</v>
      </c>
      <c r="L658" s="10" t="s">
        <v>68</v>
      </c>
      <c r="M658" s="10" t="s">
        <v>69</v>
      </c>
      <c r="N658" s="10"/>
      <c r="O658" s="11" t="s">
        <v>2990</v>
      </c>
      <c r="P658" s="10" t="s">
        <v>71</v>
      </c>
      <c r="Q658" s="11" t="s">
        <v>72</v>
      </c>
      <c r="R658" s="11" t="s">
        <v>73</v>
      </c>
      <c r="S658" s="11" t="s">
        <v>74</v>
      </c>
      <c r="T658" s="11" t="s">
        <v>2994</v>
      </c>
      <c r="U658" s="10" t="n">
        <f aca="false">IF(AND($D658="",$E658="",$F658=""),1,0)</f>
        <v>0</v>
      </c>
      <c r="V658" s="10" t="n">
        <f aca="false">IF(OR($I658="",$I658="—"),1,0)</f>
        <v>0</v>
      </c>
      <c r="W658" s="10" t="n">
        <f aca="false">IF(AND(ISNUMBER($D658),ISNUMBER($E658)),IF($E658&gt;$D658,1,0),0)+IF(AND(ISNUMBER($D658),ISNUMBER($F658)),IF($D658&gt;$F658,1,0),0)+IF(AND(ISNUMBER($E658),ISNUMBER($F658)),IF($E658&gt;$F658,1,0),0)</f>
        <v>0</v>
      </c>
      <c r="X658" s="13" t="s">
        <v>76</v>
      </c>
    </row>
    <row r="659" customFormat="false" ht="15" hidden="false" customHeight="false" outlineLevel="0" collapsed="false">
      <c r="A659" s="10" t="s">
        <v>2995</v>
      </c>
      <c r="B659" s="10" t="s">
        <v>2996</v>
      </c>
      <c r="C659" s="11" t="s">
        <v>2989</v>
      </c>
      <c r="D659" s="12" t="n">
        <v>4.9064</v>
      </c>
      <c r="E659" s="12"/>
      <c r="F659" s="12"/>
      <c r="G659" s="10" t="s">
        <v>63</v>
      </c>
      <c r="H659" s="10" t="s">
        <v>83</v>
      </c>
      <c r="I659" s="11" t="s">
        <v>2975</v>
      </c>
      <c r="J659" s="10" t="s">
        <v>66</v>
      </c>
      <c r="K659" s="10" t="s">
        <v>67</v>
      </c>
      <c r="L659" s="10" t="s">
        <v>68</v>
      </c>
      <c r="M659" s="10" t="s">
        <v>69</v>
      </c>
      <c r="N659" s="10"/>
      <c r="O659" s="11" t="s">
        <v>2990</v>
      </c>
      <c r="P659" s="10" t="s">
        <v>71</v>
      </c>
      <c r="Q659" s="11" t="s">
        <v>72</v>
      </c>
      <c r="R659" s="11" t="s">
        <v>73</v>
      </c>
      <c r="S659" s="11" t="s">
        <v>74</v>
      </c>
      <c r="T659" s="11" t="s">
        <v>2997</v>
      </c>
      <c r="U659" s="10" t="n">
        <f aca="false">IF(AND($D659="",$E659="",$F659=""),1,0)</f>
        <v>0</v>
      </c>
      <c r="V659" s="10" t="n">
        <f aca="false">IF(OR($I659="",$I659="—"),1,0)</f>
        <v>0</v>
      </c>
      <c r="W659" s="10" t="n">
        <f aca="false">IF(AND(ISNUMBER($D659),ISNUMBER($E659)),IF($E659&gt;$D659,1,0),0)+IF(AND(ISNUMBER($D659),ISNUMBER($F659)),IF($D659&gt;$F659,1,0),0)+IF(AND(ISNUMBER($E659),ISNUMBER($F659)),IF($E659&gt;$F659,1,0),0)</f>
        <v>0</v>
      </c>
      <c r="X659" s="13" t="s">
        <v>76</v>
      </c>
    </row>
    <row r="660" customFormat="false" ht="15" hidden="false" customHeight="false" outlineLevel="0" collapsed="false">
      <c r="A660" s="10" t="s">
        <v>2998</v>
      </c>
      <c r="B660" s="10" t="s">
        <v>2999</v>
      </c>
      <c r="C660" s="11" t="s">
        <v>2989</v>
      </c>
      <c r="D660" s="12" t="n">
        <v>3.3912</v>
      </c>
      <c r="E660" s="12"/>
      <c r="F660" s="12"/>
      <c r="G660" s="10" t="s">
        <v>63</v>
      </c>
      <c r="H660" s="10" t="s">
        <v>92</v>
      </c>
      <c r="I660" s="11" t="s">
        <v>2975</v>
      </c>
      <c r="J660" s="10" t="s">
        <v>66</v>
      </c>
      <c r="K660" s="10" t="s">
        <v>67</v>
      </c>
      <c r="L660" s="10" t="s">
        <v>68</v>
      </c>
      <c r="M660" s="10" t="s">
        <v>69</v>
      </c>
      <c r="N660" s="10"/>
      <c r="O660" s="11" t="s">
        <v>2990</v>
      </c>
      <c r="P660" s="10" t="s">
        <v>71</v>
      </c>
      <c r="Q660" s="11" t="s">
        <v>72</v>
      </c>
      <c r="R660" s="11" t="s">
        <v>73</v>
      </c>
      <c r="S660" s="11" t="s">
        <v>74</v>
      </c>
      <c r="T660" s="11" t="s">
        <v>3000</v>
      </c>
      <c r="U660" s="10" t="n">
        <f aca="false">IF(AND($D660="",$E660="",$F660=""),1,0)</f>
        <v>0</v>
      </c>
      <c r="V660" s="10" t="n">
        <f aca="false">IF(OR($I660="",$I660="—"),1,0)</f>
        <v>0</v>
      </c>
      <c r="W660" s="10" t="n">
        <f aca="false">IF(AND(ISNUMBER($D660),ISNUMBER($E660)),IF($E660&gt;$D660,1,0),0)+IF(AND(ISNUMBER($D660),ISNUMBER($F660)),IF($D660&gt;$F660,1,0),0)+IF(AND(ISNUMBER($E660),ISNUMBER($F660)),IF($E660&gt;$F660,1,0),0)</f>
        <v>0</v>
      </c>
      <c r="X660" s="13" t="s">
        <v>76</v>
      </c>
    </row>
    <row r="661" customFormat="false" ht="15" hidden="false" customHeight="false" outlineLevel="0" collapsed="false">
      <c r="A661" s="10" t="s">
        <v>3001</v>
      </c>
      <c r="B661" s="10" t="s">
        <v>3002</v>
      </c>
      <c r="C661" s="11" t="s">
        <v>3003</v>
      </c>
      <c r="D661" s="12" t="n">
        <v>0.8098</v>
      </c>
      <c r="E661" s="12"/>
      <c r="F661" s="12"/>
      <c r="G661" s="10" t="s">
        <v>63</v>
      </c>
      <c r="H661" s="10" t="s">
        <v>64</v>
      </c>
      <c r="I661" s="11" t="s">
        <v>3004</v>
      </c>
      <c r="J661" s="10" t="s">
        <v>66</v>
      </c>
      <c r="K661" s="10" t="s">
        <v>67</v>
      </c>
      <c r="L661" s="10" t="s">
        <v>68</v>
      </c>
      <c r="M661" s="10" t="s">
        <v>69</v>
      </c>
      <c r="N661" s="10"/>
      <c r="O661" s="11" t="s">
        <v>2990</v>
      </c>
      <c r="P661" s="10" t="s">
        <v>71</v>
      </c>
      <c r="Q661" s="11" t="s">
        <v>72</v>
      </c>
      <c r="R661" s="11" t="s">
        <v>73</v>
      </c>
      <c r="S661" s="11" t="s">
        <v>74</v>
      </c>
      <c r="T661" s="11" t="s">
        <v>3005</v>
      </c>
      <c r="U661" s="10" t="n">
        <f aca="false">IF(AND($D661="",$E661="",$F661=""),1,0)</f>
        <v>0</v>
      </c>
      <c r="V661" s="10" t="n">
        <f aca="false">IF(OR($I661="",$I661="—"),1,0)</f>
        <v>0</v>
      </c>
      <c r="W661" s="10" t="n">
        <f aca="false">IF(AND(ISNUMBER($D661),ISNUMBER($E661)),IF($E661&gt;$D661,1,0),0)+IF(AND(ISNUMBER($D661),ISNUMBER($F661)),IF($D661&gt;$F661,1,0),0)+IF(AND(ISNUMBER($E661),ISNUMBER($F661)),IF($E661&gt;$F661,1,0),0)</f>
        <v>0</v>
      </c>
      <c r="X661" s="13" t="s">
        <v>76</v>
      </c>
    </row>
    <row r="662" customFormat="false" ht="15" hidden="false" customHeight="false" outlineLevel="0" collapsed="false">
      <c r="A662" s="10" t="s">
        <v>3006</v>
      </c>
      <c r="B662" s="10" t="s">
        <v>3007</v>
      </c>
      <c r="C662" s="11" t="s">
        <v>3003</v>
      </c>
      <c r="D662" s="12" t="n">
        <v>5.6266</v>
      </c>
      <c r="E662" s="12"/>
      <c r="F662" s="12"/>
      <c r="G662" s="10" t="s">
        <v>63</v>
      </c>
      <c r="H662" s="10" t="s">
        <v>79</v>
      </c>
      <c r="I662" s="11" t="s">
        <v>3004</v>
      </c>
      <c r="J662" s="10" t="s">
        <v>66</v>
      </c>
      <c r="K662" s="10" t="s">
        <v>67</v>
      </c>
      <c r="L662" s="10" t="s">
        <v>68</v>
      </c>
      <c r="M662" s="10" t="s">
        <v>69</v>
      </c>
      <c r="N662" s="10"/>
      <c r="O662" s="11" t="s">
        <v>2990</v>
      </c>
      <c r="P662" s="10" t="s">
        <v>71</v>
      </c>
      <c r="Q662" s="11" t="s">
        <v>72</v>
      </c>
      <c r="R662" s="11" t="s">
        <v>73</v>
      </c>
      <c r="S662" s="11" t="s">
        <v>74</v>
      </c>
      <c r="T662" s="11" t="s">
        <v>3008</v>
      </c>
      <c r="U662" s="10" t="n">
        <f aca="false">IF(AND($D662="",$E662="",$F662=""),1,0)</f>
        <v>0</v>
      </c>
      <c r="V662" s="10" t="n">
        <f aca="false">IF(OR($I662="",$I662="—"),1,0)</f>
        <v>0</v>
      </c>
      <c r="W662" s="10" t="n">
        <f aca="false">IF(AND(ISNUMBER($D662),ISNUMBER($E662)),IF($E662&gt;$D662,1,0),0)+IF(AND(ISNUMBER($D662),ISNUMBER($F662)),IF($D662&gt;$F662,1,0),0)+IF(AND(ISNUMBER($E662),ISNUMBER($F662)),IF($E662&gt;$F662,1,0),0)</f>
        <v>0</v>
      </c>
      <c r="X662" s="13" t="s">
        <v>76</v>
      </c>
    </row>
    <row r="663" customFormat="false" ht="15" hidden="false" customHeight="false" outlineLevel="0" collapsed="false">
      <c r="A663" s="10" t="s">
        <v>3009</v>
      </c>
      <c r="B663" s="10" t="s">
        <v>3010</v>
      </c>
      <c r="C663" s="11" t="s">
        <v>3003</v>
      </c>
      <c r="D663" s="12" t="n">
        <v>21.9206</v>
      </c>
      <c r="E663" s="12"/>
      <c r="F663" s="12"/>
      <c r="G663" s="10" t="s">
        <v>63</v>
      </c>
      <c r="H663" s="10" t="s">
        <v>83</v>
      </c>
      <c r="I663" s="11" t="s">
        <v>3004</v>
      </c>
      <c r="J663" s="10" t="s">
        <v>66</v>
      </c>
      <c r="K663" s="10" t="s">
        <v>67</v>
      </c>
      <c r="L663" s="10" t="s">
        <v>68</v>
      </c>
      <c r="M663" s="10" t="s">
        <v>69</v>
      </c>
      <c r="N663" s="10"/>
      <c r="O663" s="11" t="s">
        <v>2990</v>
      </c>
      <c r="P663" s="10" t="s">
        <v>71</v>
      </c>
      <c r="Q663" s="11" t="s">
        <v>72</v>
      </c>
      <c r="R663" s="11" t="s">
        <v>73</v>
      </c>
      <c r="S663" s="11" t="s">
        <v>74</v>
      </c>
      <c r="T663" s="11" t="s">
        <v>3011</v>
      </c>
      <c r="U663" s="10" t="n">
        <f aca="false">IF(AND($D663="",$E663="",$F663=""),1,0)</f>
        <v>0</v>
      </c>
      <c r="V663" s="10" t="n">
        <f aca="false">IF(OR($I663="",$I663="—"),1,0)</f>
        <v>0</v>
      </c>
      <c r="W663" s="10" t="n">
        <f aca="false">IF(AND(ISNUMBER($D663),ISNUMBER($E663)),IF($E663&gt;$D663,1,0),0)+IF(AND(ISNUMBER($D663),ISNUMBER($F663)),IF($D663&gt;$F663,1,0),0)+IF(AND(ISNUMBER($E663),ISNUMBER($F663)),IF($E663&gt;$F663,1,0),0)</f>
        <v>0</v>
      </c>
      <c r="X663" s="13" t="s">
        <v>76</v>
      </c>
    </row>
    <row r="664" customFormat="false" ht="15" hidden="false" customHeight="false" outlineLevel="0" collapsed="false">
      <c r="A664" s="10" t="s">
        <v>3012</v>
      </c>
      <c r="B664" s="10" t="s">
        <v>3013</v>
      </c>
      <c r="C664" s="11" t="s">
        <v>3003</v>
      </c>
      <c r="D664" s="12" t="n">
        <v>8.6072</v>
      </c>
      <c r="E664" s="12"/>
      <c r="F664" s="12"/>
      <c r="G664" s="10" t="s">
        <v>63</v>
      </c>
      <c r="H664" s="10" t="s">
        <v>87</v>
      </c>
      <c r="I664" s="11" t="s">
        <v>3004</v>
      </c>
      <c r="J664" s="10" t="s">
        <v>66</v>
      </c>
      <c r="K664" s="10" t="s">
        <v>67</v>
      </c>
      <c r="L664" s="10" t="s">
        <v>68</v>
      </c>
      <c r="M664" s="10" t="s">
        <v>69</v>
      </c>
      <c r="N664" s="10"/>
      <c r="O664" s="11" t="s">
        <v>2990</v>
      </c>
      <c r="P664" s="10" t="s">
        <v>71</v>
      </c>
      <c r="Q664" s="11" t="s">
        <v>72</v>
      </c>
      <c r="R664" s="11" t="s">
        <v>73</v>
      </c>
      <c r="S664" s="11" t="s">
        <v>74</v>
      </c>
      <c r="T664" s="11" t="s">
        <v>3014</v>
      </c>
      <c r="U664" s="10" t="n">
        <f aca="false">IF(AND($D664="",$E664="",$F664=""),1,0)</f>
        <v>0</v>
      </c>
      <c r="V664" s="10" t="n">
        <f aca="false">IF(OR($I664="",$I664="—"),1,0)</f>
        <v>0</v>
      </c>
      <c r="W664" s="10" t="n">
        <f aca="false">IF(AND(ISNUMBER($D664),ISNUMBER($E664)),IF($E664&gt;$D664,1,0),0)+IF(AND(ISNUMBER($D664),ISNUMBER($F664)),IF($D664&gt;$F664,1,0),0)+IF(AND(ISNUMBER($E664),ISNUMBER($F664)),IF($E664&gt;$F664,1,0),0)</f>
        <v>0</v>
      </c>
      <c r="X664" s="13" t="s">
        <v>76</v>
      </c>
    </row>
    <row r="665" customFormat="false" ht="15" hidden="false" customHeight="false" outlineLevel="0" collapsed="false">
      <c r="A665" s="10" t="s">
        <v>3015</v>
      </c>
      <c r="B665" s="10" t="s">
        <v>3016</v>
      </c>
      <c r="C665" s="11" t="s">
        <v>3003</v>
      </c>
      <c r="D665" s="12" t="n">
        <v>15.9009</v>
      </c>
      <c r="E665" s="12"/>
      <c r="F665" s="12"/>
      <c r="G665" s="10" t="s">
        <v>63</v>
      </c>
      <c r="H665" s="10" t="s">
        <v>92</v>
      </c>
      <c r="I665" s="11" t="s">
        <v>3004</v>
      </c>
      <c r="J665" s="10" t="s">
        <v>66</v>
      </c>
      <c r="K665" s="10" t="s">
        <v>67</v>
      </c>
      <c r="L665" s="10" t="s">
        <v>68</v>
      </c>
      <c r="M665" s="10" t="s">
        <v>69</v>
      </c>
      <c r="N665" s="10"/>
      <c r="O665" s="11" t="s">
        <v>2990</v>
      </c>
      <c r="P665" s="10" t="s">
        <v>71</v>
      </c>
      <c r="Q665" s="11" t="s">
        <v>72</v>
      </c>
      <c r="R665" s="11" t="s">
        <v>73</v>
      </c>
      <c r="S665" s="11" t="s">
        <v>74</v>
      </c>
      <c r="T665" s="11" t="s">
        <v>3017</v>
      </c>
      <c r="U665" s="10" t="n">
        <f aca="false">IF(AND($D665="",$E665="",$F665=""),1,0)</f>
        <v>0</v>
      </c>
      <c r="V665" s="10" t="n">
        <f aca="false">IF(OR($I665="",$I665="—"),1,0)</f>
        <v>0</v>
      </c>
      <c r="W665" s="10" t="n">
        <f aca="false">IF(AND(ISNUMBER($D665),ISNUMBER($E665)),IF($E665&gt;$D665,1,0),0)+IF(AND(ISNUMBER($D665),ISNUMBER($F665)),IF($D665&gt;$F665,1,0),0)+IF(AND(ISNUMBER($E665),ISNUMBER($F665)),IF($E665&gt;$F665,1,0),0)</f>
        <v>0</v>
      </c>
      <c r="X665" s="13" t="s">
        <v>76</v>
      </c>
    </row>
    <row r="666" customFormat="false" ht="15" hidden="false" customHeight="false" outlineLevel="0" collapsed="false">
      <c r="A666" s="10" t="s">
        <v>3018</v>
      </c>
      <c r="B666" s="10" t="s">
        <v>3019</v>
      </c>
      <c r="C666" s="11" t="s">
        <v>3020</v>
      </c>
      <c r="D666" s="12" t="n">
        <v>0.1643</v>
      </c>
      <c r="E666" s="12"/>
      <c r="F666" s="12"/>
      <c r="G666" s="10" t="s">
        <v>63</v>
      </c>
      <c r="H666" s="10" t="s">
        <v>64</v>
      </c>
      <c r="I666" s="11" t="s">
        <v>3021</v>
      </c>
      <c r="J666" s="10" t="s">
        <v>66</v>
      </c>
      <c r="K666" s="10" t="s">
        <v>67</v>
      </c>
      <c r="L666" s="10" t="s">
        <v>68</v>
      </c>
      <c r="M666" s="10" t="s">
        <v>69</v>
      </c>
      <c r="N666" s="10"/>
      <c r="O666" s="11" t="s">
        <v>2851</v>
      </c>
      <c r="P666" s="10" t="s">
        <v>71</v>
      </c>
      <c r="Q666" s="11" t="s">
        <v>72</v>
      </c>
      <c r="R666" s="11" t="s">
        <v>73</v>
      </c>
      <c r="S666" s="11" t="s">
        <v>74</v>
      </c>
      <c r="T666" s="11" t="s">
        <v>3022</v>
      </c>
      <c r="U666" s="10" t="n">
        <f aca="false">IF(AND($D666="",$E666="",$F666=""),1,0)</f>
        <v>0</v>
      </c>
      <c r="V666" s="10" t="n">
        <f aca="false">IF(OR($I666="",$I666="—"),1,0)</f>
        <v>0</v>
      </c>
      <c r="W666" s="10" t="n">
        <f aca="false">IF(AND(ISNUMBER($D666),ISNUMBER($E666)),IF($E666&gt;$D666,1,0),0)+IF(AND(ISNUMBER($D666),ISNUMBER($F666)),IF($D666&gt;$F666,1,0),0)+IF(AND(ISNUMBER($E666),ISNUMBER($F666)),IF($E666&gt;$F666,1,0),0)</f>
        <v>0</v>
      </c>
      <c r="X666" s="13" t="s">
        <v>76</v>
      </c>
    </row>
    <row r="667" customFormat="false" ht="15" hidden="false" customHeight="false" outlineLevel="0" collapsed="false">
      <c r="A667" s="10" t="s">
        <v>3023</v>
      </c>
      <c r="B667" s="10" t="s">
        <v>3024</v>
      </c>
      <c r="C667" s="11" t="s">
        <v>3020</v>
      </c>
      <c r="D667" s="12" t="n">
        <v>0.1537</v>
      </c>
      <c r="E667" s="12"/>
      <c r="F667" s="12"/>
      <c r="G667" s="10" t="s">
        <v>63</v>
      </c>
      <c r="H667" s="10" t="s">
        <v>79</v>
      </c>
      <c r="I667" s="11" t="s">
        <v>3021</v>
      </c>
      <c r="J667" s="10" t="s">
        <v>66</v>
      </c>
      <c r="K667" s="10" t="s">
        <v>67</v>
      </c>
      <c r="L667" s="10" t="s">
        <v>68</v>
      </c>
      <c r="M667" s="10" t="s">
        <v>69</v>
      </c>
      <c r="N667" s="10"/>
      <c r="O667" s="11" t="s">
        <v>2851</v>
      </c>
      <c r="P667" s="10" t="s">
        <v>71</v>
      </c>
      <c r="Q667" s="11" t="s">
        <v>72</v>
      </c>
      <c r="R667" s="11" t="s">
        <v>73</v>
      </c>
      <c r="S667" s="11" t="s">
        <v>74</v>
      </c>
      <c r="T667" s="11" t="s">
        <v>3025</v>
      </c>
      <c r="U667" s="10" t="n">
        <f aca="false">IF(AND($D667="",$E667="",$F667=""),1,0)</f>
        <v>0</v>
      </c>
      <c r="V667" s="10" t="n">
        <f aca="false">IF(OR($I667="",$I667="—"),1,0)</f>
        <v>0</v>
      </c>
      <c r="W667" s="10" t="n">
        <f aca="false">IF(AND(ISNUMBER($D667),ISNUMBER($E667)),IF($E667&gt;$D667,1,0),0)+IF(AND(ISNUMBER($D667),ISNUMBER($F667)),IF($D667&gt;$F667,1,0),0)+IF(AND(ISNUMBER($E667),ISNUMBER($F667)),IF($E667&gt;$F667,1,0),0)</f>
        <v>0</v>
      </c>
      <c r="X667" s="13" t="s">
        <v>76</v>
      </c>
    </row>
    <row r="668" customFormat="false" ht="15" hidden="false" customHeight="false" outlineLevel="0" collapsed="false">
      <c r="A668" s="10" t="s">
        <v>3026</v>
      </c>
      <c r="B668" s="10" t="s">
        <v>3027</v>
      </c>
      <c r="C668" s="11" t="s">
        <v>3020</v>
      </c>
      <c r="D668" s="12" t="n">
        <v>0.7426</v>
      </c>
      <c r="E668" s="12"/>
      <c r="F668" s="12"/>
      <c r="G668" s="10" t="s">
        <v>63</v>
      </c>
      <c r="H668" s="10" t="s">
        <v>83</v>
      </c>
      <c r="I668" s="11" t="s">
        <v>3021</v>
      </c>
      <c r="J668" s="10" t="s">
        <v>66</v>
      </c>
      <c r="K668" s="10" t="s">
        <v>67</v>
      </c>
      <c r="L668" s="10" t="s">
        <v>68</v>
      </c>
      <c r="M668" s="10" t="s">
        <v>69</v>
      </c>
      <c r="N668" s="10"/>
      <c r="O668" s="11" t="s">
        <v>2851</v>
      </c>
      <c r="P668" s="10" t="s">
        <v>71</v>
      </c>
      <c r="Q668" s="11" t="s">
        <v>72</v>
      </c>
      <c r="R668" s="11" t="s">
        <v>73</v>
      </c>
      <c r="S668" s="11" t="s">
        <v>74</v>
      </c>
      <c r="T668" s="11" t="s">
        <v>3028</v>
      </c>
      <c r="U668" s="10" t="n">
        <f aca="false">IF(AND($D668="",$E668="",$F668=""),1,0)</f>
        <v>0</v>
      </c>
      <c r="V668" s="10" t="n">
        <f aca="false">IF(OR($I668="",$I668="—"),1,0)</f>
        <v>0</v>
      </c>
      <c r="W668" s="10" t="n">
        <f aca="false">IF(AND(ISNUMBER($D668),ISNUMBER($E668)),IF($E668&gt;$D668,1,0),0)+IF(AND(ISNUMBER($D668),ISNUMBER($F668)),IF($D668&gt;$F668,1,0),0)+IF(AND(ISNUMBER($E668),ISNUMBER($F668)),IF($E668&gt;$F668,1,0),0)</f>
        <v>0</v>
      </c>
      <c r="X668" s="13" t="s">
        <v>76</v>
      </c>
    </row>
    <row r="669" customFormat="false" ht="15" hidden="false" customHeight="false" outlineLevel="0" collapsed="false">
      <c r="A669" s="10" t="s">
        <v>3029</v>
      </c>
      <c r="B669" s="10" t="s">
        <v>3030</v>
      </c>
      <c r="C669" s="11" t="s">
        <v>3020</v>
      </c>
      <c r="D669" s="12" t="n">
        <v>0.1083</v>
      </c>
      <c r="E669" s="12"/>
      <c r="F669" s="12"/>
      <c r="G669" s="10" t="s">
        <v>63</v>
      </c>
      <c r="H669" s="10" t="s">
        <v>87</v>
      </c>
      <c r="I669" s="11" t="s">
        <v>3021</v>
      </c>
      <c r="J669" s="10" t="s">
        <v>66</v>
      </c>
      <c r="K669" s="10" t="s">
        <v>67</v>
      </c>
      <c r="L669" s="10" t="s">
        <v>68</v>
      </c>
      <c r="M669" s="10" t="s">
        <v>69</v>
      </c>
      <c r="N669" s="10"/>
      <c r="O669" s="11" t="s">
        <v>2861</v>
      </c>
      <c r="P669" s="10" t="s">
        <v>71</v>
      </c>
      <c r="Q669" s="11" t="s">
        <v>72</v>
      </c>
      <c r="R669" s="11" t="s">
        <v>73</v>
      </c>
      <c r="S669" s="11" t="s">
        <v>74</v>
      </c>
      <c r="T669" s="11" t="s">
        <v>3031</v>
      </c>
      <c r="U669" s="10" t="n">
        <f aca="false">IF(AND($D669="",$E669="",$F669=""),1,0)</f>
        <v>0</v>
      </c>
      <c r="V669" s="10" t="n">
        <f aca="false">IF(OR($I669="",$I669="—"),1,0)</f>
        <v>0</v>
      </c>
      <c r="W669" s="10" t="n">
        <f aca="false">IF(AND(ISNUMBER($D669),ISNUMBER($E669)),IF($E669&gt;$D669,1,0),0)+IF(AND(ISNUMBER($D669),ISNUMBER($F669)),IF($D669&gt;$F669,1,0),0)+IF(AND(ISNUMBER($E669),ISNUMBER($F669)),IF($E669&gt;$F669,1,0),0)</f>
        <v>0</v>
      </c>
      <c r="X669" s="13" t="s">
        <v>76</v>
      </c>
    </row>
    <row r="670" customFormat="false" ht="15" hidden="false" customHeight="false" outlineLevel="0" collapsed="false">
      <c r="A670" s="10" t="s">
        <v>3032</v>
      </c>
      <c r="B670" s="10" t="s">
        <v>3033</v>
      </c>
      <c r="C670" s="11" t="s">
        <v>3020</v>
      </c>
      <c r="D670" s="12" t="n">
        <v>0.3763</v>
      </c>
      <c r="E670" s="12"/>
      <c r="F670" s="12"/>
      <c r="G670" s="10" t="s">
        <v>63</v>
      </c>
      <c r="H670" s="10" t="s">
        <v>92</v>
      </c>
      <c r="I670" s="11" t="s">
        <v>3021</v>
      </c>
      <c r="J670" s="10" t="s">
        <v>66</v>
      </c>
      <c r="K670" s="10" t="s">
        <v>67</v>
      </c>
      <c r="L670" s="10" t="s">
        <v>68</v>
      </c>
      <c r="M670" s="10" t="s">
        <v>69</v>
      </c>
      <c r="N670" s="10"/>
      <c r="O670" s="11" t="s">
        <v>2865</v>
      </c>
      <c r="P670" s="10" t="s">
        <v>71</v>
      </c>
      <c r="Q670" s="11" t="s">
        <v>72</v>
      </c>
      <c r="R670" s="11" t="s">
        <v>73</v>
      </c>
      <c r="S670" s="11" t="s">
        <v>74</v>
      </c>
      <c r="T670" s="11" t="s">
        <v>3034</v>
      </c>
      <c r="U670" s="10" t="n">
        <f aca="false">IF(AND($D670="",$E670="",$F670=""),1,0)</f>
        <v>0</v>
      </c>
      <c r="V670" s="10" t="n">
        <f aca="false">IF(OR($I670="",$I670="—"),1,0)</f>
        <v>0</v>
      </c>
      <c r="W670" s="10" t="n">
        <f aca="false">IF(AND(ISNUMBER($D670),ISNUMBER($E670)),IF($E670&gt;$D670,1,0),0)+IF(AND(ISNUMBER($D670),ISNUMBER($F670)),IF($D670&gt;$F670,1,0),0)+IF(AND(ISNUMBER($E670),ISNUMBER($F670)),IF($E670&gt;$F670,1,0),0)</f>
        <v>0</v>
      </c>
      <c r="X670" s="13" t="s">
        <v>76</v>
      </c>
    </row>
    <row r="671" customFormat="false" ht="15" hidden="false" customHeight="false" outlineLevel="0" collapsed="false">
      <c r="A671" s="10" t="s">
        <v>3035</v>
      </c>
      <c r="B671" s="10" t="s">
        <v>3036</v>
      </c>
      <c r="C671" s="11" t="s">
        <v>3037</v>
      </c>
      <c r="D671" s="12" t="n">
        <v>0</v>
      </c>
      <c r="E671" s="12"/>
      <c r="F671" s="12"/>
      <c r="G671" s="10" t="s">
        <v>63</v>
      </c>
      <c r="H671" s="10" t="s">
        <v>64</v>
      </c>
      <c r="I671" s="11" t="s">
        <v>3021</v>
      </c>
      <c r="J671" s="10" t="s">
        <v>66</v>
      </c>
      <c r="K671" s="10" t="s">
        <v>67</v>
      </c>
      <c r="L671" s="10" t="s">
        <v>68</v>
      </c>
      <c r="M671" s="10" t="s">
        <v>69</v>
      </c>
      <c r="N671" s="10"/>
      <c r="O671" s="11" t="s">
        <v>2851</v>
      </c>
      <c r="P671" s="10" t="s">
        <v>71</v>
      </c>
      <c r="Q671" s="11" t="s">
        <v>72</v>
      </c>
      <c r="R671" s="11" t="s">
        <v>73</v>
      </c>
      <c r="S671" s="11" t="s">
        <v>74</v>
      </c>
      <c r="T671" s="11" t="s">
        <v>3038</v>
      </c>
      <c r="U671" s="10" t="n">
        <f aca="false">IF(AND($D671="",$E671="",$F671=""),1,0)</f>
        <v>0</v>
      </c>
      <c r="V671" s="10" t="n">
        <f aca="false">IF(OR($I671="",$I671="—"),1,0)</f>
        <v>0</v>
      </c>
      <c r="W671" s="10" t="n">
        <f aca="false">IF(AND(ISNUMBER($D671),ISNUMBER($E671)),IF($E671&gt;$D671,1,0),0)+IF(AND(ISNUMBER($D671),ISNUMBER($F671)),IF($D671&gt;$F671,1,0),0)+IF(AND(ISNUMBER($E671),ISNUMBER($F671)),IF($E671&gt;$F671,1,0),0)</f>
        <v>0</v>
      </c>
      <c r="X671" s="13" t="s">
        <v>76</v>
      </c>
    </row>
    <row r="672" customFormat="false" ht="15" hidden="false" customHeight="false" outlineLevel="0" collapsed="false">
      <c r="A672" s="10" t="s">
        <v>3039</v>
      </c>
      <c r="B672" s="10" t="s">
        <v>3040</v>
      </c>
      <c r="C672" s="11" t="s">
        <v>3037</v>
      </c>
      <c r="D672" s="12" t="n">
        <v>0.12</v>
      </c>
      <c r="E672" s="12"/>
      <c r="F672" s="12"/>
      <c r="G672" s="10" t="s">
        <v>63</v>
      </c>
      <c r="H672" s="10" t="s">
        <v>79</v>
      </c>
      <c r="I672" s="11" t="s">
        <v>3021</v>
      </c>
      <c r="J672" s="10" t="s">
        <v>66</v>
      </c>
      <c r="K672" s="10" t="s">
        <v>67</v>
      </c>
      <c r="L672" s="10" t="s">
        <v>68</v>
      </c>
      <c r="M672" s="10" t="s">
        <v>69</v>
      </c>
      <c r="N672" s="10"/>
      <c r="O672" s="11" t="s">
        <v>2851</v>
      </c>
      <c r="P672" s="10" t="s">
        <v>71</v>
      </c>
      <c r="Q672" s="11" t="s">
        <v>72</v>
      </c>
      <c r="R672" s="11" t="s">
        <v>73</v>
      </c>
      <c r="S672" s="11" t="s">
        <v>74</v>
      </c>
      <c r="T672" s="11" t="s">
        <v>3041</v>
      </c>
      <c r="U672" s="10" t="n">
        <f aca="false">IF(AND($D672="",$E672="",$F672=""),1,0)</f>
        <v>0</v>
      </c>
      <c r="V672" s="10" t="n">
        <f aca="false">IF(OR($I672="",$I672="—"),1,0)</f>
        <v>0</v>
      </c>
      <c r="W672" s="10" t="n">
        <f aca="false">IF(AND(ISNUMBER($D672),ISNUMBER($E672)),IF($E672&gt;$D672,1,0),0)+IF(AND(ISNUMBER($D672),ISNUMBER($F672)),IF($D672&gt;$F672,1,0),0)+IF(AND(ISNUMBER($E672),ISNUMBER($F672)),IF($E672&gt;$F672,1,0),0)</f>
        <v>0</v>
      </c>
      <c r="X672" s="13" t="s">
        <v>76</v>
      </c>
    </row>
    <row r="673" customFormat="false" ht="15" hidden="false" customHeight="false" outlineLevel="0" collapsed="false">
      <c r="A673" s="10" t="s">
        <v>3042</v>
      </c>
      <c r="B673" s="10" t="s">
        <v>3043</v>
      </c>
      <c r="C673" s="11" t="s">
        <v>3037</v>
      </c>
      <c r="D673" s="12" t="n">
        <v>0.3017</v>
      </c>
      <c r="E673" s="12"/>
      <c r="F673" s="12"/>
      <c r="G673" s="10" t="s">
        <v>63</v>
      </c>
      <c r="H673" s="10" t="s">
        <v>83</v>
      </c>
      <c r="I673" s="11" t="s">
        <v>3021</v>
      </c>
      <c r="J673" s="10" t="s">
        <v>66</v>
      </c>
      <c r="K673" s="10" t="s">
        <v>67</v>
      </c>
      <c r="L673" s="10" t="s">
        <v>68</v>
      </c>
      <c r="M673" s="10" t="s">
        <v>69</v>
      </c>
      <c r="N673" s="10"/>
      <c r="O673" s="11" t="s">
        <v>2851</v>
      </c>
      <c r="P673" s="10" t="s">
        <v>71</v>
      </c>
      <c r="Q673" s="11" t="s">
        <v>72</v>
      </c>
      <c r="R673" s="11" t="s">
        <v>73</v>
      </c>
      <c r="S673" s="11" t="s">
        <v>74</v>
      </c>
      <c r="T673" s="11" t="s">
        <v>3044</v>
      </c>
      <c r="U673" s="10" t="n">
        <f aca="false">IF(AND($D673="",$E673="",$F673=""),1,0)</f>
        <v>0</v>
      </c>
      <c r="V673" s="10" t="n">
        <f aca="false">IF(OR($I673="",$I673="—"),1,0)</f>
        <v>0</v>
      </c>
      <c r="W673" s="10" t="n">
        <f aca="false">IF(AND(ISNUMBER($D673),ISNUMBER($E673)),IF($E673&gt;$D673,1,0),0)+IF(AND(ISNUMBER($D673),ISNUMBER($F673)),IF($D673&gt;$F673,1,0),0)+IF(AND(ISNUMBER($E673),ISNUMBER($F673)),IF($E673&gt;$F673,1,0),0)</f>
        <v>0</v>
      </c>
      <c r="X673" s="13" t="s">
        <v>76</v>
      </c>
    </row>
    <row r="674" customFormat="false" ht="15" hidden="false" customHeight="false" outlineLevel="0" collapsed="false">
      <c r="A674" s="10" t="s">
        <v>3045</v>
      </c>
      <c r="B674" s="10" t="s">
        <v>3046</v>
      </c>
      <c r="C674" s="11" t="s">
        <v>3037</v>
      </c>
      <c r="D674" s="12" t="n">
        <v>0.0845</v>
      </c>
      <c r="E674" s="12"/>
      <c r="F674" s="12"/>
      <c r="G674" s="10" t="s">
        <v>63</v>
      </c>
      <c r="H674" s="10" t="s">
        <v>87</v>
      </c>
      <c r="I674" s="11" t="s">
        <v>3021</v>
      </c>
      <c r="J674" s="10" t="s">
        <v>66</v>
      </c>
      <c r="K674" s="10" t="s">
        <v>67</v>
      </c>
      <c r="L674" s="10" t="s">
        <v>68</v>
      </c>
      <c r="M674" s="10" t="s">
        <v>69</v>
      </c>
      <c r="N674" s="10"/>
      <c r="O674" s="11" t="s">
        <v>2861</v>
      </c>
      <c r="P674" s="10" t="s">
        <v>71</v>
      </c>
      <c r="Q674" s="11" t="s">
        <v>72</v>
      </c>
      <c r="R674" s="11" t="s">
        <v>73</v>
      </c>
      <c r="S674" s="11" t="s">
        <v>74</v>
      </c>
      <c r="T674" s="11" t="s">
        <v>3047</v>
      </c>
      <c r="U674" s="10" t="n">
        <f aca="false">IF(AND($D674="",$E674="",$F674=""),1,0)</f>
        <v>0</v>
      </c>
      <c r="V674" s="10" t="n">
        <f aca="false">IF(OR($I674="",$I674="—"),1,0)</f>
        <v>0</v>
      </c>
      <c r="W674" s="10" t="n">
        <f aca="false">IF(AND(ISNUMBER($D674),ISNUMBER($E674)),IF($E674&gt;$D674,1,0),0)+IF(AND(ISNUMBER($D674),ISNUMBER($F674)),IF($D674&gt;$F674,1,0),0)+IF(AND(ISNUMBER($E674),ISNUMBER($F674)),IF($E674&gt;$F674,1,0),0)</f>
        <v>0</v>
      </c>
      <c r="X674" s="13" t="s">
        <v>76</v>
      </c>
    </row>
    <row r="675" customFormat="false" ht="15" hidden="false" customHeight="false" outlineLevel="0" collapsed="false">
      <c r="A675" s="10" t="s">
        <v>3048</v>
      </c>
      <c r="B675" s="10" t="s">
        <v>3049</v>
      </c>
      <c r="C675" s="11" t="s">
        <v>3037</v>
      </c>
      <c r="D675" s="12" t="n">
        <v>0.3584</v>
      </c>
      <c r="E675" s="12"/>
      <c r="F675" s="12"/>
      <c r="G675" s="10" t="s">
        <v>63</v>
      </c>
      <c r="H675" s="10" t="s">
        <v>92</v>
      </c>
      <c r="I675" s="11" t="s">
        <v>3021</v>
      </c>
      <c r="J675" s="10" t="s">
        <v>66</v>
      </c>
      <c r="K675" s="10" t="s">
        <v>67</v>
      </c>
      <c r="L675" s="10" t="s">
        <v>68</v>
      </c>
      <c r="M675" s="10" t="s">
        <v>69</v>
      </c>
      <c r="N675" s="10"/>
      <c r="O675" s="11" t="s">
        <v>2865</v>
      </c>
      <c r="P675" s="10" t="s">
        <v>71</v>
      </c>
      <c r="Q675" s="11" t="s">
        <v>72</v>
      </c>
      <c r="R675" s="11" t="s">
        <v>73</v>
      </c>
      <c r="S675" s="11" t="s">
        <v>74</v>
      </c>
      <c r="T675" s="11" t="s">
        <v>3050</v>
      </c>
      <c r="U675" s="10" t="n">
        <f aca="false">IF(AND($D675="",$E675="",$F675=""),1,0)</f>
        <v>0</v>
      </c>
      <c r="V675" s="10" t="n">
        <f aca="false">IF(OR($I675="",$I675="—"),1,0)</f>
        <v>0</v>
      </c>
      <c r="W675" s="10" t="n">
        <f aca="false">IF(AND(ISNUMBER($D675),ISNUMBER($E675)),IF($E675&gt;$D675,1,0),0)+IF(AND(ISNUMBER($D675),ISNUMBER($F675)),IF($D675&gt;$F675,1,0),0)+IF(AND(ISNUMBER($E675),ISNUMBER($F675)),IF($E675&gt;$F675,1,0),0)</f>
        <v>0</v>
      </c>
      <c r="X675" s="13" t="s">
        <v>76</v>
      </c>
    </row>
    <row r="676" customFormat="false" ht="15" hidden="false" customHeight="false" outlineLevel="0" collapsed="false">
      <c r="A676" s="10" t="s">
        <v>3051</v>
      </c>
      <c r="B676" s="10" t="s">
        <v>3052</v>
      </c>
      <c r="C676" s="11" t="s">
        <v>3053</v>
      </c>
      <c r="D676" s="12" t="n">
        <v>0.021</v>
      </c>
      <c r="E676" s="12"/>
      <c r="F676" s="12"/>
      <c r="G676" s="10" t="s">
        <v>63</v>
      </c>
      <c r="H676" s="10" t="s">
        <v>64</v>
      </c>
      <c r="I676" s="11" t="s">
        <v>3021</v>
      </c>
      <c r="J676" s="10" t="s">
        <v>66</v>
      </c>
      <c r="K676" s="10" t="s">
        <v>67</v>
      </c>
      <c r="L676" s="10" t="s">
        <v>68</v>
      </c>
      <c r="M676" s="10" t="s">
        <v>69</v>
      </c>
      <c r="N676" s="10"/>
      <c r="O676" s="11" t="s">
        <v>2851</v>
      </c>
      <c r="P676" s="10" t="s">
        <v>71</v>
      </c>
      <c r="Q676" s="11" t="s">
        <v>72</v>
      </c>
      <c r="R676" s="11" t="s">
        <v>73</v>
      </c>
      <c r="S676" s="11" t="s">
        <v>74</v>
      </c>
      <c r="T676" s="11" t="s">
        <v>3054</v>
      </c>
      <c r="U676" s="10" t="n">
        <f aca="false">IF(AND($D676="",$E676="",$F676=""),1,0)</f>
        <v>0</v>
      </c>
      <c r="V676" s="10" t="n">
        <f aca="false">IF(OR($I676="",$I676="—"),1,0)</f>
        <v>0</v>
      </c>
      <c r="W676" s="10" t="n">
        <f aca="false">IF(AND(ISNUMBER($D676),ISNUMBER($E676)),IF($E676&gt;$D676,1,0),0)+IF(AND(ISNUMBER($D676),ISNUMBER($F676)),IF($D676&gt;$F676,1,0),0)+IF(AND(ISNUMBER($E676),ISNUMBER($F676)),IF($E676&gt;$F676,1,0),0)</f>
        <v>0</v>
      </c>
      <c r="X676" s="13" t="s">
        <v>76</v>
      </c>
    </row>
    <row r="677" customFormat="false" ht="15" hidden="false" customHeight="false" outlineLevel="0" collapsed="false">
      <c r="A677" s="10" t="s">
        <v>3055</v>
      </c>
      <c r="B677" s="10" t="s">
        <v>3056</v>
      </c>
      <c r="C677" s="11" t="s">
        <v>3053</v>
      </c>
      <c r="D677" s="12" t="n">
        <v>0.0452</v>
      </c>
      <c r="E677" s="12"/>
      <c r="F677" s="12"/>
      <c r="G677" s="10" t="s">
        <v>63</v>
      </c>
      <c r="H677" s="10" t="s">
        <v>79</v>
      </c>
      <c r="I677" s="11" t="s">
        <v>3021</v>
      </c>
      <c r="J677" s="10" t="s">
        <v>66</v>
      </c>
      <c r="K677" s="10" t="s">
        <v>67</v>
      </c>
      <c r="L677" s="10" t="s">
        <v>68</v>
      </c>
      <c r="M677" s="10" t="s">
        <v>69</v>
      </c>
      <c r="N677" s="10"/>
      <c r="O677" s="11" t="s">
        <v>2851</v>
      </c>
      <c r="P677" s="10" t="s">
        <v>71</v>
      </c>
      <c r="Q677" s="11" t="s">
        <v>72</v>
      </c>
      <c r="R677" s="11" t="s">
        <v>73</v>
      </c>
      <c r="S677" s="11" t="s">
        <v>74</v>
      </c>
      <c r="T677" s="11" t="s">
        <v>3057</v>
      </c>
      <c r="U677" s="10" t="n">
        <f aca="false">IF(AND($D677="",$E677="",$F677=""),1,0)</f>
        <v>0</v>
      </c>
      <c r="V677" s="10" t="n">
        <f aca="false">IF(OR($I677="",$I677="—"),1,0)</f>
        <v>0</v>
      </c>
      <c r="W677" s="10" t="n">
        <f aca="false">IF(AND(ISNUMBER($D677),ISNUMBER($E677)),IF($E677&gt;$D677,1,0),0)+IF(AND(ISNUMBER($D677),ISNUMBER($F677)),IF($D677&gt;$F677,1,0),0)+IF(AND(ISNUMBER($E677),ISNUMBER($F677)),IF($E677&gt;$F677,1,0),0)</f>
        <v>0</v>
      </c>
      <c r="X677" s="13" t="s">
        <v>76</v>
      </c>
    </row>
    <row r="678" customFormat="false" ht="15" hidden="false" customHeight="false" outlineLevel="0" collapsed="false">
      <c r="A678" s="10" t="s">
        <v>3058</v>
      </c>
      <c r="B678" s="10" t="s">
        <v>3059</v>
      </c>
      <c r="C678" s="11" t="s">
        <v>3053</v>
      </c>
      <c r="D678" s="12" t="n">
        <v>0.1217</v>
      </c>
      <c r="E678" s="12"/>
      <c r="F678" s="12"/>
      <c r="G678" s="10" t="s">
        <v>63</v>
      </c>
      <c r="H678" s="10" t="s">
        <v>83</v>
      </c>
      <c r="I678" s="11" t="s">
        <v>3021</v>
      </c>
      <c r="J678" s="10" t="s">
        <v>66</v>
      </c>
      <c r="K678" s="10" t="s">
        <v>67</v>
      </c>
      <c r="L678" s="10" t="s">
        <v>68</v>
      </c>
      <c r="M678" s="10" t="s">
        <v>69</v>
      </c>
      <c r="N678" s="10"/>
      <c r="O678" s="11" t="s">
        <v>2851</v>
      </c>
      <c r="P678" s="10" t="s">
        <v>71</v>
      </c>
      <c r="Q678" s="11" t="s">
        <v>72</v>
      </c>
      <c r="R678" s="11" t="s">
        <v>73</v>
      </c>
      <c r="S678" s="11" t="s">
        <v>74</v>
      </c>
      <c r="T678" s="11" t="s">
        <v>3060</v>
      </c>
      <c r="U678" s="10" t="n">
        <f aca="false">IF(AND($D678="",$E678="",$F678=""),1,0)</f>
        <v>0</v>
      </c>
      <c r="V678" s="10" t="n">
        <f aca="false">IF(OR($I678="",$I678="—"),1,0)</f>
        <v>0</v>
      </c>
      <c r="W678" s="10" t="n">
        <f aca="false">IF(AND(ISNUMBER($D678),ISNUMBER($E678)),IF($E678&gt;$D678,1,0),0)+IF(AND(ISNUMBER($D678),ISNUMBER($F678)),IF($D678&gt;$F678,1,0),0)+IF(AND(ISNUMBER($E678),ISNUMBER($F678)),IF($E678&gt;$F678,1,0),0)</f>
        <v>0</v>
      </c>
      <c r="X678" s="13" t="s">
        <v>76</v>
      </c>
    </row>
    <row r="679" customFormat="false" ht="15" hidden="false" customHeight="false" outlineLevel="0" collapsed="false">
      <c r="A679" s="10" t="s">
        <v>3061</v>
      </c>
      <c r="B679" s="10" t="s">
        <v>3062</v>
      </c>
      <c r="C679" s="11" t="s">
        <v>3053</v>
      </c>
      <c r="D679" s="12" t="n">
        <v>0.0167</v>
      </c>
      <c r="E679" s="12"/>
      <c r="F679" s="12"/>
      <c r="G679" s="10" t="s">
        <v>63</v>
      </c>
      <c r="H679" s="10" t="s">
        <v>87</v>
      </c>
      <c r="I679" s="11" t="s">
        <v>3021</v>
      </c>
      <c r="J679" s="10" t="s">
        <v>66</v>
      </c>
      <c r="K679" s="10" t="s">
        <v>67</v>
      </c>
      <c r="L679" s="10" t="s">
        <v>68</v>
      </c>
      <c r="M679" s="10" t="s">
        <v>69</v>
      </c>
      <c r="N679" s="10"/>
      <c r="O679" s="11" t="s">
        <v>2861</v>
      </c>
      <c r="P679" s="10" t="s">
        <v>71</v>
      </c>
      <c r="Q679" s="11" t="s">
        <v>72</v>
      </c>
      <c r="R679" s="11" t="s">
        <v>73</v>
      </c>
      <c r="S679" s="11" t="s">
        <v>74</v>
      </c>
      <c r="T679" s="11" t="s">
        <v>3063</v>
      </c>
      <c r="U679" s="10" t="n">
        <f aca="false">IF(AND($D679="",$E679="",$F679=""),1,0)</f>
        <v>0</v>
      </c>
      <c r="V679" s="10" t="n">
        <f aca="false">IF(OR($I679="",$I679="—"),1,0)</f>
        <v>0</v>
      </c>
      <c r="W679" s="10" t="n">
        <f aca="false">IF(AND(ISNUMBER($D679),ISNUMBER($E679)),IF($E679&gt;$D679,1,0),0)+IF(AND(ISNUMBER($D679),ISNUMBER($F679)),IF($D679&gt;$F679,1,0),0)+IF(AND(ISNUMBER($E679),ISNUMBER($F679)),IF($E679&gt;$F679,1,0),0)</f>
        <v>0</v>
      </c>
      <c r="X679" s="13" t="s">
        <v>76</v>
      </c>
    </row>
    <row r="680" customFormat="false" ht="15" hidden="false" customHeight="false" outlineLevel="0" collapsed="false">
      <c r="A680" s="10" t="s">
        <v>3064</v>
      </c>
      <c r="B680" s="10" t="s">
        <v>3065</v>
      </c>
      <c r="C680" s="11" t="s">
        <v>3053</v>
      </c>
      <c r="D680" s="12" t="n">
        <v>0.0667</v>
      </c>
      <c r="E680" s="12"/>
      <c r="F680" s="12"/>
      <c r="G680" s="10" t="s">
        <v>63</v>
      </c>
      <c r="H680" s="10" t="s">
        <v>92</v>
      </c>
      <c r="I680" s="11" t="s">
        <v>3021</v>
      </c>
      <c r="J680" s="10" t="s">
        <v>66</v>
      </c>
      <c r="K680" s="10" t="s">
        <v>67</v>
      </c>
      <c r="L680" s="10" t="s">
        <v>68</v>
      </c>
      <c r="M680" s="10" t="s">
        <v>69</v>
      </c>
      <c r="N680" s="10"/>
      <c r="O680" s="11" t="s">
        <v>2865</v>
      </c>
      <c r="P680" s="10" t="s">
        <v>71</v>
      </c>
      <c r="Q680" s="11" t="s">
        <v>72</v>
      </c>
      <c r="R680" s="11" t="s">
        <v>73</v>
      </c>
      <c r="S680" s="11" t="s">
        <v>74</v>
      </c>
      <c r="T680" s="11" t="s">
        <v>3066</v>
      </c>
      <c r="U680" s="10" t="n">
        <f aca="false">IF(AND($D680="",$E680="",$F680=""),1,0)</f>
        <v>0</v>
      </c>
      <c r="V680" s="10" t="n">
        <f aca="false">IF(OR($I680="",$I680="—"),1,0)</f>
        <v>0</v>
      </c>
      <c r="W680" s="10" t="n">
        <f aca="false">IF(AND(ISNUMBER($D680),ISNUMBER($E680)),IF($E680&gt;$D680,1,0),0)+IF(AND(ISNUMBER($D680),ISNUMBER($F680)),IF($D680&gt;$F680,1,0),0)+IF(AND(ISNUMBER($E680),ISNUMBER($F680)),IF($E680&gt;$F680,1,0),0)</f>
        <v>0</v>
      </c>
      <c r="X680" s="13" t="s">
        <v>76</v>
      </c>
    </row>
    <row r="681" customFormat="false" ht="15" hidden="false" customHeight="false" outlineLevel="0" collapsed="false">
      <c r="A681" s="10" t="s">
        <v>3067</v>
      </c>
      <c r="B681" s="10" t="s">
        <v>3068</v>
      </c>
      <c r="C681" s="11" t="s">
        <v>3069</v>
      </c>
      <c r="D681" s="12" t="n">
        <v>0.0191</v>
      </c>
      <c r="E681" s="12"/>
      <c r="F681" s="12"/>
      <c r="G681" s="10" t="s">
        <v>63</v>
      </c>
      <c r="H681" s="10" t="s">
        <v>64</v>
      </c>
      <c r="I681" s="11" t="s">
        <v>3021</v>
      </c>
      <c r="J681" s="10" t="s">
        <v>66</v>
      </c>
      <c r="K681" s="10" t="s">
        <v>67</v>
      </c>
      <c r="L681" s="10" t="s">
        <v>68</v>
      </c>
      <c r="M681" s="10" t="s">
        <v>69</v>
      </c>
      <c r="N681" s="10"/>
      <c r="O681" s="11" t="s">
        <v>2851</v>
      </c>
      <c r="P681" s="10" t="s">
        <v>71</v>
      </c>
      <c r="Q681" s="11" t="s">
        <v>72</v>
      </c>
      <c r="R681" s="11" t="s">
        <v>73</v>
      </c>
      <c r="S681" s="11" t="s">
        <v>74</v>
      </c>
      <c r="T681" s="11" t="s">
        <v>3070</v>
      </c>
      <c r="U681" s="10" t="n">
        <f aca="false">IF(AND($D681="",$E681="",$F681=""),1,0)</f>
        <v>0</v>
      </c>
      <c r="V681" s="10" t="n">
        <f aca="false">IF(OR($I681="",$I681="—"),1,0)</f>
        <v>0</v>
      </c>
      <c r="W681" s="10" t="n">
        <f aca="false">IF(AND(ISNUMBER($D681),ISNUMBER($E681)),IF($E681&gt;$D681,1,0),0)+IF(AND(ISNUMBER($D681),ISNUMBER($F681)),IF($D681&gt;$F681,1,0),0)+IF(AND(ISNUMBER($E681),ISNUMBER($F681)),IF($E681&gt;$F681,1,0),0)</f>
        <v>0</v>
      </c>
      <c r="X681" s="13" t="s">
        <v>76</v>
      </c>
    </row>
    <row r="682" customFormat="false" ht="15" hidden="false" customHeight="false" outlineLevel="0" collapsed="false">
      <c r="A682" s="10" t="s">
        <v>3071</v>
      </c>
      <c r="B682" s="10" t="s">
        <v>3072</v>
      </c>
      <c r="C682" s="11" t="s">
        <v>3069</v>
      </c>
      <c r="D682" s="12" t="n">
        <v>0.0644</v>
      </c>
      <c r="E682" s="12"/>
      <c r="F682" s="12"/>
      <c r="G682" s="10" t="s">
        <v>63</v>
      </c>
      <c r="H682" s="10" t="s">
        <v>79</v>
      </c>
      <c r="I682" s="11" t="s">
        <v>3021</v>
      </c>
      <c r="J682" s="10" t="s">
        <v>66</v>
      </c>
      <c r="K682" s="10" t="s">
        <v>67</v>
      </c>
      <c r="L682" s="10" t="s">
        <v>68</v>
      </c>
      <c r="M682" s="10" t="s">
        <v>69</v>
      </c>
      <c r="N682" s="10"/>
      <c r="O682" s="11" t="s">
        <v>2851</v>
      </c>
      <c r="P682" s="10" t="s">
        <v>71</v>
      </c>
      <c r="Q682" s="11" t="s">
        <v>72</v>
      </c>
      <c r="R682" s="11" t="s">
        <v>73</v>
      </c>
      <c r="S682" s="11" t="s">
        <v>74</v>
      </c>
      <c r="T682" s="11" t="s">
        <v>3073</v>
      </c>
      <c r="U682" s="10" t="n">
        <f aca="false">IF(AND($D682="",$E682="",$F682=""),1,0)</f>
        <v>0</v>
      </c>
      <c r="V682" s="10" t="n">
        <f aca="false">IF(OR($I682="",$I682="—"),1,0)</f>
        <v>0</v>
      </c>
      <c r="W682" s="10" t="n">
        <f aca="false">IF(AND(ISNUMBER($D682),ISNUMBER($E682)),IF($E682&gt;$D682,1,0),0)+IF(AND(ISNUMBER($D682),ISNUMBER($F682)),IF($D682&gt;$F682,1,0),0)+IF(AND(ISNUMBER($E682),ISNUMBER($F682)),IF($E682&gt;$F682,1,0),0)</f>
        <v>0</v>
      </c>
      <c r="X682" s="13" t="s">
        <v>76</v>
      </c>
    </row>
    <row r="683" customFormat="false" ht="15" hidden="false" customHeight="false" outlineLevel="0" collapsed="false">
      <c r="A683" s="10" t="s">
        <v>3074</v>
      </c>
      <c r="B683" s="10" t="s">
        <v>3075</v>
      </c>
      <c r="C683" s="11" t="s">
        <v>3069</v>
      </c>
      <c r="D683" s="12" t="n">
        <v>0.0677</v>
      </c>
      <c r="E683" s="12"/>
      <c r="F683" s="12"/>
      <c r="G683" s="10" t="s">
        <v>63</v>
      </c>
      <c r="H683" s="10" t="s">
        <v>83</v>
      </c>
      <c r="I683" s="11" t="s">
        <v>3021</v>
      </c>
      <c r="J683" s="10" t="s">
        <v>66</v>
      </c>
      <c r="K683" s="10" t="s">
        <v>67</v>
      </c>
      <c r="L683" s="10" t="s">
        <v>68</v>
      </c>
      <c r="M683" s="10" t="s">
        <v>69</v>
      </c>
      <c r="N683" s="10"/>
      <c r="O683" s="11" t="s">
        <v>2851</v>
      </c>
      <c r="P683" s="10" t="s">
        <v>71</v>
      </c>
      <c r="Q683" s="11" t="s">
        <v>72</v>
      </c>
      <c r="R683" s="11" t="s">
        <v>73</v>
      </c>
      <c r="S683" s="11" t="s">
        <v>74</v>
      </c>
      <c r="T683" s="11" t="s">
        <v>3076</v>
      </c>
      <c r="U683" s="10" t="n">
        <f aca="false">IF(AND($D683="",$E683="",$F683=""),1,0)</f>
        <v>0</v>
      </c>
      <c r="V683" s="10" t="n">
        <f aca="false">IF(OR($I683="",$I683="—"),1,0)</f>
        <v>0</v>
      </c>
      <c r="W683" s="10" t="n">
        <f aca="false">IF(AND(ISNUMBER($D683),ISNUMBER($E683)),IF($E683&gt;$D683,1,0),0)+IF(AND(ISNUMBER($D683),ISNUMBER($F683)),IF($D683&gt;$F683,1,0),0)+IF(AND(ISNUMBER($E683),ISNUMBER($F683)),IF($E683&gt;$F683,1,0),0)</f>
        <v>0</v>
      </c>
      <c r="X683" s="13" t="s">
        <v>76</v>
      </c>
    </row>
    <row r="684" customFormat="false" ht="15" hidden="false" customHeight="false" outlineLevel="0" collapsed="false">
      <c r="A684" s="10" t="s">
        <v>3077</v>
      </c>
      <c r="B684" s="10" t="s">
        <v>3078</v>
      </c>
      <c r="C684" s="11" t="s">
        <v>3069</v>
      </c>
      <c r="D684" s="12" t="n">
        <v>0.0055</v>
      </c>
      <c r="E684" s="12"/>
      <c r="F684" s="12"/>
      <c r="G684" s="10" t="s">
        <v>63</v>
      </c>
      <c r="H684" s="10" t="s">
        <v>87</v>
      </c>
      <c r="I684" s="11" t="s">
        <v>3021</v>
      </c>
      <c r="J684" s="10" t="s">
        <v>66</v>
      </c>
      <c r="K684" s="10" t="s">
        <v>67</v>
      </c>
      <c r="L684" s="10" t="s">
        <v>68</v>
      </c>
      <c r="M684" s="10" t="s">
        <v>69</v>
      </c>
      <c r="N684" s="10"/>
      <c r="O684" s="11" t="s">
        <v>2861</v>
      </c>
      <c r="P684" s="10" t="s">
        <v>71</v>
      </c>
      <c r="Q684" s="11" t="s">
        <v>72</v>
      </c>
      <c r="R684" s="11" t="s">
        <v>73</v>
      </c>
      <c r="S684" s="11" t="s">
        <v>74</v>
      </c>
      <c r="T684" s="11" t="s">
        <v>3079</v>
      </c>
      <c r="U684" s="10" t="n">
        <f aca="false">IF(AND($D684="",$E684="",$F684=""),1,0)</f>
        <v>0</v>
      </c>
      <c r="V684" s="10" t="n">
        <f aca="false">IF(OR($I684="",$I684="—"),1,0)</f>
        <v>0</v>
      </c>
      <c r="W684" s="10" t="n">
        <f aca="false">IF(AND(ISNUMBER($D684),ISNUMBER($E684)),IF($E684&gt;$D684,1,0),0)+IF(AND(ISNUMBER($D684),ISNUMBER($F684)),IF($D684&gt;$F684,1,0),0)+IF(AND(ISNUMBER($E684),ISNUMBER($F684)),IF($E684&gt;$F684,1,0),0)</f>
        <v>0</v>
      </c>
      <c r="X684" s="13" t="s">
        <v>76</v>
      </c>
    </row>
    <row r="685" customFormat="false" ht="15" hidden="false" customHeight="false" outlineLevel="0" collapsed="false">
      <c r="A685" s="10" t="s">
        <v>3080</v>
      </c>
      <c r="B685" s="10" t="s">
        <v>3081</v>
      </c>
      <c r="C685" s="11" t="s">
        <v>3069</v>
      </c>
      <c r="D685" s="12" t="n">
        <v>0.0207</v>
      </c>
      <c r="E685" s="12"/>
      <c r="F685" s="12"/>
      <c r="G685" s="10" t="s">
        <v>63</v>
      </c>
      <c r="H685" s="10" t="s">
        <v>92</v>
      </c>
      <c r="I685" s="11" t="s">
        <v>3021</v>
      </c>
      <c r="J685" s="10" t="s">
        <v>66</v>
      </c>
      <c r="K685" s="10" t="s">
        <v>67</v>
      </c>
      <c r="L685" s="10" t="s">
        <v>68</v>
      </c>
      <c r="M685" s="10" t="s">
        <v>69</v>
      </c>
      <c r="N685" s="10"/>
      <c r="O685" s="11" t="s">
        <v>2865</v>
      </c>
      <c r="P685" s="10" t="s">
        <v>71</v>
      </c>
      <c r="Q685" s="11" t="s">
        <v>72</v>
      </c>
      <c r="R685" s="11" t="s">
        <v>73</v>
      </c>
      <c r="S685" s="11" t="s">
        <v>74</v>
      </c>
      <c r="T685" s="11" t="s">
        <v>3082</v>
      </c>
      <c r="U685" s="10" t="n">
        <f aca="false">IF(AND($D685="",$E685="",$F685=""),1,0)</f>
        <v>0</v>
      </c>
      <c r="V685" s="10" t="n">
        <f aca="false">IF(OR($I685="",$I685="—"),1,0)</f>
        <v>0</v>
      </c>
      <c r="W685" s="10" t="n">
        <f aca="false">IF(AND(ISNUMBER($D685),ISNUMBER($E685)),IF($E685&gt;$D685,1,0),0)+IF(AND(ISNUMBER($D685),ISNUMBER($F685)),IF($D685&gt;$F685,1,0),0)+IF(AND(ISNUMBER($E685),ISNUMBER($F685)),IF($E685&gt;$F685,1,0),0)</f>
        <v>0</v>
      </c>
      <c r="X685" s="13" t="s">
        <v>76</v>
      </c>
    </row>
    <row r="686" customFormat="false" ht="15" hidden="false" customHeight="false" outlineLevel="0" collapsed="false">
      <c r="A686" s="10" t="s">
        <v>3083</v>
      </c>
      <c r="B686" s="10" t="s">
        <v>3084</v>
      </c>
      <c r="C686" s="11" t="s">
        <v>3085</v>
      </c>
      <c r="D686" s="12" t="n">
        <v>0.0455</v>
      </c>
      <c r="E686" s="12"/>
      <c r="F686" s="12"/>
      <c r="G686" s="10" t="s">
        <v>63</v>
      </c>
      <c r="H686" s="10" t="s">
        <v>64</v>
      </c>
      <c r="I686" s="11" t="s">
        <v>3021</v>
      </c>
      <c r="J686" s="10" t="s">
        <v>66</v>
      </c>
      <c r="K686" s="10" t="s">
        <v>67</v>
      </c>
      <c r="L686" s="10" t="s">
        <v>68</v>
      </c>
      <c r="M686" s="10" t="s">
        <v>69</v>
      </c>
      <c r="N686" s="10"/>
      <c r="O686" s="11" t="s">
        <v>2851</v>
      </c>
      <c r="P686" s="10" t="s">
        <v>71</v>
      </c>
      <c r="Q686" s="11" t="s">
        <v>72</v>
      </c>
      <c r="R686" s="11" t="s">
        <v>73</v>
      </c>
      <c r="S686" s="11" t="s">
        <v>74</v>
      </c>
      <c r="T686" s="11" t="s">
        <v>3086</v>
      </c>
      <c r="U686" s="10" t="n">
        <f aca="false">IF(AND($D686="",$E686="",$F686=""),1,0)</f>
        <v>0</v>
      </c>
      <c r="V686" s="10" t="n">
        <f aca="false">IF(OR($I686="",$I686="—"),1,0)</f>
        <v>0</v>
      </c>
      <c r="W686" s="10" t="n">
        <f aca="false">IF(AND(ISNUMBER($D686),ISNUMBER($E686)),IF($E686&gt;$D686,1,0),0)+IF(AND(ISNUMBER($D686),ISNUMBER($F686)),IF($D686&gt;$F686,1,0),0)+IF(AND(ISNUMBER($E686),ISNUMBER($F686)),IF($E686&gt;$F686,1,0),0)</f>
        <v>0</v>
      </c>
      <c r="X686" s="13" t="s">
        <v>76</v>
      </c>
    </row>
    <row r="687" customFormat="false" ht="15" hidden="false" customHeight="false" outlineLevel="0" collapsed="false">
      <c r="A687" s="10" t="s">
        <v>3087</v>
      </c>
      <c r="B687" s="10" t="s">
        <v>3088</v>
      </c>
      <c r="C687" s="11" t="s">
        <v>3085</v>
      </c>
      <c r="D687" s="12" t="n">
        <v>0.0062</v>
      </c>
      <c r="E687" s="12"/>
      <c r="F687" s="12"/>
      <c r="G687" s="10" t="s">
        <v>63</v>
      </c>
      <c r="H687" s="10" t="s">
        <v>79</v>
      </c>
      <c r="I687" s="11" t="s">
        <v>3021</v>
      </c>
      <c r="J687" s="10" t="s">
        <v>66</v>
      </c>
      <c r="K687" s="10" t="s">
        <v>67</v>
      </c>
      <c r="L687" s="10" t="s">
        <v>68</v>
      </c>
      <c r="M687" s="10" t="s">
        <v>69</v>
      </c>
      <c r="N687" s="10"/>
      <c r="O687" s="11" t="s">
        <v>2851</v>
      </c>
      <c r="P687" s="10" t="s">
        <v>71</v>
      </c>
      <c r="Q687" s="11" t="s">
        <v>72</v>
      </c>
      <c r="R687" s="11" t="s">
        <v>73</v>
      </c>
      <c r="S687" s="11" t="s">
        <v>74</v>
      </c>
      <c r="T687" s="11" t="s">
        <v>3089</v>
      </c>
      <c r="U687" s="10" t="n">
        <f aca="false">IF(AND($D687="",$E687="",$F687=""),1,0)</f>
        <v>0</v>
      </c>
      <c r="V687" s="10" t="n">
        <f aca="false">IF(OR($I687="",$I687="—"),1,0)</f>
        <v>0</v>
      </c>
      <c r="W687" s="10" t="n">
        <f aca="false">IF(AND(ISNUMBER($D687),ISNUMBER($E687)),IF($E687&gt;$D687,1,0),0)+IF(AND(ISNUMBER($D687),ISNUMBER($F687)),IF($D687&gt;$F687,1,0),0)+IF(AND(ISNUMBER($E687),ISNUMBER($F687)),IF($E687&gt;$F687,1,0),0)</f>
        <v>0</v>
      </c>
      <c r="X687" s="13" t="s">
        <v>76</v>
      </c>
    </row>
    <row r="688" customFormat="false" ht="15" hidden="false" customHeight="false" outlineLevel="0" collapsed="false">
      <c r="A688" s="10" t="s">
        <v>3090</v>
      </c>
      <c r="B688" s="10" t="s">
        <v>3091</v>
      </c>
      <c r="C688" s="11" t="s">
        <v>3085</v>
      </c>
      <c r="D688" s="12" t="n">
        <v>0.0913</v>
      </c>
      <c r="E688" s="12"/>
      <c r="F688" s="12"/>
      <c r="G688" s="10" t="s">
        <v>63</v>
      </c>
      <c r="H688" s="10" t="s">
        <v>83</v>
      </c>
      <c r="I688" s="11" t="s">
        <v>3021</v>
      </c>
      <c r="J688" s="10" t="s">
        <v>66</v>
      </c>
      <c r="K688" s="10" t="s">
        <v>67</v>
      </c>
      <c r="L688" s="10" t="s">
        <v>68</v>
      </c>
      <c r="M688" s="10" t="s">
        <v>69</v>
      </c>
      <c r="N688" s="10"/>
      <c r="O688" s="11" t="s">
        <v>2851</v>
      </c>
      <c r="P688" s="10" t="s">
        <v>71</v>
      </c>
      <c r="Q688" s="11" t="s">
        <v>72</v>
      </c>
      <c r="R688" s="11" t="s">
        <v>73</v>
      </c>
      <c r="S688" s="11" t="s">
        <v>74</v>
      </c>
      <c r="T688" s="11" t="s">
        <v>3092</v>
      </c>
      <c r="U688" s="10" t="n">
        <f aca="false">IF(AND($D688="",$E688="",$F688=""),1,0)</f>
        <v>0</v>
      </c>
      <c r="V688" s="10" t="n">
        <f aca="false">IF(OR($I688="",$I688="—"),1,0)</f>
        <v>0</v>
      </c>
      <c r="W688" s="10" t="n">
        <f aca="false">IF(AND(ISNUMBER($D688),ISNUMBER($E688)),IF($E688&gt;$D688,1,0),0)+IF(AND(ISNUMBER($D688),ISNUMBER($F688)),IF($D688&gt;$F688,1,0),0)+IF(AND(ISNUMBER($E688),ISNUMBER($F688)),IF($E688&gt;$F688,1,0),0)</f>
        <v>0</v>
      </c>
      <c r="X688" s="13" t="s">
        <v>76</v>
      </c>
    </row>
    <row r="689" customFormat="false" ht="15" hidden="false" customHeight="false" outlineLevel="0" collapsed="false">
      <c r="A689" s="10" t="s">
        <v>3093</v>
      </c>
      <c r="B689" s="10" t="s">
        <v>3094</v>
      </c>
      <c r="C689" s="11" t="s">
        <v>3085</v>
      </c>
      <c r="D689" s="12" t="n">
        <v>0.0036</v>
      </c>
      <c r="E689" s="12"/>
      <c r="F689" s="12"/>
      <c r="G689" s="10" t="s">
        <v>63</v>
      </c>
      <c r="H689" s="10" t="s">
        <v>87</v>
      </c>
      <c r="I689" s="11" t="s">
        <v>3021</v>
      </c>
      <c r="J689" s="10" t="s">
        <v>66</v>
      </c>
      <c r="K689" s="10" t="s">
        <v>67</v>
      </c>
      <c r="L689" s="10" t="s">
        <v>68</v>
      </c>
      <c r="M689" s="10" t="s">
        <v>69</v>
      </c>
      <c r="N689" s="10"/>
      <c r="O689" s="11" t="s">
        <v>2861</v>
      </c>
      <c r="P689" s="10" t="s">
        <v>71</v>
      </c>
      <c r="Q689" s="11" t="s">
        <v>72</v>
      </c>
      <c r="R689" s="11" t="s">
        <v>73</v>
      </c>
      <c r="S689" s="11" t="s">
        <v>74</v>
      </c>
      <c r="T689" s="11" t="s">
        <v>3095</v>
      </c>
      <c r="U689" s="10" t="n">
        <f aca="false">IF(AND($D689="",$E689="",$F689=""),1,0)</f>
        <v>0</v>
      </c>
      <c r="V689" s="10" t="n">
        <f aca="false">IF(OR($I689="",$I689="—"),1,0)</f>
        <v>0</v>
      </c>
      <c r="W689" s="10" t="n">
        <f aca="false">IF(AND(ISNUMBER($D689),ISNUMBER($E689)),IF($E689&gt;$D689,1,0),0)+IF(AND(ISNUMBER($D689),ISNUMBER($F689)),IF($D689&gt;$F689,1,0),0)+IF(AND(ISNUMBER($E689),ISNUMBER($F689)),IF($E689&gt;$F689,1,0),0)</f>
        <v>0</v>
      </c>
      <c r="X689" s="13" t="s">
        <v>76</v>
      </c>
    </row>
    <row r="690" customFormat="false" ht="15" hidden="false" customHeight="false" outlineLevel="0" collapsed="false">
      <c r="A690" s="10" t="s">
        <v>3096</v>
      </c>
      <c r="B690" s="10" t="s">
        <v>3097</v>
      </c>
      <c r="C690" s="11" t="s">
        <v>3085</v>
      </c>
      <c r="D690" s="12" t="n">
        <v>0.0617</v>
      </c>
      <c r="E690" s="12"/>
      <c r="F690" s="12"/>
      <c r="G690" s="10" t="s">
        <v>63</v>
      </c>
      <c r="H690" s="10" t="s">
        <v>92</v>
      </c>
      <c r="I690" s="11" t="s">
        <v>3021</v>
      </c>
      <c r="J690" s="10" t="s">
        <v>66</v>
      </c>
      <c r="K690" s="10" t="s">
        <v>67</v>
      </c>
      <c r="L690" s="10" t="s">
        <v>68</v>
      </c>
      <c r="M690" s="10" t="s">
        <v>69</v>
      </c>
      <c r="N690" s="10"/>
      <c r="O690" s="11" t="s">
        <v>2865</v>
      </c>
      <c r="P690" s="10" t="s">
        <v>71</v>
      </c>
      <c r="Q690" s="11" t="s">
        <v>72</v>
      </c>
      <c r="R690" s="11" t="s">
        <v>73</v>
      </c>
      <c r="S690" s="11" t="s">
        <v>74</v>
      </c>
      <c r="T690" s="11" t="s">
        <v>3098</v>
      </c>
      <c r="U690" s="10" t="n">
        <f aca="false">IF(AND($D690="",$E690="",$F690=""),1,0)</f>
        <v>0</v>
      </c>
      <c r="V690" s="10" t="n">
        <f aca="false">IF(OR($I690="",$I690="—"),1,0)</f>
        <v>0</v>
      </c>
      <c r="W690" s="10" t="n">
        <f aca="false">IF(AND(ISNUMBER($D690),ISNUMBER($E690)),IF($E690&gt;$D690,1,0),0)+IF(AND(ISNUMBER($D690),ISNUMBER($F690)),IF($D690&gt;$F690,1,0),0)+IF(AND(ISNUMBER($E690),ISNUMBER($F690)),IF($E690&gt;$F690,1,0),0)</f>
        <v>0</v>
      </c>
      <c r="X690" s="13" t="s">
        <v>76</v>
      </c>
    </row>
    <row r="691" customFormat="false" ht="15" hidden="false" customHeight="false" outlineLevel="0" collapsed="false">
      <c r="A691" s="10" t="s">
        <v>3099</v>
      </c>
      <c r="B691" s="10" t="s">
        <v>3100</v>
      </c>
      <c r="C691" s="11" t="s">
        <v>3101</v>
      </c>
      <c r="D691" s="12" t="n">
        <v>0.0006</v>
      </c>
      <c r="E691" s="12"/>
      <c r="F691" s="12"/>
      <c r="G691" s="10" t="s">
        <v>63</v>
      </c>
      <c r="H691" s="10" t="s">
        <v>64</v>
      </c>
      <c r="I691" s="11" t="s">
        <v>3021</v>
      </c>
      <c r="J691" s="10" t="s">
        <v>66</v>
      </c>
      <c r="K691" s="10" t="s">
        <v>67</v>
      </c>
      <c r="L691" s="10" t="s">
        <v>68</v>
      </c>
      <c r="M691" s="10" t="s">
        <v>69</v>
      </c>
      <c r="N691" s="10"/>
      <c r="O691" s="11" t="s">
        <v>2851</v>
      </c>
      <c r="P691" s="10" t="s">
        <v>71</v>
      </c>
      <c r="Q691" s="11" t="s">
        <v>72</v>
      </c>
      <c r="R691" s="11" t="s">
        <v>73</v>
      </c>
      <c r="S691" s="11" t="s">
        <v>74</v>
      </c>
      <c r="T691" s="11" t="s">
        <v>3102</v>
      </c>
      <c r="U691" s="10" t="n">
        <f aca="false">IF(AND($D691="",$E691="",$F691=""),1,0)</f>
        <v>0</v>
      </c>
      <c r="V691" s="10" t="n">
        <f aca="false">IF(OR($I691="",$I691="—"),1,0)</f>
        <v>0</v>
      </c>
      <c r="W691" s="10" t="n">
        <f aca="false">IF(AND(ISNUMBER($D691),ISNUMBER($E691)),IF($E691&gt;$D691,1,0),0)+IF(AND(ISNUMBER($D691),ISNUMBER($F691)),IF($D691&gt;$F691,1,0),0)+IF(AND(ISNUMBER($E691),ISNUMBER($F691)),IF($E691&gt;$F691,1,0),0)</f>
        <v>0</v>
      </c>
      <c r="X691" s="13" t="s">
        <v>76</v>
      </c>
    </row>
    <row r="692" customFormat="false" ht="15" hidden="false" customHeight="false" outlineLevel="0" collapsed="false">
      <c r="A692" s="10" t="s">
        <v>3103</v>
      </c>
      <c r="B692" s="10" t="s">
        <v>3104</v>
      </c>
      <c r="C692" s="11" t="s">
        <v>3101</v>
      </c>
      <c r="D692" s="12" t="n">
        <v>0.0171</v>
      </c>
      <c r="E692" s="12"/>
      <c r="F692" s="12"/>
      <c r="G692" s="10" t="s">
        <v>63</v>
      </c>
      <c r="H692" s="10" t="s">
        <v>79</v>
      </c>
      <c r="I692" s="11" t="s">
        <v>3021</v>
      </c>
      <c r="J692" s="10" t="s">
        <v>66</v>
      </c>
      <c r="K692" s="10" t="s">
        <v>67</v>
      </c>
      <c r="L692" s="10" t="s">
        <v>68</v>
      </c>
      <c r="M692" s="10" t="s">
        <v>69</v>
      </c>
      <c r="N692" s="10"/>
      <c r="O692" s="11" t="s">
        <v>2851</v>
      </c>
      <c r="P692" s="10" t="s">
        <v>71</v>
      </c>
      <c r="Q692" s="11" t="s">
        <v>72</v>
      </c>
      <c r="R692" s="11" t="s">
        <v>73</v>
      </c>
      <c r="S692" s="11" t="s">
        <v>74</v>
      </c>
      <c r="T692" s="11" t="s">
        <v>3105</v>
      </c>
      <c r="U692" s="10" t="n">
        <f aca="false">IF(AND($D692="",$E692="",$F692=""),1,0)</f>
        <v>0</v>
      </c>
      <c r="V692" s="10" t="n">
        <f aca="false">IF(OR($I692="",$I692="—"),1,0)</f>
        <v>0</v>
      </c>
      <c r="W692" s="10" t="n">
        <f aca="false">IF(AND(ISNUMBER($D692),ISNUMBER($E692)),IF($E692&gt;$D692,1,0),0)+IF(AND(ISNUMBER($D692),ISNUMBER($F692)),IF($D692&gt;$F692,1,0),0)+IF(AND(ISNUMBER($E692),ISNUMBER($F692)),IF($E692&gt;$F692,1,0),0)</f>
        <v>0</v>
      </c>
      <c r="X692" s="13" t="s">
        <v>76</v>
      </c>
    </row>
    <row r="693" customFormat="false" ht="15" hidden="false" customHeight="false" outlineLevel="0" collapsed="false">
      <c r="A693" s="10" t="s">
        <v>3106</v>
      </c>
      <c r="B693" s="10" t="s">
        <v>3107</v>
      </c>
      <c r="C693" s="11" t="s">
        <v>3101</v>
      </c>
      <c r="D693" s="12" t="n">
        <v>0.0054</v>
      </c>
      <c r="E693" s="12"/>
      <c r="F693" s="12"/>
      <c r="G693" s="10" t="s">
        <v>63</v>
      </c>
      <c r="H693" s="10" t="s">
        <v>83</v>
      </c>
      <c r="I693" s="11" t="s">
        <v>3021</v>
      </c>
      <c r="J693" s="10" t="s">
        <v>66</v>
      </c>
      <c r="K693" s="10" t="s">
        <v>67</v>
      </c>
      <c r="L693" s="10" t="s">
        <v>68</v>
      </c>
      <c r="M693" s="10" t="s">
        <v>69</v>
      </c>
      <c r="N693" s="10"/>
      <c r="O693" s="11" t="s">
        <v>2851</v>
      </c>
      <c r="P693" s="10" t="s">
        <v>71</v>
      </c>
      <c r="Q693" s="11" t="s">
        <v>72</v>
      </c>
      <c r="R693" s="11" t="s">
        <v>73</v>
      </c>
      <c r="S693" s="11" t="s">
        <v>74</v>
      </c>
      <c r="T693" s="11" t="s">
        <v>3108</v>
      </c>
      <c r="U693" s="10" t="n">
        <f aca="false">IF(AND($D693="",$E693="",$F693=""),1,0)</f>
        <v>0</v>
      </c>
      <c r="V693" s="10" t="n">
        <f aca="false">IF(OR($I693="",$I693="—"),1,0)</f>
        <v>0</v>
      </c>
      <c r="W693" s="10" t="n">
        <f aca="false">IF(AND(ISNUMBER($D693),ISNUMBER($E693)),IF($E693&gt;$D693,1,0),0)+IF(AND(ISNUMBER($D693),ISNUMBER($F693)),IF($D693&gt;$F693,1,0),0)+IF(AND(ISNUMBER($E693),ISNUMBER($F693)),IF($E693&gt;$F693,1,0),0)</f>
        <v>0</v>
      </c>
      <c r="X693" s="13" t="s">
        <v>76</v>
      </c>
    </row>
    <row r="694" customFormat="false" ht="15" hidden="false" customHeight="false" outlineLevel="0" collapsed="false">
      <c r="A694" s="10" t="s">
        <v>3109</v>
      </c>
      <c r="B694" s="10" t="s">
        <v>3110</v>
      </c>
      <c r="C694" s="11" t="s">
        <v>3101</v>
      </c>
      <c r="D694" s="12" t="n">
        <v>0.0036</v>
      </c>
      <c r="E694" s="12"/>
      <c r="F694" s="12"/>
      <c r="G694" s="10" t="s">
        <v>63</v>
      </c>
      <c r="H694" s="10" t="s">
        <v>87</v>
      </c>
      <c r="I694" s="11" t="s">
        <v>3021</v>
      </c>
      <c r="J694" s="10" t="s">
        <v>66</v>
      </c>
      <c r="K694" s="10" t="s">
        <v>67</v>
      </c>
      <c r="L694" s="10" t="s">
        <v>68</v>
      </c>
      <c r="M694" s="10" t="s">
        <v>69</v>
      </c>
      <c r="N694" s="10"/>
      <c r="O694" s="11" t="s">
        <v>2861</v>
      </c>
      <c r="P694" s="10" t="s">
        <v>71</v>
      </c>
      <c r="Q694" s="11" t="s">
        <v>72</v>
      </c>
      <c r="R694" s="11" t="s">
        <v>73</v>
      </c>
      <c r="S694" s="11" t="s">
        <v>74</v>
      </c>
      <c r="T694" s="11" t="s">
        <v>3111</v>
      </c>
      <c r="U694" s="10" t="n">
        <f aca="false">IF(AND($D694="",$E694="",$F694=""),1,0)</f>
        <v>0</v>
      </c>
      <c r="V694" s="10" t="n">
        <f aca="false">IF(OR($I694="",$I694="—"),1,0)</f>
        <v>0</v>
      </c>
      <c r="W694" s="10" t="n">
        <f aca="false">IF(AND(ISNUMBER($D694),ISNUMBER($E694)),IF($E694&gt;$D694,1,0),0)+IF(AND(ISNUMBER($D694),ISNUMBER($F694)),IF($D694&gt;$F694,1,0),0)+IF(AND(ISNUMBER($E694),ISNUMBER($F694)),IF($E694&gt;$F694,1,0),0)</f>
        <v>0</v>
      </c>
      <c r="X694" s="13" t="s">
        <v>76</v>
      </c>
    </row>
    <row r="695" customFormat="false" ht="15" hidden="false" customHeight="false" outlineLevel="0" collapsed="false">
      <c r="A695" s="10" t="s">
        <v>3112</v>
      </c>
      <c r="B695" s="10" t="s">
        <v>3113</v>
      </c>
      <c r="C695" s="11" t="s">
        <v>3101</v>
      </c>
      <c r="D695" s="12" t="n">
        <v>0.0111</v>
      </c>
      <c r="E695" s="12"/>
      <c r="F695" s="12"/>
      <c r="G695" s="10" t="s">
        <v>63</v>
      </c>
      <c r="H695" s="10" t="s">
        <v>92</v>
      </c>
      <c r="I695" s="11" t="s">
        <v>3021</v>
      </c>
      <c r="J695" s="10" t="s">
        <v>66</v>
      </c>
      <c r="K695" s="10" t="s">
        <v>67</v>
      </c>
      <c r="L695" s="10" t="s">
        <v>68</v>
      </c>
      <c r="M695" s="10" t="s">
        <v>69</v>
      </c>
      <c r="N695" s="10"/>
      <c r="O695" s="11" t="s">
        <v>2865</v>
      </c>
      <c r="P695" s="10" t="s">
        <v>71</v>
      </c>
      <c r="Q695" s="11" t="s">
        <v>72</v>
      </c>
      <c r="R695" s="11" t="s">
        <v>73</v>
      </c>
      <c r="S695" s="11" t="s">
        <v>74</v>
      </c>
      <c r="T695" s="11" t="s">
        <v>3114</v>
      </c>
      <c r="U695" s="10" t="n">
        <f aca="false">IF(AND($D695="",$E695="",$F695=""),1,0)</f>
        <v>0</v>
      </c>
      <c r="V695" s="10" t="n">
        <f aca="false">IF(OR($I695="",$I695="—"),1,0)</f>
        <v>0</v>
      </c>
      <c r="W695" s="10" t="n">
        <f aca="false">IF(AND(ISNUMBER($D695),ISNUMBER($E695)),IF($E695&gt;$D695,1,0),0)+IF(AND(ISNUMBER($D695),ISNUMBER($F695)),IF($D695&gt;$F695,1,0),0)+IF(AND(ISNUMBER($E695),ISNUMBER($F695)),IF($E695&gt;$F695,1,0),0)</f>
        <v>0</v>
      </c>
      <c r="X695" s="13" t="s">
        <v>76</v>
      </c>
    </row>
    <row r="696" customFormat="false" ht="15" hidden="false" customHeight="false" outlineLevel="0" collapsed="false">
      <c r="A696" s="10" t="s">
        <v>3115</v>
      </c>
      <c r="B696" s="10" t="s">
        <v>3116</v>
      </c>
      <c r="C696" s="11" t="s">
        <v>3117</v>
      </c>
      <c r="D696" s="12" t="n">
        <v>0.0099</v>
      </c>
      <c r="E696" s="12"/>
      <c r="F696" s="12"/>
      <c r="G696" s="10" t="s">
        <v>63</v>
      </c>
      <c r="H696" s="10" t="s">
        <v>64</v>
      </c>
      <c r="I696" s="11" t="s">
        <v>3021</v>
      </c>
      <c r="J696" s="10" t="s">
        <v>66</v>
      </c>
      <c r="K696" s="10" t="s">
        <v>67</v>
      </c>
      <c r="L696" s="10" t="s">
        <v>68</v>
      </c>
      <c r="M696" s="10" t="s">
        <v>69</v>
      </c>
      <c r="N696" s="10"/>
      <c r="O696" s="11" t="s">
        <v>2851</v>
      </c>
      <c r="P696" s="10" t="s">
        <v>71</v>
      </c>
      <c r="Q696" s="11" t="s">
        <v>72</v>
      </c>
      <c r="R696" s="11" t="s">
        <v>73</v>
      </c>
      <c r="S696" s="11" t="s">
        <v>74</v>
      </c>
      <c r="T696" s="11" t="s">
        <v>3118</v>
      </c>
      <c r="U696" s="10" t="n">
        <f aca="false">IF(AND($D696="",$E696="",$F696=""),1,0)</f>
        <v>0</v>
      </c>
      <c r="V696" s="10" t="n">
        <f aca="false">IF(OR($I696="",$I696="—"),1,0)</f>
        <v>0</v>
      </c>
      <c r="W696" s="10" t="n">
        <f aca="false">IF(AND(ISNUMBER($D696),ISNUMBER($E696)),IF($E696&gt;$D696,1,0),0)+IF(AND(ISNUMBER($D696),ISNUMBER($F696)),IF($D696&gt;$F696,1,0),0)+IF(AND(ISNUMBER($E696),ISNUMBER($F696)),IF($E696&gt;$F696,1,0),0)</f>
        <v>0</v>
      </c>
      <c r="X696" s="13" t="s">
        <v>76</v>
      </c>
    </row>
    <row r="697" customFormat="false" ht="15" hidden="false" customHeight="false" outlineLevel="0" collapsed="false">
      <c r="A697" s="10" t="s">
        <v>3119</v>
      </c>
      <c r="B697" s="10" t="s">
        <v>3120</v>
      </c>
      <c r="C697" s="11" t="s">
        <v>3117</v>
      </c>
      <c r="D697" s="12" t="n">
        <v>0.0339</v>
      </c>
      <c r="E697" s="12"/>
      <c r="F697" s="12"/>
      <c r="G697" s="10" t="s">
        <v>63</v>
      </c>
      <c r="H697" s="10" t="s">
        <v>79</v>
      </c>
      <c r="I697" s="11" t="s">
        <v>3021</v>
      </c>
      <c r="J697" s="10" t="s">
        <v>66</v>
      </c>
      <c r="K697" s="10" t="s">
        <v>67</v>
      </c>
      <c r="L697" s="10" t="s">
        <v>68</v>
      </c>
      <c r="M697" s="10" t="s">
        <v>69</v>
      </c>
      <c r="N697" s="10"/>
      <c r="O697" s="11" t="s">
        <v>2851</v>
      </c>
      <c r="P697" s="10" t="s">
        <v>71</v>
      </c>
      <c r="Q697" s="11" t="s">
        <v>72</v>
      </c>
      <c r="R697" s="11" t="s">
        <v>73</v>
      </c>
      <c r="S697" s="11" t="s">
        <v>74</v>
      </c>
      <c r="T697" s="11" t="s">
        <v>3121</v>
      </c>
      <c r="U697" s="10" t="n">
        <f aca="false">IF(AND($D697="",$E697="",$F697=""),1,0)</f>
        <v>0</v>
      </c>
      <c r="V697" s="10" t="n">
        <f aca="false">IF(OR($I697="",$I697="—"),1,0)</f>
        <v>0</v>
      </c>
      <c r="W697" s="10" t="n">
        <f aca="false">IF(AND(ISNUMBER($D697),ISNUMBER($E697)),IF($E697&gt;$D697,1,0),0)+IF(AND(ISNUMBER($D697),ISNUMBER($F697)),IF($D697&gt;$F697,1,0),0)+IF(AND(ISNUMBER($E697),ISNUMBER($F697)),IF($E697&gt;$F697,1,0),0)</f>
        <v>0</v>
      </c>
      <c r="X697" s="13" t="s">
        <v>76</v>
      </c>
    </row>
    <row r="698" customFormat="false" ht="15" hidden="false" customHeight="false" outlineLevel="0" collapsed="false">
      <c r="A698" s="10" t="s">
        <v>3122</v>
      </c>
      <c r="B698" s="10" t="s">
        <v>3123</v>
      </c>
      <c r="C698" s="11" t="s">
        <v>3117</v>
      </c>
      <c r="D698" s="12" t="n">
        <v>0.0348</v>
      </c>
      <c r="E698" s="12"/>
      <c r="F698" s="12"/>
      <c r="G698" s="10" t="s">
        <v>63</v>
      </c>
      <c r="H698" s="10" t="s">
        <v>83</v>
      </c>
      <c r="I698" s="11" t="s">
        <v>3021</v>
      </c>
      <c r="J698" s="10" t="s">
        <v>66</v>
      </c>
      <c r="K698" s="10" t="s">
        <v>67</v>
      </c>
      <c r="L698" s="10" t="s">
        <v>68</v>
      </c>
      <c r="M698" s="10" t="s">
        <v>69</v>
      </c>
      <c r="N698" s="10"/>
      <c r="O698" s="11" t="s">
        <v>2851</v>
      </c>
      <c r="P698" s="10" t="s">
        <v>71</v>
      </c>
      <c r="Q698" s="11" t="s">
        <v>72</v>
      </c>
      <c r="R698" s="11" t="s">
        <v>73</v>
      </c>
      <c r="S698" s="11" t="s">
        <v>74</v>
      </c>
      <c r="T698" s="11" t="s">
        <v>3124</v>
      </c>
      <c r="U698" s="10" t="n">
        <f aca="false">IF(AND($D698="",$E698="",$F698=""),1,0)</f>
        <v>0</v>
      </c>
      <c r="V698" s="10" t="n">
        <f aca="false">IF(OR($I698="",$I698="—"),1,0)</f>
        <v>0</v>
      </c>
      <c r="W698" s="10" t="n">
        <f aca="false">IF(AND(ISNUMBER($D698),ISNUMBER($E698)),IF($E698&gt;$D698,1,0),0)+IF(AND(ISNUMBER($D698),ISNUMBER($F698)),IF($D698&gt;$F698,1,0),0)+IF(AND(ISNUMBER($E698),ISNUMBER($F698)),IF($E698&gt;$F698,1,0),0)</f>
        <v>0</v>
      </c>
      <c r="X698" s="13" t="s">
        <v>76</v>
      </c>
    </row>
    <row r="699" customFormat="false" ht="15" hidden="false" customHeight="false" outlineLevel="0" collapsed="false">
      <c r="A699" s="10" t="s">
        <v>3125</v>
      </c>
      <c r="B699" s="10" t="s">
        <v>3126</v>
      </c>
      <c r="C699" s="11" t="s">
        <v>3117</v>
      </c>
      <c r="D699" s="12" t="n">
        <v>0.0073</v>
      </c>
      <c r="E699" s="12"/>
      <c r="F699" s="12"/>
      <c r="G699" s="10" t="s">
        <v>63</v>
      </c>
      <c r="H699" s="10" t="s">
        <v>87</v>
      </c>
      <c r="I699" s="11" t="s">
        <v>3021</v>
      </c>
      <c r="J699" s="10" t="s">
        <v>66</v>
      </c>
      <c r="K699" s="10" t="s">
        <v>67</v>
      </c>
      <c r="L699" s="10" t="s">
        <v>68</v>
      </c>
      <c r="M699" s="10" t="s">
        <v>69</v>
      </c>
      <c r="N699" s="10"/>
      <c r="O699" s="11" t="s">
        <v>2861</v>
      </c>
      <c r="P699" s="10" t="s">
        <v>71</v>
      </c>
      <c r="Q699" s="11" t="s">
        <v>72</v>
      </c>
      <c r="R699" s="11" t="s">
        <v>73</v>
      </c>
      <c r="S699" s="11" t="s">
        <v>74</v>
      </c>
      <c r="T699" s="11" t="s">
        <v>3127</v>
      </c>
      <c r="U699" s="10" t="n">
        <f aca="false">IF(AND($D699="",$E699="",$F699=""),1,0)</f>
        <v>0</v>
      </c>
      <c r="V699" s="10" t="n">
        <f aca="false">IF(OR($I699="",$I699="—"),1,0)</f>
        <v>0</v>
      </c>
      <c r="W699" s="10" t="n">
        <f aca="false">IF(AND(ISNUMBER($D699),ISNUMBER($E699)),IF($E699&gt;$D699,1,0),0)+IF(AND(ISNUMBER($D699),ISNUMBER($F699)),IF($D699&gt;$F699,1,0),0)+IF(AND(ISNUMBER($E699),ISNUMBER($F699)),IF($E699&gt;$F699,1,0),0)</f>
        <v>0</v>
      </c>
      <c r="X699" s="13" t="s">
        <v>76</v>
      </c>
    </row>
    <row r="700" customFormat="false" ht="15" hidden="false" customHeight="false" outlineLevel="0" collapsed="false">
      <c r="A700" s="10" t="s">
        <v>3128</v>
      </c>
      <c r="B700" s="10" t="s">
        <v>3129</v>
      </c>
      <c r="C700" s="11" t="s">
        <v>3117</v>
      </c>
      <c r="D700" s="12" t="n">
        <v>0.0596</v>
      </c>
      <c r="E700" s="12"/>
      <c r="F700" s="12"/>
      <c r="G700" s="10" t="s">
        <v>63</v>
      </c>
      <c r="H700" s="10" t="s">
        <v>92</v>
      </c>
      <c r="I700" s="11" t="s">
        <v>3021</v>
      </c>
      <c r="J700" s="10" t="s">
        <v>66</v>
      </c>
      <c r="K700" s="10" t="s">
        <v>67</v>
      </c>
      <c r="L700" s="10" t="s">
        <v>68</v>
      </c>
      <c r="M700" s="10" t="s">
        <v>69</v>
      </c>
      <c r="N700" s="10"/>
      <c r="O700" s="11" t="s">
        <v>2865</v>
      </c>
      <c r="P700" s="10" t="s">
        <v>71</v>
      </c>
      <c r="Q700" s="11" t="s">
        <v>72</v>
      </c>
      <c r="R700" s="11" t="s">
        <v>73</v>
      </c>
      <c r="S700" s="11" t="s">
        <v>74</v>
      </c>
      <c r="T700" s="11" t="s">
        <v>3130</v>
      </c>
      <c r="U700" s="10" t="n">
        <f aca="false">IF(AND($D700="",$E700="",$F700=""),1,0)</f>
        <v>0</v>
      </c>
      <c r="V700" s="10" t="n">
        <f aca="false">IF(OR($I700="",$I700="—"),1,0)</f>
        <v>0</v>
      </c>
      <c r="W700" s="10" t="n">
        <f aca="false">IF(AND(ISNUMBER($D700),ISNUMBER($E700)),IF($E700&gt;$D700,1,0),0)+IF(AND(ISNUMBER($D700),ISNUMBER($F700)),IF($D700&gt;$F700,1,0),0)+IF(AND(ISNUMBER($E700),ISNUMBER($F700)),IF($E700&gt;$F700,1,0),0)</f>
        <v>0</v>
      </c>
      <c r="X700" s="13" t="s">
        <v>76</v>
      </c>
    </row>
    <row r="701" customFormat="false" ht="15" hidden="false" customHeight="false" outlineLevel="0" collapsed="false">
      <c r="A701" s="10" t="s">
        <v>3131</v>
      </c>
      <c r="B701" s="10" t="s">
        <v>3132</v>
      </c>
      <c r="C701" s="11" t="s">
        <v>3133</v>
      </c>
      <c r="D701" s="12" t="n">
        <v>0.2543</v>
      </c>
      <c r="E701" s="12"/>
      <c r="F701" s="12"/>
      <c r="G701" s="10" t="s">
        <v>63</v>
      </c>
      <c r="H701" s="10" t="s">
        <v>64</v>
      </c>
      <c r="I701" s="11" t="s">
        <v>3021</v>
      </c>
      <c r="J701" s="10" t="s">
        <v>66</v>
      </c>
      <c r="K701" s="10" t="s">
        <v>67</v>
      </c>
      <c r="L701" s="10" t="s">
        <v>68</v>
      </c>
      <c r="M701" s="10" t="s">
        <v>69</v>
      </c>
      <c r="N701" s="10"/>
      <c r="O701" s="11" t="s">
        <v>2851</v>
      </c>
      <c r="P701" s="10" t="s">
        <v>71</v>
      </c>
      <c r="Q701" s="11" t="s">
        <v>72</v>
      </c>
      <c r="R701" s="11" t="s">
        <v>73</v>
      </c>
      <c r="S701" s="11" t="s">
        <v>74</v>
      </c>
      <c r="T701" s="11" t="s">
        <v>3134</v>
      </c>
      <c r="U701" s="10" t="n">
        <f aca="false">IF(AND($D701="",$E701="",$F701=""),1,0)</f>
        <v>0</v>
      </c>
      <c r="V701" s="10" t="n">
        <f aca="false">IF(OR($I701="",$I701="—"),1,0)</f>
        <v>0</v>
      </c>
      <c r="W701" s="10" t="n">
        <f aca="false">IF(AND(ISNUMBER($D701),ISNUMBER($E701)),IF($E701&gt;$D701,1,0),0)+IF(AND(ISNUMBER($D701),ISNUMBER($F701)),IF($D701&gt;$F701,1,0),0)+IF(AND(ISNUMBER($E701),ISNUMBER($F701)),IF($E701&gt;$F701,1,0),0)</f>
        <v>0</v>
      </c>
      <c r="X701" s="13" t="s">
        <v>76</v>
      </c>
    </row>
    <row r="702" customFormat="false" ht="15" hidden="false" customHeight="false" outlineLevel="0" collapsed="false">
      <c r="A702" s="10" t="s">
        <v>3135</v>
      </c>
      <c r="B702" s="10" t="s">
        <v>3136</v>
      </c>
      <c r="C702" s="11" t="s">
        <v>3133</v>
      </c>
      <c r="D702" s="12" t="n">
        <v>0.3583</v>
      </c>
      <c r="E702" s="12"/>
      <c r="F702" s="12"/>
      <c r="G702" s="10" t="s">
        <v>63</v>
      </c>
      <c r="H702" s="10" t="s">
        <v>79</v>
      </c>
      <c r="I702" s="11" t="s">
        <v>3021</v>
      </c>
      <c r="J702" s="10" t="s">
        <v>66</v>
      </c>
      <c r="K702" s="10" t="s">
        <v>67</v>
      </c>
      <c r="L702" s="10" t="s">
        <v>68</v>
      </c>
      <c r="M702" s="10" t="s">
        <v>69</v>
      </c>
      <c r="N702" s="10"/>
      <c r="O702" s="11" t="s">
        <v>2851</v>
      </c>
      <c r="P702" s="10" t="s">
        <v>71</v>
      </c>
      <c r="Q702" s="11" t="s">
        <v>72</v>
      </c>
      <c r="R702" s="11" t="s">
        <v>73</v>
      </c>
      <c r="S702" s="11" t="s">
        <v>74</v>
      </c>
      <c r="T702" s="11" t="s">
        <v>3137</v>
      </c>
      <c r="U702" s="10" t="n">
        <f aca="false">IF(AND($D702="",$E702="",$F702=""),1,0)</f>
        <v>0</v>
      </c>
      <c r="V702" s="10" t="n">
        <f aca="false">IF(OR($I702="",$I702="—"),1,0)</f>
        <v>0</v>
      </c>
      <c r="W702" s="10" t="n">
        <f aca="false">IF(AND(ISNUMBER($D702),ISNUMBER($E702)),IF($E702&gt;$D702,1,0),0)+IF(AND(ISNUMBER($D702),ISNUMBER($F702)),IF($D702&gt;$F702,1,0),0)+IF(AND(ISNUMBER($E702),ISNUMBER($F702)),IF($E702&gt;$F702,1,0),0)</f>
        <v>0</v>
      </c>
      <c r="X702" s="13" t="s">
        <v>76</v>
      </c>
    </row>
    <row r="703" customFormat="false" ht="15" hidden="false" customHeight="false" outlineLevel="0" collapsed="false">
      <c r="A703" s="10" t="s">
        <v>3138</v>
      </c>
      <c r="B703" s="10" t="s">
        <v>3139</v>
      </c>
      <c r="C703" s="11" t="s">
        <v>3133</v>
      </c>
      <c r="D703" s="12" t="n">
        <v>0.8967</v>
      </c>
      <c r="E703" s="12"/>
      <c r="F703" s="12"/>
      <c r="G703" s="10" t="s">
        <v>63</v>
      </c>
      <c r="H703" s="10" t="s">
        <v>83</v>
      </c>
      <c r="I703" s="11" t="s">
        <v>3021</v>
      </c>
      <c r="J703" s="10" t="s">
        <v>66</v>
      </c>
      <c r="K703" s="10" t="s">
        <v>67</v>
      </c>
      <c r="L703" s="10" t="s">
        <v>68</v>
      </c>
      <c r="M703" s="10" t="s">
        <v>69</v>
      </c>
      <c r="N703" s="10"/>
      <c r="O703" s="11" t="s">
        <v>2851</v>
      </c>
      <c r="P703" s="10" t="s">
        <v>71</v>
      </c>
      <c r="Q703" s="11" t="s">
        <v>72</v>
      </c>
      <c r="R703" s="11" t="s">
        <v>73</v>
      </c>
      <c r="S703" s="11" t="s">
        <v>74</v>
      </c>
      <c r="T703" s="11" t="s">
        <v>3140</v>
      </c>
      <c r="U703" s="10" t="n">
        <f aca="false">IF(AND($D703="",$E703="",$F703=""),1,0)</f>
        <v>0</v>
      </c>
      <c r="V703" s="10" t="n">
        <f aca="false">IF(OR($I703="",$I703="—"),1,0)</f>
        <v>0</v>
      </c>
      <c r="W703" s="10" t="n">
        <f aca="false">IF(AND(ISNUMBER($D703),ISNUMBER($E703)),IF($E703&gt;$D703,1,0),0)+IF(AND(ISNUMBER($D703),ISNUMBER($F703)),IF($D703&gt;$F703,1,0),0)+IF(AND(ISNUMBER($E703),ISNUMBER($F703)),IF($E703&gt;$F703,1,0),0)</f>
        <v>0</v>
      </c>
      <c r="X703" s="13" t="s">
        <v>76</v>
      </c>
    </row>
    <row r="704" customFormat="false" ht="15" hidden="false" customHeight="false" outlineLevel="0" collapsed="false">
      <c r="A704" s="10" t="s">
        <v>3141</v>
      </c>
      <c r="B704" s="10" t="s">
        <v>3142</v>
      </c>
      <c r="C704" s="11" t="s">
        <v>3133</v>
      </c>
      <c r="D704" s="12" t="n">
        <v>0.1003</v>
      </c>
      <c r="E704" s="12"/>
      <c r="F704" s="12"/>
      <c r="G704" s="10" t="s">
        <v>63</v>
      </c>
      <c r="H704" s="10" t="s">
        <v>87</v>
      </c>
      <c r="I704" s="11" t="s">
        <v>3021</v>
      </c>
      <c r="J704" s="10" t="s">
        <v>66</v>
      </c>
      <c r="K704" s="10" t="s">
        <v>67</v>
      </c>
      <c r="L704" s="10" t="s">
        <v>68</v>
      </c>
      <c r="M704" s="10" t="s">
        <v>69</v>
      </c>
      <c r="N704" s="10"/>
      <c r="O704" s="11" t="s">
        <v>2861</v>
      </c>
      <c r="P704" s="10" t="s">
        <v>71</v>
      </c>
      <c r="Q704" s="11" t="s">
        <v>72</v>
      </c>
      <c r="R704" s="11" t="s">
        <v>73</v>
      </c>
      <c r="S704" s="11" t="s">
        <v>74</v>
      </c>
      <c r="T704" s="11" t="s">
        <v>3143</v>
      </c>
      <c r="U704" s="10" t="n">
        <f aca="false">IF(AND($D704="",$E704="",$F704=""),1,0)</f>
        <v>0</v>
      </c>
      <c r="V704" s="10" t="n">
        <f aca="false">IF(OR($I704="",$I704="—"),1,0)</f>
        <v>0</v>
      </c>
      <c r="W704" s="10" t="n">
        <f aca="false">IF(AND(ISNUMBER($D704),ISNUMBER($E704)),IF($E704&gt;$D704,1,0),0)+IF(AND(ISNUMBER($D704),ISNUMBER($F704)),IF($D704&gt;$F704,1,0),0)+IF(AND(ISNUMBER($E704),ISNUMBER($F704)),IF($E704&gt;$F704,1,0),0)</f>
        <v>0</v>
      </c>
      <c r="X704" s="13" t="s">
        <v>76</v>
      </c>
    </row>
    <row r="705" customFormat="false" ht="15" hidden="false" customHeight="false" outlineLevel="0" collapsed="false">
      <c r="A705" s="10" t="s">
        <v>3144</v>
      </c>
      <c r="B705" s="10" t="s">
        <v>3145</v>
      </c>
      <c r="C705" s="11" t="s">
        <v>3133</v>
      </c>
      <c r="D705" s="12" t="n">
        <v>0.6624</v>
      </c>
      <c r="E705" s="12"/>
      <c r="F705" s="12"/>
      <c r="G705" s="10" t="s">
        <v>63</v>
      </c>
      <c r="H705" s="10" t="s">
        <v>92</v>
      </c>
      <c r="I705" s="11" t="s">
        <v>3021</v>
      </c>
      <c r="J705" s="10" t="s">
        <v>66</v>
      </c>
      <c r="K705" s="10" t="s">
        <v>67</v>
      </c>
      <c r="L705" s="10" t="s">
        <v>68</v>
      </c>
      <c r="M705" s="10" t="s">
        <v>69</v>
      </c>
      <c r="N705" s="10"/>
      <c r="O705" s="11" t="s">
        <v>2865</v>
      </c>
      <c r="P705" s="10" t="s">
        <v>71</v>
      </c>
      <c r="Q705" s="11" t="s">
        <v>72</v>
      </c>
      <c r="R705" s="11" t="s">
        <v>73</v>
      </c>
      <c r="S705" s="11" t="s">
        <v>74</v>
      </c>
      <c r="T705" s="11" t="s">
        <v>3146</v>
      </c>
      <c r="U705" s="10" t="n">
        <f aca="false">IF(AND($D705="",$E705="",$F705=""),1,0)</f>
        <v>0</v>
      </c>
      <c r="V705" s="10" t="n">
        <f aca="false">IF(OR($I705="",$I705="—"),1,0)</f>
        <v>0</v>
      </c>
      <c r="W705" s="10" t="n">
        <f aca="false">IF(AND(ISNUMBER($D705),ISNUMBER($E705)),IF($E705&gt;$D705,1,0),0)+IF(AND(ISNUMBER($D705),ISNUMBER($F705)),IF($D705&gt;$F705,1,0),0)+IF(AND(ISNUMBER($E705),ISNUMBER($F705)),IF($E705&gt;$F705,1,0),0)</f>
        <v>0</v>
      </c>
      <c r="X705" s="13" t="s">
        <v>76</v>
      </c>
    </row>
    <row r="706" customFormat="false" ht="15" hidden="false" customHeight="false" outlineLevel="0" collapsed="false">
      <c r="A706" s="10" t="s">
        <v>3147</v>
      </c>
      <c r="B706" s="10" t="s">
        <v>3148</v>
      </c>
      <c r="C706" s="11" t="s">
        <v>3149</v>
      </c>
      <c r="D706" s="12" t="n">
        <v>0.0062</v>
      </c>
      <c r="E706" s="12"/>
      <c r="F706" s="12"/>
      <c r="G706" s="10" t="s">
        <v>63</v>
      </c>
      <c r="H706" s="10" t="s">
        <v>64</v>
      </c>
      <c r="I706" s="11" t="s">
        <v>3021</v>
      </c>
      <c r="J706" s="10" t="s">
        <v>66</v>
      </c>
      <c r="K706" s="10" t="s">
        <v>67</v>
      </c>
      <c r="L706" s="10" t="s">
        <v>68</v>
      </c>
      <c r="M706" s="10" t="s">
        <v>69</v>
      </c>
      <c r="N706" s="10"/>
      <c r="O706" s="11" t="s">
        <v>2851</v>
      </c>
      <c r="P706" s="10" t="s">
        <v>71</v>
      </c>
      <c r="Q706" s="11" t="s">
        <v>72</v>
      </c>
      <c r="R706" s="11" t="s">
        <v>73</v>
      </c>
      <c r="S706" s="11" t="s">
        <v>74</v>
      </c>
      <c r="T706" s="11" t="s">
        <v>3150</v>
      </c>
      <c r="U706" s="10" t="n">
        <f aca="false">IF(AND($D706="",$E706="",$F706=""),1,0)</f>
        <v>0</v>
      </c>
      <c r="V706" s="10" t="n">
        <f aca="false">IF(OR($I706="",$I706="—"),1,0)</f>
        <v>0</v>
      </c>
      <c r="W706" s="10" t="n">
        <f aca="false">IF(AND(ISNUMBER($D706),ISNUMBER($E706)),IF($E706&gt;$D706,1,0),0)+IF(AND(ISNUMBER($D706),ISNUMBER($F706)),IF($D706&gt;$F706,1,0),0)+IF(AND(ISNUMBER($E706),ISNUMBER($F706)),IF($E706&gt;$F706,1,0),0)</f>
        <v>0</v>
      </c>
      <c r="X706" s="13" t="s">
        <v>76</v>
      </c>
    </row>
    <row r="707" customFormat="false" ht="15" hidden="false" customHeight="false" outlineLevel="0" collapsed="false">
      <c r="A707" s="10" t="s">
        <v>3151</v>
      </c>
      <c r="B707" s="10" t="s">
        <v>3152</v>
      </c>
      <c r="C707" s="11" t="s">
        <v>3149</v>
      </c>
      <c r="D707" s="12" t="n">
        <v>0.0822</v>
      </c>
      <c r="E707" s="12"/>
      <c r="F707" s="12"/>
      <c r="G707" s="10" t="s">
        <v>63</v>
      </c>
      <c r="H707" s="10" t="s">
        <v>79</v>
      </c>
      <c r="I707" s="11" t="s">
        <v>3021</v>
      </c>
      <c r="J707" s="10" t="s">
        <v>66</v>
      </c>
      <c r="K707" s="10" t="s">
        <v>67</v>
      </c>
      <c r="L707" s="10" t="s">
        <v>68</v>
      </c>
      <c r="M707" s="10" t="s">
        <v>69</v>
      </c>
      <c r="N707" s="10"/>
      <c r="O707" s="11" t="s">
        <v>2851</v>
      </c>
      <c r="P707" s="10" t="s">
        <v>71</v>
      </c>
      <c r="Q707" s="11" t="s">
        <v>72</v>
      </c>
      <c r="R707" s="11" t="s">
        <v>73</v>
      </c>
      <c r="S707" s="11" t="s">
        <v>74</v>
      </c>
      <c r="T707" s="11" t="s">
        <v>3153</v>
      </c>
      <c r="U707" s="10" t="n">
        <f aca="false">IF(AND($D707="",$E707="",$F707=""),1,0)</f>
        <v>0</v>
      </c>
      <c r="V707" s="10" t="n">
        <f aca="false">IF(OR($I707="",$I707="—"),1,0)</f>
        <v>0</v>
      </c>
      <c r="W707" s="10" t="n">
        <f aca="false">IF(AND(ISNUMBER($D707),ISNUMBER($E707)),IF($E707&gt;$D707,1,0),0)+IF(AND(ISNUMBER($D707),ISNUMBER($F707)),IF($D707&gt;$F707,1,0),0)+IF(AND(ISNUMBER($E707),ISNUMBER($F707)),IF($E707&gt;$F707,1,0),0)</f>
        <v>0</v>
      </c>
      <c r="X707" s="13" t="s">
        <v>76</v>
      </c>
    </row>
    <row r="708" customFormat="false" ht="15" hidden="false" customHeight="false" outlineLevel="0" collapsed="false">
      <c r="A708" s="10" t="s">
        <v>3154</v>
      </c>
      <c r="B708" s="10" t="s">
        <v>3155</v>
      </c>
      <c r="C708" s="11" t="s">
        <v>3149</v>
      </c>
      <c r="D708" s="12" t="n">
        <v>0.4685</v>
      </c>
      <c r="E708" s="12"/>
      <c r="F708" s="12"/>
      <c r="G708" s="10" t="s">
        <v>63</v>
      </c>
      <c r="H708" s="10" t="s">
        <v>83</v>
      </c>
      <c r="I708" s="11" t="s">
        <v>3021</v>
      </c>
      <c r="J708" s="10" t="s">
        <v>66</v>
      </c>
      <c r="K708" s="10" t="s">
        <v>67</v>
      </c>
      <c r="L708" s="10" t="s">
        <v>68</v>
      </c>
      <c r="M708" s="10" t="s">
        <v>69</v>
      </c>
      <c r="N708" s="10"/>
      <c r="O708" s="11" t="s">
        <v>2851</v>
      </c>
      <c r="P708" s="10" t="s">
        <v>71</v>
      </c>
      <c r="Q708" s="11" t="s">
        <v>72</v>
      </c>
      <c r="R708" s="11" t="s">
        <v>73</v>
      </c>
      <c r="S708" s="11" t="s">
        <v>74</v>
      </c>
      <c r="T708" s="11" t="s">
        <v>3156</v>
      </c>
      <c r="U708" s="10" t="n">
        <f aca="false">IF(AND($D708="",$E708="",$F708=""),1,0)</f>
        <v>0</v>
      </c>
      <c r="V708" s="10" t="n">
        <f aca="false">IF(OR($I708="",$I708="—"),1,0)</f>
        <v>0</v>
      </c>
      <c r="W708" s="10" t="n">
        <f aca="false">IF(AND(ISNUMBER($D708),ISNUMBER($E708)),IF($E708&gt;$D708,1,0),0)+IF(AND(ISNUMBER($D708),ISNUMBER($F708)),IF($D708&gt;$F708,1,0),0)+IF(AND(ISNUMBER($E708),ISNUMBER($F708)),IF($E708&gt;$F708,1,0),0)</f>
        <v>0</v>
      </c>
      <c r="X708" s="13" t="s">
        <v>76</v>
      </c>
    </row>
    <row r="709" customFormat="false" ht="15" hidden="false" customHeight="false" outlineLevel="0" collapsed="false">
      <c r="A709" s="10" t="s">
        <v>3157</v>
      </c>
      <c r="B709" s="10" t="s">
        <v>3158</v>
      </c>
      <c r="C709" s="11" t="s">
        <v>3149</v>
      </c>
      <c r="D709" s="12" t="n">
        <v>0.1292</v>
      </c>
      <c r="E709" s="12"/>
      <c r="F709" s="12"/>
      <c r="G709" s="10" t="s">
        <v>63</v>
      </c>
      <c r="H709" s="10" t="s">
        <v>87</v>
      </c>
      <c r="I709" s="11" t="s">
        <v>3021</v>
      </c>
      <c r="J709" s="10" t="s">
        <v>66</v>
      </c>
      <c r="K709" s="10" t="s">
        <v>67</v>
      </c>
      <c r="L709" s="10" t="s">
        <v>68</v>
      </c>
      <c r="M709" s="10" t="s">
        <v>69</v>
      </c>
      <c r="N709" s="10"/>
      <c r="O709" s="11" t="s">
        <v>2861</v>
      </c>
      <c r="P709" s="10" t="s">
        <v>71</v>
      </c>
      <c r="Q709" s="11" t="s">
        <v>72</v>
      </c>
      <c r="R709" s="11" t="s">
        <v>73</v>
      </c>
      <c r="S709" s="11" t="s">
        <v>74</v>
      </c>
      <c r="T709" s="11" t="s">
        <v>3159</v>
      </c>
      <c r="U709" s="10" t="n">
        <f aca="false">IF(AND($D709="",$E709="",$F709=""),1,0)</f>
        <v>0</v>
      </c>
      <c r="V709" s="10" t="n">
        <f aca="false">IF(OR($I709="",$I709="—"),1,0)</f>
        <v>0</v>
      </c>
      <c r="W709" s="10" t="n">
        <f aca="false">IF(AND(ISNUMBER($D709),ISNUMBER($E709)),IF($E709&gt;$D709,1,0),0)+IF(AND(ISNUMBER($D709),ISNUMBER($F709)),IF($D709&gt;$F709,1,0),0)+IF(AND(ISNUMBER($E709),ISNUMBER($F709)),IF($E709&gt;$F709,1,0),0)</f>
        <v>0</v>
      </c>
      <c r="X709" s="13" t="s">
        <v>76</v>
      </c>
    </row>
    <row r="710" customFormat="false" ht="15" hidden="false" customHeight="false" outlineLevel="0" collapsed="false">
      <c r="A710" s="10" t="s">
        <v>3160</v>
      </c>
      <c r="B710" s="10" t="s">
        <v>3161</v>
      </c>
      <c r="C710" s="11" t="s">
        <v>3149</v>
      </c>
      <c r="D710" s="12" t="n">
        <v>0.2922</v>
      </c>
      <c r="E710" s="12"/>
      <c r="F710" s="12"/>
      <c r="G710" s="10" t="s">
        <v>63</v>
      </c>
      <c r="H710" s="10" t="s">
        <v>92</v>
      </c>
      <c r="I710" s="11" t="s">
        <v>3021</v>
      </c>
      <c r="J710" s="10" t="s">
        <v>66</v>
      </c>
      <c r="K710" s="10" t="s">
        <v>67</v>
      </c>
      <c r="L710" s="10" t="s">
        <v>68</v>
      </c>
      <c r="M710" s="10" t="s">
        <v>69</v>
      </c>
      <c r="N710" s="10"/>
      <c r="O710" s="11" t="s">
        <v>2865</v>
      </c>
      <c r="P710" s="10" t="s">
        <v>71</v>
      </c>
      <c r="Q710" s="11" t="s">
        <v>72</v>
      </c>
      <c r="R710" s="11" t="s">
        <v>73</v>
      </c>
      <c r="S710" s="11" t="s">
        <v>74</v>
      </c>
      <c r="T710" s="11" t="s">
        <v>3162</v>
      </c>
      <c r="U710" s="10" t="n">
        <f aca="false">IF(AND($D710="",$E710="",$F710=""),1,0)</f>
        <v>0</v>
      </c>
      <c r="V710" s="10" t="n">
        <f aca="false">IF(OR($I710="",$I710="—"),1,0)</f>
        <v>0</v>
      </c>
      <c r="W710" s="10" t="n">
        <f aca="false">IF(AND(ISNUMBER($D710),ISNUMBER($E710)),IF($E710&gt;$D710,1,0),0)+IF(AND(ISNUMBER($D710),ISNUMBER($F710)),IF($D710&gt;$F710,1,0),0)+IF(AND(ISNUMBER($E710),ISNUMBER($F710)),IF($E710&gt;$F710,1,0),0)</f>
        <v>0</v>
      </c>
      <c r="X710" s="13" t="s">
        <v>76</v>
      </c>
    </row>
    <row r="711" customFormat="false" ht="15" hidden="false" customHeight="false" outlineLevel="0" collapsed="false">
      <c r="A711" s="10" t="s">
        <v>3163</v>
      </c>
      <c r="B711" s="10" t="s">
        <v>3164</v>
      </c>
      <c r="C711" s="11" t="s">
        <v>3165</v>
      </c>
      <c r="D711" s="12" t="n">
        <v>53.6</v>
      </c>
      <c r="E711" s="12"/>
      <c r="F711" s="12"/>
      <c r="G711" s="10" t="s">
        <v>401</v>
      </c>
      <c r="H711" s="10" t="s">
        <v>64</v>
      </c>
      <c r="I711" s="11" t="s">
        <v>3021</v>
      </c>
      <c r="J711" s="10" t="s">
        <v>66</v>
      </c>
      <c r="K711" s="10" t="s">
        <v>67</v>
      </c>
      <c r="L711" s="10" t="s">
        <v>68</v>
      </c>
      <c r="M711" s="10" t="s">
        <v>69</v>
      </c>
      <c r="N711" s="10"/>
      <c r="O711" s="11" t="s">
        <v>2851</v>
      </c>
      <c r="P711" s="10" t="s">
        <v>71</v>
      </c>
      <c r="Q711" s="11" t="s">
        <v>72</v>
      </c>
      <c r="R711" s="11" t="s">
        <v>73</v>
      </c>
      <c r="S711" s="11" t="s">
        <v>74</v>
      </c>
      <c r="T711" s="11" t="s">
        <v>3166</v>
      </c>
      <c r="U711" s="10" t="n">
        <f aca="false">IF(AND($D711="",$E711="",$F711=""),1,0)</f>
        <v>0</v>
      </c>
      <c r="V711" s="10" t="n">
        <f aca="false">IF(OR($I711="",$I711="—"),1,0)</f>
        <v>0</v>
      </c>
      <c r="W711" s="10" t="n">
        <f aca="false">IF(AND(ISNUMBER($D711),ISNUMBER($E711)),IF($E711&gt;$D711,1,0),0)+IF(AND(ISNUMBER($D711),ISNUMBER($F711)),IF($D711&gt;$F711,1,0),0)+IF(AND(ISNUMBER($E711),ISNUMBER($F711)),IF($E711&gt;$F711,1,0),0)</f>
        <v>0</v>
      </c>
      <c r="X711" s="13" t="s">
        <v>76</v>
      </c>
    </row>
    <row r="712" customFormat="false" ht="15" hidden="false" customHeight="false" outlineLevel="0" collapsed="false">
      <c r="A712" s="10" t="s">
        <v>3167</v>
      </c>
      <c r="B712" s="10" t="s">
        <v>3168</v>
      </c>
      <c r="C712" s="11" t="s">
        <v>541</v>
      </c>
      <c r="D712" s="12" t="n">
        <v>76.1</v>
      </c>
      <c r="E712" s="12"/>
      <c r="F712" s="12"/>
      <c r="G712" s="10" t="s">
        <v>401</v>
      </c>
      <c r="H712" s="10" t="s">
        <v>64</v>
      </c>
      <c r="I712" s="11" t="s">
        <v>3021</v>
      </c>
      <c r="J712" s="10" t="s">
        <v>66</v>
      </c>
      <c r="K712" s="10" t="s">
        <v>67</v>
      </c>
      <c r="L712" s="10" t="s">
        <v>68</v>
      </c>
      <c r="M712" s="10" t="s">
        <v>69</v>
      </c>
      <c r="N712" s="10"/>
      <c r="O712" s="11" t="s">
        <v>2851</v>
      </c>
      <c r="P712" s="10" t="s">
        <v>71</v>
      </c>
      <c r="Q712" s="11" t="s">
        <v>72</v>
      </c>
      <c r="R712" s="11" t="s">
        <v>73</v>
      </c>
      <c r="S712" s="11" t="s">
        <v>74</v>
      </c>
      <c r="T712" s="11" t="s">
        <v>3169</v>
      </c>
      <c r="U712" s="10" t="n">
        <f aca="false">IF(AND($D712="",$E712="",$F712=""),1,0)</f>
        <v>0</v>
      </c>
      <c r="V712" s="10" t="n">
        <f aca="false">IF(OR($I712="",$I712="—"),1,0)</f>
        <v>0</v>
      </c>
      <c r="W712" s="10" t="n">
        <f aca="false">IF(AND(ISNUMBER($D712),ISNUMBER($E712)),IF($E712&gt;$D712,1,0),0)+IF(AND(ISNUMBER($D712),ISNUMBER($F712)),IF($D712&gt;$F712,1,0),0)+IF(AND(ISNUMBER($E712),ISNUMBER($F712)),IF($E712&gt;$F712,1,0),0)</f>
        <v>0</v>
      </c>
      <c r="X712" s="13" t="s">
        <v>76</v>
      </c>
    </row>
    <row r="713" customFormat="false" ht="15" hidden="false" customHeight="false" outlineLevel="0" collapsed="false">
      <c r="A713" s="10" t="s">
        <v>3170</v>
      </c>
      <c r="B713" s="10" t="s">
        <v>3171</v>
      </c>
      <c r="C713" s="11" t="s">
        <v>3165</v>
      </c>
      <c r="D713" s="12" t="n">
        <v>68.2</v>
      </c>
      <c r="E713" s="12"/>
      <c r="F713" s="12"/>
      <c r="G713" s="10" t="s">
        <v>401</v>
      </c>
      <c r="H713" s="10" t="s">
        <v>79</v>
      </c>
      <c r="I713" s="11" t="s">
        <v>3021</v>
      </c>
      <c r="J713" s="10" t="s">
        <v>66</v>
      </c>
      <c r="K713" s="10" t="s">
        <v>67</v>
      </c>
      <c r="L713" s="10" t="s">
        <v>68</v>
      </c>
      <c r="M713" s="10" t="s">
        <v>69</v>
      </c>
      <c r="N713" s="10"/>
      <c r="O713" s="11" t="s">
        <v>2851</v>
      </c>
      <c r="P713" s="10" t="s">
        <v>71</v>
      </c>
      <c r="Q713" s="11" t="s">
        <v>72</v>
      </c>
      <c r="R713" s="11" t="s">
        <v>73</v>
      </c>
      <c r="S713" s="11" t="s">
        <v>74</v>
      </c>
      <c r="T713" s="11" t="s">
        <v>3166</v>
      </c>
      <c r="U713" s="10" t="n">
        <f aca="false">IF(AND($D713="",$E713="",$F713=""),1,0)</f>
        <v>0</v>
      </c>
      <c r="V713" s="10" t="n">
        <f aca="false">IF(OR($I713="",$I713="—"),1,0)</f>
        <v>0</v>
      </c>
      <c r="W713" s="10" t="n">
        <f aca="false">IF(AND(ISNUMBER($D713),ISNUMBER($E713)),IF($E713&gt;$D713,1,0),0)+IF(AND(ISNUMBER($D713),ISNUMBER($F713)),IF($D713&gt;$F713,1,0),0)+IF(AND(ISNUMBER($E713),ISNUMBER($F713)),IF($E713&gt;$F713,1,0),0)</f>
        <v>0</v>
      </c>
      <c r="X713" s="13" t="s">
        <v>76</v>
      </c>
    </row>
    <row r="714" customFormat="false" ht="15" hidden="false" customHeight="false" outlineLevel="0" collapsed="false">
      <c r="A714" s="10" t="s">
        <v>3172</v>
      </c>
      <c r="B714" s="10" t="s">
        <v>3173</v>
      </c>
      <c r="C714" s="11" t="s">
        <v>541</v>
      </c>
      <c r="D714" s="12" t="n">
        <v>31</v>
      </c>
      <c r="E714" s="12"/>
      <c r="F714" s="12"/>
      <c r="G714" s="10" t="s">
        <v>401</v>
      </c>
      <c r="H714" s="10" t="s">
        <v>79</v>
      </c>
      <c r="I714" s="11" t="s">
        <v>3021</v>
      </c>
      <c r="J714" s="10" t="s">
        <v>66</v>
      </c>
      <c r="K714" s="10" t="s">
        <v>67</v>
      </c>
      <c r="L714" s="10" t="s">
        <v>68</v>
      </c>
      <c r="M714" s="10" t="s">
        <v>69</v>
      </c>
      <c r="N714" s="10"/>
      <c r="O714" s="11" t="s">
        <v>2851</v>
      </c>
      <c r="P714" s="10" t="s">
        <v>71</v>
      </c>
      <c r="Q714" s="11" t="s">
        <v>72</v>
      </c>
      <c r="R714" s="11" t="s">
        <v>73</v>
      </c>
      <c r="S714" s="11" t="s">
        <v>74</v>
      </c>
      <c r="T714" s="11" t="s">
        <v>3169</v>
      </c>
      <c r="U714" s="10" t="n">
        <f aca="false">IF(AND($D714="",$E714="",$F714=""),1,0)</f>
        <v>0</v>
      </c>
      <c r="V714" s="10" t="n">
        <f aca="false">IF(OR($I714="",$I714="—"),1,0)</f>
        <v>0</v>
      </c>
      <c r="W714" s="10" t="n">
        <f aca="false">IF(AND(ISNUMBER($D714),ISNUMBER($E714)),IF($E714&gt;$D714,1,0),0)+IF(AND(ISNUMBER($D714),ISNUMBER($F714)),IF($D714&gt;$F714,1,0),0)+IF(AND(ISNUMBER($E714),ISNUMBER($F714)),IF($E714&gt;$F714,1,0),0)</f>
        <v>0</v>
      </c>
      <c r="X714" s="13" t="s">
        <v>76</v>
      </c>
    </row>
    <row r="715" customFormat="false" ht="15" hidden="false" customHeight="false" outlineLevel="0" collapsed="false">
      <c r="A715" s="10" t="s">
        <v>3174</v>
      </c>
      <c r="B715" s="10" t="s">
        <v>3175</v>
      </c>
      <c r="C715" s="11" t="s">
        <v>3165</v>
      </c>
      <c r="D715" s="12" t="n">
        <v>66</v>
      </c>
      <c r="E715" s="12"/>
      <c r="F715" s="12"/>
      <c r="G715" s="10" t="s">
        <v>401</v>
      </c>
      <c r="H715" s="10" t="s">
        <v>83</v>
      </c>
      <c r="I715" s="11" t="s">
        <v>3021</v>
      </c>
      <c r="J715" s="10" t="s">
        <v>66</v>
      </c>
      <c r="K715" s="10" t="s">
        <v>67</v>
      </c>
      <c r="L715" s="10" t="s">
        <v>68</v>
      </c>
      <c r="M715" s="10" t="s">
        <v>69</v>
      </c>
      <c r="N715" s="10"/>
      <c r="O715" s="11" t="s">
        <v>2851</v>
      </c>
      <c r="P715" s="10" t="s">
        <v>71</v>
      </c>
      <c r="Q715" s="11" t="s">
        <v>72</v>
      </c>
      <c r="R715" s="11" t="s">
        <v>73</v>
      </c>
      <c r="S715" s="11" t="s">
        <v>74</v>
      </c>
      <c r="T715" s="11" t="s">
        <v>3166</v>
      </c>
      <c r="U715" s="10" t="n">
        <f aca="false">IF(AND($D715="",$E715="",$F715=""),1,0)</f>
        <v>0</v>
      </c>
      <c r="V715" s="10" t="n">
        <f aca="false">IF(OR($I715="",$I715="—"),1,0)</f>
        <v>0</v>
      </c>
      <c r="W715" s="10" t="n">
        <f aca="false">IF(AND(ISNUMBER($D715),ISNUMBER($E715)),IF($E715&gt;$D715,1,0),0)+IF(AND(ISNUMBER($D715),ISNUMBER($F715)),IF($D715&gt;$F715,1,0),0)+IF(AND(ISNUMBER($E715),ISNUMBER($F715)),IF($E715&gt;$F715,1,0),0)</f>
        <v>0</v>
      </c>
      <c r="X715" s="13" t="s">
        <v>76</v>
      </c>
    </row>
    <row r="716" customFormat="false" ht="15" hidden="false" customHeight="false" outlineLevel="0" collapsed="false">
      <c r="A716" s="10" t="s">
        <v>3176</v>
      </c>
      <c r="B716" s="10" t="s">
        <v>3177</v>
      </c>
      <c r="C716" s="11" t="s">
        <v>541</v>
      </c>
      <c r="D716" s="12" t="n">
        <v>3.4</v>
      </c>
      <c r="E716" s="12"/>
      <c r="F716" s="12"/>
      <c r="G716" s="10" t="s">
        <v>401</v>
      </c>
      <c r="H716" s="10" t="s">
        <v>83</v>
      </c>
      <c r="I716" s="11" t="s">
        <v>3021</v>
      </c>
      <c r="J716" s="10" t="s">
        <v>66</v>
      </c>
      <c r="K716" s="10" t="s">
        <v>67</v>
      </c>
      <c r="L716" s="10" t="s">
        <v>68</v>
      </c>
      <c r="M716" s="10" t="s">
        <v>69</v>
      </c>
      <c r="N716" s="10"/>
      <c r="O716" s="11" t="s">
        <v>2851</v>
      </c>
      <c r="P716" s="10" t="s">
        <v>71</v>
      </c>
      <c r="Q716" s="11" t="s">
        <v>72</v>
      </c>
      <c r="R716" s="11" t="s">
        <v>73</v>
      </c>
      <c r="S716" s="11" t="s">
        <v>74</v>
      </c>
      <c r="T716" s="11" t="s">
        <v>3169</v>
      </c>
      <c r="U716" s="10" t="n">
        <f aca="false">IF(AND($D716="",$E716="",$F716=""),1,0)</f>
        <v>0</v>
      </c>
      <c r="V716" s="10" t="n">
        <f aca="false">IF(OR($I716="",$I716="—"),1,0)</f>
        <v>0</v>
      </c>
      <c r="W716" s="10" t="n">
        <f aca="false">IF(AND(ISNUMBER($D716),ISNUMBER($E716)),IF($E716&gt;$D716,1,0),0)+IF(AND(ISNUMBER($D716),ISNUMBER($F716)),IF($D716&gt;$F716,1,0),0)+IF(AND(ISNUMBER($E716),ISNUMBER($F716)),IF($E716&gt;$F716,1,0),0)</f>
        <v>0</v>
      </c>
      <c r="X716" s="13" t="s">
        <v>76</v>
      </c>
    </row>
    <row r="717" customFormat="false" ht="15" hidden="false" customHeight="false" outlineLevel="0" collapsed="false">
      <c r="A717" s="10" t="s">
        <v>3178</v>
      </c>
      <c r="B717" s="10" t="s">
        <v>3179</v>
      </c>
      <c r="C717" s="11" t="s">
        <v>3165</v>
      </c>
      <c r="D717" s="12" t="n">
        <v>62.6</v>
      </c>
      <c r="E717" s="12"/>
      <c r="F717" s="12"/>
      <c r="G717" s="10" t="s">
        <v>401</v>
      </c>
      <c r="H717" s="10" t="s">
        <v>87</v>
      </c>
      <c r="I717" s="11" t="s">
        <v>3021</v>
      </c>
      <c r="J717" s="10" t="s">
        <v>66</v>
      </c>
      <c r="K717" s="10" t="s">
        <v>67</v>
      </c>
      <c r="L717" s="10" t="s">
        <v>68</v>
      </c>
      <c r="M717" s="10" t="s">
        <v>69</v>
      </c>
      <c r="N717" s="10"/>
      <c r="O717" s="11" t="s">
        <v>2861</v>
      </c>
      <c r="P717" s="10" t="s">
        <v>71</v>
      </c>
      <c r="Q717" s="11" t="s">
        <v>72</v>
      </c>
      <c r="R717" s="11" t="s">
        <v>73</v>
      </c>
      <c r="S717" s="11" t="s">
        <v>74</v>
      </c>
      <c r="T717" s="11" t="s">
        <v>3166</v>
      </c>
      <c r="U717" s="10" t="n">
        <f aca="false">IF(AND($D717="",$E717="",$F717=""),1,0)</f>
        <v>0</v>
      </c>
      <c r="V717" s="10" t="n">
        <f aca="false">IF(OR($I717="",$I717="—"),1,0)</f>
        <v>0</v>
      </c>
      <c r="W717" s="10" t="n">
        <f aca="false">IF(AND(ISNUMBER($D717),ISNUMBER($E717)),IF($E717&gt;$D717,1,0),0)+IF(AND(ISNUMBER($D717),ISNUMBER($F717)),IF($D717&gt;$F717,1,0),0)+IF(AND(ISNUMBER($E717),ISNUMBER($F717)),IF($E717&gt;$F717,1,0),0)</f>
        <v>0</v>
      </c>
      <c r="X717" s="13" t="s">
        <v>76</v>
      </c>
    </row>
    <row r="718" customFormat="false" ht="15" hidden="false" customHeight="false" outlineLevel="0" collapsed="false">
      <c r="A718" s="10" t="s">
        <v>3180</v>
      </c>
      <c r="B718" s="10" t="s">
        <v>3181</v>
      </c>
      <c r="C718" s="11" t="s">
        <v>541</v>
      </c>
      <c r="D718" s="12" t="n">
        <v>28.6</v>
      </c>
      <c r="E718" s="12"/>
      <c r="F718" s="12"/>
      <c r="G718" s="10" t="s">
        <v>401</v>
      </c>
      <c r="H718" s="10" t="s">
        <v>87</v>
      </c>
      <c r="I718" s="11" t="s">
        <v>3021</v>
      </c>
      <c r="J718" s="10" t="s">
        <v>66</v>
      </c>
      <c r="K718" s="10" t="s">
        <v>67</v>
      </c>
      <c r="L718" s="10" t="s">
        <v>68</v>
      </c>
      <c r="M718" s="10" t="s">
        <v>69</v>
      </c>
      <c r="N718" s="10"/>
      <c r="O718" s="11" t="s">
        <v>2861</v>
      </c>
      <c r="P718" s="10" t="s">
        <v>71</v>
      </c>
      <c r="Q718" s="11" t="s">
        <v>72</v>
      </c>
      <c r="R718" s="11" t="s">
        <v>73</v>
      </c>
      <c r="S718" s="11" t="s">
        <v>74</v>
      </c>
      <c r="T718" s="11" t="s">
        <v>3169</v>
      </c>
      <c r="U718" s="10" t="n">
        <f aca="false">IF(AND($D718="",$E718="",$F718=""),1,0)</f>
        <v>0</v>
      </c>
      <c r="V718" s="10" t="n">
        <f aca="false">IF(OR($I718="",$I718="—"),1,0)</f>
        <v>0</v>
      </c>
      <c r="W718" s="10" t="n">
        <f aca="false">IF(AND(ISNUMBER($D718),ISNUMBER($E718)),IF($E718&gt;$D718,1,0),0)+IF(AND(ISNUMBER($D718),ISNUMBER($F718)),IF($D718&gt;$F718,1,0),0)+IF(AND(ISNUMBER($E718),ISNUMBER($F718)),IF($E718&gt;$F718,1,0),0)</f>
        <v>0</v>
      </c>
      <c r="X718" s="13" t="s">
        <v>76</v>
      </c>
    </row>
    <row r="719" customFormat="false" ht="15" hidden="false" customHeight="false" outlineLevel="0" collapsed="false">
      <c r="A719" s="10" t="s">
        <v>3182</v>
      </c>
      <c r="B719" s="10" t="s">
        <v>3183</v>
      </c>
      <c r="C719" s="11" t="s">
        <v>3165</v>
      </c>
      <c r="D719" s="12" t="n">
        <v>59.1</v>
      </c>
      <c r="E719" s="12"/>
      <c r="F719" s="12"/>
      <c r="G719" s="10" t="s">
        <v>401</v>
      </c>
      <c r="H719" s="10" t="s">
        <v>92</v>
      </c>
      <c r="I719" s="11" t="s">
        <v>3021</v>
      </c>
      <c r="J719" s="10" t="s">
        <v>66</v>
      </c>
      <c r="K719" s="10" t="s">
        <v>67</v>
      </c>
      <c r="L719" s="10" t="s">
        <v>68</v>
      </c>
      <c r="M719" s="10" t="s">
        <v>69</v>
      </c>
      <c r="N719" s="10"/>
      <c r="O719" s="11" t="s">
        <v>2865</v>
      </c>
      <c r="P719" s="10" t="s">
        <v>71</v>
      </c>
      <c r="Q719" s="11" t="s">
        <v>72</v>
      </c>
      <c r="R719" s="11" t="s">
        <v>73</v>
      </c>
      <c r="S719" s="11" t="s">
        <v>74</v>
      </c>
      <c r="T719" s="11" t="s">
        <v>3166</v>
      </c>
      <c r="U719" s="10" t="n">
        <f aca="false">IF(AND($D719="",$E719="",$F719=""),1,0)</f>
        <v>0</v>
      </c>
      <c r="V719" s="10" t="n">
        <f aca="false">IF(OR($I719="",$I719="—"),1,0)</f>
        <v>0</v>
      </c>
      <c r="W719" s="10" t="n">
        <f aca="false">IF(AND(ISNUMBER($D719),ISNUMBER($E719)),IF($E719&gt;$D719,1,0),0)+IF(AND(ISNUMBER($D719),ISNUMBER($F719)),IF($D719&gt;$F719,1,0),0)+IF(AND(ISNUMBER($E719),ISNUMBER($F719)),IF($E719&gt;$F719,1,0),0)</f>
        <v>0</v>
      </c>
      <c r="X719" s="13" t="s">
        <v>76</v>
      </c>
    </row>
    <row r="720" customFormat="false" ht="15" hidden="false" customHeight="false" outlineLevel="0" collapsed="false">
      <c r="A720" s="10" t="s">
        <v>3184</v>
      </c>
      <c r="B720" s="10" t="s">
        <v>3185</v>
      </c>
      <c r="C720" s="11" t="s">
        <v>541</v>
      </c>
      <c r="D720" s="12" t="n">
        <v>-0.4</v>
      </c>
      <c r="E720" s="12"/>
      <c r="F720" s="12"/>
      <c r="G720" s="10" t="s">
        <v>401</v>
      </c>
      <c r="H720" s="10" t="s">
        <v>92</v>
      </c>
      <c r="I720" s="11" t="s">
        <v>3021</v>
      </c>
      <c r="J720" s="10" t="s">
        <v>66</v>
      </c>
      <c r="K720" s="10" t="s">
        <v>67</v>
      </c>
      <c r="L720" s="10" t="s">
        <v>68</v>
      </c>
      <c r="M720" s="10" t="s">
        <v>69</v>
      </c>
      <c r="N720" s="10"/>
      <c r="O720" s="11" t="s">
        <v>2865</v>
      </c>
      <c r="P720" s="10" t="s">
        <v>71</v>
      </c>
      <c r="Q720" s="11" t="s">
        <v>72</v>
      </c>
      <c r="R720" s="11" t="s">
        <v>73</v>
      </c>
      <c r="S720" s="11" t="s">
        <v>74</v>
      </c>
      <c r="T720" s="11" t="s">
        <v>3169</v>
      </c>
      <c r="U720" s="10" t="n">
        <f aca="false">IF(AND($D720="",$E720="",$F720=""),1,0)</f>
        <v>0</v>
      </c>
      <c r="V720" s="10" t="n">
        <f aca="false">IF(OR($I720="",$I720="—"),1,0)</f>
        <v>0</v>
      </c>
      <c r="W720" s="10" t="n">
        <f aca="false">IF(AND(ISNUMBER($D720),ISNUMBER($E720)),IF($E720&gt;$D720,1,0),0)+IF(AND(ISNUMBER($D720),ISNUMBER($F720)),IF($D720&gt;$F720,1,0),0)+IF(AND(ISNUMBER($E720),ISNUMBER($F720)),IF($E720&gt;$F720,1,0),0)</f>
        <v>0</v>
      </c>
      <c r="X720" s="13" t="s">
        <v>76</v>
      </c>
    </row>
    <row r="721" customFormat="false" ht="15" hidden="false" customHeight="false" outlineLevel="0" collapsed="false">
      <c r="A721" s="10" t="s">
        <v>3186</v>
      </c>
      <c r="B721" s="10" t="s">
        <v>3187</v>
      </c>
      <c r="C721" s="11" t="s">
        <v>3188</v>
      </c>
      <c r="D721" s="12"/>
      <c r="E721" s="12"/>
      <c r="F721" s="12"/>
      <c r="G721" s="11" t="s">
        <v>2957</v>
      </c>
      <c r="H721" s="10" t="s">
        <v>2958</v>
      </c>
      <c r="I721" s="11" t="s">
        <v>3189</v>
      </c>
      <c r="J721" s="10" t="s">
        <v>66</v>
      </c>
      <c r="K721" s="10" t="s">
        <v>67</v>
      </c>
      <c r="L721" s="10" t="s">
        <v>68</v>
      </c>
      <c r="M721" s="10" t="s">
        <v>69</v>
      </c>
      <c r="N721" s="10"/>
      <c r="O721" s="11" t="s">
        <v>2960</v>
      </c>
      <c r="P721" s="10" t="s">
        <v>71</v>
      </c>
      <c r="Q721" s="11" t="s">
        <v>72</v>
      </c>
      <c r="R721" s="11" t="s">
        <v>73</v>
      </c>
      <c r="S721" s="11" t="s">
        <v>74</v>
      </c>
      <c r="T721" s="11" t="s">
        <v>3190</v>
      </c>
      <c r="U721" s="10" t="n">
        <f aca="false">IF(AND($D721="",$E721="",$F721=""),1,0)</f>
        <v>1</v>
      </c>
      <c r="V721" s="10" t="n">
        <f aca="false">IF(OR($I721="",$I721="—"),1,0)</f>
        <v>0</v>
      </c>
      <c r="W721" s="10" t="n">
        <f aca="false">IF(AND(ISNUMBER($D721),ISNUMBER($E721)),IF($E721&gt;$D721,1,0),0)+IF(AND(ISNUMBER($D721),ISNUMBER($F721)),IF($D721&gt;$F721,1,0),0)+IF(AND(ISNUMBER($E721),ISNUMBER($F721)),IF($E721&gt;$F721,1,0),0)</f>
        <v>0</v>
      </c>
      <c r="X721" s="13" t="s">
        <v>76</v>
      </c>
    </row>
    <row r="722" customFormat="false" ht="15" hidden="false" customHeight="false" outlineLevel="0" collapsed="false">
      <c r="A722" s="10" t="s">
        <v>3191</v>
      </c>
      <c r="B722" s="10" t="s">
        <v>3192</v>
      </c>
      <c r="C722" s="11" t="s">
        <v>3193</v>
      </c>
      <c r="D722" s="12" t="n">
        <v>0</v>
      </c>
      <c r="E722" s="12"/>
      <c r="F722" s="12"/>
      <c r="G722" s="10" t="s">
        <v>63</v>
      </c>
      <c r="H722" s="10" t="s">
        <v>64</v>
      </c>
      <c r="I722" s="11" t="s">
        <v>3194</v>
      </c>
      <c r="J722" s="10" t="s">
        <v>66</v>
      </c>
      <c r="K722" s="10" t="s">
        <v>67</v>
      </c>
      <c r="L722" s="10" t="s">
        <v>68</v>
      </c>
      <c r="M722" s="10" t="s">
        <v>69</v>
      </c>
      <c r="N722" s="10"/>
      <c r="O722" s="11" t="s">
        <v>2851</v>
      </c>
      <c r="P722" s="10" t="s">
        <v>71</v>
      </c>
      <c r="Q722" s="11" t="s">
        <v>72</v>
      </c>
      <c r="R722" s="11" t="s">
        <v>73</v>
      </c>
      <c r="S722" s="11" t="s">
        <v>74</v>
      </c>
      <c r="T722" s="11" t="s">
        <v>3195</v>
      </c>
      <c r="U722" s="10" t="n">
        <f aca="false">IF(AND($D722="",$E722="",$F722=""),1,0)</f>
        <v>0</v>
      </c>
      <c r="V722" s="10" t="n">
        <f aca="false">IF(OR($I722="",$I722="—"),1,0)</f>
        <v>0</v>
      </c>
      <c r="W722" s="10" t="n">
        <f aca="false">IF(AND(ISNUMBER($D722),ISNUMBER($E722)),IF($E722&gt;$D722,1,0),0)+IF(AND(ISNUMBER($D722),ISNUMBER($F722)),IF($D722&gt;$F722,1,0),0)+IF(AND(ISNUMBER($E722),ISNUMBER($F722)),IF($E722&gt;$F722,1,0),0)</f>
        <v>0</v>
      </c>
      <c r="X722" s="13" t="s">
        <v>76</v>
      </c>
    </row>
    <row r="723" customFormat="false" ht="15" hidden="false" customHeight="false" outlineLevel="0" collapsed="false">
      <c r="A723" s="10" t="s">
        <v>3196</v>
      </c>
      <c r="B723" s="10" t="s">
        <v>3197</v>
      </c>
      <c r="C723" s="11" t="s">
        <v>3193</v>
      </c>
      <c r="D723" s="12" t="n">
        <v>0.0185</v>
      </c>
      <c r="E723" s="12"/>
      <c r="F723" s="12"/>
      <c r="G723" s="10" t="s">
        <v>63</v>
      </c>
      <c r="H723" s="10" t="s">
        <v>79</v>
      </c>
      <c r="I723" s="11" t="s">
        <v>3194</v>
      </c>
      <c r="J723" s="10" t="s">
        <v>66</v>
      </c>
      <c r="K723" s="10" t="s">
        <v>67</v>
      </c>
      <c r="L723" s="10" t="s">
        <v>68</v>
      </c>
      <c r="M723" s="10" t="s">
        <v>69</v>
      </c>
      <c r="N723" s="10"/>
      <c r="O723" s="11" t="s">
        <v>2851</v>
      </c>
      <c r="P723" s="10" t="s">
        <v>71</v>
      </c>
      <c r="Q723" s="11" t="s">
        <v>72</v>
      </c>
      <c r="R723" s="11" t="s">
        <v>73</v>
      </c>
      <c r="S723" s="11" t="s">
        <v>74</v>
      </c>
      <c r="T723" s="11" t="s">
        <v>3198</v>
      </c>
      <c r="U723" s="10" t="n">
        <f aca="false">IF(AND($D723="",$E723="",$F723=""),1,0)</f>
        <v>0</v>
      </c>
      <c r="V723" s="10" t="n">
        <f aca="false">IF(OR($I723="",$I723="—"),1,0)</f>
        <v>0</v>
      </c>
      <c r="W723" s="10" t="n">
        <f aca="false">IF(AND(ISNUMBER($D723),ISNUMBER($E723)),IF($E723&gt;$D723,1,0),0)+IF(AND(ISNUMBER($D723),ISNUMBER($F723)),IF($D723&gt;$F723,1,0),0)+IF(AND(ISNUMBER($E723),ISNUMBER($F723)),IF($E723&gt;$F723,1,0),0)</f>
        <v>0</v>
      </c>
      <c r="X723" s="13" t="s">
        <v>76</v>
      </c>
    </row>
    <row r="724" customFormat="false" ht="15" hidden="false" customHeight="false" outlineLevel="0" collapsed="false">
      <c r="A724" s="10" t="s">
        <v>3199</v>
      </c>
      <c r="B724" s="10" t="s">
        <v>3200</v>
      </c>
      <c r="C724" s="11" t="s">
        <v>3193</v>
      </c>
      <c r="D724" s="12" t="n">
        <v>0.1284</v>
      </c>
      <c r="E724" s="12"/>
      <c r="F724" s="12"/>
      <c r="G724" s="10" t="s">
        <v>63</v>
      </c>
      <c r="H724" s="10" t="s">
        <v>83</v>
      </c>
      <c r="I724" s="11" t="s">
        <v>3194</v>
      </c>
      <c r="J724" s="10" t="s">
        <v>66</v>
      </c>
      <c r="K724" s="10" t="s">
        <v>67</v>
      </c>
      <c r="L724" s="10" t="s">
        <v>68</v>
      </c>
      <c r="M724" s="10" t="s">
        <v>69</v>
      </c>
      <c r="N724" s="10"/>
      <c r="O724" s="11" t="s">
        <v>2851</v>
      </c>
      <c r="P724" s="10" t="s">
        <v>71</v>
      </c>
      <c r="Q724" s="11" t="s">
        <v>72</v>
      </c>
      <c r="R724" s="11" t="s">
        <v>73</v>
      </c>
      <c r="S724" s="11" t="s">
        <v>74</v>
      </c>
      <c r="T724" s="11" t="s">
        <v>3201</v>
      </c>
      <c r="U724" s="10" t="n">
        <f aca="false">IF(AND($D724="",$E724="",$F724=""),1,0)</f>
        <v>0</v>
      </c>
      <c r="V724" s="10" t="n">
        <f aca="false">IF(OR($I724="",$I724="—"),1,0)</f>
        <v>0</v>
      </c>
      <c r="W724" s="10" t="n">
        <f aca="false">IF(AND(ISNUMBER($D724),ISNUMBER($E724)),IF($E724&gt;$D724,1,0),0)+IF(AND(ISNUMBER($D724),ISNUMBER($F724)),IF($D724&gt;$F724,1,0),0)+IF(AND(ISNUMBER($E724),ISNUMBER($F724)),IF($E724&gt;$F724,1,0),0)</f>
        <v>0</v>
      </c>
      <c r="X724" s="13" t="s">
        <v>76</v>
      </c>
    </row>
    <row r="725" customFormat="false" ht="15" hidden="false" customHeight="false" outlineLevel="0" collapsed="false">
      <c r="A725" s="10" t="s">
        <v>3202</v>
      </c>
      <c r="B725" s="10" t="s">
        <v>3203</v>
      </c>
      <c r="C725" s="11" t="s">
        <v>3193</v>
      </c>
      <c r="D725" s="12" t="n">
        <v>0.0229</v>
      </c>
      <c r="E725" s="12"/>
      <c r="F725" s="12"/>
      <c r="G725" s="10" t="s">
        <v>63</v>
      </c>
      <c r="H725" s="10" t="s">
        <v>87</v>
      </c>
      <c r="I725" s="11" t="s">
        <v>3194</v>
      </c>
      <c r="J725" s="10" t="s">
        <v>66</v>
      </c>
      <c r="K725" s="10" t="s">
        <v>67</v>
      </c>
      <c r="L725" s="10" t="s">
        <v>68</v>
      </c>
      <c r="M725" s="10" t="s">
        <v>69</v>
      </c>
      <c r="N725" s="10"/>
      <c r="O725" s="11" t="s">
        <v>2861</v>
      </c>
      <c r="P725" s="10" t="s">
        <v>71</v>
      </c>
      <c r="Q725" s="11" t="s">
        <v>72</v>
      </c>
      <c r="R725" s="11" t="s">
        <v>73</v>
      </c>
      <c r="S725" s="11" t="s">
        <v>74</v>
      </c>
      <c r="T725" s="11" t="s">
        <v>3204</v>
      </c>
      <c r="U725" s="10" t="n">
        <f aca="false">IF(AND($D725="",$E725="",$F725=""),1,0)</f>
        <v>0</v>
      </c>
      <c r="V725" s="10" t="n">
        <f aca="false">IF(OR($I725="",$I725="—"),1,0)</f>
        <v>0</v>
      </c>
      <c r="W725" s="10" t="n">
        <f aca="false">IF(AND(ISNUMBER($D725),ISNUMBER($E725)),IF($E725&gt;$D725,1,0),0)+IF(AND(ISNUMBER($D725),ISNUMBER($F725)),IF($D725&gt;$F725,1,0),0)+IF(AND(ISNUMBER($E725),ISNUMBER($F725)),IF($E725&gt;$F725,1,0),0)</f>
        <v>0</v>
      </c>
      <c r="X725" s="13" t="s">
        <v>76</v>
      </c>
    </row>
    <row r="726" customFormat="false" ht="15" hidden="false" customHeight="false" outlineLevel="0" collapsed="false">
      <c r="A726" s="10" t="s">
        <v>3205</v>
      </c>
      <c r="B726" s="10" t="s">
        <v>3206</v>
      </c>
      <c r="C726" s="11" t="s">
        <v>3193</v>
      </c>
      <c r="D726" s="12" t="n">
        <v>0.2056</v>
      </c>
      <c r="E726" s="12"/>
      <c r="F726" s="12"/>
      <c r="G726" s="10" t="s">
        <v>63</v>
      </c>
      <c r="H726" s="10" t="s">
        <v>92</v>
      </c>
      <c r="I726" s="11" t="s">
        <v>3194</v>
      </c>
      <c r="J726" s="10" t="s">
        <v>66</v>
      </c>
      <c r="K726" s="10" t="s">
        <v>67</v>
      </c>
      <c r="L726" s="10" t="s">
        <v>68</v>
      </c>
      <c r="M726" s="10" t="s">
        <v>69</v>
      </c>
      <c r="N726" s="10"/>
      <c r="O726" s="11" t="s">
        <v>2865</v>
      </c>
      <c r="P726" s="10" t="s">
        <v>71</v>
      </c>
      <c r="Q726" s="11" t="s">
        <v>72</v>
      </c>
      <c r="R726" s="11" t="s">
        <v>73</v>
      </c>
      <c r="S726" s="11" t="s">
        <v>74</v>
      </c>
      <c r="T726" s="11" t="s">
        <v>3207</v>
      </c>
      <c r="U726" s="10" t="n">
        <f aca="false">IF(AND($D726="",$E726="",$F726=""),1,0)</f>
        <v>0</v>
      </c>
      <c r="V726" s="10" t="n">
        <f aca="false">IF(OR($I726="",$I726="—"),1,0)</f>
        <v>0</v>
      </c>
      <c r="W726" s="10" t="n">
        <f aca="false">IF(AND(ISNUMBER($D726),ISNUMBER($E726)),IF($E726&gt;$D726,1,0),0)+IF(AND(ISNUMBER($D726),ISNUMBER($F726)),IF($D726&gt;$F726,1,0),0)+IF(AND(ISNUMBER($E726),ISNUMBER($F726)),IF($E726&gt;$F726,1,0),0)</f>
        <v>0</v>
      </c>
      <c r="X726" s="13" t="s">
        <v>76</v>
      </c>
    </row>
    <row r="727" customFormat="false" ht="15" hidden="false" customHeight="false" outlineLevel="0" collapsed="false">
      <c r="A727" s="10" t="s">
        <v>3208</v>
      </c>
      <c r="B727" s="10" t="s">
        <v>3209</v>
      </c>
      <c r="C727" s="11" t="s">
        <v>3210</v>
      </c>
      <c r="D727" s="12" t="n">
        <v>0.1138</v>
      </c>
      <c r="E727" s="12"/>
      <c r="F727" s="12"/>
      <c r="G727" s="10" t="s">
        <v>63</v>
      </c>
      <c r="H727" s="10" t="s">
        <v>64</v>
      </c>
      <c r="I727" s="11" t="s">
        <v>3194</v>
      </c>
      <c r="J727" s="10" t="s">
        <v>66</v>
      </c>
      <c r="K727" s="10" t="s">
        <v>67</v>
      </c>
      <c r="L727" s="10" t="s">
        <v>68</v>
      </c>
      <c r="M727" s="10" t="s">
        <v>69</v>
      </c>
      <c r="N727" s="10"/>
      <c r="O727" s="11" t="s">
        <v>2851</v>
      </c>
      <c r="P727" s="10" t="s">
        <v>71</v>
      </c>
      <c r="Q727" s="11" t="s">
        <v>72</v>
      </c>
      <c r="R727" s="11" t="s">
        <v>73</v>
      </c>
      <c r="S727" s="11" t="s">
        <v>74</v>
      </c>
      <c r="T727" s="11" t="s">
        <v>3211</v>
      </c>
      <c r="U727" s="10" t="n">
        <f aca="false">IF(AND($D727="",$E727="",$F727=""),1,0)</f>
        <v>0</v>
      </c>
      <c r="V727" s="10" t="n">
        <f aca="false">IF(OR($I727="",$I727="—"),1,0)</f>
        <v>0</v>
      </c>
      <c r="W727" s="10" t="n">
        <f aca="false">IF(AND(ISNUMBER($D727),ISNUMBER($E727)),IF($E727&gt;$D727,1,0),0)+IF(AND(ISNUMBER($D727),ISNUMBER($F727)),IF($D727&gt;$F727,1,0),0)+IF(AND(ISNUMBER($E727),ISNUMBER($F727)),IF($E727&gt;$F727,1,0),0)</f>
        <v>0</v>
      </c>
      <c r="X727" s="13" t="s">
        <v>76</v>
      </c>
    </row>
    <row r="728" customFormat="false" ht="15" hidden="false" customHeight="false" outlineLevel="0" collapsed="false">
      <c r="A728" s="10" t="s">
        <v>3212</v>
      </c>
      <c r="B728" s="10" t="s">
        <v>3213</v>
      </c>
      <c r="C728" s="11" t="s">
        <v>3210</v>
      </c>
      <c r="D728" s="12" t="n">
        <v>0.3033</v>
      </c>
      <c r="E728" s="12"/>
      <c r="F728" s="12"/>
      <c r="G728" s="10" t="s">
        <v>63</v>
      </c>
      <c r="H728" s="10" t="s">
        <v>79</v>
      </c>
      <c r="I728" s="11" t="s">
        <v>3194</v>
      </c>
      <c r="J728" s="10" t="s">
        <v>66</v>
      </c>
      <c r="K728" s="10" t="s">
        <v>67</v>
      </c>
      <c r="L728" s="10" t="s">
        <v>68</v>
      </c>
      <c r="M728" s="10" t="s">
        <v>69</v>
      </c>
      <c r="N728" s="10"/>
      <c r="O728" s="11" t="s">
        <v>2851</v>
      </c>
      <c r="P728" s="10" t="s">
        <v>71</v>
      </c>
      <c r="Q728" s="11" t="s">
        <v>72</v>
      </c>
      <c r="R728" s="11" t="s">
        <v>73</v>
      </c>
      <c r="S728" s="11" t="s">
        <v>74</v>
      </c>
      <c r="T728" s="11" t="s">
        <v>3214</v>
      </c>
      <c r="U728" s="10" t="n">
        <f aca="false">IF(AND($D728="",$E728="",$F728=""),1,0)</f>
        <v>0</v>
      </c>
      <c r="V728" s="10" t="n">
        <f aca="false">IF(OR($I728="",$I728="—"),1,0)</f>
        <v>0</v>
      </c>
      <c r="W728" s="10" t="n">
        <f aca="false">IF(AND(ISNUMBER($D728),ISNUMBER($E728)),IF($E728&gt;$D728,1,0),0)+IF(AND(ISNUMBER($D728),ISNUMBER($F728)),IF($D728&gt;$F728,1,0),0)+IF(AND(ISNUMBER($E728),ISNUMBER($F728)),IF($E728&gt;$F728,1,0),0)</f>
        <v>0</v>
      </c>
      <c r="X728" s="13" t="s">
        <v>76</v>
      </c>
    </row>
    <row r="729" customFormat="false" ht="15" hidden="false" customHeight="false" outlineLevel="0" collapsed="false">
      <c r="A729" s="10" t="s">
        <v>3215</v>
      </c>
      <c r="B729" s="10" t="s">
        <v>3216</v>
      </c>
      <c r="C729" s="11" t="s">
        <v>3210</v>
      </c>
      <c r="D729" s="12" t="n">
        <v>0.9369</v>
      </c>
      <c r="E729" s="12"/>
      <c r="F729" s="12"/>
      <c r="G729" s="10" t="s">
        <v>63</v>
      </c>
      <c r="H729" s="10" t="s">
        <v>83</v>
      </c>
      <c r="I729" s="11" t="s">
        <v>3194</v>
      </c>
      <c r="J729" s="10" t="s">
        <v>66</v>
      </c>
      <c r="K729" s="10" t="s">
        <v>67</v>
      </c>
      <c r="L729" s="10" t="s">
        <v>68</v>
      </c>
      <c r="M729" s="10" t="s">
        <v>69</v>
      </c>
      <c r="N729" s="10"/>
      <c r="O729" s="11" t="s">
        <v>2851</v>
      </c>
      <c r="P729" s="10" t="s">
        <v>71</v>
      </c>
      <c r="Q729" s="11" t="s">
        <v>72</v>
      </c>
      <c r="R729" s="11" t="s">
        <v>73</v>
      </c>
      <c r="S729" s="11" t="s">
        <v>74</v>
      </c>
      <c r="T729" s="11" t="s">
        <v>3217</v>
      </c>
      <c r="U729" s="10" t="n">
        <f aca="false">IF(AND($D729="",$E729="",$F729=""),1,0)</f>
        <v>0</v>
      </c>
      <c r="V729" s="10" t="n">
        <f aca="false">IF(OR($I729="",$I729="—"),1,0)</f>
        <v>0</v>
      </c>
      <c r="W729" s="10" t="n">
        <f aca="false">IF(AND(ISNUMBER($D729),ISNUMBER($E729)),IF($E729&gt;$D729,1,0),0)+IF(AND(ISNUMBER($D729),ISNUMBER($F729)),IF($D729&gt;$F729,1,0),0)+IF(AND(ISNUMBER($E729),ISNUMBER($F729)),IF($E729&gt;$F729,1,0),0)</f>
        <v>0</v>
      </c>
      <c r="X729" s="13" t="s">
        <v>76</v>
      </c>
    </row>
    <row r="730" customFormat="false" ht="15" hidden="false" customHeight="false" outlineLevel="0" collapsed="false">
      <c r="A730" s="10" t="s">
        <v>3218</v>
      </c>
      <c r="B730" s="10" t="s">
        <v>3219</v>
      </c>
      <c r="C730" s="11" t="s">
        <v>3210</v>
      </c>
      <c r="D730" s="12" t="n">
        <v>0.4449</v>
      </c>
      <c r="E730" s="12"/>
      <c r="F730" s="12"/>
      <c r="G730" s="10" t="s">
        <v>63</v>
      </c>
      <c r="H730" s="10" t="s">
        <v>87</v>
      </c>
      <c r="I730" s="11" t="s">
        <v>3194</v>
      </c>
      <c r="J730" s="10" t="s">
        <v>66</v>
      </c>
      <c r="K730" s="10" t="s">
        <v>67</v>
      </c>
      <c r="L730" s="10" t="s">
        <v>68</v>
      </c>
      <c r="M730" s="10" t="s">
        <v>69</v>
      </c>
      <c r="N730" s="10"/>
      <c r="O730" s="11" t="s">
        <v>2861</v>
      </c>
      <c r="P730" s="10" t="s">
        <v>71</v>
      </c>
      <c r="Q730" s="11" t="s">
        <v>72</v>
      </c>
      <c r="R730" s="11" t="s">
        <v>73</v>
      </c>
      <c r="S730" s="11" t="s">
        <v>74</v>
      </c>
      <c r="T730" s="11" t="s">
        <v>3220</v>
      </c>
      <c r="U730" s="10" t="n">
        <f aca="false">IF(AND($D730="",$E730="",$F730=""),1,0)</f>
        <v>0</v>
      </c>
      <c r="V730" s="10" t="n">
        <f aca="false">IF(OR($I730="",$I730="—"),1,0)</f>
        <v>0</v>
      </c>
      <c r="W730" s="10" t="n">
        <f aca="false">IF(AND(ISNUMBER($D730),ISNUMBER($E730)),IF($E730&gt;$D730,1,0),0)+IF(AND(ISNUMBER($D730),ISNUMBER($F730)),IF($D730&gt;$F730,1,0),0)+IF(AND(ISNUMBER($E730),ISNUMBER($F730)),IF($E730&gt;$F730,1,0),0)</f>
        <v>0</v>
      </c>
      <c r="X730" s="13" t="s">
        <v>76</v>
      </c>
    </row>
    <row r="731" customFormat="false" ht="15" hidden="false" customHeight="false" outlineLevel="0" collapsed="false">
      <c r="A731" s="10" t="s">
        <v>3221</v>
      </c>
      <c r="B731" s="10" t="s">
        <v>3222</v>
      </c>
      <c r="C731" s="11" t="s">
        <v>3210</v>
      </c>
      <c r="D731" s="12" t="n">
        <v>0.7174</v>
      </c>
      <c r="E731" s="12"/>
      <c r="F731" s="12"/>
      <c r="G731" s="10" t="s">
        <v>63</v>
      </c>
      <c r="H731" s="10" t="s">
        <v>92</v>
      </c>
      <c r="I731" s="11" t="s">
        <v>3194</v>
      </c>
      <c r="J731" s="10" t="s">
        <v>66</v>
      </c>
      <c r="K731" s="10" t="s">
        <v>67</v>
      </c>
      <c r="L731" s="10" t="s">
        <v>68</v>
      </c>
      <c r="M731" s="10" t="s">
        <v>69</v>
      </c>
      <c r="N731" s="10"/>
      <c r="O731" s="11" t="s">
        <v>2865</v>
      </c>
      <c r="P731" s="10" t="s">
        <v>71</v>
      </c>
      <c r="Q731" s="11" t="s">
        <v>72</v>
      </c>
      <c r="R731" s="11" t="s">
        <v>73</v>
      </c>
      <c r="S731" s="11" t="s">
        <v>74</v>
      </c>
      <c r="T731" s="11" t="s">
        <v>3223</v>
      </c>
      <c r="U731" s="10" t="n">
        <f aca="false">IF(AND($D731="",$E731="",$F731=""),1,0)</f>
        <v>0</v>
      </c>
      <c r="V731" s="10" t="n">
        <f aca="false">IF(OR($I731="",$I731="—"),1,0)</f>
        <v>0</v>
      </c>
      <c r="W731" s="10" t="n">
        <f aca="false">IF(AND(ISNUMBER($D731),ISNUMBER($E731)),IF($E731&gt;$D731,1,0),0)+IF(AND(ISNUMBER($D731),ISNUMBER($F731)),IF($D731&gt;$F731,1,0),0)+IF(AND(ISNUMBER($E731),ISNUMBER($F731)),IF($E731&gt;$F731,1,0),0)</f>
        <v>0</v>
      </c>
      <c r="X731" s="13" t="s">
        <v>76</v>
      </c>
    </row>
    <row r="732" customFormat="false" ht="15" hidden="false" customHeight="false" outlineLevel="0" collapsed="false">
      <c r="A732" s="10" t="s">
        <v>3224</v>
      </c>
      <c r="B732" s="10" t="s">
        <v>3225</v>
      </c>
      <c r="C732" s="11" t="s">
        <v>3226</v>
      </c>
      <c r="D732" s="12" t="n">
        <v>0.0117</v>
      </c>
      <c r="E732" s="12"/>
      <c r="F732" s="12"/>
      <c r="G732" s="10" t="s">
        <v>63</v>
      </c>
      <c r="H732" s="10" t="s">
        <v>64</v>
      </c>
      <c r="I732" s="11" t="s">
        <v>3194</v>
      </c>
      <c r="J732" s="10" t="s">
        <v>66</v>
      </c>
      <c r="K732" s="10" t="s">
        <v>67</v>
      </c>
      <c r="L732" s="10" t="s">
        <v>68</v>
      </c>
      <c r="M732" s="10" t="s">
        <v>69</v>
      </c>
      <c r="N732" s="10"/>
      <c r="O732" s="11" t="s">
        <v>2851</v>
      </c>
      <c r="P732" s="10" t="s">
        <v>71</v>
      </c>
      <c r="Q732" s="11" t="s">
        <v>72</v>
      </c>
      <c r="R732" s="11" t="s">
        <v>73</v>
      </c>
      <c r="S732" s="11" t="s">
        <v>74</v>
      </c>
      <c r="T732" s="11" t="s">
        <v>3227</v>
      </c>
      <c r="U732" s="10" t="n">
        <f aca="false">IF(AND($D732="",$E732="",$F732=""),1,0)</f>
        <v>0</v>
      </c>
      <c r="V732" s="10" t="n">
        <f aca="false">IF(OR($I732="",$I732="—"),1,0)</f>
        <v>0</v>
      </c>
      <c r="W732" s="10" t="n">
        <f aca="false">IF(AND(ISNUMBER($D732),ISNUMBER($E732)),IF($E732&gt;$D732,1,0),0)+IF(AND(ISNUMBER($D732),ISNUMBER($F732)),IF($D732&gt;$F732,1,0),0)+IF(AND(ISNUMBER($E732),ISNUMBER($F732)),IF($E732&gt;$F732,1,0),0)</f>
        <v>0</v>
      </c>
      <c r="X732" s="13" t="s">
        <v>76</v>
      </c>
    </row>
    <row r="733" customFormat="false" ht="15" hidden="false" customHeight="false" outlineLevel="0" collapsed="false">
      <c r="A733" s="10" t="s">
        <v>3228</v>
      </c>
      <c r="B733" s="10" t="s">
        <v>3229</v>
      </c>
      <c r="C733" s="11" t="s">
        <v>3226</v>
      </c>
      <c r="D733" s="12" t="n">
        <v>0.5487</v>
      </c>
      <c r="E733" s="12"/>
      <c r="F733" s="12"/>
      <c r="G733" s="10" t="s">
        <v>63</v>
      </c>
      <c r="H733" s="10" t="s">
        <v>79</v>
      </c>
      <c r="I733" s="11" t="s">
        <v>3194</v>
      </c>
      <c r="J733" s="10" t="s">
        <v>66</v>
      </c>
      <c r="K733" s="10" t="s">
        <v>67</v>
      </c>
      <c r="L733" s="10" t="s">
        <v>68</v>
      </c>
      <c r="M733" s="10" t="s">
        <v>69</v>
      </c>
      <c r="N733" s="10"/>
      <c r="O733" s="11" t="s">
        <v>2851</v>
      </c>
      <c r="P733" s="10" t="s">
        <v>71</v>
      </c>
      <c r="Q733" s="11" t="s">
        <v>72</v>
      </c>
      <c r="R733" s="11" t="s">
        <v>73</v>
      </c>
      <c r="S733" s="11" t="s">
        <v>74</v>
      </c>
      <c r="T733" s="11" t="s">
        <v>3230</v>
      </c>
      <c r="U733" s="10" t="n">
        <f aca="false">IF(AND($D733="",$E733="",$F733=""),1,0)</f>
        <v>0</v>
      </c>
      <c r="V733" s="10" t="n">
        <f aca="false">IF(OR($I733="",$I733="—"),1,0)</f>
        <v>0</v>
      </c>
      <c r="W733" s="10" t="n">
        <f aca="false">IF(AND(ISNUMBER($D733),ISNUMBER($E733)),IF($E733&gt;$D733,1,0),0)+IF(AND(ISNUMBER($D733),ISNUMBER($F733)),IF($D733&gt;$F733,1,0),0)+IF(AND(ISNUMBER($E733),ISNUMBER($F733)),IF($E733&gt;$F733,1,0),0)</f>
        <v>0</v>
      </c>
      <c r="X733" s="13" t="s">
        <v>76</v>
      </c>
    </row>
    <row r="734" customFormat="false" ht="15" hidden="false" customHeight="false" outlineLevel="0" collapsed="false">
      <c r="A734" s="10" t="s">
        <v>3231</v>
      </c>
      <c r="B734" s="10" t="s">
        <v>3232</v>
      </c>
      <c r="C734" s="11" t="s">
        <v>3226</v>
      </c>
      <c r="D734" s="12" t="n">
        <v>2.3745</v>
      </c>
      <c r="E734" s="12"/>
      <c r="F734" s="12"/>
      <c r="G734" s="10" t="s">
        <v>63</v>
      </c>
      <c r="H734" s="10" t="s">
        <v>83</v>
      </c>
      <c r="I734" s="11" t="s">
        <v>3194</v>
      </c>
      <c r="J734" s="10" t="s">
        <v>66</v>
      </c>
      <c r="K734" s="10" t="s">
        <v>67</v>
      </c>
      <c r="L734" s="10" t="s">
        <v>68</v>
      </c>
      <c r="M734" s="10" t="s">
        <v>69</v>
      </c>
      <c r="N734" s="10"/>
      <c r="O734" s="11" t="s">
        <v>2851</v>
      </c>
      <c r="P734" s="10" t="s">
        <v>71</v>
      </c>
      <c r="Q734" s="11" t="s">
        <v>72</v>
      </c>
      <c r="R734" s="11" t="s">
        <v>73</v>
      </c>
      <c r="S734" s="11" t="s">
        <v>74</v>
      </c>
      <c r="T734" s="11" t="s">
        <v>3233</v>
      </c>
      <c r="U734" s="10" t="n">
        <f aca="false">IF(AND($D734="",$E734="",$F734=""),1,0)</f>
        <v>0</v>
      </c>
      <c r="V734" s="10" t="n">
        <f aca="false">IF(OR($I734="",$I734="—"),1,0)</f>
        <v>0</v>
      </c>
      <c r="W734" s="10" t="n">
        <f aca="false">IF(AND(ISNUMBER($D734),ISNUMBER($E734)),IF($E734&gt;$D734,1,0),0)+IF(AND(ISNUMBER($D734),ISNUMBER($F734)),IF($D734&gt;$F734,1,0),0)+IF(AND(ISNUMBER($E734),ISNUMBER($F734)),IF($E734&gt;$F734,1,0),0)</f>
        <v>0</v>
      </c>
      <c r="X734" s="13" t="s">
        <v>76</v>
      </c>
    </row>
    <row r="735" customFormat="false" ht="15" hidden="false" customHeight="false" outlineLevel="0" collapsed="false">
      <c r="A735" s="10" t="s">
        <v>3234</v>
      </c>
      <c r="B735" s="10" t="s">
        <v>3235</v>
      </c>
      <c r="C735" s="11" t="s">
        <v>3226</v>
      </c>
      <c r="D735" s="12" t="n">
        <v>0.8071</v>
      </c>
      <c r="E735" s="12"/>
      <c r="F735" s="12"/>
      <c r="G735" s="10" t="s">
        <v>63</v>
      </c>
      <c r="H735" s="10" t="s">
        <v>87</v>
      </c>
      <c r="I735" s="11" t="s">
        <v>3194</v>
      </c>
      <c r="J735" s="10" t="s">
        <v>66</v>
      </c>
      <c r="K735" s="10" t="s">
        <v>67</v>
      </c>
      <c r="L735" s="10" t="s">
        <v>68</v>
      </c>
      <c r="M735" s="10" t="s">
        <v>69</v>
      </c>
      <c r="N735" s="10"/>
      <c r="O735" s="11" t="s">
        <v>2861</v>
      </c>
      <c r="P735" s="10" t="s">
        <v>71</v>
      </c>
      <c r="Q735" s="11" t="s">
        <v>72</v>
      </c>
      <c r="R735" s="11" t="s">
        <v>73</v>
      </c>
      <c r="S735" s="11" t="s">
        <v>74</v>
      </c>
      <c r="T735" s="11" t="s">
        <v>3236</v>
      </c>
      <c r="U735" s="10" t="n">
        <f aca="false">IF(AND($D735="",$E735="",$F735=""),1,0)</f>
        <v>0</v>
      </c>
      <c r="V735" s="10" t="n">
        <f aca="false">IF(OR($I735="",$I735="—"),1,0)</f>
        <v>0</v>
      </c>
      <c r="W735" s="10" t="n">
        <f aca="false">IF(AND(ISNUMBER($D735),ISNUMBER($E735)),IF($E735&gt;$D735,1,0),0)+IF(AND(ISNUMBER($D735),ISNUMBER($F735)),IF($D735&gt;$F735,1,0),0)+IF(AND(ISNUMBER($E735),ISNUMBER($F735)),IF($E735&gt;$F735,1,0),0)</f>
        <v>0</v>
      </c>
      <c r="X735" s="13" t="s">
        <v>76</v>
      </c>
    </row>
    <row r="736" customFormat="false" ht="15" hidden="false" customHeight="false" outlineLevel="0" collapsed="false">
      <c r="A736" s="10" t="s">
        <v>3237</v>
      </c>
      <c r="B736" s="10" t="s">
        <v>3238</v>
      </c>
      <c r="C736" s="11" t="s">
        <v>3226</v>
      </c>
      <c r="D736" s="12" t="n">
        <v>0.9567</v>
      </c>
      <c r="E736" s="12"/>
      <c r="F736" s="12"/>
      <c r="G736" s="10" t="s">
        <v>63</v>
      </c>
      <c r="H736" s="10" t="s">
        <v>92</v>
      </c>
      <c r="I736" s="11" t="s">
        <v>3194</v>
      </c>
      <c r="J736" s="10" t="s">
        <v>66</v>
      </c>
      <c r="K736" s="10" t="s">
        <v>67</v>
      </c>
      <c r="L736" s="10" t="s">
        <v>68</v>
      </c>
      <c r="M736" s="10" t="s">
        <v>69</v>
      </c>
      <c r="N736" s="10"/>
      <c r="O736" s="11" t="s">
        <v>2865</v>
      </c>
      <c r="P736" s="10" t="s">
        <v>71</v>
      </c>
      <c r="Q736" s="11" t="s">
        <v>72</v>
      </c>
      <c r="R736" s="11" t="s">
        <v>73</v>
      </c>
      <c r="S736" s="11" t="s">
        <v>74</v>
      </c>
      <c r="T736" s="11" t="s">
        <v>3239</v>
      </c>
      <c r="U736" s="10" t="n">
        <f aca="false">IF(AND($D736="",$E736="",$F736=""),1,0)</f>
        <v>0</v>
      </c>
      <c r="V736" s="10" t="n">
        <f aca="false">IF(OR($I736="",$I736="—"),1,0)</f>
        <v>0</v>
      </c>
      <c r="W736" s="10" t="n">
        <f aca="false">IF(AND(ISNUMBER($D736),ISNUMBER($E736)),IF($E736&gt;$D736,1,0),0)+IF(AND(ISNUMBER($D736),ISNUMBER($F736)),IF($D736&gt;$F736,1,0),0)+IF(AND(ISNUMBER($E736),ISNUMBER($F736)),IF($E736&gt;$F736,1,0),0)</f>
        <v>0</v>
      </c>
      <c r="X736" s="13" t="s">
        <v>76</v>
      </c>
    </row>
    <row r="737" customFormat="false" ht="15" hidden="false" customHeight="false" outlineLevel="0" collapsed="false">
      <c r="A737" s="10" t="s">
        <v>3240</v>
      </c>
      <c r="B737" s="10" t="s">
        <v>3241</v>
      </c>
      <c r="C737" s="11" t="s">
        <v>3242</v>
      </c>
      <c r="D737" s="12" t="n">
        <v>0.2092</v>
      </c>
      <c r="E737" s="12"/>
      <c r="F737" s="12"/>
      <c r="G737" s="10" t="s">
        <v>63</v>
      </c>
      <c r="H737" s="10" t="s">
        <v>64</v>
      </c>
      <c r="I737" s="11" t="s">
        <v>3194</v>
      </c>
      <c r="J737" s="10" t="s">
        <v>66</v>
      </c>
      <c r="K737" s="10" t="s">
        <v>67</v>
      </c>
      <c r="L737" s="10" t="s">
        <v>68</v>
      </c>
      <c r="M737" s="10" t="s">
        <v>69</v>
      </c>
      <c r="N737" s="10"/>
      <c r="O737" s="11" t="s">
        <v>2851</v>
      </c>
      <c r="P737" s="10" t="s">
        <v>71</v>
      </c>
      <c r="Q737" s="11" t="s">
        <v>72</v>
      </c>
      <c r="R737" s="11" t="s">
        <v>73</v>
      </c>
      <c r="S737" s="11" t="s">
        <v>74</v>
      </c>
      <c r="T737" s="11" t="s">
        <v>3243</v>
      </c>
      <c r="U737" s="10" t="n">
        <f aca="false">IF(AND($D737="",$E737="",$F737=""),1,0)</f>
        <v>0</v>
      </c>
      <c r="V737" s="10" t="n">
        <f aca="false">IF(OR($I737="",$I737="—"),1,0)</f>
        <v>0</v>
      </c>
      <c r="W737" s="10" t="n">
        <f aca="false">IF(AND(ISNUMBER($D737),ISNUMBER($E737)),IF($E737&gt;$D737,1,0),0)+IF(AND(ISNUMBER($D737),ISNUMBER($F737)),IF($D737&gt;$F737,1,0),0)+IF(AND(ISNUMBER($E737),ISNUMBER($F737)),IF($E737&gt;$F737,1,0),0)</f>
        <v>0</v>
      </c>
      <c r="X737" s="13" t="s">
        <v>76</v>
      </c>
    </row>
    <row r="738" customFormat="false" ht="15" hidden="false" customHeight="false" outlineLevel="0" collapsed="false">
      <c r="A738" s="10" t="s">
        <v>3244</v>
      </c>
      <c r="B738" s="10" t="s">
        <v>3245</v>
      </c>
      <c r="C738" s="11" t="s">
        <v>3242</v>
      </c>
      <c r="D738" s="12" t="n">
        <v>0.3396</v>
      </c>
      <c r="E738" s="12"/>
      <c r="F738" s="12"/>
      <c r="G738" s="10" t="s">
        <v>63</v>
      </c>
      <c r="H738" s="10" t="s">
        <v>79</v>
      </c>
      <c r="I738" s="11" t="s">
        <v>3194</v>
      </c>
      <c r="J738" s="10" t="s">
        <v>66</v>
      </c>
      <c r="K738" s="10" t="s">
        <v>67</v>
      </c>
      <c r="L738" s="10" t="s">
        <v>68</v>
      </c>
      <c r="M738" s="10" t="s">
        <v>69</v>
      </c>
      <c r="N738" s="10"/>
      <c r="O738" s="11" t="s">
        <v>2851</v>
      </c>
      <c r="P738" s="10" t="s">
        <v>71</v>
      </c>
      <c r="Q738" s="11" t="s">
        <v>72</v>
      </c>
      <c r="R738" s="11" t="s">
        <v>73</v>
      </c>
      <c r="S738" s="11" t="s">
        <v>74</v>
      </c>
      <c r="T738" s="11" t="s">
        <v>3246</v>
      </c>
      <c r="U738" s="10" t="n">
        <f aca="false">IF(AND($D738="",$E738="",$F738=""),1,0)</f>
        <v>0</v>
      </c>
      <c r="V738" s="10" t="n">
        <f aca="false">IF(OR($I738="",$I738="—"),1,0)</f>
        <v>0</v>
      </c>
      <c r="W738" s="10" t="n">
        <f aca="false">IF(AND(ISNUMBER($D738),ISNUMBER($E738)),IF($E738&gt;$D738,1,0),0)+IF(AND(ISNUMBER($D738),ISNUMBER($F738)),IF($D738&gt;$F738,1,0),0)+IF(AND(ISNUMBER($E738),ISNUMBER($F738)),IF($E738&gt;$F738,1,0),0)</f>
        <v>0</v>
      </c>
      <c r="X738" s="13" t="s">
        <v>76</v>
      </c>
    </row>
    <row r="739" customFormat="false" ht="15" hidden="false" customHeight="false" outlineLevel="0" collapsed="false">
      <c r="A739" s="10" t="s">
        <v>3247</v>
      </c>
      <c r="B739" s="10" t="s">
        <v>3248</v>
      </c>
      <c r="C739" s="11" t="s">
        <v>3242</v>
      </c>
      <c r="D739" s="12" t="n">
        <v>0.7837</v>
      </c>
      <c r="E739" s="12"/>
      <c r="F739" s="12"/>
      <c r="G739" s="10" t="s">
        <v>63</v>
      </c>
      <c r="H739" s="10" t="s">
        <v>83</v>
      </c>
      <c r="I739" s="11" t="s">
        <v>3194</v>
      </c>
      <c r="J739" s="10" t="s">
        <v>66</v>
      </c>
      <c r="K739" s="10" t="s">
        <v>67</v>
      </c>
      <c r="L739" s="10" t="s">
        <v>68</v>
      </c>
      <c r="M739" s="10" t="s">
        <v>69</v>
      </c>
      <c r="N739" s="10"/>
      <c r="O739" s="11" t="s">
        <v>2851</v>
      </c>
      <c r="P739" s="10" t="s">
        <v>71</v>
      </c>
      <c r="Q739" s="11" t="s">
        <v>72</v>
      </c>
      <c r="R739" s="11" t="s">
        <v>73</v>
      </c>
      <c r="S739" s="11" t="s">
        <v>74</v>
      </c>
      <c r="T739" s="11" t="s">
        <v>3249</v>
      </c>
      <c r="U739" s="10" t="n">
        <f aca="false">IF(AND($D739="",$E739="",$F739=""),1,0)</f>
        <v>0</v>
      </c>
      <c r="V739" s="10" t="n">
        <f aca="false">IF(OR($I739="",$I739="—"),1,0)</f>
        <v>0</v>
      </c>
      <c r="W739" s="10" t="n">
        <f aca="false">IF(AND(ISNUMBER($D739),ISNUMBER($E739)),IF($E739&gt;$D739,1,0),0)+IF(AND(ISNUMBER($D739),ISNUMBER($F739)),IF($D739&gt;$F739,1,0),0)+IF(AND(ISNUMBER($E739),ISNUMBER($F739)),IF($E739&gt;$F739,1,0),0)</f>
        <v>0</v>
      </c>
      <c r="X739" s="13" t="s">
        <v>76</v>
      </c>
    </row>
    <row r="740" customFormat="false" ht="15" hidden="false" customHeight="false" outlineLevel="0" collapsed="false">
      <c r="A740" s="10" t="s">
        <v>3250</v>
      </c>
      <c r="B740" s="10" t="s">
        <v>3251</v>
      </c>
      <c r="C740" s="11" t="s">
        <v>3242</v>
      </c>
      <c r="D740" s="12" t="n">
        <v>0.2904</v>
      </c>
      <c r="E740" s="12"/>
      <c r="F740" s="12"/>
      <c r="G740" s="10" t="s">
        <v>63</v>
      </c>
      <c r="H740" s="10" t="s">
        <v>87</v>
      </c>
      <c r="I740" s="11" t="s">
        <v>3194</v>
      </c>
      <c r="J740" s="10" t="s">
        <v>66</v>
      </c>
      <c r="K740" s="10" t="s">
        <v>67</v>
      </c>
      <c r="L740" s="10" t="s">
        <v>68</v>
      </c>
      <c r="M740" s="10" t="s">
        <v>69</v>
      </c>
      <c r="N740" s="10"/>
      <c r="O740" s="11" t="s">
        <v>2861</v>
      </c>
      <c r="P740" s="10" t="s">
        <v>71</v>
      </c>
      <c r="Q740" s="11" t="s">
        <v>72</v>
      </c>
      <c r="R740" s="11" t="s">
        <v>73</v>
      </c>
      <c r="S740" s="11" t="s">
        <v>74</v>
      </c>
      <c r="T740" s="11" t="s">
        <v>3252</v>
      </c>
      <c r="U740" s="10" t="n">
        <f aca="false">IF(AND($D740="",$E740="",$F740=""),1,0)</f>
        <v>0</v>
      </c>
      <c r="V740" s="10" t="n">
        <f aca="false">IF(OR($I740="",$I740="—"),1,0)</f>
        <v>0</v>
      </c>
      <c r="W740" s="10" t="n">
        <f aca="false">IF(AND(ISNUMBER($D740),ISNUMBER($E740)),IF($E740&gt;$D740,1,0),0)+IF(AND(ISNUMBER($D740),ISNUMBER($F740)),IF($D740&gt;$F740,1,0),0)+IF(AND(ISNUMBER($E740),ISNUMBER($F740)),IF($E740&gt;$F740,1,0),0)</f>
        <v>0</v>
      </c>
      <c r="X740" s="13" t="s">
        <v>76</v>
      </c>
    </row>
    <row r="741" customFormat="false" ht="15" hidden="false" customHeight="false" outlineLevel="0" collapsed="false">
      <c r="A741" s="10" t="s">
        <v>3253</v>
      </c>
      <c r="B741" s="10" t="s">
        <v>3254</v>
      </c>
      <c r="C741" s="11" t="s">
        <v>3242</v>
      </c>
      <c r="D741" s="12" t="n">
        <v>1.2466</v>
      </c>
      <c r="E741" s="12"/>
      <c r="F741" s="12"/>
      <c r="G741" s="10" t="s">
        <v>63</v>
      </c>
      <c r="H741" s="10" t="s">
        <v>92</v>
      </c>
      <c r="I741" s="11" t="s">
        <v>3194</v>
      </c>
      <c r="J741" s="10" t="s">
        <v>66</v>
      </c>
      <c r="K741" s="10" t="s">
        <v>67</v>
      </c>
      <c r="L741" s="10" t="s">
        <v>68</v>
      </c>
      <c r="M741" s="10" t="s">
        <v>69</v>
      </c>
      <c r="N741" s="10"/>
      <c r="O741" s="11" t="s">
        <v>2865</v>
      </c>
      <c r="P741" s="10" t="s">
        <v>71</v>
      </c>
      <c r="Q741" s="11" t="s">
        <v>72</v>
      </c>
      <c r="R741" s="11" t="s">
        <v>73</v>
      </c>
      <c r="S741" s="11" t="s">
        <v>74</v>
      </c>
      <c r="T741" s="11" t="s">
        <v>3255</v>
      </c>
      <c r="U741" s="10" t="n">
        <f aca="false">IF(AND($D741="",$E741="",$F741=""),1,0)</f>
        <v>0</v>
      </c>
      <c r="V741" s="10" t="n">
        <f aca="false">IF(OR($I741="",$I741="—"),1,0)</f>
        <v>0</v>
      </c>
      <c r="W741" s="10" t="n">
        <f aca="false">IF(AND(ISNUMBER($D741),ISNUMBER($E741)),IF($E741&gt;$D741,1,0),0)+IF(AND(ISNUMBER($D741),ISNUMBER($F741)),IF($D741&gt;$F741,1,0),0)+IF(AND(ISNUMBER($E741),ISNUMBER($F741)),IF($E741&gt;$F741,1,0),0)</f>
        <v>0</v>
      </c>
      <c r="X741" s="13" t="s">
        <v>76</v>
      </c>
    </row>
    <row r="742" customFormat="false" ht="15" hidden="false" customHeight="false" outlineLevel="0" collapsed="false">
      <c r="A742" s="10" t="s">
        <v>3256</v>
      </c>
      <c r="B742" s="10" t="s">
        <v>3257</v>
      </c>
      <c r="C742" s="11" t="s">
        <v>3258</v>
      </c>
      <c r="D742" s="12" t="n">
        <v>0.1463</v>
      </c>
      <c r="E742" s="12"/>
      <c r="F742" s="12"/>
      <c r="G742" s="10" t="s">
        <v>63</v>
      </c>
      <c r="H742" s="10" t="s">
        <v>64</v>
      </c>
      <c r="I742" s="11" t="s">
        <v>3259</v>
      </c>
      <c r="J742" s="10" t="s">
        <v>66</v>
      </c>
      <c r="K742" s="10" t="s">
        <v>67</v>
      </c>
      <c r="L742" s="10" t="s">
        <v>68</v>
      </c>
      <c r="M742" s="10" t="s">
        <v>636</v>
      </c>
      <c r="N742" s="10"/>
      <c r="O742" s="11" t="s">
        <v>3260</v>
      </c>
      <c r="P742" s="10" t="s">
        <v>637</v>
      </c>
      <c r="Q742" s="11" t="s">
        <v>638</v>
      </c>
      <c r="R742" s="11" t="s">
        <v>639</v>
      </c>
      <c r="S742" s="11" t="s">
        <v>74</v>
      </c>
      <c r="T742" s="10" t="s">
        <v>3261</v>
      </c>
      <c r="U742" s="10" t="n">
        <f aca="false">IF(AND($D742="",$E742="",$F742=""),1,0)</f>
        <v>0</v>
      </c>
      <c r="V742" s="10" t="n">
        <f aca="false">IF(OR($I742="",$I742="—"),1,0)</f>
        <v>0</v>
      </c>
      <c r="W742" s="10" t="n">
        <f aca="false">IF(AND(ISNUMBER($D742),ISNUMBER($E742)),IF($E742&gt;$D742,1,0),0)+IF(AND(ISNUMBER($D742),ISNUMBER($F742)),IF($D742&gt;$F742,1,0),0)+IF(AND(ISNUMBER($E742),ISNUMBER($F742)),IF($E742&gt;$F742,1,0),0)</f>
        <v>0</v>
      </c>
      <c r="X742" s="13" t="s">
        <v>76</v>
      </c>
    </row>
    <row r="743" customFormat="false" ht="15" hidden="false" customHeight="false" outlineLevel="0" collapsed="false">
      <c r="A743" s="10" t="s">
        <v>3262</v>
      </c>
      <c r="B743" s="10" t="s">
        <v>3263</v>
      </c>
      <c r="C743" s="11" t="s">
        <v>3258</v>
      </c>
      <c r="D743" s="12" t="n">
        <v>3.2559</v>
      </c>
      <c r="E743" s="12"/>
      <c r="F743" s="12"/>
      <c r="G743" s="10" t="s">
        <v>63</v>
      </c>
      <c r="H743" s="10" t="s">
        <v>79</v>
      </c>
      <c r="I743" s="11" t="s">
        <v>3259</v>
      </c>
      <c r="J743" s="10" t="s">
        <v>66</v>
      </c>
      <c r="K743" s="10" t="s">
        <v>67</v>
      </c>
      <c r="L743" s="10" t="s">
        <v>68</v>
      </c>
      <c r="M743" s="10" t="s">
        <v>636</v>
      </c>
      <c r="N743" s="10"/>
      <c r="O743" s="11" t="s">
        <v>3260</v>
      </c>
      <c r="P743" s="10" t="s">
        <v>637</v>
      </c>
      <c r="Q743" s="11" t="s">
        <v>638</v>
      </c>
      <c r="R743" s="11" t="s">
        <v>639</v>
      </c>
      <c r="S743" s="11" t="s">
        <v>74</v>
      </c>
      <c r="T743" s="10" t="s">
        <v>3264</v>
      </c>
      <c r="U743" s="10" t="n">
        <f aca="false">IF(AND($D743="",$E743="",$F743=""),1,0)</f>
        <v>0</v>
      </c>
      <c r="V743" s="10" t="n">
        <f aca="false">IF(OR($I743="",$I743="—"),1,0)</f>
        <v>0</v>
      </c>
      <c r="W743" s="10" t="n">
        <f aca="false">IF(AND(ISNUMBER($D743),ISNUMBER($E743)),IF($E743&gt;$D743,1,0),0)+IF(AND(ISNUMBER($D743),ISNUMBER($F743)),IF($D743&gt;$F743,1,0),0)+IF(AND(ISNUMBER($E743),ISNUMBER($F743)),IF($E743&gt;$F743,1,0),0)</f>
        <v>0</v>
      </c>
      <c r="X743" s="13" t="s">
        <v>76</v>
      </c>
    </row>
    <row r="744" customFormat="false" ht="15" hidden="false" customHeight="false" outlineLevel="0" collapsed="false">
      <c r="A744" s="10" t="s">
        <v>3265</v>
      </c>
      <c r="B744" s="10" t="s">
        <v>3266</v>
      </c>
      <c r="C744" s="11" t="s">
        <v>3258</v>
      </c>
      <c r="D744" s="12" t="n">
        <v>15.9584</v>
      </c>
      <c r="E744" s="12"/>
      <c r="F744" s="12"/>
      <c r="G744" s="10" t="s">
        <v>63</v>
      </c>
      <c r="H744" s="10" t="s">
        <v>83</v>
      </c>
      <c r="I744" s="11" t="s">
        <v>3259</v>
      </c>
      <c r="J744" s="10" t="s">
        <v>66</v>
      </c>
      <c r="K744" s="10" t="s">
        <v>67</v>
      </c>
      <c r="L744" s="10" t="s">
        <v>68</v>
      </c>
      <c r="M744" s="10" t="s">
        <v>636</v>
      </c>
      <c r="N744" s="10"/>
      <c r="O744" s="11" t="s">
        <v>3260</v>
      </c>
      <c r="P744" s="10" t="s">
        <v>637</v>
      </c>
      <c r="Q744" s="11" t="s">
        <v>638</v>
      </c>
      <c r="R744" s="11" t="s">
        <v>639</v>
      </c>
      <c r="S744" s="11" t="s">
        <v>74</v>
      </c>
      <c r="T744" s="10" t="s">
        <v>3267</v>
      </c>
      <c r="U744" s="10" t="n">
        <f aca="false">IF(AND($D744="",$E744="",$F744=""),1,0)</f>
        <v>0</v>
      </c>
      <c r="V744" s="10" t="n">
        <f aca="false">IF(OR($I744="",$I744="—"),1,0)</f>
        <v>0</v>
      </c>
      <c r="W744" s="10" t="n">
        <f aca="false">IF(AND(ISNUMBER($D744),ISNUMBER($E744)),IF($E744&gt;$D744,1,0),0)+IF(AND(ISNUMBER($D744),ISNUMBER($F744)),IF($D744&gt;$F744,1,0),0)+IF(AND(ISNUMBER($E744),ISNUMBER($F744)),IF($E744&gt;$F744,1,0),0)</f>
        <v>0</v>
      </c>
      <c r="X744" s="13" t="s">
        <v>76</v>
      </c>
    </row>
    <row r="745" customFormat="false" ht="15" hidden="false" customHeight="false" outlineLevel="0" collapsed="false">
      <c r="A745" s="10" t="s">
        <v>3268</v>
      </c>
      <c r="B745" s="10" t="s">
        <v>3269</v>
      </c>
      <c r="C745" s="11" t="s">
        <v>3258</v>
      </c>
      <c r="D745" s="12" t="n">
        <v>6.1398</v>
      </c>
      <c r="E745" s="12"/>
      <c r="F745" s="12"/>
      <c r="G745" s="10" t="s">
        <v>63</v>
      </c>
      <c r="H745" s="10" t="s">
        <v>87</v>
      </c>
      <c r="I745" s="11" t="s">
        <v>3259</v>
      </c>
      <c r="J745" s="10" t="s">
        <v>66</v>
      </c>
      <c r="K745" s="10" t="s">
        <v>67</v>
      </c>
      <c r="L745" s="10" t="s">
        <v>68</v>
      </c>
      <c r="M745" s="10" t="s">
        <v>636</v>
      </c>
      <c r="N745" s="10"/>
      <c r="O745" s="11" t="s">
        <v>3270</v>
      </c>
      <c r="P745" s="10" t="s">
        <v>637</v>
      </c>
      <c r="Q745" s="11" t="s">
        <v>638</v>
      </c>
      <c r="R745" s="11" t="s">
        <v>639</v>
      </c>
      <c r="S745" s="11" t="s">
        <v>74</v>
      </c>
      <c r="T745" s="10" t="s">
        <v>3271</v>
      </c>
      <c r="U745" s="10" t="n">
        <f aca="false">IF(AND($D745="",$E745="",$F745=""),1,0)</f>
        <v>0</v>
      </c>
      <c r="V745" s="10" t="n">
        <f aca="false">IF(OR($I745="",$I745="—"),1,0)</f>
        <v>0</v>
      </c>
      <c r="W745" s="10" t="n">
        <f aca="false">IF(AND(ISNUMBER($D745),ISNUMBER($E745)),IF($E745&gt;$D745,1,0),0)+IF(AND(ISNUMBER($D745),ISNUMBER($F745)),IF($D745&gt;$F745,1,0),0)+IF(AND(ISNUMBER($E745),ISNUMBER($F745)),IF($E745&gt;$F745,1,0),0)</f>
        <v>0</v>
      </c>
      <c r="X745" s="13" t="s">
        <v>76</v>
      </c>
    </row>
    <row r="746" customFormat="false" ht="15" hidden="false" customHeight="false" outlineLevel="0" collapsed="false">
      <c r="A746" s="10" t="s">
        <v>3272</v>
      </c>
      <c r="B746" s="10" t="s">
        <v>3273</v>
      </c>
      <c r="C746" s="11" t="s">
        <v>3258</v>
      </c>
      <c r="D746" s="12" t="n">
        <v>12.0153</v>
      </c>
      <c r="E746" s="12"/>
      <c r="F746" s="12"/>
      <c r="G746" s="10" t="s">
        <v>63</v>
      </c>
      <c r="H746" s="10" t="s">
        <v>92</v>
      </c>
      <c r="I746" s="11" t="s">
        <v>3259</v>
      </c>
      <c r="J746" s="10" t="s">
        <v>66</v>
      </c>
      <c r="K746" s="10" t="s">
        <v>67</v>
      </c>
      <c r="L746" s="10" t="s">
        <v>68</v>
      </c>
      <c r="M746" s="10" t="s">
        <v>636</v>
      </c>
      <c r="N746" s="10"/>
      <c r="O746" s="11" t="s">
        <v>3260</v>
      </c>
      <c r="P746" s="10" t="s">
        <v>637</v>
      </c>
      <c r="Q746" s="11" t="s">
        <v>638</v>
      </c>
      <c r="R746" s="11" t="s">
        <v>639</v>
      </c>
      <c r="S746" s="11" t="s">
        <v>74</v>
      </c>
      <c r="T746" s="10" t="s">
        <v>3274</v>
      </c>
      <c r="U746" s="10" t="n">
        <f aca="false">IF(AND($D746="",$E746="",$F746=""),1,0)</f>
        <v>0</v>
      </c>
      <c r="V746" s="10" t="n">
        <f aca="false">IF(OR($I746="",$I746="—"),1,0)</f>
        <v>0</v>
      </c>
      <c r="W746" s="10" t="n">
        <f aca="false">IF(AND(ISNUMBER($D746),ISNUMBER($E746)),IF($E746&gt;$D746,1,0),0)+IF(AND(ISNUMBER($D746),ISNUMBER($F746)),IF($D746&gt;$F746,1,0),0)+IF(AND(ISNUMBER($E746),ISNUMBER($F746)),IF($E746&gt;$F746,1,0),0)</f>
        <v>0</v>
      </c>
      <c r="X746" s="13" t="s">
        <v>76</v>
      </c>
    </row>
    <row r="747" customFormat="false" ht="15" hidden="false" customHeight="false" outlineLevel="0" collapsed="false">
      <c r="A747" s="10" t="s">
        <v>3275</v>
      </c>
      <c r="B747" s="10" t="s">
        <v>3276</v>
      </c>
      <c r="C747" s="11" t="s">
        <v>3277</v>
      </c>
      <c r="D747" s="12" t="n">
        <v>100</v>
      </c>
      <c r="E747" s="12"/>
      <c r="F747" s="12"/>
      <c r="G747" s="10" t="s">
        <v>3278</v>
      </c>
      <c r="H747" s="10" t="s">
        <v>64</v>
      </c>
      <c r="I747" s="11" t="s">
        <v>3259</v>
      </c>
      <c r="J747" s="10" t="s">
        <v>66</v>
      </c>
      <c r="K747" s="10" t="s">
        <v>67</v>
      </c>
      <c r="L747" s="10" t="s">
        <v>68</v>
      </c>
      <c r="M747" s="10" t="s">
        <v>636</v>
      </c>
      <c r="N747" s="10"/>
      <c r="O747" s="11" t="s">
        <v>3279</v>
      </c>
      <c r="P747" s="10" t="s">
        <v>637</v>
      </c>
      <c r="Q747" s="11" t="s">
        <v>638</v>
      </c>
      <c r="R747" s="11" t="s">
        <v>639</v>
      </c>
      <c r="S747" s="11" t="s">
        <v>74</v>
      </c>
      <c r="T747" s="10" t="s">
        <v>3280</v>
      </c>
      <c r="U747" s="10" t="n">
        <f aca="false">IF(AND($D747="",$E747="",$F747=""),1,0)</f>
        <v>0</v>
      </c>
      <c r="V747" s="10" t="n">
        <f aca="false">IF(OR($I747="",$I747="—"),1,0)</f>
        <v>0</v>
      </c>
      <c r="W747" s="10" t="n">
        <f aca="false">IF(AND(ISNUMBER($D747),ISNUMBER($E747)),IF($E747&gt;$D747,1,0),0)+IF(AND(ISNUMBER($D747),ISNUMBER($F747)),IF($D747&gt;$F747,1,0),0)+IF(AND(ISNUMBER($E747),ISNUMBER($F747)),IF($E747&gt;$F747,1,0),0)</f>
        <v>0</v>
      </c>
      <c r="X747" s="13" t="s">
        <v>76</v>
      </c>
    </row>
    <row r="748" customFormat="false" ht="15" hidden="false" customHeight="false" outlineLevel="0" collapsed="false">
      <c r="A748" s="10" t="s">
        <v>3281</v>
      </c>
      <c r="B748" s="10" t="s">
        <v>3282</v>
      </c>
      <c r="C748" s="11" t="s">
        <v>3277</v>
      </c>
      <c r="D748" s="12" t="n">
        <v>95.7</v>
      </c>
      <c r="E748" s="12"/>
      <c r="F748" s="12"/>
      <c r="G748" s="10" t="s">
        <v>3278</v>
      </c>
      <c r="H748" s="10" t="s">
        <v>79</v>
      </c>
      <c r="I748" s="11" t="s">
        <v>3259</v>
      </c>
      <c r="J748" s="10" t="s">
        <v>66</v>
      </c>
      <c r="K748" s="10" t="s">
        <v>67</v>
      </c>
      <c r="L748" s="10" t="s">
        <v>68</v>
      </c>
      <c r="M748" s="10" t="s">
        <v>636</v>
      </c>
      <c r="N748" s="10"/>
      <c r="O748" s="11" t="s">
        <v>3279</v>
      </c>
      <c r="P748" s="10" t="s">
        <v>637</v>
      </c>
      <c r="Q748" s="11" t="s">
        <v>638</v>
      </c>
      <c r="R748" s="11" t="s">
        <v>639</v>
      </c>
      <c r="S748" s="11" t="s">
        <v>74</v>
      </c>
      <c r="T748" s="10" t="s">
        <v>3283</v>
      </c>
      <c r="U748" s="10" t="n">
        <f aca="false">IF(AND($D748="",$E748="",$F748=""),1,0)</f>
        <v>0</v>
      </c>
      <c r="V748" s="10" t="n">
        <f aca="false">IF(OR($I748="",$I748="—"),1,0)</f>
        <v>0</v>
      </c>
      <c r="W748" s="10" t="n">
        <f aca="false">IF(AND(ISNUMBER($D748),ISNUMBER($E748)),IF($E748&gt;$D748,1,0),0)+IF(AND(ISNUMBER($D748),ISNUMBER($F748)),IF($D748&gt;$F748,1,0),0)+IF(AND(ISNUMBER($E748),ISNUMBER($F748)),IF($E748&gt;$F748,1,0),0)</f>
        <v>0</v>
      </c>
      <c r="X748" s="13" t="s">
        <v>76</v>
      </c>
    </row>
    <row r="749" customFormat="false" ht="15" hidden="false" customHeight="false" outlineLevel="0" collapsed="false">
      <c r="A749" s="10" t="s">
        <v>3284</v>
      </c>
      <c r="B749" s="10" t="s">
        <v>3285</v>
      </c>
      <c r="C749" s="11" t="s">
        <v>3277</v>
      </c>
      <c r="D749" s="12" t="n">
        <v>97.3</v>
      </c>
      <c r="E749" s="12"/>
      <c r="F749" s="12"/>
      <c r="G749" s="10" t="s">
        <v>3278</v>
      </c>
      <c r="H749" s="10" t="s">
        <v>83</v>
      </c>
      <c r="I749" s="11" t="s">
        <v>3259</v>
      </c>
      <c r="J749" s="10" t="s">
        <v>66</v>
      </c>
      <c r="K749" s="10" t="s">
        <v>67</v>
      </c>
      <c r="L749" s="10" t="s">
        <v>68</v>
      </c>
      <c r="M749" s="10" t="s">
        <v>636</v>
      </c>
      <c r="N749" s="10"/>
      <c r="O749" s="11" t="s">
        <v>3279</v>
      </c>
      <c r="P749" s="10" t="s">
        <v>637</v>
      </c>
      <c r="Q749" s="11" t="s">
        <v>638</v>
      </c>
      <c r="R749" s="11" t="s">
        <v>639</v>
      </c>
      <c r="S749" s="11" t="s">
        <v>74</v>
      </c>
      <c r="T749" s="10" t="s">
        <v>3286</v>
      </c>
      <c r="U749" s="10" t="n">
        <f aca="false">IF(AND($D749="",$E749="",$F749=""),1,0)</f>
        <v>0</v>
      </c>
      <c r="V749" s="10" t="n">
        <f aca="false">IF(OR($I749="",$I749="—"),1,0)</f>
        <v>0</v>
      </c>
      <c r="W749" s="10" t="n">
        <f aca="false">IF(AND(ISNUMBER($D749),ISNUMBER($E749)),IF($E749&gt;$D749,1,0),0)+IF(AND(ISNUMBER($D749),ISNUMBER($F749)),IF($D749&gt;$F749,1,0),0)+IF(AND(ISNUMBER($E749),ISNUMBER($F749)),IF($E749&gt;$F749,1,0),0)</f>
        <v>0</v>
      </c>
      <c r="X749" s="13" t="s">
        <v>76</v>
      </c>
    </row>
    <row r="750" customFormat="false" ht="15" hidden="false" customHeight="false" outlineLevel="0" collapsed="false">
      <c r="A750" s="10" t="s">
        <v>3287</v>
      </c>
      <c r="B750" s="10" t="s">
        <v>3288</v>
      </c>
      <c r="C750" s="11" t="s">
        <v>3277</v>
      </c>
      <c r="D750" s="12" t="n">
        <v>98.3</v>
      </c>
      <c r="E750" s="12"/>
      <c r="F750" s="12"/>
      <c r="G750" s="10" t="s">
        <v>3278</v>
      </c>
      <c r="H750" s="10" t="s">
        <v>87</v>
      </c>
      <c r="I750" s="11" t="s">
        <v>3259</v>
      </c>
      <c r="J750" s="10" t="s">
        <v>66</v>
      </c>
      <c r="K750" s="10" t="s">
        <v>67</v>
      </c>
      <c r="L750" s="10" t="s">
        <v>68</v>
      </c>
      <c r="M750" s="10" t="s">
        <v>636</v>
      </c>
      <c r="N750" s="10"/>
      <c r="O750" s="11" t="s">
        <v>3279</v>
      </c>
      <c r="P750" s="10" t="s">
        <v>637</v>
      </c>
      <c r="Q750" s="11" t="s">
        <v>638</v>
      </c>
      <c r="R750" s="11" t="s">
        <v>639</v>
      </c>
      <c r="S750" s="11" t="s">
        <v>74</v>
      </c>
      <c r="T750" s="10" t="s">
        <v>3289</v>
      </c>
      <c r="U750" s="10" t="n">
        <f aca="false">IF(AND($D750="",$E750="",$F750=""),1,0)</f>
        <v>0</v>
      </c>
      <c r="V750" s="10" t="n">
        <f aca="false">IF(OR($I750="",$I750="—"),1,0)</f>
        <v>0</v>
      </c>
      <c r="W750" s="10" t="n">
        <f aca="false">IF(AND(ISNUMBER($D750),ISNUMBER($E750)),IF($E750&gt;$D750,1,0),0)+IF(AND(ISNUMBER($D750),ISNUMBER($F750)),IF($D750&gt;$F750,1,0),0)+IF(AND(ISNUMBER($E750),ISNUMBER($F750)),IF($E750&gt;$F750,1,0),0)</f>
        <v>0</v>
      </c>
      <c r="X750" s="13" t="s">
        <v>76</v>
      </c>
    </row>
    <row r="751" customFormat="false" ht="15" hidden="false" customHeight="false" outlineLevel="0" collapsed="false">
      <c r="A751" s="10" t="s">
        <v>3290</v>
      </c>
      <c r="B751" s="10" t="s">
        <v>3291</v>
      </c>
      <c r="C751" s="11" t="s">
        <v>3277</v>
      </c>
      <c r="D751" s="12" t="n">
        <v>95.3</v>
      </c>
      <c r="E751" s="12"/>
      <c r="F751" s="12"/>
      <c r="G751" s="10" t="s">
        <v>3278</v>
      </c>
      <c r="H751" s="10" t="s">
        <v>92</v>
      </c>
      <c r="I751" s="11" t="s">
        <v>3259</v>
      </c>
      <c r="J751" s="10" t="s">
        <v>66</v>
      </c>
      <c r="K751" s="10" t="s">
        <v>67</v>
      </c>
      <c r="L751" s="10" t="s">
        <v>68</v>
      </c>
      <c r="M751" s="10" t="s">
        <v>636</v>
      </c>
      <c r="N751" s="10"/>
      <c r="O751" s="11" t="s">
        <v>3279</v>
      </c>
      <c r="P751" s="10" t="s">
        <v>637</v>
      </c>
      <c r="Q751" s="11" t="s">
        <v>638</v>
      </c>
      <c r="R751" s="11" t="s">
        <v>639</v>
      </c>
      <c r="S751" s="11" t="s">
        <v>74</v>
      </c>
      <c r="T751" s="10" t="s">
        <v>3292</v>
      </c>
      <c r="U751" s="10" t="n">
        <f aca="false">IF(AND($D751="",$E751="",$F751=""),1,0)</f>
        <v>0</v>
      </c>
      <c r="V751" s="10" t="n">
        <f aca="false">IF(OR($I751="",$I751="—"),1,0)</f>
        <v>0</v>
      </c>
      <c r="W751" s="10" t="n">
        <f aca="false">IF(AND(ISNUMBER($D751),ISNUMBER($E751)),IF($E751&gt;$D751,1,0),0)+IF(AND(ISNUMBER($D751),ISNUMBER($F751)),IF($D751&gt;$F751,1,0),0)+IF(AND(ISNUMBER($E751),ISNUMBER($F751)),IF($E751&gt;$F751,1,0),0)</f>
        <v>0</v>
      </c>
      <c r="X751" s="13" t="s">
        <v>76</v>
      </c>
    </row>
    <row r="752" customFormat="false" ht="15" hidden="false" customHeight="false" outlineLevel="0" collapsed="false">
      <c r="A752" s="10" t="s">
        <v>3293</v>
      </c>
      <c r="B752" s="10" t="s">
        <v>3294</v>
      </c>
      <c r="C752" s="11" t="s">
        <v>3295</v>
      </c>
      <c r="D752" s="12" t="n">
        <v>2.0792</v>
      </c>
      <c r="E752" s="12"/>
      <c r="F752" s="12"/>
      <c r="G752" s="10" t="s">
        <v>63</v>
      </c>
      <c r="H752" s="10" t="s">
        <v>92</v>
      </c>
      <c r="I752" s="11" t="s">
        <v>3296</v>
      </c>
      <c r="J752" s="10" t="s">
        <v>66</v>
      </c>
      <c r="K752" s="10" t="s">
        <v>67</v>
      </c>
      <c r="L752" s="10" t="s">
        <v>68</v>
      </c>
      <c r="M752" s="10" t="s">
        <v>69</v>
      </c>
      <c r="N752" s="10"/>
      <c r="O752" s="11" t="s">
        <v>2865</v>
      </c>
      <c r="P752" s="10" t="s">
        <v>71</v>
      </c>
      <c r="Q752" s="11" t="s">
        <v>72</v>
      </c>
      <c r="R752" s="11" t="s">
        <v>73</v>
      </c>
      <c r="S752" s="11" t="s">
        <v>74</v>
      </c>
      <c r="T752" s="11" t="s">
        <v>3297</v>
      </c>
      <c r="U752" s="10" t="n">
        <f aca="false">IF(AND($D752="",$E752="",$F752=""),1,0)</f>
        <v>0</v>
      </c>
      <c r="V752" s="10" t="n">
        <f aca="false">IF(OR($I752="",$I752="—"),1,0)</f>
        <v>0</v>
      </c>
      <c r="W752" s="10" t="n">
        <f aca="false">IF(AND(ISNUMBER($D752),ISNUMBER($E752)),IF($E752&gt;$D752,1,0),0)+IF(AND(ISNUMBER($D752),ISNUMBER($F752)),IF($D752&gt;$F752,1,0),0)+IF(AND(ISNUMBER($E752),ISNUMBER($F752)),IF($E752&gt;$F752,1,0),0)</f>
        <v>0</v>
      </c>
      <c r="X752" s="13" t="s">
        <v>76</v>
      </c>
    </row>
    <row r="753" customFormat="false" ht="15" hidden="false" customHeight="false" outlineLevel="0" collapsed="false">
      <c r="A753" s="10" t="s">
        <v>3298</v>
      </c>
      <c r="B753" s="10" t="s">
        <v>3299</v>
      </c>
      <c r="C753" s="11" t="s">
        <v>3300</v>
      </c>
      <c r="D753" s="12" t="n">
        <v>1.5705</v>
      </c>
      <c r="E753" s="12"/>
      <c r="F753" s="12"/>
      <c r="G753" s="10" t="s">
        <v>63</v>
      </c>
      <c r="H753" s="10" t="s">
        <v>92</v>
      </c>
      <c r="I753" s="11" t="s">
        <v>3296</v>
      </c>
      <c r="J753" s="10" t="s">
        <v>66</v>
      </c>
      <c r="K753" s="10" t="s">
        <v>67</v>
      </c>
      <c r="L753" s="10" t="s">
        <v>68</v>
      </c>
      <c r="M753" s="10" t="s">
        <v>69</v>
      </c>
      <c r="N753" s="10"/>
      <c r="O753" s="11" t="s">
        <v>2865</v>
      </c>
      <c r="P753" s="10" t="s">
        <v>71</v>
      </c>
      <c r="Q753" s="11" t="s">
        <v>72</v>
      </c>
      <c r="R753" s="11" t="s">
        <v>73</v>
      </c>
      <c r="S753" s="11" t="s">
        <v>74</v>
      </c>
      <c r="T753" s="11" t="s">
        <v>3301</v>
      </c>
      <c r="U753" s="10" t="n">
        <f aca="false">IF(AND($D753="",$E753="",$F753=""),1,0)</f>
        <v>0</v>
      </c>
      <c r="V753" s="10" t="n">
        <f aca="false">IF(OR($I753="",$I753="—"),1,0)</f>
        <v>0</v>
      </c>
      <c r="W753" s="10" t="n">
        <f aca="false">IF(AND(ISNUMBER($D753),ISNUMBER($E753)),IF($E753&gt;$D753,1,0),0)+IF(AND(ISNUMBER($D753),ISNUMBER($F753)),IF($D753&gt;$F753,1,0),0)+IF(AND(ISNUMBER($E753),ISNUMBER($F753)),IF($E753&gt;$F753,1,0),0)</f>
        <v>0</v>
      </c>
      <c r="X753" s="13" t="s">
        <v>76</v>
      </c>
    </row>
    <row r="754" customFormat="false" ht="15" hidden="false" customHeight="false" outlineLevel="0" collapsed="false">
      <c r="A754" s="10" t="s">
        <v>3302</v>
      </c>
      <c r="B754" s="10" t="s">
        <v>3303</v>
      </c>
      <c r="C754" s="11" t="s">
        <v>3304</v>
      </c>
      <c r="D754" s="12" t="n">
        <v>1.5243</v>
      </c>
      <c r="E754" s="12"/>
      <c r="F754" s="12"/>
      <c r="G754" s="10" t="s">
        <v>63</v>
      </c>
      <c r="H754" s="10" t="s">
        <v>92</v>
      </c>
      <c r="I754" s="11" t="s">
        <v>3296</v>
      </c>
      <c r="J754" s="10" t="s">
        <v>66</v>
      </c>
      <c r="K754" s="10" t="s">
        <v>67</v>
      </c>
      <c r="L754" s="10" t="s">
        <v>68</v>
      </c>
      <c r="M754" s="10" t="s">
        <v>69</v>
      </c>
      <c r="N754" s="10"/>
      <c r="O754" s="11" t="s">
        <v>2865</v>
      </c>
      <c r="P754" s="10" t="s">
        <v>71</v>
      </c>
      <c r="Q754" s="11" t="s">
        <v>72</v>
      </c>
      <c r="R754" s="11" t="s">
        <v>73</v>
      </c>
      <c r="S754" s="11" t="s">
        <v>74</v>
      </c>
      <c r="T754" s="11" t="s">
        <v>3305</v>
      </c>
      <c r="U754" s="10" t="n">
        <f aca="false">IF(AND($D754="",$E754="",$F754=""),1,0)</f>
        <v>0</v>
      </c>
      <c r="V754" s="10" t="n">
        <f aca="false">IF(OR($I754="",$I754="—"),1,0)</f>
        <v>0</v>
      </c>
      <c r="W754" s="10" t="n">
        <f aca="false">IF(AND(ISNUMBER($D754),ISNUMBER($E754)),IF($E754&gt;$D754,1,0),0)+IF(AND(ISNUMBER($D754),ISNUMBER($F754)),IF($D754&gt;$F754,1,0),0)+IF(AND(ISNUMBER($E754),ISNUMBER($F754)),IF($E754&gt;$F754,1,0),0)</f>
        <v>0</v>
      </c>
      <c r="X754" s="13" t="s">
        <v>76</v>
      </c>
    </row>
    <row r="755" customFormat="false" ht="15" hidden="false" customHeight="false" outlineLevel="0" collapsed="false">
      <c r="A755" s="10" t="s">
        <v>3306</v>
      </c>
      <c r="B755" s="10" t="s">
        <v>3307</v>
      </c>
      <c r="C755" s="11" t="s">
        <v>3308</v>
      </c>
      <c r="D755" s="12" t="n">
        <v>1.3944</v>
      </c>
      <c r="E755" s="12"/>
      <c r="F755" s="12"/>
      <c r="G755" s="10" t="s">
        <v>63</v>
      </c>
      <c r="H755" s="10" t="s">
        <v>92</v>
      </c>
      <c r="I755" s="11" t="s">
        <v>3296</v>
      </c>
      <c r="J755" s="10" t="s">
        <v>66</v>
      </c>
      <c r="K755" s="10" t="s">
        <v>67</v>
      </c>
      <c r="L755" s="10" t="s">
        <v>68</v>
      </c>
      <c r="M755" s="10" t="s">
        <v>69</v>
      </c>
      <c r="N755" s="10"/>
      <c r="O755" s="11" t="s">
        <v>2865</v>
      </c>
      <c r="P755" s="10" t="s">
        <v>71</v>
      </c>
      <c r="Q755" s="11" t="s">
        <v>72</v>
      </c>
      <c r="R755" s="11" t="s">
        <v>73</v>
      </c>
      <c r="S755" s="11" t="s">
        <v>74</v>
      </c>
      <c r="T755" s="11" t="s">
        <v>3309</v>
      </c>
      <c r="U755" s="10" t="n">
        <f aca="false">IF(AND($D755="",$E755="",$F755=""),1,0)</f>
        <v>0</v>
      </c>
      <c r="V755" s="10" t="n">
        <f aca="false">IF(OR($I755="",$I755="—"),1,0)</f>
        <v>0</v>
      </c>
      <c r="W755" s="10" t="n">
        <f aca="false">IF(AND(ISNUMBER($D755),ISNUMBER($E755)),IF($E755&gt;$D755,1,0),0)+IF(AND(ISNUMBER($D755),ISNUMBER($F755)),IF($D755&gt;$F755,1,0),0)+IF(AND(ISNUMBER($E755),ISNUMBER($F755)),IF($E755&gt;$F755,1,0),0)</f>
        <v>0</v>
      </c>
      <c r="X755" s="13" t="s">
        <v>76</v>
      </c>
    </row>
    <row r="756" customFormat="false" ht="15" hidden="false" customHeight="false" outlineLevel="0" collapsed="false">
      <c r="A756" s="10" t="s">
        <v>3310</v>
      </c>
      <c r="B756" s="10" t="s">
        <v>3311</v>
      </c>
      <c r="C756" s="11" t="s">
        <v>3312</v>
      </c>
      <c r="D756" s="12" t="n">
        <v>1.2347</v>
      </c>
      <c r="E756" s="12"/>
      <c r="F756" s="12"/>
      <c r="G756" s="10" t="s">
        <v>63</v>
      </c>
      <c r="H756" s="10" t="s">
        <v>92</v>
      </c>
      <c r="I756" s="11" t="s">
        <v>3313</v>
      </c>
      <c r="J756" s="10" t="s">
        <v>66</v>
      </c>
      <c r="K756" s="10" t="s">
        <v>67</v>
      </c>
      <c r="L756" s="10" t="s">
        <v>68</v>
      </c>
      <c r="M756" s="10" t="s">
        <v>69</v>
      </c>
      <c r="N756" s="10"/>
      <c r="O756" s="11" t="s">
        <v>2865</v>
      </c>
      <c r="P756" s="10" t="s">
        <v>71</v>
      </c>
      <c r="Q756" s="11" t="s">
        <v>72</v>
      </c>
      <c r="R756" s="11" t="s">
        <v>73</v>
      </c>
      <c r="S756" s="11" t="s">
        <v>74</v>
      </c>
      <c r="T756" s="11" t="s">
        <v>3314</v>
      </c>
      <c r="U756" s="10" t="n">
        <f aca="false">IF(AND($D756="",$E756="",$F756=""),1,0)</f>
        <v>0</v>
      </c>
      <c r="V756" s="10" t="n">
        <f aca="false">IF(OR($I756="",$I756="—"),1,0)</f>
        <v>0</v>
      </c>
      <c r="W756" s="10" t="n">
        <f aca="false">IF(AND(ISNUMBER($D756),ISNUMBER($E756)),IF($E756&gt;$D756,1,0),0)+IF(AND(ISNUMBER($D756),ISNUMBER($F756)),IF($D756&gt;$F756,1,0),0)+IF(AND(ISNUMBER($E756),ISNUMBER($F756)),IF($E756&gt;$F756,1,0),0)</f>
        <v>0</v>
      </c>
      <c r="X756" s="13" t="s">
        <v>76</v>
      </c>
    </row>
    <row r="757" customFormat="false" ht="15" hidden="false" customHeight="false" outlineLevel="0" collapsed="false">
      <c r="A757" s="10" t="s">
        <v>3315</v>
      </c>
      <c r="B757" s="10" t="s">
        <v>3316</v>
      </c>
      <c r="C757" s="11" t="s">
        <v>3312</v>
      </c>
      <c r="D757" s="12" t="n">
        <v>3.9477</v>
      </c>
      <c r="E757" s="12"/>
      <c r="F757" s="12"/>
      <c r="G757" s="10" t="s">
        <v>63</v>
      </c>
      <c r="H757" s="10" t="s">
        <v>83</v>
      </c>
      <c r="I757" s="11" t="s">
        <v>3313</v>
      </c>
      <c r="J757" s="10" t="s">
        <v>66</v>
      </c>
      <c r="K757" s="10" t="s">
        <v>67</v>
      </c>
      <c r="L757" s="10" t="s">
        <v>68</v>
      </c>
      <c r="M757" s="10" t="s">
        <v>69</v>
      </c>
      <c r="N757" s="10"/>
      <c r="O757" s="11" t="s">
        <v>2851</v>
      </c>
      <c r="P757" s="10" t="s">
        <v>71</v>
      </c>
      <c r="Q757" s="11" t="s">
        <v>72</v>
      </c>
      <c r="R757" s="11" t="s">
        <v>73</v>
      </c>
      <c r="S757" s="11" t="s">
        <v>74</v>
      </c>
      <c r="T757" s="11" t="s">
        <v>3317</v>
      </c>
      <c r="U757" s="10" t="n">
        <f aca="false">IF(AND($D757="",$E757="",$F757=""),1,0)</f>
        <v>0</v>
      </c>
      <c r="V757" s="10" t="n">
        <f aca="false">IF(OR($I757="",$I757="—"),1,0)</f>
        <v>0</v>
      </c>
      <c r="W757" s="10" t="n">
        <f aca="false">IF(AND(ISNUMBER($D757),ISNUMBER($E757)),IF($E757&gt;$D757,1,0),0)+IF(AND(ISNUMBER($D757),ISNUMBER($F757)),IF($D757&gt;$F757,1,0),0)+IF(AND(ISNUMBER($E757),ISNUMBER($F757)),IF($E757&gt;$F757,1,0),0)</f>
        <v>0</v>
      </c>
      <c r="X757" s="13" t="s">
        <v>76</v>
      </c>
    </row>
    <row r="758" customFormat="false" ht="15" hidden="false" customHeight="false" outlineLevel="0" collapsed="false">
      <c r="A758" s="10" t="s">
        <v>3318</v>
      </c>
      <c r="B758" s="10" t="s">
        <v>3319</v>
      </c>
      <c r="C758" s="11" t="s">
        <v>3304</v>
      </c>
      <c r="D758" s="12" t="n">
        <v>3.7983</v>
      </c>
      <c r="E758" s="12"/>
      <c r="F758" s="12"/>
      <c r="G758" s="10" t="s">
        <v>63</v>
      </c>
      <c r="H758" s="10" t="s">
        <v>83</v>
      </c>
      <c r="I758" s="11" t="s">
        <v>3313</v>
      </c>
      <c r="J758" s="10" t="s">
        <v>66</v>
      </c>
      <c r="K758" s="10" t="s">
        <v>67</v>
      </c>
      <c r="L758" s="10" t="s">
        <v>68</v>
      </c>
      <c r="M758" s="10" t="s">
        <v>69</v>
      </c>
      <c r="N758" s="10"/>
      <c r="O758" s="11" t="s">
        <v>2851</v>
      </c>
      <c r="P758" s="10" t="s">
        <v>71</v>
      </c>
      <c r="Q758" s="11" t="s">
        <v>72</v>
      </c>
      <c r="R758" s="11" t="s">
        <v>73</v>
      </c>
      <c r="S758" s="11" t="s">
        <v>74</v>
      </c>
      <c r="T758" s="11" t="s">
        <v>3320</v>
      </c>
      <c r="U758" s="10" t="n">
        <f aca="false">IF(AND($D758="",$E758="",$F758=""),1,0)</f>
        <v>0</v>
      </c>
      <c r="V758" s="10" t="n">
        <f aca="false">IF(OR($I758="",$I758="—"),1,0)</f>
        <v>0</v>
      </c>
      <c r="W758" s="10" t="n">
        <f aca="false">IF(AND(ISNUMBER($D758),ISNUMBER($E758)),IF($E758&gt;$D758,1,0),0)+IF(AND(ISNUMBER($D758),ISNUMBER($F758)),IF($D758&gt;$F758,1,0),0)+IF(AND(ISNUMBER($E758),ISNUMBER($F758)),IF($E758&gt;$F758,1,0),0)</f>
        <v>0</v>
      </c>
      <c r="X758" s="13" t="s">
        <v>76</v>
      </c>
    </row>
    <row r="759" customFormat="false" ht="15" hidden="false" customHeight="false" outlineLevel="0" collapsed="false">
      <c r="A759" s="10" t="s">
        <v>3321</v>
      </c>
      <c r="B759" s="10" t="s">
        <v>3322</v>
      </c>
      <c r="C759" s="11" t="s">
        <v>3323</v>
      </c>
      <c r="D759" s="12" t="n">
        <v>1.9115</v>
      </c>
      <c r="E759" s="12"/>
      <c r="F759" s="12"/>
      <c r="G759" s="10" t="s">
        <v>63</v>
      </c>
      <c r="H759" s="10" t="s">
        <v>83</v>
      </c>
      <c r="I759" s="11" t="s">
        <v>3313</v>
      </c>
      <c r="J759" s="10" t="s">
        <v>66</v>
      </c>
      <c r="K759" s="10" t="s">
        <v>67</v>
      </c>
      <c r="L759" s="10" t="s">
        <v>68</v>
      </c>
      <c r="M759" s="10" t="s">
        <v>69</v>
      </c>
      <c r="N759" s="10"/>
      <c r="O759" s="11" t="s">
        <v>2851</v>
      </c>
      <c r="P759" s="10" t="s">
        <v>71</v>
      </c>
      <c r="Q759" s="11" t="s">
        <v>72</v>
      </c>
      <c r="R759" s="11" t="s">
        <v>73</v>
      </c>
      <c r="S759" s="11" t="s">
        <v>74</v>
      </c>
      <c r="T759" s="11" t="s">
        <v>3324</v>
      </c>
      <c r="U759" s="10" t="n">
        <f aca="false">IF(AND($D759="",$E759="",$F759=""),1,0)</f>
        <v>0</v>
      </c>
      <c r="V759" s="10" t="n">
        <f aca="false">IF(OR($I759="",$I759="—"),1,0)</f>
        <v>0</v>
      </c>
      <c r="W759" s="10" t="n">
        <f aca="false">IF(AND(ISNUMBER($D759),ISNUMBER($E759)),IF($E759&gt;$D759,1,0),0)+IF(AND(ISNUMBER($D759),ISNUMBER($F759)),IF($D759&gt;$F759,1,0),0)+IF(AND(ISNUMBER($E759),ISNUMBER($F759)),IF($E759&gt;$F759,1,0),0)</f>
        <v>0</v>
      </c>
      <c r="X759" s="13" t="s">
        <v>76</v>
      </c>
    </row>
    <row r="760" customFormat="false" ht="15" hidden="false" customHeight="false" outlineLevel="0" collapsed="false">
      <c r="A760" s="10" t="s">
        <v>3325</v>
      </c>
      <c r="B760" s="10" t="s">
        <v>3326</v>
      </c>
      <c r="C760" s="11" t="s">
        <v>3327</v>
      </c>
      <c r="D760" s="12" t="n">
        <v>1.1983</v>
      </c>
      <c r="E760" s="12"/>
      <c r="F760" s="12"/>
      <c r="G760" s="10" t="s">
        <v>63</v>
      </c>
      <c r="H760" s="10" t="s">
        <v>83</v>
      </c>
      <c r="I760" s="11" t="s">
        <v>3313</v>
      </c>
      <c r="J760" s="10" t="s">
        <v>66</v>
      </c>
      <c r="K760" s="10" t="s">
        <v>67</v>
      </c>
      <c r="L760" s="10" t="s">
        <v>68</v>
      </c>
      <c r="M760" s="10" t="s">
        <v>69</v>
      </c>
      <c r="N760" s="10"/>
      <c r="O760" s="11" t="s">
        <v>2851</v>
      </c>
      <c r="P760" s="10" t="s">
        <v>71</v>
      </c>
      <c r="Q760" s="11" t="s">
        <v>72</v>
      </c>
      <c r="R760" s="11" t="s">
        <v>73</v>
      </c>
      <c r="S760" s="11" t="s">
        <v>74</v>
      </c>
      <c r="T760" s="11" t="s">
        <v>3328</v>
      </c>
      <c r="U760" s="10" t="n">
        <f aca="false">IF(AND($D760="",$E760="",$F760=""),1,0)</f>
        <v>0</v>
      </c>
      <c r="V760" s="10" t="n">
        <f aca="false">IF(OR($I760="",$I760="—"),1,0)</f>
        <v>0</v>
      </c>
      <c r="W760" s="10" t="n">
        <f aca="false">IF(AND(ISNUMBER($D760),ISNUMBER($E760)),IF($E760&gt;$D760,1,0),0)+IF(AND(ISNUMBER($D760),ISNUMBER($F760)),IF($D760&gt;$F760,1,0),0)+IF(AND(ISNUMBER($E760),ISNUMBER($F760)),IF($E760&gt;$F760,1,0),0)</f>
        <v>0</v>
      </c>
      <c r="X760" s="13" t="s">
        <v>76</v>
      </c>
    </row>
    <row r="761" customFormat="false" ht="15" hidden="false" customHeight="false" outlineLevel="0" collapsed="false">
      <c r="A761" s="10" t="s">
        <v>3329</v>
      </c>
      <c r="B761" s="10" t="s">
        <v>3330</v>
      </c>
      <c r="C761" s="11" t="s">
        <v>3308</v>
      </c>
      <c r="D761" s="12" t="n">
        <v>1.1239</v>
      </c>
      <c r="E761" s="12"/>
      <c r="F761" s="12"/>
      <c r="G761" s="10" t="s">
        <v>63</v>
      </c>
      <c r="H761" s="10" t="s">
        <v>83</v>
      </c>
      <c r="I761" s="11" t="s">
        <v>3313</v>
      </c>
      <c r="J761" s="10" t="s">
        <v>66</v>
      </c>
      <c r="K761" s="10" t="s">
        <v>67</v>
      </c>
      <c r="L761" s="10" t="s">
        <v>68</v>
      </c>
      <c r="M761" s="10" t="s">
        <v>69</v>
      </c>
      <c r="N761" s="10"/>
      <c r="O761" s="11" t="s">
        <v>2851</v>
      </c>
      <c r="P761" s="10" t="s">
        <v>71</v>
      </c>
      <c r="Q761" s="11" t="s">
        <v>72</v>
      </c>
      <c r="R761" s="11" t="s">
        <v>73</v>
      </c>
      <c r="S761" s="11" t="s">
        <v>74</v>
      </c>
      <c r="T761" s="11" t="s">
        <v>3331</v>
      </c>
      <c r="U761" s="10" t="n">
        <f aca="false">IF(AND($D761="",$E761="",$F761=""),1,0)</f>
        <v>0</v>
      </c>
      <c r="V761" s="10" t="n">
        <f aca="false">IF(OR($I761="",$I761="—"),1,0)</f>
        <v>0</v>
      </c>
      <c r="W761" s="10" t="n">
        <f aca="false">IF(AND(ISNUMBER($D761),ISNUMBER($E761)),IF($E761&gt;$D761,1,0),0)+IF(AND(ISNUMBER($D761),ISNUMBER($F761)),IF($D761&gt;$F761,1,0),0)+IF(AND(ISNUMBER($E761),ISNUMBER($F761)),IF($E761&gt;$F761,1,0),0)</f>
        <v>0</v>
      </c>
      <c r="X761" s="13" t="s">
        <v>76</v>
      </c>
    </row>
    <row r="762" customFormat="false" ht="15" hidden="false" customHeight="false" outlineLevel="0" collapsed="false">
      <c r="A762" s="10" t="s">
        <v>3332</v>
      </c>
      <c r="B762" s="10" t="s">
        <v>3333</v>
      </c>
      <c r="C762" s="11" t="s">
        <v>3312</v>
      </c>
      <c r="D762" s="12" t="n">
        <v>1.5889</v>
      </c>
      <c r="E762" s="12"/>
      <c r="F762" s="12"/>
      <c r="G762" s="10" t="s">
        <v>63</v>
      </c>
      <c r="H762" s="10" t="s">
        <v>79</v>
      </c>
      <c r="I762" s="11" t="s">
        <v>3313</v>
      </c>
      <c r="J762" s="10" t="s">
        <v>66</v>
      </c>
      <c r="K762" s="10" t="s">
        <v>67</v>
      </c>
      <c r="L762" s="10" t="s">
        <v>68</v>
      </c>
      <c r="M762" s="10" t="s">
        <v>69</v>
      </c>
      <c r="N762" s="10"/>
      <c r="O762" s="11" t="s">
        <v>2851</v>
      </c>
      <c r="P762" s="10" t="s">
        <v>71</v>
      </c>
      <c r="Q762" s="11" t="s">
        <v>72</v>
      </c>
      <c r="R762" s="11" t="s">
        <v>73</v>
      </c>
      <c r="S762" s="11" t="s">
        <v>74</v>
      </c>
      <c r="T762" s="11" t="s">
        <v>3334</v>
      </c>
      <c r="U762" s="10" t="n">
        <f aca="false">IF(AND($D762="",$E762="",$F762=""),1,0)</f>
        <v>0</v>
      </c>
      <c r="V762" s="10" t="n">
        <f aca="false">IF(OR($I762="",$I762="—"),1,0)</f>
        <v>0</v>
      </c>
      <c r="W762" s="10" t="n">
        <f aca="false">IF(AND(ISNUMBER($D762),ISNUMBER($E762)),IF($E762&gt;$D762,1,0),0)+IF(AND(ISNUMBER($D762),ISNUMBER($F762)),IF($D762&gt;$F762,1,0),0)+IF(AND(ISNUMBER($E762),ISNUMBER($F762)),IF($E762&gt;$F762,1,0),0)</f>
        <v>0</v>
      </c>
      <c r="X762" s="13" t="s">
        <v>76</v>
      </c>
    </row>
    <row r="763" customFormat="false" ht="15" hidden="false" customHeight="false" outlineLevel="0" collapsed="false">
      <c r="A763" s="10" t="s">
        <v>3335</v>
      </c>
      <c r="B763" s="10" t="s">
        <v>3336</v>
      </c>
      <c r="C763" s="11" t="s">
        <v>3337</v>
      </c>
      <c r="D763" s="12" t="n">
        <v>1.2447</v>
      </c>
      <c r="E763" s="12"/>
      <c r="F763" s="12"/>
      <c r="G763" s="10" t="s">
        <v>63</v>
      </c>
      <c r="H763" s="10" t="s">
        <v>79</v>
      </c>
      <c r="I763" s="11" t="s">
        <v>3313</v>
      </c>
      <c r="J763" s="10" t="s">
        <v>66</v>
      </c>
      <c r="K763" s="10" t="s">
        <v>67</v>
      </c>
      <c r="L763" s="10" t="s">
        <v>68</v>
      </c>
      <c r="M763" s="10" t="s">
        <v>69</v>
      </c>
      <c r="N763" s="10"/>
      <c r="O763" s="11" t="s">
        <v>2851</v>
      </c>
      <c r="P763" s="10" t="s">
        <v>71</v>
      </c>
      <c r="Q763" s="11" t="s">
        <v>72</v>
      </c>
      <c r="R763" s="11" t="s">
        <v>73</v>
      </c>
      <c r="S763" s="11" t="s">
        <v>74</v>
      </c>
      <c r="T763" s="11" t="s">
        <v>3338</v>
      </c>
      <c r="U763" s="10" t="n">
        <f aca="false">IF(AND($D763="",$E763="",$F763=""),1,0)</f>
        <v>0</v>
      </c>
      <c r="V763" s="10" t="n">
        <f aca="false">IF(OR($I763="",$I763="—"),1,0)</f>
        <v>0</v>
      </c>
      <c r="W763" s="10" t="n">
        <f aca="false">IF(AND(ISNUMBER($D763),ISNUMBER($E763)),IF($E763&gt;$D763,1,0),0)+IF(AND(ISNUMBER($D763),ISNUMBER($F763)),IF($D763&gt;$F763,1,0),0)+IF(AND(ISNUMBER($E763),ISNUMBER($F763)),IF($E763&gt;$F763,1,0),0)</f>
        <v>0</v>
      </c>
      <c r="X763" s="13" t="s">
        <v>76</v>
      </c>
    </row>
    <row r="764" customFormat="false" ht="15" hidden="false" customHeight="false" outlineLevel="0" collapsed="false">
      <c r="A764" s="10" t="s">
        <v>3339</v>
      </c>
      <c r="B764" s="10" t="s">
        <v>3340</v>
      </c>
      <c r="C764" s="11" t="s">
        <v>3341</v>
      </c>
      <c r="D764" s="12" t="n">
        <v>0.9584</v>
      </c>
      <c r="E764" s="12"/>
      <c r="F764" s="12"/>
      <c r="G764" s="10" t="s">
        <v>63</v>
      </c>
      <c r="H764" s="10" t="s">
        <v>79</v>
      </c>
      <c r="I764" s="11" t="s">
        <v>3313</v>
      </c>
      <c r="J764" s="10" t="s">
        <v>66</v>
      </c>
      <c r="K764" s="10" t="s">
        <v>67</v>
      </c>
      <c r="L764" s="10" t="s">
        <v>68</v>
      </c>
      <c r="M764" s="10" t="s">
        <v>69</v>
      </c>
      <c r="N764" s="10"/>
      <c r="O764" s="11" t="s">
        <v>2851</v>
      </c>
      <c r="P764" s="10" t="s">
        <v>71</v>
      </c>
      <c r="Q764" s="11" t="s">
        <v>72</v>
      </c>
      <c r="R764" s="11" t="s">
        <v>73</v>
      </c>
      <c r="S764" s="11" t="s">
        <v>74</v>
      </c>
      <c r="T764" s="11" t="s">
        <v>3342</v>
      </c>
      <c r="U764" s="10" t="n">
        <f aca="false">IF(AND($D764="",$E764="",$F764=""),1,0)</f>
        <v>0</v>
      </c>
      <c r="V764" s="10" t="n">
        <f aca="false">IF(OR($I764="",$I764="—"),1,0)</f>
        <v>0</v>
      </c>
      <c r="W764" s="10" t="n">
        <f aca="false">IF(AND(ISNUMBER($D764),ISNUMBER($E764)),IF($E764&gt;$D764,1,0),0)+IF(AND(ISNUMBER($D764),ISNUMBER($F764)),IF($D764&gt;$F764,1,0),0)+IF(AND(ISNUMBER($E764),ISNUMBER($F764)),IF($E764&gt;$F764,1,0),0)</f>
        <v>0</v>
      </c>
      <c r="X764" s="13" t="s">
        <v>76</v>
      </c>
    </row>
    <row r="765" customFormat="false" ht="15" hidden="false" customHeight="false" outlineLevel="0" collapsed="false">
      <c r="A765" s="10" t="s">
        <v>3343</v>
      </c>
      <c r="B765" s="10" t="s">
        <v>3344</v>
      </c>
      <c r="C765" s="11" t="s">
        <v>3345</v>
      </c>
      <c r="D765" s="12" t="n">
        <v>0.8387</v>
      </c>
      <c r="E765" s="12"/>
      <c r="F765" s="12"/>
      <c r="G765" s="10" t="s">
        <v>63</v>
      </c>
      <c r="H765" s="10" t="s">
        <v>79</v>
      </c>
      <c r="I765" s="11" t="s">
        <v>3313</v>
      </c>
      <c r="J765" s="10" t="s">
        <v>66</v>
      </c>
      <c r="K765" s="10" t="s">
        <v>67</v>
      </c>
      <c r="L765" s="10" t="s">
        <v>68</v>
      </c>
      <c r="M765" s="10" t="s">
        <v>69</v>
      </c>
      <c r="N765" s="10"/>
      <c r="O765" s="11" t="s">
        <v>2851</v>
      </c>
      <c r="P765" s="10" t="s">
        <v>71</v>
      </c>
      <c r="Q765" s="11" t="s">
        <v>72</v>
      </c>
      <c r="R765" s="11" t="s">
        <v>73</v>
      </c>
      <c r="S765" s="11" t="s">
        <v>74</v>
      </c>
      <c r="T765" s="11" t="s">
        <v>3346</v>
      </c>
      <c r="U765" s="10" t="n">
        <f aca="false">IF(AND($D765="",$E765="",$F765=""),1,0)</f>
        <v>0</v>
      </c>
      <c r="V765" s="10" t="n">
        <f aca="false">IF(OR($I765="",$I765="—"),1,0)</f>
        <v>0</v>
      </c>
      <c r="W765" s="10" t="n">
        <f aca="false">IF(AND(ISNUMBER($D765),ISNUMBER($E765)),IF($E765&gt;$D765,1,0),0)+IF(AND(ISNUMBER($D765),ISNUMBER($F765)),IF($D765&gt;$F765,1,0),0)+IF(AND(ISNUMBER($E765),ISNUMBER($F765)),IF($E765&gt;$F765,1,0),0)</f>
        <v>0</v>
      </c>
      <c r="X765" s="13" t="s">
        <v>76</v>
      </c>
    </row>
    <row r="766" customFormat="false" ht="15" hidden="false" customHeight="false" outlineLevel="0" collapsed="false">
      <c r="A766" s="10" t="s">
        <v>3347</v>
      </c>
      <c r="B766" s="10" t="s">
        <v>3348</v>
      </c>
      <c r="C766" s="11" t="s">
        <v>3349</v>
      </c>
      <c r="D766" s="12" t="n">
        <v>0.5735</v>
      </c>
      <c r="E766" s="12"/>
      <c r="F766" s="12"/>
      <c r="G766" s="10" t="s">
        <v>63</v>
      </c>
      <c r="H766" s="10" t="s">
        <v>79</v>
      </c>
      <c r="I766" s="11" t="s">
        <v>3313</v>
      </c>
      <c r="J766" s="10" t="s">
        <v>66</v>
      </c>
      <c r="K766" s="10" t="s">
        <v>67</v>
      </c>
      <c r="L766" s="10" t="s">
        <v>68</v>
      </c>
      <c r="M766" s="10" t="s">
        <v>69</v>
      </c>
      <c r="N766" s="10"/>
      <c r="O766" s="11" t="s">
        <v>2851</v>
      </c>
      <c r="P766" s="10" t="s">
        <v>71</v>
      </c>
      <c r="Q766" s="11" t="s">
        <v>72</v>
      </c>
      <c r="R766" s="11" t="s">
        <v>73</v>
      </c>
      <c r="S766" s="11" t="s">
        <v>74</v>
      </c>
      <c r="T766" s="11" t="s">
        <v>3350</v>
      </c>
      <c r="U766" s="10" t="n">
        <f aca="false">IF(AND($D766="",$E766="",$F766=""),1,0)</f>
        <v>0</v>
      </c>
      <c r="V766" s="10" t="n">
        <f aca="false">IF(OR($I766="",$I766="—"),1,0)</f>
        <v>0</v>
      </c>
      <c r="W766" s="10" t="n">
        <f aca="false">IF(AND(ISNUMBER($D766),ISNUMBER($E766)),IF($E766&gt;$D766,1,0),0)+IF(AND(ISNUMBER($D766),ISNUMBER($F766)),IF($D766&gt;$F766,1,0),0)+IF(AND(ISNUMBER($E766),ISNUMBER($F766)),IF($E766&gt;$F766,1,0),0)</f>
        <v>0</v>
      </c>
      <c r="X766" s="13" t="s">
        <v>76</v>
      </c>
    </row>
    <row r="767" customFormat="false" ht="15" hidden="false" customHeight="false" outlineLevel="0" collapsed="false">
      <c r="A767" s="10" t="s">
        <v>3351</v>
      </c>
      <c r="B767" s="10" t="s">
        <v>3352</v>
      </c>
      <c r="C767" s="11" t="s">
        <v>3345</v>
      </c>
      <c r="D767" s="12" t="n">
        <v>0.252</v>
      </c>
      <c r="E767" s="12"/>
      <c r="F767" s="12"/>
      <c r="G767" s="10" t="s">
        <v>63</v>
      </c>
      <c r="H767" s="10" t="s">
        <v>64</v>
      </c>
      <c r="I767" s="11" t="s">
        <v>3313</v>
      </c>
      <c r="J767" s="10" t="s">
        <v>66</v>
      </c>
      <c r="K767" s="10" t="s">
        <v>67</v>
      </c>
      <c r="L767" s="10" t="s">
        <v>68</v>
      </c>
      <c r="M767" s="10" t="s">
        <v>69</v>
      </c>
      <c r="N767" s="10"/>
      <c r="O767" s="11" t="s">
        <v>2851</v>
      </c>
      <c r="P767" s="10" t="s">
        <v>71</v>
      </c>
      <c r="Q767" s="11" t="s">
        <v>72</v>
      </c>
      <c r="R767" s="11" t="s">
        <v>73</v>
      </c>
      <c r="S767" s="11" t="s">
        <v>74</v>
      </c>
      <c r="T767" s="11" t="s">
        <v>3353</v>
      </c>
      <c r="U767" s="10" t="n">
        <f aca="false">IF(AND($D767="",$E767="",$F767=""),1,0)</f>
        <v>0</v>
      </c>
      <c r="V767" s="10" t="n">
        <f aca="false">IF(OR($I767="",$I767="—"),1,0)</f>
        <v>0</v>
      </c>
      <c r="W767" s="10" t="n">
        <f aca="false">IF(AND(ISNUMBER($D767),ISNUMBER($E767)),IF($E767&gt;$D767,1,0),0)+IF(AND(ISNUMBER($D767),ISNUMBER($F767)),IF($D767&gt;$F767,1,0),0)+IF(AND(ISNUMBER($E767),ISNUMBER($F767)),IF($E767&gt;$F767,1,0),0)</f>
        <v>0</v>
      </c>
      <c r="X767" s="13" t="s">
        <v>76</v>
      </c>
    </row>
    <row r="768" customFormat="false" ht="15" hidden="false" customHeight="false" outlineLevel="0" collapsed="false">
      <c r="A768" s="10" t="s">
        <v>3354</v>
      </c>
      <c r="B768" s="10" t="s">
        <v>3355</v>
      </c>
      <c r="C768" s="11" t="s">
        <v>3356</v>
      </c>
      <c r="D768" s="12" t="n">
        <v>0.0583</v>
      </c>
      <c r="E768" s="12"/>
      <c r="F768" s="12"/>
      <c r="G768" s="10" t="s">
        <v>63</v>
      </c>
      <c r="H768" s="10" t="s">
        <v>64</v>
      </c>
      <c r="I768" s="11" t="s">
        <v>3313</v>
      </c>
      <c r="J768" s="10" t="s">
        <v>66</v>
      </c>
      <c r="K768" s="10" t="s">
        <v>67</v>
      </c>
      <c r="L768" s="10" t="s">
        <v>68</v>
      </c>
      <c r="M768" s="10" t="s">
        <v>69</v>
      </c>
      <c r="N768" s="10"/>
      <c r="O768" s="11" t="s">
        <v>2851</v>
      </c>
      <c r="P768" s="10" t="s">
        <v>71</v>
      </c>
      <c r="Q768" s="11" t="s">
        <v>72</v>
      </c>
      <c r="R768" s="11" t="s">
        <v>73</v>
      </c>
      <c r="S768" s="11" t="s">
        <v>74</v>
      </c>
      <c r="T768" s="11" t="s">
        <v>3357</v>
      </c>
      <c r="U768" s="10" t="n">
        <f aca="false">IF(AND($D768="",$E768="",$F768=""),1,0)</f>
        <v>0</v>
      </c>
      <c r="V768" s="10" t="n">
        <f aca="false">IF(OR($I768="",$I768="—"),1,0)</f>
        <v>0</v>
      </c>
      <c r="W768" s="10" t="n">
        <f aca="false">IF(AND(ISNUMBER($D768),ISNUMBER($E768)),IF($E768&gt;$D768,1,0),0)+IF(AND(ISNUMBER($D768),ISNUMBER($F768)),IF($D768&gt;$F768,1,0),0)+IF(AND(ISNUMBER($E768),ISNUMBER($F768)),IF($E768&gt;$F768,1,0),0)</f>
        <v>0</v>
      </c>
      <c r="X768" s="13" t="s">
        <v>76</v>
      </c>
    </row>
    <row r="769" customFormat="false" ht="15" hidden="false" customHeight="false" outlineLevel="0" collapsed="false">
      <c r="A769" s="10" t="s">
        <v>3358</v>
      </c>
      <c r="B769" s="10" t="s">
        <v>3359</v>
      </c>
      <c r="C769" s="11" t="s">
        <v>3308</v>
      </c>
      <c r="D769" s="12" t="n">
        <v>0.0503</v>
      </c>
      <c r="E769" s="12"/>
      <c r="F769" s="12"/>
      <c r="G769" s="10" t="s">
        <v>63</v>
      </c>
      <c r="H769" s="10" t="s">
        <v>64</v>
      </c>
      <c r="I769" s="11" t="s">
        <v>3313</v>
      </c>
      <c r="J769" s="10" t="s">
        <v>66</v>
      </c>
      <c r="K769" s="10" t="s">
        <v>67</v>
      </c>
      <c r="L769" s="10" t="s">
        <v>68</v>
      </c>
      <c r="M769" s="10" t="s">
        <v>69</v>
      </c>
      <c r="N769" s="10"/>
      <c r="O769" s="11" t="s">
        <v>2851</v>
      </c>
      <c r="P769" s="10" t="s">
        <v>71</v>
      </c>
      <c r="Q769" s="11" t="s">
        <v>72</v>
      </c>
      <c r="R769" s="11" t="s">
        <v>73</v>
      </c>
      <c r="S769" s="11" t="s">
        <v>74</v>
      </c>
      <c r="T769" s="11" t="s">
        <v>3360</v>
      </c>
      <c r="U769" s="10" t="n">
        <f aca="false">IF(AND($D769="",$E769="",$F769=""),1,0)</f>
        <v>0</v>
      </c>
      <c r="V769" s="10" t="n">
        <f aca="false">IF(OR($I769="",$I769="—"),1,0)</f>
        <v>0</v>
      </c>
      <c r="W769" s="10" t="n">
        <f aca="false">IF(AND(ISNUMBER($D769),ISNUMBER($E769)),IF($E769&gt;$D769,1,0),0)+IF(AND(ISNUMBER($D769),ISNUMBER($F769)),IF($D769&gt;$F769,1,0),0)+IF(AND(ISNUMBER($E769),ISNUMBER($F769)),IF($E769&gt;$F769,1,0),0)</f>
        <v>0</v>
      </c>
      <c r="X769" s="13" t="s">
        <v>76</v>
      </c>
    </row>
    <row r="770" customFormat="false" ht="15" hidden="false" customHeight="false" outlineLevel="0" collapsed="false">
      <c r="A770" s="10" t="s">
        <v>3361</v>
      </c>
      <c r="B770" s="10" t="s">
        <v>3362</v>
      </c>
      <c r="C770" s="11" t="s">
        <v>3312</v>
      </c>
      <c r="D770" s="12" t="n">
        <v>0.028</v>
      </c>
      <c r="E770" s="12"/>
      <c r="F770" s="12"/>
      <c r="G770" s="10" t="s">
        <v>63</v>
      </c>
      <c r="H770" s="10" t="s">
        <v>64</v>
      </c>
      <c r="I770" s="11" t="s">
        <v>3313</v>
      </c>
      <c r="J770" s="10" t="s">
        <v>66</v>
      </c>
      <c r="K770" s="10" t="s">
        <v>67</v>
      </c>
      <c r="L770" s="10" t="s">
        <v>68</v>
      </c>
      <c r="M770" s="10" t="s">
        <v>69</v>
      </c>
      <c r="N770" s="10"/>
      <c r="O770" s="11" t="s">
        <v>2851</v>
      </c>
      <c r="P770" s="10" t="s">
        <v>71</v>
      </c>
      <c r="Q770" s="11" t="s">
        <v>72</v>
      </c>
      <c r="R770" s="11" t="s">
        <v>73</v>
      </c>
      <c r="S770" s="11" t="s">
        <v>74</v>
      </c>
      <c r="T770" s="11" t="s">
        <v>3363</v>
      </c>
      <c r="U770" s="10" t="n">
        <f aca="false">IF(AND($D770="",$E770="",$F770=""),1,0)</f>
        <v>0</v>
      </c>
      <c r="V770" s="10" t="n">
        <f aca="false">IF(OR($I770="",$I770="—"),1,0)</f>
        <v>0</v>
      </c>
      <c r="W770" s="10" t="n">
        <f aca="false">IF(AND(ISNUMBER($D770),ISNUMBER($E770)),IF($E770&gt;$D770,1,0),0)+IF(AND(ISNUMBER($D770),ISNUMBER($F770)),IF($D770&gt;$F770,1,0),0)+IF(AND(ISNUMBER($E770),ISNUMBER($F770)),IF($E770&gt;$F770,1,0),0)</f>
        <v>0</v>
      </c>
      <c r="X770" s="13" t="s">
        <v>76</v>
      </c>
    </row>
    <row r="771" customFormat="false" ht="15" hidden="false" customHeight="false" outlineLevel="0" collapsed="false">
      <c r="A771" s="10" t="s">
        <v>3364</v>
      </c>
      <c r="B771" s="10" t="s">
        <v>3365</v>
      </c>
      <c r="C771" s="11" t="s">
        <v>3366</v>
      </c>
      <c r="D771" s="12" t="n">
        <v>0.0255</v>
      </c>
      <c r="E771" s="12"/>
      <c r="F771" s="12"/>
      <c r="G771" s="10" t="s">
        <v>63</v>
      </c>
      <c r="H771" s="10" t="s">
        <v>64</v>
      </c>
      <c r="I771" s="11" t="s">
        <v>3313</v>
      </c>
      <c r="J771" s="10" t="s">
        <v>66</v>
      </c>
      <c r="K771" s="10" t="s">
        <v>67</v>
      </c>
      <c r="L771" s="10" t="s">
        <v>68</v>
      </c>
      <c r="M771" s="10" t="s">
        <v>69</v>
      </c>
      <c r="N771" s="10"/>
      <c r="O771" s="11" t="s">
        <v>2851</v>
      </c>
      <c r="P771" s="10" t="s">
        <v>71</v>
      </c>
      <c r="Q771" s="11" t="s">
        <v>72</v>
      </c>
      <c r="R771" s="11" t="s">
        <v>73</v>
      </c>
      <c r="S771" s="11" t="s">
        <v>74</v>
      </c>
      <c r="T771" s="11" t="s">
        <v>3367</v>
      </c>
      <c r="U771" s="10" t="n">
        <f aca="false">IF(AND($D771="",$E771="",$F771=""),1,0)</f>
        <v>0</v>
      </c>
      <c r="V771" s="10" t="n">
        <f aca="false">IF(OR($I771="",$I771="—"),1,0)</f>
        <v>0</v>
      </c>
      <c r="W771" s="10" t="n">
        <f aca="false">IF(AND(ISNUMBER($D771),ISNUMBER($E771)),IF($E771&gt;$D771,1,0),0)+IF(AND(ISNUMBER($D771),ISNUMBER($F771)),IF($D771&gt;$F771,1,0),0)+IF(AND(ISNUMBER($E771),ISNUMBER($F771)),IF($E771&gt;$F771,1,0),0)</f>
        <v>0</v>
      </c>
      <c r="X771" s="13" t="s">
        <v>76</v>
      </c>
    </row>
    <row r="772" customFormat="false" ht="15" hidden="false" customHeight="false" outlineLevel="0" collapsed="false">
      <c r="A772" s="10" t="s">
        <v>3368</v>
      </c>
      <c r="B772" s="10" t="s">
        <v>3369</v>
      </c>
      <c r="C772" s="11" t="s">
        <v>3370</v>
      </c>
      <c r="D772" s="12" t="n">
        <v>7.8032</v>
      </c>
      <c r="E772" s="12"/>
      <c r="F772" s="12"/>
      <c r="G772" s="10" t="s">
        <v>63</v>
      </c>
      <c r="H772" s="10" t="s">
        <v>92</v>
      </c>
      <c r="I772" s="11" t="s">
        <v>3371</v>
      </c>
      <c r="J772" s="10" t="s">
        <v>66</v>
      </c>
      <c r="K772" s="10" t="s">
        <v>67</v>
      </c>
      <c r="L772" s="10" t="s">
        <v>68</v>
      </c>
      <c r="M772" s="10" t="s">
        <v>69</v>
      </c>
      <c r="N772" s="10"/>
      <c r="O772" s="11" t="s">
        <v>2865</v>
      </c>
      <c r="P772" s="10" t="s">
        <v>71</v>
      </c>
      <c r="Q772" s="11" t="s">
        <v>72</v>
      </c>
      <c r="R772" s="11" t="s">
        <v>73</v>
      </c>
      <c r="S772" s="11" t="s">
        <v>74</v>
      </c>
      <c r="T772" s="11" t="s">
        <v>3372</v>
      </c>
      <c r="U772" s="10" t="n">
        <f aca="false">IF(AND($D772="",$E772="",$F772=""),1,0)</f>
        <v>0</v>
      </c>
      <c r="V772" s="10" t="n">
        <f aca="false">IF(OR($I772="",$I772="—"),1,0)</f>
        <v>0</v>
      </c>
      <c r="W772" s="10" t="n">
        <f aca="false">IF(AND(ISNUMBER($D772),ISNUMBER($E772)),IF($E772&gt;$D772,1,0),0)+IF(AND(ISNUMBER($D772),ISNUMBER($F772)),IF($D772&gt;$F772,1,0),0)+IF(AND(ISNUMBER($E772),ISNUMBER($F772)),IF($E772&gt;$F772,1,0),0)</f>
        <v>0</v>
      </c>
      <c r="X772" s="13" t="s">
        <v>76</v>
      </c>
    </row>
    <row r="773" customFormat="false" ht="15" hidden="false" customHeight="false" outlineLevel="0" collapsed="false">
      <c r="A773" s="10" t="s">
        <v>3373</v>
      </c>
      <c r="B773" s="10" t="s">
        <v>3374</v>
      </c>
      <c r="C773" s="11" t="s">
        <v>3375</v>
      </c>
      <c r="D773" s="12" t="n">
        <v>15.54</v>
      </c>
      <c r="E773" s="12"/>
      <c r="F773" s="12"/>
      <c r="G773" s="10" t="s">
        <v>63</v>
      </c>
      <c r="H773" s="10" t="s">
        <v>92</v>
      </c>
      <c r="I773" s="11" t="s">
        <v>3371</v>
      </c>
      <c r="J773" s="10" t="s">
        <v>66</v>
      </c>
      <c r="K773" s="10" t="s">
        <v>67</v>
      </c>
      <c r="L773" s="10" t="s">
        <v>68</v>
      </c>
      <c r="M773" s="10" t="s">
        <v>636</v>
      </c>
      <c r="N773" s="10"/>
      <c r="O773" s="11" t="s">
        <v>3376</v>
      </c>
      <c r="P773" s="10" t="s">
        <v>637</v>
      </c>
      <c r="Q773" s="11" t="s">
        <v>638</v>
      </c>
      <c r="R773" s="11" t="s">
        <v>639</v>
      </c>
      <c r="S773" s="11" t="s">
        <v>74</v>
      </c>
      <c r="T773" s="10" t="s">
        <v>3377</v>
      </c>
      <c r="U773" s="10" t="n">
        <f aca="false">IF(AND($D773="",$E773="",$F773=""),1,0)</f>
        <v>0</v>
      </c>
      <c r="V773" s="10" t="n">
        <f aca="false">IF(OR($I773="",$I773="—"),1,0)</f>
        <v>0</v>
      </c>
      <c r="W773" s="10" t="n">
        <f aca="false">IF(AND(ISNUMBER($D773),ISNUMBER($E773)),IF($E773&gt;$D773,1,0),0)+IF(AND(ISNUMBER($D773),ISNUMBER($F773)),IF($D773&gt;$F773,1,0),0)+IF(AND(ISNUMBER($E773),ISNUMBER($F773)),IF($E773&gt;$F773,1,0),0)</f>
        <v>0</v>
      </c>
      <c r="X773" s="13" t="s">
        <v>76</v>
      </c>
    </row>
    <row r="774" customFormat="false" ht="15" hidden="false" customHeight="false" outlineLevel="0" collapsed="false">
      <c r="A774" s="10" t="s">
        <v>3378</v>
      </c>
      <c r="B774" s="10" t="s">
        <v>3379</v>
      </c>
      <c r="C774" s="11" t="s">
        <v>3370</v>
      </c>
      <c r="D774" s="12" t="n">
        <v>11.9798</v>
      </c>
      <c r="E774" s="12"/>
      <c r="F774" s="12"/>
      <c r="G774" s="10" t="s">
        <v>63</v>
      </c>
      <c r="H774" s="10" t="s">
        <v>83</v>
      </c>
      <c r="I774" s="11" t="s">
        <v>3371</v>
      </c>
      <c r="J774" s="10" t="s">
        <v>66</v>
      </c>
      <c r="K774" s="10" t="s">
        <v>67</v>
      </c>
      <c r="L774" s="10" t="s">
        <v>68</v>
      </c>
      <c r="M774" s="10" t="s">
        <v>69</v>
      </c>
      <c r="N774" s="10"/>
      <c r="O774" s="11" t="s">
        <v>2851</v>
      </c>
      <c r="P774" s="10" t="s">
        <v>71</v>
      </c>
      <c r="Q774" s="11" t="s">
        <v>72</v>
      </c>
      <c r="R774" s="11" t="s">
        <v>73</v>
      </c>
      <c r="S774" s="11" t="s">
        <v>74</v>
      </c>
      <c r="T774" s="11" t="s">
        <v>3380</v>
      </c>
      <c r="U774" s="10" t="n">
        <f aca="false">IF(AND($D774="",$E774="",$F774=""),1,0)</f>
        <v>0</v>
      </c>
      <c r="V774" s="10" t="n">
        <f aca="false">IF(OR($I774="",$I774="—"),1,0)</f>
        <v>0</v>
      </c>
      <c r="W774" s="10" t="n">
        <f aca="false">IF(AND(ISNUMBER($D774),ISNUMBER($E774)),IF($E774&gt;$D774,1,0),0)+IF(AND(ISNUMBER($D774),ISNUMBER($F774)),IF($D774&gt;$F774,1,0),0)+IF(AND(ISNUMBER($E774),ISNUMBER($F774)),IF($E774&gt;$F774,1,0),0)</f>
        <v>0</v>
      </c>
      <c r="X774" s="13" t="s">
        <v>76</v>
      </c>
    </row>
    <row r="775" customFormat="false" ht="15" hidden="false" customHeight="false" outlineLevel="0" collapsed="false">
      <c r="A775" s="10" t="s">
        <v>3381</v>
      </c>
      <c r="B775" s="10" t="s">
        <v>3382</v>
      </c>
      <c r="C775" s="11" t="s">
        <v>3375</v>
      </c>
      <c r="D775" s="12" t="n">
        <v>25.33</v>
      </c>
      <c r="E775" s="12"/>
      <c r="F775" s="12"/>
      <c r="G775" s="10" t="s">
        <v>63</v>
      </c>
      <c r="H775" s="10" t="s">
        <v>83</v>
      </c>
      <c r="I775" s="11" t="s">
        <v>3371</v>
      </c>
      <c r="J775" s="10" t="s">
        <v>66</v>
      </c>
      <c r="K775" s="10" t="s">
        <v>67</v>
      </c>
      <c r="L775" s="10" t="s">
        <v>68</v>
      </c>
      <c r="M775" s="10" t="s">
        <v>636</v>
      </c>
      <c r="N775" s="10"/>
      <c r="O775" s="11" t="s">
        <v>3376</v>
      </c>
      <c r="P775" s="10" t="s">
        <v>637</v>
      </c>
      <c r="Q775" s="11" t="s">
        <v>638</v>
      </c>
      <c r="R775" s="11" t="s">
        <v>639</v>
      </c>
      <c r="S775" s="11" t="s">
        <v>74</v>
      </c>
      <c r="T775" s="10" t="s">
        <v>3383</v>
      </c>
      <c r="U775" s="10" t="n">
        <f aca="false">IF(AND($D775="",$E775="",$F775=""),1,0)</f>
        <v>0</v>
      </c>
      <c r="V775" s="10" t="n">
        <f aca="false">IF(OR($I775="",$I775="—"),1,0)</f>
        <v>0</v>
      </c>
      <c r="W775" s="10" t="n">
        <f aca="false">IF(AND(ISNUMBER($D775),ISNUMBER($E775)),IF($E775&gt;$D775,1,0),0)+IF(AND(ISNUMBER($D775),ISNUMBER($F775)),IF($D775&gt;$F775,1,0),0)+IF(AND(ISNUMBER($E775),ISNUMBER($F775)),IF($E775&gt;$F775,1,0),0)</f>
        <v>0</v>
      </c>
      <c r="X775" s="13" t="s">
        <v>76</v>
      </c>
    </row>
    <row r="776" customFormat="false" ht="15" hidden="false" customHeight="false" outlineLevel="0" collapsed="false">
      <c r="A776" s="10" t="s">
        <v>3384</v>
      </c>
      <c r="B776" s="10" t="s">
        <v>3385</v>
      </c>
      <c r="C776" s="11" t="s">
        <v>3370</v>
      </c>
      <c r="D776" s="12" t="n">
        <v>5.2042</v>
      </c>
      <c r="E776" s="12"/>
      <c r="F776" s="12"/>
      <c r="G776" s="10" t="s">
        <v>63</v>
      </c>
      <c r="H776" s="10" t="s">
        <v>79</v>
      </c>
      <c r="I776" s="11" t="s">
        <v>3371</v>
      </c>
      <c r="J776" s="10" t="s">
        <v>66</v>
      </c>
      <c r="K776" s="10" t="s">
        <v>67</v>
      </c>
      <c r="L776" s="10" t="s">
        <v>68</v>
      </c>
      <c r="M776" s="10" t="s">
        <v>69</v>
      </c>
      <c r="N776" s="10"/>
      <c r="O776" s="11" t="s">
        <v>2851</v>
      </c>
      <c r="P776" s="10" t="s">
        <v>71</v>
      </c>
      <c r="Q776" s="11" t="s">
        <v>72</v>
      </c>
      <c r="R776" s="11" t="s">
        <v>73</v>
      </c>
      <c r="S776" s="11" t="s">
        <v>74</v>
      </c>
      <c r="T776" s="11" t="s">
        <v>3386</v>
      </c>
      <c r="U776" s="10" t="n">
        <f aca="false">IF(AND($D776="",$E776="",$F776=""),1,0)</f>
        <v>0</v>
      </c>
      <c r="V776" s="10" t="n">
        <f aca="false">IF(OR($I776="",$I776="—"),1,0)</f>
        <v>0</v>
      </c>
      <c r="W776" s="10" t="n">
        <f aca="false">IF(AND(ISNUMBER($D776),ISNUMBER($E776)),IF($E776&gt;$D776,1,0),0)+IF(AND(ISNUMBER($D776),ISNUMBER($F776)),IF($D776&gt;$F776,1,0),0)+IF(AND(ISNUMBER($E776),ISNUMBER($F776)),IF($E776&gt;$F776,1,0),0)</f>
        <v>0</v>
      </c>
      <c r="X776" s="13" t="s">
        <v>76</v>
      </c>
    </row>
    <row r="777" customFormat="false" ht="15" hidden="false" customHeight="false" outlineLevel="0" collapsed="false">
      <c r="A777" s="10" t="s">
        <v>3387</v>
      </c>
      <c r="B777" s="10" t="s">
        <v>3388</v>
      </c>
      <c r="C777" s="11" t="s">
        <v>3375</v>
      </c>
      <c r="D777" s="12" t="n">
        <v>9.71</v>
      </c>
      <c r="E777" s="12"/>
      <c r="F777" s="12"/>
      <c r="G777" s="10" t="s">
        <v>63</v>
      </c>
      <c r="H777" s="10" t="s">
        <v>79</v>
      </c>
      <c r="I777" s="11" t="s">
        <v>3371</v>
      </c>
      <c r="J777" s="10" t="s">
        <v>66</v>
      </c>
      <c r="K777" s="10" t="s">
        <v>67</v>
      </c>
      <c r="L777" s="10" t="s">
        <v>68</v>
      </c>
      <c r="M777" s="10" t="s">
        <v>636</v>
      </c>
      <c r="N777" s="10"/>
      <c r="O777" s="11" t="s">
        <v>3376</v>
      </c>
      <c r="P777" s="10" t="s">
        <v>637</v>
      </c>
      <c r="Q777" s="11" t="s">
        <v>638</v>
      </c>
      <c r="R777" s="11" t="s">
        <v>639</v>
      </c>
      <c r="S777" s="11" t="s">
        <v>74</v>
      </c>
      <c r="T777" s="10" t="s">
        <v>3389</v>
      </c>
      <c r="U777" s="10" t="n">
        <f aca="false">IF(AND($D777="",$E777="",$F777=""),1,0)</f>
        <v>0</v>
      </c>
      <c r="V777" s="10" t="n">
        <f aca="false">IF(OR($I777="",$I777="—"),1,0)</f>
        <v>0</v>
      </c>
      <c r="W777" s="10" t="n">
        <f aca="false">IF(AND(ISNUMBER($D777),ISNUMBER($E777)),IF($E777&gt;$D777,1,0),0)+IF(AND(ISNUMBER($D777),ISNUMBER($F777)),IF($D777&gt;$F777,1,0),0)+IF(AND(ISNUMBER($E777),ISNUMBER($F777)),IF($E777&gt;$F777,1,0),0)</f>
        <v>0</v>
      </c>
      <c r="X777" s="13" t="s">
        <v>76</v>
      </c>
    </row>
    <row r="778" customFormat="false" ht="15" hidden="false" customHeight="false" outlineLevel="0" collapsed="false">
      <c r="A778" s="10" t="s">
        <v>3390</v>
      </c>
      <c r="B778" s="10" t="s">
        <v>3391</v>
      </c>
      <c r="C778" s="11" t="s">
        <v>3370</v>
      </c>
      <c r="D778" s="12" t="n">
        <v>0.4142</v>
      </c>
      <c r="E778" s="12"/>
      <c r="F778" s="12"/>
      <c r="G778" s="10" t="s">
        <v>63</v>
      </c>
      <c r="H778" s="10" t="s">
        <v>64</v>
      </c>
      <c r="I778" s="11" t="s">
        <v>3371</v>
      </c>
      <c r="J778" s="10" t="s">
        <v>66</v>
      </c>
      <c r="K778" s="10" t="s">
        <v>67</v>
      </c>
      <c r="L778" s="10" t="s">
        <v>68</v>
      </c>
      <c r="M778" s="10" t="s">
        <v>69</v>
      </c>
      <c r="N778" s="10"/>
      <c r="O778" s="11" t="s">
        <v>2851</v>
      </c>
      <c r="P778" s="10" t="s">
        <v>71</v>
      </c>
      <c r="Q778" s="11" t="s">
        <v>72</v>
      </c>
      <c r="R778" s="11" t="s">
        <v>73</v>
      </c>
      <c r="S778" s="11" t="s">
        <v>74</v>
      </c>
      <c r="T778" s="11" t="s">
        <v>3392</v>
      </c>
      <c r="U778" s="10" t="n">
        <f aca="false">IF(AND($D778="",$E778="",$F778=""),1,0)</f>
        <v>0</v>
      </c>
      <c r="V778" s="10" t="n">
        <f aca="false">IF(OR($I778="",$I778="—"),1,0)</f>
        <v>0</v>
      </c>
      <c r="W778" s="10" t="n">
        <f aca="false">IF(AND(ISNUMBER($D778),ISNUMBER($E778)),IF($E778&gt;$D778,1,0),0)+IF(AND(ISNUMBER($D778),ISNUMBER($F778)),IF($D778&gt;$F778,1,0),0)+IF(AND(ISNUMBER($E778),ISNUMBER($F778)),IF($E778&gt;$F778,1,0),0)</f>
        <v>0</v>
      </c>
      <c r="X778" s="13" t="s">
        <v>76</v>
      </c>
    </row>
    <row r="779" customFormat="false" ht="15" hidden="false" customHeight="false" outlineLevel="0" collapsed="false">
      <c r="A779" s="10" t="s">
        <v>3393</v>
      </c>
      <c r="B779" s="10" t="s">
        <v>3394</v>
      </c>
      <c r="C779" s="11" t="s">
        <v>3375</v>
      </c>
      <c r="D779" s="12" t="n">
        <v>0.76</v>
      </c>
      <c r="E779" s="12"/>
      <c r="F779" s="12"/>
      <c r="G779" s="10" t="s">
        <v>63</v>
      </c>
      <c r="H779" s="10" t="s">
        <v>64</v>
      </c>
      <c r="I779" s="11" t="s">
        <v>3371</v>
      </c>
      <c r="J779" s="10" t="s">
        <v>66</v>
      </c>
      <c r="K779" s="10" t="s">
        <v>67</v>
      </c>
      <c r="L779" s="10" t="s">
        <v>68</v>
      </c>
      <c r="M779" s="10" t="s">
        <v>636</v>
      </c>
      <c r="N779" s="10"/>
      <c r="O779" s="11" t="s">
        <v>3376</v>
      </c>
      <c r="P779" s="10" t="s">
        <v>637</v>
      </c>
      <c r="Q779" s="11" t="s">
        <v>638</v>
      </c>
      <c r="R779" s="11" t="s">
        <v>639</v>
      </c>
      <c r="S779" s="11" t="s">
        <v>74</v>
      </c>
      <c r="T779" s="10" t="s">
        <v>3395</v>
      </c>
      <c r="U779" s="10" t="n">
        <f aca="false">IF(AND($D779="",$E779="",$F779=""),1,0)</f>
        <v>0</v>
      </c>
      <c r="V779" s="10" t="n">
        <f aca="false">IF(OR($I779="",$I779="—"),1,0)</f>
        <v>0</v>
      </c>
      <c r="W779" s="10" t="n">
        <f aca="false">IF(AND(ISNUMBER($D779),ISNUMBER($E779)),IF($E779&gt;$D779,1,0),0)+IF(AND(ISNUMBER($D779),ISNUMBER($F779)),IF($D779&gt;$F779,1,0),0)+IF(AND(ISNUMBER($E779),ISNUMBER($F779)),IF($E779&gt;$F779,1,0),0)</f>
        <v>0</v>
      </c>
      <c r="X779" s="13" t="s">
        <v>76</v>
      </c>
    </row>
    <row r="780" customFormat="false" ht="15" hidden="false" customHeight="false" outlineLevel="0" collapsed="false">
      <c r="A780" s="10" t="s">
        <v>3396</v>
      </c>
      <c r="B780" s="10" t="s">
        <v>3397</v>
      </c>
      <c r="C780" s="11" t="s">
        <v>1865</v>
      </c>
      <c r="D780" s="12" t="n">
        <v>13.4</v>
      </c>
      <c r="E780" s="12"/>
      <c r="F780" s="12"/>
      <c r="G780" s="10" t="s">
        <v>401</v>
      </c>
      <c r="H780" s="10" t="s">
        <v>92</v>
      </c>
      <c r="I780" s="11" t="s">
        <v>3296</v>
      </c>
      <c r="J780" s="10" t="s">
        <v>66</v>
      </c>
      <c r="K780" s="10" t="s">
        <v>67</v>
      </c>
      <c r="L780" s="10" t="s">
        <v>68</v>
      </c>
      <c r="M780" s="10" t="s">
        <v>69</v>
      </c>
      <c r="N780" s="10"/>
      <c r="O780" s="11" t="s">
        <v>2865</v>
      </c>
      <c r="P780" s="10" t="s">
        <v>71</v>
      </c>
      <c r="Q780" s="11" t="s">
        <v>72</v>
      </c>
      <c r="R780" s="11" t="s">
        <v>73</v>
      </c>
      <c r="S780" s="11" t="s">
        <v>74</v>
      </c>
      <c r="T780" s="11" t="s">
        <v>3398</v>
      </c>
      <c r="U780" s="10" t="n">
        <f aca="false">IF(AND($D780="",$E780="",$F780=""),1,0)</f>
        <v>0</v>
      </c>
      <c r="V780" s="10" t="n">
        <f aca="false">IF(OR($I780="",$I780="—"),1,0)</f>
        <v>0</v>
      </c>
      <c r="W780" s="10" t="n">
        <f aca="false">IF(AND(ISNUMBER($D780),ISNUMBER($E780)),IF($E780&gt;$D780,1,0),0)+IF(AND(ISNUMBER($D780),ISNUMBER($F780)),IF($D780&gt;$F780,1,0),0)+IF(AND(ISNUMBER($E780),ISNUMBER($F780)),IF($E780&gt;$F780,1,0),0)</f>
        <v>0</v>
      </c>
      <c r="X780" s="13" t="s">
        <v>76</v>
      </c>
    </row>
    <row r="781" customFormat="false" ht="15" hidden="false" customHeight="false" outlineLevel="0" collapsed="false">
      <c r="A781" s="10" t="s">
        <v>3399</v>
      </c>
      <c r="B781" s="10" t="s">
        <v>3400</v>
      </c>
      <c r="C781" s="11" t="s">
        <v>1865</v>
      </c>
      <c r="D781" s="12" t="n">
        <v>15.6</v>
      </c>
      <c r="E781" s="12"/>
      <c r="F781" s="12"/>
      <c r="G781" s="10" t="s">
        <v>401</v>
      </c>
      <c r="H781" s="10" t="s">
        <v>83</v>
      </c>
      <c r="I781" s="11" t="s">
        <v>3296</v>
      </c>
      <c r="J781" s="10" t="s">
        <v>66</v>
      </c>
      <c r="K781" s="10" t="s">
        <v>67</v>
      </c>
      <c r="L781" s="10" t="s">
        <v>68</v>
      </c>
      <c r="M781" s="10" t="s">
        <v>69</v>
      </c>
      <c r="N781" s="10"/>
      <c r="O781" s="11" t="s">
        <v>2851</v>
      </c>
      <c r="P781" s="10" t="s">
        <v>71</v>
      </c>
      <c r="Q781" s="11" t="s">
        <v>72</v>
      </c>
      <c r="R781" s="11" t="s">
        <v>73</v>
      </c>
      <c r="S781" s="11" t="s">
        <v>74</v>
      </c>
      <c r="T781" s="11" t="s">
        <v>3398</v>
      </c>
      <c r="U781" s="10" t="n">
        <f aca="false">IF(AND($D781="",$E781="",$F781=""),1,0)</f>
        <v>0</v>
      </c>
      <c r="V781" s="10" t="n">
        <f aca="false">IF(OR($I781="",$I781="—"),1,0)</f>
        <v>0</v>
      </c>
      <c r="W781" s="10" t="n">
        <f aca="false">IF(AND(ISNUMBER($D781),ISNUMBER($E781)),IF($E781&gt;$D781,1,0),0)+IF(AND(ISNUMBER($D781),ISNUMBER($F781)),IF($D781&gt;$F781,1,0),0)+IF(AND(ISNUMBER($E781),ISNUMBER($F781)),IF($E781&gt;$F781,1,0),0)</f>
        <v>0</v>
      </c>
      <c r="X781" s="13" t="s">
        <v>76</v>
      </c>
    </row>
    <row r="782" customFormat="false" ht="15" hidden="false" customHeight="false" outlineLevel="0" collapsed="false">
      <c r="A782" s="10" t="s">
        <v>3401</v>
      </c>
      <c r="B782" s="10" t="s">
        <v>3402</v>
      </c>
      <c r="C782" s="11" t="s">
        <v>1865</v>
      </c>
      <c r="D782" s="12" t="n">
        <v>16.4</v>
      </c>
      <c r="E782" s="12"/>
      <c r="F782" s="12"/>
      <c r="G782" s="10" t="s">
        <v>401</v>
      </c>
      <c r="H782" s="10" t="s">
        <v>79</v>
      </c>
      <c r="I782" s="11" t="s">
        <v>3296</v>
      </c>
      <c r="J782" s="10" t="s">
        <v>66</v>
      </c>
      <c r="K782" s="10" t="s">
        <v>67</v>
      </c>
      <c r="L782" s="10" t="s">
        <v>68</v>
      </c>
      <c r="M782" s="10" t="s">
        <v>69</v>
      </c>
      <c r="N782" s="10"/>
      <c r="O782" s="11" t="s">
        <v>2851</v>
      </c>
      <c r="P782" s="10" t="s">
        <v>71</v>
      </c>
      <c r="Q782" s="11" t="s">
        <v>72</v>
      </c>
      <c r="R782" s="11" t="s">
        <v>73</v>
      </c>
      <c r="S782" s="11" t="s">
        <v>74</v>
      </c>
      <c r="T782" s="11" t="s">
        <v>3398</v>
      </c>
      <c r="U782" s="10" t="n">
        <f aca="false">IF(AND($D782="",$E782="",$F782=""),1,0)</f>
        <v>0</v>
      </c>
      <c r="V782" s="10" t="n">
        <f aca="false">IF(OR($I782="",$I782="—"),1,0)</f>
        <v>0</v>
      </c>
      <c r="W782" s="10" t="n">
        <f aca="false">IF(AND(ISNUMBER($D782),ISNUMBER($E782)),IF($E782&gt;$D782,1,0),0)+IF(AND(ISNUMBER($D782),ISNUMBER($F782)),IF($D782&gt;$F782,1,0),0)+IF(AND(ISNUMBER($E782),ISNUMBER($F782)),IF($E782&gt;$F782,1,0),0)</f>
        <v>0</v>
      </c>
      <c r="X782" s="13" t="s">
        <v>76</v>
      </c>
    </row>
    <row r="783" customFormat="false" ht="15" hidden="false" customHeight="false" outlineLevel="0" collapsed="false">
      <c r="A783" s="10" t="s">
        <v>3403</v>
      </c>
      <c r="B783" s="10" t="s">
        <v>3404</v>
      </c>
      <c r="C783" s="11" t="s">
        <v>1865</v>
      </c>
      <c r="D783" s="12" t="n">
        <v>33.1</v>
      </c>
      <c r="E783" s="12"/>
      <c r="F783" s="12"/>
      <c r="G783" s="10" t="s">
        <v>401</v>
      </c>
      <c r="H783" s="10" t="s">
        <v>64</v>
      </c>
      <c r="I783" s="11" t="s">
        <v>3296</v>
      </c>
      <c r="J783" s="10" t="s">
        <v>66</v>
      </c>
      <c r="K783" s="10" t="s">
        <v>67</v>
      </c>
      <c r="L783" s="10" t="s">
        <v>68</v>
      </c>
      <c r="M783" s="10" t="s">
        <v>69</v>
      </c>
      <c r="N783" s="10"/>
      <c r="O783" s="11" t="s">
        <v>2851</v>
      </c>
      <c r="P783" s="10" t="s">
        <v>71</v>
      </c>
      <c r="Q783" s="11" t="s">
        <v>72</v>
      </c>
      <c r="R783" s="11" t="s">
        <v>73</v>
      </c>
      <c r="S783" s="11" t="s">
        <v>74</v>
      </c>
      <c r="T783" s="11" t="s">
        <v>3398</v>
      </c>
      <c r="U783" s="10" t="n">
        <f aca="false">IF(AND($D783="",$E783="",$F783=""),1,0)</f>
        <v>0</v>
      </c>
      <c r="V783" s="10" t="n">
        <f aca="false">IF(OR($I783="",$I783="—"),1,0)</f>
        <v>0</v>
      </c>
      <c r="W783" s="10" t="n">
        <f aca="false">IF(AND(ISNUMBER($D783),ISNUMBER($E783)),IF($E783&gt;$D783,1,0),0)+IF(AND(ISNUMBER($D783),ISNUMBER($F783)),IF($D783&gt;$F783,1,0),0)+IF(AND(ISNUMBER($E783),ISNUMBER($F783)),IF($E783&gt;$F783,1,0),0)</f>
        <v>0</v>
      </c>
      <c r="X783" s="13" t="s">
        <v>76</v>
      </c>
    </row>
    <row r="784" customFormat="false" ht="15" hidden="false" customHeight="false" outlineLevel="0" collapsed="false">
      <c r="A784" s="10" t="s">
        <v>3405</v>
      </c>
      <c r="B784" s="10" t="s">
        <v>3406</v>
      </c>
      <c r="C784" s="11" t="s">
        <v>3407</v>
      </c>
      <c r="D784" s="12"/>
      <c r="E784" s="12"/>
      <c r="F784" s="12"/>
      <c r="G784" s="11" t="s">
        <v>2957</v>
      </c>
      <c r="H784" s="10" t="s">
        <v>2958</v>
      </c>
      <c r="I784" s="11" t="s">
        <v>3296</v>
      </c>
      <c r="J784" s="10" t="s">
        <v>66</v>
      </c>
      <c r="K784" s="10" t="s">
        <v>67</v>
      </c>
      <c r="L784" s="10" t="s">
        <v>68</v>
      </c>
      <c r="M784" s="10" t="s">
        <v>69</v>
      </c>
      <c r="N784" s="10"/>
      <c r="O784" s="11" t="s">
        <v>2960</v>
      </c>
      <c r="P784" s="10" t="s">
        <v>71</v>
      </c>
      <c r="Q784" s="11" t="s">
        <v>72</v>
      </c>
      <c r="R784" s="11" t="s">
        <v>73</v>
      </c>
      <c r="S784" s="11" t="s">
        <v>74</v>
      </c>
      <c r="T784" s="11" t="s">
        <v>3408</v>
      </c>
      <c r="U784" s="10" t="n">
        <f aca="false">IF(AND($D784="",$E784="",$F784=""),1,0)</f>
        <v>1</v>
      </c>
      <c r="V784" s="10" t="n">
        <f aca="false">IF(OR($I784="",$I784="—"),1,0)</f>
        <v>0</v>
      </c>
      <c r="W784" s="10" t="n">
        <f aca="false">IF(AND(ISNUMBER($D784),ISNUMBER($E784)),IF($E784&gt;$D784,1,0),0)+IF(AND(ISNUMBER($D784),ISNUMBER($F784)),IF($D784&gt;$F784,1,0),0)+IF(AND(ISNUMBER($E784),ISNUMBER($F784)),IF($E784&gt;$F784,1,0),0)</f>
        <v>0</v>
      </c>
      <c r="X784" s="13" t="s">
        <v>76</v>
      </c>
    </row>
    <row r="785" customFormat="false" ht="15" hidden="false" customHeight="false" outlineLevel="0" collapsed="false">
      <c r="A785" s="10" t="s">
        <v>3409</v>
      </c>
      <c r="B785" s="10" t="s">
        <v>3410</v>
      </c>
      <c r="C785" s="11" t="s">
        <v>3411</v>
      </c>
      <c r="D785" s="12" t="n">
        <v>40</v>
      </c>
      <c r="E785" s="12" t="n">
        <v>0</v>
      </c>
      <c r="F785" s="12" t="n">
        <v>40</v>
      </c>
      <c r="G785" s="11" t="s">
        <v>3412</v>
      </c>
      <c r="H785" s="10" t="s">
        <v>2958</v>
      </c>
      <c r="I785" s="11" t="s">
        <v>3296</v>
      </c>
      <c r="J785" s="10" t="s">
        <v>66</v>
      </c>
      <c r="K785" s="10" t="s">
        <v>67</v>
      </c>
      <c r="L785" s="10" t="s">
        <v>68</v>
      </c>
      <c r="M785" s="10" t="s">
        <v>69</v>
      </c>
      <c r="N785" s="10"/>
      <c r="O785" s="11" t="s">
        <v>2851</v>
      </c>
      <c r="P785" s="10" t="s">
        <v>71</v>
      </c>
      <c r="Q785" s="11" t="s">
        <v>72</v>
      </c>
      <c r="R785" s="11" t="s">
        <v>73</v>
      </c>
      <c r="S785" s="11" t="s">
        <v>74</v>
      </c>
      <c r="T785" s="11" t="s">
        <v>3413</v>
      </c>
      <c r="U785" s="10" t="n">
        <f aca="false">IF(AND($D785="",$E785="",$F785=""),1,0)</f>
        <v>0</v>
      </c>
      <c r="V785" s="10" t="n">
        <f aca="false">IF(OR($I785="",$I785="—"),1,0)</f>
        <v>0</v>
      </c>
      <c r="W785" s="10" t="n">
        <f aca="false">IF(AND(ISNUMBER($D785),ISNUMBER($E785)),IF($E785&gt;$D785,1,0),0)+IF(AND(ISNUMBER($D785),ISNUMBER($F785)),IF($D785&gt;$F785,1,0),0)+IF(AND(ISNUMBER($E785),ISNUMBER($F785)),IF($E785&gt;$F785,1,0),0)</f>
        <v>0</v>
      </c>
      <c r="X785" s="13" t="s">
        <v>76</v>
      </c>
    </row>
    <row r="786" customFormat="false" ht="15" hidden="false" customHeight="false" outlineLevel="0" collapsed="false">
      <c r="A786" s="10" t="s">
        <v>3414</v>
      </c>
      <c r="B786" s="10" t="s">
        <v>3415</v>
      </c>
      <c r="C786" s="11" t="s">
        <v>3416</v>
      </c>
      <c r="D786" s="12" t="n">
        <v>3.7983</v>
      </c>
      <c r="E786" s="12"/>
      <c r="F786" s="12"/>
      <c r="G786" s="10" t="s">
        <v>63</v>
      </c>
      <c r="H786" s="10" t="s">
        <v>83</v>
      </c>
      <c r="I786" s="11" t="s">
        <v>3313</v>
      </c>
      <c r="J786" s="10" t="s">
        <v>66</v>
      </c>
      <c r="K786" s="10" t="s">
        <v>67</v>
      </c>
      <c r="L786" s="10" t="s">
        <v>68</v>
      </c>
      <c r="M786" s="10" t="s">
        <v>69</v>
      </c>
      <c r="N786" s="10"/>
      <c r="O786" s="11" t="s">
        <v>2851</v>
      </c>
      <c r="P786" s="10" t="s">
        <v>71</v>
      </c>
      <c r="Q786" s="11" t="s">
        <v>72</v>
      </c>
      <c r="R786" s="11" t="s">
        <v>73</v>
      </c>
      <c r="S786" s="11" t="s">
        <v>74</v>
      </c>
      <c r="T786" s="10" t="s">
        <v>3417</v>
      </c>
      <c r="U786" s="10" t="n">
        <f aca="false">IF(AND($D786="",$E786="",$F786=""),1,0)</f>
        <v>0</v>
      </c>
      <c r="V786" s="10" t="n">
        <f aca="false">IF(OR($I786="",$I786="—"),1,0)</f>
        <v>0</v>
      </c>
      <c r="W786" s="10" t="n">
        <f aca="false">IF(AND(ISNUMBER($D786),ISNUMBER($E786)),IF($E786&gt;$D786,1,0),0)+IF(AND(ISNUMBER($D786),ISNUMBER($F786)),IF($D786&gt;$F786,1,0),0)+IF(AND(ISNUMBER($E786),ISNUMBER($F786)),IF($E786&gt;$F786,1,0),0)</f>
        <v>0</v>
      </c>
      <c r="X786" s="13" t="s">
        <v>76</v>
      </c>
    </row>
    <row r="787" customFormat="false" ht="15" hidden="false" customHeight="false" outlineLevel="0" collapsed="false">
      <c r="A787" s="10" t="s">
        <v>3418</v>
      </c>
      <c r="B787" s="10" t="s">
        <v>3419</v>
      </c>
      <c r="C787" s="11" t="s">
        <v>3420</v>
      </c>
      <c r="D787" s="12" t="n">
        <v>3.9477</v>
      </c>
      <c r="E787" s="12"/>
      <c r="F787" s="12"/>
      <c r="G787" s="10" t="s">
        <v>63</v>
      </c>
      <c r="H787" s="10" t="s">
        <v>83</v>
      </c>
      <c r="I787" s="11" t="s">
        <v>3421</v>
      </c>
      <c r="J787" s="10" t="s">
        <v>66</v>
      </c>
      <c r="K787" s="10" t="s">
        <v>67</v>
      </c>
      <c r="L787" s="10" t="s">
        <v>68</v>
      </c>
      <c r="M787" s="10" t="s">
        <v>69</v>
      </c>
      <c r="N787" s="10"/>
      <c r="O787" s="11" t="s">
        <v>3422</v>
      </c>
      <c r="P787" s="10" t="s">
        <v>71</v>
      </c>
      <c r="Q787" s="11" t="s">
        <v>72</v>
      </c>
      <c r="R787" s="11" t="s">
        <v>73</v>
      </c>
      <c r="S787" s="11" t="s">
        <v>74</v>
      </c>
      <c r="T787" s="11" t="s">
        <v>3423</v>
      </c>
      <c r="U787" s="10" t="n">
        <f aca="false">IF(AND($D787="",$E787="",$F787=""),1,0)</f>
        <v>0</v>
      </c>
      <c r="V787" s="10" t="n">
        <f aca="false">IF(OR($I787="",$I787="—"),1,0)</f>
        <v>0</v>
      </c>
      <c r="W787" s="10" t="n">
        <f aca="false">IF(AND(ISNUMBER($D787),ISNUMBER($E787)),IF($E787&gt;$D787,1,0),0)+IF(AND(ISNUMBER($D787),ISNUMBER($F787)),IF($D787&gt;$F787,1,0),0)+IF(AND(ISNUMBER($E787),ISNUMBER($F787)),IF($E787&gt;$F787,1,0),0)</f>
        <v>0</v>
      </c>
      <c r="X787" s="13" t="s">
        <v>76</v>
      </c>
    </row>
    <row r="788" customFormat="false" ht="15" hidden="false" customHeight="false" outlineLevel="0" collapsed="false">
      <c r="A788" s="10" t="s">
        <v>3424</v>
      </c>
      <c r="B788" s="10" t="s">
        <v>3425</v>
      </c>
      <c r="C788" s="11" t="s">
        <v>3426</v>
      </c>
      <c r="D788" s="12" t="n">
        <v>0.945</v>
      </c>
      <c r="E788" s="12"/>
      <c r="F788" s="12"/>
      <c r="G788" s="10" t="s">
        <v>63</v>
      </c>
      <c r="H788" s="10" t="s">
        <v>92</v>
      </c>
      <c r="I788" s="11" t="s">
        <v>3427</v>
      </c>
      <c r="J788" s="10" t="s">
        <v>66</v>
      </c>
      <c r="K788" s="10" t="s">
        <v>67</v>
      </c>
      <c r="L788" s="10" t="s">
        <v>68</v>
      </c>
      <c r="M788" s="10" t="s">
        <v>69</v>
      </c>
      <c r="N788" s="10"/>
      <c r="O788" s="11" t="s">
        <v>3428</v>
      </c>
      <c r="P788" s="10" t="s">
        <v>71</v>
      </c>
      <c r="Q788" s="11" t="s">
        <v>72</v>
      </c>
      <c r="R788" s="11" t="s">
        <v>73</v>
      </c>
      <c r="S788" s="11" t="s">
        <v>74</v>
      </c>
      <c r="T788" s="11" t="s">
        <v>3429</v>
      </c>
      <c r="U788" s="10" t="n">
        <f aca="false">IF(AND($D788="",$E788="",$F788=""),1,0)</f>
        <v>0</v>
      </c>
      <c r="V788" s="10" t="n">
        <f aca="false">IF(OR($I788="",$I788="—"),1,0)</f>
        <v>0</v>
      </c>
      <c r="W788" s="10" t="n">
        <f aca="false">IF(AND(ISNUMBER($D788),ISNUMBER($E788)),IF($E788&gt;$D788,1,0),0)+IF(AND(ISNUMBER($D788),ISNUMBER($F788)),IF($D788&gt;$F788,1,0),0)+IF(AND(ISNUMBER($E788),ISNUMBER($F788)),IF($E788&gt;$F788,1,0),0)</f>
        <v>0</v>
      </c>
      <c r="X788" s="13" t="s">
        <v>76</v>
      </c>
    </row>
    <row r="789" customFormat="false" ht="15" hidden="false" customHeight="false" outlineLevel="0" collapsed="false">
      <c r="A789" s="10" t="s">
        <v>3430</v>
      </c>
      <c r="B789" s="10" t="s">
        <v>3431</v>
      </c>
      <c r="C789" s="11" t="s">
        <v>3432</v>
      </c>
      <c r="D789" s="12" t="n">
        <v>0.242</v>
      </c>
      <c r="E789" s="12"/>
      <c r="F789" s="12"/>
      <c r="G789" s="10" t="s">
        <v>3433</v>
      </c>
      <c r="H789" s="10" t="s">
        <v>3434</v>
      </c>
      <c r="I789" s="11" t="s">
        <v>3421</v>
      </c>
      <c r="J789" s="10" t="s">
        <v>66</v>
      </c>
      <c r="K789" s="10" t="s">
        <v>67</v>
      </c>
      <c r="L789" s="10" t="s">
        <v>68</v>
      </c>
      <c r="M789" s="10" t="s">
        <v>69</v>
      </c>
      <c r="N789" s="10"/>
      <c r="O789" s="11" t="s">
        <v>3422</v>
      </c>
      <c r="P789" s="10" t="s">
        <v>71</v>
      </c>
      <c r="Q789" s="11" t="s">
        <v>72</v>
      </c>
      <c r="R789" s="11" t="s">
        <v>73</v>
      </c>
      <c r="S789" s="11" t="s">
        <v>74</v>
      </c>
      <c r="T789" s="11" t="s">
        <v>3435</v>
      </c>
      <c r="U789" s="10" t="n">
        <f aca="false">IF(AND($D789="",$E789="",$F789=""),1,0)</f>
        <v>0</v>
      </c>
      <c r="V789" s="10" t="n">
        <f aca="false">IF(OR($I789="",$I789="—"),1,0)</f>
        <v>0</v>
      </c>
      <c r="W789" s="10" t="n">
        <f aca="false">IF(AND(ISNUMBER($D789),ISNUMBER($E789)),IF($E789&gt;$D789,1,0),0)+IF(AND(ISNUMBER($D789),ISNUMBER($F789)),IF($D789&gt;$F789,1,0),0)+IF(AND(ISNUMBER($E789),ISNUMBER($F789)),IF($E789&gt;$F789,1,0),0)</f>
        <v>0</v>
      </c>
      <c r="X789" s="13" t="s">
        <v>76</v>
      </c>
    </row>
    <row r="790" customFormat="false" ht="15" hidden="false" customHeight="false" outlineLevel="0" collapsed="false">
      <c r="A790" s="10" t="s">
        <v>3436</v>
      </c>
      <c r="B790" s="10" t="s">
        <v>3437</v>
      </c>
      <c r="C790" s="11" t="s">
        <v>3438</v>
      </c>
      <c r="D790" s="12" t="n">
        <v>0.247</v>
      </c>
      <c r="E790" s="12"/>
      <c r="F790" s="12"/>
      <c r="G790" s="10" t="s">
        <v>63</v>
      </c>
      <c r="H790" s="10" t="s">
        <v>3434</v>
      </c>
      <c r="I790" s="11" t="s">
        <v>3421</v>
      </c>
      <c r="J790" s="10" t="s">
        <v>66</v>
      </c>
      <c r="K790" s="10" t="s">
        <v>67</v>
      </c>
      <c r="L790" s="10" t="s">
        <v>68</v>
      </c>
      <c r="M790" s="10" t="s">
        <v>69</v>
      </c>
      <c r="N790" s="10"/>
      <c r="O790" s="11" t="s">
        <v>3422</v>
      </c>
      <c r="P790" s="10" t="s">
        <v>71</v>
      </c>
      <c r="Q790" s="11" t="s">
        <v>72</v>
      </c>
      <c r="R790" s="11" t="s">
        <v>73</v>
      </c>
      <c r="S790" s="11" t="s">
        <v>74</v>
      </c>
      <c r="T790" s="11" t="s">
        <v>3439</v>
      </c>
      <c r="U790" s="10" t="n">
        <f aca="false">IF(AND($D790="",$E790="",$F790=""),1,0)</f>
        <v>0</v>
      </c>
      <c r="V790" s="10" t="n">
        <f aca="false">IF(OR($I790="",$I790="—"),1,0)</f>
        <v>0</v>
      </c>
      <c r="W790" s="10" t="n">
        <f aca="false">IF(AND(ISNUMBER($D790),ISNUMBER($E790)),IF($E790&gt;$D790,1,0),0)+IF(AND(ISNUMBER($D790),ISNUMBER($F790)),IF($D790&gt;$F790,1,0),0)+IF(AND(ISNUMBER($E790),ISNUMBER($F790)),IF($E790&gt;$F790,1,0),0)</f>
        <v>0</v>
      </c>
      <c r="X790" s="13" t="s">
        <v>76</v>
      </c>
    </row>
    <row r="791" customFormat="false" ht="15" hidden="false" customHeight="false" outlineLevel="0" collapsed="false">
      <c r="A791" s="10" t="s">
        <v>3440</v>
      </c>
      <c r="B791" s="10" t="s">
        <v>3441</v>
      </c>
      <c r="C791" s="11" t="s">
        <v>3442</v>
      </c>
      <c r="D791" s="12" t="n">
        <v>0.1163</v>
      </c>
      <c r="E791" s="12"/>
      <c r="F791" s="12"/>
      <c r="G791" s="10" t="s">
        <v>63</v>
      </c>
      <c r="H791" s="10" t="s">
        <v>3443</v>
      </c>
      <c r="I791" s="11" t="s">
        <v>3444</v>
      </c>
      <c r="J791" s="10" t="s">
        <v>66</v>
      </c>
      <c r="K791" s="10" t="s">
        <v>67</v>
      </c>
      <c r="L791" s="10" t="s">
        <v>68</v>
      </c>
      <c r="M791" s="10" t="s">
        <v>69</v>
      </c>
      <c r="N791" s="10"/>
      <c r="O791" s="11" t="s">
        <v>3422</v>
      </c>
      <c r="P791" s="10" t="s">
        <v>71</v>
      </c>
      <c r="Q791" s="11" t="s">
        <v>72</v>
      </c>
      <c r="R791" s="11" t="s">
        <v>73</v>
      </c>
      <c r="S791" s="11" t="s">
        <v>74</v>
      </c>
      <c r="T791" s="11" t="s">
        <v>3445</v>
      </c>
      <c r="U791" s="10" t="n">
        <f aca="false">IF(AND($D791="",$E791="",$F791=""),1,0)</f>
        <v>0</v>
      </c>
      <c r="V791" s="10" t="n">
        <f aca="false">IF(OR($I791="",$I791="—"),1,0)</f>
        <v>0</v>
      </c>
      <c r="W791" s="10" t="n">
        <f aca="false">IF(AND(ISNUMBER($D791),ISNUMBER($E791)),IF($E791&gt;$D791,1,0),0)+IF(AND(ISNUMBER($D791),ISNUMBER($F791)),IF($D791&gt;$F791,1,0),0)+IF(AND(ISNUMBER($E791),ISNUMBER($F791)),IF($E791&gt;$F791,1,0),0)</f>
        <v>0</v>
      </c>
      <c r="X791" s="13" t="s">
        <v>76</v>
      </c>
    </row>
    <row r="792" customFormat="false" ht="15" hidden="false" customHeight="false" outlineLevel="0" collapsed="false">
      <c r="A792" s="10" t="s">
        <v>3446</v>
      </c>
      <c r="B792" s="10" t="s">
        <v>3447</v>
      </c>
      <c r="C792" s="11" t="s">
        <v>3442</v>
      </c>
      <c r="D792" s="12" t="n">
        <v>0.883</v>
      </c>
      <c r="E792" s="12"/>
      <c r="F792" s="12"/>
      <c r="G792" s="10" t="s">
        <v>63</v>
      </c>
      <c r="H792" s="10" t="s">
        <v>3448</v>
      </c>
      <c r="I792" s="11" t="s">
        <v>3444</v>
      </c>
      <c r="J792" s="10" t="s">
        <v>66</v>
      </c>
      <c r="K792" s="10" t="s">
        <v>67</v>
      </c>
      <c r="L792" s="10" t="s">
        <v>68</v>
      </c>
      <c r="M792" s="10" t="s">
        <v>69</v>
      </c>
      <c r="N792" s="10"/>
      <c r="O792" s="11" t="s">
        <v>3422</v>
      </c>
      <c r="P792" s="10" t="s">
        <v>71</v>
      </c>
      <c r="Q792" s="11" t="s">
        <v>72</v>
      </c>
      <c r="R792" s="11" t="s">
        <v>73</v>
      </c>
      <c r="S792" s="11" t="s">
        <v>74</v>
      </c>
      <c r="T792" s="11" t="s">
        <v>3449</v>
      </c>
      <c r="U792" s="10" t="n">
        <f aca="false">IF(AND($D792="",$E792="",$F792=""),1,0)</f>
        <v>0</v>
      </c>
      <c r="V792" s="10" t="n">
        <f aca="false">IF(OR($I792="",$I792="—"),1,0)</f>
        <v>0</v>
      </c>
      <c r="W792" s="10" t="n">
        <f aca="false">IF(AND(ISNUMBER($D792),ISNUMBER($E792)),IF($E792&gt;$D792,1,0),0)+IF(AND(ISNUMBER($D792),ISNUMBER($F792)),IF($D792&gt;$F792,1,0),0)+IF(AND(ISNUMBER($E792),ISNUMBER($F792)),IF($E792&gt;$F792,1,0),0)</f>
        <v>0</v>
      </c>
      <c r="X792" s="13" t="s">
        <v>76</v>
      </c>
    </row>
    <row r="793" customFormat="false" ht="15" hidden="false" customHeight="false" outlineLevel="0" collapsed="false">
      <c r="A793" s="10" t="s">
        <v>3450</v>
      </c>
      <c r="B793" s="10" t="s">
        <v>3451</v>
      </c>
      <c r="C793" s="11" t="s">
        <v>3442</v>
      </c>
      <c r="D793" s="12" t="n">
        <v>1.6689</v>
      </c>
      <c r="E793" s="12"/>
      <c r="F793" s="12"/>
      <c r="G793" s="10" t="s">
        <v>63</v>
      </c>
      <c r="H793" s="10" t="s">
        <v>3452</v>
      </c>
      <c r="I793" s="11" t="s">
        <v>3444</v>
      </c>
      <c r="J793" s="10" t="s">
        <v>66</v>
      </c>
      <c r="K793" s="10" t="s">
        <v>67</v>
      </c>
      <c r="L793" s="10" t="s">
        <v>68</v>
      </c>
      <c r="M793" s="10" t="s">
        <v>69</v>
      </c>
      <c r="N793" s="10"/>
      <c r="O793" s="11" t="s">
        <v>3422</v>
      </c>
      <c r="P793" s="10" t="s">
        <v>71</v>
      </c>
      <c r="Q793" s="11" t="s">
        <v>72</v>
      </c>
      <c r="R793" s="11" t="s">
        <v>73</v>
      </c>
      <c r="S793" s="11" t="s">
        <v>74</v>
      </c>
      <c r="T793" s="11" t="s">
        <v>3453</v>
      </c>
      <c r="U793" s="10" t="n">
        <f aca="false">IF(AND($D793="",$E793="",$F793=""),1,0)</f>
        <v>0</v>
      </c>
      <c r="V793" s="10" t="n">
        <f aca="false">IF(OR($I793="",$I793="—"),1,0)</f>
        <v>0</v>
      </c>
      <c r="W793" s="10" t="n">
        <f aca="false">IF(AND(ISNUMBER($D793),ISNUMBER($E793)),IF($E793&gt;$D793,1,0),0)+IF(AND(ISNUMBER($D793),ISNUMBER($F793)),IF($D793&gt;$F793,1,0),0)+IF(AND(ISNUMBER($E793),ISNUMBER($F793)),IF($E793&gt;$F793,1,0),0)</f>
        <v>0</v>
      </c>
      <c r="X793" s="13" t="s">
        <v>76</v>
      </c>
    </row>
    <row r="794" customFormat="false" ht="15" hidden="false" customHeight="false" outlineLevel="0" collapsed="false">
      <c r="A794" s="10" t="s">
        <v>3454</v>
      </c>
      <c r="B794" s="10" t="s">
        <v>3455</v>
      </c>
      <c r="C794" s="11" t="s">
        <v>3442</v>
      </c>
      <c r="D794" s="12" t="n">
        <v>1.3403</v>
      </c>
      <c r="E794" s="12"/>
      <c r="F794" s="12"/>
      <c r="G794" s="10" t="s">
        <v>63</v>
      </c>
      <c r="H794" s="10" t="s">
        <v>440</v>
      </c>
      <c r="I794" s="11" t="s">
        <v>3444</v>
      </c>
      <c r="J794" s="10" t="s">
        <v>66</v>
      </c>
      <c r="K794" s="10" t="s">
        <v>67</v>
      </c>
      <c r="L794" s="10" t="s">
        <v>68</v>
      </c>
      <c r="M794" s="10" t="s">
        <v>69</v>
      </c>
      <c r="N794" s="10"/>
      <c r="O794" s="11" t="s">
        <v>3428</v>
      </c>
      <c r="P794" s="10" t="s">
        <v>71</v>
      </c>
      <c r="Q794" s="11" t="s">
        <v>72</v>
      </c>
      <c r="R794" s="11" t="s">
        <v>73</v>
      </c>
      <c r="S794" s="11" t="s">
        <v>74</v>
      </c>
      <c r="T794" s="11" t="s">
        <v>3456</v>
      </c>
      <c r="U794" s="10" t="n">
        <f aca="false">IF(AND($D794="",$E794="",$F794=""),1,0)</f>
        <v>0</v>
      </c>
      <c r="V794" s="10" t="n">
        <f aca="false">IF(OR($I794="",$I794="—"),1,0)</f>
        <v>0</v>
      </c>
      <c r="W794" s="10" t="n">
        <f aca="false">IF(AND(ISNUMBER($D794),ISNUMBER($E794)),IF($E794&gt;$D794,1,0),0)+IF(AND(ISNUMBER($D794),ISNUMBER($F794)),IF($D794&gt;$F794,1,0),0)+IF(AND(ISNUMBER($E794),ISNUMBER($F794)),IF($E794&gt;$F794,1,0),0)</f>
        <v>0</v>
      </c>
      <c r="X794" s="13" t="s">
        <v>76</v>
      </c>
    </row>
    <row r="795" customFormat="false" ht="15" hidden="false" customHeight="false" outlineLevel="0" collapsed="false">
      <c r="A795" s="10" t="s">
        <v>3457</v>
      </c>
      <c r="B795" s="10" t="s">
        <v>3458</v>
      </c>
      <c r="C795" s="11" t="s">
        <v>3459</v>
      </c>
      <c r="D795" s="12" t="n">
        <v>0.1163</v>
      </c>
      <c r="E795" s="12"/>
      <c r="F795" s="12"/>
      <c r="G795" s="10" t="s">
        <v>63</v>
      </c>
      <c r="H795" s="10" t="s">
        <v>3443</v>
      </c>
      <c r="I795" s="11" t="s">
        <v>3460</v>
      </c>
      <c r="J795" s="10" t="s">
        <v>66</v>
      </c>
      <c r="K795" s="10" t="s">
        <v>67</v>
      </c>
      <c r="L795" s="10" t="s">
        <v>68</v>
      </c>
      <c r="M795" s="10" t="s">
        <v>69</v>
      </c>
      <c r="N795" s="10"/>
      <c r="O795" s="11" t="s">
        <v>3422</v>
      </c>
      <c r="P795" s="10" t="s">
        <v>71</v>
      </c>
      <c r="Q795" s="11" t="s">
        <v>72</v>
      </c>
      <c r="R795" s="11" t="s">
        <v>73</v>
      </c>
      <c r="S795" s="11" t="s">
        <v>74</v>
      </c>
      <c r="T795" s="11" t="s">
        <v>3461</v>
      </c>
      <c r="U795" s="10" t="n">
        <f aca="false">IF(AND($D795="",$E795="",$F795=""),1,0)</f>
        <v>0</v>
      </c>
      <c r="V795" s="10" t="n">
        <f aca="false">IF(OR($I795="",$I795="—"),1,0)</f>
        <v>0</v>
      </c>
      <c r="W795" s="10" t="n">
        <f aca="false">IF(AND(ISNUMBER($D795),ISNUMBER($E795)),IF($E795&gt;$D795,1,0),0)+IF(AND(ISNUMBER($D795),ISNUMBER($F795)),IF($D795&gt;$F795,1,0),0)+IF(AND(ISNUMBER($E795),ISNUMBER($F795)),IF($E795&gt;$F795,1,0),0)</f>
        <v>0</v>
      </c>
      <c r="X795" s="13" t="s">
        <v>76</v>
      </c>
    </row>
    <row r="796" customFormat="false" ht="15" hidden="false" customHeight="false" outlineLevel="0" collapsed="false">
      <c r="A796" s="10" t="s">
        <v>3462</v>
      </c>
      <c r="B796" s="10" t="s">
        <v>3463</v>
      </c>
      <c r="C796" s="11" t="s">
        <v>3459</v>
      </c>
      <c r="D796" s="12" t="n">
        <v>0.883</v>
      </c>
      <c r="E796" s="12"/>
      <c r="F796" s="12"/>
      <c r="G796" s="10" t="s">
        <v>63</v>
      </c>
      <c r="H796" s="10" t="s">
        <v>3448</v>
      </c>
      <c r="I796" s="11" t="s">
        <v>3460</v>
      </c>
      <c r="J796" s="10" t="s">
        <v>66</v>
      </c>
      <c r="K796" s="10" t="s">
        <v>67</v>
      </c>
      <c r="L796" s="10" t="s">
        <v>68</v>
      </c>
      <c r="M796" s="10" t="s">
        <v>69</v>
      </c>
      <c r="N796" s="10"/>
      <c r="O796" s="11" t="s">
        <v>3422</v>
      </c>
      <c r="P796" s="10" t="s">
        <v>71</v>
      </c>
      <c r="Q796" s="11" t="s">
        <v>72</v>
      </c>
      <c r="R796" s="11" t="s">
        <v>73</v>
      </c>
      <c r="S796" s="11" t="s">
        <v>74</v>
      </c>
      <c r="T796" s="11" t="s">
        <v>3464</v>
      </c>
      <c r="U796" s="10" t="n">
        <f aca="false">IF(AND($D796="",$E796="",$F796=""),1,0)</f>
        <v>0</v>
      </c>
      <c r="V796" s="10" t="n">
        <f aca="false">IF(OR($I796="",$I796="—"),1,0)</f>
        <v>0</v>
      </c>
      <c r="W796" s="10" t="n">
        <f aca="false">IF(AND(ISNUMBER($D796),ISNUMBER($E796)),IF($E796&gt;$D796,1,0),0)+IF(AND(ISNUMBER($D796),ISNUMBER($F796)),IF($D796&gt;$F796,1,0),0)+IF(AND(ISNUMBER($E796),ISNUMBER($F796)),IF($E796&gt;$F796,1,0),0)</f>
        <v>0</v>
      </c>
      <c r="X796" s="13" t="s">
        <v>76</v>
      </c>
    </row>
    <row r="797" customFormat="false" ht="15" hidden="false" customHeight="false" outlineLevel="0" collapsed="false">
      <c r="A797" s="10" t="s">
        <v>3465</v>
      </c>
      <c r="B797" s="10" t="s">
        <v>3466</v>
      </c>
      <c r="C797" s="11" t="s">
        <v>3459</v>
      </c>
      <c r="D797" s="12" t="n">
        <v>1.2737</v>
      </c>
      <c r="E797" s="12"/>
      <c r="F797" s="12"/>
      <c r="G797" s="10" t="s">
        <v>63</v>
      </c>
      <c r="H797" s="10" t="s">
        <v>3452</v>
      </c>
      <c r="I797" s="11" t="s">
        <v>3460</v>
      </c>
      <c r="J797" s="10" t="s">
        <v>66</v>
      </c>
      <c r="K797" s="10" t="s">
        <v>67</v>
      </c>
      <c r="L797" s="10" t="s">
        <v>68</v>
      </c>
      <c r="M797" s="10" t="s">
        <v>69</v>
      </c>
      <c r="N797" s="10"/>
      <c r="O797" s="11" t="s">
        <v>3422</v>
      </c>
      <c r="P797" s="10" t="s">
        <v>71</v>
      </c>
      <c r="Q797" s="11" t="s">
        <v>72</v>
      </c>
      <c r="R797" s="11" t="s">
        <v>73</v>
      </c>
      <c r="S797" s="11" t="s">
        <v>74</v>
      </c>
      <c r="T797" s="11" t="s">
        <v>3467</v>
      </c>
      <c r="U797" s="10" t="n">
        <f aca="false">IF(AND($D797="",$E797="",$F797=""),1,0)</f>
        <v>0</v>
      </c>
      <c r="V797" s="10" t="n">
        <f aca="false">IF(OR($I797="",$I797="—"),1,0)</f>
        <v>0</v>
      </c>
      <c r="W797" s="10" t="n">
        <f aca="false">IF(AND(ISNUMBER($D797),ISNUMBER($E797)),IF($E797&gt;$D797,1,0),0)+IF(AND(ISNUMBER($D797),ISNUMBER($F797)),IF($D797&gt;$F797,1,0),0)+IF(AND(ISNUMBER($E797),ISNUMBER($F797)),IF($E797&gt;$F797,1,0),0)</f>
        <v>0</v>
      </c>
      <c r="X797" s="13" t="s">
        <v>76</v>
      </c>
    </row>
    <row r="798" customFormat="false" ht="15" hidden="false" customHeight="false" outlineLevel="0" collapsed="false">
      <c r="A798" s="10" t="s">
        <v>3468</v>
      </c>
      <c r="B798" s="10" t="s">
        <v>3469</v>
      </c>
      <c r="C798" s="11" t="s">
        <v>3459</v>
      </c>
      <c r="D798" s="12" t="n">
        <v>0.7291</v>
      </c>
      <c r="E798" s="12"/>
      <c r="F798" s="12"/>
      <c r="G798" s="10" t="s">
        <v>63</v>
      </c>
      <c r="H798" s="10" t="s">
        <v>440</v>
      </c>
      <c r="I798" s="11" t="s">
        <v>3460</v>
      </c>
      <c r="J798" s="10" t="s">
        <v>66</v>
      </c>
      <c r="K798" s="10" t="s">
        <v>67</v>
      </c>
      <c r="L798" s="10" t="s">
        <v>68</v>
      </c>
      <c r="M798" s="10" t="s">
        <v>69</v>
      </c>
      <c r="N798" s="10"/>
      <c r="O798" s="11" t="s">
        <v>3428</v>
      </c>
      <c r="P798" s="10" t="s">
        <v>71</v>
      </c>
      <c r="Q798" s="11" t="s">
        <v>72</v>
      </c>
      <c r="R798" s="11" t="s">
        <v>73</v>
      </c>
      <c r="S798" s="11" t="s">
        <v>74</v>
      </c>
      <c r="T798" s="11" t="s">
        <v>3470</v>
      </c>
      <c r="U798" s="10" t="n">
        <f aca="false">IF(AND($D798="",$E798="",$F798=""),1,0)</f>
        <v>0</v>
      </c>
      <c r="V798" s="10" t="n">
        <f aca="false">IF(OR($I798="",$I798="—"),1,0)</f>
        <v>0</v>
      </c>
      <c r="W798" s="10" t="n">
        <f aca="false">IF(AND(ISNUMBER($D798),ISNUMBER($E798)),IF($E798&gt;$D798,1,0),0)+IF(AND(ISNUMBER($D798),ISNUMBER($F798)),IF($D798&gt;$F798,1,0),0)+IF(AND(ISNUMBER($E798),ISNUMBER($F798)),IF($E798&gt;$F798,1,0),0)</f>
        <v>0</v>
      </c>
      <c r="X798" s="13" t="s">
        <v>76</v>
      </c>
    </row>
    <row r="799" customFormat="false" ht="15" hidden="false" customHeight="false" outlineLevel="0" collapsed="false">
      <c r="A799" s="10" t="s">
        <v>3471</v>
      </c>
      <c r="B799" s="10" t="s">
        <v>3472</v>
      </c>
      <c r="C799" s="11" t="s">
        <v>3473</v>
      </c>
      <c r="D799" s="12" t="n">
        <v>0</v>
      </c>
      <c r="E799" s="12"/>
      <c r="F799" s="12"/>
      <c r="G799" s="10" t="s">
        <v>63</v>
      </c>
      <c r="H799" s="10" t="s">
        <v>3443</v>
      </c>
      <c r="I799" s="11" t="s">
        <v>3474</v>
      </c>
      <c r="J799" s="10" t="s">
        <v>66</v>
      </c>
      <c r="K799" s="10" t="s">
        <v>67</v>
      </c>
      <c r="L799" s="10" t="s">
        <v>68</v>
      </c>
      <c r="M799" s="10" t="s">
        <v>69</v>
      </c>
      <c r="N799" s="10"/>
      <c r="O799" s="11" t="s">
        <v>3422</v>
      </c>
      <c r="P799" s="10" t="s">
        <v>71</v>
      </c>
      <c r="Q799" s="11" t="s">
        <v>72</v>
      </c>
      <c r="R799" s="11" t="s">
        <v>73</v>
      </c>
      <c r="S799" s="11" t="s">
        <v>74</v>
      </c>
      <c r="T799" s="11" t="s">
        <v>3475</v>
      </c>
      <c r="U799" s="10" t="n">
        <f aca="false">IF(AND($D799="",$E799="",$F799=""),1,0)</f>
        <v>0</v>
      </c>
      <c r="V799" s="10" t="n">
        <f aca="false">IF(OR($I799="",$I799="—"),1,0)</f>
        <v>0</v>
      </c>
      <c r="W799" s="10" t="n">
        <f aca="false">IF(AND(ISNUMBER($D799),ISNUMBER($E799)),IF($E799&gt;$D799,1,0),0)+IF(AND(ISNUMBER($D799),ISNUMBER($F799)),IF($D799&gt;$F799,1,0),0)+IF(AND(ISNUMBER($E799),ISNUMBER($F799)),IF($E799&gt;$F799,1,0),0)</f>
        <v>0</v>
      </c>
      <c r="X799" s="13" t="s">
        <v>76</v>
      </c>
    </row>
    <row r="800" customFormat="false" ht="15" hidden="false" customHeight="false" outlineLevel="0" collapsed="false">
      <c r="A800" s="10" t="s">
        <v>3476</v>
      </c>
      <c r="B800" s="10" t="s">
        <v>3477</v>
      </c>
      <c r="C800" s="11" t="s">
        <v>3473</v>
      </c>
      <c r="D800" s="12" t="n">
        <v>0</v>
      </c>
      <c r="E800" s="12"/>
      <c r="F800" s="12"/>
      <c r="G800" s="10" t="s">
        <v>63</v>
      </c>
      <c r="H800" s="10" t="s">
        <v>3448</v>
      </c>
      <c r="I800" s="11" t="s">
        <v>3474</v>
      </c>
      <c r="J800" s="10" t="s">
        <v>66</v>
      </c>
      <c r="K800" s="10" t="s">
        <v>67</v>
      </c>
      <c r="L800" s="10" t="s">
        <v>68</v>
      </c>
      <c r="M800" s="10" t="s">
        <v>69</v>
      </c>
      <c r="N800" s="10"/>
      <c r="O800" s="11" t="s">
        <v>3422</v>
      </c>
      <c r="P800" s="10" t="s">
        <v>71</v>
      </c>
      <c r="Q800" s="11" t="s">
        <v>72</v>
      </c>
      <c r="R800" s="11" t="s">
        <v>73</v>
      </c>
      <c r="S800" s="11" t="s">
        <v>74</v>
      </c>
      <c r="T800" s="11" t="s">
        <v>3475</v>
      </c>
      <c r="U800" s="10" t="n">
        <f aca="false">IF(AND($D800="",$E800="",$F800=""),1,0)</f>
        <v>0</v>
      </c>
      <c r="V800" s="10" t="n">
        <f aca="false">IF(OR($I800="",$I800="—"),1,0)</f>
        <v>0</v>
      </c>
      <c r="W800" s="10" t="n">
        <f aca="false">IF(AND(ISNUMBER($D800),ISNUMBER($E800)),IF($E800&gt;$D800,1,0),0)+IF(AND(ISNUMBER($D800),ISNUMBER($F800)),IF($D800&gt;$F800,1,0),0)+IF(AND(ISNUMBER($E800),ISNUMBER($F800)),IF($E800&gt;$F800,1,0),0)</f>
        <v>0</v>
      </c>
      <c r="X800" s="13" t="s">
        <v>76</v>
      </c>
    </row>
    <row r="801" customFormat="false" ht="15" hidden="false" customHeight="false" outlineLevel="0" collapsed="false">
      <c r="A801" s="10" t="s">
        <v>3478</v>
      </c>
      <c r="B801" s="10" t="s">
        <v>3479</v>
      </c>
      <c r="C801" s="11" t="s">
        <v>3473</v>
      </c>
      <c r="D801" s="12" t="n">
        <v>0.3952</v>
      </c>
      <c r="E801" s="12"/>
      <c r="F801" s="12"/>
      <c r="G801" s="10" t="s">
        <v>63</v>
      </c>
      <c r="H801" s="10" t="s">
        <v>3452</v>
      </c>
      <c r="I801" s="11" t="s">
        <v>3474</v>
      </c>
      <c r="J801" s="10" t="s">
        <v>66</v>
      </c>
      <c r="K801" s="10" t="s">
        <v>67</v>
      </c>
      <c r="L801" s="10" t="s">
        <v>68</v>
      </c>
      <c r="M801" s="10" t="s">
        <v>69</v>
      </c>
      <c r="N801" s="10"/>
      <c r="O801" s="11" t="s">
        <v>3422</v>
      </c>
      <c r="P801" s="10" t="s">
        <v>71</v>
      </c>
      <c r="Q801" s="11" t="s">
        <v>72</v>
      </c>
      <c r="R801" s="11" t="s">
        <v>73</v>
      </c>
      <c r="S801" s="11" t="s">
        <v>74</v>
      </c>
      <c r="T801" s="11" t="s">
        <v>3480</v>
      </c>
      <c r="U801" s="10" t="n">
        <f aca="false">IF(AND($D801="",$E801="",$F801=""),1,0)</f>
        <v>0</v>
      </c>
      <c r="V801" s="10" t="n">
        <f aca="false">IF(OR($I801="",$I801="—"),1,0)</f>
        <v>0</v>
      </c>
      <c r="W801" s="10" t="n">
        <f aca="false">IF(AND(ISNUMBER($D801),ISNUMBER($E801)),IF($E801&gt;$D801,1,0),0)+IF(AND(ISNUMBER($D801),ISNUMBER($F801)),IF($D801&gt;$F801,1,0),0)+IF(AND(ISNUMBER($E801),ISNUMBER($F801)),IF($E801&gt;$F801,1,0),0)</f>
        <v>0</v>
      </c>
      <c r="X801" s="13" t="s">
        <v>76</v>
      </c>
    </row>
    <row r="802" customFormat="false" ht="15" hidden="false" customHeight="false" outlineLevel="0" collapsed="false">
      <c r="A802" s="10" t="s">
        <v>3481</v>
      </c>
      <c r="B802" s="10" t="s">
        <v>3482</v>
      </c>
      <c r="C802" s="11" t="s">
        <v>3473</v>
      </c>
      <c r="D802" s="12" t="n">
        <v>0.6112</v>
      </c>
      <c r="E802" s="12"/>
      <c r="F802" s="12"/>
      <c r="G802" s="10" t="s">
        <v>63</v>
      </c>
      <c r="H802" s="10" t="s">
        <v>440</v>
      </c>
      <c r="I802" s="11" t="s">
        <v>3474</v>
      </c>
      <c r="J802" s="10" t="s">
        <v>66</v>
      </c>
      <c r="K802" s="10" t="s">
        <v>67</v>
      </c>
      <c r="L802" s="10" t="s">
        <v>68</v>
      </c>
      <c r="M802" s="10" t="s">
        <v>69</v>
      </c>
      <c r="N802" s="10"/>
      <c r="O802" s="11" t="s">
        <v>3428</v>
      </c>
      <c r="P802" s="10" t="s">
        <v>71</v>
      </c>
      <c r="Q802" s="11" t="s">
        <v>72</v>
      </c>
      <c r="R802" s="11" t="s">
        <v>73</v>
      </c>
      <c r="S802" s="11" t="s">
        <v>74</v>
      </c>
      <c r="T802" s="11" t="s">
        <v>3483</v>
      </c>
      <c r="U802" s="10" t="n">
        <f aca="false">IF(AND($D802="",$E802="",$F802=""),1,0)</f>
        <v>0</v>
      </c>
      <c r="V802" s="10" t="n">
        <f aca="false">IF(OR($I802="",$I802="—"),1,0)</f>
        <v>0</v>
      </c>
      <c r="W802" s="10" t="n">
        <f aca="false">IF(AND(ISNUMBER($D802),ISNUMBER($E802)),IF($E802&gt;$D802,1,0),0)+IF(AND(ISNUMBER($D802),ISNUMBER($F802)),IF($D802&gt;$F802,1,0),0)+IF(AND(ISNUMBER($E802),ISNUMBER($F802)),IF($E802&gt;$F802,1,0),0)</f>
        <v>0</v>
      </c>
      <c r="X802" s="13" t="s">
        <v>76</v>
      </c>
    </row>
    <row r="803" customFormat="false" ht="15" hidden="false" customHeight="false" outlineLevel="0" collapsed="false">
      <c r="A803" s="10" t="s">
        <v>3484</v>
      </c>
      <c r="B803" s="10" t="s">
        <v>3485</v>
      </c>
      <c r="C803" s="11" t="s">
        <v>850</v>
      </c>
      <c r="D803" s="12" t="n">
        <v>0.0151</v>
      </c>
      <c r="E803" s="12"/>
      <c r="F803" s="12"/>
      <c r="G803" s="10" t="s">
        <v>63</v>
      </c>
      <c r="H803" s="10" t="s">
        <v>3443</v>
      </c>
      <c r="I803" s="11" t="s">
        <v>3486</v>
      </c>
      <c r="J803" s="10" t="s">
        <v>66</v>
      </c>
      <c r="K803" s="10" t="s">
        <v>67</v>
      </c>
      <c r="L803" s="10" t="s">
        <v>68</v>
      </c>
      <c r="M803" s="10" t="s">
        <v>69</v>
      </c>
      <c r="N803" s="10"/>
      <c r="O803" s="11" t="s">
        <v>3422</v>
      </c>
      <c r="P803" s="10" t="s">
        <v>71</v>
      </c>
      <c r="Q803" s="11" t="s">
        <v>72</v>
      </c>
      <c r="R803" s="11" t="s">
        <v>73</v>
      </c>
      <c r="S803" s="11" t="s">
        <v>74</v>
      </c>
      <c r="T803" s="11" t="s">
        <v>3487</v>
      </c>
      <c r="U803" s="10" t="n">
        <f aca="false">IF(AND($D803="",$E803="",$F803=""),1,0)</f>
        <v>0</v>
      </c>
      <c r="V803" s="10" t="n">
        <f aca="false">IF(OR($I803="",$I803="—"),1,0)</f>
        <v>0</v>
      </c>
      <c r="W803" s="10" t="n">
        <f aca="false">IF(AND(ISNUMBER($D803),ISNUMBER($E803)),IF($E803&gt;$D803,1,0),0)+IF(AND(ISNUMBER($D803),ISNUMBER($F803)),IF($D803&gt;$F803,1,0),0)+IF(AND(ISNUMBER($E803),ISNUMBER($F803)),IF($E803&gt;$F803,1,0),0)</f>
        <v>0</v>
      </c>
      <c r="X803" s="13" t="s">
        <v>76</v>
      </c>
    </row>
    <row r="804" customFormat="false" ht="15" hidden="false" customHeight="false" outlineLevel="0" collapsed="false">
      <c r="A804" s="10" t="s">
        <v>3488</v>
      </c>
      <c r="B804" s="10" t="s">
        <v>3489</v>
      </c>
      <c r="C804" s="11" t="s">
        <v>850</v>
      </c>
      <c r="D804" s="12" t="n">
        <v>1.0454</v>
      </c>
      <c r="E804" s="12"/>
      <c r="F804" s="12"/>
      <c r="G804" s="10" t="s">
        <v>63</v>
      </c>
      <c r="H804" s="10" t="s">
        <v>3448</v>
      </c>
      <c r="I804" s="11" t="s">
        <v>3486</v>
      </c>
      <c r="J804" s="10" t="s">
        <v>66</v>
      </c>
      <c r="K804" s="10" t="s">
        <v>67</v>
      </c>
      <c r="L804" s="10" t="s">
        <v>68</v>
      </c>
      <c r="M804" s="10" t="s">
        <v>69</v>
      </c>
      <c r="N804" s="10"/>
      <c r="O804" s="11" t="s">
        <v>3422</v>
      </c>
      <c r="P804" s="10" t="s">
        <v>71</v>
      </c>
      <c r="Q804" s="11" t="s">
        <v>72</v>
      </c>
      <c r="R804" s="11" t="s">
        <v>73</v>
      </c>
      <c r="S804" s="11" t="s">
        <v>74</v>
      </c>
      <c r="T804" s="11" t="s">
        <v>3490</v>
      </c>
      <c r="U804" s="10" t="n">
        <f aca="false">IF(AND($D804="",$E804="",$F804=""),1,0)</f>
        <v>0</v>
      </c>
      <c r="V804" s="10" t="n">
        <f aca="false">IF(OR($I804="",$I804="—"),1,0)</f>
        <v>0</v>
      </c>
      <c r="W804" s="10" t="n">
        <f aca="false">IF(AND(ISNUMBER($D804),ISNUMBER($E804)),IF($E804&gt;$D804,1,0),0)+IF(AND(ISNUMBER($D804),ISNUMBER($F804)),IF($D804&gt;$F804,1,0),0)+IF(AND(ISNUMBER($E804),ISNUMBER($F804)),IF($E804&gt;$F804,1,0),0)</f>
        <v>0</v>
      </c>
      <c r="X804" s="13" t="s">
        <v>76</v>
      </c>
    </row>
    <row r="805" customFormat="false" ht="15" hidden="false" customHeight="false" outlineLevel="0" collapsed="false">
      <c r="A805" s="10" t="s">
        <v>3491</v>
      </c>
      <c r="B805" s="10" t="s">
        <v>3492</v>
      </c>
      <c r="C805" s="11" t="s">
        <v>850</v>
      </c>
      <c r="D805" s="12" t="n">
        <v>2.6947</v>
      </c>
      <c r="E805" s="12"/>
      <c r="F805" s="12"/>
      <c r="G805" s="10" t="s">
        <v>63</v>
      </c>
      <c r="H805" s="10" t="s">
        <v>3452</v>
      </c>
      <c r="I805" s="11" t="s">
        <v>3486</v>
      </c>
      <c r="J805" s="10" t="s">
        <v>66</v>
      </c>
      <c r="K805" s="10" t="s">
        <v>67</v>
      </c>
      <c r="L805" s="10" t="s">
        <v>68</v>
      </c>
      <c r="M805" s="10" t="s">
        <v>69</v>
      </c>
      <c r="N805" s="10"/>
      <c r="O805" s="11" t="s">
        <v>3422</v>
      </c>
      <c r="P805" s="10" t="s">
        <v>71</v>
      </c>
      <c r="Q805" s="11" t="s">
        <v>72</v>
      </c>
      <c r="R805" s="11" t="s">
        <v>73</v>
      </c>
      <c r="S805" s="11" t="s">
        <v>74</v>
      </c>
      <c r="T805" s="11" t="s">
        <v>3493</v>
      </c>
      <c r="U805" s="10" t="n">
        <f aca="false">IF(AND($D805="",$E805="",$F805=""),1,0)</f>
        <v>0</v>
      </c>
      <c r="V805" s="10" t="n">
        <f aca="false">IF(OR($I805="",$I805="—"),1,0)</f>
        <v>0</v>
      </c>
      <c r="W805" s="10" t="n">
        <f aca="false">IF(AND(ISNUMBER($D805),ISNUMBER($E805)),IF($E805&gt;$D805,1,0),0)+IF(AND(ISNUMBER($D805),ISNUMBER($F805)),IF($D805&gt;$F805,1,0),0)+IF(AND(ISNUMBER($E805),ISNUMBER($F805)),IF($E805&gt;$F805,1,0),0)</f>
        <v>0</v>
      </c>
      <c r="X805" s="13" t="s">
        <v>76</v>
      </c>
    </row>
    <row r="806" customFormat="false" ht="15" hidden="false" customHeight="false" outlineLevel="0" collapsed="false">
      <c r="A806" s="10" t="s">
        <v>3494</v>
      </c>
      <c r="B806" s="10" t="s">
        <v>3495</v>
      </c>
      <c r="C806" s="11" t="s">
        <v>850</v>
      </c>
      <c r="D806" s="12" t="n">
        <v>4.9535</v>
      </c>
      <c r="E806" s="12"/>
      <c r="F806" s="12"/>
      <c r="G806" s="10" t="s">
        <v>63</v>
      </c>
      <c r="H806" s="10" t="s">
        <v>440</v>
      </c>
      <c r="I806" s="11" t="s">
        <v>3486</v>
      </c>
      <c r="J806" s="10" t="s">
        <v>66</v>
      </c>
      <c r="K806" s="10" t="s">
        <v>67</v>
      </c>
      <c r="L806" s="10" t="s">
        <v>68</v>
      </c>
      <c r="M806" s="10" t="s">
        <v>69</v>
      </c>
      <c r="N806" s="10"/>
      <c r="O806" s="11" t="s">
        <v>3428</v>
      </c>
      <c r="P806" s="10" t="s">
        <v>71</v>
      </c>
      <c r="Q806" s="11" t="s">
        <v>72</v>
      </c>
      <c r="R806" s="11" t="s">
        <v>73</v>
      </c>
      <c r="S806" s="11" t="s">
        <v>74</v>
      </c>
      <c r="T806" s="11" t="s">
        <v>3496</v>
      </c>
      <c r="U806" s="10" t="n">
        <f aca="false">IF(AND($D806="",$E806="",$F806=""),1,0)</f>
        <v>0</v>
      </c>
      <c r="V806" s="10" t="n">
        <f aca="false">IF(OR($I806="",$I806="—"),1,0)</f>
        <v>0</v>
      </c>
      <c r="W806" s="10" t="n">
        <f aca="false">IF(AND(ISNUMBER($D806),ISNUMBER($E806)),IF($E806&gt;$D806,1,0),0)+IF(AND(ISNUMBER($D806),ISNUMBER($F806)),IF($D806&gt;$F806,1,0),0)+IF(AND(ISNUMBER($E806),ISNUMBER($F806)),IF($E806&gt;$F806,1,0),0)</f>
        <v>0</v>
      </c>
      <c r="X806" s="13" t="s">
        <v>76</v>
      </c>
    </row>
    <row r="807" customFormat="false" ht="15" hidden="false" customHeight="false" outlineLevel="0" collapsed="false">
      <c r="A807" s="10" t="s">
        <v>3497</v>
      </c>
      <c r="B807" s="10" t="s">
        <v>3498</v>
      </c>
      <c r="C807" s="11" t="s">
        <v>3499</v>
      </c>
      <c r="D807" s="12" t="n">
        <v>0.2583</v>
      </c>
      <c r="E807" s="12"/>
      <c r="F807" s="12"/>
      <c r="G807" s="10" t="s">
        <v>63</v>
      </c>
      <c r="H807" s="10" t="s">
        <v>3443</v>
      </c>
      <c r="I807" s="11" t="s">
        <v>3500</v>
      </c>
      <c r="J807" s="10" t="s">
        <v>66</v>
      </c>
      <c r="K807" s="10" t="s">
        <v>67</v>
      </c>
      <c r="L807" s="10" t="s">
        <v>68</v>
      </c>
      <c r="M807" s="10" t="s">
        <v>69</v>
      </c>
      <c r="N807" s="10"/>
      <c r="O807" s="11" t="s">
        <v>3422</v>
      </c>
      <c r="P807" s="10" t="s">
        <v>71</v>
      </c>
      <c r="Q807" s="11" t="s">
        <v>72</v>
      </c>
      <c r="R807" s="11" t="s">
        <v>73</v>
      </c>
      <c r="S807" s="11" t="s">
        <v>74</v>
      </c>
      <c r="T807" s="11" t="s">
        <v>3501</v>
      </c>
      <c r="U807" s="10" t="n">
        <f aca="false">IF(AND($D807="",$E807="",$F807=""),1,0)</f>
        <v>0</v>
      </c>
      <c r="V807" s="10" t="n">
        <f aca="false">IF(OR($I807="",$I807="—"),1,0)</f>
        <v>0</v>
      </c>
      <c r="W807" s="10" t="n">
        <f aca="false">IF(AND(ISNUMBER($D807),ISNUMBER($E807)),IF($E807&gt;$D807,1,0),0)+IF(AND(ISNUMBER($D807),ISNUMBER($F807)),IF($D807&gt;$F807,1,0),0)+IF(AND(ISNUMBER($E807),ISNUMBER($F807)),IF($E807&gt;$F807,1,0),0)</f>
        <v>0</v>
      </c>
      <c r="X807" s="13" t="s">
        <v>76</v>
      </c>
    </row>
    <row r="808" customFormat="false" ht="15" hidden="false" customHeight="false" outlineLevel="0" collapsed="false">
      <c r="A808" s="10" t="s">
        <v>3502</v>
      </c>
      <c r="B808" s="10" t="s">
        <v>3503</v>
      </c>
      <c r="C808" s="11" t="s">
        <v>3499</v>
      </c>
      <c r="D808" s="12" t="n">
        <v>2.882</v>
      </c>
      <c r="E808" s="12"/>
      <c r="F808" s="12"/>
      <c r="G808" s="10" t="s">
        <v>63</v>
      </c>
      <c r="H808" s="10" t="s">
        <v>3448</v>
      </c>
      <c r="I808" s="11" t="s">
        <v>3500</v>
      </c>
      <c r="J808" s="10" t="s">
        <v>66</v>
      </c>
      <c r="K808" s="10" t="s">
        <v>67</v>
      </c>
      <c r="L808" s="10" t="s">
        <v>68</v>
      </c>
      <c r="M808" s="10" t="s">
        <v>69</v>
      </c>
      <c r="N808" s="10"/>
      <c r="O808" s="11" t="s">
        <v>3422</v>
      </c>
      <c r="P808" s="10" t="s">
        <v>71</v>
      </c>
      <c r="Q808" s="11" t="s">
        <v>72</v>
      </c>
      <c r="R808" s="11" t="s">
        <v>73</v>
      </c>
      <c r="S808" s="11" t="s">
        <v>74</v>
      </c>
      <c r="T808" s="11" t="s">
        <v>3504</v>
      </c>
      <c r="U808" s="10" t="n">
        <f aca="false">IF(AND($D808="",$E808="",$F808=""),1,0)</f>
        <v>0</v>
      </c>
      <c r="V808" s="10" t="n">
        <f aca="false">IF(OR($I808="",$I808="—"),1,0)</f>
        <v>0</v>
      </c>
      <c r="W808" s="10" t="n">
        <f aca="false">IF(AND(ISNUMBER($D808),ISNUMBER($E808)),IF($E808&gt;$D808,1,0),0)+IF(AND(ISNUMBER($D808),ISNUMBER($F808)),IF($D808&gt;$F808,1,0),0)+IF(AND(ISNUMBER($E808),ISNUMBER($F808)),IF($E808&gt;$F808,1,0),0)</f>
        <v>0</v>
      </c>
      <c r="X808" s="13" t="s">
        <v>76</v>
      </c>
    </row>
    <row r="809" customFormat="false" ht="15" hidden="false" customHeight="false" outlineLevel="0" collapsed="false">
      <c r="A809" s="10" t="s">
        <v>3505</v>
      </c>
      <c r="B809" s="10" t="s">
        <v>3506</v>
      </c>
      <c r="C809" s="11" t="s">
        <v>3499</v>
      </c>
      <c r="D809" s="12" t="n">
        <v>6.0349</v>
      </c>
      <c r="E809" s="12"/>
      <c r="F809" s="12"/>
      <c r="G809" s="10" t="s">
        <v>63</v>
      </c>
      <c r="H809" s="10" t="s">
        <v>3452</v>
      </c>
      <c r="I809" s="11" t="s">
        <v>3500</v>
      </c>
      <c r="J809" s="10" t="s">
        <v>66</v>
      </c>
      <c r="K809" s="10" t="s">
        <v>67</v>
      </c>
      <c r="L809" s="10" t="s">
        <v>68</v>
      </c>
      <c r="M809" s="10" t="s">
        <v>69</v>
      </c>
      <c r="N809" s="10"/>
      <c r="O809" s="11" t="s">
        <v>3422</v>
      </c>
      <c r="P809" s="10" t="s">
        <v>71</v>
      </c>
      <c r="Q809" s="11" t="s">
        <v>72</v>
      </c>
      <c r="R809" s="11" t="s">
        <v>73</v>
      </c>
      <c r="S809" s="11" t="s">
        <v>74</v>
      </c>
      <c r="T809" s="11" t="s">
        <v>3507</v>
      </c>
      <c r="U809" s="10" t="n">
        <f aca="false">IF(AND($D809="",$E809="",$F809=""),1,0)</f>
        <v>0</v>
      </c>
      <c r="V809" s="10" t="n">
        <f aca="false">IF(OR($I809="",$I809="—"),1,0)</f>
        <v>0</v>
      </c>
      <c r="W809" s="10" t="n">
        <f aca="false">IF(AND(ISNUMBER($D809),ISNUMBER($E809)),IF($E809&gt;$D809,1,0),0)+IF(AND(ISNUMBER($D809),ISNUMBER($F809)),IF($D809&gt;$F809,1,0),0)+IF(AND(ISNUMBER($E809),ISNUMBER($F809)),IF($E809&gt;$F809,1,0),0)</f>
        <v>0</v>
      </c>
      <c r="X809" s="13" t="s">
        <v>76</v>
      </c>
    </row>
    <row r="810" customFormat="false" ht="15" hidden="false" customHeight="false" outlineLevel="0" collapsed="false">
      <c r="A810" s="10" t="s">
        <v>3508</v>
      </c>
      <c r="B810" s="10" t="s">
        <v>3509</v>
      </c>
      <c r="C810" s="11" t="s">
        <v>3499</v>
      </c>
      <c r="D810" s="12" t="n">
        <v>8.3842</v>
      </c>
      <c r="E810" s="12"/>
      <c r="F810" s="12"/>
      <c r="G810" s="10" t="s">
        <v>63</v>
      </c>
      <c r="H810" s="10" t="s">
        <v>440</v>
      </c>
      <c r="I810" s="11" t="s">
        <v>3500</v>
      </c>
      <c r="J810" s="10" t="s">
        <v>66</v>
      </c>
      <c r="K810" s="10" t="s">
        <v>67</v>
      </c>
      <c r="L810" s="10" t="s">
        <v>68</v>
      </c>
      <c r="M810" s="10" t="s">
        <v>69</v>
      </c>
      <c r="N810" s="10"/>
      <c r="O810" s="11" t="s">
        <v>3428</v>
      </c>
      <c r="P810" s="10" t="s">
        <v>71</v>
      </c>
      <c r="Q810" s="11" t="s">
        <v>72</v>
      </c>
      <c r="R810" s="11" t="s">
        <v>73</v>
      </c>
      <c r="S810" s="11" t="s">
        <v>74</v>
      </c>
      <c r="T810" s="11" t="s">
        <v>3510</v>
      </c>
      <c r="U810" s="10" t="n">
        <f aca="false">IF(AND($D810="",$E810="",$F810=""),1,0)</f>
        <v>0</v>
      </c>
      <c r="V810" s="10" t="n">
        <f aca="false">IF(OR($I810="",$I810="—"),1,0)</f>
        <v>0</v>
      </c>
      <c r="W810" s="10" t="n">
        <f aca="false">IF(AND(ISNUMBER($D810),ISNUMBER($E810)),IF($E810&gt;$D810,1,0),0)+IF(AND(ISNUMBER($D810),ISNUMBER($F810)),IF($D810&gt;$F810,1,0),0)+IF(AND(ISNUMBER($E810),ISNUMBER($F810)),IF($E810&gt;$F810,1,0),0)</f>
        <v>0</v>
      </c>
      <c r="X810" s="13" t="s">
        <v>76</v>
      </c>
    </row>
    <row r="811" customFormat="false" ht="15" hidden="false" customHeight="false" outlineLevel="0" collapsed="false">
      <c r="A811" s="10" t="s">
        <v>3511</v>
      </c>
      <c r="B811" s="10" t="s">
        <v>3512</v>
      </c>
      <c r="C811" s="11" t="s">
        <v>3499</v>
      </c>
      <c r="D811" s="12" t="n">
        <v>12.0935</v>
      </c>
      <c r="E811" s="12"/>
      <c r="F811" s="12"/>
      <c r="G811" s="10" t="s">
        <v>63</v>
      </c>
      <c r="H811" s="10" t="s">
        <v>432</v>
      </c>
      <c r="I811" s="11" t="s">
        <v>3500</v>
      </c>
      <c r="J811" s="10" t="s">
        <v>66</v>
      </c>
      <c r="K811" s="10" t="s">
        <v>67</v>
      </c>
      <c r="L811" s="10" t="s">
        <v>68</v>
      </c>
      <c r="M811" s="10" t="s">
        <v>69</v>
      </c>
      <c r="N811" s="10"/>
      <c r="O811" s="11" t="s">
        <v>3513</v>
      </c>
      <c r="P811" s="10" t="s">
        <v>71</v>
      </c>
      <c r="Q811" s="11" t="s">
        <v>72</v>
      </c>
      <c r="R811" s="11" t="s">
        <v>73</v>
      </c>
      <c r="S811" s="11" t="s">
        <v>74</v>
      </c>
      <c r="T811" s="11" t="s">
        <v>3514</v>
      </c>
      <c r="U811" s="10" t="n">
        <f aca="false">IF(AND($D811="",$E811="",$F811=""),1,0)</f>
        <v>0</v>
      </c>
      <c r="V811" s="10" t="n">
        <f aca="false">IF(OR($I811="",$I811="—"),1,0)</f>
        <v>0</v>
      </c>
      <c r="W811" s="10" t="n">
        <f aca="false">IF(AND(ISNUMBER($D811),ISNUMBER($E811)),IF($E811&gt;$D811,1,0),0)+IF(AND(ISNUMBER($D811),ISNUMBER($F811)),IF($D811&gt;$F811,1,0),0)+IF(AND(ISNUMBER($E811),ISNUMBER($F811)),IF($E811&gt;$F811,1,0),0)</f>
        <v>0</v>
      </c>
      <c r="X811" s="13" t="s">
        <v>76</v>
      </c>
    </row>
    <row r="812" customFormat="false" ht="15" hidden="false" customHeight="false" outlineLevel="0" collapsed="false">
      <c r="A812" s="10" t="s">
        <v>3515</v>
      </c>
      <c r="B812" s="10" t="s">
        <v>3516</v>
      </c>
      <c r="C812" s="11" t="s">
        <v>3517</v>
      </c>
      <c r="D812" s="12" t="n">
        <v>0</v>
      </c>
      <c r="E812" s="12"/>
      <c r="F812" s="12"/>
      <c r="G812" s="10" t="s">
        <v>63</v>
      </c>
      <c r="H812" s="10" t="s">
        <v>3518</v>
      </c>
      <c r="I812" s="11" t="s">
        <v>3519</v>
      </c>
      <c r="J812" s="10" t="s">
        <v>66</v>
      </c>
      <c r="K812" s="10" t="s">
        <v>67</v>
      </c>
      <c r="L812" s="10" t="s">
        <v>68</v>
      </c>
      <c r="M812" s="10" t="s">
        <v>69</v>
      </c>
      <c r="N812" s="10"/>
      <c r="O812" s="11" t="s">
        <v>3422</v>
      </c>
      <c r="P812" s="10" t="s">
        <v>71</v>
      </c>
      <c r="Q812" s="11" t="s">
        <v>72</v>
      </c>
      <c r="R812" s="11" t="s">
        <v>73</v>
      </c>
      <c r="S812" s="11" t="s">
        <v>74</v>
      </c>
      <c r="T812" s="11" t="s">
        <v>3520</v>
      </c>
      <c r="U812" s="10" t="n">
        <f aca="false">IF(AND($D812="",$E812="",$F812=""),1,0)</f>
        <v>0</v>
      </c>
      <c r="V812" s="10" t="n">
        <f aca="false">IF(OR($I812="",$I812="—"),1,0)</f>
        <v>0</v>
      </c>
      <c r="W812" s="10" t="n">
        <f aca="false">IF(AND(ISNUMBER($D812),ISNUMBER($E812)),IF($E812&gt;$D812,1,0),0)+IF(AND(ISNUMBER($D812),ISNUMBER($F812)),IF($D812&gt;$F812,1,0),0)+IF(AND(ISNUMBER($E812),ISNUMBER($F812)),IF($E812&gt;$F812,1,0),0)</f>
        <v>0</v>
      </c>
      <c r="X812" s="13" t="s">
        <v>76</v>
      </c>
    </row>
    <row r="813" customFormat="false" ht="15" hidden="false" customHeight="false" outlineLevel="0" collapsed="false">
      <c r="A813" s="10" t="s">
        <v>3521</v>
      </c>
      <c r="B813" s="10" t="s">
        <v>3522</v>
      </c>
      <c r="C813" s="11" t="s">
        <v>3523</v>
      </c>
      <c r="D813" s="12" t="n">
        <v>0</v>
      </c>
      <c r="E813" s="12"/>
      <c r="F813" s="12"/>
      <c r="G813" s="10" t="s">
        <v>63</v>
      </c>
      <c r="H813" s="11" t="s">
        <v>3524</v>
      </c>
      <c r="I813" s="11" t="s">
        <v>3525</v>
      </c>
      <c r="J813" s="10" t="s">
        <v>66</v>
      </c>
      <c r="K813" s="10" t="s">
        <v>67</v>
      </c>
      <c r="L813" s="10" t="s">
        <v>68</v>
      </c>
      <c r="M813" s="10" t="s">
        <v>69</v>
      </c>
      <c r="N813" s="10"/>
      <c r="O813" s="11" t="s">
        <v>441</v>
      </c>
      <c r="P813" s="10" t="s">
        <v>71</v>
      </c>
      <c r="Q813" s="11" t="s">
        <v>72</v>
      </c>
      <c r="R813" s="11" t="s">
        <v>73</v>
      </c>
      <c r="S813" s="11" t="s">
        <v>74</v>
      </c>
      <c r="T813" s="11" t="s">
        <v>3526</v>
      </c>
      <c r="U813" s="10" t="n">
        <f aca="false">IF(AND($D813="",$E813="",$F813=""),1,0)</f>
        <v>0</v>
      </c>
      <c r="V813" s="10" t="n">
        <f aca="false">IF(OR($I813="",$I813="—"),1,0)</f>
        <v>0</v>
      </c>
      <c r="W813" s="10" t="n">
        <f aca="false">IF(AND(ISNUMBER($D813),ISNUMBER($E813)),IF($E813&gt;$D813,1,0),0)+IF(AND(ISNUMBER($D813),ISNUMBER($F813)),IF($D813&gt;$F813,1,0),0)+IF(AND(ISNUMBER($E813),ISNUMBER($F813)),IF($E813&gt;$F813,1,0),0)</f>
        <v>0</v>
      </c>
      <c r="X813" s="13" t="s">
        <v>76</v>
      </c>
    </row>
    <row r="814" customFormat="false" ht="15" hidden="false" customHeight="false" outlineLevel="0" collapsed="false">
      <c r="A814" s="10" t="s">
        <v>3527</v>
      </c>
      <c r="B814" s="10" t="s">
        <v>3528</v>
      </c>
      <c r="C814" s="11" t="s">
        <v>3529</v>
      </c>
      <c r="D814" s="12" t="n">
        <v>0</v>
      </c>
      <c r="E814" s="12"/>
      <c r="F814" s="12"/>
      <c r="G814" s="11" t="s">
        <v>3530</v>
      </c>
      <c r="H814" s="11" t="s">
        <v>1681</v>
      </c>
      <c r="I814" s="11" t="s">
        <v>3531</v>
      </c>
      <c r="J814" s="10" t="s">
        <v>66</v>
      </c>
      <c r="K814" s="10" t="s">
        <v>67</v>
      </c>
      <c r="L814" s="10" t="s">
        <v>68</v>
      </c>
      <c r="M814" s="10" t="s">
        <v>69</v>
      </c>
      <c r="N814" s="10"/>
      <c r="O814" s="11" t="s">
        <v>441</v>
      </c>
      <c r="P814" s="10" t="s">
        <v>71</v>
      </c>
      <c r="Q814" s="11" t="s">
        <v>72</v>
      </c>
      <c r="R814" s="11" t="s">
        <v>73</v>
      </c>
      <c r="S814" s="11" t="s">
        <v>74</v>
      </c>
      <c r="T814" s="11" t="s">
        <v>3532</v>
      </c>
      <c r="U814" s="10" t="n">
        <f aca="false">IF(AND($D814="",$E814="",$F814=""),1,0)</f>
        <v>0</v>
      </c>
      <c r="V814" s="10" t="n">
        <f aca="false">IF(OR($I814="",$I814="—"),1,0)</f>
        <v>0</v>
      </c>
      <c r="W814" s="10" t="n">
        <f aca="false">IF(AND(ISNUMBER($D814),ISNUMBER($E814)),IF($E814&gt;$D814,1,0),0)+IF(AND(ISNUMBER($D814),ISNUMBER($F814)),IF($D814&gt;$F814,1,0),0)+IF(AND(ISNUMBER($E814),ISNUMBER($F814)),IF($E814&gt;$F814,1,0),0)</f>
        <v>0</v>
      </c>
      <c r="X814" s="13" t="s">
        <v>76</v>
      </c>
    </row>
    <row r="815" customFormat="false" ht="15" hidden="false" customHeight="false" outlineLevel="0" collapsed="false">
      <c r="A815" s="10" t="s">
        <v>3533</v>
      </c>
      <c r="B815" s="10" t="s">
        <v>3534</v>
      </c>
      <c r="C815" s="11" t="s">
        <v>3535</v>
      </c>
      <c r="D815" s="12" t="n">
        <v>0.1283</v>
      </c>
      <c r="E815" s="12"/>
      <c r="F815" s="12"/>
      <c r="G815" s="10" t="s">
        <v>63</v>
      </c>
      <c r="H815" s="10" t="s">
        <v>3443</v>
      </c>
      <c r="I815" s="11" t="s">
        <v>3536</v>
      </c>
      <c r="J815" s="10" t="s">
        <v>66</v>
      </c>
      <c r="K815" s="10" t="s">
        <v>67</v>
      </c>
      <c r="L815" s="10" t="s">
        <v>68</v>
      </c>
      <c r="M815" s="10" t="s">
        <v>69</v>
      </c>
      <c r="N815" s="10"/>
      <c r="O815" s="11" t="s">
        <v>3422</v>
      </c>
      <c r="P815" s="10" t="s">
        <v>71</v>
      </c>
      <c r="Q815" s="11" t="s">
        <v>72</v>
      </c>
      <c r="R815" s="11" t="s">
        <v>73</v>
      </c>
      <c r="S815" s="11" t="s">
        <v>74</v>
      </c>
      <c r="T815" s="11" t="s">
        <v>3537</v>
      </c>
      <c r="U815" s="10" t="n">
        <f aca="false">IF(AND($D815="",$E815="",$F815=""),1,0)</f>
        <v>0</v>
      </c>
      <c r="V815" s="10" t="n">
        <f aca="false">IF(OR($I815="",$I815="—"),1,0)</f>
        <v>0</v>
      </c>
      <c r="W815" s="10" t="n">
        <f aca="false">IF(AND(ISNUMBER($D815),ISNUMBER($E815)),IF($E815&gt;$D815,1,0),0)+IF(AND(ISNUMBER($D815),ISNUMBER($F815)),IF($D815&gt;$F815,1,0),0)+IF(AND(ISNUMBER($E815),ISNUMBER($F815)),IF($E815&gt;$F815,1,0),0)</f>
        <v>0</v>
      </c>
      <c r="X815" s="13" t="s">
        <v>76</v>
      </c>
    </row>
    <row r="816" customFormat="false" ht="15" hidden="false" customHeight="false" outlineLevel="0" collapsed="false">
      <c r="A816" s="10" t="s">
        <v>3538</v>
      </c>
      <c r="B816" s="10" t="s">
        <v>3539</v>
      </c>
      <c r="C816" s="11" t="s">
        <v>3535</v>
      </c>
      <c r="D816" s="12" t="n">
        <v>2.7088</v>
      </c>
      <c r="E816" s="12"/>
      <c r="F816" s="12"/>
      <c r="G816" s="10" t="s">
        <v>63</v>
      </c>
      <c r="H816" s="10" t="s">
        <v>3448</v>
      </c>
      <c r="I816" s="11" t="s">
        <v>3536</v>
      </c>
      <c r="J816" s="10" t="s">
        <v>66</v>
      </c>
      <c r="K816" s="10" t="s">
        <v>67</v>
      </c>
      <c r="L816" s="10" t="s">
        <v>68</v>
      </c>
      <c r="M816" s="10" t="s">
        <v>69</v>
      </c>
      <c r="N816" s="10"/>
      <c r="O816" s="11" t="s">
        <v>3422</v>
      </c>
      <c r="P816" s="10" t="s">
        <v>71</v>
      </c>
      <c r="Q816" s="11" t="s">
        <v>72</v>
      </c>
      <c r="R816" s="11" t="s">
        <v>73</v>
      </c>
      <c r="S816" s="11" t="s">
        <v>74</v>
      </c>
      <c r="T816" s="11" t="s">
        <v>3540</v>
      </c>
      <c r="U816" s="10" t="n">
        <f aca="false">IF(AND($D816="",$E816="",$F816=""),1,0)</f>
        <v>0</v>
      </c>
      <c r="V816" s="10" t="n">
        <f aca="false">IF(OR($I816="",$I816="—"),1,0)</f>
        <v>0</v>
      </c>
      <c r="W816" s="10" t="n">
        <f aca="false">IF(AND(ISNUMBER($D816),ISNUMBER($E816)),IF($E816&gt;$D816,1,0),0)+IF(AND(ISNUMBER($D816),ISNUMBER($F816)),IF($D816&gt;$F816,1,0),0)+IF(AND(ISNUMBER($E816),ISNUMBER($F816)),IF($E816&gt;$F816,1,0),0)</f>
        <v>0</v>
      </c>
      <c r="X816" s="13" t="s">
        <v>76</v>
      </c>
    </row>
    <row r="817" customFormat="false" ht="15" hidden="false" customHeight="false" outlineLevel="0" collapsed="false">
      <c r="A817" s="10" t="s">
        <v>3541</v>
      </c>
      <c r="B817" s="10" t="s">
        <v>3542</v>
      </c>
      <c r="C817" s="11" t="s">
        <v>3535</v>
      </c>
      <c r="D817" s="12" t="n">
        <v>6.7127</v>
      </c>
      <c r="E817" s="12"/>
      <c r="F817" s="12"/>
      <c r="G817" s="10" t="s">
        <v>63</v>
      </c>
      <c r="H817" s="10" t="s">
        <v>3452</v>
      </c>
      <c r="I817" s="11" t="s">
        <v>3536</v>
      </c>
      <c r="J817" s="10" t="s">
        <v>66</v>
      </c>
      <c r="K817" s="10" t="s">
        <v>67</v>
      </c>
      <c r="L817" s="10" t="s">
        <v>68</v>
      </c>
      <c r="M817" s="10" t="s">
        <v>69</v>
      </c>
      <c r="N817" s="10"/>
      <c r="O817" s="11" t="s">
        <v>3422</v>
      </c>
      <c r="P817" s="10" t="s">
        <v>71</v>
      </c>
      <c r="Q817" s="11" t="s">
        <v>72</v>
      </c>
      <c r="R817" s="11" t="s">
        <v>73</v>
      </c>
      <c r="S817" s="11" t="s">
        <v>74</v>
      </c>
      <c r="T817" s="11" t="s">
        <v>3543</v>
      </c>
      <c r="U817" s="10" t="n">
        <f aca="false">IF(AND($D817="",$E817="",$F817=""),1,0)</f>
        <v>0</v>
      </c>
      <c r="V817" s="10" t="n">
        <f aca="false">IF(OR($I817="",$I817="—"),1,0)</f>
        <v>0</v>
      </c>
      <c r="W817" s="10" t="n">
        <f aca="false">IF(AND(ISNUMBER($D817),ISNUMBER($E817)),IF($E817&gt;$D817,1,0),0)+IF(AND(ISNUMBER($D817),ISNUMBER($F817)),IF($D817&gt;$F817,1,0),0)+IF(AND(ISNUMBER($E817),ISNUMBER($F817)),IF($E817&gt;$F817,1,0),0)</f>
        <v>0</v>
      </c>
      <c r="X817" s="13" t="s">
        <v>76</v>
      </c>
    </row>
    <row r="818" customFormat="false" ht="15" hidden="false" customHeight="false" outlineLevel="0" collapsed="false">
      <c r="A818" s="10" t="s">
        <v>3544</v>
      </c>
      <c r="B818" s="10" t="s">
        <v>3545</v>
      </c>
      <c r="C818" s="11" t="s">
        <v>3535</v>
      </c>
      <c r="D818" s="12" t="n">
        <v>5.9959</v>
      </c>
      <c r="E818" s="12"/>
      <c r="F818" s="12"/>
      <c r="G818" s="10" t="s">
        <v>63</v>
      </c>
      <c r="H818" s="10" t="s">
        <v>440</v>
      </c>
      <c r="I818" s="11" t="s">
        <v>3536</v>
      </c>
      <c r="J818" s="10" t="s">
        <v>66</v>
      </c>
      <c r="K818" s="10" t="s">
        <v>67</v>
      </c>
      <c r="L818" s="10" t="s">
        <v>68</v>
      </c>
      <c r="M818" s="10" t="s">
        <v>69</v>
      </c>
      <c r="N818" s="10"/>
      <c r="O818" s="11" t="s">
        <v>3428</v>
      </c>
      <c r="P818" s="10" t="s">
        <v>71</v>
      </c>
      <c r="Q818" s="11" t="s">
        <v>72</v>
      </c>
      <c r="R818" s="11" t="s">
        <v>73</v>
      </c>
      <c r="S818" s="11" t="s">
        <v>74</v>
      </c>
      <c r="T818" s="11" t="s">
        <v>3546</v>
      </c>
      <c r="U818" s="10" t="n">
        <f aca="false">IF(AND($D818="",$E818="",$F818=""),1,0)</f>
        <v>0</v>
      </c>
      <c r="V818" s="10" t="n">
        <f aca="false">IF(OR($I818="",$I818="—"),1,0)</f>
        <v>0</v>
      </c>
      <c r="W818" s="10" t="n">
        <f aca="false">IF(AND(ISNUMBER($D818),ISNUMBER($E818)),IF($E818&gt;$D818,1,0),0)+IF(AND(ISNUMBER($D818),ISNUMBER($F818)),IF($D818&gt;$F818,1,0),0)+IF(AND(ISNUMBER($E818),ISNUMBER($F818)),IF($E818&gt;$F818,1,0),0)</f>
        <v>0</v>
      </c>
      <c r="X818" s="13" t="s">
        <v>76</v>
      </c>
    </row>
    <row r="819" customFormat="false" ht="15" hidden="false" customHeight="false" outlineLevel="0" collapsed="false">
      <c r="A819" s="10" t="s">
        <v>3547</v>
      </c>
      <c r="B819" s="10" t="s">
        <v>3548</v>
      </c>
      <c r="C819" s="11" t="s">
        <v>3535</v>
      </c>
      <c r="D819" s="12" t="n">
        <v>5.6541</v>
      </c>
      <c r="E819" s="12"/>
      <c r="F819" s="12"/>
      <c r="G819" s="10" t="s">
        <v>63</v>
      </c>
      <c r="H819" s="10" t="s">
        <v>432</v>
      </c>
      <c r="I819" s="11" t="s">
        <v>3536</v>
      </c>
      <c r="J819" s="10" t="s">
        <v>66</v>
      </c>
      <c r="K819" s="10" t="s">
        <v>67</v>
      </c>
      <c r="L819" s="10" t="s">
        <v>68</v>
      </c>
      <c r="M819" s="10" t="s">
        <v>69</v>
      </c>
      <c r="N819" s="10"/>
      <c r="O819" s="11" t="s">
        <v>3513</v>
      </c>
      <c r="P819" s="10" t="s">
        <v>71</v>
      </c>
      <c r="Q819" s="11" t="s">
        <v>72</v>
      </c>
      <c r="R819" s="11" t="s">
        <v>73</v>
      </c>
      <c r="S819" s="11" t="s">
        <v>74</v>
      </c>
      <c r="T819" s="11" t="s">
        <v>3549</v>
      </c>
      <c r="U819" s="10" t="n">
        <f aca="false">IF(AND($D819="",$E819="",$F819=""),1,0)</f>
        <v>0</v>
      </c>
      <c r="V819" s="10" t="n">
        <f aca="false">IF(OR($I819="",$I819="—"),1,0)</f>
        <v>0</v>
      </c>
      <c r="W819" s="10" t="n">
        <f aca="false">IF(AND(ISNUMBER($D819),ISNUMBER($E819)),IF($E819&gt;$D819,1,0),0)+IF(AND(ISNUMBER($D819),ISNUMBER($F819)),IF($D819&gt;$F819,1,0),0)+IF(AND(ISNUMBER($E819),ISNUMBER($F819)),IF($E819&gt;$F819,1,0),0)</f>
        <v>0</v>
      </c>
      <c r="X819" s="13" t="s">
        <v>76</v>
      </c>
    </row>
    <row r="820" customFormat="false" ht="15" hidden="false" customHeight="false" outlineLevel="0" collapsed="false">
      <c r="A820" s="10" t="s">
        <v>3550</v>
      </c>
      <c r="B820" s="10" t="s">
        <v>3551</v>
      </c>
      <c r="C820" s="11" t="s">
        <v>3552</v>
      </c>
      <c r="D820" s="12" t="n">
        <v>0.1283</v>
      </c>
      <c r="E820" s="12"/>
      <c r="F820" s="12"/>
      <c r="G820" s="10" t="s">
        <v>63</v>
      </c>
      <c r="H820" s="10" t="s">
        <v>3443</v>
      </c>
      <c r="I820" s="11" t="s">
        <v>3553</v>
      </c>
      <c r="J820" s="10" t="s">
        <v>66</v>
      </c>
      <c r="K820" s="10" t="s">
        <v>67</v>
      </c>
      <c r="L820" s="10" t="s">
        <v>68</v>
      </c>
      <c r="M820" s="10" t="s">
        <v>69</v>
      </c>
      <c r="N820" s="10"/>
      <c r="O820" s="11" t="s">
        <v>3422</v>
      </c>
      <c r="P820" s="10" t="s">
        <v>71</v>
      </c>
      <c r="Q820" s="11" t="s">
        <v>72</v>
      </c>
      <c r="R820" s="11" t="s">
        <v>73</v>
      </c>
      <c r="S820" s="11" t="s">
        <v>74</v>
      </c>
      <c r="T820" s="11" t="s">
        <v>3554</v>
      </c>
      <c r="U820" s="10" t="n">
        <f aca="false">IF(AND($D820="",$E820="",$F820=""),1,0)</f>
        <v>0</v>
      </c>
      <c r="V820" s="10" t="n">
        <f aca="false">IF(OR($I820="",$I820="—"),1,0)</f>
        <v>0</v>
      </c>
      <c r="W820" s="10" t="n">
        <f aca="false">IF(AND(ISNUMBER($D820),ISNUMBER($E820)),IF($E820&gt;$D820,1,0),0)+IF(AND(ISNUMBER($D820),ISNUMBER($F820)),IF($D820&gt;$F820,1,0),0)+IF(AND(ISNUMBER($E820),ISNUMBER($F820)),IF($E820&gt;$F820,1,0),0)</f>
        <v>0</v>
      </c>
      <c r="X820" s="13" t="s">
        <v>76</v>
      </c>
    </row>
    <row r="821" customFormat="false" ht="15" hidden="false" customHeight="false" outlineLevel="0" collapsed="false">
      <c r="A821" s="10" t="s">
        <v>3555</v>
      </c>
      <c r="B821" s="10" t="s">
        <v>3556</v>
      </c>
      <c r="C821" s="11" t="s">
        <v>3552</v>
      </c>
      <c r="D821" s="12" t="n">
        <v>0.6676</v>
      </c>
      <c r="E821" s="12"/>
      <c r="F821" s="12"/>
      <c r="G821" s="10" t="s">
        <v>63</v>
      </c>
      <c r="H821" s="10" t="s">
        <v>3448</v>
      </c>
      <c r="I821" s="11" t="s">
        <v>3553</v>
      </c>
      <c r="J821" s="10" t="s">
        <v>66</v>
      </c>
      <c r="K821" s="10" t="s">
        <v>67</v>
      </c>
      <c r="L821" s="10" t="s">
        <v>68</v>
      </c>
      <c r="M821" s="10" t="s">
        <v>69</v>
      </c>
      <c r="N821" s="10"/>
      <c r="O821" s="11" t="s">
        <v>3422</v>
      </c>
      <c r="P821" s="10" t="s">
        <v>71</v>
      </c>
      <c r="Q821" s="11" t="s">
        <v>72</v>
      </c>
      <c r="R821" s="11" t="s">
        <v>73</v>
      </c>
      <c r="S821" s="11" t="s">
        <v>74</v>
      </c>
      <c r="T821" s="11" t="s">
        <v>3557</v>
      </c>
      <c r="U821" s="10" t="n">
        <f aca="false">IF(AND($D821="",$E821="",$F821=""),1,0)</f>
        <v>0</v>
      </c>
      <c r="V821" s="10" t="n">
        <f aca="false">IF(OR($I821="",$I821="—"),1,0)</f>
        <v>0</v>
      </c>
      <c r="W821" s="10" t="n">
        <f aca="false">IF(AND(ISNUMBER($D821),ISNUMBER($E821)),IF($E821&gt;$D821,1,0),0)+IF(AND(ISNUMBER($D821),ISNUMBER($F821)),IF($D821&gt;$F821,1,0),0)+IF(AND(ISNUMBER($E821),ISNUMBER($F821)),IF($E821&gt;$F821,1,0),0)</f>
        <v>0</v>
      </c>
      <c r="X821" s="13" t="s">
        <v>76</v>
      </c>
    </row>
    <row r="822" customFormat="false" ht="15" hidden="false" customHeight="false" outlineLevel="0" collapsed="false">
      <c r="A822" s="10" t="s">
        <v>3558</v>
      </c>
      <c r="B822" s="10" t="s">
        <v>3559</v>
      </c>
      <c r="C822" s="11" t="s">
        <v>3552</v>
      </c>
      <c r="D822" s="12" t="n">
        <v>2.1316</v>
      </c>
      <c r="E822" s="12"/>
      <c r="F822" s="12"/>
      <c r="G822" s="10" t="s">
        <v>63</v>
      </c>
      <c r="H822" s="10" t="s">
        <v>3452</v>
      </c>
      <c r="I822" s="11" t="s">
        <v>3553</v>
      </c>
      <c r="J822" s="10" t="s">
        <v>66</v>
      </c>
      <c r="K822" s="10" t="s">
        <v>67</v>
      </c>
      <c r="L822" s="10" t="s">
        <v>68</v>
      </c>
      <c r="M822" s="10" t="s">
        <v>69</v>
      </c>
      <c r="N822" s="10"/>
      <c r="O822" s="11" t="s">
        <v>3422</v>
      </c>
      <c r="P822" s="10" t="s">
        <v>71</v>
      </c>
      <c r="Q822" s="11" t="s">
        <v>72</v>
      </c>
      <c r="R822" s="11" t="s">
        <v>73</v>
      </c>
      <c r="S822" s="11" t="s">
        <v>74</v>
      </c>
      <c r="T822" s="11" t="s">
        <v>3560</v>
      </c>
      <c r="U822" s="10" t="n">
        <f aca="false">IF(AND($D822="",$E822="",$F822=""),1,0)</f>
        <v>0</v>
      </c>
      <c r="V822" s="10" t="n">
        <f aca="false">IF(OR($I822="",$I822="—"),1,0)</f>
        <v>0</v>
      </c>
      <c r="W822" s="10" t="n">
        <f aca="false">IF(AND(ISNUMBER($D822),ISNUMBER($E822)),IF($E822&gt;$D822,1,0),0)+IF(AND(ISNUMBER($D822),ISNUMBER($F822)),IF($D822&gt;$F822,1,0),0)+IF(AND(ISNUMBER($E822),ISNUMBER($F822)),IF($E822&gt;$F822,1,0),0)</f>
        <v>0</v>
      </c>
      <c r="X822" s="13" t="s">
        <v>76</v>
      </c>
    </row>
    <row r="823" customFormat="false" ht="15" hidden="false" customHeight="false" outlineLevel="0" collapsed="false">
      <c r="A823" s="10" t="s">
        <v>3561</v>
      </c>
      <c r="B823" s="10" t="s">
        <v>3562</v>
      </c>
      <c r="C823" s="11" t="s">
        <v>3552</v>
      </c>
      <c r="D823" s="12" t="n">
        <v>2.1346</v>
      </c>
      <c r="E823" s="12"/>
      <c r="F823" s="12"/>
      <c r="G823" s="10" t="s">
        <v>63</v>
      </c>
      <c r="H823" s="10" t="s">
        <v>440</v>
      </c>
      <c r="I823" s="11" t="s">
        <v>3553</v>
      </c>
      <c r="J823" s="10" t="s">
        <v>66</v>
      </c>
      <c r="K823" s="10" t="s">
        <v>67</v>
      </c>
      <c r="L823" s="10" t="s">
        <v>68</v>
      </c>
      <c r="M823" s="10" t="s">
        <v>69</v>
      </c>
      <c r="N823" s="10"/>
      <c r="O823" s="11" t="s">
        <v>3428</v>
      </c>
      <c r="P823" s="10" t="s">
        <v>71</v>
      </c>
      <c r="Q823" s="11" t="s">
        <v>72</v>
      </c>
      <c r="R823" s="11" t="s">
        <v>73</v>
      </c>
      <c r="S823" s="11" t="s">
        <v>74</v>
      </c>
      <c r="T823" s="11" t="s">
        <v>3563</v>
      </c>
      <c r="U823" s="10" t="n">
        <f aca="false">IF(AND($D823="",$E823="",$F823=""),1,0)</f>
        <v>0</v>
      </c>
      <c r="V823" s="10" t="n">
        <f aca="false">IF(OR($I823="",$I823="—"),1,0)</f>
        <v>0</v>
      </c>
      <c r="W823" s="10" t="n">
        <f aca="false">IF(AND(ISNUMBER($D823),ISNUMBER($E823)),IF($E823&gt;$D823,1,0),0)+IF(AND(ISNUMBER($D823),ISNUMBER($F823)),IF($D823&gt;$F823,1,0),0)+IF(AND(ISNUMBER($E823),ISNUMBER($F823)),IF($E823&gt;$F823,1,0),0)</f>
        <v>0</v>
      </c>
      <c r="X823" s="13" t="s">
        <v>76</v>
      </c>
    </row>
    <row r="824" customFormat="false" ht="15" hidden="false" customHeight="false" outlineLevel="0" collapsed="false">
      <c r="A824" s="10" t="s">
        <v>3564</v>
      </c>
      <c r="B824" s="10" t="s">
        <v>3565</v>
      </c>
      <c r="C824" s="11" t="s">
        <v>3566</v>
      </c>
      <c r="D824" s="12" t="n">
        <v>0</v>
      </c>
      <c r="E824" s="12"/>
      <c r="F824" s="12"/>
      <c r="G824" s="10" t="s">
        <v>63</v>
      </c>
      <c r="H824" s="10" t="s">
        <v>3443</v>
      </c>
      <c r="I824" s="11" t="s">
        <v>3553</v>
      </c>
      <c r="J824" s="10" t="s">
        <v>66</v>
      </c>
      <c r="K824" s="10" t="s">
        <v>67</v>
      </c>
      <c r="L824" s="10" t="s">
        <v>68</v>
      </c>
      <c r="M824" s="10" t="s">
        <v>69</v>
      </c>
      <c r="N824" s="10"/>
      <c r="O824" s="11" t="s">
        <v>3422</v>
      </c>
      <c r="P824" s="10" t="s">
        <v>71</v>
      </c>
      <c r="Q824" s="11" t="s">
        <v>72</v>
      </c>
      <c r="R824" s="11" t="s">
        <v>73</v>
      </c>
      <c r="S824" s="11" t="s">
        <v>74</v>
      </c>
      <c r="T824" s="11" t="s">
        <v>3567</v>
      </c>
      <c r="U824" s="10" t="n">
        <f aca="false">IF(AND($D824="",$E824="",$F824=""),1,0)</f>
        <v>0</v>
      </c>
      <c r="V824" s="10" t="n">
        <f aca="false">IF(OR($I824="",$I824="—"),1,0)</f>
        <v>0</v>
      </c>
      <c r="W824" s="10" t="n">
        <f aca="false">IF(AND(ISNUMBER($D824),ISNUMBER($E824)),IF($E824&gt;$D824,1,0),0)+IF(AND(ISNUMBER($D824),ISNUMBER($F824)),IF($D824&gt;$F824,1,0),0)+IF(AND(ISNUMBER($E824),ISNUMBER($F824)),IF($E824&gt;$F824,1,0),0)</f>
        <v>0</v>
      </c>
      <c r="X824" s="13" t="s">
        <v>76</v>
      </c>
    </row>
    <row r="825" customFormat="false" ht="15" hidden="false" customHeight="false" outlineLevel="0" collapsed="false">
      <c r="A825" s="10" t="s">
        <v>3568</v>
      </c>
      <c r="B825" s="10" t="s">
        <v>3569</v>
      </c>
      <c r="C825" s="11" t="s">
        <v>3566</v>
      </c>
      <c r="D825" s="12" t="n">
        <v>0.4737</v>
      </c>
      <c r="E825" s="12"/>
      <c r="F825" s="12"/>
      <c r="G825" s="10" t="s">
        <v>63</v>
      </c>
      <c r="H825" s="10" t="s">
        <v>3448</v>
      </c>
      <c r="I825" s="11" t="s">
        <v>3553</v>
      </c>
      <c r="J825" s="10" t="s">
        <v>66</v>
      </c>
      <c r="K825" s="10" t="s">
        <v>67</v>
      </c>
      <c r="L825" s="10" t="s">
        <v>68</v>
      </c>
      <c r="M825" s="10" t="s">
        <v>69</v>
      </c>
      <c r="N825" s="10"/>
      <c r="O825" s="11" t="s">
        <v>3422</v>
      </c>
      <c r="P825" s="10" t="s">
        <v>71</v>
      </c>
      <c r="Q825" s="11" t="s">
        <v>72</v>
      </c>
      <c r="R825" s="11" t="s">
        <v>73</v>
      </c>
      <c r="S825" s="11" t="s">
        <v>74</v>
      </c>
      <c r="T825" s="11" t="s">
        <v>3570</v>
      </c>
      <c r="U825" s="10" t="n">
        <f aca="false">IF(AND($D825="",$E825="",$F825=""),1,0)</f>
        <v>0</v>
      </c>
      <c r="V825" s="10" t="n">
        <f aca="false">IF(OR($I825="",$I825="—"),1,0)</f>
        <v>0</v>
      </c>
      <c r="W825" s="10" t="n">
        <f aca="false">IF(AND(ISNUMBER($D825),ISNUMBER($E825)),IF($E825&gt;$D825,1,0),0)+IF(AND(ISNUMBER($D825),ISNUMBER($F825)),IF($D825&gt;$F825,1,0),0)+IF(AND(ISNUMBER($E825),ISNUMBER($F825)),IF($E825&gt;$F825,1,0),0)</f>
        <v>0</v>
      </c>
      <c r="X825" s="13" t="s">
        <v>76</v>
      </c>
    </row>
    <row r="826" customFormat="false" ht="15" hidden="false" customHeight="false" outlineLevel="0" collapsed="false">
      <c r="A826" s="10" t="s">
        <v>3571</v>
      </c>
      <c r="B826" s="10" t="s">
        <v>3572</v>
      </c>
      <c r="C826" s="11" t="s">
        <v>3566</v>
      </c>
      <c r="D826" s="12" t="n">
        <v>2.0544</v>
      </c>
      <c r="E826" s="12"/>
      <c r="F826" s="12"/>
      <c r="G826" s="10" t="s">
        <v>63</v>
      </c>
      <c r="H826" s="10" t="s">
        <v>3452</v>
      </c>
      <c r="I826" s="11" t="s">
        <v>3553</v>
      </c>
      <c r="J826" s="10" t="s">
        <v>66</v>
      </c>
      <c r="K826" s="10" t="s">
        <v>67</v>
      </c>
      <c r="L826" s="10" t="s">
        <v>68</v>
      </c>
      <c r="M826" s="10" t="s">
        <v>69</v>
      </c>
      <c r="N826" s="10"/>
      <c r="O826" s="11" t="s">
        <v>3422</v>
      </c>
      <c r="P826" s="10" t="s">
        <v>71</v>
      </c>
      <c r="Q826" s="11" t="s">
        <v>72</v>
      </c>
      <c r="R826" s="11" t="s">
        <v>73</v>
      </c>
      <c r="S826" s="11" t="s">
        <v>74</v>
      </c>
      <c r="T826" s="11" t="s">
        <v>3573</v>
      </c>
      <c r="U826" s="10" t="n">
        <f aca="false">IF(AND($D826="",$E826="",$F826=""),1,0)</f>
        <v>0</v>
      </c>
      <c r="V826" s="10" t="n">
        <f aca="false">IF(OR($I826="",$I826="—"),1,0)</f>
        <v>0</v>
      </c>
      <c r="W826" s="10" t="n">
        <f aca="false">IF(AND(ISNUMBER($D826),ISNUMBER($E826)),IF($E826&gt;$D826,1,0),0)+IF(AND(ISNUMBER($D826),ISNUMBER($F826)),IF($D826&gt;$F826,1,0),0)+IF(AND(ISNUMBER($E826),ISNUMBER($F826)),IF($E826&gt;$F826,1,0),0)</f>
        <v>0</v>
      </c>
      <c r="X826" s="13" t="s">
        <v>76</v>
      </c>
    </row>
    <row r="827" customFormat="false" ht="15" hidden="false" customHeight="false" outlineLevel="0" collapsed="false">
      <c r="A827" s="10" t="s">
        <v>3574</v>
      </c>
      <c r="B827" s="10" t="s">
        <v>3575</v>
      </c>
      <c r="C827" s="11" t="s">
        <v>3566</v>
      </c>
      <c r="D827" s="12" t="n">
        <v>1.7484</v>
      </c>
      <c r="E827" s="12"/>
      <c r="F827" s="12"/>
      <c r="G827" s="10" t="s">
        <v>63</v>
      </c>
      <c r="H827" s="10" t="s">
        <v>440</v>
      </c>
      <c r="I827" s="11" t="s">
        <v>3553</v>
      </c>
      <c r="J827" s="10" t="s">
        <v>66</v>
      </c>
      <c r="K827" s="10" t="s">
        <v>67</v>
      </c>
      <c r="L827" s="10" t="s">
        <v>68</v>
      </c>
      <c r="M827" s="10" t="s">
        <v>69</v>
      </c>
      <c r="N827" s="10"/>
      <c r="O827" s="11" t="s">
        <v>3428</v>
      </c>
      <c r="P827" s="10" t="s">
        <v>71</v>
      </c>
      <c r="Q827" s="11" t="s">
        <v>72</v>
      </c>
      <c r="R827" s="11" t="s">
        <v>73</v>
      </c>
      <c r="S827" s="11" t="s">
        <v>74</v>
      </c>
      <c r="T827" s="11" t="s">
        <v>3576</v>
      </c>
      <c r="U827" s="10" t="n">
        <f aca="false">IF(AND($D827="",$E827="",$F827=""),1,0)</f>
        <v>0</v>
      </c>
      <c r="V827" s="10" t="n">
        <f aca="false">IF(OR($I827="",$I827="—"),1,0)</f>
        <v>0</v>
      </c>
      <c r="W827" s="10" t="n">
        <f aca="false">IF(AND(ISNUMBER($D827),ISNUMBER($E827)),IF($E827&gt;$D827,1,0),0)+IF(AND(ISNUMBER($D827),ISNUMBER($F827)),IF($D827&gt;$F827,1,0),0)+IF(AND(ISNUMBER($E827),ISNUMBER($F827)),IF($E827&gt;$F827,1,0),0)</f>
        <v>0</v>
      </c>
      <c r="X827" s="13" t="s">
        <v>76</v>
      </c>
    </row>
    <row r="828" customFormat="false" ht="15" hidden="false" customHeight="false" outlineLevel="0" collapsed="false">
      <c r="A828" s="10" t="s">
        <v>3577</v>
      </c>
      <c r="B828" s="10" t="s">
        <v>3578</v>
      </c>
      <c r="C828" s="11" t="s">
        <v>3579</v>
      </c>
      <c r="D828" s="12" t="n">
        <v>0</v>
      </c>
      <c r="E828" s="12"/>
      <c r="F828" s="12"/>
      <c r="G828" s="10" t="s">
        <v>63</v>
      </c>
      <c r="H828" s="10" t="s">
        <v>3443</v>
      </c>
      <c r="I828" s="11" t="s">
        <v>3553</v>
      </c>
      <c r="J828" s="10" t="s">
        <v>66</v>
      </c>
      <c r="K828" s="10" t="s">
        <v>67</v>
      </c>
      <c r="L828" s="10" t="s">
        <v>68</v>
      </c>
      <c r="M828" s="10" t="s">
        <v>69</v>
      </c>
      <c r="N828" s="10"/>
      <c r="O828" s="11" t="s">
        <v>3422</v>
      </c>
      <c r="P828" s="10" t="s">
        <v>71</v>
      </c>
      <c r="Q828" s="11" t="s">
        <v>72</v>
      </c>
      <c r="R828" s="11" t="s">
        <v>73</v>
      </c>
      <c r="S828" s="11" t="s">
        <v>74</v>
      </c>
      <c r="T828" s="11" t="s">
        <v>3580</v>
      </c>
      <c r="U828" s="10" t="n">
        <f aca="false">IF(AND($D828="",$E828="",$F828=""),1,0)</f>
        <v>0</v>
      </c>
      <c r="V828" s="10" t="n">
        <f aca="false">IF(OR($I828="",$I828="—"),1,0)</f>
        <v>0</v>
      </c>
      <c r="W828" s="10" t="n">
        <f aca="false">IF(AND(ISNUMBER($D828),ISNUMBER($E828)),IF($E828&gt;$D828,1,0),0)+IF(AND(ISNUMBER($D828),ISNUMBER($F828)),IF($D828&gt;$F828,1,0),0)+IF(AND(ISNUMBER($E828),ISNUMBER($F828)),IF($E828&gt;$F828,1,0),0)</f>
        <v>0</v>
      </c>
      <c r="X828" s="13" t="s">
        <v>76</v>
      </c>
    </row>
    <row r="829" customFormat="false" ht="15" hidden="false" customHeight="false" outlineLevel="0" collapsed="false">
      <c r="A829" s="10" t="s">
        <v>3581</v>
      </c>
      <c r="B829" s="10" t="s">
        <v>3582</v>
      </c>
      <c r="C829" s="11" t="s">
        <v>3579</v>
      </c>
      <c r="D829" s="12" t="n">
        <v>1.5675</v>
      </c>
      <c r="E829" s="12"/>
      <c r="F829" s="12"/>
      <c r="G829" s="10" t="s">
        <v>63</v>
      </c>
      <c r="H829" s="10" t="s">
        <v>3448</v>
      </c>
      <c r="I829" s="11" t="s">
        <v>3553</v>
      </c>
      <c r="J829" s="10" t="s">
        <v>66</v>
      </c>
      <c r="K829" s="10" t="s">
        <v>67</v>
      </c>
      <c r="L829" s="10" t="s">
        <v>68</v>
      </c>
      <c r="M829" s="10" t="s">
        <v>69</v>
      </c>
      <c r="N829" s="10"/>
      <c r="O829" s="11" t="s">
        <v>3422</v>
      </c>
      <c r="P829" s="10" t="s">
        <v>71</v>
      </c>
      <c r="Q829" s="11" t="s">
        <v>72</v>
      </c>
      <c r="R829" s="11" t="s">
        <v>73</v>
      </c>
      <c r="S829" s="11" t="s">
        <v>74</v>
      </c>
      <c r="T829" s="11" t="s">
        <v>3583</v>
      </c>
      <c r="U829" s="10" t="n">
        <f aca="false">IF(AND($D829="",$E829="",$F829=""),1,0)</f>
        <v>0</v>
      </c>
      <c r="V829" s="10" t="n">
        <f aca="false">IF(OR($I829="",$I829="—"),1,0)</f>
        <v>0</v>
      </c>
      <c r="W829" s="10" t="n">
        <f aca="false">IF(AND(ISNUMBER($D829),ISNUMBER($E829)),IF($E829&gt;$D829,1,0),0)+IF(AND(ISNUMBER($D829),ISNUMBER($F829)),IF($D829&gt;$F829,1,0),0)+IF(AND(ISNUMBER($E829),ISNUMBER($F829)),IF($E829&gt;$F829,1,0),0)</f>
        <v>0</v>
      </c>
      <c r="X829" s="13" t="s">
        <v>76</v>
      </c>
    </row>
    <row r="830" customFormat="false" ht="15" hidden="false" customHeight="false" outlineLevel="0" collapsed="false">
      <c r="A830" s="10" t="s">
        <v>3584</v>
      </c>
      <c r="B830" s="10" t="s">
        <v>3585</v>
      </c>
      <c r="C830" s="11" t="s">
        <v>3579</v>
      </c>
      <c r="D830" s="12" t="n">
        <v>2.5267</v>
      </c>
      <c r="E830" s="12"/>
      <c r="F830" s="12"/>
      <c r="G830" s="10" t="s">
        <v>63</v>
      </c>
      <c r="H830" s="10" t="s">
        <v>3452</v>
      </c>
      <c r="I830" s="11" t="s">
        <v>3553</v>
      </c>
      <c r="J830" s="10" t="s">
        <v>66</v>
      </c>
      <c r="K830" s="10" t="s">
        <v>67</v>
      </c>
      <c r="L830" s="10" t="s">
        <v>68</v>
      </c>
      <c r="M830" s="10" t="s">
        <v>69</v>
      </c>
      <c r="N830" s="10"/>
      <c r="O830" s="11" t="s">
        <v>3422</v>
      </c>
      <c r="P830" s="10" t="s">
        <v>71</v>
      </c>
      <c r="Q830" s="11" t="s">
        <v>72</v>
      </c>
      <c r="R830" s="11" t="s">
        <v>73</v>
      </c>
      <c r="S830" s="11" t="s">
        <v>74</v>
      </c>
      <c r="T830" s="11" t="s">
        <v>3586</v>
      </c>
      <c r="U830" s="10" t="n">
        <f aca="false">IF(AND($D830="",$E830="",$F830=""),1,0)</f>
        <v>0</v>
      </c>
      <c r="V830" s="10" t="n">
        <f aca="false">IF(OR($I830="",$I830="—"),1,0)</f>
        <v>0</v>
      </c>
      <c r="W830" s="10" t="n">
        <f aca="false">IF(AND(ISNUMBER($D830),ISNUMBER($E830)),IF($E830&gt;$D830,1,0),0)+IF(AND(ISNUMBER($D830),ISNUMBER($F830)),IF($D830&gt;$F830,1,0),0)+IF(AND(ISNUMBER($E830),ISNUMBER($F830)),IF($E830&gt;$F830,1,0),0)</f>
        <v>0</v>
      </c>
      <c r="X830" s="13" t="s">
        <v>76</v>
      </c>
    </row>
    <row r="831" customFormat="false" ht="15" hidden="false" customHeight="false" outlineLevel="0" collapsed="false">
      <c r="A831" s="10" t="s">
        <v>3587</v>
      </c>
      <c r="B831" s="10" t="s">
        <v>3588</v>
      </c>
      <c r="C831" s="11" t="s">
        <v>3579</v>
      </c>
      <c r="D831" s="12" t="n">
        <v>2.113</v>
      </c>
      <c r="E831" s="12"/>
      <c r="F831" s="12"/>
      <c r="G831" s="10" t="s">
        <v>63</v>
      </c>
      <c r="H831" s="10" t="s">
        <v>440</v>
      </c>
      <c r="I831" s="11" t="s">
        <v>3553</v>
      </c>
      <c r="J831" s="10" t="s">
        <v>66</v>
      </c>
      <c r="K831" s="10" t="s">
        <v>67</v>
      </c>
      <c r="L831" s="10" t="s">
        <v>68</v>
      </c>
      <c r="M831" s="10" t="s">
        <v>69</v>
      </c>
      <c r="N831" s="10"/>
      <c r="O831" s="11" t="s">
        <v>3428</v>
      </c>
      <c r="P831" s="10" t="s">
        <v>71</v>
      </c>
      <c r="Q831" s="11" t="s">
        <v>72</v>
      </c>
      <c r="R831" s="11" t="s">
        <v>73</v>
      </c>
      <c r="S831" s="11" t="s">
        <v>74</v>
      </c>
      <c r="T831" s="11" t="s">
        <v>3589</v>
      </c>
      <c r="U831" s="10" t="n">
        <f aca="false">IF(AND($D831="",$E831="",$F831=""),1,0)</f>
        <v>0</v>
      </c>
      <c r="V831" s="10" t="n">
        <f aca="false">IF(OR($I831="",$I831="—"),1,0)</f>
        <v>0</v>
      </c>
      <c r="W831" s="10" t="n">
        <f aca="false">IF(AND(ISNUMBER($D831),ISNUMBER($E831)),IF($E831&gt;$D831,1,0),0)+IF(AND(ISNUMBER($D831),ISNUMBER($F831)),IF($D831&gt;$F831,1,0),0)+IF(AND(ISNUMBER($E831),ISNUMBER($F831)),IF($E831&gt;$F831,1,0),0)</f>
        <v>0</v>
      </c>
      <c r="X831" s="13" t="s">
        <v>76</v>
      </c>
    </row>
    <row r="832" customFormat="false" ht="15" hidden="false" customHeight="false" outlineLevel="0" collapsed="false">
      <c r="A832" s="10" t="s">
        <v>3590</v>
      </c>
      <c r="B832" s="10" t="s">
        <v>3591</v>
      </c>
      <c r="C832" s="11" t="s">
        <v>3592</v>
      </c>
      <c r="D832" s="12" t="n">
        <v>4.75</v>
      </c>
      <c r="E832" s="12"/>
      <c r="F832" s="12"/>
      <c r="G832" s="10" t="s">
        <v>401</v>
      </c>
      <c r="H832" s="10" t="s">
        <v>3518</v>
      </c>
      <c r="I832" s="11" t="s">
        <v>3593</v>
      </c>
      <c r="J832" s="10" t="s">
        <v>66</v>
      </c>
      <c r="K832" s="10" t="s">
        <v>67</v>
      </c>
      <c r="L832" s="10" t="s">
        <v>68</v>
      </c>
      <c r="M832" s="10" t="s">
        <v>69</v>
      </c>
      <c r="N832" s="10"/>
      <c r="O832" s="11" t="s">
        <v>3422</v>
      </c>
      <c r="P832" s="10" t="s">
        <v>71</v>
      </c>
      <c r="Q832" s="11" t="s">
        <v>72</v>
      </c>
      <c r="R832" s="11" t="s">
        <v>73</v>
      </c>
      <c r="S832" s="11" t="s">
        <v>74</v>
      </c>
      <c r="T832" s="11" t="s">
        <v>3594</v>
      </c>
      <c r="U832" s="10" t="n">
        <f aca="false">IF(AND($D832="",$E832="",$F832=""),1,0)</f>
        <v>0</v>
      </c>
      <c r="V832" s="10" t="n">
        <f aca="false">IF(OR($I832="",$I832="—"),1,0)</f>
        <v>0</v>
      </c>
      <c r="W832" s="10" t="n">
        <f aca="false">IF(AND(ISNUMBER($D832),ISNUMBER($E832)),IF($E832&gt;$D832,1,0),0)+IF(AND(ISNUMBER($D832),ISNUMBER($F832)),IF($D832&gt;$F832,1,0),0)+IF(AND(ISNUMBER($E832),ISNUMBER($F832)),IF($E832&gt;$F832,1,0),0)</f>
        <v>0</v>
      </c>
      <c r="X832" s="13" t="s">
        <v>76</v>
      </c>
    </row>
    <row r="833" customFormat="false" ht="15" hidden="false" customHeight="false" outlineLevel="0" collapsed="false">
      <c r="A833" s="10" t="s">
        <v>3595</v>
      </c>
      <c r="B833" s="10" t="s">
        <v>3596</v>
      </c>
      <c r="C833" s="11" t="s">
        <v>3597</v>
      </c>
      <c r="D833" s="12" t="n">
        <v>0.1428</v>
      </c>
      <c r="E833" s="12"/>
      <c r="F833" s="12"/>
      <c r="G833" s="10" t="s">
        <v>63</v>
      </c>
      <c r="H833" s="10" t="s">
        <v>64</v>
      </c>
      <c r="I833" s="11" t="s">
        <v>3598</v>
      </c>
      <c r="J833" s="10" t="s">
        <v>66</v>
      </c>
      <c r="K833" s="10" t="s">
        <v>67</v>
      </c>
      <c r="L833" s="10" t="s">
        <v>68</v>
      </c>
      <c r="M833" s="10" t="s">
        <v>69</v>
      </c>
      <c r="N833" s="10"/>
      <c r="O833" s="11" t="s">
        <v>3422</v>
      </c>
      <c r="P833" s="10" t="s">
        <v>71</v>
      </c>
      <c r="Q833" s="11" t="s">
        <v>72</v>
      </c>
      <c r="R833" s="11" t="s">
        <v>73</v>
      </c>
      <c r="S833" s="11" t="s">
        <v>74</v>
      </c>
      <c r="T833" s="11" t="s">
        <v>3599</v>
      </c>
      <c r="U833" s="10" t="n">
        <f aca="false">IF(AND($D833="",$E833="",$F833=""),1,0)</f>
        <v>0</v>
      </c>
      <c r="V833" s="10" t="n">
        <f aca="false">IF(OR($I833="",$I833="—"),1,0)</f>
        <v>0</v>
      </c>
      <c r="W833" s="10" t="n">
        <f aca="false">IF(AND(ISNUMBER($D833),ISNUMBER($E833)),IF($E833&gt;$D833,1,0),0)+IF(AND(ISNUMBER($D833),ISNUMBER($F833)),IF($D833&gt;$F833,1,0),0)+IF(AND(ISNUMBER($E833),ISNUMBER($F833)),IF($E833&gt;$F833,1,0),0)</f>
        <v>0</v>
      </c>
      <c r="X833" s="13" t="s">
        <v>76</v>
      </c>
    </row>
    <row r="834" customFormat="false" ht="15" hidden="false" customHeight="false" outlineLevel="0" collapsed="false">
      <c r="A834" s="10" t="s">
        <v>3600</v>
      </c>
      <c r="B834" s="10" t="s">
        <v>3601</v>
      </c>
      <c r="C834" s="11" t="s">
        <v>3597</v>
      </c>
      <c r="D834" s="12" t="n">
        <v>0.4486</v>
      </c>
      <c r="E834" s="12"/>
      <c r="F834" s="12"/>
      <c r="G834" s="10" t="s">
        <v>63</v>
      </c>
      <c r="H834" s="10" t="s">
        <v>79</v>
      </c>
      <c r="I834" s="11" t="s">
        <v>3598</v>
      </c>
      <c r="J834" s="10" t="s">
        <v>66</v>
      </c>
      <c r="K834" s="10" t="s">
        <v>67</v>
      </c>
      <c r="L834" s="10" t="s">
        <v>68</v>
      </c>
      <c r="M834" s="10" t="s">
        <v>69</v>
      </c>
      <c r="N834" s="10"/>
      <c r="O834" s="11" t="s">
        <v>3422</v>
      </c>
      <c r="P834" s="10" t="s">
        <v>71</v>
      </c>
      <c r="Q834" s="11" t="s">
        <v>72</v>
      </c>
      <c r="R834" s="11" t="s">
        <v>73</v>
      </c>
      <c r="S834" s="11" t="s">
        <v>74</v>
      </c>
      <c r="T834" s="11" t="s">
        <v>3602</v>
      </c>
      <c r="U834" s="10" t="n">
        <f aca="false">IF(AND($D834="",$E834="",$F834=""),1,0)</f>
        <v>0</v>
      </c>
      <c r="V834" s="10" t="n">
        <f aca="false">IF(OR($I834="",$I834="—"),1,0)</f>
        <v>0</v>
      </c>
      <c r="W834" s="10" t="n">
        <f aca="false">IF(AND(ISNUMBER($D834),ISNUMBER($E834)),IF($E834&gt;$D834,1,0),0)+IF(AND(ISNUMBER($D834),ISNUMBER($F834)),IF($D834&gt;$F834,1,0),0)+IF(AND(ISNUMBER($E834),ISNUMBER($F834)),IF($E834&gt;$F834,1,0),0)</f>
        <v>0</v>
      </c>
      <c r="X834" s="13" t="s">
        <v>76</v>
      </c>
    </row>
    <row r="835" customFormat="false" ht="15" hidden="false" customHeight="false" outlineLevel="0" collapsed="false">
      <c r="A835" s="10" t="s">
        <v>3603</v>
      </c>
      <c r="B835" s="10" t="s">
        <v>3604</v>
      </c>
      <c r="C835" s="11" t="s">
        <v>3597</v>
      </c>
      <c r="D835" s="12" t="n">
        <v>1.8739</v>
      </c>
      <c r="E835" s="12"/>
      <c r="F835" s="12"/>
      <c r="G835" s="10" t="s">
        <v>63</v>
      </c>
      <c r="H835" s="10" t="s">
        <v>83</v>
      </c>
      <c r="I835" s="11" t="s">
        <v>3598</v>
      </c>
      <c r="J835" s="10" t="s">
        <v>66</v>
      </c>
      <c r="K835" s="10" t="s">
        <v>67</v>
      </c>
      <c r="L835" s="10" t="s">
        <v>68</v>
      </c>
      <c r="M835" s="10" t="s">
        <v>69</v>
      </c>
      <c r="N835" s="10"/>
      <c r="O835" s="11" t="s">
        <v>3422</v>
      </c>
      <c r="P835" s="10" t="s">
        <v>71</v>
      </c>
      <c r="Q835" s="11" t="s">
        <v>72</v>
      </c>
      <c r="R835" s="11" t="s">
        <v>73</v>
      </c>
      <c r="S835" s="11" t="s">
        <v>74</v>
      </c>
      <c r="T835" s="11" t="s">
        <v>3605</v>
      </c>
      <c r="U835" s="10" t="n">
        <f aca="false">IF(AND($D835="",$E835="",$F835=""),1,0)</f>
        <v>0</v>
      </c>
      <c r="V835" s="10" t="n">
        <f aca="false">IF(OR($I835="",$I835="—"),1,0)</f>
        <v>0</v>
      </c>
      <c r="W835" s="10" t="n">
        <f aca="false">IF(AND(ISNUMBER($D835),ISNUMBER($E835)),IF($E835&gt;$D835,1,0),0)+IF(AND(ISNUMBER($D835),ISNUMBER($F835)),IF($D835&gt;$F835,1,0),0)+IF(AND(ISNUMBER($E835),ISNUMBER($F835)),IF($E835&gt;$F835,1,0),0)</f>
        <v>0</v>
      </c>
      <c r="X835" s="13" t="s">
        <v>76</v>
      </c>
    </row>
    <row r="836" customFormat="false" ht="15" hidden="false" customHeight="false" outlineLevel="0" collapsed="false">
      <c r="A836" s="10" t="s">
        <v>3606</v>
      </c>
      <c r="B836" s="10" t="s">
        <v>3607</v>
      </c>
      <c r="C836" s="11" t="s">
        <v>3597</v>
      </c>
      <c r="D836" s="12" t="n">
        <v>0.7782</v>
      </c>
      <c r="E836" s="12"/>
      <c r="F836" s="12"/>
      <c r="G836" s="10" t="s">
        <v>63</v>
      </c>
      <c r="H836" s="10" t="s">
        <v>87</v>
      </c>
      <c r="I836" s="11" t="s">
        <v>3598</v>
      </c>
      <c r="J836" s="10" t="s">
        <v>66</v>
      </c>
      <c r="K836" s="10" t="s">
        <v>67</v>
      </c>
      <c r="L836" s="10" t="s">
        <v>68</v>
      </c>
      <c r="M836" s="10" t="s">
        <v>69</v>
      </c>
      <c r="N836" s="10"/>
      <c r="O836" s="11" t="s">
        <v>3608</v>
      </c>
      <c r="P836" s="10" t="s">
        <v>71</v>
      </c>
      <c r="Q836" s="11" t="s">
        <v>72</v>
      </c>
      <c r="R836" s="11" t="s">
        <v>73</v>
      </c>
      <c r="S836" s="11" t="s">
        <v>74</v>
      </c>
      <c r="T836" s="11" t="s">
        <v>3609</v>
      </c>
      <c r="U836" s="10" t="n">
        <f aca="false">IF(AND($D836="",$E836="",$F836=""),1,0)</f>
        <v>0</v>
      </c>
      <c r="V836" s="10" t="n">
        <f aca="false">IF(OR($I836="",$I836="—"),1,0)</f>
        <v>0</v>
      </c>
      <c r="W836" s="10" t="n">
        <f aca="false">IF(AND(ISNUMBER($D836),ISNUMBER($E836)),IF($E836&gt;$D836,1,0),0)+IF(AND(ISNUMBER($D836),ISNUMBER($F836)),IF($D836&gt;$F836,1,0),0)+IF(AND(ISNUMBER($E836),ISNUMBER($F836)),IF($E836&gt;$F836,1,0),0)</f>
        <v>0</v>
      </c>
      <c r="X836" s="13" t="s">
        <v>76</v>
      </c>
    </row>
    <row r="837" customFormat="false" ht="15" hidden="false" customHeight="false" outlineLevel="0" collapsed="false">
      <c r="A837" s="10" t="s">
        <v>3610</v>
      </c>
      <c r="B837" s="10" t="s">
        <v>3611</v>
      </c>
      <c r="C837" s="11" t="s">
        <v>3597</v>
      </c>
      <c r="D837" s="12" t="n">
        <v>1.2997</v>
      </c>
      <c r="E837" s="12"/>
      <c r="F837" s="12"/>
      <c r="G837" s="10" t="s">
        <v>63</v>
      </c>
      <c r="H837" s="10" t="s">
        <v>92</v>
      </c>
      <c r="I837" s="11" t="s">
        <v>3598</v>
      </c>
      <c r="J837" s="10" t="s">
        <v>66</v>
      </c>
      <c r="K837" s="10" t="s">
        <v>67</v>
      </c>
      <c r="L837" s="10" t="s">
        <v>68</v>
      </c>
      <c r="M837" s="10" t="s">
        <v>69</v>
      </c>
      <c r="N837" s="10"/>
      <c r="O837" s="11" t="s">
        <v>3428</v>
      </c>
      <c r="P837" s="10" t="s">
        <v>71</v>
      </c>
      <c r="Q837" s="11" t="s">
        <v>72</v>
      </c>
      <c r="R837" s="11" t="s">
        <v>73</v>
      </c>
      <c r="S837" s="11" t="s">
        <v>74</v>
      </c>
      <c r="T837" s="11" t="s">
        <v>3612</v>
      </c>
      <c r="U837" s="10" t="n">
        <f aca="false">IF(AND($D837="",$E837="",$F837=""),1,0)</f>
        <v>0</v>
      </c>
      <c r="V837" s="10" t="n">
        <f aca="false">IF(OR($I837="",$I837="—"),1,0)</f>
        <v>0</v>
      </c>
      <c r="W837" s="10" t="n">
        <f aca="false">IF(AND(ISNUMBER($D837),ISNUMBER($E837)),IF($E837&gt;$D837,1,0),0)+IF(AND(ISNUMBER($D837),ISNUMBER($F837)),IF($D837&gt;$F837,1,0),0)+IF(AND(ISNUMBER($E837),ISNUMBER($F837)),IF($E837&gt;$F837,1,0),0)</f>
        <v>0</v>
      </c>
      <c r="X837" s="13" t="s">
        <v>76</v>
      </c>
    </row>
    <row r="838" customFormat="false" ht="15" hidden="false" customHeight="false" outlineLevel="0" collapsed="false">
      <c r="A838" s="10" t="s">
        <v>3613</v>
      </c>
      <c r="B838" s="10" t="s">
        <v>3614</v>
      </c>
      <c r="C838" s="11" t="s">
        <v>3615</v>
      </c>
      <c r="D838" s="12" t="n">
        <v>0.1111</v>
      </c>
      <c r="E838" s="12"/>
      <c r="F838" s="12"/>
      <c r="G838" s="10" t="s">
        <v>63</v>
      </c>
      <c r="H838" s="10" t="s">
        <v>64</v>
      </c>
      <c r="I838" s="11" t="s">
        <v>3616</v>
      </c>
      <c r="J838" s="10" t="s">
        <v>66</v>
      </c>
      <c r="K838" s="10" t="s">
        <v>67</v>
      </c>
      <c r="L838" s="10" t="s">
        <v>68</v>
      </c>
      <c r="M838" s="10" t="s">
        <v>69</v>
      </c>
      <c r="N838" s="10"/>
      <c r="O838" s="11" t="s">
        <v>3422</v>
      </c>
      <c r="P838" s="10" t="s">
        <v>71</v>
      </c>
      <c r="Q838" s="11" t="s">
        <v>72</v>
      </c>
      <c r="R838" s="11" t="s">
        <v>73</v>
      </c>
      <c r="S838" s="11" t="s">
        <v>74</v>
      </c>
      <c r="T838" s="11" t="s">
        <v>3617</v>
      </c>
      <c r="U838" s="10" t="n">
        <f aca="false">IF(AND($D838="",$E838="",$F838=""),1,0)</f>
        <v>0</v>
      </c>
      <c r="V838" s="10" t="n">
        <f aca="false">IF(OR($I838="",$I838="—"),1,0)</f>
        <v>0</v>
      </c>
      <c r="W838" s="10" t="n">
        <f aca="false">IF(AND(ISNUMBER($D838),ISNUMBER($E838)),IF($E838&gt;$D838,1,0),0)+IF(AND(ISNUMBER($D838),ISNUMBER($F838)),IF($D838&gt;$F838,1,0),0)+IF(AND(ISNUMBER($E838),ISNUMBER($F838)),IF($E838&gt;$F838,1,0),0)</f>
        <v>0</v>
      </c>
      <c r="X838" s="13" t="s">
        <v>76</v>
      </c>
    </row>
    <row r="839" customFormat="false" ht="15" hidden="false" customHeight="false" outlineLevel="0" collapsed="false">
      <c r="A839" s="10" t="s">
        <v>3618</v>
      </c>
      <c r="B839" s="10" t="s">
        <v>3619</v>
      </c>
      <c r="C839" s="11" t="s">
        <v>3615</v>
      </c>
      <c r="D839" s="12" t="n">
        <v>0.3183</v>
      </c>
      <c r="E839" s="12"/>
      <c r="F839" s="12"/>
      <c r="G839" s="10" t="s">
        <v>63</v>
      </c>
      <c r="H839" s="10" t="s">
        <v>79</v>
      </c>
      <c r="I839" s="11" t="s">
        <v>3616</v>
      </c>
      <c r="J839" s="10" t="s">
        <v>66</v>
      </c>
      <c r="K839" s="10" t="s">
        <v>67</v>
      </c>
      <c r="L839" s="10" t="s">
        <v>68</v>
      </c>
      <c r="M839" s="10" t="s">
        <v>69</v>
      </c>
      <c r="N839" s="10"/>
      <c r="O839" s="11" t="s">
        <v>3422</v>
      </c>
      <c r="P839" s="10" t="s">
        <v>71</v>
      </c>
      <c r="Q839" s="11" t="s">
        <v>72</v>
      </c>
      <c r="R839" s="11" t="s">
        <v>73</v>
      </c>
      <c r="S839" s="11" t="s">
        <v>74</v>
      </c>
      <c r="T839" s="11" t="s">
        <v>3620</v>
      </c>
      <c r="U839" s="10" t="n">
        <f aca="false">IF(AND($D839="",$E839="",$F839=""),1,0)</f>
        <v>0</v>
      </c>
      <c r="V839" s="10" t="n">
        <f aca="false">IF(OR($I839="",$I839="—"),1,0)</f>
        <v>0</v>
      </c>
      <c r="W839" s="10" t="n">
        <f aca="false">IF(AND(ISNUMBER($D839),ISNUMBER($E839)),IF($E839&gt;$D839,1,0),0)+IF(AND(ISNUMBER($D839),ISNUMBER($F839)),IF($D839&gt;$F839,1,0),0)+IF(AND(ISNUMBER($E839),ISNUMBER($F839)),IF($E839&gt;$F839,1,0),0)</f>
        <v>0</v>
      </c>
      <c r="X839" s="13" t="s">
        <v>76</v>
      </c>
    </row>
    <row r="840" customFormat="false" ht="15" hidden="false" customHeight="false" outlineLevel="0" collapsed="false">
      <c r="A840" s="10" t="s">
        <v>3621</v>
      </c>
      <c r="B840" s="10" t="s">
        <v>3622</v>
      </c>
      <c r="C840" s="11" t="s">
        <v>3615</v>
      </c>
      <c r="D840" s="12" t="n">
        <v>1.4739</v>
      </c>
      <c r="E840" s="12"/>
      <c r="F840" s="12"/>
      <c r="G840" s="10" t="s">
        <v>63</v>
      </c>
      <c r="H840" s="10" t="s">
        <v>83</v>
      </c>
      <c r="I840" s="11" t="s">
        <v>3616</v>
      </c>
      <c r="J840" s="10" t="s">
        <v>66</v>
      </c>
      <c r="K840" s="10" t="s">
        <v>67</v>
      </c>
      <c r="L840" s="10" t="s">
        <v>68</v>
      </c>
      <c r="M840" s="10" t="s">
        <v>69</v>
      </c>
      <c r="N840" s="10"/>
      <c r="O840" s="11" t="s">
        <v>3422</v>
      </c>
      <c r="P840" s="10" t="s">
        <v>71</v>
      </c>
      <c r="Q840" s="11" t="s">
        <v>72</v>
      </c>
      <c r="R840" s="11" t="s">
        <v>73</v>
      </c>
      <c r="S840" s="11" t="s">
        <v>74</v>
      </c>
      <c r="T840" s="11" t="s">
        <v>3623</v>
      </c>
      <c r="U840" s="10" t="n">
        <f aca="false">IF(AND($D840="",$E840="",$F840=""),1,0)</f>
        <v>0</v>
      </c>
      <c r="V840" s="10" t="n">
        <f aca="false">IF(OR($I840="",$I840="—"),1,0)</f>
        <v>0</v>
      </c>
      <c r="W840" s="10" t="n">
        <f aca="false">IF(AND(ISNUMBER($D840),ISNUMBER($E840)),IF($E840&gt;$D840,1,0),0)+IF(AND(ISNUMBER($D840),ISNUMBER($F840)),IF($D840&gt;$F840,1,0),0)+IF(AND(ISNUMBER($E840),ISNUMBER($F840)),IF($E840&gt;$F840,1,0),0)</f>
        <v>0</v>
      </c>
      <c r="X840" s="13" t="s">
        <v>76</v>
      </c>
    </row>
    <row r="841" customFormat="false" ht="15" hidden="false" customHeight="false" outlineLevel="0" collapsed="false">
      <c r="A841" s="10" t="s">
        <v>3624</v>
      </c>
      <c r="B841" s="10" t="s">
        <v>3625</v>
      </c>
      <c r="C841" s="11" t="s">
        <v>3615</v>
      </c>
      <c r="D841" s="12" t="n">
        <v>0.6177</v>
      </c>
      <c r="E841" s="12"/>
      <c r="F841" s="12"/>
      <c r="G841" s="10" t="s">
        <v>63</v>
      </c>
      <c r="H841" s="10" t="s">
        <v>87</v>
      </c>
      <c r="I841" s="11" t="s">
        <v>3616</v>
      </c>
      <c r="J841" s="10" t="s">
        <v>66</v>
      </c>
      <c r="K841" s="10" t="s">
        <v>67</v>
      </c>
      <c r="L841" s="10" t="s">
        <v>68</v>
      </c>
      <c r="M841" s="10" t="s">
        <v>69</v>
      </c>
      <c r="N841" s="10"/>
      <c r="O841" s="11" t="s">
        <v>3608</v>
      </c>
      <c r="P841" s="10" t="s">
        <v>71</v>
      </c>
      <c r="Q841" s="11" t="s">
        <v>72</v>
      </c>
      <c r="R841" s="11" t="s">
        <v>73</v>
      </c>
      <c r="S841" s="11" t="s">
        <v>74</v>
      </c>
      <c r="T841" s="11" t="s">
        <v>3626</v>
      </c>
      <c r="U841" s="10" t="n">
        <f aca="false">IF(AND($D841="",$E841="",$F841=""),1,0)</f>
        <v>0</v>
      </c>
      <c r="V841" s="10" t="n">
        <f aca="false">IF(OR($I841="",$I841="—"),1,0)</f>
        <v>0</v>
      </c>
      <c r="W841" s="10" t="n">
        <f aca="false">IF(AND(ISNUMBER($D841),ISNUMBER($E841)),IF($E841&gt;$D841,1,0),0)+IF(AND(ISNUMBER($D841),ISNUMBER($F841)),IF($D841&gt;$F841,1,0),0)+IF(AND(ISNUMBER($E841),ISNUMBER($F841)),IF($E841&gt;$F841,1,0),0)</f>
        <v>0</v>
      </c>
      <c r="X841" s="13" t="s">
        <v>76</v>
      </c>
    </row>
    <row r="842" customFormat="false" ht="15" hidden="false" customHeight="false" outlineLevel="0" collapsed="false">
      <c r="A842" s="10" t="s">
        <v>3627</v>
      </c>
      <c r="B842" s="10" t="s">
        <v>3628</v>
      </c>
      <c r="C842" s="11" t="s">
        <v>3615</v>
      </c>
      <c r="D842" s="12" t="n">
        <v>1.0608</v>
      </c>
      <c r="E842" s="12"/>
      <c r="F842" s="12"/>
      <c r="G842" s="10" t="s">
        <v>63</v>
      </c>
      <c r="H842" s="10" t="s">
        <v>92</v>
      </c>
      <c r="I842" s="11" t="s">
        <v>3616</v>
      </c>
      <c r="J842" s="10" t="s">
        <v>66</v>
      </c>
      <c r="K842" s="10" t="s">
        <v>67</v>
      </c>
      <c r="L842" s="10" t="s">
        <v>68</v>
      </c>
      <c r="M842" s="10" t="s">
        <v>69</v>
      </c>
      <c r="N842" s="10"/>
      <c r="O842" s="11" t="s">
        <v>3428</v>
      </c>
      <c r="P842" s="10" t="s">
        <v>71</v>
      </c>
      <c r="Q842" s="11" t="s">
        <v>72</v>
      </c>
      <c r="R842" s="11" t="s">
        <v>73</v>
      </c>
      <c r="S842" s="11" t="s">
        <v>74</v>
      </c>
      <c r="T842" s="11" t="s">
        <v>3629</v>
      </c>
      <c r="U842" s="10" t="n">
        <f aca="false">IF(AND($D842="",$E842="",$F842=""),1,0)</f>
        <v>0</v>
      </c>
      <c r="V842" s="10" t="n">
        <f aca="false">IF(OR($I842="",$I842="—"),1,0)</f>
        <v>0</v>
      </c>
      <c r="W842" s="10" t="n">
        <f aca="false">IF(AND(ISNUMBER($D842),ISNUMBER($E842)),IF($E842&gt;$D842,1,0),0)+IF(AND(ISNUMBER($D842),ISNUMBER($F842)),IF($D842&gt;$F842,1,0),0)+IF(AND(ISNUMBER($E842),ISNUMBER($F842)),IF($E842&gt;$F842,1,0),0)</f>
        <v>0</v>
      </c>
      <c r="X842" s="13" t="s">
        <v>76</v>
      </c>
    </row>
    <row r="843" customFormat="false" ht="15" hidden="false" customHeight="false" outlineLevel="0" collapsed="false">
      <c r="A843" s="10" t="s">
        <v>3630</v>
      </c>
      <c r="B843" s="10" t="s">
        <v>3631</v>
      </c>
      <c r="C843" s="11" t="s">
        <v>3632</v>
      </c>
      <c r="D843" s="12" t="n">
        <v>0.0238</v>
      </c>
      <c r="E843" s="12"/>
      <c r="F843" s="12"/>
      <c r="G843" s="10" t="s">
        <v>63</v>
      </c>
      <c r="H843" s="10" t="s">
        <v>64</v>
      </c>
      <c r="I843" s="11" t="s">
        <v>3633</v>
      </c>
      <c r="J843" s="10" t="s">
        <v>66</v>
      </c>
      <c r="K843" s="10" t="s">
        <v>67</v>
      </c>
      <c r="L843" s="10" t="s">
        <v>68</v>
      </c>
      <c r="M843" s="10" t="s">
        <v>69</v>
      </c>
      <c r="N843" s="10"/>
      <c r="O843" s="11" t="s">
        <v>3422</v>
      </c>
      <c r="P843" s="10" t="s">
        <v>71</v>
      </c>
      <c r="Q843" s="11" t="s">
        <v>72</v>
      </c>
      <c r="R843" s="11" t="s">
        <v>73</v>
      </c>
      <c r="S843" s="11" t="s">
        <v>74</v>
      </c>
      <c r="T843" s="11" t="s">
        <v>3634</v>
      </c>
      <c r="U843" s="10" t="n">
        <f aca="false">IF(AND($D843="",$E843="",$F843=""),1,0)</f>
        <v>0</v>
      </c>
      <c r="V843" s="10" t="n">
        <f aca="false">IF(OR($I843="",$I843="—"),1,0)</f>
        <v>0</v>
      </c>
      <c r="W843" s="10" t="n">
        <f aca="false">IF(AND(ISNUMBER($D843),ISNUMBER($E843)),IF($E843&gt;$D843,1,0),0)+IF(AND(ISNUMBER($D843),ISNUMBER($F843)),IF($D843&gt;$F843,1,0),0)+IF(AND(ISNUMBER($E843),ISNUMBER($F843)),IF($E843&gt;$F843,1,0),0)</f>
        <v>0</v>
      </c>
      <c r="X843" s="13" t="s">
        <v>76</v>
      </c>
    </row>
    <row r="844" customFormat="false" ht="15" hidden="false" customHeight="false" outlineLevel="0" collapsed="false">
      <c r="A844" s="10" t="s">
        <v>3635</v>
      </c>
      <c r="B844" s="10" t="s">
        <v>3636</v>
      </c>
      <c r="C844" s="11" t="s">
        <v>3632</v>
      </c>
      <c r="D844" s="12" t="n">
        <v>0.0554</v>
      </c>
      <c r="E844" s="12"/>
      <c r="F844" s="12"/>
      <c r="G844" s="10" t="s">
        <v>63</v>
      </c>
      <c r="H844" s="10" t="s">
        <v>79</v>
      </c>
      <c r="I844" s="11" t="s">
        <v>3633</v>
      </c>
      <c r="J844" s="10" t="s">
        <v>66</v>
      </c>
      <c r="K844" s="10" t="s">
        <v>67</v>
      </c>
      <c r="L844" s="10" t="s">
        <v>68</v>
      </c>
      <c r="M844" s="10" t="s">
        <v>69</v>
      </c>
      <c r="N844" s="10"/>
      <c r="O844" s="11" t="s">
        <v>3422</v>
      </c>
      <c r="P844" s="10" t="s">
        <v>71</v>
      </c>
      <c r="Q844" s="11" t="s">
        <v>72</v>
      </c>
      <c r="R844" s="11" t="s">
        <v>73</v>
      </c>
      <c r="S844" s="11" t="s">
        <v>74</v>
      </c>
      <c r="T844" s="11" t="s">
        <v>3637</v>
      </c>
      <c r="U844" s="10" t="n">
        <f aca="false">IF(AND($D844="",$E844="",$F844=""),1,0)</f>
        <v>0</v>
      </c>
      <c r="V844" s="10" t="n">
        <f aca="false">IF(OR($I844="",$I844="—"),1,0)</f>
        <v>0</v>
      </c>
      <c r="W844" s="10" t="n">
        <f aca="false">IF(AND(ISNUMBER($D844),ISNUMBER($E844)),IF($E844&gt;$D844,1,0),0)+IF(AND(ISNUMBER($D844),ISNUMBER($F844)),IF($D844&gt;$F844,1,0),0)+IF(AND(ISNUMBER($E844),ISNUMBER($F844)),IF($E844&gt;$F844,1,0),0)</f>
        <v>0</v>
      </c>
      <c r="X844" s="13" t="s">
        <v>76</v>
      </c>
    </row>
    <row r="845" customFormat="false" ht="15" hidden="false" customHeight="false" outlineLevel="0" collapsed="false">
      <c r="A845" s="10" t="s">
        <v>3638</v>
      </c>
      <c r="B845" s="10" t="s">
        <v>3639</v>
      </c>
      <c r="C845" s="11" t="s">
        <v>3632</v>
      </c>
      <c r="D845" s="12" t="n">
        <v>0.0907</v>
      </c>
      <c r="E845" s="12"/>
      <c r="F845" s="12"/>
      <c r="G845" s="10" t="s">
        <v>63</v>
      </c>
      <c r="H845" s="10" t="s">
        <v>83</v>
      </c>
      <c r="I845" s="11" t="s">
        <v>3633</v>
      </c>
      <c r="J845" s="10" t="s">
        <v>66</v>
      </c>
      <c r="K845" s="10" t="s">
        <v>67</v>
      </c>
      <c r="L845" s="10" t="s">
        <v>68</v>
      </c>
      <c r="M845" s="10" t="s">
        <v>69</v>
      </c>
      <c r="N845" s="10"/>
      <c r="O845" s="11" t="s">
        <v>3422</v>
      </c>
      <c r="P845" s="10" t="s">
        <v>71</v>
      </c>
      <c r="Q845" s="11" t="s">
        <v>72</v>
      </c>
      <c r="R845" s="11" t="s">
        <v>73</v>
      </c>
      <c r="S845" s="11" t="s">
        <v>74</v>
      </c>
      <c r="T845" s="11" t="s">
        <v>3640</v>
      </c>
      <c r="U845" s="10" t="n">
        <f aca="false">IF(AND($D845="",$E845="",$F845=""),1,0)</f>
        <v>0</v>
      </c>
      <c r="V845" s="10" t="n">
        <f aca="false">IF(OR($I845="",$I845="—"),1,0)</f>
        <v>0</v>
      </c>
      <c r="W845" s="10" t="n">
        <f aca="false">IF(AND(ISNUMBER($D845),ISNUMBER($E845)),IF($E845&gt;$D845,1,0),0)+IF(AND(ISNUMBER($D845),ISNUMBER($F845)),IF($D845&gt;$F845,1,0),0)+IF(AND(ISNUMBER($E845),ISNUMBER($F845)),IF($E845&gt;$F845,1,0),0)</f>
        <v>0</v>
      </c>
      <c r="X845" s="13" t="s">
        <v>76</v>
      </c>
    </row>
    <row r="846" customFormat="false" ht="15" hidden="false" customHeight="false" outlineLevel="0" collapsed="false">
      <c r="A846" s="10" t="s">
        <v>3641</v>
      </c>
      <c r="B846" s="10" t="s">
        <v>3642</v>
      </c>
      <c r="C846" s="11" t="s">
        <v>3632</v>
      </c>
      <c r="D846" s="12" t="n">
        <v>0.0421</v>
      </c>
      <c r="E846" s="12"/>
      <c r="F846" s="12"/>
      <c r="G846" s="10" t="s">
        <v>63</v>
      </c>
      <c r="H846" s="10" t="s">
        <v>87</v>
      </c>
      <c r="I846" s="11" t="s">
        <v>3633</v>
      </c>
      <c r="J846" s="10" t="s">
        <v>66</v>
      </c>
      <c r="K846" s="10" t="s">
        <v>67</v>
      </c>
      <c r="L846" s="10" t="s">
        <v>68</v>
      </c>
      <c r="M846" s="10" t="s">
        <v>69</v>
      </c>
      <c r="N846" s="10"/>
      <c r="O846" s="11" t="s">
        <v>3608</v>
      </c>
      <c r="P846" s="10" t="s">
        <v>71</v>
      </c>
      <c r="Q846" s="11" t="s">
        <v>72</v>
      </c>
      <c r="R846" s="11" t="s">
        <v>73</v>
      </c>
      <c r="S846" s="11" t="s">
        <v>74</v>
      </c>
      <c r="T846" s="11" t="s">
        <v>3643</v>
      </c>
      <c r="U846" s="10" t="n">
        <f aca="false">IF(AND($D846="",$E846="",$F846=""),1,0)</f>
        <v>0</v>
      </c>
      <c r="V846" s="10" t="n">
        <f aca="false">IF(OR($I846="",$I846="—"),1,0)</f>
        <v>0</v>
      </c>
      <c r="W846" s="10" t="n">
        <f aca="false">IF(AND(ISNUMBER($D846),ISNUMBER($E846)),IF($E846&gt;$D846,1,0),0)+IF(AND(ISNUMBER($D846),ISNUMBER($F846)),IF($D846&gt;$F846,1,0),0)+IF(AND(ISNUMBER($E846),ISNUMBER($F846)),IF($E846&gt;$F846,1,0),0)</f>
        <v>0</v>
      </c>
      <c r="X846" s="13" t="s">
        <v>76</v>
      </c>
    </row>
    <row r="847" customFormat="false" ht="15" hidden="false" customHeight="false" outlineLevel="0" collapsed="false">
      <c r="A847" s="10" t="s">
        <v>3644</v>
      </c>
      <c r="B847" s="10" t="s">
        <v>3645</v>
      </c>
      <c r="C847" s="11" t="s">
        <v>3632</v>
      </c>
      <c r="D847" s="12" t="n">
        <v>0.0591</v>
      </c>
      <c r="E847" s="12"/>
      <c r="F847" s="12"/>
      <c r="G847" s="10" t="s">
        <v>63</v>
      </c>
      <c r="H847" s="10" t="s">
        <v>92</v>
      </c>
      <c r="I847" s="11" t="s">
        <v>3633</v>
      </c>
      <c r="J847" s="10" t="s">
        <v>66</v>
      </c>
      <c r="K847" s="10" t="s">
        <v>67</v>
      </c>
      <c r="L847" s="10" t="s">
        <v>68</v>
      </c>
      <c r="M847" s="10" t="s">
        <v>69</v>
      </c>
      <c r="N847" s="10"/>
      <c r="O847" s="11" t="s">
        <v>3428</v>
      </c>
      <c r="P847" s="10" t="s">
        <v>71</v>
      </c>
      <c r="Q847" s="11" t="s">
        <v>72</v>
      </c>
      <c r="R847" s="11" t="s">
        <v>73</v>
      </c>
      <c r="S847" s="11" t="s">
        <v>74</v>
      </c>
      <c r="T847" s="11" t="s">
        <v>3646</v>
      </c>
      <c r="U847" s="10" t="n">
        <f aca="false">IF(AND($D847="",$E847="",$F847=""),1,0)</f>
        <v>0</v>
      </c>
      <c r="V847" s="10" t="n">
        <f aca="false">IF(OR($I847="",$I847="—"),1,0)</f>
        <v>0</v>
      </c>
      <c r="W847" s="10" t="n">
        <f aca="false">IF(AND(ISNUMBER($D847),ISNUMBER($E847)),IF($E847&gt;$D847,1,0),0)+IF(AND(ISNUMBER($D847),ISNUMBER($F847)),IF($D847&gt;$F847,1,0),0)+IF(AND(ISNUMBER($E847),ISNUMBER($F847)),IF($E847&gt;$F847,1,0),0)</f>
        <v>0</v>
      </c>
      <c r="X847" s="13" t="s">
        <v>76</v>
      </c>
    </row>
    <row r="848" customFormat="false" ht="15" hidden="false" customHeight="false" outlineLevel="0" collapsed="false">
      <c r="A848" s="10" t="s">
        <v>3647</v>
      </c>
      <c r="B848" s="10" t="s">
        <v>3648</v>
      </c>
      <c r="C848" s="11" t="s">
        <v>625</v>
      </c>
      <c r="D848" s="12" t="n">
        <v>883</v>
      </c>
      <c r="E848" s="12"/>
      <c r="F848" s="12"/>
      <c r="G848" s="11" t="s">
        <v>439</v>
      </c>
      <c r="H848" s="10" t="s">
        <v>440</v>
      </c>
      <c r="I848" s="11" t="s">
        <v>3649</v>
      </c>
      <c r="J848" s="10" t="s">
        <v>66</v>
      </c>
      <c r="K848" s="10" t="s">
        <v>67</v>
      </c>
      <c r="L848" s="10" t="s">
        <v>68</v>
      </c>
      <c r="M848" s="10" t="s">
        <v>69</v>
      </c>
      <c r="N848" s="10"/>
      <c r="O848" s="11" t="s">
        <v>441</v>
      </c>
      <c r="P848" s="10" t="s">
        <v>71</v>
      </c>
      <c r="Q848" s="11" t="s">
        <v>72</v>
      </c>
      <c r="R848" s="11" t="s">
        <v>73</v>
      </c>
      <c r="S848" s="11" t="s">
        <v>74</v>
      </c>
      <c r="T848" s="11" t="s">
        <v>3650</v>
      </c>
      <c r="U848" s="10" t="n">
        <f aca="false">IF(AND($D848="",$E848="",$F848=""),1,0)</f>
        <v>0</v>
      </c>
      <c r="V848" s="10" t="n">
        <f aca="false">IF(OR($I848="",$I848="—"),1,0)</f>
        <v>0</v>
      </c>
      <c r="W848" s="10" t="n">
        <f aca="false">IF(AND(ISNUMBER($D848),ISNUMBER($E848)),IF($E848&gt;$D848,1,0),0)+IF(AND(ISNUMBER($D848),ISNUMBER($F848)),IF($D848&gt;$F848,1,0),0)+IF(AND(ISNUMBER($E848),ISNUMBER($F848)),IF($E848&gt;$F848,1,0),0)</f>
        <v>0</v>
      </c>
      <c r="X848" s="13" t="s">
        <v>76</v>
      </c>
    </row>
    <row r="849" customFormat="false" ht="15" hidden="false" customHeight="false" outlineLevel="0" collapsed="false">
      <c r="A849" s="10" t="s">
        <v>3651</v>
      </c>
      <c r="B849" s="10" t="s">
        <v>3652</v>
      </c>
      <c r="C849" s="11" t="s">
        <v>3653</v>
      </c>
      <c r="D849" s="12" t="n">
        <v>657</v>
      </c>
      <c r="E849" s="12"/>
      <c r="F849" s="12"/>
      <c r="G849" s="11" t="s">
        <v>439</v>
      </c>
      <c r="H849" s="10" t="s">
        <v>440</v>
      </c>
      <c r="I849" s="11" t="s">
        <v>3649</v>
      </c>
      <c r="J849" s="10" t="s">
        <v>66</v>
      </c>
      <c r="K849" s="10" t="s">
        <v>67</v>
      </c>
      <c r="L849" s="10" t="s">
        <v>68</v>
      </c>
      <c r="M849" s="10" t="s">
        <v>69</v>
      </c>
      <c r="N849" s="10"/>
      <c r="O849" s="11" t="s">
        <v>441</v>
      </c>
      <c r="P849" s="10" t="s">
        <v>71</v>
      </c>
      <c r="Q849" s="11" t="s">
        <v>72</v>
      </c>
      <c r="R849" s="11" t="s">
        <v>73</v>
      </c>
      <c r="S849" s="11" t="s">
        <v>74</v>
      </c>
      <c r="T849" s="11" t="s">
        <v>3654</v>
      </c>
      <c r="U849" s="10" t="n">
        <f aca="false">IF(AND($D849="",$E849="",$F849=""),1,0)</f>
        <v>0</v>
      </c>
      <c r="V849" s="10" t="n">
        <f aca="false">IF(OR($I849="",$I849="—"),1,0)</f>
        <v>0</v>
      </c>
      <c r="W849" s="10" t="n">
        <f aca="false">IF(AND(ISNUMBER($D849),ISNUMBER($E849)),IF($E849&gt;$D849,1,0),0)+IF(AND(ISNUMBER($D849),ISNUMBER($F849)),IF($D849&gt;$F849,1,0),0)+IF(AND(ISNUMBER($E849),ISNUMBER($F849)),IF($E849&gt;$F849,1,0),0)</f>
        <v>0</v>
      </c>
      <c r="X849" s="13" t="s">
        <v>76</v>
      </c>
    </row>
    <row r="850" customFormat="false" ht="15" hidden="false" customHeight="false" outlineLevel="0" collapsed="false">
      <c r="A850" s="10" t="s">
        <v>3655</v>
      </c>
      <c r="B850" s="10" t="s">
        <v>3656</v>
      </c>
      <c r="C850" s="11" t="s">
        <v>3657</v>
      </c>
      <c r="D850" s="12" t="n">
        <v>145</v>
      </c>
      <c r="E850" s="12"/>
      <c r="F850" s="12"/>
      <c r="G850" s="11" t="s">
        <v>439</v>
      </c>
      <c r="H850" s="10" t="s">
        <v>440</v>
      </c>
      <c r="I850" s="11" t="s">
        <v>3649</v>
      </c>
      <c r="J850" s="10" t="s">
        <v>66</v>
      </c>
      <c r="K850" s="10" t="s">
        <v>67</v>
      </c>
      <c r="L850" s="10" t="s">
        <v>68</v>
      </c>
      <c r="M850" s="10" t="s">
        <v>69</v>
      </c>
      <c r="N850" s="10"/>
      <c r="O850" s="11" t="s">
        <v>441</v>
      </c>
      <c r="P850" s="10" t="s">
        <v>71</v>
      </c>
      <c r="Q850" s="11" t="s">
        <v>72</v>
      </c>
      <c r="R850" s="11" t="s">
        <v>73</v>
      </c>
      <c r="S850" s="11" t="s">
        <v>74</v>
      </c>
      <c r="T850" s="11" t="s">
        <v>3658</v>
      </c>
      <c r="U850" s="10" t="n">
        <f aca="false">IF(AND($D850="",$E850="",$F850=""),1,0)</f>
        <v>0</v>
      </c>
      <c r="V850" s="10" t="n">
        <f aca="false">IF(OR($I850="",$I850="—"),1,0)</f>
        <v>0</v>
      </c>
      <c r="W850" s="10" t="n">
        <f aca="false">IF(AND(ISNUMBER($D850),ISNUMBER($E850)),IF($E850&gt;$D850,1,0),0)+IF(AND(ISNUMBER($D850),ISNUMBER($F850)),IF($D850&gt;$F850,1,0),0)+IF(AND(ISNUMBER($E850),ISNUMBER($F850)),IF($E850&gt;$F850,1,0),0)</f>
        <v>0</v>
      </c>
      <c r="X850" s="13" t="s">
        <v>76</v>
      </c>
    </row>
    <row r="851" customFormat="false" ht="15" hidden="false" customHeight="false" outlineLevel="0" collapsed="false">
      <c r="A851" s="10" t="s">
        <v>3659</v>
      </c>
      <c r="B851" s="10" t="s">
        <v>3660</v>
      </c>
      <c r="C851" s="11" t="s">
        <v>3661</v>
      </c>
      <c r="D851" s="12" t="n">
        <v>81</v>
      </c>
      <c r="E851" s="12"/>
      <c r="F851" s="12"/>
      <c r="G851" s="11" t="s">
        <v>439</v>
      </c>
      <c r="H851" s="10" t="s">
        <v>440</v>
      </c>
      <c r="I851" s="11" t="s">
        <v>3649</v>
      </c>
      <c r="J851" s="10" t="s">
        <v>66</v>
      </c>
      <c r="K851" s="10" t="s">
        <v>67</v>
      </c>
      <c r="L851" s="10" t="s">
        <v>68</v>
      </c>
      <c r="M851" s="10" t="s">
        <v>69</v>
      </c>
      <c r="N851" s="10"/>
      <c r="O851" s="11" t="s">
        <v>441</v>
      </c>
      <c r="P851" s="10" t="s">
        <v>71</v>
      </c>
      <c r="Q851" s="11" t="s">
        <v>72</v>
      </c>
      <c r="R851" s="11" t="s">
        <v>73</v>
      </c>
      <c r="S851" s="11" t="s">
        <v>74</v>
      </c>
      <c r="T851" s="11" t="s">
        <v>3662</v>
      </c>
      <c r="U851" s="10" t="n">
        <f aca="false">IF(AND($D851="",$E851="",$F851=""),1,0)</f>
        <v>0</v>
      </c>
      <c r="V851" s="10" t="n">
        <f aca="false">IF(OR($I851="",$I851="—"),1,0)</f>
        <v>0</v>
      </c>
      <c r="W851" s="10" t="n">
        <f aca="false">IF(AND(ISNUMBER($D851),ISNUMBER($E851)),IF($E851&gt;$D851,1,0),0)+IF(AND(ISNUMBER($D851),ISNUMBER($F851)),IF($D851&gt;$F851,1,0),0)+IF(AND(ISNUMBER($E851),ISNUMBER($F851)),IF($E851&gt;$F851,1,0),0)</f>
        <v>0</v>
      </c>
      <c r="X851" s="13" t="s">
        <v>76</v>
      </c>
    </row>
    <row r="852" customFormat="false" ht="15" hidden="false" customHeight="false" outlineLevel="0" collapsed="false">
      <c r="A852" s="10" t="s">
        <v>3663</v>
      </c>
      <c r="B852" s="10" t="s">
        <v>3664</v>
      </c>
      <c r="C852" s="11" t="s">
        <v>937</v>
      </c>
      <c r="D852" s="12" t="n">
        <v>74.4</v>
      </c>
      <c r="E852" s="12"/>
      <c r="F852" s="12"/>
      <c r="G852" s="10" t="s">
        <v>401</v>
      </c>
      <c r="H852" s="10" t="s">
        <v>440</v>
      </c>
      <c r="I852" s="11" t="s">
        <v>3649</v>
      </c>
      <c r="J852" s="10" t="s">
        <v>66</v>
      </c>
      <c r="K852" s="10" t="s">
        <v>67</v>
      </c>
      <c r="L852" s="10" t="s">
        <v>68</v>
      </c>
      <c r="M852" s="10" t="s">
        <v>69</v>
      </c>
      <c r="N852" s="10"/>
      <c r="O852" s="11" t="s">
        <v>441</v>
      </c>
      <c r="P852" s="10" t="s">
        <v>71</v>
      </c>
      <c r="Q852" s="11" t="s">
        <v>72</v>
      </c>
      <c r="R852" s="11" t="s">
        <v>73</v>
      </c>
      <c r="S852" s="11" t="s">
        <v>74</v>
      </c>
      <c r="T852" s="11" t="s">
        <v>3665</v>
      </c>
      <c r="U852" s="10" t="n">
        <f aca="false">IF(AND($D852="",$E852="",$F852=""),1,0)</f>
        <v>0</v>
      </c>
      <c r="V852" s="10" t="n">
        <f aca="false">IF(OR($I852="",$I852="—"),1,0)</f>
        <v>0</v>
      </c>
      <c r="W852" s="10" t="n">
        <f aca="false">IF(AND(ISNUMBER($D852),ISNUMBER($E852)),IF($E852&gt;$D852,1,0),0)+IF(AND(ISNUMBER($D852),ISNUMBER($F852)),IF($D852&gt;$F852,1,0),0)+IF(AND(ISNUMBER($E852),ISNUMBER($F852)),IF($E852&gt;$F852,1,0),0)</f>
        <v>0</v>
      </c>
      <c r="X852" s="13" t="s">
        <v>76</v>
      </c>
    </row>
    <row r="853" customFormat="false" ht="15" hidden="false" customHeight="false" outlineLevel="0" collapsed="false">
      <c r="A853" s="10" t="s">
        <v>3666</v>
      </c>
      <c r="B853" s="10" t="s">
        <v>3667</v>
      </c>
      <c r="C853" s="11" t="s">
        <v>438</v>
      </c>
      <c r="D853" s="12" t="n">
        <v>657</v>
      </c>
      <c r="E853" s="12"/>
      <c r="F853" s="12"/>
      <c r="G853" s="11" t="s">
        <v>439</v>
      </c>
      <c r="H853" s="10" t="s">
        <v>440</v>
      </c>
      <c r="I853" s="11" t="s">
        <v>3668</v>
      </c>
      <c r="J853" s="10" t="s">
        <v>66</v>
      </c>
      <c r="K853" s="10" t="s">
        <v>67</v>
      </c>
      <c r="L853" s="10" t="s">
        <v>68</v>
      </c>
      <c r="M853" s="10" t="s">
        <v>69</v>
      </c>
      <c r="N853" s="10"/>
      <c r="O853" s="11" t="s">
        <v>441</v>
      </c>
      <c r="P853" s="10" t="s">
        <v>71</v>
      </c>
      <c r="Q853" s="11" t="s">
        <v>72</v>
      </c>
      <c r="R853" s="11" t="s">
        <v>73</v>
      </c>
      <c r="S853" s="11" t="s">
        <v>74</v>
      </c>
      <c r="T853" s="11" t="s">
        <v>3669</v>
      </c>
      <c r="U853" s="10" t="n">
        <f aca="false">IF(AND($D853="",$E853="",$F853=""),1,0)</f>
        <v>0</v>
      </c>
      <c r="V853" s="10" t="n">
        <f aca="false">IF(OR($I853="",$I853="—"),1,0)</f>
        <v>0</v>
      </c>
      <c r="W853" s="10" t="n">
        <f aca="false">IF(AND(ISNUMBER($D853),ISNUMBER($E853)),IF($E853&gt;$D853,1,0),0)+IF(AND(ISNUMBER($D853),ISNUMBER($F853)),IF($D853&gt;$F853,1,0),0)+IF(AND(ISNUMBER($E853),ISNUMBER($F853)),IF($E853&gt;$F853,1,0),0)</f>
        <v>0</v>
      </c>
      <c r="X853" s="13" t="s">
        <v>76</v>
      </c>
    </row>
    <row r="854" customFormat="false" ht="15" hidden="false" customHeight="false" outlineLevel="0" collapsed="false">
      <c r="A854" s="10" t="s">
        <v>3670</v>
      </c>
      <c r="B854" s="10" t="s">
        <v>3671</v>
      </c>
      <c r="C854" s="11" t="s">
        <v>3672</v>
      </c>
      <c r="D854" s="12" t="n">
        <v>0.9072</v>
      </c>
      <c r="E854" s="12"/>
      <c r="F854" s="12"/>
      <c r="G854" s="10" t="s">
        <v>63</v>
      </c>
      <c r="H854" s="10" t="s">
        <v>64</v>
      </c>
      <c r="I854" s="11" t="s">
        <v>3673</v>
      </c>
      <c r="J854" s="10" t="s">
        <v>66</v>
      </c>
      <c r="K854" s="10" t="s">
        <v>67</v>
      </c>
      <c r="L854" s="10" t="s">
        <v>68</v>
      </c>
      <c r="M854" s="10" t="s">
        <v>69</v>
      </c>
      <c r="N854" s="10"/>
      <c r="O854" s="11" t="s">
        <v>3422</v>
      </c>
      <c r="P854" s="10" t="s">
        <v>71</v>
      </c>
      <c r="Q854" s="11" t="s">
        <v>72</v>
      </c>
      <c r="R854" s="11" t="s">
        <v>73</v>
      </c>
      <c r="S854" s="11" t="s">
        <v>74</v>
      </c>
      <c r="T854" s="11" t="s">
        <v>3674</v>
      </c>
      <c r="U854" s="10" t="n">
        <f aca="false">IF(AND($D854="",$E854="",$F854=""),1,0)</f>
        <v>0</v>
      </c>
      <c r="V854" s="10" t="n">
        <f aca="false">IF(OR($I854="",$I854="—"),1,0)</f>
        <v>0</v>
      </c>
      <c r="W854" s="10" t="n">
        <f aca="false">IF(AND(ISNUMBER($D854),ISNUMBER($E854)),IF($E854&gt;$D854,1,0),0)+IF(AND(ISNUMBER($D854),ISNUMBER($F854)),IF($D854&gt;$F854,1,0),0)+IF(AND(ISNUMBER($E854),ISNUMBER($F854)),IF($E854&gt;$F854,1,0),0)</f>
        <v>0</v>
      </c>
      <c r="X854" s="13" t="s">
        <v>76</v>
      </c>
    </row>
    <row r="855" customFormat="false" ht="15" hidden="false" customHeight="false" outlineLevel="0" collapsed="false">
      <c r="A855" s="10" t="s">
        <v>3675</v>
      </c>
      <c r="B855" s="10" t="s">
        <v>3676</v>
      </c>
      <c r="C855" s="11" t="s">
        <v>3672</v>
      </c>
      <c r="D855" s="12" t="n">
        <v>2.1728</v>
      </c>
      <c r="E855" s="12"/>
      <c r="F855" s="12"/>
      <c r="G855" s="10" t="s">
        <v>63</v>
      </c>
      <c r="H855" s="10" t="s">
        <v>79</v>
      </c>
      <c r="I855" s="11" t="s">
        <v>3673</v>
      </c>
      <c r="J855" s="10" t="s">
        <v>66</v>
      </c>
      <c r="K855" s="10" t="s">
        <v>67</v>
      </c>
      <c r="L855" s="10" t="s">
        <v>68</v>
      </c>
      <c r="M855" s="10" t="s">
        <v>69</v>
      </c>
      <c r="N855" s="10"/>
      <c r="O855" s="11" t="s">
        <v>3422</v>
      </c>
      <c r="P855" s="10" t="s">
        <v>71</v>
      </c>
      <c r="Q855" s="11" t="s">
        <v>72</v>
      </c>
      <c r="R855" s="11" t="s">
        <v>73</v>
      </c>
      <c r="S855" s="11" t="s">
        <v>74</v>
      </c>
      <c r="T855" s="11" t="s">
        <v>3677</v>
      </c>
      <c r="U855" s="10" t="n">
        <f aca="false">IF(AND($D855="",$E855="",$F855=""),1,0)</f>
        <v>0</v>
      </c>
      <c r="V855" s="10" t="n">
        <f aca="false">IF(OR($I855="",$I855="—"),1,0)</f>
        <v>0</v>
      </c>
      <c r="W855" s="10" t="n">
        <f aca="false">IF(AND(ISNUMBER($D855),ISNUMBER($E855)),IF($E855&gt;$D855,1,0),0)+IF(AND(ISNUMBER($D855),ISNUMBER($F855)),IF($D855&gt;$F855,1,0),0)+IF(AND(ISNUMBER($E855),ISNUMBER($F855)),IF($E855&gt;$F855,1,0),0)</f>
        <v>0</v>
      </c>
      <c r="X855" s="13" t="s">
        <v>76</v>
      </c>
    </row>
    <row r="856" customFormat="false" ht="15" hidden="false" customHeight="false" outlineLevel="0" collapsed="false">
      <c r="A856" s="10" t="s">
        <v>3678</v>
      </c>
      <c r="B856" s="10" t="s">
        <v>3679</v>
      </c>
      <c r="C856" s="11" t="s">
        <v>3672</v>
      </c>
      <c r="D856" s="12" t="n">
        <v>5.7322</v>
      </c>
      <c r="E856" s="12"/>
      <c r="F856" s="12"/>
      <c r="G856" s="10" t="s">
        <v>63</v>
      </c>
      <c r="H856" s="10" t="s">
        <v>83</v>
      </c>
      <c r="I856" s="11" t="s">
        <v>3673</v>
      </c>
      <c r="J856" s="10" t="s">
        <v>66</v>
      </c>
      <c r="K856" s="10" t="s">
        <v>67</v>
      </c>
      <c r="L856" s="10" t="s">
        <v>68</v>
      </c>
      <c r="M856" s="10" t="s">
        <v>69</v>
      </c>
      <c r="N856" s="10"/>
      <c r="O856" s="11" t="s">
        <v>3422</v>
      </c>
      <c r="P856" s="10" t="s">
        <v>71</v>
      </c>
      <c r="Q856" s="11" t="s">
        <v>72</v>
      </c>
      <c r="R856" s="11" t="s">
        <v>73</v>
      </c>
      <c r="S856" s="11" t="s">
        <v>74</v>
      </c>
      <c r="T856" s="11" t="s">
        <v>3680</v>
      </c>
      <c r="U856" s="10" t="n">
        <f aca="false">IF(AND($D856="",$E856="",$F856=""),1,0)</f>
        <v>0</v>
      </c>
      <c r="V856" s="10" t="n">
        <f aca="false">IF(OR($I856="",$I856="—"),1,0)</f>
        <v>0</v>
      </c>
      <c r="W856" s="10" t="n">
        <f aca="false">IF(AND(ISNUMBER($D856),ISNUMBER($E856)),IF($E856&gt;$D856,1,0),0)+IF(AND(ISNUMBER($D856),ISNUMBER($F856)),IF($D856&gt;$F856,1,0),0)+IF(AND(ISNUMBER($E856),ISNUMBER($F856)),IF($E856&gt;$F856,1,0),0)</f>
        <v>0</v>
      </c>
      <c r="X856" s="13" t="s">
        <v>76</v>
      </c>
    </row>
    <row r="857" customFormat="false" ht="15" hidden="false" customHeight="false" outlineLevel="0" collapsed="false">
      <c r="A857" s="10" t="s">
        <v>3681</v>
      </c>
      <c r="B857" s="10" t="s">
        <v>3682</v>
      </c>
      <c r="C857" s="11" t="s">
        <v>3672</v>
      </c>
      <c r="D857" s="12" t="n">
        <v>1.9235</v>
      </c>
      <c r="E857" s="12"/>
      <c r="F857" s="12"/>
      <c r="G857" s="10" t="s">
        <v>63</v>
      </c>
      <c r="H857" s="10" t="s">
        <v>87</v>
      </c>
      <c r="I857" s="11" t="s">
        <v>3673</v>
      </c>
      <c r="J857" s="10" t="s">
        <v>66</v>
      </c>
      <c r="K857" s="10" t="s">
        <v>67</v>
      </c>
      <c r="L857" s="10" t="s">
        <v>68</v>
      </c>
      <c r="M857" s="10" t="s">
        <v>69</v>
      </c>
      <c r="N857" s="10"/>
      <c r="O857" s="11" t="s">
        <v>3608</v>
      </c>
      <c r="P857" s="10" t="s">
        <v>71</v>
      </c>
      <c r="Q857" s="11" t="s">
        <v>72</v>
      </c>
      <c r="R857" s="11" t="s">
        <v>73</v>
      </c>
      <c r="S857" s="11" t="s">
        <v>74</v>
      </c>
      <c r="T857" s="11" t="s">
        <v>3683</v>
      </c>
      <c r="U857" s="10" t="n">
        <f aca="false">IF(AND($D857="",$E857="",$F857=""),1,0)</f>
        <v>0</v>
      </c>
      <c r="V857" s="10" t="n">
        <f aca="false">IF(OR($I857="",$I857="—"),1,0)</f>
        <v>0</v>
      </c>
      <c r="W857" s="10" t="n">
        <f aca="false">IF(AND(ISNUMBER($D857),ISNUMBER($E857)),IF($E857&gt;$D857,1,0),0)+IF(AND(ISNUMBER($D857),ISNUMBER($F857)),IF($D857&gt;$F857,1,0),0)+IF(AND(ISNUMBER($E857),ISNUMBER($F857)),IF($E857&gt;$F857,1,0),0)</f>
        <v>0</v>
      </c>
      <c r="X857" s="13" t="s">
        <v>76</v>
      </c>
    </row>
    <row r="858" customFormat="false" ht="15" hidden="false" customHeight="false" outlineLevel="0" collapsed="false">
      <c r="A858" s="10" t="s">
        <v>3684</v>
      </c>
      <c r="B858" s="10" t="s">
        <v>3685</v>
      </c>
      <c r="C858" s="11" t="s">
        <v>3672</v>
      </c>
      <c r="D858" s="12" t="n">
        <v>4.9959</v>
      </c>
      <c r="E858" s="12"/>
      <c r="F858" s="12"/>
      <c r="G858" s="10" t="s">
        <v>63</v>
      </c>
      <c r="H858" s="10" t="s">
        <v>92</v>
      </c>
      <c r="I858" s="11" t="s">
        <v>3673</v>
      </c>
      <c r="J858" s="10" t="s">
        <v>66</v>
      </c>
      <c r="K858" s="10" t="s">
        <v>67</v>
      </c>
      <c r="L858" s="10" t="s">
        <v>68</v>
      </c>
      <c r="M858" s="10" t="s">
        <v>69</v>
      </c>
      <c r="N858" s="10"/>
      <c r="O858" s="11" t="s">
        <v>3428</v>
      </c>
      <c r="P858" s="10" t="s">
        <v>71</v>
      </c>
      <c r="Q858" s="11" t="s">
        <v>72</v>
      </c>
      <c r="R858" s="11" t="s">
        <v>73</v>
      </c>
      <c r="S858" s="11" t="s">
        <v>74</v>
      </c>
      <c r="T858" s="11" t="s">
        <v>3686</v>
      </c>
      <c r="U858" s="10" t="n">
        <f aca="false">IF(AND($D858="",$E858="",$F858=""),1,0)</f>
        <v>0</v>
      </c>
      <c r="V858" s="10" t="n">
        <f aca="false">IF(OR($I858="",$I858="—"),1,0)</f>
        <v>0</v>
      </c>
      <c r="W858" s="10" t="n">
        <f aca="false">IF(AND(ISNUMBER($D858),ISNUMBER($E858)),IF($E858&gt;$D858,1,0),0)+IF(AND(ISNUMBER($D858),ISNUMBER($F858)),IF($D858&gt;$F858,1,0),0)+IF(AND(ISNUMBER($E858),ISNUMBER($F858)),IF($E858&gt;$F858,1,0),0)</f>
        <v>0</v>
      </c>
      <c r="X858" s="13" t="s">
        <v>76</v>
      </c>
    </row>
    <row r="859" customFormat="false" ht="15" hidden="false" customHeight="false" outlineLevel="0" collapsed="false">
      <c r="A859" s="10" t="s">
        <v>3687</v>
      </c>
      <c r="B859" s="10" t="s">
        <v>3688</v>
      </c>
      <c r="C859" s="11" t="s">
        <v>3689</v>
      </c>
      <c r="D859" s="12" t="n">
        <v>0.822</v>
      </c>
      <c r="E859" s="12"/>
      <c r="F859" s="12"/>
      <c r="G859" s="10" t="s">
        <v>63</v>
      </c>
      <c r="H859" s="10" t="s">
        <v>64</v>
      </c>
      <c r="I859" s="11" t="s">
        <v>3673</v>
      </c>
      <c r="J859" s="10" t="s">
        <v>66</v>
      </c>
      <c r="K859" s="10" t="s">
        <v>67</v>
      </c>
      <c r="L859" s="10" t="s">
        <v>68</v>
      </c>
      <c r="M859" s="10" t="s">
        <v>69</v>
      </c>
      <c r="N859" s="10"/>
      <c r="O859" s="11" t="s">
        <v>3422</v>
      </c>
      <c r="P859" s="10" t="s">
        <v>71</v>
      </c>
      <c r="Q859" s="11" t="s">
        <v>72</v>
      </c>
      <c r="R859" s="11" t="s">
        <v>73</v>
      </c>
      <c r="S859" s="11" t="s">
        <v>74</v>
      </c>
      <c r="T859" s="11" t="s">
        <v>3690</v>
      </c>
      <c r="U859" s="10" t="n">
        <f aca="false">IF(AND($D859="",$E859="",$F859=""),1,0)</f>
        <v>0</v>
      </c>
      <c r="V859" s="10" t="n">
        <f aca="false">IF(OR($I859="",$I859="—"),1,0)</f>
        <v>0</v>
      </c>
      <c r="W859" s="10" t="n">
        <f aca="false">IF(AND(ISNUMBER($D859),ISNUMBER($E859)),IF($E859&gt;$D859,1,0),0)+IF(AND(ISNUMBER($D859),ISNUMBER($F859)),IF($D859&gt;$F859,1,0),0)+IF(AND(ISNUMBER($E859),ISNUMBER($F859)),IF($E859&gt;$F859,1,0),0)</f>
        <v>0</v>
      </c>
      <c r="X859" s="13" t="s">
        <v>76</v>
      </c>
    </row>
    <row r="860" customFormat="false" ht="15" hidden="false" customHeight="false" outlineLevel="0" collapsed="false">
      <c r="A860" s="10" t="s">
        <v>3691</v>
      </c>
      <c r="B860" s="10" t="s">
        <v>3692</v>
      </c>
      <c r="C860" s="11" t="s">
        <v>3689</v>
      </c>
      <c r="D860" s="12" t="n">
        <v>1.9512</v>
      </c>
      <c r="E860" s="12"/>
      <c r="F860" s="12"/>
      <c r="G860" s="10" t="s">
        <v>63</v>
      </c>
      <c r="H860" s="10" t="s">
        <v>79</v>
      </c>
      <c r="I860" s="11" t="s">
        <v>3673</v>
      </c>
      <c r="J860" s="10" t="s">
        <v>66</v>
      </c>
      <c r="K860" s="10" t="s">
        <v>67</v>
      </c>
      <c r="L860" s="10" t="s">
        <v>68</v>
      </c>
      <c r="M860" s="10" t="s">
        <v>69</v>
      </c>
      <c r="N860" s="10"/>
      <c r="O860" s="11" t="s">
        <v>3422</v>
      </c>
      <c r="P860" s="10" t="s">
        <v>71</v>
      </c>
      <c r="Q860" s="11" t="s">
        <v>72</v>
      </c>
      <c r="R860" s="11" t="s">
        <v>73</v>
      </c>
      <c r="S860" s="11" t="s">
        <v>74</v>
      </c>
      <c r="T860" s="11" t="s">
        <v>3693</v>
      </c>
      <c r="U860" s="10" t="n">
        <f aca="false">IF(AND($D860="",$E860="",$F860=""),1,0)</f>
        <v>0</v>
      </c>
      <c r="V860" s="10" t="n">
        <f aca="false">IF(OR($I860="",$I860="—"),1,0)</f>
        <v>0</v>
      </c>
      <c r="W860" s="10" t="n">
        <f aca="false">IF(AND(ISNUMBER($D860),ISNUMBER($E860)),IF($E860&gt;$D860,1,0),0)+IF(AND(ISNUMBER($D860),ISNUMBER($F860)),IF($D860&gt;$F860,1,0),0)+IF(AND(ISNUMBER($E860),ISNUMBER($F860)),IF($E860&gt;$F860,1,0),0)</f>
        <v>0</v>
      </c>
      <c r="X860" s="13" t="s">
        <v>76</v>
      </c>
    </row>
    <row r="861" customFormat="false" ht="15" hidden="false" customHeight="false" outlineLevel="0" collapsed="false">
      <c r="A861" s="10" t="s">
        <v>3694</v>
      </c>
      <c r="B861" s="10" t="s">
        <v>3695</v>
      </c>
      <c r="C861" s="11" t="s">
        <v>3689</v>
      </c>
      <c r="D861" s="12" t="n">
        <v>5.1218</v>
      </c>
      <c r="E861" s="12"/>
      <c r="F861" s="12"/>
      <c r="G861" s="10" t="s">
        <v>63</v>
      </c>
      <c r="H861" s="10" t="s">
        <v>83</v>
      </c>
      <c r="I861" s="11" t="s">
        <v>3673</v>
      </c>
      <c r="J861" s="10" t="s">
        <v>66</v>
      </c>
      <c r="K861" s="10" t="s">
        <v>67</v>
      </c>
      <c r="L861" s="10" t="s">
        <v>68</v>
      </c>
      <c r="M861" s="10" t="s">
        <v>69</v>
      </c>
      <c r="N861" s="10"/>
      <c r="O861" s="11" t="s">
        <v>3422</v>
      </c>
      <c r="P861" s="10" t="s">
        <v>71</v>
      </c>
      <c r="Q861" s="11" t="s">
        <v>72</v>
      </c>
      <c r="R861" s="11" t="s">
        <v>73</v>
      </c>
      <c r="S861" s="11" t="s">
        <v>74</v>
      </c>
      <c r="T861" s="11" t="s">
        <v>3696</v>
      </c>
      <c r="U861" s="10" t="n">
        <f aca="false">IF(AND($D861="",$E861="",$F861=""),1,0)</f>
        <v>0</v>
      </c>
      <c r="V861" s="10" t="n">
        <f aca="false">IF(OR($I861="",$I861="—"),1,0)</f>
        <v>0</v>
      </c>
      <c r="W861" s="10" t="n">
        <f aca="false">IF(AND(ISNUMBER($D861),ISNUMBER($E861)),IF($E861&gt;$D861,1,0),0)+IF(AND(ISNUMBER($D861),ISNUMBER($F861)),IF($D861&gt;$F861,1,0),0)+IF(AND(ISNUMBER($E861),ISNUMBER($F861)),IF($E861&gt;$F861,1,0),0)</f>
        <v>0</v>
      </c>
      <c r="X861" s="13" t="s">
        <v>76</v>
      </c>
    </row>
    <row r="862" customFormat="false" ht="15" hidden="false" customHeight="false" outlineLevel="0" collapsed="false">
      <c r="A862" s="10" t="s">
        <v>3697</v>
      </c>
      <c r="B862" s="10" t="s">
        <v>3698</v>
      </c>
      <c r="C862" s="11" t="s">
        <v>3689</v>
      </c>
      <c r="D862" s="12" t="n">
        <v>1.7166</v>
      </c>
      <c r="E862" s="12"/>
      <c r="F862" s="12"/>
      <c r="G862" s="10" t="s">
        <v>63</v>
      </c>
      <c r="H862" s="10" t="s">
        <v>87</v>
      </c>
      <c r="I862" s="11" t="s">
        <v>3673</v>
      </c>
      <c r="J862" s="10" t="s">
        <v>66</v>
      </c>
      <c r="K862" s="10" t="s">
        <v>67</v>
      </c>
      <c r="L862" s="10" t="s">
        <v>68</v>
      </c>
      <c r="M862" s="10" t="s">
        <v>69</v>
      </c>
      <c r="N862" s="10"/>
      <c r="O862" s="11" t="s">
        <v>3608</v>
      </c>
      <c r="P862" s="10" t="s">
        <v>71</v>
      </c>
      <c r="Q862" s="11" t="s">
        <v>72</v>
      </c>
      <c r="R862" s="11" t="s">
        <v>73</v>
      </c>
      <c r="S862" s="11" t="s">
        <v>74</v>
      </c>
      <c r="T862" s="11" t="s">
        <v>3699</v>
      </c>
      <c r="U862" s="10" t="n">
        <f aca="false">IF(AND($D862="",$E862="",$F862=""),1,0)</f>
        <v>0</v>
      </c>
      <c r="V862" s="10" t="n">
        <f aca="false">IF(OR($I862="",$I862="—"),1,0)</f>
        <v>0</v>
      </c>
      <c r="W862" s="10" t="n">
        <f aca="false">IF(AND(ISNUMBER($D862),ISNUMBER($E862)),IF($E862&gt;$D862,1,0),0)+IF(AND(ISNUMBER($D862),ISNUMBER($F862)),IF($D862&gt;$F862,1,0),0)+IF(AND(ISNUMBER($E862),ISNUMBER($F862)),IF($E862&gt;$F862,1,0),0)</f>
        <v>0</v>
      </c>
      <c r="X862" s="13" t="s">
        <v>76</v>
      </c>
    </row>
    <row r="863" customFormat="false" ht="15" hidden="false" customHeight="false" outlineLevel="0" collapsed="false">
      <c r="A863" s="10" t="s">
        <v>3700</v>
      </c>
      <c r="B863" s="10" t="s">
        <v>3701</v>
      </c>
      <c r="C863" s="11" t="s">
        <v>3689</v>
      </c>
      <c r="D863" s="12" t="n">
        <v>3.1862</v>
      </c>
      <c r="E863" s="12"/>
      <c r="F863" s="12"/>
      <c r="G863" s="10" t="s">
        <v>63</v>
      </c>
      <c r="H863" s="10" t="s">
        <v>92</v>
      </c>
      <c r="I863" s="11" t="s">
        <v>3673</v>
      </c>
      <c r="J863" s="10" t="s">
        <v>66</v>
      </c>
      <c r="K863" s="10" t="s">
        <v>67</v>
      </c>
      <c r="L863" s="10" t="s">
        <v>68</v>
      </c>
      <c r="M863" s="10" t="s">
        <v>69</v>
      </c>
      <c r="N863" s="10"/>
      <c r="O863" s="11" t="s">
        <v>3428</v>
      </c>
      <c r="P863" s="10" t="s">
        <v>71</v>
      </c>
      <c r="Q863" s="11" t="s">
        <v>72</v>
      </c>
      <c r="R863" s="11" t="s">
        <v>73</v>
      </c>
      <c r="S863" s="11" t="s">
        <v>74</v>
      </c>
      <c r="T863" s="11" t="s">
        <v>3702</v>
      </c>
      <c r="U863" s="10" t="n">
        <f aca="false">IF(AND($D863="",$E863="",$F863=""),1,0)</f>
        <v>0</v>
      </c>
      <c r="V863" s="10" t="n">
        <f aca="false">IF(OR($I863="",$I863="—"),1,0)</f>
        <v>0</v>
      </c>
      <c r="W863" s="10" t="n">
        <f aca="false">IF(AND(ISNUMBER($D863),ISNUMBER($E863)),IF($E863&gt;$D863,1,0),0)+IF(AND(ISNUMBER($D863),ISNUMBER($F863)),IF($D863&gt;$F863,1,0),0)+IF(AND(ISNUMBER($E863),ISNUMBER($F863)),IF($E863&gt;$F863,1,0),0)</f>
        <v>0</v>
      </c>
      <c r="X863" s="13" t="s">
        <v>76</v>
      </c>
    </row>
    <row r="864" customFormat="false" ht="15" hidden="false" customHeight="false" outlineLevel="0" collapsed="false">
      <c r="A864" s="10" t="s">
        <v>3703</v>
      </c>
      <c r="B864" s="10" t="s">
        <v>3704</v>
      </c>
      <c r="C864" s="11" t="s">
        <v>3705</v>
      </c>
      <c r="D864" s="12" t="n">
        <v>0.075</v>
      </c>
      <c r="E864" s="12"/>
      <c r="F864" s="12"/>
      <c r="G864" s="10" t="s">
        <v>63</v>
      </c>
      <c r="H864" s="10" t="s">
        <v>64</v>
      </c>
      <c r="I864" s="11" t="s">
        <v>3673</v>
      </c>
      <c r="J864" s="10" t="s">
        <v>66</v>
      </c>
      <c r="K864" s="10" t="s">
        <v>67</v>
      </c>
      <c r="L864" s="10" t="s">
        <v>68</v>
      </c>
      <c r="M864" s="10" t="s">
        <v>69</v>
      </c>
      <c r="N864" s="10"/>
      <c r="O864" s="11" t="s">
        <v>3422</v>
      </c>
      <c r="P864" s="10" t="s">
        <v>71</v>
      </c>
      <c r="Q864" s="11" t="s">
        <v>72</v>
      </c>
      <c r="R864" s="11" t="s">
        <v>73</v>
      </c>
      <c r="S864" s="11" t="s">
        <v>74</v>
      </c>
      <c r="T864" s="11" t="s">
        <v>3706</v>
      </c>
      <c r="U864" s="10" t="n">
        <f aca="false">IF(AND($D864="",$E864="",$F864=""),1,0)</f>
        <v>0</v>
      </c>
      <c r="V864" s="10" t="n">
        <f aca="false">IF(OR($I864="",$I864="—"),1,0)</f>
        <v>0</v>
      </c>
      <c r="W864" s="10" t="n">
        <f aca="false">IF(AND(ISNUMBER($D864),ISNUMBER($E864)),IF($E864&gt;$D864,1,0),0)+IF(AND(ISNUMBER($D864),ISNUMBER($F864)),IF($D864&gt;$F864,1,0),0)+IF(AND(ISNUMBER($E864),ISNUMBER($F864)),IF($E864&gt;$F864,1,0),0)</f>
        <v>0</v>
      </c>
      <c r="X864" s="13" t="s">
        <v>76</v>
      </c>
    </row>
    <row r="865" customFormat="false" ht="15" hidden="false" customHeight="false" outlineLevel="0" collapsed="false">
      <c r="A865" s="10" t="s">
        <v>3707</v>
      </c>
      <c r="B865" s="10" t="s">
        <v>3708</v>
      </c>
      <c r="C865" s="11" t="s">
        <v>3705</v>
      </c>
      <c r="D865" s="12" t="n">
        <v>0.1667</v>
      </c>
      <c r="E865" s="12"/>
      <c r="F865" s="12"/>
      <c r="G865" s="10" t="s">
        <v>63</v>
      </c>
      <c r="H865" s="10" t="s">
        <v>79</v>
      </c>
      <c r="I865" s="11" t="s">
        <v>3673</v>
      </c>
      <c r="J865" s="10" t="s">
        <v>66</v>
      </c>
      <c r="K865" s="10" t="s">
        <v>67</v>
      </c>
      <c r="L865" s="10" t="s">
        <v>68</v>
      </c>
      <c r="M865" s="10" t="s">
        <v>69</v>
      </c>
      <c r="N865" s="10"/>
      <c r="O865" s="11" t="s">
        <v>3422</v>
      </c>
      <c r="P865" s="10" t="s">
        <v>71</v>
      </c>
      <c r="Q865" s="11" t="s">
        <v>72</v>
      </c>
      <c r="R865" s="11" t="s">
        <v>73</v>
      </c>
      <c r="S865" s="11" t="s">
        <v>74</v>
      </c>
      <c r="T865" s="11" t="s">
        <v>3709</v>
      </c>
      <c r="U865" s="10" t="n">
        <f aca="false">IF(AND($D865="",$E865="",$F865=""),1,0)</f>
        <v>0</v>
      </c>
      <c r="V865" s="10" t="n">
        <f aca="false">IF(OR($I865="",$I865="—"),1,0)</f>
        <v>0</v>
      </c>
      <c r="W865" s="10" t="n">
        <f aca="false">IF(AND(ISNUMBER($D865),ISNUMBER($E865)),IF($E865&gt;$D865,1,0),0)+IF(AND(ISNUMBER($D865),ISNUMBER($F865)),IF($D865&gt;$F865,1,0),0)+IF(AND(ISNUMBER($E865),ISNUMBER($F865)),IF($E865&gt;$F865,1,0),0)</f>
        <v>0</v>
      </c>
      <c r="X865" s="13" t="s">
        <v>76</v>
      </c>
    </row>
    <row r="866" customFormat="false" ht="15" hidden="false" customHeight="false" outlineLevel="0" collapsed="false">
      <c r="A866" s="10" t="s">
        <v>3710</v>
      </c>
      <c r="B866" s="10" t="s">
        <v>3711</v>
      </c>
      <c r="C866" s="11" t="s">
        <v>3705</v>
      </c>
      <c r="D866" s="12" t="n">
        <v>0.3747</v>
      </c>
      <c r="E866" s="12"/>
      <c r="F866" s="12"/>
      <c r="G866" s="10" t="s">
        <v>63</v>
      </c>
      <c r="H866" s="10" t="s">
        <v>83</v>
      </c>
      <c r="I866" s="11" t="s">
        <v>3673</v>
      </c>
      <c r="J866" s="10" t="s">
        <v>66</v>
      </c>
      <c r="K866" s="10" t="s">
        <v>67</v>
      </c>
      <c r="L866" s="10" t="s">
        <v>68</v>
      </c>
      <c r="M866" s="10" t="s">
        <v>69</v>
      </c>
      <c r="N866" s="10"/>
      <c r="O866" s="11" t="s">
        <v>3422</v>
      </c>
      <c r="P866" s="10" t="s">
        <v>71</v>
      </c>
      <c r="Q866" s="11" t="s">
        <v>72</v>
      </c>
      <c r="R866" s="11" t="s">
        <v>73</v>
      </c>
      <c r="S866" s="11" t="s">
        <v>74</v>
      </c>
      <c r="T866" s="11" t="s">
        <v>3712</v>
      </c>
      <c r="U866" s="10" t="n">
        <f aca="false">IF(AND($D866="",$E866="",$F866=""),1,0)</f>
        <v>0</v>
      </c>
      <c r="V866" s="10" t="n">
        <f aca="false">IF(OR($I866="",$I866="—"),1,0)</f>
        <v>0</v>
      </c>
      <c r="W866" s="10" t="n">
        <f aca="false">IF(AND(ISNUMBER($D866),ISNUMBER($E866)),IF($E866&gt;$D866,1,0),0)+IF(AND(ISNUMBER($D866),ISNUMBER($F866)),IF($D866&gt;$F866,1,0),0)+IF(AND(ISNUMBER($E866),ISNUMBER($F866)),IF($E866&gt;$F866,1,0),0)</f>
        <v>0</v>
      </c>
      <c r="X866" s="13" t="s">
        <v>76</v>
      </c>
    </row>
    <row r="867" customFormat="false" ht="15" hidden="false" customHeight="false" outlineLevel="0" collapsed="false">
      <c r="A867" s="10" t="s">
        <v>3713</v>
      </c>
      <c r="B867" s="10" t="s">
        <v>3714</v>
      </c>
      <c r="C867" s="11" t="s">
        <v>3705</v>
      </c>
      <c r="D867" s="12" t="n">
        <v>0.1647</v>
      </c>
      <c r="E867" s="12"/>
      <c r="F867" s="12"/>
      <c r="G867" s="10" t="s">
        <v>63</v>
      </c>
      <c r="H867" s="10" t="s">
        <v>87</v>
      </c>
      <c r="I867" s="11" t="s">
        <v>3673</v>
      </c>
      <c r="J867" s="10" t="s">
        <v>66</v>
      </c>
      <c r="K867" s="10" t="s">
        <v>67</v>
      </c>
      <c r="L867" s="10" t="s">
        <v>68</v>
      </c>
      <c r="M867" s="10" t="s">
        <v>69</v>
      </c>
      <c r="N867" s="10"/>
      <c r="O867" s="11" t="s">
        <v>3608</v>
      </c>
      <c r="P867" s="10" t="s">
        <v>71</v>
      </c>
      <c r="Q867" s="11" t="s">
        <v>72</v>
      </c>
      <c r="R867" s="11" t="s">
        <v>73</v>
      </c>
      <c r="S867" s="11" t="s">
        <v>74</v>
      </c>
      <c r="T867" s="11" t="s">
        <v>3715</v>
      </c>
      <c r="U867" s="10" t="n">
        <f aca="false">IF(AND($D867="",$E867="",$F867=""),1,0)</f>
        <v>0</v>
      </c>
      <c r="V867" s="10" t="n">
        <f aca="false">IF(OR($I867="",$I867="—"),1,0)</f>
        <v>0</v>
      </c>
      <c r="W867" s="10" t="n">
        <f aca="false">IF(AND(ISNUMBER($D867),ISNUMBER($E867)),IF($E867&gt;$D867,1,0),0)+IF(AND(ISNUMBER($D867),ISNUMBER($F867)),IF($D867&gt;$F867,1,0),0)+IF(AND(ISNUMBER($E867),ISNUMBER($F867)),IF($E867&gt;$F867,1,0),0)</f>
        <v>0</v>
      </c>
      <c r="X867" s="13" t="s">
        <v>76</v>
      </c>
    </row>
    <row r="868" customFormat="false" ht="15" hidden="false" customHeight="false" outlineLevel="0" collapsed="false">
      <c r="A868" s="10" t="s">
        <v>3716</v>
      </c>
      <c r="B868" s="10" t="s">
        <v>3717</v>
      </c>
      <c r="C868" s="11" t="s">
        <v>3705</v>
      </c>
      <c r="D868" s="12" t="n">
        <v>0.2212</v>
      </c>
      <c r="E868" s="12"/>
      <c r="F868" s="12"/>
      <c r="G868" s="10" t="s">
        <v>63</v>
      </c>
      <c r="H868" s="10" t="s">
        <v>92</v>
      </c>
      <c r="I868" s="11" t="s">
        <v>3673</v>
      </c>
      <c r="J868" s="10" t="s">
        <v>66</v>
      </c>
      <c r="K868" s="10" t="s">
        <v>67</v>
      </c>
      <c r="L868" s="10" t="s">
        <v>68</v>
      </c>
      <c r="M868" s="10" t="s">
        <v>69</v>
      </c>
      <c r="N868" s="10"/>
      <c r="O868" s="11" t="s">
        <v>3428</v>
      </c>
      <c r="P868" s="10" t="s">
        <v>71</v>
      </c>
      <c r="Q868" s="11" t="s">
        <v>72</v>
      </c>
      <c r="R868" s="11" t="s">
        <v>73</v>
      </c>
      <c r="S868" s="11" t="s">
        <v>74</v>
      </c>
      <c r="T868" s="11" t="s">
        <v>3718</v>
      </c>
      <c r="U868" s="10" t="n">
        <f aca="false">IF(AND($D868="",$E868="",$F868=""),1,0)</f>
        <v>0</v>
      </c>
      <c r="V868" s="10" t="n">
        <f aca="false">IF(OR($I868="",$I868="—"),1,0)</f>
        <v>0</v>
      </c>
      <c r="W868" s="10" t="n">
        <f aca="false">IF(AND(ISNUMBER($D868),ISNUMBER($E868)),IF($E868&gt;$D868,1,0),0)+IF(AND(ISNUMBER($D868),ISNUMBER($F868)),IF($D868&gt;$F868,1,0),0)+IF(AND(ISNUMBER($E868),ISNUMBER($F868)),IF($E868&gt;$F868,1,0),0)</f>
        <v>0</v>
      </c>
      <c r="X868" s="13" t="s">
        <v>76</v>
      </c>
    </row>
    <row r="869" customFormat="false" ht="15" hidden="false" customHeight="false" outlineLevel="0" collapsed="false">
      <c r="A869" s="10" t="s">
        <v>3719</v>
      </c>
      <c r="B869" s="10" t="s">
        <v>3720</v>
      </c>
      <c r="C869" s="11" t="s">
        <v>3721</v>
      </c>
      <c r="D869" s="12" t="n">
        <v>0.0102</v>
      </c>
      <c r="E869" s="12"/>
      <c r="F869" s="12"/>
      <c r="G869" s="10" t="s">
        <v>63</v>
      </c>
      <c r="H869" s="10" t="s">
        <v>64</v>
      </c>
      <c r="I869" s="11" t="s">
        <v>3673</v>
      </c>
      <c r="J869" s="10" t="s">
        <v>66</v>
      </c>
      <c r="K869" s="10" t="s">
        <v>67</v>
      </c>
      <c r="L869" s="10" t="s">
        <v>68</v>
      </c>
      <c r="M869" s="10" t="s">
        <v>69</v>
      </c>
      <c r="N869" s="10"/>
      <c r="O869" s="11" t="s">
        <v>3422</v>
      </c>
      <c r="P869" s="10" t="s">
        <v>71</v>
      </c>
      <c r="Q869" s="11" t="s">
        <v>72</v>
      </c>
      <c r="R869" s="11" t="s">
        <v>73</v>
      </c>
      <c r="S869" s="11" t="s">
        <v>74</v>
      </c>
      <c r="T869" s="11" t="s">
        <v>3722</v>
      </c>
      <c r="U869" s="10" t="n">
        <f aca="false">IF(AND($D869="",$E869="",$F869=""),1,0)</f>
        <v>0</v>
      </c>
      <c r="V869" s="10" t="n">
        <f aca="false">IF(OR($I869="",$I869="—"),1,0)</f>
        <v>0</v>
      </c>
      <c r="W869" s="10" t="n">
        <f aca="false">IF(AND(ISNUMBER($D869),ISNUMBER($E869)),IF($E869&gt;$D869,1,0),0)+IF(AND(ISNUMBER($D869),ISNUMBER($F869)),IF($D869&gt;$F869,1,0),0)+IF(AND(ISNUMBER($E869),ISNUMBER($F869)),IF($E869&gt;$F869,1,0),0)</f>
        <v>0</v>
      </c>
      <c r="X869" s="13" t="s">
        <v>76</v>
      </c>
    </row>
    <row r="870" customFormat="false" ht="15" hidden="false" customHeight="false" outlineLevel="0" collapsed="false">
      <c r="A870" s="10" t="s">
        <v>3723</v>
      </c>
      <c r="B870" s="10" t="s">
        <v>3724</v>
      </c>
      <c r="C870" s="11" t="s">
        <v>3721</v>
      </c>
      <c r="D870" s="12" t="n">
        <v>0.055</v>
      </c>
      <c r="E870" s="12"/>
      <c r="F870" s="12"/>
      <c r="G870" s="10" t="s">
        <v>63</v>
      </c>
      <c r="H870" s="10" t="s">
        <v>79</v>
      </c>
      <c r="I870" s="11" t="s">
        <v>3673</v>
      </c>
      <c r="J870" s="10" t="s">
        <v>66</v>
      </c>
      <c r="K870" s="10" t="s">
        <v>67</v>
      </c>
      <c r="L870" s="10" t="s">
        <v>68</v>
      </c>
      <c r="M870" s="10" t="s">
        <v>69</v>
      </c>
      <c r="N870" s="10"/>
      <c r="O870" s="11" t="s">
        <v>3422</v>
      </c>
      <c r="P870" s="10" t="s">
        <v>71</v>
      </c>
      <c r="Q870" s="11" t="s">
        <v>72</v>
      </c>
      <c r="R870" s="11" t="s">
        <v>73</v>
      </c>
      <c r="S870" s="11" t="s">
        <v>74</v>
      </c>
      <c r="T870" s="11" t="s">
        <v>3725</v>
      </c>
      <c r="U870" s="10" t="n">
        <f aca="false">IF(AND($D870="",$E870="",$F870=""),1,0)</f>
        <v>0</v>
      </c>
      <c r="V870" s="10" t="n">
        <f aca="false">IF(OR($I870="",$I870="—"),1,0)</f>
        <v>0</v>
      </c>
      <c r="W870" s="10" t="n">
        <f aca="false">IF(AND(ISNUMBER($D870),ISNUMBER($E870)),IF($E870&gt;$D870,1,0),0)+IF(AND(ISNUMBER($D870),ISNUMBER($F870)),IF($D870&gt;$F870,1,0),0)+IF(AND(ISNUMBER($E870),ISNUMBER($F870)),IF($E870&gt;$F870,1,0),0)</f>
        <v>0</v>
      </c>
      <c r="X870" s="13" t="s">
        <v>76</v>
      </c>
    </row>
    <row r="871" customFormat="false" ht="15" hidden="false" customHeight="false" outlineLevel="0" collapsed="false">
      <c r="A871" s="10" t="s">
        <v>3726</v>
      </c>
      <c r="B871" s="10" t="s">
        <v>3727</v>
      </c>
      <c r="C871" s="11" t="s">
        <v>3721</v>
      </c>
      <c r="D871" s="12" t="n">
        <v>0.2358</v>
      </c>
      <c r="E871" s="12"/>
      <c r="F871" s="12"/>
      <c r="G871" s="10" t="s">
        <v>63</v>
      </c>
      <c r="H871" s="10" t="s">
        <v>83</v>
      </c>
      <c r="I871" s="11" t="s">
        <v>3673</v>
      </c>
      <c r="J871" s="10" t="s">
        <v>66</v>
      </c>
      <c r="K871" s="10" t="s">
        <v>67</v>
      </c>
      <c r="L871" s="10" t="s">
        <v>68</v>
      </c>
      <c r="M871" s="10" t="s">
        <v>69</v>
      </c>
      <c r="N871" s="10"/>
      <c r="O871" s="11" t="s">
        <v>3422</v>
      </c>
      <c r="P871" s="10" t="s">
        <v>71</v>
      </c>
      <c r="Q871" s="11" t="s">
        <v>72</v>
      </c>
      <c r="R871" s="11" t="s">
        <v>73</v>
      </c>
      <c r="S871" s="11" t="s">
        <v>74</v>
      </c>
      <c r="T871" s="11" t="s">
        <v>3728</v>
      </c>
      <c r="U871" s="10" t="n">
        <f aca="false">IF(AND($D871="",$E871="",$F871=""),1,0)</f>
        <v>0</v>
      </c>
      <c r="V871" s="10" t="n">
        <f aca="false">IF(OR($I871="",$I871="—"),1,0)</f>
        <v>0</v>
      </c>
      <c r="W871" s="10" t="n">
        <f aca="false">IF(AND(ISNUMBER($D871),ISNUMBER($E871)),IF($E871&gt;$D871,1,0),0)+IF(AND(ISNUMBER($D871),ISNUMBER($F871)),IF($D871&gt;$F871,1,0),0)+IF(AND(ISNUMBER($E871),ISNUMBER($F871)),IF($E871&gt;$F871,1,0),0)</f>
        <v>0</v>
      </c>
      <c r="X871" s="13" t="s">
        <v>76</v>
      </c>
    </row>
    <row r="872" customFormat="false" ht="15" hidden="false" customHeight="false" outlineLevel="0" collapsed="false">
      <c r="A872" s="10" t="s">
        <v>3729</v>
      </c>
      <c r="B872" s="10" t="s">
        <v>3730</v>
      </c>
      <c r="C872" s="11" t="s">
        <v>3721</v>
      </c>
      <c r="D872" s="12" t="n">
        <v>0.0422</v>
      </c>
      <c r="E872" s="12"/>
      <c r="F872" s="12"/>
      <c r="G872" s="10" t="s">
        <v>63</v>
      </c>
      <c r="H872" s="10" t="s">
        <v>87</v>
      </c>
      <c r="I872" s="11" t="s">
        <v>3673</v>
      </c>
      <c r="J872" s="10" t="s">
        <v>66</v>
      </c>
      <c r="K872" s="10" t="s">
        <v>67</v>
      </c>
      <c r="L872" s="10" t="s">
        <v>68</v>
      </c>
      <c r="M872" s="10" t="s">
        <v>69</v>
      </c>
      <c r="N872" s="10"/>
      <c r="O872" s="11" t="s">
        <v>3608</v>
      </c>
      <c r="P872" s="10" t="s">
        <v>71</v>
      </c>
      <c r="Q872" s="11" t="s">
        <v>72</v>
      </c>
      <c r="R872" s="11" t="s">
        <v>73</v>
      </c>
      <c r="S872" s="11" t="s">
        <v>74</v>
      </c>
      <c r="T872" s="11" t="s">
        <v>3731</v>
      </c>
      <c r="U872" s="10" t="n">
        <f aca="false">IF(AND($D872="",$E872="",$F872=""),1,0)</f>
        <v>0</v>
      </c>
      <c r="V872" s="10" t="n">
        <f aca="false">IF(OR($I872="",$I872="—"),1,0)</f>
        <v>0</v>
      </c>
      <c r="W872" s="10" t="n">
        <f aca="false">IF(AND(ISNUMBER($D872),ISNUMBER($E872)),IF($E872&gt;$D872,1,0),0)+IF(AND(ISNUMBER($D872),ISNUMBER($F872)),IF($D872&gt;$F872,1,0),0)+IF(AND(ISNUMBER($E872),ISNUMBER($F872)),IF($E872&gt;$F872,1,0),0)</f>
        <v>0</v>
      </c>
      <c r="X872" s="13" t="s">
        <v>76</v>
      </c>
    </row>
    <row r="873" customFormat="false" ht="15" hidden="false" customHeight="false" outlineLevel="0" collapsed="false">
      <c r="A873" s="10" t="s">
        <v>3732</v>
      </c>
      <c r="B873" s="10" t="s">
        <v>3733</v>
      </c>
      <c r="C873" s="11" t="s">
        <v>3721</v>
      </c>
      <c r="D873" s="12" t="n">
        <v>1.5885</v>
      </c>
      <c r="E873" s="12"/>
      <c r="F873" s="12"/>
      <c r="G873" s="10" t="s">
        <v>63</v>
      </c>
      <c r="H873" s="10" t="s">
        <v>92</v>
      </c>
      <c r="I873" s="11" t="s">
        <v>3673</v>
      </c>
      <c r="J873" s="10" t="s">
        <v>66</v>
      </c>
      <c r="K873" s="10" t="s">
        <v>67</v>
      </c>
      <c r="L873" s="10" t="s">
        <v>68</v>
      </c>
      <c r="M873" s="10" t="s">
        <v>69</v>
      </c>
      <c r="N873" s="10"/>
      <c r="O873" s="11" t="s">
        <v>3428</v>
      </c>
      <c r="P873" s="10" t="s">
        <v>71</v>
      </c>
      <c r="Q873" s="11" t="s">
        <v>72</v>
      </c>
      <c r="R873" s="11" t="s">
        <v>73</v>
      </c>
      <c r="S873" s="11" t="s">
        <v>74</v>
      </c>
      <c r="T873" s="11" t="s">
        <v>3734</v>
      </c>
      <c r="U873" s="10" t="n">
        <f aca="false">IF(AND($D873="",$E873="",$F873=""),1,0)</f>
        <v>0</v>
      </c>
      <c r="V873" s="10" t="n">
        <f aca="false">IF(OR($I873="",$I873="—"),1,0)</f>
        <v>0</v>
      </c>
      <c r="W873" s="10" t="n">
        <f aca="false">IF(AND(ISNUMBER($D873),ISNUMBER($E873)),IF($E873&gt;$D873,1,0),0)+IF(AND(ISNUMBER($D873),ISNUMBER($F873)),IF($D873&gt;$F873,1,0),0)+IF(AND(ISNUMBER($E873),ISNUMBER($F873)),IF($E873&gt;$F873,1,0),0)</f>
        <v>0</v>
      </c>
      <c r="X873" s="13" t="s">
        <v>76</v>
      </c>
    </row>
    <row r="874" customFormat="false" ht="15" hidden="false" customHeight="false" outlineLevel="0" collapsed="false">
      <c r="A874" s="10" t="s">
        <v>3735</v>
      </c>
      <c r="B874" s="10" t="s">
        <v>3736</v>
      </c>
      <c r="C874" s="11" t="s">
        <v>3737</v>
      </c>
      <c r="D874" s="12"/>
      <c r="E874" s="12"/>
      <c r="F874" s="12"/>
      <c r="G874" s="10" t="s">
        <v>63</v>
      </c>
      <c r="H874" s="10" t="s">
        <v>2958</v>
      </c>
      <c r="I874" s="11" t="s">
        <v>3738</v>
      </c>
      <c r="J874" s="10" t="s">
        <v>66</v>
      </c>
      <c r="K874" s="10" t="s">
        <v>67</v>
      </c>
      <c r="L874" s="10" t="s">
        <v>68</v>
      </c>
      <c r="M874" s="10" t="s">
        <v>69</v>
      </c>
      <c r="N874" s="10"/>
      <c r="O874" s="11" t="s">
        <v>3739</v>
      </c>
      <c r="P874" s="10" t="s">
        <v>71</v>
      </c>
      <c r="Q874" s="11" t="s">
        <v>72</v>
      </c>
      <c r="R874" s="11" t="s">
        <v>73</v>
      </c>
      <c r="S874" s="11" t="s">
        <v>74</v>
      </c>
      <c r="T874" s="11" t="s">
        <v>3740</v>
      </c>
      <c r="U874" s="10" t="n">
        <f aca="false">IF(AND($D874="",$E874="",$F874=""),1,0)</f>
        <v>1</v>
      </c>
      <c r="V874" s="10" t="n">
        <f aca="false">IF(OR($I874="",$I874="—"),1,0)</f>
        <v>0</v>
      </c>
      <c r="W874" s="10" t="n">
        <f aca="false">IF(AND(ISNUMBER($D874),ISNUMBER($E874)),IF($E874&gt;$D874,1,0),0)+IF(AND(ISNUMBER($D874),ISNUMBER($F874)),IF($D874&gt;$F874,1,0),0)+IF(AND(ISNUMBER($E874),ISNUMBER($F874)),IF($E874&gt;$F874,1,0),0)</f>
        <v>0</v>
      </c>
      <c r="X874" s="13" t="s">
        <v>76</v>
      </c>
    </row>
    <row r="875" customFormat="false" ht="15" hidden="false" customHeight="false" outlineLevel="0" collapsed="false">
      <c r="A875" s="10" t="s">
        <v>3741</v>
      </c>
      <c r="B875" s="10" t="s">
        <v>3742</v>
      </c>
      <c r="C875" s="11" t="s">
        <v>3743</v>
      </c>
      <c r="D875" s="12" t="n">
        <v>0.0078</v>
      </c>
      <c r="E875" s="12"/>
      <c r="F875" s="12"/>
      <c r="G875" s="10" t="s">
        <v>63</v>
      </c>
      <c r="H875" s="10" t="s">
        <v>64</v>
      </c>
      <c r="I875" s="11" t="s">
        <v>3744</v>
      </c>
      <c r="J875" s="10" t="s">
        <v>66</v>
      </c>
      <c r="K875" s="10" t="s">
        <v>67</v>
      </c>
      <c r="L875" s="10" t="s">
        <v>68</v>
      </c>
      <c r="M875" s="10" t="s">
        <v>69</v>
      </c>
      <c r="N875" s="10"/>
      <c r="O875" s="11" t="s">
        <v>3422</v>
      </c>
      <c r="P875" s="10" t="s">
        <v>71</v>
      </c>
      <c r="Q875" s="11" t="s">
        <v>72</v>
      </c>
      <c r="R875" s="11" t="s">
        <v>73</v>
      </c>
      <c r="S875" s="11" t="s">
        <v>74</v>
      </c>
      <c r="T875" s="11" t="s">
        <v>3745</v>
      </c>
      <c r="U875" s="10" t="n">
        <f aca="false">IF(AND($D875="",$E875="",$F875=""),1,0)</f>
        <v>0</v>
      </c>
      <c r="V875" s="10" t="n">
        <f aca="false">IF(OR($I875="",$I875="—"),1,0)</f>
        <v>0</v>
      </c>
      <c r="W875" s="10" t="n">
        <f aca="false">IF(AND(ISNUMBER($D875),ISNUMBER($E875)),IF($E875&gt;$D875,1,0),0)+IF(AND(ISNUMBER($D875),ISNUMBER($F875)),IF($D875&gt;$F875,1,0),0)+IF(AND(ISNUMBER($E875),ISNUMBER($F875)),IF($E875&gt;$F875,1,0),0)</f>
        <v>0</v>
      </c>
      <c r="X875" s="13" t="s">
        <v>76</v>
      </c>
    </row>
    <row r="876" customFormat="false" ht="15" hidden="false" customHeight="false" outlineLevel="0" collapsed="false">
      <c r="A876" s="10" t="s">
        <v>3746</v>
      </c>
      <c r="B876" s="10" t="s">
        <v>3747</v>
      </c>
      <c r="C876" s="11" t="s">
        <v>3743</v>
      </c>
      <c r="D876" s="12" t="n">
        <v>0.0165</v>
      </c>
      <c r="E876" s="12"/>
      <c r="F876" s="12"/>
      <c r="G876" s="10" t="s">
        <v>63</v>
      </c>
      <c r="H876" s="10" t="s">
        <v>79</v>
      </c>
      <c r="I876" s="11" t="s">
        <v>3744</v>
      </c>
      <c r="J876" s="10" t="s">
        <v>66</v>
      </c>
      <c r="K876" s="10" t="s">
        <v>67</v>
      </c>
      <c r="L876" s="10" t="s">
        <v>68</v>
      </c>
      <c r="M876" s="10" t="s">
        <v>69</v>
      </c>
      <c r="N876" s="10"/>
      <c r="O876" s="11" t="s">
        <v>3422</v>
      </c>
      <c r="P876" s="10" t="s">
        <v>71</v>
      </c>
      <c r="Q876" s="11" t="s">
        <v>72</v>
      </c>
      <c r="R876" s="11" t="s">
        <v>73</v>
      </c>
      <c r="S876" s="11" t="s">
        <v>74</v>
      </c>
      <c r="T876" s="11" t="s">
        <v>3748</v>
      </c>
      <c r="U876" s="10" t="n">
        <f aca="false">IF(AND($D876="",$E876="",$F876=""),1,0)</f>
        <v>0</v>
      </c>
      <c r="V876" s="10" t="n">
        <f aca="false">IF(OR($I876="",$I876="—"),1,0)</f>
        <v>0</v>
      </c>
      <c r="W876" s="10" t="n">
        <f aca="false">IF(AND(ISNUMBER($D876),ISNUMBER($E876)),IF($E876&gt;$D876,1,0),0)+IF(AND(ISNUMBER($D876),ISNUMBER($F876)),IF($D876&gt;$F876,1,0),0)+IF(AND(ISNUMBER($E876),ISNUMBER($F876)),IF($E876&gt;$F876,1,0),0)</f>
        <v>0</v>
      </c>
      <c r="X876" s="13" t="s">
        <v>76</v>
      </c>
    </row>
    <row r="877" customFormat="false" ht="15" hidden="false" customHeight="false" outlineLevel="0" collapsed="false">
      <c r="A877" s="10" t="s">
        <v>3749</v>
      </c>
      <c r="B877" s="10" t="s">
        <v>3750</v>
      </c>
      <c r="C877" s="11" t="s">
        <v>3743</v>
      </c>
      <c r="D877" s="12" t="n">
        <v>0.0405</v>
      </c>
      <c r="E877" s="12"/>
      <c r="F877" s="12"/>
      <c r="G877" s="10" t="s">
        <v>63</v>
      </c>
      <c r="H877" s="10" t="s">
        <v>83</v>
      </c>
      <c r="I877" s="11" t="s">
        <v>3744</v>
      </c>
      <c r="J877" s="10" t="s">
        <v>66</v>
      </c>
      <c r="K877" s="10" t="s">
        <v>67</v>
      </c>
      <c r="L877" s="10" t="s">
        <v>68</v>
      </c>
      <c r="M877" s="10" t="s">
        <v>69</v>
      </c>
      <c r="N877" s="10"/>
      <c r="O877" s="11" t="s">
        <v>3422</v>
      </c>
      <c r="P877" s="10" t="s">
        <v>71</v>
      </c>
      <c r="Q877" s="11" t="s">
        <v>72</v>
      </c>
      <c r="R877" s="11" t="s">
        <v>73</v>
      </c>
      <c r="S877" s="11" t="s">
        <v>74</v>
      </c>
      <c r="T877" s="11" t="s">
        <v>3751</v>
      </c>
      <c r="U877" s="10" t="n">
        <f aca="false">IF(AND($D877="",$E877="",$F877=""),1,0)</f>
        <v>0</v>
      </c>
      <c r="V877" s="10" t="n">
        <f aca="false">IF(OR($I877="",$I877="—"),1,0)</f>
        <v>0</v>
      </c>
      <c r="W877" s="10" t="n">
        <f aca="false">IF(AND(ISNUMBER($D877),ISNUMBER($E877)),IF($E877&gt;$D877,1,0),0)+IF(AND(ISNUMBER($D877),ISNUMBER($F877)),IF($D877&gt;$F877,1,0),0)+IF(AND(ISNUMBER($E877),ISNUMBER($F877)),IF($E877&gt;$F877,1,0),0)</f>
        <v>0</v>
      </c>
      <c r="X877" s="13" t="s">
        <v>76</v>
      </c>
    </row>
    <row r="878" customFormat="false" ht="15" hidden="false" customHeight="false" outlineLevel="0" collapsed="false">
      <c r="A878" s="10" t="s">
        <v>3752</v>
      </c>
      <c r="B878" s="10" t="s">
        <v>3753</v>
      </c>
      <c r="C878" s="11" t="s">
        <v>3743</v>
      </c>
      <c r="D878" s="12" t="n">
        <v>0.0086</v>
      </c>
      <c r="E878" s="12"/>
      <c r="F878" s="12"/>
      <c r="G878" s="10" t="s">
        <v>63</v>
      </c>
      <c r="H878" s="10" t="s">
        <v>87</v>
      </c>
      <c r="I878" s="11" t="s">
        <v>3744</v>
      </c>
      <c r="J878" s="10" t="s">
        <v>66</v>
      </c>
      <c r="K878" s="10" t="s">
        <v>67</v>
      </c>
      <c r="L878" s="10" t="s">
        <v>68</v>
      </c>
      <c r="M878" s="10" t="s">
        <v>69</v>
      </c>
      <c r="N878" s="10"/>
      <c r="O878" s="11" t="s">
        <v>3608</v>
      </c>
      <c r="P878" s="10" t="s">
        <v>71</v>
      </c>
      <c r="Q878" s="11" t="s">
        <v>72</v>
      </c>
      <c r="R878" s="11" t="s">
        <v>73</v>
      </c>
      <c r="S878" s="11" t="s">
        <v>74</v>
      </c>
      <c r="T878" s="11" t="s">
        <v>3754</v>
      </c>
      <c r="U878" s="10" t="n">
        <f aca="false">IF(AND($D878="",$E878="",$F878=""),1,0)</f>
        <v>0</v>
      </c>
      <c r="V878" s="10" t="n">
        <f aca="false">IF(OR($I878="",$I878="—"),1,0)</f>
        <v>0</v>
      </c>
      <c r="W878" s="10" t="n">
        <f aca="false">IF(AND(ISNUMBER($D878),ISNUMBER($E878)),IF($E878&gt;$D878,1,0),0)+IF(AND(ISNUMBER($D878),ISNUMBER($F878)),IF($D878&gt;$F878,1,0),0)+IF(AND(ISNUMBER($E878),ISNUMBER($F878)),IF($E878&gt;$F878,1,0),0)</f>
        <v>0</v>
      </c>
      <c r="X878" s="13" t="s">
        <v>76</v>
      </c>
    </row>
    <row r="879" customFormat="false" ht="15" hidden="false" customHeight="false" outlineLevel="0" collapsed="false">
      <c r="A879" s="10" t="s">
        <v>3755</v>
      </c>
      <c r="B879" s="10" t="s">
        <v>3756</v>
      </c>
      <c r="C879" s="11" t="s">
        <v>3743</v>
      </c>
      <c r="D879" s="12" t="n">
        <v>0.3988</v>
      </c>
      <c r="E879" s="12"/>
      <c r="F879" s="12"/>
      <c r="G879" s="10" t="s">
        <v>63</v>
      </c>
      <c r="H879" s="10" t="s">
        <v>92</v>
      </c>
      <c r="I879" s="11" t="s">
        <v>3744</v>
      </c>
      <c r="J879" s="10" t="s">
        <v>66</v>
      </c>
      <c r="K879" s="10" t="s">
        <v>67</v>
      </c>
      <c r="L879" s="10" t="s">
        <v>68</v>
      </c>
      <c r="M879" s="10" t="s">
        <v>69</v>
      </c>
      <c r="N879" s="10"/>
      <c r="O879" s="11" t="s">
        <v>3428</v>
      </c>
      <c r="P879" s="10" t="s">
        <v>71</v>
      </c>
      <c r="Q879" s="11" t="s">
        <v>72</v>
      </c>
      <c r="R879" s="11" t="s">
        <v>73</v>
      </c>
      <c r="S879" s="11" t="s">
        <v>74</v>
      </c>
      <c r="T879" s="11" t="s">
        <v>3757</v>
      </c>
      <c r="U879" s="10" t="n">
        <f aca="false">IF(AND($D879="",$E879="",$F879=""),1,0)</f>
        <v>0</v>
      </c>
      <c r="V879" s="10" t="n">
        <f aca="false">IF(OR($I879="",$I879="—"),1,0)</f>
        <v>0</v>
      </c>
      <c r="W879" s="10" t="n">
        <f aca="false">IF(AND(ISNUMBER($D879),ISNUMBER($E879)),IF($E879&gt;$D879,1,0),0)+IF(AND(ISNUMBER($D879),ISNUMBER($F879)),IF($D879&gt;$F879,1,0),0)+IF(AND(ISNUMBER($E879),ISNUMBER($F879)),IF($E879&gt;$F879,1,0),0)</f>
        <v>0</v>
      </c>
      <c r="X879" s="13" t="s">
        <v>76</v>
      </c>
    </row>
    <row r="880" customFormat="false" ht="15" hidden="false" customHeight="false" outlineLevel="0" collapsed="false">
      <c r="A880" s="10" t="s">
        <v>3758</v>
      </c>
      <c r="B880" s="10" t="s">
        <v>3759</v>
      </c>
      <c r="C880" s="11" t="s">
        <v>3760</v>
      </c>
      <c r="D880" s="12" t="n">
        <v>6620</v>
      </c>
      <c r="E880" s="12"/>
      <c r="F880" s="12"/>
      <c r="G880" s="11" t="s">
        <v>3761</v>
      </c>
      <c r="H880" s="10" t="s">
        <v>440</v>
      </c>
      <c r="I880" s="11" t="s">
        <v>3762</v>
      </c>
      <c r="J880" s="10" t="s">
        <v>66</v>
      </c>
      <c r="K880" s="10" t="s">
        <v>67</v>
      </c>
      <c r="L880" s="10" t="s">
        <v>68</v>
      </c>
      <c r="M880" s="10" t="s">
        <v>69</v>
      </c>
      <c r="N880" s="10"/>
      <c r="O880" s="11" t="s">
        <v>3428</v>
      </c>
      <c r="P880" s="10" t="s">
        <v>71</v>
      </c>
      <c r="Q880" s="11" t="s">
        <v>72</v>
      </c>
      <c r="R880" s="11" t="s">
        <v>73</v>
      </c>
      <c r="S880" s="11" t="s">
        <v>74</v>
      </c>
      <c r="T880" s="11" t="s">
        <v>3763</v>
      </c>
      <c r="U880" s="10" t="n">
        <f aca="false">IF(AND($D880="",$E880="",$F880=""),1,0)</f>
        <v>0</v>
      </c>
      <c r="V880" s="10" t="n">
        <f aca="false">IF(OR($I880="",$I880="—"),1,0)</f>
        <v>0</v>
      </c>
      <c r="W880" s="10" t="n">
        <f aca="false">IF(AND(ISNUMBER($D880),ISNUMBER($E880)),IF($E880&gt;$D880,1,0),0)+IF(AND(ISNUMBER($D880),ISNUMBER($F880)),IF($D880&gt;$F880,1,0),0)+IF(AND(ISNUMBER($E880),ISNUMBER($F880)),IF($E880&gt;$F880,1,0),0)</f>
        <v>0</v>
      </c>
      <c r="X880" s="13" t="s">
        <v>76</v>
      </c>
    </row>
    <row r="881" customFormat="false" ht="15" hidden="false" customHeight="false" outlineLevel="0" collapsed="false">
      <c r="A881" s="10" t="s">
        <v>3764</v>
      </c>
      <c r="B881" s="10" t="s">
        <v>3765</v>
      </c>
      <c r="C881" s="11" t="s">
        <v>3766</v>
      </c>
      <c r="D881" s="12" t="n">
        <v>0.3165</v>
      </c>
      <c r="E881" s="12"/>
      <c r="F881" s="12"/>
      <c r="G881" s="10" t="s">
        <v>63</v>
      </c>
      <c r="H881" s="10" t="s">
        <v>64</v>
      </c>
      <c r="I881" s="11" t="s">
        <v>3767</v>
      </c>
      <c r="J881" s="10" t="s">
        <v>66</v>
      </c>
      <c r="K881" s="10" t="s">
        <v>67</v>
      </c>
      <c r="L881" s="10" t="s">
        <v>68</v>
      </c>
      <c r="M881" s="10" t="s">
        <v>69</v>
      </c>
      <c r="N881" s="10"/>
      <c r="O881" s="11" t="s">
        <v>3422</v>
      </c>
      <c r="P881" s="10" t="s">
        <v>71</v>
      </c>
      <c r="Q881" s="11" t="s">
        <v>72</v>
      </c>
      <c r="R881" s="11" t="s">
        <v>73</v>
      </c>
      <c r="S881" s="11" t="s">
        <v>74</v>
      </c>
      <c r="T881" s="11" t="s">
        <v>3768</v>
      </c>
      <c r="U881" s="10" t="n">
        <f aca="false">IF(AND($D881="",$E881="",$F881=""),1,0)</f>
        <v>0</v>
      </c>
      <c r="V881" s="10" t="n">
        <f aca="false">IF(OR($I881="",$I881="—"),1,0)</f>
        <v>0</v>
      </c>
      <c r="W881" s="10" t="n">
        <f aca="false">IF(AND(ISNUMBER($D881),ISNUMBER($E881)),IF($E881&gt;$D881,1,0),0)+IF(AND(ISNUMBER($D881),ISNUMBER($F881)),IF($D881&gt;$F881,1,0),0)+IF(AND(ISNUMBER($E881),ISNUMBER($F881)),IF($E881&gt;$F881,1,0),0)</f>
        <v>0</v>
      </c>
      <c r="X881" s="13" t="s">
        <v>76</v>
      </c>
    </row>
    <row r="882" customFormat="false" ht="15" hidden="false" customHeight="false" outlineLevel="0" collapsed="false">
      <c r="A882" s="10" t="s">
        <v>3769</v>
      </c>
      <c r="B882" s="10" t="s">
        <v>3770</v>
      </c>
      <c r="C882" s="11" t="s">
        <v>3766</v>
      </c>
      <c r="D882" s="12" t="n">
        <v>5.0676</v>
      </c>
      <c r="E882" s="12"/>
      <c r="F882" s="12"/>
      <c r="G882" s="10" t="s">
        <v>63</v>
      </c>
      <c r="H882" s="10" t="s">
        <v>79</v>
      </c>
      <c r="I882" s="11" t="s">
        <v>3767</v>
      </c>
      <c r="J882" s="10" t="s">
        <v>66</v>
      </c>
      <c r="K882" s="10" t="s">
        <v>67</v>
      </c>
      <c r="L882" s="10" t="s">
        <v>68</v>
      </c>
      <c r="M882" s="10" t="s">
        <v>69</v>
      </c>
      <c r="N882" s="10"/>
      <c r="O882" s="11" t="s">
        <v>3422</v>
      </c>
      <c r="P882" s="10" t="s">
        <v>71</v>
      </c>
      <c r="Q882" s="11" t="s">
        <v>72</v>
      </c>
      <c r="R882" s="11" t="s">
        <v>73</v>
      </c>
      <c r="S882" s="11" t="s">
        <v>74</v>
      </c>
      <c r="T882" s="11" t="s">
        <v>3771</v>
      </c>
      <c r="U882" s="10" t="n">
        <f aca="false">IF(AND($D882="",$E882="",$F882=""),1,0)</f>
        <v>0</v>
      </c>
      <c r="V882" s="10" t="n">
        <f aca="false">IF(OR($I882="",$I882="—"),1,0)</f>
        <v>0</v>
      </c>
      <c r="W882" s="10" t="n">
        <f aca="false">IF(AND(ISNUMBER($D882),ISNUMBER($E882)),IF($E882&gt;$D882,1,0),0)+IF(AND(ISNUMBER($D882),ISNUMBER($F882)),IF($D882&gt;$F882,1,0),0)+IF(AND(ISNUMBER($E882),ISNUMBER($F882)),IF($E882&gt;$F882,1,0),0)</f>
        <v>0</v>
      </c>
      <c r="X882" s="13" t="s">
        <v>76</v>
      </c>
    </row>
    <row r="883" customFormat="false" ht="15" hidden="false" customHeight="false" outlineLevel="0" collapsed="false">
      <c r="A883" s="10" t="s">
        <v>3772</v>
      </c>
      <c r="B883" s="10" t="s">
        <v>3773</v>
      </c>
      <c r="C883" s="11" t="s">
        <v>3766</v>
      </c>
      <c r="D883" s="12" t="n">
        <v>1.2596</v>
      </c>
      <c r="E883" s="12"/>
      <c r="F883" s="12"/>
      <c r="G883" s="10" t="s">
        <v>63</v>
      </c>
      <c r="H883" s="10" t="s">
        <v>83</v>
      </c>
      <c r="I883" s="11" t="s">
        <v>3767</v>
      </c>
      <c r="J883" s="10" t="s">
        <v>66</v>
      </c>
      <c r="K883" s="10" t="s">
        <v>67</v>
      </c>
      <c r="L883" s="10" t="s">
        <v>68</v>
      </c>
      <c r="M883" s="10" t="s">
        <v>69</v>
      </c>
      <c r="N883" s="10"/>
      <c r="O883" s="11" t="s">
        <v>3422</v>
      </c>
      <c r="P883" s="10" t="s">
        <v>71</v>
      </c>
      <c r="Q883" s="11" t="s">
        <v>72</v>
      </c>
      <c r="R883" s="11" t="s">
        <v>73</v>
      </c>
      <c r="S883" s="11" t="s">
        <v>74</v>
      </c>
      <c r="T883" s="11" t="s">
        <v>3774</v>
      </c>
      <c r="U883" s="10" t="n">
        <f aca="false">IF(AND($D883="",$E883="",$F883=""),1,0)</f>
        <v>0</v>
      </c>
      <c r="V883" s="10" t="n">
        <f aca="false">IF(OR($I883="",$I883="—"),1,0)</f>
        <v>0</v>
      </c>
      <c r="W883" s="10" t="n">
        <f aca="false">IF(AND(ISNUMBER($D883),ISNUMBER($E883)),IF($E883&gt;$D883,1,0),0)+IF(AND(ISNUMBER($D883),ISNUMBER($F883)),IF($D883&gt;$F883,1,0),0)+IF(AND(ISNUMBER($E883),ISNUMBER($F883)),IF($E883&gt;$F883,1,0),0)</f>
        <v>0</v>
      </c>
      <c r="X883" s="13" t="s">
        <v>76</v>
      </c>
    </row>
    <row r="884" customFormat="false" ht="15" hidden="false" customHeight="false" outlineLevel="0" collapsed="false">
      <c r="A884" s="10" t="s">
        <v>3775</v>
      </c>
      <c r="B884" s="10" t="s">
        <v>3776</v>
      </c>
      <c r="C884" s="11" t="s">
        <v>3766</v>
      </c>
      <c r="D884" s="12" t="n">
        <v>0.9839</v>
      </c>
      <c r="E884" s="12"/>
      <c r="F884" s="12"/>
      <c r="G884" s="10" t="s">
        <v>63</v>
      </c>
      <c r="H884" s="10" t="s">
        <v>87</v>
      </c>
      <c r="I884" s="11" t="s">
        <v>3767</v>
      </c>
      <c r="J884" s="10" t="s">
        <v>66</v>
      </c>
      <c r="K884" s="10" t="s">
        <v>67</v>
      </c>
      <c r="L884" s="10" t="s">
        <v>68</v>
      </c>
      <c r="M884" s="10" t="s">
        <v>69</v>
      </c>
      <c r="N884" s="10"/>
      <c r="O884" s="11" t="s">
        <v>3608</v>
      </c>
      <c r="P884" s="10" t="s">
        <v>71</v>
      </c>
      <c r="Q884" s="11" t="s">
        <v>72</v>
      </c>
      <c r="R884" s="11" t="s">
        <v>73</v>
      </c>
      <c r="S884" s="11" t="s">
        <v>74</v>
      </c>
      <c r="T884" s="11" t="s">
        <v>3777</v>
      </c>
      <c r="U884" s="10" t="n">
        <f aca="false">IF(AND($D884="",$E884="",$F884=""),1,0)</f>
        <v>0</v>
      </c>
      <c r="V884" s="10" t="n">
        <f aca="false">IF(OR($I884="",$I884="—"),1,0)</f>
        <v>0</v>
      </c>
      <c r="W884" s="10" t="n">
        <f aca="false">IF(AND(ISNUMBER($D884),ISNUMBER($E884)),IF($E884&gt;$D884,1,0),0)+IF(AND(ISNUMBER($D884),ISNUMBER($F884)),IF($D884&gt;$F884,1,0),0)+IF(AND(ISNUMBER($E884),ISNUMBER($F884)),IF($E884&gt;$F884,1,0),0)</f>
        <v>0</v>
      </c>
      <c r="X884" s="13" t="s">
        <v>76</v>
      </c>
    </row>
    <row r="885" customFormat="false" ht="15" hidden="false" customHeight="false" outlineLevel="0" collapsed="false">
      <c r="A885" s="10" t="s">
        <v>3778</v>
      </c>
      <c r="B885" s="10" t="s">
        <v>3779</v>
      </c>
      <c r="C885" s="11" t="s">
        <v>3766</v>
      </c>
      <c r="D885" s="12" t="n">
        <v>0.1274</v>
      </c>
      <c r="E885" s="12"/>
      <c r="F885" s="12"/>
      <c r="G885" s="10" t="s">
        <v>63</v>
      </c>
      <c r="H885" s="10" t="s">
        <v>92</v>
      </c>
      <c r="I885" s="11" t="s">
        <v>3767</v>
      </c>
      <c r="J885" s="10" t="s">
        <v>66</v>
      </c>
      <c r="K885" s="10" t="s">
        <v>67</v>
      </c>
      <c r="L885" s="10" t="s">
        <v>68</v>
      </c>
      <c r="M885" s="10" t="s">
        <v>69</v>
      </c>
      <c r="N885" s="10"/>
      <c r="O885" s="11" t="s">
        <v>3428</v>
      </c>
      <c r="P885" s="10" t="s">
        <v>71</v>
      </c>
      <c r="Q885" s="11" t="s">
        <v>72</v>
      </c>
      <c r="R885" s="11" t="s">
        <v>73</v>
      </c>
      <c r="S885" s="11" t="s">
        <v>74</v>
      </c>
      <c r="T885" s="11" t="s">
        <v>3780</v>
      </c>
      <c r="U885" s="10" t="n">
        <f aca="false">IF(AND($D885="",$E885="",$F885=""),1,0)</f>
        <v>0</v>
      </c>
      <c r="V885" s="10" t="n">
        <f aca="false">IF(OR($I885="",$I885="—"),1,0)</f>
        <v>0</v>
      </c>
      <c r="W885" s="10" t="n">
        <f aca="false">IF(AND(ISNUMBER($D885),ISNUMBER($E885)),IF($E885&gt;$D885,1,0),0)+IF(AND(ISNUMBER($D885),ISNUMBER($F885)),IF($D885&gt;$F885,1,0),0)+IF(AND(ISNUMBER($E885),ISNUMBER($F885)),IF($E885&gt;$F885,1,0),0)</f>
        <v>0</v>
      </c>
      <c r="X885" s="13" t="s">
        <v>76</v>
      </c>
    </row>
    <row r="886" customFormat="false" ht="15" hidden="false" customHeight="false" outlineLevel="0" collapsed="false">
      <c r="A886" s="10" t="s">
        <v>3781</v>
      </c>
      <c r="B886" s="10" t="s">
        <v>3782</v>
      </c>
      <c r="C886" s="11" t="s">
        <v>3783</v>
      </c>
      <c r="D886" s="12" t="n">
        <v>0</v>
      </c>
      <c r="E886" s="12"/>
      <c r="F886" s="12"/>
      <c r="G886" s="10" t="s">
        <v>63</v>
      </c>
      <c r="H886" s="10" t="s">
        <v>64</v>
      </c>
      <c r="I886" s="11" t="s">
        <v>3767</v>
      </c>
      <c r="J886" s="10" t="s">
        <v>66</v>
      </c>
      <c r="K886" s="10" t="s">
        <v>67</v>
      </c>
      <c r="L886" s="10" t="s">
        <v>68</v>
      </c>
      <c r="M886" s="10" t="s">
        <v>69</v>
      </c>
      <c r="N886" s="10"/>
      <c r="O886" s="11" t="s">
        <v>3422</v>
      </c>
      <c r="P886" s="10" t="s">
        <v>71</v>
      </c>
      <c r="Q886" s="11" t="s">
        <v>72</v>
      </c>
      <c r="R886" s="11" t="s">
        <v>73</v>
      </c>
      <c r="S886" s="11" t="s">
        <v>74</v>
      </c>
      <c r="T886" s="11" t="s">
        <v>3784</v>
      </c>
      <c r="U886" s="10" t="n">
        <f aca="false">IF(AND($D886="",$E886="",$F886=""),1,0)</f>
        <v>0</v>
      </c>
      <c r="V886" s="10" t="n">
        <f aca="false">IF(OR($I886="",$I886="—"),1,0)</f>
        <v>0</v>
      </c>
      <c r="W886" s="10" t="n">
        <f aca="false">IF(AND(ISNUMBER($D886),ISNUMBER($E886)),IF($E886&gt;$D886,1,0),0)+IF(AND(ISNUMBER($D886),ISNUMBER($F886)),IF($D886&gt;$F886,1,0),0)+IF(AND(ISNUMBER($E886),ISNUMBER($F886)),IF($E886&gt;$F886,1,0),0)</f>
        <v>0</v>
      </c>
      <c r="X886" s="13" t="s">
        <v>76</v>
      </c>
    </row>
    <row r="887" customFormat="false" ht="15" hidden="false" customHeight="false" outlineLevel="0" collapsed="false">
      <c r="A887" s="10" t="s">
        <v>3785</v>
      </c>
      <c r="B887" s="10" t="s">
        <v>3786</v>
      </c>
      <c r="C887" s="11" t="s">
        <v>3783</v>
      </c>
      <c r="D887" s="12" t="n">
        <v>0.0181</v>
      </c>
      <c r="E887" s="12"/>
      <c r="F887" s="12"/>
      <c r="G887" s="10" t="s">
        <v>63</v>
      </c>
      <c r="H887" s="10" t="s">
        <v>79</v>
      </c>
      <c r="I887" s="11" t="s">
        <v>3767</v>
      </c>
      <c r="J887" s="10" t="s">
        <v>66</v>
      </c>
      <c r="K887" s="10" t="s">
        <v>67</v>
      </c>
      <c r="L887" s="10" t="s">
        <v>68</v>
      </c>
      <c r="M887" s="10" t="s">
        <v>69</v>
      </c>
      <c r="N887" s="10"/>
      <c r="O887" s="11" t="s">
        <v>3422</v>
      </c>
      <c r="P887" s="10" t="s">
        <v>71</v>
      </c>
      <c r="Q887" s="11" t="s">
        <v>72</v>
      </c>
      <c r="R887" s="11" t="s">
        <v>73</v>
      </c>
      <c r="S887" s="11" t="s">
        <v>74</v>
      </c>
      <c r="T887" s="11" t="s">
        <v>3787</v>
      </c>
      <c r="U887" s="10" t="n">
        <f aca="false">IF(AND($D887="",$E887="",$F887=""),1,0)</f>
        <v>0</v>
      </c>
      <c r="V887" s="10" t="n">
        <f aca="false">IF(OR($I887="",$I887="—"),1,0)</f>
        <v>0</v>
      </c>
      <c r="W887" s="10" t="n">
        <f aca="false">IF(AND(ISNUMBER($D887),ISNUMBER($E887)),IF($E887&gt;$D887,1,0),0)+IF(AND(ISNUMBER($D887),ISNUMBER($F887)),IF($D887&gt;$F887,1,0),0)+IF(AND(ISNUMBER($E887),ISNUMBER($F887)),IF($E887&gt;$F887,1,0),0)</f>
        <v>0</v>
      </c>
      <c r="X887" s="13" t="s">
        <v>76</v>
      </c>
    </row>
    <row r="888" customFormat="false" ht="15" hidden="false" customHeight="false" outlineLevel="0" collapsed="false">
      <c r="A888" s="10" t="s">
        <v>3788</v>
      </c>
      <c r="B888" s="10" t="s">
        <v>3789</v>
      </c>
      <c r="C888" s="11" t="s">
        <v>3783</v>
      </c>
      <c r="D888" s="12" t="n">
        <v>0.068</v>
      </c>
      <c r="E888" s="12"/>
      <c r="F888" s="12"/>
      <c r="G888" s="10" t="s">
        <v>63</v>
      </c>
      <c r="H888" s="10" t="s">
        <v>83</v>
      </c>
      <c r="I888" s="11" t="s">
        <v>3767</v>
      </c>
      <c r="J888" s="10" t="s">
        <v>66</v>
      </c>
      <c r="K888" s="10" t="s">
        <v>67</v>
      </c>
      <c r="L888" s="10" t="s">
        <v>68</v>
      </c>
      <c r="M888" s="10" t="s">
        <v>69</v>
      </c>
      <c r="N888" s="10"/>
      <c r="O888" s="11" t="s">
        <v>3422</v>
      </c>
      <c r="P888" s="10" t="s">
        <v>71</v>
      </c>
      <c r="Q888" s="11" t="s">
        <v>72</v>
      </c>
      <c r="R888" s="11" t="s">
        <v>73</v>
      </c>
      <c r="S888" s="11" t="s">
        <v>74</v>
      </c>
      <c r="T888" s="11" t="s">
        <v>3790</v>
      </c>
      <c r="U888" s="10" t="n">
        <f aca="false">IF(AND($D888="",$E888="",$F888=""),1,0)</f>
        <v>0</v>
      </c>
      <c r="V888" s="10" t="n">
        <f aca="false">IF(OR($I888="",$I888="—"),1,0)</f>
        <v>0</v>
      </c>
      <c r="W888" s="10" t="n">
        <f aca="false">IF(AND(ISNUMBER($D888),ISNUMBER($E888)),IF($E888&gt;$D888,1,0),0)+IF(AND(ISNUMBER($D888),ISNUMBER($F888)),IF($D888&gt;$F888,1,0),0)+IF(AND(ISNUMBER($E888),ISNUMBER($F888)),IF($E888&gt;$F888,1,0),0)</f>
        <v>0</v>
      </c>
      <c r="X888" s="13" t="s">
        <v>76</v>
      </c>
    </row>
    <row r="889" customFormat="false" ht="15" hidden="false" customHeight="false" outlineLevel="0" collapsed="false">
      <c r="A889" s="10" t="s">
        <v>3791</v>
      </c>
      <c r="B889" s="10" t="s">
        <v>3792</v>
      </c>
      <c r="C889" s="11" t="s">
        <v>3783</v>
      </c>
      <c r="D889" s="12" t="n">
        <v>0.0615</v>
      </c>
      <c r="E889" s="12"/>
      <c r="F889" s="12"/>
      <c r="G889" s="10" t="s">
        <v>63</v>
      </c>
      <c r="H889" s="10" t="s">
        <v>87</v>
      </c>
      <c r="I889" s="11" t="s">
        <v>3767</v>
      </c>
      <c r="J889" s="10" t="s">
        <v>66</v>
      </c>
      <c r="K889" s="10" t="s">
        <v>67</v>
      </c>
      <c r="L889" s="10" t="s">
        <v>68</v>
      </c>
      <c r="M889" s="10" t="s">
        <v>69</v>
      </c>
      <c r="N889" s="10"/>
      <c r="O889" s="11" t="s">
        <v>3608</v>
      </c>
      <c r="P889" s="10" t="s">
        <v>71</v>
      </c>
      <c r="Q889" s="11" t="s">
        <v>72</v>
      </c>
      <c r="R889" s="11" t="s">
        <v>73</v>
      </c>
      <c r="S889" s="11" t="s">
        <v>74</v>
      </c>
      <c r="T889" s="11" t="s">
        <v>3793</v>
      </c>
      <c r="U889" s="10" t="n">
        <f aca="false">IF(AND($D889="",$E889="",$F889=""),1,0)</f>
        <v>0</v>
      </c>
      <c r="V889" s="10" t="n">
        <f aca="false">IF(OR($I889="",$I889="—"),1,0)</f>
        <v>0</v>
      </c>
      <c r="W889" s="10" t="n">
        <f aca="false">IF(AND(ISNUMBER($D889),ISNUMBER($E889)),IF($E889&gt;$D889,1,0),0)+IF(AND(ISNUMBER($D889),ISNUMBER($F889)),IF($D889&gt;$F889,1,0),0)+IF(AND(ISNUMBER($E889),ISNUMBER($F889)),IF($E889&gt;$F889,1,0),0)</f>
        <v>0</v>
      </c>
      <c r="X889" s="13" t="s">
        <v>76</v>
      </c>
    </row>
    <row r="890" customFormat="false" ht="15" hidden="false" customHeight="false" outlineLevel="0" collapsed="false">
      <c r="A890" s="10" t="s">
        <v>3794</v>
      </c>
      <c r="B890" s="10" t="s">
        <v>3795</v>
      </c>
      <c r="C890" s="11" t="s">
        <v>3783</v>
      </c>
      <c r="D890" s="12" t="n">
        <v>0.1117</v>
      </c>
      <c r="E890" s="12"/>
      <c r="F890" s="12"/>
      <c r="G890" s="10" t="s">
        <v>63</v>
      </c>
      <c r="H890" s="10" t="s">
        <v>92</v>
      </c>
      <c r="I890" s="11" t="s">
        <v>3767</v>
      </c>
      <c r="J890" s="10" t="s">
        <v>66</v>
      </c>
      <c r="K890" s="10" t="s">
        <v>67</v>
      </c>
      <c r="L890" s="10" t="s">
        <v>68</v>
      </c>
      <c r="M890" s="10" t="s">
        <v>69</v>
      </c>
      <c r="N890" s="10"/>
      <c r="O890" s="11" t="s">
        <v>3428</v>
      </c>
      <c r="P890" s="10" t="s">
        <v>71</v>
      </c>
      <c r="Q890" s="11" t="s">
        <v>72</v>
      </c>
      <c r="R890" s="11" t="s">
        <v>73</v>
      </c>
      <c r="S890" s="11" t="s">
        <v>74</v>
      </c>
      <c r="T890" s="11" t="s">
        <v>3796</v>
      </c>
      <c r="U890" s="10" t="n">
        <f aca="false">IF(AND($D890="",$E890="",$F890=""),1,0)</f>
        <v>0</v>
      </c>
      <c r="V890" s="10" t="n">
        <f aca="false">IF(OR($I890="",$I890="—"),1,0)</f>
        <v>0</v>
      </c>
      <c r="W890" s="10" t="n">
        <f aca="false">IF(AND(ISNUMBER($D890),ISNUMBER($E890)),IF($E890&gt;$D890,1,0),0)+IF(AND(ISNUMBER($D890),ISNUMBER($F890)),IF($D890&gt;$F890,1,0),0)+IF(AND(ISNUMBER($E890),ISNUMBER($F890)),IF($E890&gt;$F890,1,0),0)</f>
        <v>0</v>
      </c>
      <c r="X890" s="13" t="s">
        <v>76</v>
      </c>
    </row>
    <row r="891" customFormat="false" ht="15" hidden="false" customHeight="false" outlineLevel="0" collapsed="false">
      <c r="A891" s="10" t="s">
        <v>3797</v>
      </c>
      <c r="B891" s="10" t="s">
        <v>3798</v>
      </c>
      <c r="C891" s="11" t="s">
        <v>3799</v>
      </c>
      <c r="D891" s="12" t="n">
        <v>0.3165</v>
      </c>
      <c r="E891" s="12"/>
      <c r="F891" s="12"/>
      <c r="G891" s="10" t="s">
        <v>63</v>
      </c>
      <c r="H891" s="10" t="s">
        <v>64</v>
      </c>
      <c r="I891" s="11" t="s">
        <v>3519</v>
      </c>
      <c r="J891" s="10" t="s">
        <v>66</v>
      </c>
      <c r="K891" s="10" t="s">
        <v>67</v>
      </c>
      <c r="L891" s="10" t="s">
        <v>68</v>
      </c>
      <c r="M891" s="10" t="s">
        <v>69</v>
      </c>
      <c r="N891" s="10"/>
      <c r="O891" s="11" t="s">
        <v>3422</v>
      </c>
      <c r="P891" s="10" t="s">
        <v>71</v>
      </c>
      <c r="Q891" s="11" t="s">
        <v>72</v>
      </c>
      <c r="R891" s="11" t="s">
        <v>73</v>
      </c>
      <c r="S891" s="11" t="s">
        <v>74</v>
      </c>
      <c r="T891" s="11" t="s">
        <v>3800</v>
      </c>
      <c r="U891" s="10" t="n">
        <f aca="false">IF(AND($D891="",$E891="",$F891=""),1,0)</f>
        <v>0</v>
      </c>
      <c r="V891" s="10" t="n">
        <f aca="false">IF(OR($I891="",$I891="—"),1,0)</f>
        <v>0</v>
      </c>
      <c r="W891" s="10" t="n">
        <f aca="false">IF(AND(ISNUMBER($D891),ISNUMBER($E891)),IF($E891&gt;$D891,1,0),0)+IF(AND(ISNUMBER($D891),ISNUMBER($F891)),IF($D891&gt;$F891,1,0),0)+IF(AND(ISNUMBER($E891),ISNUMBER($F891)),IF($E891&gt;$F891,1,0),0)</f>
        <v>0</v>
      </c>
      <c r="X891" s="13" t="s">
        <v>76</v>
      </c>
    </row>
    <row r="892" customFormat="false" ht="15" hidden="false" customHeight="false" outlineLevel="0" collapsed="false">
      <c r="A892" s="10" t="s">
        <v>3801</v>
      </c>
      <c r="B892" s="10" t="s">
        <v>3802</v>
      </c>
      <c r="C892" s="11" t="s">
        <v>3799</v>
      </c>
      <c r="D892" s="12" t="n">
        <v>5.0857</v>
      </c>
      <c r="E892" s="12"/>
      <c r="F892" s="12"/>
      <c r="G892" s="10" t="s">
        <v>63</v>
      </c>
      <c r="H892" s="10" t="s">
        <v>79</v>
      </c>
      <c r="I892" s="11" t="s">
        <v>3519</v>
      </c>
      <c r="J892" s="10" t="s">
        <v>66</v>
      </c>
      <c r="K892" s="10" t="s">
        <v>67</v>
      </c>
      <c r="L892" s="10" t="s">
        <v>68</v>
      </c>
      <c r="M892" s="10" t="s">
        <v>69</v>
      </c>
      <c r="N892" s="10"/>
      <c r="O892" s="11" t="s">
        <v>3422</v>
      </c>
      <c r="P892" s="10" t="s">
        <v>71</v>
      </c>
      <c r="Q892" s="11" t="s">
        <v>72</v>
      </c>
      <c r="R892" s="11" t="s">
        <v>73</v>
      </c>
      <c r="S892" s="11" t="s">
        <v>74</v>
      </c>
      <c r="T892" s="11" t="s">
        <v>3803</v>
      </c>
      <c r="U892" s="10" t="n">
        <f aca="false">IF(AND($D892="",$E892="",$F892=""),1,0)</f>
        <v>0</v>
      </c>
      <c r="V892" s="10" t="n">
        <f aca="false">IF(OR($I892="",$I892="—"),1,0)</f>
        <v>0</v>
      </c>
      <c r="W892" s="10" t="n">
        <f aca="false">IF(AND(ISNUMBER($D892),ISNUMBER($E892)),IF($E892&gt;$D892,1,0),0)+IF(AND(ISNUMBER($D892),ISNUMBER($F892)),IF($D892&gt;$F892,1,0),0)+IF(AND(ISNUMBER($E892),ISNUMBER($F892)),IF($E892&gt;$F892,1,0),0)</f>
        <v>0</v>
      </c>
      <c r="X892" s="13" t="s">
        <v>76</v>
      </c>
    </row>
    <row r="893" customFormat="false" ht="15" hidden="false" customHeight="false" outlineLevel="0" collapsed="false">
      <c r="A893" s="10" t="s">
        <v>3804</v>
      </c>
      <c r="B893" s="10" t="s">
        <v>3805</v>
      </c>
      <c r="C893" s="11" t="s">
        <v>3799</v>
      </c>
      <c r="D893" s="12" t="n">
        <v>1.3276</v>
      </c>
      <c r="E893" s="12"/>
      <c r="F893" s="12"/>
      <c r="G893" s="10" t="s">
        <v>63</v>
      </c>
      <c r="H893" s="10" t="s">
        <v>83</v>
      </c>
      <c r="I893" s="11" t="s">
        <v>3519</v>
      </c>
      <c r="J893" s="10" t="s">
        <v>66</v>
      </c>
      <c r="K893" s="10" t="s">
        <v>67</v>
      </c>
      <c r="L893" s="10" t="s">
        <v>68</v>
      </c>
      <c r="M893" s="10" t="s">
        <v>69</v>
      </c>
      <c r="N893" s="10"/>
      <c r="O893" s="11" t="s">
        <v>3422</v>
      </c>
      <c r="P893" s="10" t="s">
        <v>71</v>
      </c>
      <c r="Q893" s="11" t="s">
        <v>72</v>
      </c>
      <c r="R893" s="11" t="s">
        <v>73</v>
      </c>
      <c r="S893" s="11" t="s">
        <v>74</v>
      </c>
      <c r="T893" s="11" t="s">
        <v>3806</v>
      </c>
      <c r="U893" s="10" t="n">
        <f aca="false">IF(AND($D893="",$E893="",$F893=""),1,0)</f>
        <v>0</v>
      </c>
      <c r="V893" s="10" t="n">
        <f aca="false">IF(OR($I893="",$I893="—"),1,0)</f>
        <v>0</v>
      </c>
      <c r="W893" s="10" t="n">
        <f aca="false">IF(AND(ISNUMBER($D893),ISNUMBER($E893)),IF($E893&gt;$D893,1,0),0)+IF(AND(ISNUMBER($D893),ISNUMBER($F893)),IF($D893&gt;$F893,1,0),0)+IF(AND(ISNUMBER($E893),ISNUMBER($F893)),IF($E893&gt;$F893,1,0),0)</f>
        <v>0</v>
      </c>
      <c r="X893" s="13" t="s">
        <v>76</v>
      </c>
    </row>
    <row r="894" customFormat="false" ht="15" hidden="false" customHeight="false" outlineLevel="0" collapsed="false">
      <c r="A894" s="10" t="s">
        <v>3807</v>
      </c>
      <c r="B894" s="10" t="s">
        <v>3808</v>
      </c>
      <c r="C894" s="11" t="s">
        <v>3799</v>
      </c>
      <c r="D894" s="12" t="n">
        <v>1.0454</v>
      </c>
      <c r="E894" s="12"/>
      <c r="F894" s="12"/>
      <c r="G894" s="10" t="s">
        <v>63</v>
      </c>
      <c r="H894" s="10" t="s">
        <v>87</v>
      </c>
      <c r="I894" s="11" t="s">
        <v>3519</v>
      </c>
      <c r="J894" s="10" t="s">
        <v>66</v>
      </c>
      <c r="K894" s="10" t="s">
        <v>67</v>
      </c>
      <c r="L894" s="10" t="s">
        <v>68</v>
      </c>
      <c r="M894" s="10" t="s">
        <v>69</v>
      </c>
      <c r="N894" s="10"/>
      <c r="O894" s="11" t="s">
        <v>3608</v>
      </c>
      <c r="P894" s="10" t="s">
        <v>71</v>
      </c>
      <c r="Q894" s="11" t="s">
        <v>72</v>
      </c>
      <c r="R894" s="11" t="s">
        <v>73</v>
      </c>
      <c r="S894" s="11" t="s">
        <v>74</v>
      </c>
      <c r="T894" s="11" t="s">
        <v>3809</v>
      </c>
      <c r="U894" s="10" t="n">
        <f aca="false">IF(AND($D894="",$E894="",$F894=""),1,0)</f>
        <v>0</v>
      </c>
      <c r="V894" s="10" t="n">
        <f aca="false">IF(OR($I894="",$I894="—"),1,0)</f>
        <v>0</v>
      </c>
      <c r="W894" s="10" t="n">
        <f aca="false">IF(AND(ISNUMBER($D894),ISNUMBER($E894)),IF($E894&gt;$D894,1,0),0)+IF(AND(ISNUMBER($D894),ISNUMBER($F894)),IF($D894&gt;$F894,1,0),0)+IF(AND(ISNUMBER($E894),ISNUMBER($F894)),IF($E894&gt;$F894,1,0),0)</f>
        <v>0</v>
      </c>
      <c r="X894" s="13" t="s">
        <v>76</v>
      </c>
    </row>
    <row r="895" customFormat="false" ht="15" hidden="false" customHeight="false" outlineLevel="0" collapsed="false">
      <c r="A895" s="10" t="s">
        <v>3810</v>
      </c>
      <c r="B895" s="10" t="s">
        <v>3811</v>
      </c>
      <c r="C895" s="11" t="s">
        <v>3799</v>
      </c>
      <c r="D895" s="12" t="n">
        <v>0.2391</v>
      </c>
      <c r="E895" s="12"/>
      <c r="F895" s="12"/>
      <c r="G895" s="10" t="s">
        <v>63</v>
      </c>
      <c r="H895" s="10" t="s">
        <v>92</v>
      </c>
      <c r="I895" s="11" t="s">
        <v>3519</v>
      </c>
      <c r="J895" s="10" t="s">
        <v>66</v>
      </c>
      <c r="K895" s="10" t="s">
        <v>67</v>
      </c>
      <c r="L895" s="10" t="s">
        <v>68</v>
      </c>
      <c r="M895" s="10" t="s">
        <v>69</v>
      </c>
      <c r="N895" s="10"/>
      <c r="O895" s="11" t="s">
        <v>3428</v>
      </c>
      <c r="P895" s="10" t="s">
        <v>71</v>
      </c>
      <c r="Q895" s="11" t="s">
        <v>72</v>
      </c>
      <c r="R895" s="11" t="s">
        <v>73</v>
      </c>
      <c r="S895" s="11" t="s">
        <v>74</v>
      </c>
      <c r="T895" s="11" t="s">
        <v>3812</v>
      </c>
      <c r="U895" s="10" t="n">
        <f aca="false">IF(AND($D895="",$E895="",$F895=""),1,0)</f>
        <v>0</v>
      </c>
      <c r="V895" s="10" t="n">
        <f aca="false">IF(OR($I895="",$I895="—"),1,0)</f>
        <v>0</v>
      </c>
      <c r="W895" s="10" t="n">
        <f aca="false">IF(AND(ISNUMBER($D895),ISNUMBER($E895)),IF($E895&gt;$D895,1,0),0)+IF(AND(ISNUMBER($D895),ISNUMBER($F895)),IF($D895&gt;$F895,1,0),0)+IF(AND(ISNUMBER($E895),ISNUMBER($F895)),IF($E895&gt;$F895,1,0),0)</f>
        <v>0</v>
      </c>
      <c r="X895" s="13" t="s">
        <v>76</v>
      </c>
    </row>
    <row r="896" customFormat="false" ht="15" hidden="false" customHeight="false" outlineLevel="0" collapsed="false">
      <c r="A896" s="10" t="s">
        <v>3813</v>
      </c>
      <c r="B896" s="10" t="s">
        <v>3814</v>
      </c>
      <c r="C896" s="11" t="s">
        <v>3815</v>
      </c>
      <c r="D896" s="12" t="n">
        <v>0.3165</v>
      </c>
      <c r="E896" s="12"/>
      <c r="F896" s="12"/>
      <c r="G896" s="10" t="s">
        <v>63</v>
      </c>
      <c r="H896" s="10" t="s">
        <v>64</v>
      </c>
      <c r="I896" s="11" t="s">
        <v>3816</v>
      </c>
      <c r="J896" s="10" t="s">
        <v>66</v>
      </c>
      <c r="K896" s="10" t="s">
        <v>67</v>
      </c>
      <c r="L896" s="10" t="s">
        <v>68</v>
      </c>
      <c r="M896" s="10" t="s">
        <v>69</v>
      </c>
      <c r="N896" s="10"/>
      <c r="O896" s="11" t="s">
        <v>3422</v>
      </c>
      <c r="P896" s="10" t="s">
        <v>71</v>
      </c>
      <c r="Q896" s="11" t="s">
        <v>72</v>
      </c>
      <c r="R896" s="11" t="s">
        <v>73</v>
      </c>
      <c r="S896" s="11" t="s">
        <v>74</v>
      </c>
      <c r="T896" s="11" t="s">
        <v>3817</v>
      </c>
      <c r="U896" s="10" t="n">
        <f aca="false">IF(AND($D896="",$E896="",$F896=""),1,0)</f>
        <v>0</v>
      </c>
      <c r="V896" s="10" t="n">
        <f aca="false">IF(OR($I896="",$I896="—"),1,0)</f>
        <v>0</v>
      </c>
      <c r="W896" s="10" t="n">
        <f aca="false">IF(AND(ISNUMBER($D896),ISNUMBER($E896)),IF($E896&gt;$D896,1,0),0)+IF(AND(ISNUMBER($D896),ISNUMBER($F896)),IF($D896&gt;$F896,1,0),0)+IF(AND(ISNUMBER($E896),ISNUMBER($F896)),IF($E896&gt;$F896,1,0),0)</f>
        <v>0</v>
      </c>
      <c r="X896" s="13" t="s">
        <v>76</v>
      </c>
    </row>
    <row r="897" customFormat="false" ht="15" hidden="false" customHeight="false" outlineLevel="0" collapsed="false">
      <c r="A897" s="10" t="s">
        <v>3818</v>
      </c>
      <c r="B897" s="10" t="s">
        <v>3819</v>
      </c>
      <c r="C897" s="11" t="s">
        <v>3815</v>
      </c>
      <c r="D897" s="12" t="n">
        <v>5.0046</v>
      </c>
      <c r="E897" s="12"/>
      <c r="F897" s="12"/>
      <c r="G897" s="10" t="s">
        <v>63</v>
      </c>
      <c r="H897" s="10" t="s">
        <v>79</v>
      </c>
      <c r="I897" s="11" t="s">
        <v>3816</v>
      </c>
      <c r="J897" s="10" t="s">
        <v>66</v>
      </c>
      <c r="K897" s="10" t="s">
        <v>67</v>
      </c>
      <c r="L897" s="10" t="s">
        <v>68</v>
      </c>
      <c r="M897" s="10" t="s">
        <v>69</v>
      </c>
      <c r="N897" s="10"/>
      <c r="O897" s="11" t="s">
        <v>3422</v>
      </c>
      <c r="P897" s="10" t="s">
        <v>71</v>
      </c>
      <c r="Q897" s="11" t="s">
        <v>72</v>
      </c>
      <c r="R897" s="11" t="s">
        <v>73</v>
      </c>
      <c r="S897" s="11" t="s">
        <v>74</v>
      </c>
      <c r="T897" s="11" t="s">
        <v>3820</v>
      </c>
      <c r="U897" s="10" t="n">
        <f aca="false">IF(AND($D897="",$E897="",$F897=""),1,0)</f>
        <v>0</v>
      </c>
      <c r="V897" s="10" t="n">
        <f aca="false">IF(OR($I897="",$I897="—"),1,0)</f>
        <v>0</v>
      </c>
      <c r="W897" s="10" t="n">
        <f aca="false">IF(AND(ISNUMBER($D897),ISNUMBER($E897)),IF($E897&gt;$D897,1,0),0)+IF(AND(ISNUMBER($D897),ISNUMBER($F897)),IF($D897&gt;$F897,1,0),0)+IF(AND(ISNUMBER($E897),ISNUMBER($F897)),IF($E897&gt;$F897,1,0),0)</f>
        <v>0</v>
      </c>
      <c r="X897" s="13" t="s">
        <v>76</v>
      </c>
    </row>
    <row r="898" customFormat="false" ht="15" hidden="false" customHeight="false" outlineLevel="0" collapsed="false">
      <c r="A898" s="10" t="s">
        <v>3821</v>
      </c>
      <c r="B898" s="10" t="s">
        <v>3822</v>
      </c>
      <c r="C898" s="11" t="s">
        <v>3815</v>
      </c>
      <c r="D898" s="12" t="n">
        <v>1.176</v>
      </c>
      <c r="E898" s="12"/>
      <c r="F898" s="12"/>
      <c r="G898" s="10" t="s">
        <v>63</v>
      </c>
      <c r="H898" s="10" t="s">
        <v>83</v>
      </c>
      <c r="I898" s="11" t="s">
        <v>3816</v>
      </c>
      <c r="J898" s="10" t="s">
        <v>66</v>
      </c>
      <c r="K898" s="10" t="s">
        <v>67</v>
      </c>
      <c r="L898" s="10" t="s">
        <v>68</v>
      </c>
      <c r="M898" s="10" t="s">
        <v>69</v>
      </c>
      <c r="N898" s="10"/>
      <c r="O898" s="11" t="s">
        <v>3422</v>
      </c>
      <c r="P898" s="10" t="s">
        <v>71</v>
      </c>
      <c r="Q898" s="11" t="s">
        <v>72</v>
      </c>
      <c r="R898" s="11" t="s">
        <v>73</v>
      </c>
      <c r="S898" s="11" t="s">
        <v>74</v>
      </c>
      <c r="T898" s="11" t="s">
        <v>3823</v>
      </c>
      <c r="U898" s="10" t="n">
        <f aca="false">IF(AND($D898="",$E898="",$F898=""),1,0)</f>
        <v>0</v>
      </c>
      <c r="V898" s="10" t="n">
        <f aca="false">IF(OR($I898="",$I898="—"),1,0)</f>
        <v>0</v>
      </c>
      <c r="W898" s="10" t="n">
        <f aca="false">IF(AND(ISNUMBER($D898),ISNUMBER($E898)),IF($E898&gt;$D898,1,0),0)+IF(AND(ISNUMBER($D898),ISNUMBER($F898)),IF($D898&gt;$F898,1,0),0)+IF(AND(ISNUMBER($E898),ISNUMBER($F898)),IF($E898&gt;$F898,1,0),0)</f>
        <v>0</v>
      </c>
      <c r="X898" s="13" t="s">
        <v>76</v>
      </c>
    </row>
    <row r="899" customFormat="false" ht="15" hidden="false" customHeight="false" outlineLevel="0" collapsed="false">
      <c r="A899" s="10" t="s">
        <v>3824</v>
      </c>
      <c r="B899" s="10" t="s">
        <v>3825</v>
      </c>
      <c r="C899" s="11" t="s">
        <v>3815</v>
      </c>
      <c r="D899" s="12" t="n">
        <v>0.0529</v>
      </c>
      <c r="E899" s="12"/>
      <c r="F899" s="12"/>
      <c r="G899" s="10" t="s">
        <v>63</v>
      </c>
      <c r="H899" s="10" t="s">
        <v>92</v>
      </c>
      <c r="I899" s="11" t="s">
        <v>3816</v>
      </c>
      <c r="J899" s="10" t="s">
        <v>66</v>
      </c>
      <c r="K899" s="10" t="s">
        <v>67</v>
      </c>
      <c r="L899" s="10" t="s">
        <v>68</v>
      </c>
      <c r="M899" s="10" t="s">
        <v>69</v>
      </c>
      <c r="N899" s="10"/>
      <c r="O899" s="11" t="s">
        <v>3428</v>
      </c>
      <c r="P899" s="10" t="s">
        <v>71</v>
      </c>
      <c r="Q899" s="11" t="s">
        <v>72</v>
      </c>
      <c r="R899" s="11" t="s">
        <v>73</v>
      </c>
      <c r="S899" s="11" t="s">
        <v>74</v>
      </c>
      <c r="T899" s="11" t="s">
        <v>3826</v>
      </c>
      <c r="U899" s="10" t="n">
        <f aca="false">IF(AND($D899="",$E899="",$F899=""),1,0)</f>
        <v>0</v>
      </c>
      <c r="V899" s="10" t="n">
        <f aca="false">IF(OR($I899="",$I899="—"),1,0)</f>
        <v>0</v>
      </c>
      <c r="W899" s="10" t="n">
        <f aca="false">IF(AND(ISNUMBER($D899),ISNUMBER($E899)),IF($E899&gt;$D899,1,0),0)+IF(AND(ISNUMBER($D899),ISNUMBER($F899)),IF($D899&gt;$F899,1,0),0)+IF(AND(ISNUMBER($E899),ISNUMBER($F899)),IF($E899&gt;$F899,1,0),0)</f>
        <v>0</v>
      </c>
      <c r="X899" s="13" t="s">
        <v>76</v>
      </c>
    </row>
    <row r="900" customFormat="false" ht="15" hidden="false" customHeight="false" outlineLevel="0" collapsed="false">
      <c r="A900" s="10" t="s">
        <v>3827</v>
      </c>
      <c r="B900" s="10" t="s">
        <v>3828</v>
      </c>
      <c r="C900" s="11" t="s">
        <v>3829</v>
      </c>
      <c r="D900" s="12" t="n">
        <v>0.2394</v>
      </c>
      <c r="E900" s="12"/>
      <c r="F900" s="12"/>
      <c r="G900" s="10" t="s">
        <v>63</v>
      </c>
      <c r="H900" s="10" t="s">
        <v>64</v>
      </c>
      <c r="I900" s="11" t="s">
        <v>3816</v>
      </c>
      <c r="J900" s="10" t="s">
        <v>66</v>
      </c>
      <c r="K900" s="10" t="s">
        <v>67</v>
      </c>
      <c r="L900" s="10" t="s">
        <v>68</v>
      </c>
      <c r="M900" s="10" t="s">
        <v>69</v>
      </c>
      <c r="N900" s="10"/>
      <c r="O900" s="11" t="s">
        <v>3422</v>
      </c>
      <c r="P900" s="10" t="s">
        <v>71</v>
      </c>
      <c r="Q900" s="11" t="s">
        <v>72</v>
      </c>
      <c r="R900" s="11" t="s">
        <v>73</v>
      </c>
      <c r="S900" s="11" t="s">
        <v>74</v>
      </c>
      <c r="T900" s="11" t="s">
        <v>3830</v>
      </c>
      <c r="U900" s="10" t="n">
        <f aca="false">IF(AND($D900="",$E900="",$F900=""),1,0)</f>
        <v>0</v>
      </c>
      <c r="V900" s="10" t="n">
        <f aca="false">IF(OR($I900="",$I900="—"),1,0)</f>
        <v>0</v>
      </c>
      <c r="W900" s="10" t="n">
        <f aca="false">IF(AND(ISNUMBER($D900),ISNUMBER($E900)),IF($E900&gt;$D900,1,0),0)+IF(AND(ISNUMBER($D900),ISNUMBER($F900)),IF($D900&gt;$F900,1,0),0)+IF(AND(ISNUMBER($E900),ISNUMBER($F900)),IF($E900&gt;$F900,1,0),0)</f>
        <v>0</v>
      </c>
      <c r="X900" s="13" t="s">
        <v>76</v>
      </c>
    </row>
    <row r="901" customFormat="false" ht="15" hidden="false" customHeight="false" outlineLevel="0" collapsed="false">
      <c r="A901" s="10" t="s">
        <v>3831</v>
      </c>
      <c r="B901" s="10" t="s">
        <v>3832</v>
      </c>
      <c r="C901" s="11" t="s">
        <v>3829</v>
      </c>
      <c r="D901" s="12" t="n">
        <v>2.947</v>
      </c>
      <c r="E901" s="12"/>
      <c r="F901" s="12"/>
      <c r="G901" s="10" t="s">
        <v>63</v>
      </c>
      <c r="H901" s="10" t="s">
        <v>79</v>
      </c>
      <c r="I901" s="11" t="s">
        <v>3816</v>
      </c>
      <c r="J901" s="10" t="s">
        <v>66</v>
      </c>
      <c r="K901" s="10" t="s">
        <v>67</v>
      </c>
      <c r="L901" s="10" t="s">
        <v>68</v>
      </c>
      <c r="M901" s="10" t="s">
        <v>69</v>
      </c>
      <c r="N901" s="10"/>
      <c r="O901" s="11" t="s">
        <v>3422</v>
      </c>
      <c r="P901" s="10" t="s">
        <v>71</v>
      </c>
      <c r="Q901" s="11" t="s">
        <v>72</v>
      </c>
      <c r="R901" s="11" t="s">
        <v>73</v>
      </c>
      <c r="S901" s="11" t="s">
        <v>74</v>
      </c>
      <c r="T901" s="11" t="s">
        <v>3833</v>
      </c>
      <c r="U901" s="10" t="n">
        <f aca="false">IF(AND($D901="",$E901="",$F901=""),1,0)</f>
        <v>0</v>
      </c>
      <c r="V901" s="10" t="n">
        <f aca="false">IF(OR($I901="",$I901="—"),1,0)</f>
        <v>0</v>
      </c>
      <c r="W901" s="10" t="n">
        <f aca="false">IF(AND(ISNUMBER($D901),ISNUMBER($E901)),IF($E901&gt;$D901,1,0),0)+IF(AND(ISNUMBER($D901),ISNUMBER($F901)),IF($D901&gt;$F901,1,0),0)+IF(AND(ISNUMBER($E901),ISNUMBER($F901)),IF($E901&gt;$F901,1,0),0)</f>
        <v>0</v>
      </c>
      <c r="X901" s="13" t="s">
        <v>76</v>
      </c>
    </row>
    <row r="902" customFormat="false" ht="15" hidden="false" customHeight="false" outlineLevel="0" collapsed="false">
      <c r="A902" s="10" t="s">
        <v>3834</v>
      </c>
      <c r="B902" s="10" t="s">
        <v>3835</v>
      </c>
      <c r="C902" s="11" t="s">
        <v>3829</v>
      </c>
      <c r="D902" s="12" t="n">
        <v>3.3709</v>
      </c>
      <c r="E902" s="12"/>
      <c r="F902" s="12"/>
      <c r="G902" s="10" t="s">
        <v>63</v>
      </c>
      <c r="H902" s="10" t="s">
        <v>83</v>
      </c>
      <c r="I902" s="11" t="s">
        <v>3816</v>
      </c>
      <c r="J902" s="10" t="s">
        <v>66</v>
      </c>
      <c r="K902" s="10" t="s">
        <v>67</v>
      </c>
      <c r="L902" s="10" t="s">
        <v>68</v>
      </c>
      <c r="M902" s="10" t="s">
        <v>69</v>
      </c>
      <c r="N902" s="10"/>
      <c r="O902" s="11" t="s">
        <v>3422</v>
      </c>
      <c r="P902" s="10" t="s">
        <v>71</v>
      </c>
      <c r="Q902" s="11" t="s">
        <v>72</v>
      </c>
      <c r="R902" s="11" t="s">
        <v>73</v>
      </c>
      <c r="S902" s="11" t="s">
        <v>74</v>
      </c>
      <c r="T902" s="11" t="s">
        <v>3836</v>
      </c>
      <c r="U902" s="10" t="n">
        <f aca="false">IF(AND($D902="",$E902="",$F902=""),1,0)</f>
        <v>0</v>
      </c>
      <c r="V902" s="10" t="n">
        <f aca="false">IF(OR($I902="",$I902="—"),1,0)</f>
        <v>0</v>
      </c>
      <c r="W902" s="10" t="n">
        <f aca="false">IF(AND(ISNUMBER($D902),ISNUMBER($E902)),IF($E902&gt;$D902,1,0),0)+IF(AND(ISNUMBER($D902),ISNUMBER($F902)),IF($D902&gt;$F902,1,0),0)+IF(AND(ISNUMBER($E902),ISNUMBER($F902)),IF($E902&gt;$F902,1,0),0)</f>
        <v>0</v>
      </c>
      <c r="X902" s="13" t="s">
        <v>76</v>
      </c>
    </row>
    <row r="903" customFormat="false" ht="15" hidden="false" customHeight="false" outlineLevel="0" collapsed="false">
      <c r="A903" s="10" t="s">
        <v>3837</v>
      </c>
      <c r="B903" s="10" t="s">
        <v>3838</v>
      </c>
      <c r="C903" s="11" t="s">
        <v>3829</v>
      </c>
      <c r="D903" s="12" t="n">
        <v>0.344</v>
      </c>
      <c r="E903" s="12"/>
      <c r="F903" s="12"/>
      <c r="G903" s="10" t="s">
        <v>63</v>
      </c>
      <c r="H903" s="10" t="s">
        <v>92</v>
      </c>
      <c r="I903" s="11" t="s">
        <v>3816</v>
      </c>
      <c r="J903" s="10" t="s">
        <v>66</v>
      </c>
      <c r="K903" s="10" t="s">
        <v>67</v>
      </c>
      <c r="L903" s="10" t="s">
        <v>68</v>
      </c>
      <c r="M903" s="10" t="s">
        <v>69</v>
      </c>
      <c r="N903" s="10"/>
      <c r="O903" s="11" t="s">
        <v>3428</v>
      </c>
      <c r="P903" s="10" t="s">
        <v>71</v>
      </c>
      <c r="Q903" s="11" t="s">
        <v>72</v>
      </c>
      <c r="R903" s="11" t="s">
        <v>73</v>
      </c>
      <c r="S903" s="11" t="s">
        <v>74</v>
      </c>
      <c r="T903" s="11" t="s">
        <v>3839</v>
      </c>
      <c r="U903" s="10" t="n">
        <f aca="false">IF(AND($D903="",$E903="",$F903=""),1,0)</f>
        <v>0</v>
      </c>
      <c r="V903" s="10" t="n">
        <f aca="false">IF(OR($I903="",$I903="—"),1,0)</f>
        <v>0</v>
      </c>
      <c r="W903" s="10" t="n">
        <f aca="false">IF(AND(ISNUMBER($D903),ISNUMBER($E903)),IF($E903&gt;$D903,1,0),0)+IF(AND(ISNUMBER($D903),ISNUMBER($F903)),IF($D903&gt;$F903,1,0),0)+IF(AND(ISNUMBER($E903),ISNUMBER($F903)),IF($E903&gt;$F903,1,0),0)</f>
        <v>0</v>
      </c>
      <c r="X903" s="13" t="s">
        <v>76</v>
      </c>
    </row>
    <row r="904" customFormat="false" ht="15" hidden="false" customHeight="false" outlineLevel="0" collapsed="false">
      <c r="A904" s="10" t="s">
        <v>3840</v>
      </c>
      <c r="B904" s="10" t="s">
        <v>3841</v>
      </c>
      <c r="C904" s="11" t="s">
        <v>3842</v>
      </c>
      <c r="D904" s="12" t="n">
        <v>0.5559</v>
      </c>
      <c r="E904" s="12"/>
      <c r="F904" s="12"/>
      <c r="G904" s="10" t="s">
        <v>63</v>
      </c>
      <c r="H904" s="10" t="s">
        <v>64</v>
      </c>
      <c r="I904" s="11" t="s">
        <v>3816</v>
      </c>
      <c r="J904" s="10" t="s">
        <v>66</v>
      </c>
      <c r="K904" s="10" t="s">
        <v>67</v>
      </c>
      <c r="L904" s="10" t="s">
        <v>68</v>
      </c>
      <c r="M904" s="10" t="s">
        <v>69</v>
      </c>
      <c r="N904" s="10"/>
      <c r="O904" s="11" t="s">
        <v>3422</v>
      </c>
      <c r="P904" s="10" t="s">
        <v>71</v>
      </c>
      <c r="Q904" s="11" t="s">
        <v>72</v>
      </c>
      <c r="R904" s="11" t="s">
        <v>73</v>
      </c>
      <c r="S904" s="11" t="s">
        <v>74</v>
      </c>
      <c r="T904" s="11" t="s">
        <v>3843</v>
      </c>
      <c r="U904" s="10" t="n">
        <f aca="false">IF(AND($D904="",$E904="",$F904=""),1,0)</f>
        <v>0</v>
      </c>
      <c r="V904" s="10" t="n">
        <f aca="false">IF(OR($I904="",$I904="—"),1,0)</f>
        <v>0</v>
      </c>
      <c r="W904" s="10" t="n">
        <f aca="false">IF(AND(ISNUMBER($D904),ISNUMBER($E904)),IF($E904&gt;$D904,1,0),0)+IF(AND(ISNUMBER($D904),ISNUMBER($F904)),IF($D904&gt;$F904,1,0),0)+IF(AND(ISNUMBER($E904),ISNUMBER($F904)),IF($E904&gt;$F904,1,0),0)</f>
        <v>0</v>
      </c>
      <c r="X904" s="13" t="s">
        <v>76</v>
      </c>
    </row>
    <row r="905" customFormat="false" ht="15" hidden="false" customHeight="false" outlineLevel="0" collapsed="false">
      <c r="A905" s="10" t="s">
        <v>3844</v>
      </c>
      <c r="B905" s="10" t="s">
        <v>3845</v>
      </c>
      <c r="C905" s="11" t="s">
        <v>3842</v>
      </c>
      <c r="D905" s="12" t="n">
        <v>8.1428</v>
      </c>
      <c r="E905" s="12"/>
      <c r="F905" s="12"/>
      <c r="G905" s="10" t="s">
        <v>63</v>
      </c>
      <c r="H905" s="10" t="s">
        <v>79</v>
      </c>
      <c r="I905" s="11" t="s">
        <v>3816</v>
      </c>
      <c r="J905" s="10" t="s">
        <v>66</v>
      </c>
      <c r="K905" s="10" t="s">
        <v>67</v>
      </c>
      <c r="L905" s="10" t="s">
        <v>68</v>
      </c>
      <c r="M905" s="10" t="s">
        <v>69</v>
      </c>
      <c r="N905" s="10"/>
      <c r="O905" s="11" t="s">
        <v>3422</v>
      </c>
      <c r="P905" s="10" t="s">
        <v>71</v>
      </c>
      <c r="Q905" s="11" t="s">
        <v>72</v>
      </c>
      <c r="R905" s="11" t="s">
        <v>73</v>
      </c>
      <c r="S905" s="11" t="s">
        <v>74</v>
      </c>
      <c r="T905" s="11" t="s">
        <v>3846</v>
      </c>
      <c r="U905" s="10" t="n">
        <f aca="false">IF(AND($D905="",$E905="",$F905=""),1,0)</f>
        <v>0</v>
      </c>
      <c r="V905" s="10" t="n">
        <f aca="false">IF(OR($I905="",$I905="—"),1,0)</f>
        <v>0</v>
      </c>
      <c r="W905" s="10" t="n">
        <f aca="false">IF(AND(ISNUMBER($D905),ISNUMBER($E905)),IF($E905&gt;$D905,1,0),0)+IF(AND(ISNUMBER($D905),ISNUMBER($F905)),IF($D905&gt;$F905,1,0),0)+IF(AND(ISNUMBER($E905),ISNUMBER($F905)),IF($E905&gt;$F905,1,0),0)</f>
        <v>0</v>
      </c>
      <c r="X905" s="13" t="s">
        <v>76</v>
      </c>
    </row>
    <row r="906" customFormat="false" ht="15" hidden="false" customHeight="false" outlineLevel="0" collapsed="false">
      <c r="A906" s="10" t="s">
        <v>3847</v>
      </c>
      <c r="B906" s="10" t="s">
        <v>3848</v>
      </c>
      <c r="C906" s="11" t="s">
        <v>3842</v>
      </c>
      <c r="D906" s="12" t="n">
        <v>4.5555</v>
      </c>
      <c r="E906" s="12"/>
      <c r="F906" s="12"/>
      <c r="G906" s="10" t="s">
        <v>63</v>
      </c>
      <c r="H906" s="10" t="s">
        <v>83</v>
      </c>
      <c r="I906" s="11" t="s">
        <v>3816</v>
      </c>
      <c r="J906" s="10" t="s">
        <v>66</v>
      </c>
      <c r="K906" s="10" t="s">
        <v>67</v>
      </c>
      <c r="L906" s="10" t="s">
        <v>68</v>
      </c>
      <c r="M906" s="10" t="s">
        <v>69</v>
      </c>
      <c r="N906" s="10"/>
      <c r="O906" s="11" t="s">
        <v>3422</v>
      </c>
      <c r="P906" s="10" t="s">
        <v>71</v>
      </c>
      <c r="Q906" s="11" t="s">
        <v>72</v>
      </c>
      <c r="R906" s="11" t="s">
        <v>73</v>
      </c>
      <c r="S906" s="11" t="s">
        <v>74</v>
      </c>
      <c r="T906" s="11" t="s">
        <v>3849</v>
      </c>
      <c r="U906" s="10" t="n">
        <f aca="false">IF(AND($D906="",$E906="",$F906=""),1,0)</f>
        <v>0</v>
      </c>
      <c r="V906" s="10" t="n">
        <f aca="false">IF(OR($I906="",$I906="—"),1,0)</f>
        <v>0</v>
      </c>
      <c r="W906" s="10" t="n">
        <f aca="false">IF(AND(ISNUMBER($D906),ISNUMBER($E906)),IF($E906&gt;$D906,1,0),0)+IF(AND(ISNUMBER($D906),ISNUMBER($F906)),IF($D906&gt;$F906,1,0),0)+IF(AND(ISNUMBER($E906),ISNUMBER($F906)),IF($E906&gt;$F906,1,0),0)</f>
        <v>0</v>
      </c>
      <c r="X906" s="13" t="s">
        <v>76</v>
      </c>
    </row>
    <row r="907" customFormat="false" ht="15" hidden="false" customHeight="false" outlineLevel="0" collapsed="false">
      <c r="A907" s="10" t="s">
        <v>3850</v>
      </c>
      <c r="B907" s="10" t="s">
        <v>3851</v>
      </c>
      <c r="C907" s="11" t="s">
        <v>3842</v>
      </c>
      <c r="D907" s="12" t="n">
        <v>0.4249</v>
      </c>
      <c r="E907" s="12"/>
      <c r="F907" s="12"/>
      <c r="G907" s="10" t="s">
        <v>63</v>
      </c>
      <c r="H907" s="10" t="s">
        <v>92</v>
      </c>
      <c r="I907" s="11" t="s">
        <v>3816</v>
      </c>
      <c r="J907" s="10" t="s">
        <v>66</v>
      </c>
      <c r="K907" s="10" t="s">
        <v>67</v>
      </c>
      <c r="L907" s="10" t="s">
        <v>68</v>
      </c>
      <c r="M907" s="10" t="s">
        <v>69</v>
      </c>
      <c r="N907" s="10"/>
      <c r="O907" s="11" t="s">
        <v>3428</v>
      </c>
      <c r="P907" s="10" t="s">
        <v>71</v>
      </c>
      <c r="Q907" s="11" t="s">
        <v>72</v>
      </c>
      <c r="R907" s="11" t="s">
        <v>73</v>
      </c>
      <c r="S907" s="11" t="s">
        <v>74</v>
      </c>
      <c r="T907" s="11" t="s">
        <v>3852</v>
      </c>
      <c r="U907" s="10" t="n">
        <f aca="false">IF(AND($D907="",$E907="",$F907=""),1,0)</f>
        <v>0</v>
      </c>
      <c r="V907" s="10" t="n">
        <f aca="false">IF(OR($I907="",$I907="—"),1,0)</f>
        <v>0</v>
      </c>
      <c r="W907" s="10" t="n">
        <f aca="false">IF(AND(ISNUMBER($D907),ISNUMBER($E907)),IF($E907&gt;$D907,1,0),0)+IF(AND(ISNUMBER($D907),ISNUMBER($F907)),IF($D907&gt;$F907,1,0),0)+IF(AND(ISNUMBER($E907),ISNUMBER($F907)),IF($E907&gt;$F907,1,0),0)</f>
        <v>0</v>
      </c>
      <c r="X907" s="13" t="s">
        <v>76</v>
      </c>
    </row>
    <row r="908" customFormat="false" ht="15" hidden="false" customHeight="false" outlineLevel="0" collapsed="false">
      <c r="A908" s="10" t="s">
        <v>3853</v>
      </c>
      <c r="B908" s="10" t="s">
        <v>3854</v>
      </c>
      <c r="C908" s="11" t="s">
        <v>3855</v>
      </c>
      <c r="D908" s="12" t="n">
        <v>2.2464</v>
      </c>
      <c r="E908" s="12"/>
      <c r="F908" s="12"/>
      <c r="G908" s="10" t="s">
        <v>63</v>
      </c>
      <c r="H908" s="10" t="s">
        <v>83</v>
      </c>
      <c r="I908" s="11" t="s">
        <v>3816</v>
      </c>
      <c r="J908" s="10" t="s">
        <v>66</v>
      </c>
      <c r="K908" s="10" t="s">
        <v>67</v>
      </c>
      <c r="L908" s="10" t="s">
        <v>68</v>
      </c>
      <c r="M908" s="10" t="s">
        <v>69</v>
      </c>
      <c r="N908" s="10"/>
      <c r="O908" s="11" t="s">
        <v>3422</v>
      </c>
      <c r="P908" s="10" t="s">
        <v>71</v>
      </c>
      <c r="Q908" s="11" t="s">
        <v>72</v>
      </c>
      <c r="R908" s="11" t="s">
        <v>73</v>
      </c>
      <c r="S908" s="11" t="s">
        <v>74</v>
      </c>
      <c r="T908" s="11" t="s">
        <v>3856</v>
      </c>
      <c r="U908" s="10" t="n">
        <f aca="false">IF(AND($D908="",$E908="",$F908=""),1,0)</f>
        <v>0</v>
      </c>
      <c r="V908" s="10" t="n">
        <f aca="false">IF(OR($I908="",$I908="—"),1,0)</f>
        <v>0</v>
      </c>
      <c r="W908" s="10" t="n">
        <f aca="false">IF(AND(ISNUMBER($D908),ISNUMBER($E908)),IF($E908&gt;$D908,1,0),0)+IF(AND(ISNUMBER($D908),ISNUMBER($F908)),IF($D908&gt;$F908,1,0),0)+IF(AND(ISNUMBER($E908),ISNUMBER($F908)),IF($E908&gt;$F908,1,0),0)</f>
        <v>0</v>
      </c>
      <c r="X908" s="13" t="s">
        <v>76</v>
      </c>
    </row>
    <row r="909" customFormat="false" ht="15" hidden="false" customHeight="false" outlineLevel="0" collapsed="false">
      <c r="A909" s="10" t="s">
        <v>3857</v>
      </c>
      <c r="B909" s="10" t="s">
        <v>3858</v>
      </c>
      <c r="C909" s="11" t="s">
        <v>3859</v>
      </c>
      <c r="D909" s="12" t="n">
        <v>0.0001</v>
      </c>
      <c r="E909" s="12"/>
      <c r="F909" s="12"/>
      <c r="G909" s="10" t="s">
        <v>63</v>
      </c>
      <c r="H909" s="10" t="s">
        <v>64</v>
      </c>
      <c r="I909" s="11" t="s">
        <v>3767</v>
      </c>
      <c r="J909" s="10" t="s">
        <v>66</v>
      </c>
      <c r="K909" s="10" t="s">
        <v>67</v>
      </c>
      <c r="L909" s="10" t="s">
        <v>68</v>
      </c>
      <c r="M909" s="10" t="s">
        <v>69</v>
      </c>
      <c r="N909" s="10"/>
      <c r="O909" s="11" t="s">
        <v>3422</v>
      </c>
      <c r="P909" s="10" t="s">
        <v>71</v>
      </c>
      <c r="Q909" s="11" t="s">
        <v>72</v>
      </c>
      <c r="R909" s="11" t="s">
        <v>73</v>
      </c>
      <c r="S909" s="11" t="s">
        <v>74</v>
      </c>
      <c r="T909" s="11" t="s">
        <v>3860</v>
      </c>
      <c r="U909" s="10" t="n">
        <f aca="false">IF(AND($D909="",$E909="",$F909=""),1,0)</f>
        <v>0</v>
      </c>
      <c r="V909" s="10" t="n">
        <f aca="false">IF(OR($I909="",$I909="—"),1,0)</f>
        <v>0</v>
      </c>
      <c r="W909" s="10" t="n">
        <f aca="false">IF(AND(ISNUMBER($D909),ISNUMBER($E909)),IF($E909&gt;$D909,1,0),0)+IF(AND(ISNUMBER($D909),ISNUMBER($F909)),IF($D909&gt;$F909,1,0),0)+IF(AND(ISNUMBER($E909),ISNUMBER($F909)),IF($E909&gt;$F909,1,0),0)</f>
        <v>0</v>
      </c>
      <c r="X909" s="13" t="s">
        <v>76</v>
      </c>
    </row>
    <row r="910" customFormat="false" ht="15" hidden="false" customHeight="false" outlineLevel="0" collapsed="false">
      <c r="A910" s="10" t="s">
        <v>3861</v>
      </c>
      <c r="B910" s="10" t="s">
        <v>3862</v>
      </c>
      <c r="C910" s="11" t="s">
        <v>3859</v>
      </c>
      <c r="D910" s="12" t="n">
        <v>0</v>
      </c>
      <c r="E910" s="12"/>
      <c r="F910" s="12"/>
      <c r="G910" s="10" t="s">
        <v>63</v>
      </c>
      <c r="H910" s="10" t="s">
        <v>79</v>
      </c>
      <c r="I910" s="11" t="s">
        <v>3767</v>
      </c>
      <c r="J910" s="10" t="s">
        <v>66</v>
      </c>
      <c r="K910" s="10" t="s">
        <v>67</v>
      </c>
      <c r="L910" s="10" t="s">
        <v>68</v>
      </c>
      <c r="M910" s="10" t="s">
        <v>69</v>
      </c>
      <c r="N910" s="10"/>
      <c r="O910" s="11" t="s">
        <v>3422</v>
      </c>
      <c r="P910" s="10" t="s">
        <v>71</v>
      </c>
      <c r="Q910" s="11" t="s">
        <v>72</v>
      </c>
      <c r="R910" s="11" t="s">
        <v>73</v>
      </c>
      <c r="S910" s="11" t="s">
        <v>74</v>
      </c>
      <c r="T910" s="11" t="s">
        <v>3863</v>
      </c>
      <c r="U910" s="10" t="n">
        <f aca="false">IF(AND($D910="",$E910="",$F910=""),1,0)</f>
        <v>0</v>
      </c>
      <c r="V910" s="10" t="n">
        <f aca="false">IF(OR($I910="",$I910="—"),1,0)</f>
        <v>0</v>
      </c>
      <c r="W910" s="10" t="n">
        <f aca="false">IF(AND(ISNUMBER($D910),ISNUMBER($E910)),IF($E910&gt;$D910,1,0),0)+IF(AND(ISNUMBER($D910),ISNUMBER($F910)),IF($D910&gt;$F910,1,0),0)+IF(AND(ISNUMBER($E910),ISNUMBER($F910)),IF($E910&gt;$F910,1,0),0)</f>
        <v>0</v>
      </c>
      <c r="X910" s="13" t="s">
        <v>76</v>
      </c>
    </row>
    <row r="911" customFormat="false" ht="15" hidden="false" customHeight="false" outlineLevel="0" collapsed="false">
      <c r="A911" s="10" t="s">
        <v>3864</v>
      </c>
      <c r="B911" s="10" t="s">
        <v>3865</v>
      </c>
      <c r="C911" s="11" t="s">
        <v>3859</v>
      </c>
      <c r="D911" s="12" t="n">
        <v>1.146</v>
      </c>
      <c r="E911" s="12"/>
      <c r="F911" s="12"/>
      <c r="G911" s="10" t="s">
        <v>63</v>
      </c>
      <c r="H911" s="10" t="s">
        <v>83</v>
      </c>
      <c r="I911" s="11" t="s">
        <v>3767</v>
      </c>
      <c r="J911" s="10" t="s">
        <v>66</v>
      </c>
      <c r="K911" s="10" t="s">
        <v>67</v>
      </c>
      <c r="L911" s="10" t="s">
        <v>68</v>
      </c>
      <c r="M911" s="10" t="s">
        <v>69</v>
      </c>
      <c r="N911" s="10"/>
      <c r="O911" s="11" t="s">
        <v>3422</v>
      </c>
      <c r="P911" s="10" t="s">
        <v>71</v>
      </c>
      <c r="Q911" s="11" t="s">
        <v>72</v>
      </c>
      <c r="R911" s="11" t="s">
        <v>73</v>
      </c>
      <c r="S911" s="11" t="s">
        <v>74</v>
      </c>
      <c r="T911" s="11" t="s">
        <v>3866</v>
      </c>
      <c r="U911" s="10" t="n">
        <f aca="false">IF(AND($D911="",$E911="",$F911=""),1,0)</f>
        <v>0</v>
      </c>
      <c r="V911" s="10" t="n">
        <f aca="false">IF(OR($I911="",$I911="—"),1,0)</f>
        <v>0</v>
      </c>
      <c r="W911" s="10" t="n">
        <f aca="false">IF(AND(ISNUMBER($D911),ISNUMBER($E911)),IF($E911&gt;$D911,1,0),0)+IF(AND(ISNUMBER($D911),ISNUMBER($F911)),IF($D911&gt;$F911,1,0),0)+IF(AND(ISNUMBER($E911),ISNUMBER($F911)),IF($E911&gt;$F911,1,0),0)</f>
        <v>0</v>
      </c>
      <c r="X911" s="13" t="s">
        <v>76</v>
      </c>
    </row>
    <row r="912" customFormat="false" ht="15" hidden="false" customHeight="false" outlineLevel="0" collapsed="false">
      <c r="A912" s="10" t="s">
        <v>3867</v>
      </c>
      <c r="B912" s="10" t="s">
        <v>3868</v>
      </c>
      <c r="C912" s="11" t="s">
        <v>3859</v>
      </c>
      <c r="D912" s="12" t="n">
        <v>0</v>
      </c>
      <c r="E912" s="12"/>
      <c r="F912" s="12"/>
      <c r="G912" s="10" t="s">
        <v>63</v>
      </c>
      <c r="H912" s="10" t="s">
        <v>87</v>
      </c>
      <c r="I912" s="11" t="s">
        <v>3767</v>
      </c>
      <c r="J912" s="10" t="s">
        <v>66</v>
      </c>
      <c r="K912" s="10" t="s">
        <v>67</v>
      </c>
      <c r="L912" s="10" t="s">
        <v>68</v>
      </c>
      <c r="M912" s="10" t="s">
        <v>69</v>
      </c>
      <c r="N912" s="10"/>
      <c r="O912" s="11" t="s">
        <v>3608</v>
      </c>
      <c r="P912" s="10" t="s">
        <v>71</v>
      </c>
      <c r="Q912" s="11" t="s">
        <v>72</v>
      </c>
      <c r="R912" s="11" t="s">
        <v>73</v>
      </c>
      <c r="S912" s="11" t="s">
        <v>74</v>
      </c>
      <c r="T912" s="11" t="s">
        <v>3863</v>
      </c>
      <c r="U912" s="10" t="n">
        <f aca="false">IF(AND($D912="",$E912="",$F912=""),1,0)</f>
        <v>0</v>
      </c>
      <c r="V912" s="10" t="n">
        <f aca="false">IF(OR($I912="",$I912="—"),1,0)</f>
        <v>0</v>
      </c>
      <c r="W912" s="10" t="n">
        <f aca="false">IF(AND(ISNUMBER($D912),ISNUMBER($E912)),IF($E912&gt;$D912,1,0),0)+IF(AND(ISNUMBER($D912),ISNUMBER($F912)),IF($D912&gt;$F912,1,0),0)+IF(AND(ISNUMBER($E912),ISNUMBER($F912)),IF($E912&gt;$F912,1,0),0)</f>
        <v>0</v>
      </c>
      <c r="X912" s="13" t="s">
        <v>76</v>
      </c>
    </row>
    <row r="913" customFormat="false" ht="15" hidden="false" customHeight="false" outlineLevel="0" collapsed="false">
      <c r="A913" s="10" t="s">
        <v>3869</v>
      </c>
      <c r="B913" s="10" t="s">
        <v>3870</v>
      </c>
      <c r="C913" s="11" t="s">
        <v>3859</v>
      </c>
      <c r="D913" s="12" t="n">
        <v>0.0001</v>
      </c>
      <c r="E913" s="12"/>
      <c r="F913" s="12"/>
      <c r="G913" s="10" t="s">
        <v>63</v>
      </c>
      <c r="H913" s="10" t="s">
        <v>92</v>
      </c>
      <c r="I913" s="11" t="s">
        <v>3767</v>
      </c>
      <c r="J913" s="10" t="s">
        <v>66</v>
      </c>
      <c r="K913" s="10" t="s">
        <v>67</v>
      </c>
      <c r="L913" s="10" t="s">
        <v>68</v>
      </c>
      <c r="M913" s="10" t="s">
        <v>69</v>
      </c>
      <c r="N913" s="10"/>
      <c r="O913" s="11" t="s">
        <v>3428</v>
      </c>
      <c r="P913" s="10" t="s">
        <v>71</v>
      </c>
      <c r="Q913" s="11" t="s">
        <v>72</v>
      </c>
      <c r="R913" s="11" t="s">
        <v>73</v>
      </c>
      <c r="S913" s="11" t="s">
        <v>74</v>
      </c>
      <c r="T913" s="11" t="s">
        <v>3871</v>
      </c>
      <c r="U913" s="10" t="n">
        <f aca="false">IF(AND($D913="",$E913="",$F913=""),1,0)</f>
        <v>0</v>
      </c>
      <c r="V913" s="10" t="n">
        <f aca="false">IF(OR($I913="",$I913="—"),1,0)</f>
        <v>0</v>
      </c>
      <c r="W913" s="10" t="n">
        <f aca="false">IF(AND(ISNUMBER($D913),ISNUMBER($E913)),IF($E913&gt;$D913,1,0),0)+IF(AND(ISNUMBER($D913),ISNUMBER($F913)),IF($D913&gt;$F913,1,0),0)+IF(AND(ISNUMBER($E913),ISNUMBER($F913)),IF($E913&gt;$F913,1,0),0)</f>
        <v>0</v>
      </c>
      <c r="X913" s="13" t="s">
        <v>76</v>
      </c>
    </row>
    <row r="914" customFormat="false" ht="15" hidden="false" customHeight="false" outlineLevel="0" collapsed="false">
      <c r="A914" s="10" t="s">
        <v>3872</v>
      </c>
      <c r="B914" s="10" t="s">
        <v>3873</v>
      </c>
      <c r="C914" s="11" t="s">
        <v>3874</v>
      </c>
      <c r="D914" s="12" t="n">
        <v>0.4142</v>
      </c>
      <c r="E914" s="12"/>
      <c r="F914" s="12"/>
      <c r="G914" s="10" t="s">
        <v>63</v>
      </c>
      <c r="H914" s="10" t="s">
        <v>3443</v>
      </c>
      <c r="I914" s="11" t="s">
        <v>3875</v>
      </c>
      <c r="J914" s="10" t="s">
        <v>66</v>
      </c>
      <c r="K914" s="10" t="s">
        <v>67</v>
      </c>
      <c r="L914" s="10" t="s">
        <v>68</v>
      </c>
      <c r="M914" s="10" t="s">
        <v>69</v>
      </c>
      <c r="N914" s="10"/>
      <c r="O914" s="11" t="s">
        <v>3422</v>
      </c>
      <c r="P914" s="10" t="s">
        <v>71</v>
      </c>
      <c r="Q914" s="11" t="s">
        <v>72</v>
      </c>
      <c r="R914" s="11" t="s">
        <v>73</v>
      </c>
      <c r="S914" s="11" t="s">
        <v>74</v>
      </c>
      <c r="T914" s="11" t="s">
        <v>3876</v>
      </c>
      <c r="U914" s="10" t="n">
        <f aca="false">IF(AND($D914="",$E914="",$F914=""),1,0)</f>
        <v>0</v>
      </c>
      <c r="V914" s="10" t="n">
        <f aca="false">IF(OR($I914="",$I914="—"),1,0)</f>
        <v>0</v>
      </c>
      <c r="W914" s="10" t="n">
        <f aca="false">IF(AND(ISNUMBER($D914),ISNUMBER($E914)),IF($E914&gt;$D914,1,0),0)+IF(AND(ISNUMBER($D914),ISNUMBER($F914)),IF($D914&gt;$F914,1,0),0)+IF(AND(ISNUMBER($E914),ISNUMBER($F914)),IF($E914&gt;$F914,1,0),0)</f>
        <v>0</v>
      </c>
      <c r="X914" s="13" t="s">
        <v>76</v>
      </c>
    </row>
    <row r="915" customFormat="false" ht="15" hidden="false" customHeight="false" outlineLevel="0" collapsed="false">
      <c r="A915" s="10" t="s">
        <v>3877</v>
      </c>
      <c r="B915" s="10" t="s">
        <v>3878</v>
      </c>
      <c r="C915" s="11" t="s">
        <v>3874</v>
      </c>
      <c r="D915" s="12" t="n">
        <v>7.8754</v>
      </c>
      <c r="E915" s="12"/>
      <c r="F915" s="12"/>
      <c r="G915" s="10" t="s">
        <v>63</v>
      </c>
      <c r="H915" s="10" t="s">
        <v>3448</v>
      </c>
      <c r="I915" s="11" t="s">
        <v>3875</v>
      </c>
      <c r="J915" s="10" t="s">
        <v>66</v>
      </c>
      <c r="K915" s="10" t="s">
        <v>67</v>
      </c>
      <c r="L915" s="10" t="s">
        <v>68</v>
      </c>
      <c r="M915" s="10" t="s">
        <v>69</v>
      </c>
      <c r="N915" s="10"/>
      <c r="O915" s="11" t="s">
        <v>3422</v>
      </c>
      <c r="P915" s="10" t="s">
        <v>71</v>
      </c>
      <c r="Q915" s="11" t="s">
        <v>72</v>
      </c>
      <c r="R915" s="11" t="s">
        <v>73</v>
      </c>
      <c r="S915" s="11" t="s">
        <v>74</v>
      </c>
      <c r="T915" s="11" t="s">
        <v>3879</v>
      </c>
      <c r="U915" s="10" t="n">
        <f aca="false">IF(AND($D915="",$E915="",$F915=""),1,0)</f>
        <v>0</v>
      </c>
      <c r="V915" s="10" t="n">
        <f aca="false">IF(OR($I915="",$I915="—"),1,0)</f>
        <v>0</v>
      </c>
      <c r="W915" s="10" t="n">
        <f aca="false">IF(AND(ISNUMBER($D915),ISNUMBER($E915)),IF($E915&gt;$D915,1,0),0)+IF(AND(ISNUMBER($D915),ISNUMBER($F915)),IF($D915&gt;$F915,1,0),0)+IF(AND(ISNUMBER($E915),ISNUMBER($F915)),IF($E915&gt;$F915,1,0),0)</f>
        <v>0</v>
      </c>
      <c r="X915" s="13" t="s">
        <v>76</v>
      </c>
    </row>
    <row r="916" customFormat="false" ht="15" hidden="false" customHeight="false" outlineLevel="0" collapsed="false">
      <c r="A916" s="10" t="s">
        <v>3880</v>
      </c>
      <c r="B916" s="10" t="s">
        <v>3881</v>
      </c>
      <c r="C916" s="11" t="s">
        <v>3874</v>
      </c>
      <c r="D916" s="12" t="n">
        <v>8.6636</v>
      </c>
      <c r="E916" s="12"/>
      <c r="F916" s="12"/>
      <c r="G916" s="10" t="s">
        <v>63</v>
      </c>
      <c r="H916" s="10" t="s">
        <v>3452</v>
      </c>
      <c r="I916" s="11" t="s">
        <v>3875</v>
      </c>
      <c r="J916" s="10" t="s">
        <v>66</v>
      </c>
      <c r="K916" s="10" t="s">
        <v>67</v>
      </c>
      <c r="L916" s="10" t="s">
        <v>68</v>
      </c>
      <c r="M916" s="10" t="s">
        <v>69</v>
      </c>
      <c r="N916" s="10"/>
      <c r="O916" s="11" t="s">
        <v>3422</v>
      </c>
      <c r="P916" s="10" t="s">
        <v>71</v>
      </c>
      <c r="Q916" s="11" t="s">
        <v>72</v>
      </c>
      <c r="R916" s="11" t="s">
        <v>73</v>
      </c>
      <c r="S916" s="11" t="s">
        <v>74</v>
      </c>
      <c r="T916" s="11" t="s">
        <v>3882</v>
      </c>
      <c r="U916" s="10" t="n">
        <f aca="false">IF(AND($D916="",$E916="",$F916=""),1,0)</f>
        <v>0</v>
      </c>
      <c r="V916" s="10" t="n">
        <f aca="false">IF(OR($I916="",$I916="—"),1,0)</f>
        <v>0</v>
      </c>
      <c r="W916" s="10" t="n">
        <f aca="false">IF(AND(ISNUMBER($D916),ISNUMBER($E916)),IF($E916&gt;$D916,1,0),0)+IF(AND(ISNUMBER($D916),ISNUMBER($F916)),IF($D916&gt;$F916,1,0),0)+IF(AND(ISNUMBER($E916),ISNUMBER($F916)),IF($E916&gt;$F916,1,0),0)</f>
        <v>0</v>
      </c>
      <c r="X916" s="13" t="s">
        <v>76</v>
      </c>
    </row>
    <row r="917" customFormat="false" ht="15" hidden="false" customHeight="false" outlineLevel="0" collapsed="false">
      <c r="A917" s="10" t="s">
        <v>3883</v>
      </c>
      <c r="B917" s="10" t="s">
        <v>3884</v>
      </c>
      <c r="C917" s="11" t="s">
        <v>3874</v>
      </c>
      <c r="D917" s="12" t="n">
        <v>7.7262</v>
      </c>
      <c r="E917" s="12"/>
      <c r="F917" s="12"/>
      <c r="G917" s="10" t="s">
        <v>63</v>
      </c>
      <c r="H917" s="10" t="s">
        <v>440</v>
      </c>
      <c r="I917" s="11" t="s">
        <v>3875</v>
      </c>
      <c r="J917" s="10" t="s">
        <v>66</v>
      </c>
      <c r="K917" s="10" t="s">
        <v>67</v>
      </c>
      <c r="L917" s="10" t="s">
        <v>68</v>
      </c>
      <c r="M917" s="10" t="s">
        <v>69</v>
      </c>
      <c r="N917" s="10"/>
      <c r="O917" s="11" t="s">
        <v>3428</v>
      </c>
      <c r="P917" s="10" t="s">
        <v>71</v>
      </c>
      <c r="Q917" s="11" t="s">
        <v>72</v>
      </c>
      <c r="R917" s="11" t="s">
        <v>73</v>
      </c>
      <c r="S917" s="11" t="s">
        <v>74</v>
      </c>
      <c r="T917" s="11" t="s">
        <v>3885</v>
      </c>
      <c r="U917" s="10" t="n">
        <f aca="false">IF(AND($D917="",$E917="",$F917=""),1,0)</f>
        <v>0</v>
      </c>
      <c r="V917" s="10" t="n">
        <f aca="false">IF(OR($I917="",$I917="—"),1,0)</f>
        <v>0</v>
      </c>
      <c r="W917" s="10" t="n">
        <f aca="false">IF(AND(ISNUMBER($D917),ISNUMBER($E917)),IF($E917&gt;$D917,1,0),0)+IF(AND(ISNUMBER($D917),ISNUMBER($F917)),IF($D917&gt;$F917,1,0),0)+IF(AND(ISNUMBER($E917),ISNUMBER($F917)),IF($E917&gt;$F917,1,0),0)</f>
        <v>0</v>
      </c>
      <c r="X917" s="13" t="s">
        <v>76</v>
      </c>
    </row>
    <row r="918" customFormat="false" ht="15" hidden="false" customHeight="false" outlineLevel="0" collapsed="false">
      <c r="A918" s="10" t="s">
        <v>3886</v>
      </c>
      <c r="B918" s="10" t="s">
        <v>3887</v>
      </c>
      <c r="C918" s="11" t="s">
        <v>3888</v>
      </c>
      <c r="D918" s="12" t="n">
        <v>0.2945</v>
      </c>
      <c r="E918" s="12"/>
      <c r="F918" s="12"/>
      <c r="G918" s="10" t="s">
        <v>63</v>
      </c>
      <c r="H918" s="10" t="s">
        <v>3443</v>
      </c>
      <c r="I918" s="11" t="s">
        <v>3875</v>
      </c>
      <c r="J918" s="10" t="s">
        <v>66</v>
      </c>
      <c r="K918" s="10" t="s">
        <v>67</v>
      </c>
      <c r="L918" s="10" t="s">
        <v>68</v>
      </c>
      <c r="M918" s="10" t="s">
        <v>69</v>
      </c>
      <c r="N918" s="10"/>
      <c r="O918" s="11" t="s">
        <v>3422</v>
      </c>
      <c r="P918" s="10" t="s">
        <v>71</v>
      </c>
      <c r="Q918" s="11" t="s">
        <v>72</v>
      </c>
      <c r="R918" s="11" t="s">
        <v>73</v>
      </c>
      <c r="S918" s="11" t="s">
        <v>74</v>
      </c>
      <c r="T918" s="11" t="s">
        <v>3889</v>
      </c>
      <c r="U918" s="10" t="n">
        <f aca="false">IF(AND($D918="",$E918="",$F918=""),1,0)</f>
        <v>0</v>
      </c>
      <c r="V918" s="10" t="n">
        <f aca="false">IF(OR($I918="",$I918="—"),1,0)</f>
        <v>0</v>
      </c>
      <c r="W918" s="10" t="n">
        <f aca="false">IF(AND(ISNUMBER($D918),ISNUMBER($E918)),IF($E918&gt;$D918,1,0),0)+IF(AND(ISNUMBER($D918),ISNUMBER($F918)),IF($D918&gt;$F918,1,0),0)+IF(AND(ISNUMBER($E918),ISNUMBER($F918)),IF($E918&gt;$F918,1,0),0)</f>
        <v>0</v>
      </c>
      <c r="X918" s="13" t="s">
        <v>76</v>
      </c>
    </row>
    <row r="919" customFormat="false" ht="15" hidden="false" customHeight="false" outlineLevel="0" collapsed="false">
      <c r="A919" s="10" t="s">
        <v>3890</v>
      </c>
      <c r="B919" s="10" t="s">
        <v>3891</v>
      </c>
      <c r="C919" s="11" t="s">
        <v>3888</v>
      </c>
      <c r="D919" s="12" t="n">
        <v>5.1135</v>
      </c>
      <c r="E919" s="12"/>
      <c r="F919" s="12"/>
      <c r="G919" s="10" t="s">
        <v>63</v>
      </c>
      <c r="H919" s="10" t="s">
        <v>3448</v>
      </c>
      <c r="I919" s="11" t="s">
        <v>3875</v>
      </c>
      <c r="J919" s="10" t="s">
        <v>66</v>
      </c>
      <c r="K919" s="10" t="s">
        <v>67</v>
      </c>
      <c r="L919" s="10" t="s">
        <v>68</v>
      </c>
      <c r="M919" s="10" t="s">
        <v>69</v>
      </c>
      <c r="N919" s="10"/>
      <c r="O919" s="11" t="s">
        <v>3422</v>
      </c>
      <c r="P919" s="10" t="s">
        <v>71</v>
      </c>
      <c r="Q919" s="11" t="s">
        <v>72</v>
      </c>
      <c r="R919" s="11" t="s">
        <v>73</v>
      </c>
      <c r="S919" s="11" t="s">
        <v>74</v>
      </c>
      <c r="T919" s="11" t="s">
        <v>3892</v>
      </c>
      <c r="U919" s="10" t="n">
        <f aca="false">IF(AND($D919="",$E919="",$F919=""),1,0)</f>
        <v>0</v>
      </c>
      <c r="V919" s="10" t="n">
        <f aca="false">IF(OR($I919="",$I919="—"),1,0)</f>
        <v>0</v>
      </c>
      <c r="W919" s="10" t="n">
        <f aca="false">IF(AND(ISNUMBER($D919),ISNUMBER($E919)),IF($E919&gt;$D919,1,0),0)+IF(AND(ISNUMBER($D919),ISNUMBER($F919)),IF($D919&gt;$F919,1,0),0)+IF(AND(ISNUMBER($E919),ISNUMBER($F919)),IF($E919&gt;$F919,1,0),0)</f>
        <v>0</v>
      </c>
      <c r="X919" s="13" t="s">
        <v>76</v>
      </c>
    </row>
    <row r="920" customFormat="false" ht="15" hidden="false" customHeight="false" outlineLevel="0" collapsed="false">
      <c r="A920" s="10" t="s">
        <v>3893</v>
      </c>
      <c r="B920" s="10" t="s">
        <v>3894</v>
      </c>
      <c r="C920" s="11" t="s">
        <v>3888</v>
      </c>
      <c r="D920" s="12" t="n">
        <v>2.2813</v>
      </c>
      <c r="E920" s="12"/>
      <c r="F920" s="12"/>
      <c r="G920" s="10" t="s">
        <v>63</v>
      </c>
      <c r="H920" s="10" t="s">
        <v>3452</v>
      </c>
      <c r="I920" s="11" t="s">
        <v>3875</v>
      </c>
      <c r="J920" s="10" t="s">
        <v>66</v>
      </c>
      <c r="K920" s="10" t="s">
        <v>67</v>
      </c>
      <c r="L920" s="10" t="s">
        <v>68</v>
      </c>
      <c r="M920" s="10" t="s">
        <v>69</v>
      </c>
      <c r="N920" s="10"/>
      <c r="O920" s="11" t="s">
        <v>3422</v>
      </c>
      <c r="P920" s="10" t="s">
        <v>71</v>
      </c>
      <c r="Q920" s="11" t="s">
        <v>72</v>
      </c>
      <c r="R920" s="11" t="s">
        <v>73</v>
      </c>
      <c r="S920" s="11" t="s">
        <v>74</v>
      </c>
      <c r="T920" s="11" t="s">
        <v>3895</v>
      </c>
      <c r="U920" s="10" t="n">
        <f aca="false">IF(AND($D920="",$E920="",$F920=""),1,0)</f>
        <v>0</v>
      </c>
      <c r="V920" s="10" t="n">
        <f aca="false">IF(OR($I920="",$I920="—"),1,0)</f>
        <v>0</v>
      </c>
      <c r="W920" s="10" t="n">
        <f aca="false">IF(AND(ISNUMBER($D920),ISNUMBER($E920)),IF($E920&gt;$D920,1,0),0)+IF(AND(ISNUMBER($D920),ISNUMBER($F920)),IF($D920&gt;$F920,1,0),0)+IF(AND(ISNUMBER($E920),ISNUMBER($F920)),IF($E920&gt;$F920,1,0),0)</f>
        <v>0</v>
      </c>
      <c r="X920" s="13" t="s">
        <v>76</v>
      </c>
    </row>
    <row r="921" customFormat="false" ht="15" hidden="false" customHeight="false" outlineLevel="0" collapsed="false">
      <c r="A921" s="10" t="s">
        <v>3896</v>
      </c>
      <c r="B921" s="10" t="s">
        <v>3897</v>
      </c>
      <c r="C921" s="11" t="s">
        <v>3888</v>
      </c>
      <c r="D921" s="12" t="n">
        <v>2.0269</v>
      </c>
      <c r="E921" s="12"/>
      <c r="F921" s="12"/>
      <c r="G921" s="10" t="s">
        <v>63</v>
      </c>
      <c r="H921" s="10" t="s">
        <v>440</v>
      </c>
      <c r="I921" s="11" t="s">
        <v>3875</v>
      </c>
      <c r="J921" s="10" t="s">
        <v>66</v>
      </c>
      <c r="K921" s="10" t="s">
        <v>67</v>
      </c>
      <c r="L921" s="10" t="s">
        <v>68</v>
      </c>
      <c r="M921" s="10" t="s">
        <v>69</v>
      </c>
      <c r="N921" s="10"/>
      <c r="O921" s="11" t="s">
        <v>3428</v>
      </c>
      <c r="P921" s="10" t="s">
        <v>71</v>
      </c>
      <c r="Q921" s="11" t="s">
        <v>72</v>
      </c>
      <c r="R921" s="11" t="s">
        <v>73</v>
      </c>
      <c r="S921" s="11" t="s">
        <v>74</v>
      </c>
      <c r="T921" s="11" t="s">
        <v>3898</v>
      </c>
      <c r="U921" s="10" t="n">
        <f aca="false">IF(AND($D921="",$E921="",$F921=""),1,0)</f>
        <v>0</v>
      </c>
      <c r="V921" s="10" t="n">
        <f aca="false">IF(OR($I921="",$I921="—"),1,0)</f>
        <v>0</v>
      </c>
      <c r="W921" s="10" t="n">
        <f aca="false">IF(AND(ISNUMBER($D921),ISNUMBER($E921)),IF($E921&gt;$D921,1,0),0)+IF(AND(ISNUMBER($D921),ISNUMBER($F921)),IF($D921&gt;$F921,1,0),0)+IF(AND(ISNUMBER($E921),ISNUMBER($F921)),IF($E921&gt;$F921,1,0),0)</f>
        <v>0</v>
      </c>
      <c r="X921" s="13" t="s">
        <v>76</v>
      </c>
    </row>
    <row r="922" customFormat="false" ht="15" hidden="false" customHeight="false" outlineLevel="0" collapsed="false">
      <c r="A922" s="10" t="s">
        <v>3899</v>
      </c>
      <c r="B922" s="10" t="s">
        <v>3900</v>
      </c>
      <c r="C922" s="11" t="s">
        <v>3901</v>
      </c>
      <c r="D922" s="12" t="n">
        <v>0.1197</v>
      </c>
      <c r="E922" s="12"/>
      <c r="F922" s="12"/>
      <c r="G922" s="10" t="s">
        <v>63</v>
      </c>
      <c r="H922" s="10" t="s">
        <v>3443</v>
      </c>
      <c r="I922" s="11" t="s">
        <v>3875</v>
      </c>
      <c r="J922" s="10" t="s">
        <v>66</v>
      </c>
      <c r="K922" s="10" t="s">
        <v>67</v>
      </c>
      <c r="L922" s="10" t="s">
        <v>68</v>
      </c>
      <c r="M922" s="10" t="s">
        <v>69</v>
      </c>
      <c r="N922" s="10"/>
      <c r="O922" s="11" t="s">
        <v>3422</v>
      </c>
      <c r="P922" s="10" t="s">
        <v>71</v>
      </c>
      <c r="Q922" s="11" t="s">
        <v>72</v>
      </c>
      <c r="R922" s="11" t="s">
        <v>73</v>
      </c>
      <c r="S922" s="11" t="s">
        <v>74</v>
      </c>
      <c r="T922" s="11" t="s">
        <v>3902</v>
      </c>
      <c r="U922" s="10" t="n">
        <f aca="false">IF(AND($D922="",$E922="",$F922=""),1,0)</f>
        <v>0</v>
      </c>
      <c r="V922" s="10" t="n">
        <f aca="false">IF(OR($I922="",$I922="—"),1,0)</f>
        <v>0</v>
      </c>
      <c r="W922" s="10" t="n">
        <f aca="false">IF(AND(ISNUMBER($D922),ISNUMBER($E922)),IF($E922&gt;$D922,1,0),0)+IF(AND(ISNUMBER($D922),ISNUMBER($F922)),IF($D922&gt;$F922,1,0),0)+IF(AND(ISNUMBER($E922),ISNUMBER($F922)),IF($E922&gt;$F922,1,0),0)</f>
        <v>0</v>
      </c>
      <c r="X922" s="13" t="s">
        <v>76</v>
      </c>
    </row>
    <row r="923" customFormat="false" ht="15" hidden="false" customHeight="false" outlineLevel="0" collapsed="false">
      <c r="A923" s="10" t="s">
        <v>3903</v>
      </c>
      <c r="B923" s="10" t="s">
        <v>3904</v>
      </c>
      <c r="C923" s="11" t="s">
        <v>3901</v>
      </c>
      <c r="D923" s="12" t="n">
        <v>2.5758</v>
      </c>
      <c r="E923" s="12"/>
      <c r="F923" s="12"/>
      <c r="G923" s="10" t="s">
        <v>63</v>
      </c>
      <c r="H923" s="10" t="s">
        <v>3448</v>
      </c>
      <c r="I923" s="11" t="s">
        <v>3875</v>
      </c>
      <c r="J923" s="10" t="s">
        <v>66</v>
      </c>
      <c r="K923" s="10" t="s">
        <v>67</v>
      </c>
      <c r="L923" s="10" t="s">
        <v>68</v>
      </c>
      <c r="M923" s="10" t="s">
        <v>69</v>
      </c>
      <c r="N923" s="10"/>
      <c r="O923" s="11" t="s">
        <v>3422</v>
      </c>
      <c r="P923" s="10" t="s">
        <v>71</v>
      </c>
      <c r="Q923" s="11" t="s">
        <v>72</v>
      </c>
      <c r="R923" s="11" t="s">
        <v>73</v>
      </c>
      <c r="S923" s="11" t="s">
        <v>74</v>
      </c>
      <c r="T923" s="11" t="s">
        <v>3905</v>
      </c>
      <c r="U923" s="10" t="n">
        <f aca="false">IF(AND($D923="",$E923="",$F923=""),1,0)</f>
        <v>0</v>
      </c>
      <c r="V923" s="10" t="n">
        <f aca="false">IF(OR($I923="",$I923="—"),1,0)</f>
        <v>0</v>
      </c>
      <c r="W923" s="10" t="n">
        <f aca="false">IF(AND(ISNUMBER($D923),ISNUMBER($E923)),IF($E923&gt;$D923,1,0),0)+IF(AND(ISNUMBER($D923),ISNUMBER($F923)),IF($D923&gt;$F923,1,0),0)+IF(AND(ISNUMBER($E923),ISNUMBER($F923)),IF($E923&gt;$F923,1,0),0)</f>
        <v>0</v>
      </c>
      <c r="X923" s="13" t="s">
        <v>76</v>
      </c>
    </row>
    <row r="924" customFormat="false" ht="15" hidden="false" customHeight="false" outlineLevel="0" collapsed="false">
      <c r="A924" s="10" t="s">
        <v>3906</v>
      </c>
      <c r="B924" s="10" t="s">
        <v>3907</v>
      </c>
      <c r="C924" s="11" t="s">
        <v>3901</v>
      </c>
      <c r="D924" s="12" t="n">
        <v>6.2382</v>
      </c>
      <c r="E924" s="12"/>
      <c r="F924" s="12"/>
      <c r="G924" s="10" t="s">
        <v>63</v>
      </c>
      <c r="H924" s="10" t="s">
        <v>3452</v>
      </c>
      <c r="I924" s="11" t="s">
        <v>3875</v>
      </c>
      <c r="J924" s="10" t="s">
        <v>66</v>
      </c>
      <c r="K924" s="10" t="s">
        <v>67</v>
      </c>
      <c r="L924" s="10" t="s">
        <v>68</v>
      </c>
      <c r="M924" s="10" t="s">
        <v>69</v>
      </c>
      <c r="N924" s="10"/>
      <c r="O924" s="11" t="s">
        <v>3422</v>
      </c>
      <c r="P924" s="10" t="s">
        <v>71</v>
      </c>
      <c r="Q924" s="11" t="s">
        <v>72</v>
      </c>
      <c r="R924" s="11" t="s">
        <v>73</v>
      </c>
      <c r="S924" s="11" t="s">
        <v>74</v>
      </c>
      <c r="T924" s="11" t="s">
        <v>3908</v>
      </c>
      <c r="U924" s="10" t="n">
        <f aca="false">IF(AND($D924="",$E924="",$F924=""),1,0)</f>
        <v>0</v>
      </c>
      <c r="V924" s="10" t="n">
        <f aca="false">IF(OR($I924="",$I924="—"),1,0)</f>
        <v>0</v>
      </c>
      <c r="W924" s="10" t="n">
        <f aca="false">IF(AND(ISNUMBER($D924),ISNUMBER($E924)),IF($E924&gt;$D924,1,0),0)+IF(AND(ISNUMBER($D924),ISNUMBER($F924)),IF($D924&gt;$F924,1,0),0)+IF(AND(ISNUMBER($E924),ISNUMBER($F924)),IF($E924&gt;$F924,1,0),0)</f>
        <v>0</v>
      </c>
      <c r="X924" s="13" t="s">
        <v>76</v>
      </c>
    </row>
    <row r="925" customFormat="false" ht="15" hidden="false" customHeight="false" outlineLevel="0" collapsed="false">
      <c r="A925" s="10" t="s">
        <v>3909</v>
      </c>
      <c r="B925" s="10" t="s">
        <v>3910</v>
      </c>
      <c r="C925" s="11" t="s">
        <v>3901</v>
      </c>
      <c r="D925" s="12" t="n">
        <v>5.553</v>
      </c>
      <c r="E925" s="12"/>
      <c r="F925" s="12"/>
      <c r="G925" s="10" t="s">
        <v>63</v>
      </c>
      <c r="H925" s="10" t="s">
        <v>440</v>
      </c>
      <c r="I925" s="11" t="s">
        <v>3875</v>
      </c>
      <c r="J925" s="10" t="s">
        <v>66</v>
      </c>
      <c r="K925" s="10" t="s">
        <v>67</v>
      </c>
      <c r="L925" s="10" t="s">
        <v>68</v>
      </c>
      <c r="M925" s="10" t="s">
        <v>69</v>
      </c>
      <c r="N925" s="10"/>
      <c r="O925" s="11" t="s">
        <v>3428</v>
      </c>
      <c r="P925" s="10" t="s">
        <v>71</v>
      </c>
      <c r="Q925" s="11" t="s">
        <v>72</v>
      </c>
      <c r="R925" s="11" t="s">
        <v>73</v>
      </c>
      <c r="S925" s="11" t="s">
        <v>74</v>
      </c>
      <c r="T925" s="11" t="s">
        <v>3911</v>
      </c>
      <c r="U925" s="10" t="n">
        <f aca="false">IF(AND($D925="",$E925="",$F925=""),1,0)</f>
        <v>0</v>
      </c>
      <c r="V925" s="10" t="n">
        <f aca="false">IF(OR($I925="",$I925="—"),1,0)</f>
        <v>0</v>
      </c>
      <c r="W925" s="10" t="n">
        <f aca="false">IF(AND(ISNUMBER($D925),ISNUMBER($E925)),IF($E925&gt;$D925,1,0),0)+IF(AND(ISNUMBER($D925),ISNUMBER($F925)),IF($D925&gt;$F925,1,0),0)+IF(AND(ISNUMBER($E925),ISNUMBER($F925)),IF($E925&gt;$F925,1,0),0)</f>
        <v>0</v>
      </c>
      <c r="X925" s="13" t="s">
        <v>76</v>
      </c>
    </row>
    <row r="926" customFormat="false" ht="15" hidden="false" customHeight="false" outlineLevel="0" collapsed="false">
      <c r="A926" s="10" t="s">
        <v>3912</v>
      </c>
      <c r="B926" s="10" t="s">
        <v>3913</v>
      </c>
      <c r="C926" s="11" t="s">
        <v>3914</v>
      </c>
      <c r="D926" s="12" t="n">
        <v>0</v>
      </c>
      <c r="E926" s="12"/>
      <c r="F926" s="12"/>
      <c r="G926" s="10" t="s">
        <v>63</v>
      </c>
      <c r="H926" s="10" t="s">
        <v>3443</v>
      </c>
      <c r="I926" s="11" t="s">
        <v>3915</v>
      </c>
      <c r="J926" s="10" t="s">
        <v>66</v>
      </c>
      <c r="K926" s="10" t="s">
        <v>67</v>
      </c>
      <c r="L926" s="10" t="s">
        <v>68</v>
      </c>
      <c r="M926" s="10" t="s">
        <v>69</v>
      </c>
      <c r="N926" s="10"/>
      <c r="O926" s="11" t="s">
        <v>3422</v>
      </c>
      <c r="P926" s="10" t="s">
        <v>71</v>
      </c>
      <c r="Q926" s="11" t="s">
        <v>72</v>
      </c>
      <c r="R926" s="11" t="s">
        <v>73</v>
      </c>
      <c r="S926" s="11" t="s">
        <v>74</v>
      </c>
      <c r="T926" s="11" t="s">
        <v>3916</v>
      </c>
      <c r="U926" s="10" t="n">
        <f aca="false">IF(AND($D926="",$E926="",$F926=""),1,0)</f>
        <v>0</v>
      </c>
      <c r="V926" s="10" t="n">
        <f aca="false">IF(OR($I926="",$I926="—"),1,0)</f>
        <v>0</v>
      </c>
      <c r="W926" s="10" t="n">
        <f aca="false">IF(AND(ISNUMBER($D926),ISNUMBER($E926)),IF($E926&gt;$D926,1,0),0)+IF(AND(ISNUMBER($D926),ISNUMBER($F926)),IF($D926&gt;$F926,1,0),0)+IF(AND(ISNUMBER($E926),ISNUMBER($F926)),IF($E926&gt;$F926,1,0),0)</f>
        <v>0</v>
      </c>
      <c r="X926" s="13" t="s">
        <v>76</v>
      </c>
    </row>
    <row r="927" customFormat="false" ht="15" hidden="false" customHeight="false" outlineLevel="0" collapsed="false">
      <c r="A927" s="10" t="s">
        <v>3917</v>
      </c>
      <c r="B927" s="10" t="s">
        <v>3918</v>
      </c>
      <c r="C927" s="11" t="s">
        <v>3914</v>
      </c>
      <c r="D927" s="12" t="n">
        <v>0.8461</v>
      </c>
      <c r="E927" s="12"/>
      <c r="F927" s="12"/>
      <c r="G927" s="10" t="s">
        <v>63</v>
      </c>
      <c r="H927" s="10" t="s">
        <v>3448</v>
      </c>
      <c r="I927" s="11" t="s">
        <v>3915</v>
      </c>
      <c r="J927" s="10" t="s">
        <v>66</v>
      </c>
      <c r="K927" s="10" t="s">
        <v>67</v>
      </c>
      <c r="L927" s="10" t="s">
        <v>68</v>
      </c>
      <c r="M927" s="10" t="s">
        <v>69</v>
      </c>
      <c r="N927" s="10"/>
      <c r="O927" s="11" t="s">
        <v>3422</v>
      </c>
      <c r="P927" s="10" t="s">
        <v>71</v>
      </c>
      <c r="Q927" s="11" t="s">
        <v>72</v>
      </c>
      <c r="R927" s="11" t="s">
        <v>73</v>
      </c>
      <c r="S927" s="11" t="s">
        <v>74</v>
      </c>
      <c r="T927" s="11" t="s">
        <v>3919</v>
      </c>
      <c r="U927" s="10" t="n">
        <f aca="false">IF(AND($D927="",$E927="",$F927=""),1,0)</f>
        <v>0</v>
      </c>
      <c r="V927" s="10" t="n">
        <f aca="false">IF(OR($I927="",$I927="—"),1,0)</f>
        <v>0</v>
      </c>
      <c r="W927" s="10" t="n">
        <f aca="false">IF(AND(ISNUMBER($D927),ISNUMBER($E927)),IF($E927&gt;$D927,1,0),0)+IF(AND(ISNUMBER($D927),ISNUMBER($F927)),IF($D927&gt;$F927,1,0),0)+IF(AND(ISNUMBER($E927),ISNUMBER($F927)),IF($E927&gt;$F927,1,0),0)</f>
        <v>0</v>
      </c>
      <c r="X927" s="13" t="s">
        <v>76</v>
      </c>
    </row>
    <row r="928" customFormat="false" ht="15" hidden="false" customHeight="false" outlineLevel="0" collapsed="false">
      <c r="A928" s="10" t="s">
        <v>3920</v>
      </c>
      <c r="B928" s="10" t="s">
        <v>3921</v>
      </c>
      <c r="C928" s="11" t="s">
        <v>3914</v>
      </c>
      <c r="D928" s="12" t="n">
        <v>4.8374</v>
      </c>
      <c r="E928" s="12"/>
      <c r="F928" s="12"/>
      <c r="G928" s="10" t="s">
        <v>63</v>
      </c>
      <c r="H928" s="10" t="s">
        <v>3452</v>
      </c>
      <c r="I928" s="11" t="s">
        <v>3915</v>
      </c>
      <c r="J928" s="10" t="s">
        <v>66</v>
      </c>
      <c r="K928" s="10" t="s">
        <v>67</v>
      </c>
      <c r="L928" s="10" t="s">
        <v>68</v>
      </c>
      <c r="M928" s="10" t="s">
        <v>69</v>
      </c>
      <c r="N928" s="10"/>
      <c r="O928" s="11" t="s">
        <v>3422</v>
      </c>
      <c r="P928" s="10" t="s">
        <v>71</v>
      </c>
      <c r="Q928" s="11" t="s">
        <v>72</v>
      </c>
      <c r="R928" s="11" t="s">
        <v>73</v>
      </c>
      <c r="S928" s="11" t="s">
        <v>74</v>
      </c>
      <c r="T928" s="11" t="s">
        <v>3922</v>
      </c>
      <c r="U928" s="10" t="n">
        <f aca="false">IF(AND($D928="",$E928="",$F928=""),1,0)</f>
        <v>0</v>
      </c>
      <c r="V928" s="10" t="n">
        <f aca="false">IF(OR($I928="",$I928="—"),1,0)</f>
        <v>0</v>
      </c>
      <c r="W928" s="10" t="n">
        <f aca="false">IF(AND(ISNUMBER($D928),ISNUMBER($E928)),IF($E928&gt;$D928,1,0),0)+IF(AND(ISNUMBER($D928),ISNUMBER($F928)),IF($D928&gt;$F928,1,0),0)+IF(AND(ISNUMBER($E928),ISNUMBER($F928)),IF($E928&gt;$F928,1,0),0)</f>
        <v>0</v>
      </c>
      <c r="X928" s="13" t="s">
        <v>76</v>
      </c>
    </row>
    <row r="929" customFormat="false" ht="15" hidden="false" customHeight="false" outlineLevel="0" collapsed="false">
      <c r="A929" s="10" t="s">
        <v>3923</v>
      </c>
      <c r="B929" s="10" t="s">
        <v>3924</v>
      </c>
      <c r="C929" s="11" t="s">
        <v>3914</v>
      </c>
      <c r="D929" s="12" t="n">
        <v>4.0377</v>
      </c>
      <c r="E929" s="12"/>
      <c r="F929" s="12"/>
      <c r="G929" s="10" t="s">
        <v>63</v>
      </c>
      <c r="H929" s="10" t="s">
        <v>440</v>
      </c>
      <c r="I929" s="11" t="s">
        <v>3915</v>
      </c>
      <c r="J929" s="10" t="s">
        <v>66</v>
      </c>
      <c r="K929" s="10" t="s">
        <v>67</v>
      </c>
      <c r="L929" s="10" t="s">
        <v>68</v>
      </c>
      <c r="M929" s="10" t="s">
        <v>69</v>
      </c>
      <c r="N929" s="10"/>
      <c r="O929" s="11" t="s">
        <v>3428</v>
      </c>
      <c r="P929" s="10" t="s">
        <v>71</v>
      </c>
      <c r="Q929" s="11" t="s">
        <v>72</v>
      </c>
      <c r="R929" s="11" t="s">
        <v>73</v>
      </c>
      <c r="S929" s="11" t="s">
        <v>74</v>
      </c>
      <c r="T929" s="11" t="s">
        <v>3925</v>
      </c>
      <c r="U929" s="10" t="n">
        <f aca="false">IF(AND($D929="",$E929="",$F929=""),1,0)</f>
        <v>0</v>
      </c>
      <c r="V929" s="10" t="n">
        <f aca="false">IF(OR($I929="",$I929="—"),1,0)</f>
        <v>0</v>
      </c>
      <c r="W929" s="10" t="n">
        <f aca="false">IF(AND(ISNUMBER($D929),ISNUMBER($E929)),IF($E929&gt;$D929,1,0),0)+IF(AND(ISNUMBER($D929),ISNUMBER($F929)),IF($D929&gt;$F929,1,0),0)+IF(AND(ISNUMBER($E929),ISNUMBER($F929)),IF($E929&gt;$F929,1,0),0)</f>
        <v>0</v>
      </c>
      <c r="X929" s="13" t="s">
        <v>76</v>
      </c>
    </row>
    <row r="930" customFormat="false" ht="15" hidden="false" customHeight="false" outlineLevel="0" collapsed="false">
      <c r="A930" s="10" t="s">
        <v>3926</v>
      </c>
      <c r="B930" s="10" t="s">
        <v>3927</v>
      </c>
      <c r="C930" s="11" t="s">
        <v>3928</v>
      </c>
      <c r="D930" s="12" t="n">
        <v>0.1197</v>
      </c>
      <c r="E930" s="12"/>
      <c r="F930" s="12"/>
      <c r="G930" s="10" t="s">
        <v>63</v>
      </c>
      <c r="H930" s="10" t="s">
        <v>3443</v>
      </c>
      <c r="I930" s="11" t="s">
        <v>3915</v>
      </c>
      <c r="J930" s="10" t="s">
        <v>66</v>
      </c>
      <c r="K930" s="10" t="s">
        <v>67</v>
      </c>
      <c r="L930" s="10" t="s">
        <v>68</v>
      </c>
      <c r="M930" s="10" t="s">
        <v>69</v>
      </c>
      <c r="N930" s="10"/>
      <c r="O930" s="11" t="s">
        <v>3422</v>
      </c>
      <c r="P930" s="10" t="s">
        <v>71</v>
      </c>
      <c r="Q930" s="11" t="s">
        <v>72</v>
      </c>
      <c r="R930" s="11" t="s">
        <v>73</v>
      </c>
      <c r="S930" s="11" t="s">
        <v>74</v>
      </c>
      <c r="T930" s="11" t="s">
        <v>3929</v>
      </c>
      <c r="U930" s="10" t="n">
        <f aca="false">IF(AND($D930="",$E930="",$F930=""),1,0)</f>
        <v>0</v>
      </c>
      <c r="V930" s="10" t="n">
        <f aca="false">IF(OR($I930="",$I930="—"),1,0)</f>
        <v>0</v>
      </c>
      <c r="W930" s="10" t="n">
        <f aca="false">IF(AND(ISNUMBER($D930),ISNUMBER($E930)),IF($E930&gt;$D930,1,0),0)+IF(AND(ISNUMBER($D930),ISNUMBER($F930)),IF($D930&gt;$F930,1,0),0)+IF(AND(ISNUMBER($E930),ISNUMBER($F930)),IF($E930&gt;$F930,1,0),0)</f>
        <v>0</v>
      </c>
      <c r="X930" s="13" t="s">
        <v>76</v>
      </c>
    </row>
    <row r="931" customFormat="false" ht="15" hidden="false" customHeight="false" outlineLevel="0" collapsed="false">
      <c r="A931" s="10" t="s">
        <v>3930</v>
      </c>
      <c r="B931" s="10" t="s">
        <v>3931</v>
      </c>
      <c r="C931" s="11" t="s">
        <v>3928</v>
      </c>
      <c r="D931" s="12" t="n">
        <v>1.7297</v>
      </c>
      <c r="E931" s="12"/>
      <c r="F931" s="12"/>
      <c r="G931" s="10" t="s">
        <v>63</v>
      </c>
      <c r="H931" s="10" t="s">
        <v>3448</v>
      </c>
      <c r="I931" s="11" t="s">
        <v>3915</v>
      </c>
      <c r="J931" s="10" t="s">
        <v>66</v>
      </c>
      <c r="K931" s="10" t="s">
        <v>67</v>
      </c>
      <c r="L931" s="10" t="s">
        <v>68</v>
      </c>
      <c r="M931" s="10" t="s">
        <v>69</v>
      </c>
      <c r="N931" s="10"/>
      <c r="O931" s="11" t="s">
        <v>3422</v>
      </c>
      <c r="P931" s="10" t="s">
        <v>71</v>
      </c>
      <c r="Q931" s="11" t="s">
        <v>72</v>
      </c>
      <c r="R931" s="11" t="s">
        <v>73</v>
      </c>
      <c r="S931" s="11" t="s">
        <v>74</v>
      </c>
      <c r="T931" s="11" t="s">
        <v>3932</v>
      </c>
      <c r="U931" s="10" t="n">
        <f aca="false">IF(AND($D931="",$E931="",$F931=""),1,0)</f>
        <v>0</v>
      </c>
      <c r="V931" s="10" t="n">
        <f aca="false">IF(OR($I931="",$I931="—"),1,0)</f>
        <v>0</v>
      </c>
      <c r="W931" s="10" t="n">
        <f aca="false">IF(AND(ISNUMBER($D931),ISNUMBER($E931)),IF($E931&gt;$D931,1,0),0)+IF(AND(ISNUMBER($D931),ISNUMBER($F931)),IF($D931&gt;$F931,1,0),0)+IF(AND(ISNUMBER($E931),ISNUMBER($F931)),IF($E931&gt;$F931,1,0),0)</f>
        <v>0</v>
      </c>
      <c r="X931" s="13" t="s">
        <v>76</v>
      </c>
    </row>
    <row r="932" customFormat="false" ht="15" hidden="false" customHeight="false" outlineLevel="0" collapsed="false">
      <c r="A932" s="10" t="s">
        <v>3933</v>
      </c>
      <c r="B932" s="10" t="s">
        <v>3934</v>
      </c>
      <c r="C932" s="11" t="s">
        <v>3928</v>
      </c>
      <c r="D932" s="12" t="n">
        <v>1.4009</v>
      </c>
      <c r="E932" s="12"/>
      <c r="F932" s="12"/>
      <c r="G932" s="10" t="s">
        <v>63</v>
      </c>
      <c r="H932" s="10" t="s">
        <v>3452</v>
      </c>
      <c r="I932" s="11" t="s">
        <v>3915</v>
      </c>
      <c r="J932" s="10" t="s">
        <v>66</v>
      </c>
      <c r="K932" s="10" t="s">
        <v>67</v>
      </c>
      <c r="L932" s="10" t="s">
        <v>68</v>
      </c>
      <c r="M932" s="10" t="s">
        <v>69</v>
      </c>
      <c r="N932" s="10"/>
      <c r="O932" s="11" t="s">
        <v>3422</v>
      </c>
      <c r="P932" s="10" t="s">
        <v>71</v>
      </c>
      <c r="Q932" s="11" t="s">
        <v>72</v>
      </c>
      <c r="R932" s="11" t="s">
        <v>73</v>
      </c>
      <c r="S932" s="11" t="s">
        <v>74</v>
      </c>
      <c r="T932" s="11" t="s">
        <v>3935</v>
      </c>
      <c r="U932" s="10" t="n">
        <f aca="false">IF(AND($D932="",$E932="",$F932=""),1,0)</f>
        <v>0</v>
      </c>
      <c r="V932" s="10" t="n">
        <f aca="false">IF(OR($I932="",$I932="—"),1,0)</f>
        <v>0</v>
      </c>
      <c r="W932" s="10" t="n">
        <f aca="false">IF(AND(ISNUMBER($D932),ISNUMBER($E932)),IF($E932&gt;$D932,1,0),0)+IF(AND(ISNUMBER($D932),ISNUMBER($F932)),IF($D932&gt;$F932,1,0),0)+IF(AND(ISNUMBER($E932),ISNUMBER($F932)),IF($E932&gt;$F932,1,0),0)</f>
        <v>0</v>
      </c>
      <c r="X932" s="13" t="s">
        <v>76</v>
      </c>
    </row>
    <row r="933" customFormat="false" ht="15" hidden="false" customHeight="false" outlineLevel="0" collapsed="false">
      <c r="A933" s="10" t="s">
        <v>3936</v>
      </c>
      <c r="B933" s="10" t="s">
        <v>3937</v>
      </c>
      <c r="C933" s="11" t="s">
        <v>3928</v>
      </c>
      <c r="D933" s="12" t="n">
        <v>1.5154</v>
      </c>
      <c r="E933" s="12"/>
      <c r="F933" s="12"/>
      <c r="G933" s="10" t="s">
        <v>63</v>
      </c>
      <c r="H933" s="10" t="s">
        <v>440</v>
      </c>
      <c r="I933" s="11" t="s">
        <v>3915</v>
      </c>
      <c r="J933" s="10" t="s">
        <v>66</v>
      </c>
      <c r="K933" s="10" t="s">
        <v>67</v>
      </c>
      <c r="L933" s="10" t="s">
        <v>68</v>
      </c>
      <c r="M933" s="10" t="s">
        <v>69</v>
      </c>
      <c r="N933" s="10"/>
      <c r="O933" s="11" t="s">
        <v>3428</v>
      </c>
      <c r="P933" s="10" t="s">
        <v>71</v>
      </c>
      <c r="Q933" s="11" t="s">
        <v>72</v>
      </c>
      <c r="R933" s="11" t="s">
        <v>73</v>
      </c>
      <c r="S933" s="11" t="s">
        <v>74</v>
      </c>
      <c r="T933" s="11" t="s">
        <v>3938</v>
      </c>
      <c r="U933" s="10" t="n">
        <f aca="false">IF(AND($D933="",$E933="",$F933=""),1,0)</f>
        <v>0</v>
      </c>
      <c r="V933" s="10" t="n">
        <f aca="false">IF(OR($I933="",$I933="—"),1,0)</f>
        <v>0</v>
      </c>
      <c r="W933" s="10" t="n">
        <f aca="false">IF(AND(ISNUMBER($D933),ISNUMBER($E933)),IF($E933&gt;$D933,1,0),0)+IF(AND(ISNUMBER($D933),ISNUMBER($F933)),IF($D933&gt;$F933,1,0),0)+IF(AND(ISNUMBER($E933),ISNUMBER($F933)),IF($E933&gt;$F933,1,0),0)</f>
        <v>0</v>
      </c>
      <c r="X933" s="13" t="s">
        <v>76</v>
      </c>
    </row>
    <row r="934" customFormat="false" ht="15" hidden="false" customHeight="false" outlineLevel="0" collapsed="false">
      <c r="A934" s="10" t="s">
        <v>3939</v>
      </c>
      <c r="B934" s="10" t="s">
        <v>3940</v>
      </c>
      <c r="C934" s="11" t="s">
        <v>3941</v>
      </c>
      <c r="D934" s="12" t="n">
        <v>0.1657</v>
      </c>
      <c r="E934" s="12"/>
      <c r="F934" s="12"/>
      <c r="G934" s="10" t="s">
        <v>63</v>
      </c>
      <c r="H934" s="10" t="s">
        <v>64</v>
      </c>
      <c r="I934" s="11" t="s">
        <v>3942</v>
      </c>
      <c r="J934" s="10" t="s">
        <v>66</v>
      </c>
      <c r="K934" s="10" t="s">
        <v>67</v>
      </c>
      <c r="L934" s="10" t="s">
        <v>68</v>
      </c>
      <c r="M934" s="10" t="s">
        <v>69</v>
      </c>
      <c r="N934" s="10"/>
      <c r="O934" s="11" t="s">
        <v>3422</v>
      </c>
      <c r="P934" s="10" t="s">
        <v>71</v>
      </c>
      <c r="Q934" s="11" t="s">
        <v>72</v>
      </c>
      <c r="R934" s="11" t="s">
        <v>73</v>
      </c>
      <c r="S934" s="11" t="s">
        <v>74</v>
      </c>
      <c r="T934" s="11" t="s">
        <v>3943</v>
      </c>
      <c r="U934" s="10" t="n">
        <f aca="false">IF(AND($D934="",$E934="",$F934=""),1,0)</f>
        <v>0</v>
      </c>
      <c r="V934" s="10" t="n">
        <f aca="false">IF(OR($I934="",$I934="—"),1,0)</f>
        <v>0</v>
      </c>
      <c r="W934" s="10" t="n">
        <f aca="false">IF(AND(ISNUMBER($D934),ISNUMBER($E934)),IF($E934&gt;$D934,1,0),0)+IF(AND(ISNUMBER($D934),ISNUMBER($F934)),IF($D934&gt;$F934,1,0),0)+IF(AND(ISNUMBER($E934),ISNUMBER($F934)),IF($E934&gt;$F934,1,0),0)</f>
        <v>0</v>
      </c>
      <c r="X934" s="13" t="s">
        <v>76</v>
      </c>
    </row>
    <row r="935" customFormat="false" ht="15" hidden="false" customHeight="false" outlineLevel="0" collapsed="false">
      <c r="A935" s="10" t="s">
        <v>3944</v>
      </c>
      <c r="B935" s="10" t="s">
        <v>3945</v>
      </c>
      <c r="C935" s="11" t="s">
        <v>3941</v>
      </c>
      <c r="D935" s="12" t="n">
        <v>0.6382</v>
      </c>
      <c r="E935" s="12"/>
      <c r="F935" s="12"/>
      <c r="G935" s="10" t="s">
        <v>63</v>
      </c>
      <c r="H935" s="10" t="s">
        <v>79</v>
      </c>
      <c r="I935" s="11" t="s">
        <v>3942</v>
      </c>
      <c r="J935" s="10" t="s">
        <v>66</v>
      </c>
      <c r="K935" s="10" t="s">
        <v>67</v>
      </c>
      <c r="L935" s="10" t="s">
        <v>68</v>
      </c>
      <c r="M935" s="10" t="s">
        <v>69</v>
      </c>
      <c r="N935" s="10"/>
      <c r="O935" s="11" t="s">
        <v>3422</v>
      </c>
      <c r="P935" s="10" t="s">
        <v>71</v>
      </c>
      <c r="Q935" s="11" t="s">
        <v>72</v>
      </c>
      <c r="R935" s="11" t="s">
        <v>73</v>
      </c>
      <c r="S935" s="11" t="s">
        <v>74</v>
      </c>
      <c r="T935" s="11" t="s">
        <v>3946</v>
      </c>
      <c r="U935" s="10" t="n">
        <f aca="false">IF(AND($D935="",$E935="",$F935=""),1,0)</f>
        <v>0</v>
      </c>
      <c r="V935" s="10" t="n">
        <f aca="false">IF(OR($I935="",$I935="—"),1,0)</f>
        <v>0</v>
      </c>
      <c r="W935" s="10" t="n">
        <f aca="false">IF(AND(ISNUMBER($D935),ISNUMBER($E935)),IF($E935&gt;$D935,1,0),0)+IF(AND(ISNUMBER($D935),ISNUMBER($F935)),IF($D935&gt;$F935,1,0),0)+IF(AND(ISNUMBER($E935),ISNUMBER($F935)),IF($E935&gt;$F935,1,0),0)</f>
        <v>0</v>
      </c>
      <c r="X935" s="13" t="s">
        <v>76</v>
      </c>
    </row>
    <row r="936" customFormat="false" ht="15" hidden="false" customHeight="false" outlineLevel="0" collapsed="false">
      <c r="A936" s="10" t="s">
        <v>3947</v>
      </c>
      <c r="B936" s="10" t="s">
        <v>3948</v>
      </c>
      <c r="C936" s="11" t="s">
        <v>3941</v>
      </c>
      <c r="D936" s="12" t="n">
        <v>2.7025</v>
      </c>
      <c r="E936" s="12"/>
      <c r="F936" s="12"/>
      <c r="G936" s="10" t="s">
        <v>63</v>
      </c>
      <c r="H936" s="10" t="s">
        <v>83</v>
      </c>
      <c r="I936" s="11" t="s">
        <v>3942</v>
      </c>
      <c r="J936" s="10" t="s">
        <v>66</v>
      </c>
      <c r="K936" s="10" t="s">
        <v>67</v>
      </c>
      <c r="L936" s="10" t="s">
        <v>68</v>
      </c>
      <c r="M936" s="10" t="s">
        <v>69</v>
      </c>
      <c r="N936" s="10"/>
      <c r="O936" s="11" t="s">
        <v>3422</v>
      </c>
      <c r="P936" s="10" t="s">
        <v>71</v>
      </c>
      <c r="Q936" s="11" t="s">
        <v>72</v>
      </c>
      <c r="R936" s="11" t="s">
        <v>73</v>
      </c>
      <c r="S936" s="11" t="s">
        <v>74</v>
      </c>
      <c r="T936" s="11" t="s">
        <v>3949</v>
      </c>
      <c r="U936" s="10" t="n">
        <f aca="false">IF(AND($D936="",$E936="",$F936=""),1,0)</f>
        <v>0</v>
      </c>
      <c r="V936" s="10" t="n">
        <f aca="false">IF(OR($I936="",$I936="—"),1,0)</f>
        <v>0</v>
      </c>
      <c r="W936" s="10" t="n">
        <f aca="false">IF(AND(ISNUMBER($D936),ISNUMBER($E936)),IF($E936&gt;$D936,1,0),0)+IF(AND(ISNUMBER($D936),ISNUMBER($F936)),IF($D936&gt;$F936,1,0),0)+IF(AND(ISNUMBER($E936),ISNUMBER($F936)),IF($E936&gt;$F936,1,0),0)</f>
        <v>0</v>
      </c>
      <c r="X936" s="13" t="s">
        <v>76</v>
      </c>
    </row>
    <row r="937" customFormat="false" ht="15" hidden="false" customHeight="false" outlineLevel="0" collapsed="false">
      <c r="A937" s="10" t="s">
        <v>3950</v>
      </c>
      <c r="B937" s="10" t="s">
        <v>3951</v>
      </c>
      <c r="C937" s="11" t="s">
        <v>3941</v>
      </c>
      <c r="D937" s="12" t="n">
        <v>1.3111</v>
      </c>
      <c r="E937" s="12"/>
      <c r="F937" s="12"/>
      <c r="G937" s="10" t="s">
        <v>63</v>
      </c>
      <c r="H937" s="10" t="s">
        <v>87</v>
      </c>
      <c r="I937" s="11" t="s">
        <v>3942</v>
      </c>
      <c r="J937" s="10" t="s">
        <v>66</v>
      </c>
      <c r="K937" s="10" t="s">
        <v>67</v>
      </c>
      <c r="L937" s="10" t="s">
        <v>68</v>
      </c>
      <c r="M937" s="10" t="s">
        <v>69</v>
      </c>
      <c r="N937" s="10"/>
      <c r="O937" s="11" t="s">
        <v>3608</v>
      </c>
      <c r="P937" s="10" t="s">
        <v>71</v>
      </c>
      <c r="Q937" s="11" t="s">
        <v>72</v>
      </c>
      <c r="R937" s="11" t="s">
        <v>73</v>
      </c>
      <c r="S937" s="11" t="s">
        <v>74</v>
      </c>
      <c r="T937" s="11" t="s">
        <v>3952</v>
      </c>
      <c r="U937" s="10" t="n">
        <f aca="false">IF(AND($D937="",$E937="",$F937=""),1,0)</f>
        <v>0</v>
      </c>
      <c r="V937" s="10" t="n">
        <f aca="false">IF(OR($I937="",$I937="—"),1,0)</f>
        <v>0</v>
      </c>
      <c r="W937" s="10" t="n">
        <f aca="false">IF(AND(ISNUMBER($D937),ISNUMBER($E937)),IF($E937&gt;$D937,1,0),0)+IF(AND(ISNUMBER($D937),ISNUMBER($F937)),IF($D937&gt;$F937,1,0),0)+IF(AND(ISNUMBER($E937),ISNUMBER($F937)),IF($E937&gt;$F937,1,0),0)</f>
        <v>0</v>
      </c>
      <c r="X937" s="13" t="s">
        <v>76</v>
      </c>
    </row>
    <row r="938" customFormat="false" ht="15" hidden="false" customHeight="false" outlineLevel="0" collapsed="false">
      <c r="A938" s="10" t="s">
        <v>3953</v>
      </c>
      <c r="B938" s="10" t="s">
        <v>3954</v>
      </c>
      <c r="C938" s="11" t="s">
        <v>3941</v>
      </c>
      <c r="D938" s="12" t="n">
        <v>1.3291</v>
      </c>
      <c r="E938" s="12"/>
      <c r="F938" s="12"/>
      <c r="G938" s="10" t="s">
        <v>63</v>
      </c>
      <c r="H938" s="10" t="s">
        <v>92</v>
      </c>
      <c r="I938" s="11" t="s">
        <v>3942</v>
      </c>
      <c r="J938" s="10" t="s">
        <v>66</v>
      </c>
      <c r="K938" s="10" t="s">
        <v>67</v>
      </c>
      <c r="L938" s="10" t="s">
        <v>68</v>
      </c>
      <c r="M938" s="10" t="s">
        <v>69</v>
      </c>
      <c r="N938" s="10"/>
      <c r="O938" s="11" t="s">
        <v>3428</v>
      </c>
      <c r="P938" s="10" t="s">
        <v>71</v>
      </c>
      <c r="Q938" s="11" t="s">
        <v>72</v>
      </c>
      <c r="R938" s="11" t="s">
        <v>73</v>
      </c>
      <c r="S938" s="11" t="s">
        <v>74</v>
      </c>
      <c r="T938" s="11" t="s">
        <v>3955</v>
      </c>
      <c r="U938" s="10" t="n">
        <f aca="false">IF(AND($D938="",$E938="",$F938=""),1,0)</f>
        <v>0</v>
      </c>
      <c r="V938" s="10" t="n">
        <f aca="false">IF(OR($I938="",$I938="—"),1,0)</f>
        <v>0</v>
      </c>
      <c r="W938" s="10" t="n">
        <f aca="false">IF(AND(ISNUMBER($D938),ISNUMBER($E938)),IF($E938&gt;$D938,1,0),0)+IF(AND(ISNUMBER($D938),ISNUMBER($F938)),IF($D938&gt;$F938,1,0),0)+IF(AND(ISNUMBER($E938),ISNUMBER($F938)),IF($E938&gt;$F938,1,0),0)</f>
        <v>0</v>
      </c>
      <c r="X938" s="13" t="s">
        <v>76</v>
      </c>
    </row>
    <row r="939" customFormat="false" ht="15" hidden="false" customHeight="false" outlineLevel="0" collapsed="false">
      <c r="A939" s="10" t="s">
        <v>3956</v>
      </c>
      <c r="B939" s="10" t="s">
        <v>3957</v>
      </c>
      <c r="C939" s="11" t="s">
        <v>3958</v>
      </c>
      <c r="D939" s="12" t="n">
        <v>0</v>
      </c>
      <c r="E939" s="12"/>
      <c r="F939" s="12"/>
      <c r="G939" s="10" t="s">
        <v>63</v>
      </c>
      <c r="H939" s="10" t="s">
        <v>64</v>
      </c>
      <c r="I939" s="11" t="s">
        <v>3633</v>
      </c>
      <c r="J939" s="10" t="s">
        <v>66</v>
      </c>
      <c r="K939" s="10" t="s">
        <v>67</v>
      </c>
      <c r="L939" s="10" t="s">
        <v>68</v>
      </c>
      <c r="M939" s="10" t="s">
        <v>69</v>
      </c>
      <c r="N939" s="10"/>
      <c r="O939" s="11" t="s">
        <v>3422</v>
      </c>
      <c r="P939" s="10" t="s">
        <v>71</v>
      </c>
      <c r="Q939" s="11" t="s">
        <v>72</v>
      </c>
      <c r="R939" s="11" t="s">
        <v>73</v>
      </c>
      <c r="S939" s="11" t="s">
        <v>74</v>
      </c>
      <c r="T939" s="11" t="s">
        <v>3959</v>
      </c>
      <c r="U939" s="10" t="n">
        <f aca="false">IF(AND($D939="",$E939="",$F939=""),1,0)</f>
        <v>0</v>
      </c>
      <c r="V939" s="10" t="n">
        <f aca="false">IF(OR($I939="",$I939="—"),1,0)</f>
        <v>0</v>
      </c>
      <c r="W939" s="10" t="n">
        <f aca="false">IF(AND(ISNUMBER($D939),ISNUMBER($E939)),IF($E939&gt;$D939,1,0),0)+IF(AND(ISNUMBER($D939),ISNUMBER($F939)),IF($D939&gt;$F939,1,0),0)+IF(AND(ISNUMBER($E939),ISNUMBER($F939)),IF($E939&gt;$F939,1,0),0)</f>
        <v>0</v>
      </c>
      <c r="X939" s="13" t="s">
        <v>76</v>
      </c>
    </row>
    <row r="940" customFormat="false" ht="15" hidden="false" customHeight="false" outlineLevel="0" collapsed="false">
      <c r="A940" s="10" t="s">
        <v>3960</v>
      </c>
      <c r="B940" s="10" t="s">
        <v>3961</v>
      </c>
      <c r="C940" s="11" t="s">
        <v>3958</v>
      </c>
      <c r="D940" s="12" t="n">
        <v>0.0354</v>
      </c>
      <c r="E940" s="12"/>
      <c r="F940" s="12"/>
      <c r="G940" s="10" t="s">
        <v>63</v>
      </c>
      <c r="H940" s="10" t="s">
        <v>79</v>
      </c>
      <c r="I940" s="11" t="s">
        <v>3633</v>
      </c>
      <c r="J940" s="10" t="s">
        <v>66</v>
      </c>
      <c r="K940" s="10" t="s">
        <v>67</v>
      </c>
      <c r="L940" s="10" t="s">
        <v>68</v>
      </c>
      <c r="M940" s="10" t="s">
        <v>69</v>
      </c>
      <c r="N940" s="10"/>
      <c r="O940" s="11" t="s">
        <v>3422</v>
      </c>
      <c r="P940" s="10" t="s">
        <v>71</v>
      </c>
      <c r="Q940" s="11" t="s">
        <v>72</v>
      </c>
      <c r="R940" s="11" t="s">
        <v>73</v>
      </c>
      <c r="S940" s="11" t="s">
        <v>74</v>
      </c>
      <c r="T940" s="11" t="s">
        <v>3962</v>
      </c>
      <c r="U940" s="10" t="n">
        <f aca="false">IF(AND($D940="",$E940="",$F940=""),1,0)</f>
        <v>0</v>
      </c>
      <c r="V940" s="10" t="n">
        <f aca="false">IF(OR($I940="",$I940="—"),1,0)</f>
        <v>0</v>
      </c>
      <c r="W940" s="10" t="n">
        <f aca="false">IF(AND(ISNUMBER($D940),ISNUMBER($E940)),IF($E940&gt;$D940,1,0),0)+IF(AND(ISNUMBER($D940),ISNUMBER($F940)),IF($D940&gt;$F940,1,0),0)+IF(AND(ISNUMBER($E940),ISNUMBER($F940)),IF($E940&gt;$F940,1,0),0)</f>
        <v>0</v>
      </c>
      <c r="X940" s="13" t="s">
        <v>76</v>
      </c>
    </row>
    <row r="941" customFormat="false" ht="15" hidden="false" customHeight="false" outlineLevel="0" collapsed="false">
      <c r="A941" s="10" t="s">
        <v>3963</v>
      </c>
      <c r="B941" s="10" t="s">
        <v>3964</v>
      </c>
      <c r="C941" s="11" t="s">
        <v>3958</v>
      </c>
      <c r="D941" s="12" t="n">
        <v>1.3344</v>
      </c>
      <c r="E941" s="12"/>
      <c r="F941" s="12"/>
      <c r="G941" s="10" t="s">
        <v>63</v>
      </c>
      <c r="H941" s="10" t="s">
        <v>83</v>
      </c>
      <c r="I941" s="11" t="s">
        <v>3633</v>
      </c>
      <c r="J941" s="10" t="s">
        <v>66</v>
      </c>
      <c r="K941" s="10" t="s">
        <v>67</v>
      </c>
      <c r="L941" s="10" t="s">
        <v>68</v>
      </c>
      <c r="M941" s="10" t="s">
        <v>69</v>
      </c>
      <c r="N941" s="10"/>
      <c r="O941" s="11" t="s">
        <v>3422</v>
      </c>
      <c r="P941" s="10" t="s">
        <v>71</v>
      </c>
      <c r="Q941" s="11" t="s">
        <v>72</v>
      </c>
      <c r="R941" s="11" t="s">
        <v>73</v>
      </c>
      <c r="S941" s="11" t="s">
        <v>74</v>
      </c>
      <c r="T941" s="11" t="s">
        <v>3965</v>
      </c>
      <c r="U941" s="10" t="n">
        <f aca="false">IF(AND($D941="",$E941="",$F941=""),1,0)</f>
        <v>0</v>
      </c>
      <c r="V941" s="10" t="n">
        <f aca="false">IF(OR($I941="",$I941="—"),1,0)</f>
        <v>0</v>
      </c>
      <c r="W941" s="10" t="n">
        <f aca="false">IF(AND(ISNUMBER($D941),ISNUMBER($E941)),IF($E941&gt;$D941,1,0),0)+IF(AND(ISNUMBER($D941),ISNUMBER($F941)),IF($D941&gt;$F941,1,0),0)+IF(AND(ISNUMBER($E941),ISNUMBER($F941)),IF($E941&gt;$F941,1,0),0)</f>
        <v>0</v>
      </c>
      <c r="X941" s="13" t="s">
        <v>76</v>
      </c>
    </row>
    <row r="942" customFormat="false" ht="15" hidden="false" customHeight="false" outlineLevel="0" collapsed="false">
      <c r="A942" s="10" t="s">
        <v>3966</v>
      </c>
      <c r="B942" s="10" t="s">
        <v>3967</v>
      </c>
      <c r="C942" s="11" t="s">
        <v>3958</v>
      </c>
      <c r="D942" s="12" t="n">
        <v>0.5303</v>
      </c>
      <c r="E942" s="12"/>
      <c r="F942" s="12"/>
      <c r="G942" s="10" t="s">
        <v>63</v>
      </c>
      <c r="H942" s="10" t="s">
        <v>87</v>
      </c>
      <c r="I942" s="11" t="s">
        <v>3633</v>
      </c>
      <c r="J942" s="10" t="s">
        <v>66</v>
      </c>
      <c r="K942" s="10" t="s">
        <v>67</v>
      </c>
      <c r="L942" s="10" t="s">
        <v>68</v>
      </c>
      <c r="M942" s="10" t="s">
        <v>69</v>
      </c>
      <c r="N942" s="10"/>
      <c r="O942" s="11" t="s">
        <v>3608</v>
      </c>
      <c r="P942" s="10" t="s">
        <v>71</v>
      </c>
      <c r="Q942" s="11" t="s">
        <v>72</v>
      </c>
      <c r="R942" s="11" t="s">
        <v>73</v>
      </c>
      <c r="S942" s="11" t="s">
        <v>74</v>
      </c>
      <c r="T942" s="11" t="s">
        <v>3968</v>
      </c>
      <c r="U942" s="10" t="n">
        <f aca="false">IF(AND($D942="",$E942="",$F942=""),1,0)</f>
        <v>0</v>
      </c>
      <c r="V942" s="10" t="n">
        <f aca="false">IF(OR($I942="",$I942="—"),1,0)</f>
        <v>0</v>
      </c>
      <c r="W942" s="10" t="n">
        <f aca="false">IF(AND(ISNUMBER($D942),ISNUMBER($E942)),IF($E942&gt;$D942,1,0),0)+IF(AND(ISNUMBER($D942),ISNUMBER($F942)),IF($D942&gt;$F942,1,0),0)+IF(AND(ISNUMBER($E942),ISNUMBER($F942)),IF($E942&gt;$F942,1,0),0)</f>
        <v>0</v>
      </c>
      <c r="X942" s="13" t="s">
        <v>76</v>
      </c>
    </row>
    <row r="943" customFormat="false" ht="15" hidden="false" customHeight="false" outlineLevel="0" collapsed="false">
      <c r="A943" s="10" t="s">
        <v>3969</v>
      </c>
      <c r="B943" s="10" t="s">
        <v>3970</v>
      </c>
      <c r="C943" s="11" t="s">
        <v>3958</v>
      </c>
      <c r="D943" s="12" t="n">
        <v>0.7997</v>
      </c>
      <c r="E943" s="12"/>
      <c r="F943" s="12"/>
      <c r="G943" s="10" t="s">
        <v>63</v>
      </c>
      <c r="H943" s="10" t="s">
        <v>92</v>
      </c>
      <c r="I943" s="11" t="s">
        <v>3633</v>
      </c>
      <c r="J943" s="10" t="s">
        <v>66</v>
      </c>
      <c r="K943" s="10" t="s">
        <v>67</v>
      </c>
      <c r="L943" s="10" t="s">
        <v>68</v>
      </c>
      <c r="M943" s="10" t="s">
        <v>69</v>
      </c>
      <c r="N943" s="10"/>
      <c r="O943" s="11" t="s">
        <v>3428</v>
      </c>
      <c r="P943" s="10" t="s">
        <v>71</v>
      </c>
      <c r="Q943" s="11" t="s">
        <v>72</v>
      </c>
      <c r="R943" s="11" t="s">
        <v>73</v>
      </c>
      <c r="S943" s="11" t="s">
        <v>74</v>
      </c>
      <c r="T943" s="11" t="s">
        <v>3971</v>
      </c>
      <c r="U943" s="10" t="n">
        <f aca="false">IF(AND($D943="",$E943="",$F943=""),1,0)</f>
        <v>0</v>
      </c>
      <c r="V943" s="10" t="n">
        <f aca="false">IF(OR($I943="",$I943="—"),1,0)</f>
        <v>0</v>
      </c>
      <c r="W943" s="10" t="n">
        <f aca="false">IF(AND(ISNUMBER($D943),ISNUMBER($E943)),IF($E943&gt;$D943,1,0),0)+IF(AND(ISNUMBER($D943),ISNUMBER($F943)),IF($D943&gt;$F943,1,0),0)+IF(AND(ISNUMBER($E943),ISNUMBER($F943)),IF($E943&gt;$F943,1,0),0)</f>
        <v>0</v>
      </c>
      <c r="X943" s="13" t="s">
        <v>76</v>
      </c>
    </row>
    <row r="944" customFormat="false" ht="15" hidden="false" customHeight="false" outlineLevel="0" collapsed="false">
      <c r="A944" s="10" t="s">
        <v>3972</v>
      </c>
      <c r="B944" s="10" t="s">
        <v>3973</v>
      </c>
      <c r="C944" s="11" t="s">
        <v>3974</v>
      </c>
      <c r="D944" s="12" t="n">
        <v>0.046</v>
      </c>
      <c r="E944" s="12"/>
      <c r="F944" s="12"/>
      <c r="G944" s="10" t="s">
        <v>63</v>
      </c>
      <c r="H944" s="10" t="s">
        <v>64</v>
      </c>
      <c r="I944" s="11" t="s">
        <v>3816</v>
      </c>
      <c r="J944" s="10" t="s">
        <v>66</v>
      </c>
      <c r="K944" s="10" t="s">
        <v>67</v>
      </c>
      <c r="L944" s="10" t="s">
        <v>68</v>
      </c>
      <c r="M944" s="10" t="s">
        <v>69</v>
      </c>
      <c r="N944" s="10"/>
      <c r="O944" s="11" t="s">
        <v>3422</v>
      </c>
      <c r="P944" s="10" t="s">
        <v>71</v>
      </c>
      <c r="Q944" s="11" t="s">
        <v>72</v>
      </c>
      <c r="R944" s="11" t="s">
        <v>73</v>
      </c>
      <c r="S944" s="11" t="s">
        <v>74</v>
      </c>
      <c r="T944" s="11" t="s">
        <v>3975</v>
      </c>
      <c r="U944" s="10" t="n">
        <f aca="false">IF(AND($D944="",$E944="",$F944=""),1,0)</f>
        <v>0</v>
      </c>
      <c r="V944" s="10" t="n">
        <f aca="false">IF(OR($I944="",$I944="—"),1,0)</f>
        <v>0</v>
      </c>
      <c r="W944" s="10" t="n">
        <f aca="false">IF(AND(ISNUMBER($D944),ISNUMBER($E944)),IF($E944&gt;$D944,1,0),0)+IF(AND(ISNUMBER($D944),ISNUMBER($F944)),IF($D944&gt;$F944,1,0),0)+IF(AND(ISNUMBER($E944),ISNUMBER($F944)),IF($E944&gt;$F944,1,0),0)</f>
        <v>0</v>
      </c>
      <c r="X944" s="13" t="s">
        <v>76</v>
      </c>
    </row>
    <row r="945" customFormat="false" ht="15" hidden="false" customHeight="false" outlineLevel="0" collapsed="false">
      <c r="A945" s="10" t="s">
        <v>3976</v>
      </c>
      <c r="B945" s="10" t="s">
        <v>3977</v>
      </c>
      <c r="C945" s="11" t="s">
        <v>3974</v>
      </c>
      <c r="D945" s="12" t="n">
        <v>0.1875</v>
      </c>
      <c r="E945" s="12"/>
      <c r="F945" s="12"/>
      <c r="G945" s="10" t="s">
        <v>63</v>
      </c>
      <c r="H945" s="10" t="s">
        <v>79</v>
      </c>
      <c r="I945" s="11" t="s">
        <v>3816</v>
      </c>
      <c r="J945" s="10" t="s">
        <v>66</v>
      </c>
      <c r="K945" s="10" t="s">
        <v>67</v>
      </c>
      <c r="L945" s="10" t="s">
        <v>68</v>
      </c>
      <c r="M945" s="10" t="s">
        <v>69</v>
      </c>
      <c r="N945" s="10"/>
      <c r="O945" s="11" t="s">
        <v>3422</v>
      </c>
      <c r="P945" s="10" t="s">
        <v>71</v>
      </c>
      <c r="Q945" s="11" t="s">
        <v>72</v>
      </c>
      <c r="R945" s="11" t="s">
        <v>73</v>
      </c>
      <c r="S945" s="11" t="s">
        <v>74</v>
      </c>
      <c r="T945" s="11" t="s">
        <v>3978</v>
      </c>
      <c r="U945" s="10" t="n">
        <f aca="false">IF(AND($D945="",$E945="",$F945=""),1,0)</f>
        <v>0</v>
      </c>
      <c r="V945" s="10" t="n">
        <f aca="false">IF(OR($I945="",$I945="—"),1,0)</f>
        <v>0</v>
      </c>
      <c r="W945" s="10" t="n">
        <f aca="false">IF(AND(ISNUMBER($D945),ISNUMBER($E945)),IF($E945&gt;$D945,1,0),0)+IF(AND(ISNUMBER($D945),ISNUMBER($F945)),IF($D945&gt;$F945,1,0),0)+IF(AND(ISNUMBER($E945),ISNUMBER($F945)),IF($E945&gt;$F945,1,0),0)</f>
        <v>0</v>
      </c>
      <c r="X945" s="13" t="s">
        <v>76</v>
      </c>
    </row>
    <row r="946" customFormat="false" ht="15" hidden="false" customHeight="false" outlineLevel="0" collapsed="false">
      <c r="A946" s="10" t="s">
        <v>3979</v>
      </c>
      <c r="B946" s="10" t="s">
        <v>3980</v>
      </c>
      <c r="C946" s="11" t="s">
        <v>3974</v>
      </c>
      <c r="D946" s="12" t="n">
        <v>0.8895</v>
      </c>
      <c r="E946" s="12"/>
      <c r="F946" s="12"/>
      <c r="G946" s="10" t="s">
        <v>63</v>
      </c>
      <c r="H946" s="10" t="s">
        <v>83</v>
      </c>
      <c r="I946" s="11" t="s">
        <v>3816</v>
      </c>
      <c r="J946" s="10" t="s">
        <v>66</v>
      </c>
      <c r="K946" s="10" t="s">
        <v>67</v>
      </c>
      <c r="L946" s="10" t="s">
        <v>68</v>
      </c>
      <c r="M946" s="10" t="s">
        <v>69</v>
      </c>
      <c r="N946" s="10"/>
      <c r="O946" s="11" t="s">
        <v>3422</v>
      </c>
      <c r="P946" s="10" t="s">
        <v>71</v>
      </c>
      <c r="Q946" s="11" t="s">
        <v>72</v>
      </c>
      <c r="R946" s="11" t="s">
        <v>73</v>
      </c>
      <c r="S946" s="11" t="s">
        <v>74</v>
      </c>
      <c r="T946" s="11" t="s">
        <v>3981</v>
      </c>
      <c r="U946" s="10" t="n">
        <f aca="false">IF(AND($D946="",$E946="",$F946=""),1,0)</f>
        <v>0</v>
      </c>
      <c r="V946" s="10" t="n">
        <f aca="false">IF(OR($I946="",$I946="—"),1,0)</f>
        <v>0</v>
      </c>
      <c r="W946" s="10" t="n">
        <f aca="false">IF(AND(ISNUMBER($D946),ISNUMBER($E946)),IF($E946&gt;$D946,1,0),0)+IF(AND(ISNUMBER($D946),ISNUMBER($F946)),IF($D946&gt;$F946,1,0),0)+IF(AND(ISNUMBER($E946),ISNUMBER($F946)),IF($E946&gt;$F946,1,0),0)</f>
        <v>0</v>
      </c>
      <c r="X946" s="13" t="s">
        <v>76</v>
      </c>
    </row>
    <row r="947" customFormat="false" ht="15" hidden="false" customHeight="false" outlineLevel="0" collapsed="false">
      <c r="A947" s="10" t="s">
        <v>3982</v>
      </c>
      <c r="B947" s="10" t="s">
        <v>3983</v>
      </c>
      <c r="C947" s="11" t="s">
        <v>3974</v>
      </c>
      <c r="D947" s="12" t="n">
        <v>0.307</v>
      </c>
      <c r="E947" s="12"/>
      <c r="F947" s="12"/>
      <c r="G947" s="10" t="s">
        <v>63</v>
      </c>
      <c r="H947" s="10" t="s">
        <v>92</v>
      </c>
      <c r="I947" s="11" t="s">
        <v>3816</v>
      </c>
      <c r="J947" s="10" t="s">
        <v>66</v>
      </c>
      <c r="K947" s="10" t="s">
        <v>67</v>
      </c>
      <c r="L947" s="10" t="s">
        <v>68</v>
      </c>
      <c r="M947" s="10" t="s">
        <v>69</v>
      </c>
      <c r="N947" s="10"/>
      <c r="O947" s="11" t="s">
        <v>3428</v>
      </c>
      <c r="P947" s="10" t="s">
        <v>71</v>
      </c>
      <c r="Q947" s="11" t="s">
        <v>72</v>
      </c>
      <c r="R947" s="11" t="s">
        <v>73</v>
      </c>
      <c r="S947" s="11" t="s">
        <v>74</v>
      </c>
      <c r="T947" s="11" t="s">
        <v>3984</v>
      </c>
      <c r="U947" s="10" t="n">
        <f aca="false">IF(AND($D947="",$E947="",$F947=""),1,0)</f>
        <v>0</v>
      </c>
      <c r="V947" s="10" t="n">
        <f aca="false">IF(OR($I947="",$I947="—"),1,0)</f>
        <v>0</v>
      </c>
      <c r="W947" s="10" t="n">
        <f aca="false">IF(AND(ISNUMBER($D947),ISNUMBER($E947)),IF($E947&gt;$D947,1,0),0)+IF(AND(ISNUMBER($D947),ISNUMBER($F947)),IF($D947&gt;$F947,1,0),0)+IF(AND(ISNUMBER($E947),ISNUMBER($F947)),IF($E947&gt;$F947,1,0),0)</f>
        <v>0</v>
      </c>
      <c r="X947" s="13" t="s">
        <v>76</v>
      </c>
    </row>
    <row r="948" customFormat="false" ht="15" hidden="false" customHeight="false" outlineLevel="0" collapsed="false">
      <c r="A948" s="10" t="s">
        <v>3985</v>
      </c>
      <c r="B948" s="10" t="s">
        <v>3986</v>
      </c>
      <c r="C948" s="11" t="s">
        <v>3987</v>
      </c>
      <c r="D948" s="12" t="n">
        <v>1.912</v>
      </c>
      <c r="E948" s="12"/>
      <c r="F948" s="12"/>
      <c r="G948" s="10" t="s">
        <v>63</v>
      </c>
      <c r="H948" s="10" t="s">
        <v>64</v>
      </c>
      <c r="I948" s="11" t="s">
        <v>3988</v>
      </c>
      <c r="J948" s="10" t="s">
        <v>66</v>
      </c>
      <c r="K948" s="10" t="s">
        <v>67</v>
      </c>
      <c r="L948" s="10" t="s">
        <v>68</v>
      </c>
      <c r="M948" s="10" t="s">
        <v>69</v>
      </c>
      <c r="N948" s="10"/>
      <c r="O948" s="11" t="s">
        <v>3422</v>
      </c>
      <c r="P948" s="10" t="s">
        <v>71</v>
      </c>
      <c r="Q948" s="11" t="s">
        <v>72</v>
      </c>
      <c r="R948" s="11" t="s">
        <v>73</v>
      </c>
      <c r="S948" s="11" t="s">
        <v>74</v>
      </c>
      <c r="T948" s="11" t="s">
        <v>3989</v>
      </c>
      <c r="U948" s="10" t="n">
        <f aca="false">IF(AND($D948="",$E948="",$F948=""),1,0)</f>
        <v>0</v>
      </c>
      <c r="V948" s="10" t="n">
        <f aca="false">IF(OR($I948="",$I948="—"),1,0)</f>
        <v>0</v>
      </c>
      <c r="W948" s="10" t="n">
        <f aca="false">IF(AND(ISNUMBER($D948),ISNUMBER($E948)),IF($E948&gt;$D948,1,0),0)+IF(AND(ISNUMBER($D948),ISNUMBER($F948)),IF($D948&gt;$F948,1,0),0)+IF(AND(ISNUMBER($E948),ISNUMBER($F948)),IF($E948&gt;$F948,1,0),0)</f>
        <v>0</v>
      </c>
      <c r="X948" s="13" t="s">
        <v>76</v>
      </c>
    </row>
    <row r="949" customFormat="false" ht="15" hidden="false" customHeight="false" outlineLevel="0" collapsed="false">
      <c r="A949" s="10" t="s">
        <v>3990</v>
      </c>
      <c r="B949" s="10" t="s">
        <v>3991</v>
      </c>
      <c r="C949" s="11" t="s">
        <v>3987</v>
      </c>
      <c r="D949" s="12" t="n">
        <v>24.6304</v>
      </c>
      <c r="E949" s="12"/>
      <c r="F949" s="12"/>
      <c r="G949" s="10" t="s">
        <v>63</v>
      </c>
      <c r="H949" s="10" t="s">
        <v>79</v>
      </c>
      <c r="I949" s="11" t="s">
        <v>3988</v>
      </c>
      <c r="J949" s="10" t="s">
        <v>66</v>
      </c>
      <c r="K949" s="10" t="s">
        <v>67</v>
      </c>
      <c r="L949" s="10" t="s">
        <v>68</v>
      </c>
      <c r="M949" s="10" t="s">
        <v>69</v>
      </c>
      <c r="N949" s="10"/>
      <c r="O949" s="11" t="s">
        <v>3422</v>
      </c>
      <c r="P949" s="10" t="s">
        <v>71</v>
      </c>
      <c r="Q949" s="11" t="s">
        <v>72</v>
      </c>
      <c r="R949" s="11" t="s">
        <v>73</v>
      </c>
      <c r="S949" s="11" t="s">
        <v>74</v>
      </c>
      <c r="T949" s="11" t="s">
        <v>3992</v>
      </c>
      <c r="U949" s="10" t="n">
        <f aca="false">IF(AND($D949="",$E949="",$F949=""),1,0)</f>
        <v>0</v>
      </c>
      <c r="V949" s="10" t="n">
        <f aca="false">IF(OR($I949="",$I949="—"),1,0)</f>
        <v>0</v>
      </c>
      <c r="W949" s="10" t="n">
        <f aca="false">IF(AND(ISNUMBER($D949),ISNUMBER($E949)),IF($E949&gt;$D949,1,0),0)+IF(AND(ISNUMBER($D949),ISNUMBER($F949)),IF($D949&gt;$F949,1,0),0)+IF(AND(ISNUMBER($E949),ISNUMBER($F949)),IF($E949&gt;$F949,1,0),0)</f>
        <v>0</v>
      </c>
      <c r="X949" s="13" t="s">
        <v>76</v>
      </c>
    </row>
    <row r="950" customFormat="false" ht="15" hidden="false" customHeight="false" outlineLevel="0" collapsed="false">
      <c r="A950" s="10" t="s">
        <v>3993</v>
      </c>
      <c r="B950" s="10" t="s">
        <v>3994</v>
      </c>
      <c r="C950" s="11" t="s">
        <v>3987</v>
      </c>
      <c r="D950" s="12" t="n">
        <v>33.1207</v>
      </c>
      <c r="E950" s="12"/>
      <c r="F950" s="12"/>
      <c r="G950" s="10" t="s">
        <v>63</v>
      </c>
      <c r="H950" s="10" t="s">
        <v>83</v>
      </c>
      <c r="I950" s="11" t="s">
        <v>3988</v>
      </c>
      <c r="J950" s="10" t="s">
        <v>66</v>
      </c>
      <c r="K950" s="10" t="s">
        <v>67</v>
      </c>
      <c r="L950" s="10" t="s">
        <v>68</v>
      </c>
      <c r="M950" s="10" t="s">
        <v>69</v>
      </c>
      <c r="N950" s="10"/>
      <c r="O950" s="11" t="s">
        <v>3422</v>
      </c>
      <c r="P950" s="10" t="s">
        <v>71</v>
      </c>
      <c r="Q950" s="11" t="s">
        <v>72</v>
      </c>
      <c r="R950" s="11" t="s">
        <v>73</v>
      </c>
      <c r="S950" s="11" t="s">
        <v>74</v>
      </c>
      <c r="T950" s="11" t="s">
        <v>3995</v>
      </c>
      <c r="U950" s="10" t="n">
        <f aca="false">IF(AND($D950="",$E950="",$F950=""),1,0)</f>
        <v>0</v>
      </c>
      <c r="V950" s="10" t="n">
        <f aca="false">IF(OR($I950="",$I950="—"),1,0)</f>
        <v>0</v>
      </c>
      <c r="W950" s="10" t="n">
        <f aca="false">IF(AND(ISNUMBER($D950),ISNUMBER($E950)),IF($E950&gt;$D950,1,0),0)+IF(AND(ISNUMBER($D950),ISNUMBER($F950)),IF($D950&gt;$F950,1,0),0)+IF(AND(ISNUMBER($E950),ISNUMBER($F950)),IF($E950&gt;$F950,1,0),0)</f>
        <v>0</v>
      </c>
      <c r="X950" s="13" t="s">
        <v>76</v>
      </c>
    </row>
    <row r="951" customFormat="false" ht="15" hidden="false" customHeight="false" outlineLevel="0" collapsed="false">
      <c r="A951" s="10" t="s">
        <v>3996</v>
      </c>
      <c r="B951" s="10" t="s">
        <v>3997</v>
      </c>
      <c r="C951" s="11" t="s">
        <v>3987</v>
      </c>
      <c r="D951" s="12" t="n">
        <v>8.1634</v>
      </c>
      <c r="E951" s="12"/>
      <c r="F951" s="12"/>
      <c r="G951" s="10" t="s">
        <v>63</v>
      </c>
      <c r="H951" s="10" t="s">
        <v>87</v>
      </c>
      <c r="I951" s="11" t="s">
        <v>3988</v>
      </c>
      <c r="J951" s="10" t="s">
        <v>66</v>
      </c>
      <c r="K951" s="10" t="s">
        <v>67</v>
      </c>
      <c r="L951" s="10" t="s">
        <v>68</v>
      </c>
      <c r="M951" s="10" t="s">
        <v>69</v>
      </c>
      <c r="N951" s="10"/>
      <c r="O951" s="11" t="s">
        <v>3608</v>
      </c>
      <c r="P951" s="10" t="s">
        <v>71</v>
      </c>
      <c r="Q951" s="11" t="s">
        <v>72</v>
      </c>
      <c r="R951" s="11" t="s">
        <v>73</v>
      </c>
      <c r="S951" s="11" t="s">
        <v>74</v>
      </c>
      <c r="T951" s="11" t="s">
        <v>3998</v>
      </c>
      <c r="U951" s="10" t="n">
        <f aca="false">IF(AND($D951="",$E951="",$F951=""),1,0)</f>
        <v>0</v>
      </c>
      <c r="V951" s="10" t="n">
        <f aca="false">IF(OR($I951="",$I951="—"),1,0)</f>
        <v>0</v>
      </c>
      <c r="W951" s="10" t="n">
        <f aca="false">IF(AND(ISNUMBER($D951),ISNUMBER($E951)),IF($E951&gt;$D951,1,0),0)+IF(AND(ISNUMBER($D951),ISNUMBER($F951)),IF($D951&gt;$F951,1,0),0)+IF(AND(ISNUMBER($E951),ISNUMBER($F951)),IF($E951&gt;$F951,1,0),0)</f>
        <v>0</v>
      </c>
      <c r="X951" s="13" t="s">
        <v>76</v>
      </c>
    </row>
    <row r="952" customFormat="false" ht="15" hidden="false" customHeight="false" outlineLevel="0" collapsed="false">
      <c r="A952" s="10" t="s">
        <v>3999</v>
      </c>
      <c r="B952" s="10" t="s">
        <v>4000</v>
      </c>
      <c r="C952" s="11" t="s">
        <v>3987</v>
      </c>
      <c r="D952" s="12" t="n">
        <v>21.6511</v>
      </c>
      <c r="E952" s="12"/>
      <c r="F952" s="12"/>
      <c r="G952" s="10" t="s">
        <v>63</v>
      </c>
      <c r="H952" s="10" t="s">
        <v>92</v>
      </c>
      <c r="I952" s="11" t="s">
        <v>3988</v>
      </c>
      <c r="J952" s="10" t="s">
        <v>66</v>
      </c>
      <c r="K952" s="10" t="s">
        <v>67</v>
      </c>
      <c r="L952" s="10" t="s">
        <v>68</v>
      </c>
      <c r="M952" s="10" t="s">
        <v>69</v>
      </c>
      <c r="N952" s="10"/>
      <c r="O952" s="11" t="s">
        <v>3428</v>
      </c>
      <c r="P952" s="10" t="s">
        <v>71</v>
      </c>
      <c r="Q952" s="11" t="s">
        <v>72</v>
      </c>
      <c r="R952" s="11" t="s">
        <v>73</v>
      </c>
      <c r="S952" s="11" t="s">
        <v>74</v>
      </c>
      <c r="T952" s="11" t="s">
        <v>4001</v>
      </c>
      <c r="U952" s="10" t="n">
        <f aca="false">IF(AND($D952="",$E952="",$F952=""),1,0)</f>
        <v>0</v>
      </c>
      <c r="V952" s="10" t="n">
        <f aca="false">IF(OR($I952="",$I952="—"),1,0)</f>
        <v>0</v>
      </c>
      <c r="W952" s="10" t="n">
        <f aca="false">IF(AND(ISNUMBER($D952),ISNUMBER($E952)),IF($E952&gt;$D952,1,0),0)+IF(AND(ISNUMBER($D952),ISNUMBER($F952)),IF($D952&gt;$F952,1,0),0)+IF(AND(ISNUMBER($E952),ISNUMBER($F952)),IF($E952&gt;$F952,1,0),0)</f>
        <v>0</v>
      </c>
      <c r="X952" s="13" t="s">
        <v>76</v>
      </c>
    </row>
    <row r="953" customFormat="false" ht="15" hidden="false" customHeight="false" outlineLevel="0" collapsed="false">
      <c r="A953" s="10" t="s">
        <v>4002</v>
      </c>
      <c r="B953" s="10" t="s">
        <v>4003</v>
      </c>
      <c r="C953" s="11" t="s">
        <v>352</v>
      </c>
      <c r="D953" s="12" t="n">
        <v>-0.6825</v>
      </c>
      <c r="E953" s="12"/>
      <c r="F953" s="12"/>
      <c r="G953" s="10" t="s">
        <v>63</v>
      </c>
      <c r="H953" s="10" t="s">
        <v>64</v>
      </c>
      <c r="I953" s="11" t="s">
        <v>3988</v>
      </c>
      <c r="J953" s="10" t="s">
        <v>66</v>
      </c>
      <c r="K953" s="10" t="s">
        <v>67</v>
      </c>
      <c r="L953" s="10" t="s">
        <v>68</v>
      </c>
      <c r="M953" s="10" t="s">
        <v>69</v>
      </c>
      <c r="N953" s="10"/>
      <c r="O953" s="11" t="s">
        <v>3422</v>
      </c>
      <c r="P953" s="10" t="s">
        <v>71</v>
      </c>
      <c r="Q953" s="11" t="s">
        <v>72</v>
      </c>
      <c r="R953" s="11" t="s">
        <v>73</v>
      </c>
      <c r="S953" s="11" t="s">
        <v>74</v>
      </c>
      <c r="T953" s="11" t="s">
        <v>4004</v>
      </c>
      <c r="U953" s="10" t="n">
        <f aca="false">IF(AND($D953="",$E953="",$F953=""),1,0)</f>
        <v>0</v>
      </c>
      <c r="V953" s="10" t="n">
        <f aca="false">IF(OR($I953="",$I953="—"),1,0)</f>
        <v>0</v>
      </c>
      <c r="W953" s="10" t="n">
        <f aca="false">IF(AND(ISNUMBER($D953),ISNUMBER($E953)),IF($E953&gt;$D953,1,0),0)+IF(AND(ISNUMBER($D953),ISNUMBER($F953)),IF($D953&gt;$F953,1,0),0)+IF(AND(ISNUMBER($E953),ISNUMBER($F953)),IF($E953&gt;$F953,1,0),0)</f>
        <v>0</v>
      </c>
      <c r="X953" s="13" t="s">
        <v>76</v>
      </c>
    </row>
    <row r="954" customFormat="false" ht="15" hidden="false" customHeight="false" outlineLevel="0" collapsed="false">
      <c r="A954" s="10" t="s">
        <v>4005</v>
      </c>
      <c r="B954" s="10" t="s">
        <v>4006</v>
      </c>
      <c r="C954" s="11" t="s">
        <v>352</v>
      </c>
      <c r="D954" s="12" t="n">
        <v>-6.4802</v>
      </c>
      <c r="E954" s="12"/>
      <c r="F954" s="12"/>
      <c r="G954" s="10" t="s">
        <v>63</v>
      </c>
      <c r="H954" s="10" t="s">
        <v>79</v>
      </c>
      <c r="I954" s="11" t="s">
        <v>3988</v>
      </c>
      <c r="J954" s="10" t="s">
        <v>66</v>
      </c>
      <c r="K954" s="10" t="s">
        <v>67</v>
      </c>
      <c r="L954" s="10" t="s">
        <v>68</v>
      </c>
      <c r="M954" s="10" t="s">
        <v>69</v>
      </c>
      <c r="N954" s="10"/>
      <c r="O954" s="11" t="s">
        <v>3422</v>
      </c>
      <c r="P954" s="10" t="s">
        <v>71</v>
      </c>
      <c r="Q954" s="11" t="s">
        <v>72</v>
      </c>
      <c r="R954" s="11" t="s">
        <v>73</v>
      </c>
      <c r="S954" s="11" t="s">
        <v>74</v>
      </c>
      <c r="T954" s="11" t="s">
        <v>4007</v>
      </c>
      <c r="U954" s="10" t="n">
        <f aca="false">IF(AND($D954="",$E954="",$F954=""),1,0)</f>
        <v>0</v>
      </c>
      <c r="V954" s="10" t="n">
        <f aca="false">IF(OR($I954="",$I954="—"),1,0)</f>
        <v>0</v>
      </c>
      <c r="W954" s="10" t="n">
        <f aca="false">IF(AND(ISNUMBER($D954),ISNUMBER($E954)),IF($E954&gt;$D954,1,0),0)+IF(AND(ISNUMBER($D954),ISNUMBER($F954)),IF($D954&gt;$F954,1,0),0)+IF(AND(ISNUMBER($E954),ISNUMBER($F954)),IF($E954&gt;$F954,1,0),0)</f>
        <v>0</v>
      </c>
      <c r="X954" s="13" t="s">
        <v>76</v>
      </c>
    </row>
    <row r="955" customFormat="false" ht="15" hidden="false" customHeight="false" outlineLevel="0" collapsed="false">
      <c r="A955" s="10" t="s">
        <v>4008</v>
      </c>
      <c r="B955" s="10" t="s">
        <v>4009</v>
      </c>
      <c r="C955" s="11" t="s">
        <v>352</v>
      </c>
      <c r="D955" s="12" t="n">
        <v>-22.4492</v>
      </c>
      <c r="E955" s="12"/>
      <c r="F955" s="12"/>
      <c r="G955" s="10" t="s">
        <v>63</v>
      </c>
      <c r="H955" s="10" t="s">
        <v>83</v>
      </c>
      <c r="I955" s="11" t="s">
        <v>3988</v>
      </c>
      <c r="J955" s="10" t="s">
        <v>66</v>
      </c>
      <c r="K955" s="10" t="s">
        <v>67</v>
      </c>
      <c r="L955" s="10" t="s">
        <v>68</v>
      </c>
      <c r="M955" s="10" t="s">
        <v>69</v>
      </c>
      <c r="N955" s="10"/>
      <c r="O955" s="11" t="s">
        <v>3422</v>
      </c>
      <c r="P955" s="10" t="s">
        <v>71</v>
      </c>
      <c r="Q955" s="11" t="s">
        <v>72</v>
      </c>
      <c r="R955" s="11" t="s">
        <v>73</v>
      </c>
      <c r="S955" s="11" t="s">
        <v>74</v>
      </c>
      <c r="T955" s="11" t="s">
        <v>4010</v>
      </c>
      <c r="U955" s="10" t="n">
        <f aca="false">IF(AND($D955="",$E955="",$F955=""),1,0)</f>
        <v>0</v>
      </c>
      <c r="V955" s="10" t="n">
        <f aca="false">IF(OR($I955="",$I955="—"),1,0)</f>
        <v>0</v>
      </c>
      <c r="W955" s="10" t="n">
        <f aca="false">IF(AND(ISNUMBER($D955),ISNUMBER($E955)),IF($E955&gt;$D955,1,0),0)+IF(AND(ISNUMBER($D955),ISNUMBER($F955)),IF($D955&gt;$F955,1,0),0)+IF(AND(ISNUMBER($E955),ISNUMBER($F955)),IF($E955&gt;$F955,1,0),0)</f>
        <v>0</v>
      </c>
      <c r="X955" s="13" t="s">
        <v>76</v>
      </c>
    </row>
    <row r="956" customFormat="false" ht="15" hidden="false" customHeight="false" outlineLevel="0" collapsed="false">
      <c r="A956" s="10" t="s">
        <v>4011</v>
      </c>
      <c r="B956" s="10" t="s">
        <v>4012</v>
      </c>
      <c r="C956" s="11" t="s">
        <v>352</v>
      </c>
      <c r="D956" s="12" t="n">
        <v>-9.9468</v>
      </c>
      <c r="E956" s="12"/>
      <c r="F956" s="12"/>
      <c r="G956" s="10" t="s">
        <v>63</v>
      </c>
      <c r="H956" s="10" t="s">
        <v>87</v>
      </c>
      <c r="I956" s="11" t="s">
        <v>3988</v>
      </c>
      <c r="J956" s="10" t="s">
        <v>66</v>
      </c>
      <c r="K956" s="10" t="s">
        <v>67</v>
      </c>
      <c r="L956" s="10" t="s">
        <v>68</v>
      </c>
      <c r="M956" s="10" t="s">
        <v>69</v>
      </c>
      <c r="N956" s="10"/>
      <c r="O956" s="11" t="s">
        <v>3608</v>
      </c>
      <c r="P956" s="10" t="s">
        <v>71</v>
      </c>
      <c r="Q956" s="11" t="s">
        <v>72</v>
      </c>
      <c r="R956" s="11" t="s">
        <v>73</v>
      </c>
      <c r="S956" s="11" t="s">
        <v>74</v>
      </c>
      <c r="T956" s="11" t="s">
        <v>4013</v>
      </c>
      <c r="U956" s="10" t="n">
        <f aca="false">IF(AND($D956="",$E956="",$F956=""),1,0)</f>
        <v>0</v>
      </c>
      <c r="V956" s="10" t="n">
        <f aca="false">IF(OR($I956="",$I956="—"),1,0)</f>
        <v>0</v>
      </c>
      <c r="W956" s="10" t="n">
        <f aca="false">IF(AND(ISNUMBER($D956),ISNUMBER($E956)),IF($E956&gt;$D956,1,0),0)+IF(AND(ISNUMBER($D956),ISNUMBER($F956)),IF($D956&gt;$F956,1,0),0)+IF(AND(ISNUMBER($E956),ISNUMBER($F956)),IF($E956&gt;$F956,1,0),0)</f>
        <v>0</v>
      </c>
      <c r="X956" s="13" t="s">
        <v>76</v>
      </c>
    </row>
    <row r="957" customFormat="false" ht="15" hidden="false" customHeight="false" outlineLevel="0" collapsed="false">
      <c r="A957" s="10" t="s">
        <v>4014</v>
      </c>
      <c r="B957" s="10" t="s">
        <v>4015</v>
      </c>
      <c r="C957" s="11" t="s">
        <v>352</v>
      </c>
      <c r="D957" s="12" t="n">
        <v>-13.2715</v>
      </c>
      <c r="E957" s="12"/>
      <c r="F957" s="12"/>
      <c r="G957" s="10" t="s">
        <v>63</v>
      </c>
      <c r="H957" s="10" t="s">
        <v>92</v>
      </c>
      <c r="I957" s="11" t="s">
        <v>3988</v>
      </c>
      <c r="J957" s="10" t="s">
        <v>66</v>
      </c>
      <c r="K957" s="10" t="s">
        <v>67</v>
      </c>
      <c r="L957" s="10" t="s">
        <v>68</v>
      </c>
      <c r="M957" s="10" t="s">
        <v>69</v>
      </c>
      <c r="N957" s="10"/>
      <c r="O957" s="11" t="s">
        <v>3428</v>
      </c>
      <c r="P957" s="10" t="s">
        <v>71</v>
      </c>
      <c r="Q957" s="11" t="s">
        <v>72</v>
      </c>
      <c r="R957" s="11" t="s">
        <v>73</v>
      </c>
      <c r="S957" s="11" t="s">
        <v>74</v>
      </c>
      <c r="T957" s="11" t="s">
        <v>4016</v>
      </c>
      <c r="U957" s="10" t="n">
        <f aca="false">IF(AND($D957="",$E957="",$F957=""),1,0)</f>
        <v>0</v>
      </c>
      <c r="V957" s="10" t="n">
        <f aca="false">IF(OR($I957="",$I957="—"),1,0)</f>
        <v>0</v>
      </c>
      <c r="W957" s="10" t="n">
        <f aca="false">IF(AND(ISNUMBER($D957),ISNUMBER($E957)),IF($E957&gt;$D957,1,0),0)+IF(AND(ISNUMBER($D957),ISNUMBER($F957)),IF($D957&gt;$F957,1,0),0)+IF(AND(ISNUMBER($E957),ISNUMBER($F957)),IF($E957&gt;$F957,1,0),0)</f>
        <v>0</v>
      </c>
      <c r="X957" s="13" t="s">
        <v>76</v>
      </c>
    </row>
    <row r="958" customFormat="false" ht="15" hidden="false" customHeight="false" outlineLevel="0" collapsed="false">
      <c r="A958" s="10" t="s">
        <v>4017</v>
      </c>
      <c r="B958" s="10" t="s">
        <v>4018</v>
      </c>
      <c r="C958" s="11" t="s">
        <v>368</v>
      </c>
      <c r="D958" s="12" t="n">
        <v>0.3292</v>
      </c>
      <c r="E958" s="12"/>
      <c r="F958" s="12"/>
      <c r="G958" s="10" t="s">
        <v>63</v>
      </c>
      <c r="H958" s="10" t="s">
        <v>64</v>
      </c>
      <c r="I958" s="11" t="s">
        <v>3988</v>
      </c>
      <c r="J958" s="10" t="s">
        <v>66</v>
      </c>
      <c r="K958" s="10" t="s">
        <v>67</v>
      </c>
      <c r="L958" s="10" t="s">
        <v>68</v>
      </c>
      <c r="M958" s="10" t="s">
        <v>69</v>
      </c>
      <c r="N958" s="10"/>
      <c r="O958" s="11" t="s">
        <v>3422</v>
      </c>
      <c r="P958" s="10" t="s">
        <v>71</v>
      </c>
      <c r="Q958" s="11" t="s">
        <v>72</v>
      </c>
      <c r="R958" s="11" t="s">
        <v>73</v>
      </c>
      <c r="S958" s="11" t="s">
        <v>74</v>
      </c>
      <c r="T958" s="11" t="s">
        <v>4019</v>
      </c>
      <c r="U958" s="10" t="n">
        <f aca="false">IF(AND($D958="",$E958="",$F958=""),1,0)</f>
        <v>0</v>
      </c>
      <c r="V958" s="10" t="n">
        <f aca="false">IF(OR($I958="",$I958="—"),1,0)</f>
        <v>0</v>
      </c>
      <c r="W958" s="10" t="n">
        <f aca="false">IF(AND(ISNUMBER($D958),ISNUMBER($E958)),IF($E958&gt;$D958,1,0),0)+IF(AND(ISNUMBER($D958),ISNUMBER($F958)),IF($D958&gt;$F958,1,0),0)+IF(AND(ISNUMBER($E958),ISNUMBER($F958)),IF($E958&gt;$F958,1,0),0)</f>
        <v>0</v>
      </c>
      <c r="X958" s="13" t="s">
        <v>76</v>
      </c>
    </row>
    <row r="959" customFormat="false" ht="15" hidden="false" customHeight="false" outlineLevel="0" collapsed="false">
      <c r="A959" s="10" t="s">
        <v>4020</v>
      </c>
      <c r="B959" s="10" t="s">
        <v>4021</v>
      </c>
      <c r="C959" s="11" t="s">
        <v>368</v>
      </c>
      <c r="D959" s="12" t="n">
        <v>-7.8496</v>
      </c>
      <c r="E959" s="12"/>
      <c r="F959" s="12"/>
      <c r="G959" s="10" t="s">
        <v>63</v>
      </c>
      <c r="H959" s="10" t="s">
        <v>79</v>
      </c>
      <c r="I959" s="11" t="s">
        <v>3988</v>
      </c>
      <c r="J959" s="10" t="s">
        <v>66</v>
      </c>
      <c r="K959" s="10" t="s">
        <v>67</v>
      </c>
      <c r="L959" s="10" t="s">
        <v>68</v>
      </c>
      <c r="M959" s="10" t="s">
        <v>69</v>
      </c>
      <c r="N959" s="10"/>
      <c r="O959" s="11" t="s">
        <v>3422</v>
      </c>
      <c r="P959" s="10" t="s">
        <v>71</v>
      </c>
      <c r="Q959" s="11" t="s">
        <v>72</v>
      </c>
      <c r="R959" s="11" t="s">
        <v>73</v>
      </c>
      <c r="S959" s="11" t="s">
        <v>74</v>
      </c>
      <c r="T959" s="11" t="s">
        <v>4022</v>
      </c>
      <c r="U959" s="10" t="n">
        <f aca="false">IF(AND($D959="",$E959="",$F959=""),1,0)</f>
        <v>0</v>
      </c>
      <c r="V959" s="10" t="n">
        <f aca="false">IF(OR($I959="",$I959="—"),1,0)</f>
        <v>0</v>
      </c>
      <c r="W959" s="10" t="n">
        <f aca="false">IF(AND(ISNUMBER($D959),ISNUMBER($E959)),IF($E959&gt;$D959,1,0),0)+IF(AND(ISNUMBER($D959),ISNUMBER($F959)),IF($D959&gt;$F959,1,0),0)+IF(AND(ISNUMBER($E959),ISNUMBER($F959)),IF($E959&gt;$F959,1,0),0)</f>
        <v>0</v>
      </c>
      <c r="X959" s="13" t="s">
        <v>76</v>
      </c>
    </row>
    <row r="960" customFormat="false" ht="15" hidden="false" customHeight="false" outlineLevel="0" collapsed="false">
      <c r="A960" s="10" t="s">
        <v>4023</v>
      </c>
      <c r="B960" s="10" t="s">
        <v>4024</v>
      </c>
      <c r="C960" s="11" t="s">
        <v>368</v>
      </c>
      <c r="D960" s="12" t="n">
        <v>-0.4856</v>
      </c>
      <c r="E960" s="12"/>
      <c r="F960" s="12"/>
      <c r="G960" s="10" t="s">
        <v>63</v>
      </c>
      <c r="H960" s="10" t="s">
        <v>83</v>
      </c>
      <c r="I960" s="11" t="s">
        <v>3988</v>
      </c>
      <c r="J960" s="10" t="s">
        <v>66</v>
      </c>
      <c r="K960" s="10" t="s">
        <v>67</v>
      </c>
      <c r="L960" s="10" t="s">
        <v>68</v>
      </c>
      <c r="M960" s="10" t="s">
        <v>69</v>
      </c>
      <c r="N960" s="10"/>
      <c r="O960" s="11" t="s">
        <v>3422</v>
      </c>
      <c r="P960" s="10" t="s">
        <v>71</v>
      </c>
      <c r="Q960" s="11" t="s">
        <v>72</v>
      </c>
      <c r="R960" s="11" t="s">
        <v>73</v>
      </c>
      <c r="S960" s="11" t="s">
        <v>74</v>
      </c>
      <c r="T960" s="11" t="s">
        <v>4025</v>
      </c>
      <c r="U960" s="10" t="n">
        <f aca="false">IF(AND($D960="",$E960="",$F960=""),1,0)</f>
        <v>0</v>
      </c>
      <c r="V960" s="10" t="n">
        <f aca="false">IF(OR($I960="",$I960="—"),1,0)</f>
        <v>0</v>
      </c>
      <c r="W960" s="10" t="n">
        <f aca="false">IF(AND(ISNUMBER($D960),ISNUMBER($E960)),IF($E960&gt;$D960,1,0),0)+IF(AND(ISNUMBER($D960),ISNUMBER($F960)),IF($D960&gt;$F960,1,0),0)+IF(AND(ISNUMBER($E960),ISNUMBER($F960)),IF($E960&gt;$F960,1,0),0)</f>
        <v>0</v>
      </c>
      <c r="X960" s="13" t="s">
        <v>76</v>
      </c>
    </row>
    <row r="961" customFormat="false" ht="15" hidden="false" customHeight="false" outlineLevel="0" collapsed="false">
      <c r="A961" s="10" t="s">
        <v>4026</v>
      </c>
      <c r="B961" s="10" t="s">
        <v>4027</v>
      </c>
      <c r="C961" s="11" t="s">
        <v>368</v>
      </c>
      <c r="D961" s="12" t="n">
        <v>-1.3878</v>
      </c>
      <c r="E961" s="12"/>
      <c r="F961" s="12"/>
      <c r="G961" s="10" t="s">
        <v>63</v>
      </c>
      <c r="H961" s="10" t="s">
        <v>87</v>
      </c>
      <c r="I961" s="11" t="s">
        <v>3988</v>
      </c>
      <c r="J961" s="10" t="s">
        <v>66</v>
      </c>
      <c r="K961" s="10" t="s">
        <v>67</v>
      </c>
      <c r="L961" s="10" t="s">
        <v>68</v>
      </c>
      <c r="M961" s="10" t="s">
        <v>69</v>
      </c>
      <c r="N961" s="10"/>
      <c r="O961" s="11" t="s">
        <v>3608</v>
      </c>
      <c r="P961" s="10" t="s">
        <v>71</v>
      </c>
      <c r="Q961" s="11" t="s">
        <v>72</v>
      </c>
      <c r="R961" s="11" t="s">
        <v>73</v>
      </c>
      <c r="S961" s="11" t="s">
        <v>74</v>
      </c>
      <c r="T961" s="11" t="s">
        <v>4028</v>
      </c>
      <c r="U961" s="10" t="n">
        <f aca="false">IF(AND($D961="",$E961="",$F961=""),1,0)</f>
        <v>0</v>
      </c>
      <c r="V961" s="10" t="n">
        <f aca="false">IF(OR($I961="",$I961="—"),1,0)</f>
        <v>0</v>
      </c>
      <c r="W961" s="10" t="n">
        <f aca="false">IF(AND(ISNUMBER($D961),ISNUMBER($E961)),IF($E961&gt;$D961,1,0),0)+IF(AND(ISNUMBER($D961),ISNUMBER($F961)),IF($D961&gt;$F961,1,0),0)+IF(AND(ISNUMBER($E961),ISNUMBER($F961)),IF($E961&gt;$F961,1,0),0)</f>
        <v>0</v>
      </c>
      <c r="X961" s="13" t="s">
        <v>76</v>
      </c>
    </row>
    <row r="962" customFormat="false" ht="15" hidden="false" customHeight="false" outlineLevel="0" collapsed="false">
      <c r="A962" s="10" t="s">
        <v>4029</v>
      </c>
      <c r="B962" s="10" t="s">
        <v>4030</v>
      </c>
      <c r="C962" s="11" t="s">
        <v>368</v>
      </c>
      <c r="D962" s="12" t="n">
        <v>-5.5637</v>
      </c>
      <c r="E962" s="12"/>
      <c r="F962" s="12"/>
      <c r="G962" s="10" t="s">
        <v>63</v>
      </c>
      <c r="H962" s="10" t="s">
        <v>92</v>
      </c>
      <c r="I962" s="11" t="s">
        <v>3988</v>
      </c>
      <c r="J962" s="10" t="s">
        <v>66</v>
      </c>
      <c r="K962" s="10" t="s">
        <v>67</v>
      </c>
      <c r="L962" s="10" t="s">
        <v>68</v>
      </c>
      <c r="M962" s="10" t="s">
        <v>69</v>
      </c>
      <c r="N962" s="10"/>
      <c r="O962" s="11" t="s">
        <v>3428</v>
      </c>
      <c r="P962" s="10" t="s">
        <v>71</v>
      </c>
      <c r="Q962" s="11" t="s">
        <v>72</v>
      </c>
      <c r="R962" s="11" t="s">
        <v>73</v>
      </c>
      <c r="S962" s="11" t="s">
        <v>74</v>
      </c>
      <c r="T962" s="11" t="s">
        <v>4031</v>
      </c>
      <c r="U962" s="10" t="n">
        <f aca="false">IF(AND($D962="",$E962="",$F962=""),1,0)</f>
        <v>0</v>
      </c>
      <c r="V962" s="10" t="n">
        <f aca="false">IF(OR($I962="",$I962="—"),1,0)</f>
        <v>0</v>
      </c>
      <c r="W962" s="10" t="n">
        <f aca="false">IF(AND(ISNUMBER($D962),ISNUMBER($E962)),IF($E962&gt;$D962,1,0),0)+IF(AND(ISNUMBER($D962),ISNUMBER($F962)),IF($D962&gt;$F962,1,0),0)+IF(AND(ISNUMBER($E962),ISNUMBER($F962)),IF($E962&gt;$F962,1,0),0)</f>
        <v>0</v>
      </c>
      <c r="X962" s="13" t="s">
        <v>76</v>
      </c>
    </row>
    <row r="963" customFormat="false" ht="15" hidden="false" customHeight="false" outlineLevel="0" collapsed="false">
      <c r="A963" s="10" t="s">
        <v>4032</v>
      </c>
      <c r="B963" s="10" t="s">
        <v>4033</v>
      </c>
      <c r="C963" s="11" t="s">
        <v>384</v>
      </c>
      <c r="D963" s="12" t="n">
        <v>2.1893</v>
      </c>
      <c r="E963" s="12"/>
      <c r="F963" s="12"/>
      <c r="G963" s="10" t="s">
        <v>63</v>
      </c>
      <c r="H963" s="10" t="s">
        <v>64</v>
      </c>
      <c r="I963" s="11" t="s">
        <v>3988</v>
      </c>
      <c r="J963" s="10" t="s">
        <v>66</v>
      </c>
      <c r="K963" s="10" t="s">
        <v>67</v>
      </c>
      <c r="L963" s="10" t="s">
        <v>68</v>
      </c>
      <c r="M963" s="10" t="s">
        <v>69</v>
      </c>
      <c r="N963" s="10"/>
      <c r="O963" s="11" t="s">
        <v>3422</v>
      </c>
      <c r="P963" s="10" t="s">
        <v>71</v>
      </c>
      <c r="Q963" s="11" t="s">
        <v>72</v>
      </c>
      <c r="R963" s="11" t="s">
        <v>73</v>
      </c>
      <c r="S963" s="11" t="s">
        <v>74</v>
      </c>
      <c r="T963" s="11" t="s">
        <v>4034</v>
      </c>
      <c r="U963" s="10" t="n">
        <f aca="false">IF(AND($D963="",$E963="",$F963=""),1,0)</f>
        <v>0</v>
      </c>
      <c r="V963" s="10" t="n">
        <f aca="false">IF(OR($I963="",$I963="—"),1,0)</f>
        <v>0</v>
      </c>
      <c r="W963" s="10" t="n">
        <f aca="false">IF(AND(ISNUMBER($D963),ISNUMBER($E963)),IF($E963&gt;$D963,1,0),0)+IF(AND(ISNUMBER($D963),ISNUMBER($F963)),IF($D963&gt;$F963,1,0),0)+IF(AND(ISNUMBER($E963),ISNUMBER($F963)),IF($E963&gt;$F963,1,0),0)</f>
        <v>0</v>
      </c>
      <c r="X963" s="13" t="s">
        <v>76</v>
      </c>
    </row>
    <row r="964" customFormat="false" ht="15" hidden="false" customHeight="false" outlineLevel="0" collapsed="false">
      <c r="A964" s="10" t="s">
        <v>4035</v>
      </c>
      <c r="B964" s="10" t="s">
        <v>4036</v>
      </c>
      <c r="C964" s="11" t="s">
        <v>384</v>
      </c>
      <c r="D964" s="12" t="n">
        <v>12.4917</v>
      </c>
      <c r="E964" s="12"/>
      <c r="F964" s="12"/>
      <c r="G964" s="10" t="s">
        <v>63</v>
      </c>
      <c r="H964" s="10" t="s">
        <v>79</v>
      </c>
      <c r="I964" s="11" t="s">
        <v>3988</v>
      </c>
      <c r="J964" s="10" t="s">
        <v>66</v>
      </c>
      <c r="K964" s="10" t="s">
        <v>67</v>
      </c>
      <c r="L964" s="10" t="s">
        <v>68</v>
      </c>
      <c r="M964" s="10" t="s">
        <v>69</v>
      </c>
      <c r="N964" s="10"/>
      <c r="O964" s="11" t="s">
        <v>3422</v>
      </c>
      <c r="P964" s="10" t="s">
        <v>71</v>
      </c>
      <c r="Q964" s="11" t="s">
        <v>72</v>
      </c>
      <c r="R964" s="11" t="s">
        <v>73</v>
      </c>
      <c r="S964" s="11" t="s">
        <v>74</v>
      </c>
      <c r="T964" s="11" t="s">
        <v>4037</v>
      </c>
      <c r="U964" s="10" t="n">
        <f aca="false">IF(AND($D964="",$E964="",$F964=""),1,0)</f>
        <v>0</v>
      </c>
      <c r="V964" s="10" t="n">
        <f aca="false">IF(OR($I964="",$I964="—"),1,0)</f>
        <v>0</v>
      </c>
      <c r="W964" s="10" t="n">
        <f aca="false">IF(AND(ISNUMBER($D964),ISNUMBER($E964)),IF($E964&gt;$D964,1,0),0)+IF(AND(ISNUMBER($D964),ISNUMBER($F964)),IF($D964&gt;$F964,1,0),0)+IF(AND(ISNUMBER($E964),ISNUMBER($F964)),IF($E964&gt;$F964,1,0),0)</f>
        <v>0</v>
      </c>
      <c r="X964" s="13" t="s">
        <v>76</v>
      </c>
    </row>
    <row r="965" customFormat="false" ht="15" hidden="false" customHeight="false" outlineLevel="0" collapsed="false">
      <c r="A965" s="10" t="s">
        <v>4038</v>
      </c>
      <c r="B965" s="10" t="s">
        <v>4039</v>
      </c>
      <c r="C965" s="11" t="s">
        <v>384</v>
      </c>
      <c r="D965" s="12" t="n">
        <v>22.6816</v>
      </c>
      <c r="E965" s="12"/>
      <c r="F965" s="12"/>
      <c r="G965" s="10" t="s">
        <v>63</v>
      </c>
      <c r="H965" s="10" t="s">
        <v>83</v>
      </c>
      <c r="I965" s="11" t="s">
        <v>3988</v>
      </c>
      <c r="J965" s="10" t="s">
        <v>66</v>
      </c>
      <c r="K965" s="10" t="s">
        <v>67</v>
      </c>
      <c r="L965" s="10" t="s">
        <v>68</v>
      </c>
      <c r="M965" s="10" t="s">
        <v>69</v>
      </c>
      <c r="N965" s="10"/>
      <c r="O965" s="11" t="s">
        <v>3422</v>
      </c>
      <c r="P965" s="10" t="s">
        <v>71</v>
      </c>
      <c r="Q965" s="11" t="s">
        <v>72</v>
      </c>
      <c r="R965" s="11" t="s">
        <v>73</v>
      </c>
      <c r="S965" s="11" t="s">
        <v>74</v>
      </c>
      <c r="T965" s="11" t="s">
        <v>4040</v>
      </c>
      <c r="U965" s="10" t="n">
        <f aca="false">IF(AND($D965="",$E965="",$F965=""),1,0)</f>
        <v>0</v>
      </c>
      <c r="V965" s="10" t="n">
        <f aca="false">IF(OR($I965="",$I965="—"),1,0)</f>
        <v>0</v>
      </c>
      <c r="W965" s="10" t="n">
        <f aca="false">IF(AND(ISNUMBER($D965),ISNUMBER($E965)),IF($E965&gt;$D965,1,0),0)+IF(AND(ISNUMBER($D965),ISNUMBER($F965)),IF($D965&gt;$F965,1,0),0)+IF(AND(ISNUMBER($E965),ISNUMBER($F965)),IF($E965&gt;$F965,1,0),0)</f>
        <v>0</v>
      </c>
      <c r="X965" s="13" t="s">
        <v>76</v>
      </c>
    </row>
    <row r="966" customFormat="false" ht="15" hidden="false" customHeight="false" outlineLevel="0" collapsed="false">
      <c r="A966" s="10" t="s">
        <v>4041</v>
      </c>
      <c r="B966" s="10" t="s">
        <v>4042</v>
      </c>
      <c r="C966" s="11" t="s">
        <v>384</v>
      </c>
      <c r="D966" s="12" t="n">
        <v>9.3207</v>
      </c>
      <c r="E966" s="12"/>
      <c r="F966" s="12"/>
      <c r="G966" s="10" t="s">
        <v>63</v>
      </c>
      <c r="H966" s="10" t="s">
        <v>87</v>
      </c>
      <c r="I966" s="11" t="s">
        <v>3988</v>
      </c>
      <c r="J966" s="10" t="s">
        <v>66</v>
      </c>
      <c r="K966" s="10" t="s">
        <v>67</v>
      </c>
      <c r="L966" s="10" t="s">
        <v>68</v>
      </c>
      <c r="M966" s="10" t="s">
        <v>69</v>
      </c>
      <c r="N966" s="10"/>
      <c r="O966" s="11" t="s">
        <v>3608</v>
      </c>
      <c r="P966" s="10" t="s">
        <v>71</v>
      </c>
      <c r="Q966" s="11" t="s">
        <v>72</v>
      </c>
      <c r="R966" s="11" t="s">
        <v>73</v>
      </c>
      <c r="S966" s="11" t="s">
        <v>74</v>
      </c>
      <c r="T966" s="11" t="s">
        <v>4043</v>
      </c>
      <c r="U966" s="10" t="n">
        <f aca="false">IF(AND($D966="",$E966="",$F966=""),1,0)</f>
        <v>0</v>
      </c>
      <c r="V966" s="10" t="n">
        <f aca="false">IF(OR($I966="",$I966="—"),1,0)</f>
        <v>0</v>
      </c>
      <c r="W966" s="10" t="n">
        <f aca="false">IF(AND(ISNUMBER($D966),ISNUMBER($E966)),IF($E966&gt;$D966,1,0),0)+IF(AND(ISNUMBER($D966),ISNUMBER($F966)),IF($D966&gt;$F966,1,0),0)+IF(AND(ISNUMBER($E966),ISNUMBER($F966)),IF($E966&gt;$F966,1,0),0)</f>
        <v>0</v>
      </c>
      <c r="X966" s="13" t="s">
        <v>76</v>
      </c>
    </row>
    <row r="967" customFormat="false" ht="15" hidden="false" customHeight="false" outlineLevel="0" collapsed="false">
      <c r="A967" s="10" t="s">
        <v>4044</v>
      </c>
      <c r="B967" s="10" t="s">
        <v>4045</v>
      </c>
      <c r="C967" s="11" t="s">
        <v>384</v>
      </c>
      <c r="D967" s="12" t="n">
        <v>25.5197</v>
      </c>
      <c r="E967" s="12"/>
      <c r="F967" s="12"/>
      <c r="G967" s="10" t="s">
        <v>63</v>
      </c>
      <c r="H967" s="10" t="s">
        <v>92</v>
      </c>
      <c r="I967" s="11" t="s">
        <v>3988</v>
      </c>
      <c r="J967" s="10" t="s">
        <v>66</v>
      </c>
      <c r="K967" s="10" t="s">
        <v>67</v>
      </c>
      <c r="L967" s="10" t="s">
        <v>68</v>
      </c>
      <c r="M967" s="10" t="s">
        <v>69</v>
      </c>
      <c r="N967" s="10"/>
      <c r="O967" s="11" t="s">
        <v>3428</v>
      </c>
      <c r="P967" s="10" t="s">
        <v>71</v>
      </c>
      <c r="Q967" s="11" t="s">
        <v>72</v>
      </c>
      <c r="R967" s="11" t="s">
        <v>73</v>
      </c>
      <c r="S967" s="11" t="s">
        <v>74</v>
      </c>
      <c r="T967" s="11" t="s">
        <v>4046</v>
      </c>
      <c r="U967" s="10" t="n">
        <f aca="false">IF(AND($D967="",$E967="",$F967=""),1,0)</f>
        <v>0</v>
      </c>
      <c r="V967" s="10" t="n">
        <f aca="false">IF(OR($I967="",$I967="—"),1,0)</f>
        <v>0</v>
      </c>
      <c r="W967" s="10" t="n">
        <f aca="false">IF(AND(ISNUMBER($D967),ISNUMBER($E967)),IF($E967&gt;$D967,1,0),0)+IF(AND(ISNUMBER($D967),ISNUMBER($F967)),IF($D967&gt;$F967,1,0),0)+IF(AND(ISNUMBER($E967),ISNUMBER($F967)),IF($E967&gt;$F967,1,0),0)</f>
        <v>0</v>
      </c>
      <c r="X967" s="13" t="s">
        <v>76</v>
      </c>
    </row>
    <row r="968" customFormat="false" ht="15" hidden="false" customHeight="false" outlineLevel="0" collapsed="false">
      <c r="A968" s="10" t="s">
        <v>4047</v>
      </c>
      <c r="B968" s="10" t="s">
        <v>4048</v>
      </c>
      <c r="C968" s="11" t="s">
        <v>4049</v>
      </c>
      <c r="D968" s="12" t="n">
        <v>2.08</v>
      </c>
      <c r="E968" s="12"/>
      <c r="F968" s="12"/>
      <c r="G968" s="10" t="s">
        <v>63</v>
      </c>
      <c r="H968" s="10" t="s">
        <v>64</v>
      </c>
      <c r="I968" s="11" t="s">
        <v>3616</v>
      </c>
      <c r="J968" s="10" t="s">
        <v>66</v>
      </c>
      <c r="K968" s="10" t="s">
        <v>67</v>
      </c>
      <c r="L968" s="10" t="s">
        <v>68</v>
      </c>
      <c r="M968" s="10" t="s">
        <v>69</v>
      </c>
      <c r="N968" s="10"/>
      <c r="O968" s="11" t="s">
        <v>3422</v>
      </c>
      <c r="P968" s="10" t="s">
        <v>71</v>
      </c>
      <c r="Q968" s="11" t="s">
        <v>72</v>
      </c>
      <c r="R968" s="11" t="s">
        <v>73</v>
      </c>
      <c r="S968" s="11" t="s">
        <v>74</v>
      </c>
      <c r="T968" s="11" t="s">
        <v>4050</v>
      </c>
      <c r="U968" s="10" t="n">
        <f aca="false">IF(AND($D968="",$E968="",$F968=""),1,0)</f>
        <v>0</v>
      </c>
      <c r="V968" s="10" t="n">
        <f aca="false">IF(OR($I968="",$I968="—"),1,0)</f>
        <v>0</v>
      </c>
      <c r="W968" s="10" t="n">
        <f aca="false">IF(AND(ISNUMBER($D968),ISNUMBER($E968)),IF($E968&gt;$D968,1,0),0)+IF(AND(ISNUMBER($D968),ISNUMBER($F968)),IF($D968&gt;$F968,1,0),0)+IF(AND(ISNUMBER($E968),ISNUMBER($F968)),IF($E968&gt;$F968,1,0),0)</f>
        <v>0</v>
      </c>
      <c r="X968" s="13" t="s">
        <v>76</v>
      </c>
    </row>
    <row r="969" customFormat="false" ht="15" hidden="false" customHeight="false" outlineLevel="0" collapsed="false">
      <c r="A969" s="10" t="s">
        <v>4051</v>
      </c>
      <c r="B969" s="10" t="s">
        <v>4052</v>
      </c>
      <c r="C969" s="11" t="s">
        <v>4049</v>
      </c>
      <c r="D969" s="12" t="n">
        <v>24.1904</v>
      </c>
      <c r="E969" s="12"/>
      <c r="F969" s="12"/>
      <c r="G969" s="10" t="s">
        <v>63</v>
      </c>
      <c r="H969" s="10" t="s">
        <v>79</v>
      </c>
      <c r="I969" s="11" t="s">
        <v>3616</v>
      </c>
      <c r="J969" s="10" t="s">
        <v>66</v>
      </c>
      <c r="K969" s="10" t="s">
        <v>67</v>
      </c>
      <c r="L969" s="10" t="s">
        <v>68</v>
      </c>
      <c r="M969" s="10" t="s">
        <v>69</v>
      </c>
      <c r="N969" s="10"/>
      <c r="O969" s="11" t="s">
        <v>3422</v>
      </c>
      <c r="P969" s="10" t="s">
        <v>71</v>
      </c>
      <c r="Q969" s="11" t="s">
        <v>72</v>
      </c>
      <c r="R969" s="11" t="s">
        <v>73</v>
      </c>
      <c r="S969" s="11" t="s">
        <v>74</v>
      </c>
      <c r="T969" s="11" t="s">
        <v>4053</v>
      </c>
      <c r="U969" s="10" t="n">
        <f aca="false">IF(AND($D969="",$E969="",$F969=""),1,0)</f>
        <v>0</v>
      </c>
      <c r="V969" s="10" t="n">
        <f aca="false">IF(OR($I969="",$I969="—"),1,0)</f>
        <v>0</v>
      </c>
      <c r="W969" s="10" t="n">
        <f aca="false">IF(AND(ISNUMBER($D969),ISNUMBER($E969)),IF($E969&gt;$D969,1,0),0)+IF(AND(ISNUMBER($D969),ISNUMBER($F969)),IF($D969&gt;$F969,1,0),0)+IF(AND(ISNUMBER($E969),ISNUMBER($F969)),IF($E969&gt;$F969,1,0),0)</f>
        <v>0</v>
      </c>
      <c r="X969" s="13" t="s">
        <v>76</v>
      </c>
    </row>
    <row r="970" customFormat="false" ht="15" hidden="false" customHeight="false" outlineLevel="0" collapsed="false">
      <c r="A970" s="10" t="s">
        <v>4054</v>
      </c>
      <c r="B970" s="10" t="s">
        <v>4055</v>
      </c>
      <c r="C970" s="11" t="s">
        <v>4049</v>
      </c>
      <c r="D970" s="12" t="n">
        <v>30.1959</v>
      </c>
      <c r="E970" s="12"/>
      <c r="F970" s="12"/>
      <c r="G970" s="10" t="s">
        <v>63</v>
      </c>
      <c r="H970" s="10" t="s">
        <v>83</v>
      </c>
      <c r="I970" s="11" t="s">
        <v>3616</v>
      </c>
      <c r="J970" s="10" t="s">
        <v>66</v>
      </c>
      <c r="K970" s="10" t="s">
        <v>67</v>
      </c>
      <c r="L970" s="10" t="s">
        <v>68</v>
      </c>
      <c r="M970" s="10" t="s">
        <v>69</v>
      </c>
      <c r="N970" s="10"/>
      <c r="O970" s="11" t="s">
        <v>3422</v>
      </c>
      <c r="P970" s="10" t="s">
        <v>71</v>
      </c>
      <c r="Q970" s="11" t="s">
        <v>72</v>
      </c>
      <c r="R970" s="11" t="s">
        <v>73</v>
      </c>
      <c r="S970" s="11" t="s">
        <v>74</v>
      </c>
      <c r="T970" s="11" t="s">
        <v>4056</v>
      </c>
      <c r="U970" s="10" t="n">
        <f aca="false">IF(AND($D970="",$E970="",$F970=""),1,0)</f>
        <v>0</v>
      </c>
      <c r="V970" s="10" t="n">
        <f aca="false">IF(OR($I970="",$I970="—"),1,0)</f>
        <v>0</v>
      </c>
      <c r="W970" s="10" t="n">
        <f aca="false">IF(AND(ISNUMBER($D970),ISNUMBER($E970)),IF($E970&gt;$D970,1,0),0)+IF(AND(ISNUMBER($D970),ISNUMBER($F970)),IF($D970&gt;$F970,1,0),0)+IF(AND(ISNUMBER($E970),ISNUMBER($F970)),IF($E970&gt;$F970,1,0),0)</f>
        <v>0</v>
      </c>
      <c r="X970" s="13" t="s">
        <v>76</v>
      </c>
    </row>
    <row r="971" customFormat="false" ht="15" hidden="false" customHeight="false" outlineLevel="0" collapsed="false">
      <c r="A971" s="10" t="s">
        <v>4057</v>
      </c>
      <c r="B971" s="10" t="s">
        <v>4058</v>
      </c>
      <c r="C971" s="11" t="s">
        <v>4049</v>
      </c>
      <c r="D971" s="12" t="n">
        <v>8.9319</v>
      </c>
      <c r="E971" s="12"/>
      <c r="F971" s="12"/>
      <c r="G971" s="10" t="s">
        <v>63</v>
      </c>
      <c r="H971" s="10" t="s">
        <v>87</v>
      </c>
      <c r="I971" s="11" t="s">
        <v>3616</v>
      </c>
      <c r="J971" s="10" t="s">
        <v>66</v>
      </c>
      <c r="K971" s="10" t="s">
        <v>67</v>
      </c>
      <c r="L971" s="10" t="s">
        <v>68</v>
      </c>
      <c r="M971" s="10" t="s">
        <v>69</v>
      </c>
      <c r="N971" s="10"/>
      <c r="O971" s="11" t="s">
        <v>3608</v>
      </c>
      <c r="P971" s="10" t="s">
        <v>71</v>
      </c>
      <c r="Q971" s="11" t="s">
        <v>72</v>
      </c>
      <c r="R971" s="11" t="s">
        <v>73</v>
      </c>
      <c r="S971" s="11" t="s">
        <v>74</v>
      </c>
      <c r="T971" s="11" t="s">
        <v>4059</v>
      </c>
      <c r="U971" s="10" t="n">
        <f aca="false">IF(AND($D971="",$E971="",$F971=""),1,0)</f>
        <v>0</v>
      </c>
      <c r="V971" s="10" t="n">
        <f aca="false">IF(OR($I971="",$I971="—"),1,0)</f>
        <v>0</v>
      </c>
      <c r="W971" s="10" t="n">
        <f aca="false">IF(AND(ISNUMBER($D971),ISNUMBER($E971)),IF($E971&gt;$D971,1,0),0)+IF(AND(ISNUMBER($D971),ISNUMBER($F971)),IF($D971&gt;$F971,1,0),0)+IF(AND(ISNUMBER($E971),ISNUMBER($F971)),IF($E971&gt;$F971,1,0),0)</f>
        <v>0</v>
      </c>
      <c r="X971" s="13" t="s">
        <v>76</v>
      </c>
    </row>
    <row r="972" customFormat="false" ht="15" hidden="false" customHeight="false" outlineLevel="0" collapsed="false">
      <c r="A972" s="10" t="s">
        <v>4060</v>
      </c>
      <c r="B972" s="10" t="s">
        <v>4061</v>
      </c>
      <c r="C972" s="11" t="s">
        <v>4049</v>
      </c>
      <c r="D972" s="12" t="n">
        <v>16.25</v>
      </c>
      <c r="E972" s="12"/>
      <c r="F972" s="12"/>
      <c r="G972" s="10" t="s">
        <v>63</v>
      </c>
      <c r="H972" s="10" t="s">
        <v>92</v>
      </c>
      <c r="I972" s="11" t="s">
        <v>3616</v>
      </c>
      <c r="J972" s="10" t="s">
        <v>66</v>
      </c>
      <c r="K972" s="10" t="s">
        <v>67</v>
      </c>
      <c r="L972" s="10" t="s">
        <v>68</v>
      </c>
      <c r="M972" s="10" t="s">
        <v>69</v>
      </c>
      <c r="N972" s="10"/>
      <c r="O972" s="11" t="s">
        <v>3428</v>
      </c>
      <c r="P972" s="10" t="s">
        <v>71</v>
      </c>
      <c r="Q972" s="11" t="s">
        <v>72</v>
      </c>
      <c r="R972" s="11" t="s">
        <v>73</v>
      </c>
      <c r="S972" s="11" t="s">
        <v>74</v>
      </c>
      <c r="T972" s="11" t="s">
        <v>4062</v>
      </c>
      <c r="U972" s="10" t="n">
        <f aca="false">IF(AND($D972="",$E972="",$F972=""),1,0)</f>
        <v>0</v>
      </c>
      <c r="V972" s="10" t="n">
        <f aca="false">IF(OR($I972="",$I972="—"),1,0)</f>
        <v>0</v>
      </c>
      <c r="W972" s="10" t="n">
        <f aca="false">IF(AND(ISNUMBER($D972),ISNUMBER($E972)),IF($E972&gt;$D972,1,0),0)+IF(AND(ISNUMBER($D972),ISNUMBER($F972)),IF($D972&gt;$F972,1,0),0)+IF(AND(ISNUMBER($E972),ISNUMBER($F972)),IF($E972&gt;$F972,1,0),0)</f>
        <v>0</v>
      </c>
      <c r="X972" s="13" t="s">
        <v>76</v>
      </c>
    </row>
    <row r="973" customFormat="false" ht="15" hidden="false" customHeight="false" outlineLevel="0" collapsed="false">
      <c r="A973" s="10" t="s">
        <v>4063</v>
      </c>
      <c r="B973" s="10" t="s">
        <v>4064</v>
      </c>
      <c r="C973" s="11" t="s">
        <v>4065</v>
      </c>
      <c r="D973" s="12" t="n">
        <v>0</v>
      </c>
      <c r="E973" s="12"/>
      <c r="F973" s="12"/>
      <c r="G973" s="10" t="s">
        <v>63</v>
      </c>
      <c r="H973" s="10" t="s">
        <v>64</v>
      </c>
      <c r="I973" s="11" t="s">
        <v>3616</v>
      </c>
      <c r="J973" s="10" t="s">
        <v>66</v>
      </c>
      <c r="K973" s="10" t="s">
        <v>67</v>
      </c>
      <c r="L973" s="10" t="s">
        <v>68</v>
      </c>
      <c r="M973" s="10" t="s">
        <v>69</v>
      </c>
      <c r="N973" s="10"/>
      <c r="O973" s="11" t="s">
        <v>3422</v>
      </c>
      <c r="P973" s="10" t="s">
        <v>71</v>
      </c>
      <c r="Q973" s="11" t="s">
        <v>72</v>
      </c>
      <c r="R973" s="11" t="s">
        <v>73</v>
      </c>
      <c r="S973" s="11" t="s">
        <v>74</v>
      </c>
      <c r="T973" s="11" t="s">
        <v>4066</v>
      </c>
      <c r="U973" s="10" t="n">
        <f aca="false">IF(AND($D973="",$E973="",$F973=""),1,0)</f>
        <v>0</v>
      </c>
      <c r="V973" s="10" t="n">
        <f aca="false">IF(OR($I973="",$I973="—"),1,0)</f>
        <v>0</v>
      </c>
      <c r="W973" s="10" t="n">
        <f aca="false">IF(AND(ISNUMBER($D973),ISNUMBER($E973)),IF($E973&gt;$D973,1,0),0)+IF(AND(ISNUMBER($D973),ISNUMBER($F973)),IF($D973&gt;$F973,1,0),0)+IF(AND(ISNUMBER($E973),ISNUMBER($F973)),IF($E973&gt;$F973,1,0),0)</f>
        <v>0</v>
      </c>
      <c r="X973" s="13" t="s">
        <v>76</v>
      </c>
    </row>
    <row r="974" customFormat="false" ht="15" hidden="false" customHeight="false" outlineLevel="0" collapsed="false">
      <c r="A974" s="10" t="s">
        <v>4067</v>
      </c>
      <c r="B974" s="10" t="s">
        <v>4068</v>
      </c>
      <c r="C974" s="11" t="s">
        <v>4065</v>
      </c>
      <c r="D974" s="12" t="n">
        <v>0</v>
      </c>
      <c r="E974" s="12"/>
      <c r="F974" s="12"/>
      <c r="G974" s="10" t="s">
        <v>63</v>
      </c>
      <c r="H974" s="10" t="s">
        <v>79</v>
      </c>
      <c r="I974" s="11" t="s">
        <v>3616</v>
      </c>
      <c r="J974" s="10" t="s">
        <v>66</v>
      </c>
      <c r="K974" s="10" t="s">
        <v>67</v>
      </c>
      <c r="L974" s="10" t="s">
        <v>68</v>
      </c>
      <c r="M974" s="10" t="s">
        <v>69</v>
      </c>
      <c r="N974" s="10"/>
      <c r="O974" s="11" t="s">
        <v>3422</v>
      </c>
      <c r="P974" s="10" t="s">
        <v>71</v>
      </c>
      <c r="Q974" s="11" t="s">
        <v>72</v>
      </c>
      <c r="R974" s="11" t="s">
        <v>73</v>
      </c>
      <c r="S974" s="11" t="s">
        <v>74</v>
      </c>
      <c r="T974" s="11" t="s">
        <v>4066</v>
      </c>
      <c r="U974" s="10" t="n">
        <f aca="false">IF(AND($D974="",$E974="",$F974=""),1,0)</f>
        <v>0</v>
      </c>
      <c r="V974" s="10" t="n">
        <f aca="false">IF(OR($I974="",$I974="—"),1,0)</f>
        <v>0</v>
      </c>
      <c r="W974" s="10" t="n">
        <f aca="false">IF(AND(ISNUMBER($D974),ISNUMBER($E974)),IF($E974&gt;$D974,1,0),0)+IF(AND(ISNUMBER($D974),ISNUMBER($F974)),IF($D974&gt;$F974,1,0),0)+IF(AND(ISNUMBER($E974),ISNUMBER($F974)),IF($E974&gt;$F974,1,0),0)</f>
        <v>0</v>
      </c>
      <c r="X974" s="13" t="s">
        <v>76</v>
      </c>
    </row>
    <row r="975" customFormat="false" ht="15" hidden="false" customHeight="false" outlineLevel="0" collapsed="false">
      <c r="A975" s="10" t="s">
        <v>4069</v>
      </c>
      <c r="B975" s="10" t="s">
        <v>4070</v>
      </c>
      <c r="C975" s="11" t="s">
        <v>4065</v>
      </c>
      <c r="D975" s="12" t="n">
        <v>1.3</v>
      </c>
      <c r="E975" s="12"/>
      <c r="F975" s="12"/>
      <c r="G975" s="10" t="s">
        <v>63</v>
      </c>
      <c r="H975" s="10" t="s">
        <v>83</v>
      </c>
      <c r="I975" s="11" t="s">
        <v>3616</v>
      </c>
      <c r="J975" s="10" t="s">
        <v>66</v>
      </c>
      <c r="K975" s="10" t="s">
        <v>67</v>
      </c>
      <c r="L975" s="10" t="s">
        <v>68</v>
      </c>
      <c r="M975" s="10" t="s">
        <v>69</v>
      </c>
      <c r="N975" s="10"/>
      <c r="O975" s="11" t="s">
        <v>3422</v>
      </c>
      <c r="P975" s="10" t="s">
        <v>71</v>
      </c>
      <c r="Q975" s="11" t="s">
        <v>72</v>
      </c>
      <c r="R975" s="11" t="s">
        <v>73</v>
      </c>
      <c r="S975" s="11" t="s">
        <v>74</v>
      </c>
      <c r="T975" s="11" t="s">
        <v>4071</v>
      </c>
      <c r="U975" s="10" t="n">
        <f aca="false">IF(AND($D975="",$E975="",$F975=""),1,0)</f>
        <v>0</v>
      </c>
      <c r="V975" s="10" t="n">
        <f aca="false">IF(OR($I975="",$I975="—"),1,0)</f>
        <v>0</v>
      </c>
      <c r="W975" s="10" t="n">
        <f aca="false">IF(AND(ISNUMBER($D975),ISNUMBER($E975)),IF($E975&gt;$D975,1,0),0)+IF(AND(ISNUMBER($D975),ISNUMBER($F975)),IF($D975&gt;$F975,1,0),0)+IF(AND(ISNUMBER($E975),ISNUMBER($F975)),IF($E975&gt;$F975,1,0),0)</f>
        <v>0</v>
      </c>
      <c r="X975" s="13" t="s">
        <v>76</v>
      </c>
    </row>
    <row r="976" customFormat="false" ht="15" hidden="false" customHeight="false" outlineLevel="0" collapsed="false">
      <c r="A976" s="10" t="s">
        <v>4072</v>
      </c>
      <c r="B976" s="10" t="s">
        <v>4073</v>
      </c>
      <c r="C976" s="11" t="s">
        <v>4065</v>
      </c>
      <c r="D976" s="12" t="n">
        <v>0</v>
      </c>
      <c r="E976" s="12"/>
      <c r="F976" s="12"/>
      <c r="G976" s="10" t="s">
        <v>63</v>
      </c>
      <c r="H976" s="10" t="s">
        <v>87</v>
      </c>
      <c r="I976" s="11" t="s">
        <v>3616</v>
      </c>
      <c r="J976" s="10" t="s">
        <v>66</v>
      </c>
      <c r="K976" s="10" t="s">
        <v>67</v>
      </c>
      <c r="L976" s="10" t="s">
        <v>68</v>
      </c>
      <c r="M976" s="10" t="s">
        <v>69</v>
      </c>
      <c r="N976" s="10"/>
      <c r="O976" s="11" t="s">
        <v>3608</v>
      </c>
      <c r="P976" s="10" t="s">
        <v>71</v>
      </c>
      <c r="Q976" s="11" t="s">
        <v>72</v>
      </c>
      <c r="R976" s="11" t="s">
        <v>73</v>
      </c>
      <c r="S976" s="11" t="s">
        <v>74</v>
      </c>
      <c r="T976" s="11" t="s">
        <v>4066</v>
      </c>
      <c r="U976" s="10" t="n">
        <f aca="false">IF(AND($D976="",$E976="",$F976=""),1,0)</f>
        <v>0</v>
      </c>
      <c r="V976" s="10" t="n">
        <f aca="false">IF(OR($I976="",$I976="—"),1,0)</f>
        <v>0</v>
      </c>
      <c r="W976" s="10" t="n">
        <f aca="false">IF(AND(ISNUMBER($D976),ISNUMBER($E976)),IF($E976&gt;$D976,1,0),0)+IF(AND(ISNUMBER($D976),ISNUMBER($F976)),IF($D976&gt;$F976,1,0),0)+IF(AND(ISNUMBER($E976),ISNUMBER($F976)),IF($E976&gt;$F976,1,0),0)</f>
        <v>0</v>
      </c>
      <c r="X976" s="13" t="s">
        <v>76</v>
      </c>
    </row>
    <row r="977" customFormat="false" ht="15" hidden="false" customHeight="false" outlineLevel="0" collapsed="false">
      <c r="A977" s="10" t="s">
        <v>4074</v>
      </c>
      <c r="B977" s="10" t="s">
        <v>4075</v>
      </c>
      <c r="C977" s="11" t="s">
        <v>4065</v>
      </c>
      <c r="D977" s="12" t="n">
        <v>7</v>
      </c>
      <c r="E977" s="12"/>
      <c r="F977" s="12"/>
      <c r="G977" s="10" t="s">
        <v>63</v>
      </c>
      <c r="H977" s="10" t="s">
        <v>92</v>
      </c>
      <c r="I977" s="11" t="s">
        <v>3616</v>
      </c>
      <c r="J977" s="10" t="s">
        <v>66</v>
      </c>
      <c r="K977" s="10" t="s">
        <v>67</v>
      </c>
      <c r="L977" s="10" t="s">
        <v>68</v>
      </c>
      <c r="M977" s="10" t="s">
        <v>69</v>
      </c>
      <c r="N977" s="10"/>
      <c r="O977" s="11" t="s">
        <v>3428</v>
      </c>
      <c r="P977" s="10" t="s">
        <v>71</v>
      </c>
      <c r="Q977" s="11" t="s">
        <v>72</v>
      </c>
      <c r="R977" s="11" t="s">
        <v>73</v>
      </c>
      <c r="S977" s="11" t="s">
        <v>74</v>
      </c>
      <c r="T977" s="11" t="s">
        <v>4076</v>
      </c>
      <c r="U977" s="10" t="n">
        <f aca="false">IF(AND($D977="",$E977="",$F977=""),1,0)</f>
        <v>0</v>
      </c>
      <c r="V977" s="10" t="n">
        <f aca="false">IF(OR($I977="",$I977="—"),1,0)</f>
        <v>0</v>
      </c>
      <c r="W977" s="10" t="n">
        <f aca="false">IF(AND(ISNUMBER($D977),ISNUMBER($E977)),IF($E977&gt;$D977,1,0),0)+IF(AND(ISNUMBER($D977),ISNUMBER($F977)),IF($D977&gt;$F977,1,0),0)+IF(AND(ISNUMBER($E977),ISNUMBER($F977)),IF($E977&gt;$F977,1,0),0)</f>
        <v>0</v>
      </c>
      <c r="X977" s="13" t="s">
        <v>76</v>
      </c>
    </row>
    <row r="978" customFormat="false" ht="15" hidden="false" customHeight="false" outlineLevel="0" collapsed="false">
      <c r="A978" s="10" t="s">
        <v>4077</v>
      </c>
      <c r="B978" s="10" t="s">
        <v>4078</v>
      </c>
      <c r="C978" s="11" t="s">
        <v>4079</v>
      </c>
      <c r="D978" s="12" t="n">
        <v>0.001</v>
      </c>
      <c r="E978" s="12"/>
      <c r="F978" s="12"/>
      <c r="G978" s="10" t="s">
        <v>63</v>
      </c>
      <c r="H978" s="10" t="s">
        <v>3443</v>
      </c>
      <c r="I978" s="11" t="s">
        <v>4080</v>
      </c>
      <c r="J978" s="10" t="s">
        <v>66</v>
      </c>
      <c r="K978" s="10" t="s">
        <v>67</v>
      </c>
      <c r="L978" s="10" t="s">
        <v>68</v>
      </c>
      <c r="M978" s="10" t="s">
        <v>69</v>
      </c>
      <c r="N978" s="10"/>
      <c r="O978" s="11" t="s">
        <v>3422</v>
      </c>
      <c r="P978" s="10" t="s">
        <v>71</v>
      </c>
      <c r="Q978" s="11" t="s">
        <v>72</v>
      </c>
      <c r="R978" s="11" t="s">
        <v>73</v>
      </c>
      <c r="S978" s="11" t="s">
        <v>74</v>
      </c>
      <c r="T978" s="11" t="s">
        <v>4081</v>
      </c>
      <c r="U978" s="10" t="n">
        <f aca="false">IF(AND($D978="",$E978="",$F978=""),1,0)</f>
        <v>0</v>
      </c>
      <c r="V978" s="10" t="n">
        <f aca="false">IF(OR($I978="",$I978="—"),1,0)</f>
        <v>0</v>
      </c>
      <c r="W978" s="10" t="n">
        <f aca="false">IF(AND(ISNUMBER($D978),ISNUMBER($E978)),IF($E978&gt;$D978,1,0),0)+IF(AND(ISNUMBER($D978),ISNUMBER($F978)),IF($D978&gt;$F978,1,0),0)+IF(AND(ISNUMBER($E978),ISNUMBER($F978)),IF($E978&gt;$F978,1,0),0)</f>
        <v>0</v>
      </c>
      <c r="X978" s="13" t="s">
        <v>76</v>
      </c>
    </row>
    <row r="979" customFormat="false" ht="15" hidden="false" customHeight="false" outlineLevel="0" collapsed="false">
      <c r="A979" s="10" t="s">
        <v>4082</v>
      </c>
      <c r="B979" s="10" t="s">
        <v>4083</v>
      </c>
      <c r="C979" s="11" t="s">
        <v>4079</v>
      </c>
      <c r="D979" s="12" t="n">
        <v>0.0022</v>
      </c>
      <c r="E979" s="12"/>
      <c r="F979" s="12"/>
      <c r="G979" s="10" t="s">
        <v>63</v>
      </c>
      <c r="H979" s="10" t="s">
        <v>3448</v>
      </c>
      <c r="I979" s="11" t="s">
        <v>4080</v>
      </c>
      <c r="J979" s="10" t="s">
        <v>66</v>
      </c>
      <c r="K979" s="10" t="s">
        <v>67</v>
      </c>
      <c r="L979" s="10" t="s">
        <v>68</v>
      </c>
      <c r="M979" s="10" t="s">
        <v>69</v>
      </c>
      <c r="N979" s="10"/>
      <c r="O979" s="11" t="s">
        <v>3422</v>
      </c>
      <c r="P979" s="10" t="s">
        <v>71</v>
      </c>
      <c r="Q979" s="11" t="s">
        <v>72</v>
      </c>
      <c r="R979" s="11" t="s">
        <v>73</v>
      </c>
      <c r="S979" s="11" t="s">
        <v>74</v>
      </c>
      <c r="T979" s="11" t="s">
        <v>4084</v>
      </c>
      <c r="U979" s="10" t="n">
        <f aca="false">IF(AND($D979="",$E979="",$F979=""),1,0)</f>
        <v>0</v>
      </c>
      <c r="V979" s="10" t="n">
        <f aca="false">IF(OR($I979="",$I979="—"),1,0)</f>
        <v>0</v>
      </c>
      <c r="W979" s="10" t="n">
        <f aca="false">IF(AND(ISNUMBER($D979),ISNUMBER($E979)),IF($E979&gt;$D979,1,0),0)+IF(AND(ISNUMBER($D979),ISNUMBER($F979)),IF($D979&gt;$F979,1,0),0)+IF(AND(ISNUMBER($E979),ISNUMBER($F979)),IF($E979&gt;$F979,1,0),0)</f>
        <v>0</v>
      </c>
      <c r="X979" s="13" t="s">
        <v>76</v>
      </c>
    </row>
    <row r="980" customFormat="false" ht="15" hidden="false" customHeight="false" outlineLevel="0" collapsed="false">
      <c r="A980" s="10" t="s">
        <v>4085</v>
      </c>
      <c r="B980" s="10" t="s">
        <v>4086</v>
      </c>
      <c r="C980" s="11" t="s">
        <v>4079</v>
      </c>
      <c r="D980" s="12" t="n">
        <v>0.0106</v>
      </c>
      <c r="E980" s="12"/>
      <c r="F980" s="12"/>
      <c r="G980" s="10" t="s">
        <v>63</v>
      </c>
      <c r="H980" s="10" t="s">
        <v>3452</v>
      </c>
      <c r="I980" s="11" t="s">
        <v>4080</v>
      </c>
      <c r="J980" s="10" t="s">
        <v>66</v>
      </c>
      <c r="K980" s="10" t="s">
        <v>67</v>
      </c>
      <c r="L980" s="10" t="s">
        <v>68</v>
      </c>
      <c r="M980" s="10" t="s">
        <v>69</v>
      </c>
      <c r="N980" s="10"/>
      <c r="O980" s="11" t="s">
        <v>3422</v>
      </c>
      <c r="P980" s="10" t="s">
        <v>71</v>
      </c>
      <c r="Q980" s="11" t="s">
        <v>72</v>
      </c>
      <c r="R980" s="11" t="s">
        <v>73</v>
      </c>
      <c r="S980" s="11" t="s">
        <v>74</v>
      </c>
      <c r="T980" s="11" t="s">
        <v>4087</v>
      </c>
      <c r="U980" s="10" t="n">
        <f aca="false">IF(AND($D980="",$E980="",$F980=""),1,0)</f>
        <v>0</v>
      </c>
      <c r="V980" s="10" t="n">
        <f aca="false">IF(OR($I980="",$I980="—"),1,0)</f>
        <v>0</v>
      </c>
      <c r="W980" s="10" t="n">
        <f aca="false">IF(AND(ISNUMBER($D980),ISNUMBER($E980)),IF($E980&gt;$D980,1,0),0)+IF(AND(ISNUMBER($D980),ISNUMBER($F980)),IF($D980&gt;$F980,1,0),0)+IF(AND(ISNUMBER($E980),ISNUMBER($F980)),IF($E980&gt;$F980,1,0),0)</f>
        <v>0</v>
      </c>
      <c r="X980" s="13" t="s">
        <v>76</v>
      </c>
    </row>
    <row r="981" customFormat="false" ht="15" hidden="false" customHeight="false" outlineLevel="0" collapsed="false">
      <c r="A981" s="10" t="s">
        <v>4088</v>
      </c>
      <c r="B981" s="10" t="s">
        <v>4089</v>
      </c>
      <c r="C981" s="11" t="s">
        <v>4079</v>
      </c>
      <c r="D981" s="12" t="n">
        <v>0.0415</v>
      </c>
      <c r="E981" s="12"/>
      <c r="F981" s="12"/>
      <c r="G981" s="10" t="s">
        <v>63</v>
      </c>
      <c r="H981" s="10" t="s">
        <v>440</v>
      </c>
      <c r="I981" s="11" t="s">
        <v>4080</v>
      </c>
      <c r="J981" s="10" t="s">
        <v>66</v>
      </c>
      <c r="K981" s="10" t="s">
        <v>67</v>
      </c>
      <c r="L981" s="10" t="s">
        <v>68</v>
      </c>
      <c r="M981" s="10" t="s">
        <v>69</v>
      </c>
      <c r="N981" s="10"/>
      <c r="O981" s="11" t="s">
        <v>3428</v>
      </c>
      <c r="P981" s="10" t="s">
        <v>71</v>
      </c>
      <c r="Q981" s="11" t="s">
        <v>72</v>
      </c>
      <c r="R981" s="11" t="s">
        <v>73</v>
      </c>
      <c r="S981" s="11" t="s">
        <v>74</v>
      </c>
      <c r="T981" s="11" t="s">
        <v>4090</v>
      </c>
      <c r="U981" s="10" t="n">
        <f aca="false">IF(AND($D981="",$E981="",$F981=""),1,0)</f>
        <v>0</v>
      </c>
      <c r="V981" s="10" t="n">
        <f aca="false">IF(OR($I981="",$I981="—"),1,0)</f>
        <v>0</v>
      </c>
      <c r="W981" s="10" t="n">
        <f aca="false">IF(AND(ISNUMBER($D981),ISNUMBER($E981)),IF($E981&gt;$D981,1,0),0)+IF(AND(ISNUMBER($D981),ISNUMBER($F981)),IF($D981&gt;$F981,1,0),0)+IF(AND(ISNUMBER($E981),ISNUMBER($F981)),IF($E981&gt;$F981,1,0),0)</f>
        <v>0</v>
      </c>
      <c r="X981" s="13" t="s">
        <v>76</v>
      </c>
    </row>
    <row r="982" customFormat="false" ht="15" hidden="false" customHeight="false" outlineLevel="0" collapsed="false">
      <c r="A982" s="10" t="s">
        <v>4091</v>
      </c>
      <c r="B982" s="10" t="s">
        <v>4092</v>
      </c>
      <c r="C982" s="11" t="s">
        <v>4093</v>
      </c>
      <c r="D982" s="12" t="n">
        <v>0</v>
      </c>
      <c r="E982" s="12"/>
      <c r="F982" s="12"/>
      <c r="G982" s="10" t="s">
        <v>63</v>
      </c>
      <c r="H982" s="10" t="s">
        <v>3443</v>
      </c>
      <c r="I982" s="11" t="s">
        <v>3536</v>
      </c>
      <c r="J982" s="10" t="s">
        <v>66</v>
      </c>
      <c r="K982" s="10" t="s">
        <v>67</v>
      </c>
      <c r="L982" s="10" t="s">
        <v>68</v>
      </c>
      <c r="M982" s="10" t="s">
        <v>69</v>
      </c>
      <c r="N982" s="10"/>
      <c r="O982" s="11" t="s">
        <v>3422</v>
      </c>
      <c r="P982" s="10" t="s">
        <v>71</v>
      </c>
      <c r="Q982" s="11" t="s">
        <v>72</v>
      </c>
      <c r="R982" s="11" t="s">
        <v>73</v>
      </c>
      <c r="S982" s="11" t="s">
        <v>74</v>
      </c>
      <c r="T982" s="11" t="s">
        <v>4094</v>
      </c>
      <c r="U982" s="10" t="n">
        <f aca="false">IF(AND($D982="",$E982="",$F982=""),1,0)</f>
        <v>0</v>
      </c>
      <c r="V982" s="10" t="n">
        <f aca="false">IF(OR($I982="",$I982="—"),1,0)</f>
        <v>0</v>
      </c>
      <c r="W982" s="10" t="n">
        <f aca="false">IF(AND(ISNUMBER($D982),ISNUMBER($E982)),IF($E982&gt;$D982,1,0),0)+IF(AND(ISNUMBER($D982),ISNUMBER($F982)),IF($D982&gt;$F982,1,0),0)+IF(AND(ISNUMBER($E982),ISNUMBER($F982)),IF($E982&gt;$F982,1,0),0)</f>
        <v>0</v>
      </c>
      <c r="X982" s="13" t="s">
        <v>76</v>
      </c>
    </row>
    <row r="983" customFormat="false" ht="15" hidden="false" customHeight="false" outlineLevel="0" collapsed="false">
      <c r="A983" s="10" t="s">
        <v>4095</v>
      </c>
      <c r="B983" s="10" t="s">
        <v>4096</v>
      </c>
      <c r="C983" s="11" t="s">
        <v>4093</v>
      </c>
      <c r="D983" s="12" t="n">
        <v>0</v>
      </c>
      <c r="E983" s="12"/>
      <c r="F983" s="12"/>
      <c r="G983" s="10" t="s">
        <v>63</v>
      </c>
      <c r="H983" s="10" t="s">
        <v>3448</v>
      </c>
      <c r="I983" s="11" t="s">
        <v>3536</v>
      </c>
      <c r="J983" s="10" t="s">
        <v>66</v>
      </c>
      <c r="K983" s="10" t="s">
        <v>67</v>
      </c>
      <c r="L983" s="10" t="s">
        <v>68</v>
      </c>
      <c r="M983" s="10" t="s">
        <v>69</v>
      </c>
      <c r="N983" s="10"/>
      <c r="O983" s="11" t="s">
        <v>3422</v>
      </c>
      <c r="P983" s="10" t="s">
        <v>71</v>
      </c>
      <c r="Q983" s="11" t="s">
        <v>72</v>
      </c>
      <c r="R983" s="11" t="s">
        <v>73</v>
      </c>
      <c r="S983" s="11" t="s">
        <v>74</v>
      </c>
      <c r="T983" s="11" t="s">
        <v>4094</v>
      </c>
      <c r="U983" s="10" t="n">
        <f aca="false">IF(AND($D983="",$E983="",$F983=""),1,0)</f>
        <v>0</v>
      </c>
      <c r="V983" s="10" t="n">
        <f aca="false">IF(OR($I983="",$I983="—"),1,0)</f>
        <v>0</v>
      </c>
      <c r="W983" s="10" t="n">
        <f aca="false">IF(AND(ISNUMBER($D983),ISNUMBER($E983)),IF($E983&gt;$D983,1,0),0)+IF(AND(ISNUMBER($D983),ISNUMBER($F983)),IF($D983&gt;$F983,1,0),0)+IF(AND(ISNUMBER($E983),ISNUMBER($F983)),IF($E983&gt;$F983,1,0),0)</f>
        <v>0</v>
      </c>
      <c r="X983" s="13" t="s">
        <v>76</v>
      </c>
    </row>
    <row r="984" customFormat="false" ht="15" hidden="false" customHeight="false" outlineLevel="0" collapsed="false">
      <c r="A984" s="10" t="s">
        <v>4097</v>
      </c>
      <c r="B984" s="10" t="s">
        <v>4098</v>
      </c>
      <c r="C984" s="11" t="s">
        <v>4093</v>
      </c>
      <c r="D984" s="12" t="n">
        <v>1.3725</v>
      </c>
      <c r="E984" s="12"/>
      <c r="F984" s="12"/>
      <c r="G984" s="10" t="s">
        <v>63</v>
      </c>
      <c r="H984" s="10" t="s">
        <v>3452</v>
      </c>
      <c r="I984" s="11" t="s">
        <v>3536</v>
      </c>
      <c r="J984" s="10" t="s">
        <v>66</v>
      </c>
      <c r="K984" s="10" t="s">
        <v>67</v>
      </c>
      <c r="L984" s="10" t="s">
        <v>68</v>
      </c>
      <c r="M984" s="10" t="s">
        <v>69</v>
      </c>
      <c r="N984" s="10"/>
      <c r="O984" s="11" t="s">
        <v>3422</v>
      </c>
      <c r="P984" s="10" t="s">
        <v>71</v>
      </c>
      <c r="Q984" s="11" t="s">
        <v>72</v>
      </c>
      <c r="R984" s="11" t="s">
        <v>73</v>
      </c>
      <c r="S984" s="11" t="s">
        <v>74</v>
      </c>
      <c r="T984" s="11" t="s">
        <v>4099</v>
      </c>
      <c r="U984" s="10" t="n">
        <f aca="false">IF(AND($D984="",$E984="",$F984=""),1,0)</f>
        <v>0</v>
      </c>
      <c r="V984" s="10" t="n">
        <f aca="false">IF(OR($I984="",$I984="—"),1,0)</f>
        <v>0</v>
      </c>
      <c r="W984" s="10" t="n">
        <f aca="false">IF(AND(ISNUMBER($D984),ISNUMBER($E984)),IF($E984&gt;$D984,1,0),0)+IF(AND(ISNUMBER($D984),ISNUMBER($F984)),IF($D984&gt;$F984,1,0),0)+IF(AND(ISNUMBER($E984),ISNUMBER($F984)),IF($E984&gt;$F984,1,0),0)</f>
        <v>0</v>
      </c>
      <c r="X984" s="13" t="s">
        <v>76</v>
      </c>
    </row>
    <row r="985" customFormat="false" ht="15" hidden="false" customHeight="false" outlineLevel="0" collapsed="false">
      <c r="A985" s="10" t="s">
        <v>4100</v>
      </c>
      <c r="B985" s="10" t="s">
        <v>4101</v>
      </c>
      <c r="C985" s="11" t="s">
        <v>4093</v>
      </c>
      <c r="D985" s="12" t="n">
        <v>1.3721</v>
      </c>
      <c r="E985" s="12"/>
      <c r="F985" s="12"/>
      <c r="G985" s="10" t="s">
        <v>63</v>
      </c>
      <c r="H985" s="10" t="s">
        <v>440</v>
      </c>
      <c r="I985" s="11" t="s">
        <v>3536</v>
      </c>
      <c r="J985" s="10" t="s">
        <v>66</v>
      </c>
      <c r="K985" s="10" t="s">
        <v>67</v>
      </c>
      <c r="L985" s="10" t="s">
        <v>68</v>
      </c>
      <c r="M985" s="10" t="s">
        <v>69</v>
      </c>
      <c r="N985" s="10"/>
      <c r="O985" s="11" t="s">
        <v>3428</v>
      </c>
      <c r="P985" s="10" t="s">
        <v>71</v>
      </c>
      <c r="Q985" s="11" t="s">
        <v>72</v>
      </c>
      <c r="R985" s="11" t="s">
        <v>73</v>
      </c>
      <c r="S985" s="11" t="s">
        <v>74</v>
      </c>
      <c r="T985" s="11" t="s">
        <v>4102</v>
      </c>
      <c r="U985" s="10" t="n">
        <f aca="false">IF(AND($D985="",$E985="",$F985=""),1,0)</f>
        <v>0</v>
      </c>
      <c r="V985" s="10" t="n">
        <f aca="false">IF(OR($I985="",$I985="—"),1,0)</f>
        <v>0</v>
      </c>
      <c r="W985" s="10" t="n">
        <f aca="false">IF(AND(ISNUMBER($D985),ISNUMBER($E985)),IF($E985&gt;$D985,1,0),0)+IF(AND(ISNUMBER($D985),ISNUMBER($F985)),IF($D985&gt;$F985,1,0),0)+IF(AND(ISNUMBER($E985),ISNUMBER($F985)),IF($E985&gt;$F985,1,0),0)</f>
        <v>0</v>
      </c>
      <c r="X985" s="13" t="s">
        <v>76</v>
      </c>
    </row>
    <row r="986" customFormat="false" ht="15" hidden="false" customHeight="false" outlineLevel="0" collapsed="false">
      <c r="A986" s="10" t="s">
        <v>4103</v>
      </c>
      <c r="B986" s="10" t="s">
        <v>4104</v>
      </c>
      <c r="C986" s="11" t="s">
        <v>4093</v>
      </c>
      <c r="D986" s="12" t="n">
        <v>2.6837</v>
      </c>
      <c r="E986" s="12"/>
      <c r="F986" s="12"/>
      <c r="G986" s="10" t="s">
        <v>63</v>
      </c>
      <c r="H986" s="10" t="s">
        <v>432</v>
      </c>
      <c r="I986" s="11" t="s">
        <v>3536</v>
      </c>
      <c r="J986" s="10" t="s">
        <v>66</v>
      </c>
      <c r="K986" s="10" t="s">
        <v>67</v>
      </c>
      <c r="L986" s="10" t="s">
        <v>68</v>
      </c>
      <c r="M986" s="10" t="s">
        <v>69</v>
      </c>
      <c r="N986" s="10"/>
      <c r="O986" s="11" t="s">
        <v>3513</v>
      </c>
      <c r="P986" s="10" t="s">
        <v>71</v>
      </c>
      <c r="Q986" s="11" t="s">
        <v>72</v>
      </c>
      <c r="R986" s="11" t="s">
        <v>73</v>
      </c>
      <c r="S986" s="11" t="s">
        <v>74</v>
      </c>
      <c r="T986" s="11" t="s">
        <v>4105</v>
      </c>
      <c r="U986" s="10" t="n">
        <f aca="false">IF(AND($D986="",$E986="",$F986=""),1,0)</f>
        <v>0</v>
      </c>
      <c r="V986" s="10" t="n">
        <f aca="false">IF(OR($I986="",$I986="—"),1,0)</f>
        <v>0</v>
      </c>
      <c r="W986" s="10" t="n">
        <f aca="false">IF(AND(ISNUMBER($D986),ISNUMBER($E986)),IF($E986&gt;$D986,1,0),0)+IF(AND(ISNUMBER($D986),ISNUMBER($F986)),IF($D986&gt;$F986,1,0),0)+IF(AND(ISNUMBER($E986),ISNUMBER($F986)),IF($E986&gt;$F986,1,0),0)</f>
        <v>0</v>
      </c>
      <c r="X986" s="13" t="s">
        <v>76</v>
      </c>
    </row>
    <row r="987" customFormat="false" ht="15" hidden="false" customHeight="false" outlineLevel="0" collapsed="false">
      <c r="A987" s="10" t="s">
        <v>4106</v>
      </c>
      <c r="B987" s="10" t="s">
        <v>4107</v>
      </c>
      <c r="C987" s="11" t="s">
        <v>4108</v>
      </c>
      <c r="D987" s="12" t="n">
        <v>2.65</v>
      </c>
      <c r="E987" s="12"/>
      <c r="F987" s="12"/>
      <c r="G987" s="10" t="s">
        <v>401</v>
      </c>
      <c r="H987" s="10" t="s">
        <v>3452</v>
      </c>
      <c r="I987" s="11" t="s">
        <v>3536</v>
      </c>
      <c r="J987" s="10" t="s">
        <v>66</v>
      </c>
      <c r="K987" s="10" t="s">
        <v>67</v>
      </c>
      <c r="L987" s="10" t="s">
        <v>68</v>
      </c>
      <c r="M987" s="10" t="s">
        <v>69</v>
      </c>
      <c r="N987" s="10"/>
      <c r="O987" s="11" t="s">
        <v>3422</v>
      </c>
      <c r="P987" s="10" t="s">
        <v>71</v>
      </c>
      <c r="Q987" s="11" t="s">
        <v>72</v>
      </c>
      <c r="R987" s="11" t="s">
        <v>73</v>
      </c>
      <c r="S987" s="11" t="s">
        <v>74</v>
      </c>
      <c r="T987" s="11" t="s">
        <v>4109</v>
      </c>
      <c r="U987" s="10" t="n">
        <f aca="false">IF(AND($D987="",$E987="",$F987=""),1,0)</f>
        <v>0</v>
      </c>
      <c r="V987" s="10" t="n">
        <f aca="false">IF(OR($I987="",$I987="—"),1,0)</f>
        <v>0</v>
      </c>
      <c r="W987" s="10" t="n">
        <f aca="false">IF(AND(ISNUMBER($D987),ISNUMBER($E987)),IF($E987&gt;$D987,1,0),0)+IF(AND(ISNUMBER($D987),ISNUMBER($F987)),IF($D987&gt;$F987,1,0),0)+IF(AND(ISNUMBER($E987),ISNUMBER($F987)),IF($E987&gt;$F987,1,0),0)</f>
        <v>0</v>
      </c>
      <c r="X987" s="13" t="s">
        <v>76</v>
      </c>
    </row>
    <row r="988" customFormat="false" ht="15" hidden="false" customHeight="false" outlineLevel="0" collapsed="false">
      <c r="A988" s="10" t="s">
        <v>4110</v>
      </c>
      <c r="B988" s="10" t="s">
        <v>4111</v>
      </c>
      <c r="C988" s="11" t="s">
        <v>4112</v>
      </c>
      <c r="D988" s="12"/>
      <c r="E988" s="12" t="n">
        <v>2.11</v>
      </c>
      <c r="F988" s="12" t="n">
        <v>2.2</v>
      </c>
      <c r="G988" s="10" t="s">
        <v>401</v>
      </c>
      <c r="H988" s="10" t="s">
        <v>4113</v>
      </c>
      <c r="I988" s="11" t="s">
        <v>3536</v>
      </c>
      <c r="J988" s="10" t="s">
        <v>66</v>
      </c>
      <c r="K988" s="10" t="s">
        <v>67</v>
      </c>
      <c r="L988" s="10" t="s">
        <v>68</v>
      </c>
      <c r="M988" s="10" t="s">
        <v>69</v>
      </c>
      <c r="N988" s="10"/>
      <c r="O988" s="11" t="s">
        <v>3513</v>
      </c>
      <c r="P988" s="10" t="s">
        <v>71</v>
      </c>
      <c r="Q988" s="11" t="s">
        <v>72</v>
      </c>
      <c r="R988" s="11" t="s">
        <v>73</v>
      </c>
      <c r="S988" s="11" t="s">
        <v>74</v>
      </c>
      <c r="T988" s="11" t="s">
        <v>4114</v>
      </c>
      <c r="U988" s="10" t="n">
        <f aca="false">IF(AND($D988="",$E988="",$F988=""),1,0)</f>
        <v>0</v>
      </c>
      <c r="V988" s="10" t="n">
        <f aca="false">IF(OR($I988="",$I988="—"),1,0)</f>
        <v>0</v>
      </c>
      <c r="W988" s="10" t="n">
        <f aca="false">IF(AND(ISNUMBER($D988),ISNUMBER($E988)),IF($E988&gt;$D988,1,0),0)+IF(AND(ISNUMBER($D988),ISNUMBER($F988)),IF($D988&gt;$F988,1,0),0)+IF(AND(ISNUMBER($E988),ISNUMBER($F988)),IF($E988&gt;$F988,1,0),0)</f>
        <v>0</v>
      </c>
      <c r="X988" s="13" t="s">
        <v>76</v>
      </c>
    </row>
    <row r="989" customFormat="false" ht="15" hidden="false" customHeight="false" outlineLevel="0" collapsed="false">
      <c r="A989" s="10" t="s">
        <v>4115</v>
      </c>
      <c r="B989" s="10" t="s">
        <v>4116</v>
      </c>
      <c r="C989" s="11" t="s">
        <v>4117</v>
      </c>
      <c r="D989" s="12" t="n">
        <v>61.305</v>
      </c>
      <c r="E989" s="12"/>
      <c r="F989" s="12"/>
      <c r="G989" s="10" t="s">
        <v>63</v>
      </c>
      <c r="H989" s="10" t="s">
        <v>432</v>
      </c>
      <c r="I989" s="11" t="s">
        <v>4118</v>
      </c>
      <c r="J989" s="10" t="s">
        <v>66</v>
      </c>
      <c r="K989" s="10" t="s">
        <v>67</v>
      </c>
      <c r="L989" s="10" t="s">
        <v>68</v>
      </c>
      <c r="M989" s="10" t="s">
        <v>69</v>
      </c>
      <c r="N989" s="10"/>
      <c r="O989" s="11" t="s">
        <v>3513</v>
      </c>
      <c r="P989" s="10" t="s">
        <v>71</v>
      </c>
      <c r="Q989" s="11" t="s">
        <v>72</v>
      </c>
      <c r="R989" s="11" t="s">
        <v>73</v>
      </c>
      <c r="S989" s="11" t="s">
        <v>74</v>
      </c>
      <c r="T989" s="11" t="s">
        <v>4119</v>
      </c>
      <c r="U989" s="10" t="n">
        <f aca="false">IF(AND($D989="",$E989="",$F989=""),1,0)</f>
        <v>0</v>
      </c>
      <c r="V989" s="10" t="n">
        <f aca="false">IF(OR($I989="",$I989="—"),1,0)</f>
        <v>0</v>
      </c>
      <c r="W989" s="10" t="n">
        <f aca="false">IF(AND(ISNUMBER($D989),ISNUMBER($E989)),IF($E989&gt;$D989,1,0),0)+IF(AND(ISNUMBER($D989),ISNUMBER($F989)),IF($D989&gt;$F989,1,0),0)+IF(AND(ISNUMBER($E989),ISNUMBER($F989)),IF($E989&gt;$F989,1,0),0)</f>
        <v>0</v>
      </c>
      <c r="X989" s="13" t="s">
        <v>76</v>
      </c>
    </row>
    <row r="990" customFormat="false" ht="15" hidden="false" customHeight="false" outlineLevel="0" collapsed="false">
      <c r="A990" s="10" t="s">
        <v>4120</v>
      </c>
      <c r="B990" s="10" t="s">
        <v>4121</v>
      </c>
      <c r="C990" s="11" t="s">
        <v>4122</v>
      </c>
      <c r="D990" s="12" t="n">
        <v>12</v>
      </c>
      <c r="E990" s="12"/>
      <c r="F990" s="12"/>
      <c r="G990" s="10" t="s">
        <v>4123</v>
      </c>
      <c r="H990" s="10" t="s">
        <v>440</v>
      </c>
      <c r="I990" s="11" t="s">
        <v>4124</v>
      </c>
      <c r="J990" s="10" t="s">
        <v>66</v>
      </c>
      <c r="K990" s="10" t="s">
        <v>67</v>
      </c>
      <c r="L990" s="10" t="s">
        <v>68</v>
      </c>
      <c r="M990" s="10" t="s">
        <v>69</v>
      </c>
      <c r="N990" s="10"/>
      <c r="O990" s="11" t="s">
        <v>3428</v>
      </c>
      <c r="P990" s="10" t="s">
        <v>71</v>
      </c>
      <c r="Q990" s="11" t="s">
        <v>72</v>
      </c>
      <c r="R990" s="11" t="s">
        <v>73</v>
      </c>
      <c r="S990" s="11" t="s">
        <v>74</v>
      </c>
      <c r="T990" s="11" t="s">
        <v>4125</v>
      </c>
      <c r="U990" s="10" t="n">
        <f aca="false">IF(AND($D990="",$E990="",$F990=""),1,0)</f>
        <v>0</v>
      </c>
      <c r="V990" s="10" t="n">
        <f aca="false">IF(OR($I990="",$I990="—"),1,0)</f>
        <v>0</v>
      </c>
      <c r="W990" s="10" t="n">
        <f aca="false">IF(AND(ISNUMBER($D990),ISNUMBER($E990)),IF($E990&gt;$D990,1,0),0)+IF(AND(ISNUMBER($D990),ISNUMBER($F990)),IF($D990&gt;$F990,1,0),0)+IF(AND(ISNUMBER($E990),ISNUMBER($F990)),IF($E990&gt;$F990,1,0),0)</f>
        <v>0</v>
      </c>
      <c r="X990" s="13" t="s">
        <v>76</v>
      </c>
    </row>
    <row r="991" customFormat="false" ht="15" hidden="false" customHeight="false" outlineLevel="0" collapsed="false">
      <c r="A991" s="10" t="s">
        <v>4126</v>
      </c>
      <c r="B991" s="10" t="s">
        <v>4127</v>
      </c>
      <c r="C991" s="11" t="s">
        <v>1713</v>
      </c>
      <c r="D991" s="12" t="n">
        <v>0.0005</v>
      </c>
      <c r="E991" s="12"/>
      <c r="F991" s="12"/>
      <c r="G991" s="10" t="s">
        <v>1714</v>
      </c>
      <c r="H991" s="10" t="s">
        <v>4128</v>
      </c>
      <c r="I991" s="11" t="s">
        <v>4129</v>
      </c>
      <c r="J991" s="10" t="s">
        <v>66</v>
      </c>
      <c r="K991" s="10" t="s">
        <v>67</v>
      </c>
      <c r="L991" s="10" t="s">
        <v>68</v>
      </c>
      <c r="M991" s="10" t="s">
        <v>416</v>
      </c>
      <c r="N991" s="11" t="s">
        <v>4130</v>
      </c>
      <c r="O991" s="11" t="s">
        <v>441</v>
      </c>
      <c r="P991" s="10" t="s">
        <v>71</v>
      </c>
      <c r="Q991" s="11" t="s">
        <v>72</v>
      </c>
      <c r="R991" s="11" t="s">
        <v>4130</v>
      </c>
      <c r="S991" s="11" t="s">
        <v>74</v>
      </c>
      <c r="T991" s="11" t="s">
        <v>4131</v>
      </c>
      <c r="U991" s="10" t="n">
        <f aca="false">IF(AND($D991="",$E991="",$F991=""),1,0)</f>
        <v>0</v>
      </c>
      <c r="V991" s="10" t="n">
        <f aca="false">IF(OR($I991="",$I991="—"),1,0)</f>
        <v>0</v>
      </c>
      <c r="W991" s="10" t="n">
        <f aca="false">IF(AND(ISNUMBER($D991),ISNUMBER($E991)),IF($E991&gt;$D991,1,0),0)+IF(AND(ISNUMBER($D991),ISNUMBER($F991)),IF($D991&gt;$F991,1,0),0)+IF(AND(ISNUMBER($E991),ISNUMBER($F991)),IF($E991&gt;$F991,1,0),0)</f>
        <v>0</v>
      </c>
      <c r="X991" s="13" t="s">
        <v>76</v>
      </c>
    </row>
    <row r="992" customFormat="false" ht="15" hidden="false" customHeight="false" outlineLevel="0" collapsed="false">
      <c r="A992" s="10" t="s">
        <v>4132</v>
      </c>
      <c r="B992" s="10" t="s">
        <v>4133</v>
      </c>
      <c r="C992" s="11" t="s">
        <v>1713</v>
      </c>
      <c r="D992" s="12" t="n">
        <v>0.0021</v>
      </c>
      <c r="E992" s="12"/>
      <c r="F992" s="12"/>
      <c r="G992" s="10" t="s">
        <v>1714</v>
      </c>
      <c r="H992" s="10" t="s">
        <v>4134</v>
      </c>
      <c r="I992" s="11" t="s">
        <v>4129</v>
      </c>
      <c r="J992" s="10" t="s">
        <v>66</v>
      </c>
      <c r="K992" s="10" t="s">
        <v>67</v>
      </c>
      <c r="L992" s="10" t="s">
        <v>68</v>
      </c>
      <c r="M992" s="10" t="s">
        <v>416</v>
      </c>
      <c r="N992" s="11" t="s">
        <v>4130</v>
      </c>
      <c r="O992" s="11" t="s">
        <v>441</v>
      </c>
      <c r="P992" s="10" t="s">
        <v>71</v>
      </c>
      <c r="Q992" s="11" t="s">
        <v>72</v>
      </c>
      <c r="R992" s="11" t="s">
        <v>4130</v>
      </c>
      <c r="S992" s="11" t="s">
        <v>74</v>
      </c>
      <c r="T992" s="11" t="s">
        <v>4135</v>
      </c>
      <c r="U992" s="10" t="n">
        <f aca="false">IF(AND($D992="",$E992="",$F992=""),1,0)</f>
        <v>0</v>
      </c>
      <c r="V992" s="10" t="n">
        <f aca="false">IF(OR($I992="",$I992="—"),1,0)</f>
        <v>0</v>
      </c>
      <c r="W992" s="10" t="n">
        <f aca="false">IF(AND(ISNUMBER($D992),ISNUMBER($E992)),IF($E992&gt;$D992,1,0),0)+IF(AND(ISNUMBER($D992),ISNUMBER($F992)),IF($D992&gt;$F992,1,0),0)+IF(AND(ISNUMBER($E992),ISNUMBER($F992)),IF($E992&gt;$F992,1,0),0)</f>
        <v>0</v>
      </c>
      <c r="X992" s="13" t="s">
        <v>76</v>
      </c>
    </row>
    <row r="993" customFormat="false" ht="15" hidden="false" customHeight="false" outlineLevel="0" collapsed="false">
      <c r="A993" s="10" t="s">
        <v>4136</v>
      </c>
      <c r="B993" s="10" t="s">
        <v>4137</v>
      </c>
      <c r="C993" s="11" t="s">
        <v>1713</v>
      </c>
      <c r="D993" s="12" t="n">
        <v>0.2</v>
      </c>
      <c r="E993" s="12"/>
      <c r="F993" s="12"/>
      <c r="G993" s="10" t="s">
        <v>1714</v>
      </c>
      <c r="H993" s="10" t="s">
        <v>2253</v>
      </c>
      <c r="I993" s="11" t="s">
        <v>4129</v>
      </c>
      <c r="J993" s="10" t="s">
        <v>66</v>
      </c>
      <c r="K993" s="10" t="s">
        <v>67</v>
      </c>
      <c r="L993" s="10" t="s">
        <v>68</v>
      </c>
      <c r="M993" s="10" t="s">
        <v>416</v>
      </c>
      <c r="N993" s="11" t="s">
        <v>4130</v>
      </c>
      <c r="O993" s="11" t="s">
        <v>441</v>
      </c>
      <c r="P993" s="10" t="s">
        <v>71</v>
      </c>
      <c r="Q993" s="11" t="s">
        <v>72</v>
      </c>
      <c r="R993" s="11" t="s">
        <v>4130</v>
      </c>
      <c r="S993" s="11" t="s">
        <v>74</v>
      </c>
      <c r="T993" s="11" t="s">
        <v>4138</v>
      </c>
      <c r="U993" s="10" t="n">
        <f aca="false">IF(AND($D993="",$E993="",$F993=""),1,0)</f>
        <v>0</v>
      </c>
      <c r="V993" s="10" t="n">
        <f aca="false">IF(OR($I993="",$I993="—"),1,0)</f>
        <v>0</v>
      </c>
      <c r="W993" s="10" t="n">
        <f aca="false">IF(AND(ISNUMBER($D993),ISNUMBER($E993)),IF($E993&gt;$D993,1,0),0)+IF(AND(ISNUMBER($D993),ISNUMBER($F993)),IF($D993&gt;$F993,1,0),0)+IF(AND(ISNUMBER($E993),ISNUMBER($F993)),IF($E993&gt;$F993,1,0),0)</f>
        <v>0</v>
      </c>
      <c r="X993" s="13" t="s">
        <v>76</v>
      </c>
    </row>
    <row r="994" customFormat="false" ht="15" hidden="false" customHeight="false" outlineLevel="0" collapsed="false">
      <c r="A994" s="10" t="s">
        <v>4139</v>
      </c>
      <c r="B994" s="10" t="s">
        <v>4140</v>
      </c>
      <c r="C994" s="11" t="s">
        <v>1713</v>
      </c>
      <c r="D994" s="12" t="n">
        <v>4.6</v>
      </c>
      <c r="E994" s="12"/>
      <c r="F994" s="12"/>
      <c r="G994" s="10" t="s">
        <v>1714</v>
      </c>
      <c r="H994" s="10" t="s">
        <v>2097</v>
      </c>
      <c r="I994" s="11" t="s">
        <v>4129</v>
      </c>
      <c r="J994" s="10" t="s">
        <v>66</v>
      </c>
      <c r="K994" s="10" t="s">
        <v>67</v>
      </c>
      <c r="L994" s="10" t="s">
        <v>68</v>
      </c>
      <c r="M994" s="10" t="s">
        <v>416</v>
      </c>
      <c r="N994" s="11" t="s">
        <v>4130</v>
      </c>
      <c r="O994" s="11" t="s">
        <v>441</v>
      </c>
      <c r="P994" s="10" t="s">
        <v>71</v>
      </c>
      <c r="Q994" s="11" t="s">
        <v>72</v>
      </c>
      <c r="R994" s="11" t="s">
        <v>4130</v>
      </c>
      <c r="S994" s="11" t="s">
        <v>74</v>
      </c>
      <c r="T994" s="11" t="s">
        <v>4141</v>
      </c>
      <c r="U994" s="10" t="n">
        <f aca="false">IF(AND($D994="",$E994="",$F994=""),1,0)</f>
        <v>0</v>
      </c>
      <c r="V994" s="10" t="n">
        <f aca="false">IF(OR($I994="",$I994="—"),1,0)</f>
        <v>0</v>
      </c>
      <c r="W994" s="10" t="n">
        <f aca="false">IF(AND(ISNUMBER($D994),ISNUMBER($E994)),IF($E994&gt;$D994,1,0),0)+IF(AND(ISNUMBER($D994),ISNUMBER($F994)),IF($D994&gt;$F994,1,0),0)+IF(AND(ISNUMBER($E994),ISNUMBER($F994)),IF($E994&gt;$F994,1,0),0)</f>
        <v>0</v>
      </c>
      <c r="X994" s="13" t="s">
        <v>76</v>
      </c>
    </row>
    <row r="995" customFormat="false" ht="15" hidden="false" customHeight="false" outlineLevel="0" collapsed="false">
      <c r="A995" s="10" t="s">
        <v>4142</v>
      </c>
      <c r="B995" s="10" t="s">
        <v>4143</v>
      </c>
      <c r="C995" s="11" t="s">
        <v>1713</v>
      </c>
      <c r="D995" s="12" t="n">
        <v>4.2</v>
      </c>
      <c r="E995" s="12"/>
      <c r="F995" s="12"/>
      <c r="G995" s="10" t="s">
        <v>1714</v>
      </c>
      <c r="H995" s="10" t="s">
        <v>1715</v>
      </c>
      <c r="I995" s="11" t="s">
        <v>4144</v>
      </c>
      <c r="J995" s="10" t="s">
        <v>66</v>
      </c>
      <c r="K995" s="10" t="s">
        <v>67</v>
      </c>
      <c r="L995" s="10" t="s">
        <v>68</v>
      </c>
      <c r="M995" s="10" t="s">
        <v>416</v>
      </c>
      <c r="N995" s="11" t="s">
        <v>4145</v>
      </c>
      <c r="O995" s="11" t="s">
        <v>441</v>
      </c>
      <c r="P995" s="10" t="s">
        <v>71</v>
      </c>
      <c r="Q995" s="11" t="s">
        <v>72</v>
      </c>
      <c r="R995" s="11" t="s">
        <v>4145</v>
      </c>
      <c r="S995" s="11" t="s">
        <v>74</v>
      </c>
      <c r="T995" s="11" t="s">
        <v>4146</v>
      </c>
      <c r="U995" s="10" t="n">
        <f aca="false">IF(AND($D995="",$E995="",$F995=""),1,0)</f>
        <v>0</v>
      </c>
      <c r="V995" s="10" t="n">
        <f aca="false">IF(OR($I995="",$I995="—"),1,0)</f>
        <v>0</v>
      </c>
      <c r="W995" s="10" t="n">
        <f aca="false">IF(AND(ISNUMBER($D995),ISNUMBER($E995)),IF($E995&gt;$D995,1,0),0)+IF(AND(ISNUMBER($D995),ISNUMBER($F995)),IF($D995&gt;$F995,1,0),0)+IF(AND(ISNUMBER($E995),ISNUMBER($F995)),IF($E995&gt;$F995,1,0),0)</f>
        <v>0</v>
      </c>
      <c r="X995" s="13" t="s">
        <v>76</v>
      </c>
    </row>
    <row r="996" customFormat="false" ht="15" hidden="false" customHeight="false" outlineLevel="0" collapsed="false">
      <c r="A996" s="10" t="s">
        <v>4147</v>
      </c>
      <c r="B996" s="10" t="s">
        <v>4148</v>
      </c>
      <c r="C996" s="11" t="s">
        <v>4149</v>
      </c>
      <c r="D996" s="12" t="n">
        <v>48</v>
      </c>
      <c r="E996" s="12"/>
      <c r="F996" s="12"/>
      <c r="G996" s="11" t="s">
        <v>1669</v>
      </c>
      <c r="H996" s="10" t="s">
        <v>64</v>
      </c>
      <c r="I996" s="11" t="s">
        <v>4150</v>
      </c>
      <c r="J996" s="10" t="s">
        <v>66</v>
      </c>
      <c r="K996" s="10" t="s">
        <v>67</v>
      </c>
      <c r="L996" s="10" t="s">
        <v>68</v>
      </c>
      <c r="M996" s="10" t="s">
        <v>69</v>
      </c>
      <c r="N996" s="10"/>
      <c r="O996" s="11" t="s">
        <v>441</v>
      </c>
      <c r="P996" s="10" t="s">
        <v>71</v>
      </c>
      <c r="Q996" s="11" t="s">
        <v>72</v>
      </c>
      <c r="R996" s="11" t="s">
        <v>73</v>
      </c>
      <c r="S996" s="11" t="s">
        <v>74</v>
      </c>
      <c r="T996" s="11" t="s">
        <v>4151</v>
      </c>
      <c r="U996" s="10" t="n">
        <f aca="false">IF(AND($D996="",$E996="",$F996=""),1,0)</f>
        <v>0</v>
      </c>
      <c r="V996" s="10" t="n">
        <f aca="false">IF(OR($I996="",$I996="—"),1,0)</f>
        <v>0</v>
      </c>
      <c r="W996" s="10" t="n">
        <f aca="false">IF(AND(ISNUMBER($D996),ISNUMBER($E996)),IF($E996&gt;$D996,1,0),0)+IF(AND(ISNUMBER($D996),ISNUMBER($F996)),IF($D996&gt;$F996,1,0),0)+IF(AND(ISNUMBER($E996),ISNUMBER($F996)),IF($E996&gt;$F996,1,0),0)</f>
        <v>0</v>
      </c>
      <c r="X996" s="13" t="s">
        <v>76</v>
      </c>
    </row>
    <row r="997" customFormat="false" ht="15" hidden="false" customHeight="false" outlineLevel="0" collapsed="false">
      <c r="A997" s="10" t="s">
        <v>4152</v>
      </c>
      <c r="B997" s="10" t="s">
        <v>4153</v>
      </c>
      <c r="C997" s="11" t="s">
        <v>4154</v>
      </c>
      <c r="D997" s="12" t="n">
        <v>0</v>
      </c>
      <c r="E997" s="12"/>
      <c r="F997" s="12"/>
      <c r="G997" s="11" t="s">
        <v>1669</v>
      </c>
      <c r="H997" s="10" t="s">
        <v>64</v>
      </c>
      <c r="I997" s="11" t="s">
        <v>4150</v>
      </c>
      <c r="J997" s="10" t="s">
        <v>66</v>
      </c>
      <c r="K997" s="10" t="s">
        <v>67</v>
      </c>
      <c r="L997" s="10" t="s">
        <v>68</v>
      </c>
      <c r="M997" s="10" t="s">
        <v>69</v>
      </c>
      <c r="N997" s="10"/>
      <c r="O997" s="11" t="s">
        <v>441</v>
      </c>
      <c r="P997" s="10" t="s">
        <v>71</v>
      </c>
      <c r="Q997" s="11" t="s">
        <v>72</v>
      </c>
      <c r="R997" s="11" t="s">
        <v>73</v>
      </c>
      <c r="S997" s="11" t="s">
        <v>74</v>
      </c>
      <c r="T997" s="11" t="s">
        <v>4155</v>
      </c>
      <c r="U997" s="10" t="n">
        <f aca="false">IF(AND($D997="",$E997="",$F997=""),1,0)</f>
        <v>0</v>
      </c>
      <c r="V997" s="10" t="n">
        <f aca="false">IF(OR($I997="",$I997="—"),1,0)</f>
        <v>0</v>
      </c>
      <c r="W997" s="10" t="n">
        <f aca="false">IF(AND(ISNUMBER($D997),ISNUMBER($E997)),IF($E997&gt;$D997,1,0),0)+IF(AND(ISNUMBER($D997),ISNUMBER($F997)),IF($D997&gt;$F997,1,0),0)+IF(AND(ISNUMBER($E997),ISNUMBER($F997)),IF($E997&gt;$F997,1,0),0)</f>
        <v>0</v>
      </c>
      <c r="X997" s="13" t="s">
        <v>76</v>
      </c>
    </row>
    <row r="998" customFormat="false" ht="15" hidden="false" customHeight="false" outlineLevel="0" collapsed="false">
      <c r="A998" s="10" t="s">
        <v>4156</v>
      </c>
      <c r="B998" s="10" t="s">
        <v>4157</v>
      </c>
      <c r="C998" s="11" t="s">
        <v>4158</v>
      </c>
      <c r="D998" s="12" t="n">
        <v>48</v>
      </c>
      <c r="E998" s="12"/>
      <c r="F998" s="12"/>
      <c r="G998" s="11" t="s">
        <v>1669</v>
      </c>
      <c r="H998" s="10" t="s">
        <v>64</v>
      </c>
      <c r="I998" s="11" t="s">
        <v>4150</v>
      </c>
      <c r="J998" s="10" t="s">
        <v>66</v>
      </c>
      <c r="K998" s="10" t="s">
        <v>67</v>
      </c>
      <c r="L998" s="10" t="s">
        <v>68</v>
      </c>
      <c r="M998" s="10" t="s">
        <v>69</v>
      </c>
      <c r="N998" s="10"/>
      <c r="O998" s="11" t="s">
        <v>441</v>
      </c>
      <c r="P998" s="10" t="s">
        <v>71</v>
      </c>
      <c r="Q998" s="11" t="s">
        <v>72</v>
      </c>
      <c r="R998" s="11" t="s">
        <v>73</v>
      </c>
      <c r="S998" s="11" t="s">
        <v>74</v>
      </c>
      <c r="T998" s="11" t="s">
        <v>4155</v>
      </c>
      <c r="U998" s="10" t="n">
        <f aca="false">IF(AND($D998="",$E998="",$F998=""),1,0)</f>
        <v>0</v>
      </c>
      <c r="V998" s="10" t="n">
        <f aca="false">IF(OR($I998="",$I998="—"),1,0)</f>
        <v>0</v>
      </c>
      <c r="W998" s="10" t="n">
        <f aca="false">IF(AND(ISNUMBER($D998),ISNUMBER($E998)),IF($E998&gt;$D998,1,0),0)+IF(AND(ISNUMBER($D998),ISNUMBER($F998)),IF($D998&gt;$F998,1,0),0)+IF(AND(ISNUMBER($E998),ISNUMBER($F998)),IF($E998&gt;$F998,1,0),0)</f>
        <v>0</v>
      </c>
      <c r="X998" s="13" t="s">
        <v>76</v>
      </c>
    </row>
    <row r="999" customFormat="false" ht="15" hidden="false" customHeight="false" outlineLevel="0" collapsed="false">
      <c r="A999" s="10" t="s">
        <v>4159</v>
      </c>
      <c r="B999" s="10" t="s">
        <v>4160</v>
      </c>
      <c r="C999" s="11" t="s">
        <v>4149</v>
      </c>
      <c r="D999" s="12" t="n">
        <v>2873</v>
      </c>
      <c r="E999" s="12"/>
      <c r="F999" s="12"/>
      <c r="G999" s="11" t="s">
        <v>1669</v>
      </c>
      <c r="H999" s="10" t="s">
        <v>79</v>
      </c>
      <c r="I999" s="11" t="s">
        <v>4150</v>
      </c>
      <c r="J999" s="10" t="s">
        <v>66</v>
      </c>
      <c r="K999" s="10" t="s">
        <v>67</v>
      </c>
      <c r="L999" s="10" t="s">
        <v>68</v>
      </c>
      <c r="M999" s="10" t="s">
        <v>69</v>
      </c>
      <c r="N999" s="10"/>
      <c r="O999" s="11" t="s">
        <v>441</v>
      </c>
      <c r="P999" s="10" t="s">
        <v>71</v>
      </c>
      <c r="Q999" s="11" t="s">
        <v>72</v>
      </c>
      <c r="R999" s="11" t="s">
        <v>73</v>
      </c>
      <c r="S999" s="11" t="s">
        <v>74</v>
      </c>
      <c r="T999" s="11" t="s">
        <v>4161</v>
      </c>
      <c r="U999" s="10" t="n">
        <f aca="false">IF(AND($D999="",$E999="",$F999=""),1,0)</f>
        <v>0</v>
      </c>
      <c r="V999" s="10" t="n">
        <f aca="false">IF(OR($I999="",$I999="—"),1,0)</f>
        <v>0</v>
      </c>
      <c r="W999" s="10" t="n">
        <f aca="false">IF(AND(ISNUMBER($D999),ISNUMBER($E999)),IF($E999&gt;$D999,1,0),0)+IF(AND(ISNUMBER($D999),ISNUMBER($F999)),IF($D999&gt;$F999,1,0),0)+IF(AND(ISNUMBER($E999),ISNUMBER($F999)),IF($E999&gt;$F999,1,0),0)</f>
        <v>0</v>
      </c>
      <c r="X999" s="13" t="s">
        <v>76</v>
      </c>
    </row>
    <row r="1000" customFormat="false" ht="15" hidden="false" customHeight="false" outlineLevel="0" collapsed="false">
      <c r="A1000" s="10" t="s">
        <v>4162</v>
      </c>
      <c r="B1000" s="10" t="s">
        <v>4163</v>
      </c>
      <c r="C1000" s="11" t="s">
        <v>4154</v>
      </c>
      <c r="D1000" s="12" t="n">
        <v>2812</v>
      </c>
      <c r="E1000" s="12"/>
      <c r="F1000" s="12"/>
      <c r="G1000" s="11" t="s">
        <v>1669</v>
      </c>
      <c r="H1000" s="10" t="s">
        <v>79</v>
      </c>
      <c r="I1000" s="11" t="s">
        <v>4150</v>
      </c>
      <c r="J1000" s="10" t="s">
        <v>66</v>
      </c>
      <c r="K1000" s="10" t="s">
        <v>67</v>
      </c>
      <c r="L1000" s="10" t="s">
        <v>68</v>
      </c>
      <c r="M1000" s="10" t="s">
        <v>69</v>
      </c>
      <c r="N1000" s="10"/>
      <c r="O1000" s="11" t="s">
        <v>441</v>
      </c>
      <c r="P1000" s="10" t="s">
        <v>71</v>
      </c>
      <c r="Q1000" s="11" t="s">
        <v>72</v>
      </c>
      <c r="R1000" s="11" t="s">
        <v>73</v>
      </c>
      <c r="S1000" s="11" t="s">
        <v>74</v>
      </c>
      <c r="T1000" s="11" t="s">
        <v>4155</v>
      </c>
      <c r="U1000" s="10" t="n">
        <f aca="false">IF(AND($D1000="",$E1000="",$F1000=""),1,0)</f>
        <v>0</v>
      </c>
      <c r="V1000" s="10" t="n">
        <f aca="false">IF(OR($I1000="",$I1000="—"),1,0)</f>
        <v>0</v>
      </c>
      <c r="W1000" s="10" t="n">
        <f aca="false">IF(AND(ISNUMBER($D1000),ISNUMBER($E1000)),IF($E1000&gt;$D1000,1,0),0)+IF(AND(ISNUMBER($D1000),ISNUMBER($F1000)),IF($D1000&gt;$F1000,1,0),0)+IF(AND(ISNUMBER($E1000),ISNUMBER($F1000)),IF($E1000&gt;$F1000,1,0),0)</f>
        <v>0</v>
      </c>
      <c r="X1000" s="13" t="s">
        <v>76</v>
      </c>
    </row>
    <row r="1001" customFormat="false" ht="15" hidden="false" customHeight="false" outlineLevel="0" collapsed="false">
      <c r="A1001" s="10" t="s">
        <v>4164</v>
      </c>
      <c r="B1001" s="10" t="s">
        <v>4165</v>
      </c>
      <c r="C1001" s="11" t="s">
        <v>4158</v>
      </c>
      <c r="D1001" s="12" t="n">
        <v>61</v>
      </c>
      <c r="E1001" s="12"/>
      <c r="F1001" s="12"/>
      <c r="G1001" s="11" t="s">
        <v>1669</v>
      </c>
      <c r="H1001" s="10" t="s">
        <v>79</v>
      </c>
      <c r="I1001" s="11" t="s">
        <v>4150</v>
      </c>
      <c r="J1001" s="10" t="s">
        <v>66</v>
      </c>
      <c r="K1001" s="10" t="s">
        <v>67</v>
      </c>
      <c r="L1001" s="10" t="s">
        <v>68</v>
      </c>
      <c r="M1001" s="10" t="s">
        <v>69</v>
      </c>
      <c r="N1001" s="10"/>
      <c r="O1001" s="11" t="s">
        <v>441</v>
      </c>
      <c r="P1001" s="10" t="s">
        <v>71</v>
      </c>
      <c r="Q1001" s="11" t="s">
        <v>72</v>
      </c>
      <c r="R1001" s="11" t="s">
        <v>73</v>
      </c>
      <c r="S1001" s="11" t="s">
        <v>74</v>
      </c>
      <c r="T1001" s="11" t="s">
        <v>4155</v>
      </c>
      <c r="U1001" s="10" t="n">
        <f aca="false">IF(AND($D1001="",$E1001="",$F1001=""),1,0)</f>
        <v>0</v>
      </c>
      <c r="V1001" s="10" t="n">
        <f aca="false">IF(OR($I1001="",$I1001="—"),1,0)</f>
        <v>0</v>
      </c>
      <c r="W1001" s="10" t="n">
        <f aca="false">IF(AND(ISNUMBER($D1001),ISNUMBER($E1001)),IF($E1001&gt;$D1001,1,0),0)+IF(AND(ISNUMBER($D1001),ISNUMBER($F1001)),IF($D1001&gt;$F1001,1,0),0)+IF(AND(ISNUMBER($E1001),ISNUMBER($F1001)),IF($E1001&gt;$F1001,1,0),0)</f>
        <v>0</v>
      </c>
      <c r="X1001" s="13" t="s">
        <v>76</v>
      </c>
    </row>
    <row r="1002" customFormat="false" ht="15" hidden="false" customHeight="false" outlineLevel="0" collapsed="false">
      <c r="A1002" s="10" t="s">
        <v>4166</v>
      </c>
      <c r="B1002" s="10" t="s">
        <v>4167</v>
      </c>
      <c r="C1002" s="11" t="s">
        <v>4149</v>
      </c>
      <c r="D1002" s="12" t="n">
        <v>5580</v>
      </c>
      <c r="E1002" s="12"/>
      <c r="F1002" s="12"/>
      <c r="G1002" s="11" t="s">
        <v>1669</v>
      </c>
      <c r="H1002" s="10" t="s">
        <v>83</v>
      </c>
      <c r="I1002" s="11" t="s">
        <v>4150</v>
      </c>
      <c r="J1002" s="10" t="s">
        <v>66</v>
      </c>
      <c r="K1002" s="10" t="s">
        <v>67</v>
      </c>
      <c r="L1002" s="10" t="s">
        <v>68</v>
      </c>
      <c r="M1002" s="10" t="s">
        <v>69</v>
      </c>
      <c r="N1002" s="10"/>
      <c r="O1002" s="11" t="s">
        <v>441</v>
      </c>
      <c r="P1002" s="10" t="s">
        <v>71</v>
      </c>
      <c r="Q1002" s="11" t="s">
        <v>72</v>
      </c>
      <c r="R1002" s="11" t="s">
        <v>73</v>
      </c>
      <c r="S1002" s="11" t="s">
        <v>74</v>
      </c>
      <c r="T1002" s="11" t="s">
        <v>4168</v>
      </c>
      <c r="U1002" s="10" t="n">
        <f aca="false">IF(AND($D1002="",$E1002="",$F1002=""),1,0)</f>
        <v>0</v>
      </c>
      <c r="V1002" s="10" t="n">
        <f aca="false">IF(OR($I1002="",$I1002="—"),1,0)</f>
        <v>0</v>
      </c>
      <c r="W1002" s="10" t="n">
        <f aca="false">IF(AND(ISNUMBER($D1002),ISNUMBER($E1002)),IF($E1002&gt;$D1002,1,0),0)+IF(AND(ISNUMBER($D1002),ISNUMBER($F1002)),IF($D1002&gt;$F1002,1,0),0)+IF(AND(ISNUMBER($E1002),ISNUMBER($F1002)),IF($E1002&gt;$F1002,1,0),0)</f>
        <v>0</v>
      </c>
      <c r="X1002" s="13" t="s">
        <v>76</v>
      </c>
    </row>
    <row r="1003" customFormat="false" ht="15" hidden="false" customHeight="false" outlineLevel="0" collapsed="false">
      <c r="A1003" s="10" t="s">
        <v>4169</v>
      </c>
      <c r="B1003" s="10" t="s">
        <v>4170</v>
      </c>
      <c r="C1003" s="11" t="s">
        <v>4154</v>
      </c>
      <c r="D1003" s="12" t="n">
        <v>5457</v>
      </c>
      <c r="E1003" s="12"/>
      <c r="F1003" s="12"/>
      <c r="G1003" s="11" t="s">
        <v>1669</v>
      </c>
      <c r="H1003" s="10" t="s">
        <v>83</v>
      </c>
      <c r="I1003" s="11" t="s">
        <v>4150</v>
      </c>
      <c r="J1003" s="10" t="s">
        <v>66</v>
      </c>
      <c r="K1003" s="10" t="s">
        <v>67</v>
      </c>
      <c r="L1003" s="10" t="s">
        <v>68</v>
      </c>
      <c r="M1003" s="10" t="s">
        <v>69</v>
      </c>
      <c r="N1003" s="10"/>
      <c r="O1003" s="11" t="s">
        <v>441</v>
      </c>
      <c r="P1003" s="10" t="s">
        <v>71</v>
      </c>
      <c r="Q1003" s="11" t="s">
        <v>72</v>
      </c>
      <c r="R1003" s="11" t="s">
        <v>73</v>
      </c>
      <c r="S1003" s="11" t="s">
        <v>74</v>
      </c>
      <c r="T1003" s="11" t="s">
        <v>4155</v>
      </c>
      <c r="U1003" s="10" t="n">
        <f aca="false">IF(AND($D1003="",$E1003="",$F1003=""),1,0)</f>
        <v>0</v>
      </c>
      <c r="V1003" s="10" t="n">
        <f aca="false">IF(OR($I1003="",$I1003="—"),1,0)</f>
        <v>0</v>
      </c>
      <c r="W1003" s="10" t="n">
        <f aca="false">IF(AND(ISNUMBER($D1003),ISNUMBER($E1003)),IF($E1003&gt;$D1003,1,0),0)+IF(AND(ISNUMBER($D1003),ISNUMBER($F1003)),IF($D1003&gt;$F1003,1,0),0)+IF(AND(ISNUMBER($E1003),ISNUMBER($F1003)),IF($E1003&gt;$F1003,1,0),0)</f>
        <v>0</v>
      </c>
      <c r="X1003" s="13" t="s">
        <v>76</v>
      </c>
    </row>
    <row r="1004" customFormat="false" ht="15" hidden="false" customHeight="false" outlineLevel="0" collapsed="false">
      <c r="A1004" s="10" t="s">
        <v>4171</v>
      </c>
      <c r="B1004" s="10" t="s">
        <v>4172</v>
      </c>
      <c r="C1004" s="11" t="s">
        <v>4158</v>
      </c>
      <c r="D1004" s="12" t="n">
        <v>123</v>
      </c>
      <c r="E1004" s="12"/>
      <c r="F1004" s="12"/>
      <c r="G1004" s="11" t="s">
        <v>1669</v>
      </c>
      <c r="H1004" s="10" t="s">
        <v>83</v>
      </c>
      <c r="I1004" s="11" t="s">
        <v>4150</v>
      </c>
      <c r="J1004" s="10" t="s">
        <v>66</v>
      </c>
      <c r="K1004" s="10" t="s">
        <v>67</v>
      </c>
      <c r="L1004" s="10" t="s">
        <v>68</v>
      </c>
      <c r="M1004" s="10" t="s">
        <v>69</v>
      </c>
      <c r="N1004" s="10"/>
      <c r="O1004" s="11" t="s">
        <v>441</v>
      </c>
      <c r="P1004" s="10" t="s">
        <v>71</v>
      </c>
      <c r="Q1004" s="11" t="s">
        <v>72</v>
      </c>
      <c r="R1004" s="11" t="s">
        <v>73</v>
      </c>
      <c r="S1004" s="11" t="s">
        <v>74</v>
      </c>
      <c r="T1004" s="11" t="s">
        <v>4155</v>
      </c>
      <c r="U1004" s="10" t="n">
        <f aca="false">IF(AND($D1004="",$E1004="",$F1004=""),1,0)</f>
        <v>0</v>
      </c>
      <c r="V1004" s="10" t="n">
        <f aca="false">IF(OR($I1004="",$I1004="—"),1,0)</f>
        <v>0</v>
      </c>
      <c r="W1004" s="10" t="n">
        <f aca="false">IF(AND(ISNUMBER($D1004),ISNUMBER($E1004)),IF($E1004&gt;$D1004,1,0),0)+IF(AND(ISNUMBER($D1004),ISNUMBER($F1004)),IF($D1004&gt;$F1004,1,0),0)+IF(AND(ISNUMBER($E1004),ISNUMBER($F1004)),IF($E1004&gt;$F1004,1,0),0)</f>
        <v>0</v>
      </c>
      <c r="X1004" s="13" t="s">
        <v>76</v>
      </c>
    </row>
    <row r="1005" customFormat="false" ht="15" hidden="false" customHeight="false" outlineLevel="0" collapsed="false">
      <c r="A1005" s="10" t="s">
        <v>4173</v>
      </c>
      <c r="B1005" s="10" t="s">
        <v>4174</v>
      </c>
      <c r="C1005" s="11" t="s">
        <v>4149</v>
      </c>
      <c r="D1005" s="12" t="n">
        <v>3156</v>
      </c>
      <c r="E1005" s="12"/>
      <c r="F1005" s="12"/>
      <c r="G1005" s="11" t="s">
        <v>1669</v>
      </c>
      <c r="H1005" s="10" t="s">
        <v>92</v>
      </c>
      <c r="I1005" s="11" t="s">
        <v>4150</v>
      </c>
      <c r="J1005" s="10" t="s">
        <v>66</v>
      </c>
      <c r="K1005" s="10" t="s">
        <v>67</v>
      </c>
      <c r="L1005" s="10" t="s">
        <v>68</v>
      </c>
      <c r="M1005" s="10" t="s">
        <v>69</v>
      </c>
      <c r="N1005" s="10"/>
      <c r="O1005" s="11" t="s">
        <v>441</v>
      </c>
      <c r="P1005" s="10" t="s">
        <v>71</v>
      </c>
      <c r="Q1005" s="11" t="s">
        <v>72</v>
      </c>
      <c r="R1005" s="11" t="s">
        <v>73</v>
      </c>
      <c r="S1005" s="11" t="s">
        <v>74</v>
      </c>
      <c r="T1005" s="11" t="s">
        <v>4175</v>
      </c>
      <c r="U1005" s="10" t="n">
        <f aca="false">IF(AND($D1005="",$E1005="",$F1005=""),1,0)</f>
        <v>0</v>
      </c>
      <c r="V1005" s="10" t="n">
        <f aca="false">IF(OR($I1005="",$I1005="—"),1,0)</f>
        <v>0</v>
      </c>
      <c r="W1005" s="10" t="n">
        <f aca="false">IF(AND(ISNUMBER($D1005),ISNUMBER($E1005)),IF($E1005&gt;$D1005,1,0),0)+IF(AND(ISNUMBER($D1005),ISNUMBER($F1005)),IF($D1005&gt;$F1005,1,0),0)+IF(AND(ISNUMBER($E1005),ISNUMBER($F1005)),IF($E1005&gt;$F1005,1,0),0)</f>
        <v>0</v>
      </c>
      <c r="X1005" s="13" t="s">
        <v>76</v>
      </c>
    </row>
    <row r="1006" customFormat="false" ht="15" hidden="false" customHeight="false" outlineLevel="0" collapsed="false">
      <c r="A1006" s="10" t="s">
        <v>4176</v>
      </c>
      <c r="B1006" s="10" t="s">
        <v>4177</v>
      </c>
      <c r="C1006" s="11" t="s">
        <v>4154</v>
      </c>
      <c r="D1006" s="12" t="n">
        <v>3061</v>
      </c>
      <c r="E1006" s="12"/>
      <c r="F1006" s="12"/>
      <c r="G1006" s="11" t="s">
        <v>1669</v>
      </c>
      <c r="H1006" s="10" t="s">
        <v>92</v>
      </c>
      <c r="I1006" s="11" t="s">
        <v>4150</v>
      </c>
      <c r="J1006" s="10" t="s">
        <v>66</v>
      </c>
      <c r="K1006" s="10" t="s">
        <v>67</v>
      </c>
      <c r="L1006" s="10" t="s">
        <v>68</v>
      </c>
      <c r="M1006" s="10" t="s">
        <v>69</v>
      </c>
      <c r="N1006" s="10"/>
      <c r="O1006" s="11" t="s">
        <v>441</v>
      </c>
      <c r="P1006" s="10" t="s">
        <v>71</v>
      </c>
      <c r="Q1006" s="11" t="s">
        <v>72</v>
      </c>
      <c r="R1006" s="11" t="s">
        <v>73</v>
      </c>
      <c r="S1006" s="11" t="s">
        <v>74</v>
      </c>
      <c r="T1006" s="11" t="s">
        <v>4155</v>
      </c>
      <c r="U1006" s="10" t="n">
        <f aca="false">IF(AND($D1006="",$E1006="",$F1006=""),1,0)</f>
        <v>0</v>
      </c>
      <c r="V1006" s="10" t="n">
        <f aca="false">IF(OR($I1006="",$I1006="—"),1,0)</f>
        <v>0</v>
      </c>
      <c r="W1006" s="10" t="n">
        <f aca="false">IF(AND(ISNUMBER($D1006),ISNUMBER($E1006)),IF($E1006&gt;$D1006,1,0),0)+IF(AND(ISNUMBER($D1006),ISNUMBER($F1006)),IF($D1006&gt;$F1006,1,0),0)+IF(AND(ISNUMBER($E1006),ISNUMBER($F1006)),IF($E1006&gt;$F1006,1,0),0)</f>
        <v>0</v>
      </c>
      <c r="X1006" s="13" t="s">
        <v>76</v>
      </c>
    </row>
    <row r="1007" customFormat="false" ht="15" hidden="false" customHeight="false" outlineLevel="0" collapsed="false">
      <c r="A1007" s="10" t="s">
        <v>4178</v>
      </c>
      <c r="B1007" s="10" t="s">
        <v>4179</v>
      </c>
      <c r="C1007" s="11" t="s">
        <v>4158</v>
      </c>
      <c r="D1007" s="12" t="n">
        <v>95</v>
      </c>
      <c r="E1007" s="12"/>
      <c r="F1007" s="12"/>
      <c r="G1007" s="11" t="s">
        <v>1669</v>
      </c>
      <c r="H1007" s="10" t="s">
        <v>92</v>
      </c>
      <c r="I1007" s="11" t="s">
        <v>4150</v>
      </c>
      <c r="J1007" s="10" t="s">
        <v>66</v>
      </c>
      <c r="K1007" s="10" t="s">
        <v>67</v>
      </c>
      <c r="L1007" s="10" t="s">
        <v>68</v>
      </c>
      <c r="M1007" s="10" t="s">
        <v>69</v>
      </c>
      <c r="N1007" s="10"/>
      <c r="O1007" s="11" t="s">
        <v>441</v>
      </c>
      <c r="P1007" s="10" t="s">
        <v>71</v>
      </c>
      <c r="Q1007" s="11" t="s">
        <v>72</v>
      </c>
      <c r="R1007" s="11" t="s">
        <v>73</v>
      </c>
      <c r="S1007" s="11" t="s">
        <v>74</v>
      </c>
      <c r="T1007" s="11" t="s">
        <v>4155</v>
      </c>
      <c r="U1007" s="10" t="n">
        <f aca="false">IF(AND($D1007="",$E1007="",$F1007=""),1,0)</f>
        <v>0</v>
      </c>
      <c r="V1007" s="10" t="n">
        <f aca="false">IF(OR($I1007="",$I1007="—"),1,0)</f>
        <v>0</v>
      </c>
      <c r="W1007" s="10" t="n">
        <f aca="false">IF(AND(ISNUMBER($D1007),ISNUMBER($E1007)),IF($E1007&gt;$D1007,1,0),0)+IF(AND(ISNUMBER($D1007),ISNUMBER($F1007)),IF($D1007&gt;$F1007,1,0),0)+IF(AND(ISNUMBER($E1007),ISNUMBER($F1007)),IF($E1007&gt;$F1007,1,0),0)</f>
        <v>0</v>
      </c>
      <c r="X1007" s="13" t="s">
        <v>76</v>
      </c>
    </row>
    <row r="1008" customFormat="false" ht="15" hidden="false" customHeight="false" outlineLevel="0" collapsed="false">
      <c r="A1008" s="10" t="s">
        <v>4180</v>
      </c>
      <c r="B1008" s="10" t="s">
        <v>4181</v>
      </c>
      <c r="C1008" s="11" t="s">
        <v>4182</v>
      </c>
      <c r="D1008" s="12" t="n">
        <v>45</v>
      </c>
      <c r="E1008" s="12"/>
      <c r="F1008" s="12"/>
      <c r="G1008" s="11" t="s">
        <v>4183</v>
      </c>
      <c r="H1008" s="10" t="s">
        <v>440</v>
      </c>
      <c r="I1008" s="11" t="s">
        <v>4184</v>
      </c>
      <c r="J1008" s="10" t="s">
        <v>66</v>
      </c>
      <c r="K1008" s="10" t="s">
        <v>67</v>
      </c>
      <c r="L1008" s="10" t="s">
        <v>68</v>
      </c>
      <c r="M1008" s="10" t="s">
        <v>416</v>
      </c>
      <c r="N1008" s="11" t="s">
        <v>4145</v>
      </c>
      <c r="O1008" s="11" t="s">
        <v>441</v>
      </c>
      <c r="P1008" s="10" t="s">
        <v>71</v>
      </c>
      <c r="Q1008" s="11" t="s">
        <v>72</v>
      </c>
      <c r="R1008" s="11" t="s">
        <v>4145</v>
      </c>
      <c r="S1008" s="11" t="s">
        <v>74</v>
      </c>
      <c r="T1008" s="11" t="s">
        <v>4185</v>
      </c>
      <c r="U1008" s="10" t="n">
        <f aca="false">IF(AND($D1008="",$E1008="",$F1008=""),1,0)</f>
        <v>0</v>
      </c>
      <c r="V1008" s="10" t="n">
        <f aca="false">IF(OR($I1008="",$I1008="—"),1,0)</f>
        <v>0</v>
      </c>
      <c r="W1008" s="10" t="n">
        <f aca="false">IF(AND(ISNUMBER($D1008),ISNUMBER($E1008)),IF($E1008&gt;$D1008,1,0),0)+IF(AND(ISNUMBER($D1008),ISNUMBER($F1008)),IF($D1008&gt;$F1008,1,0),0)+IF(AND(ISNUMBER($E1008),ISNUMBER($F1008)),IF($E1008&gt;$F1008,1,0),0)</f>
        <v>0</v>
      </c>
      <c r="X1008" s="13" t="s">
        <v>76</v>
      </c>
    </row>
    <row r="1009" customFormat="false" ht="15" hidden="false" customHeight="false" outlineLevel="0" collapsed="false">
      <c r="A1009" s="10" t="s">
        <v>4186</v>
      </c>
      <c r="B1009" s="10" t="s">
        <v>4187</v>
      </c>
      <c r="C1009" s="10" t="s">
        <v>4188</v>
      </c>
      <c r="D1009" s="12" t="n">
        <v>100</v>
      </c>
      <c r="E1009" s="12"/>
      <c r="F1009" s="12"/>
      <c r="G1009" s="11" t="s">
        <v>4189</v>
      </c>
      <c r="H1009" s="10" t="s">
        <v>440</v>
      </c>
      <c r="I1009" s="11" t="s">
        <v>4150</v>
      </c>
      <c r="J1009" s="10" t="s">
        <v>66</v>
      </c>
      <c r="K1009" s="10" t="s">
        <v>67</v>
      </c>
      <c r="L1009" s="10" t="s">
        <v>68</v>
      </c>
      <c r="M1009" s="10" t="s">
        <v>416</v>
      </c>
      <c r="N1009" s="11" t="s">
        <v>4145</v>
      </c>
      <c r="O1009" s="11" t="s">
        <v>441</v>
      </c>
      <c r="P1009" s="10" t="s">
        <v>71</v>
      </c>
      <c r="Q1009" s="11" t="s">
        <v>72</v>
      </c>
      <c r="R1009" s="11" t="s">
        <v>4145</v>
      </c>
      <c r="S1009" s="11" t="s">
        <v>74</v>
      </c>
      <c r="T1009" s="11" t="s">
        <v>4190</v>
      </c>
      <c r="U1009" s="10" t="n">
        <f aca="false">IF(AND($D1009="",$E1009="",$F1009=""),1,0)</f>
        <v>0</v>
      </c>
      <c r="V1009" s="10" t="n">
        <f aca="false">IF(OR($I1009="",$I1009="—"),1,0)</f>
        <v>0</v>
      </c>
      <c r="W1009" s="10" t="n">
        <f aca="false">IF(AND(ISNUMBER($D1009),ISNUMBER($E1009)),IF($E1009&gt;$D1009,1,0),0)+IF(AND(ISNUMBER($D1009),ISNUMBER($F1009)),IF($D1009&gt;$F1009,1,0),0)+IF(AND(ISNUMBER($E1009),ISNUMBER($F1009)),IF($E1009&gt;$F1009,1,0),0)</f>
        <v>0</v>
      </c>
      <c r="X1009" s="13" t="s">
        <v>76</v>
      </c>
    </row>
    <row r="1010" customFormat="false" ht="15" hidden="false" customHeight="false" outlineLevel="0" collapsed="false">
      <c r="A1010" s="10" t="s">
        <v>4191</v>
      </c>
      <c r="B1010" s="10" t="s">
        <v>4192</v>
      </c>
      <c r="C1010" s="10" t="s">
        <v>4193</v>
      </c>
      <c r="D1010" s="12" t="n">
        <v>60</v>
      </c>
      <c r="E1010" s="12"/>
      <c r="F1010" s="12"/>
      <c r="G1010" s="10" t="s">
        <v>4194</v>
      </c>
      <c r="H1010" s="10" t="s">
        <v>4195</v>
      </c>
      <c r="I1010" s="11" t="s">
        <v>4144</v>
      </c>
      <c r="J1010" s="10" t="s">
        <v>66</v>
      </c>
      <c r="K1010" s="10" t="s">
        <v>67</v>
      </c>
      <c r="L1010" s="10" t="s">
        <v>68</v>
      </c>
      <c r="M1010" s="10" t="s">
        <v>416</v>
      </c>
      <c r="N1010" s="11" t="s">
        <v>4145</v>
      </c>
      <c r="O1010" s="11" t="s">
        <v>4196</v>
      </c>
      <c r="P1010" s="10" t="s">
        <v>71</v>
      </c>
      <c r="Q1010" s="11" t="s">
        <v>72</v>
      </c>
      <c r="R1010" s="11" t="s">
        <v>4145</v>
      </c>
      <c r="S1010" s="11" t="s">
        <v>74</v>
      </c>
      <c r="T1010" s="11" t="s">
        <v>4197</v>
      </c>
      <c r="U1010" s="10" t="n">
        <f aca="false">IF(AND($D1010="",$E1010="",$F1010=""),1,0)</f>
        <v>0</v>
      </c>
      <c r="V1010" s="10" t="n">
        <f aca="false">IF(OR($I1010="",$I1010="—"),1,0)</f>
        <v>0</v>
      </c>
      <c r="W1010" s="10" t="n">
        <f aca="false">IF(AND(ISNUMBER($D1010),ISNUMBER($E1010)),IF($E1010&gt;$D1010,1,0),0)+IF(AND(ISNUMBER($D1010),ISNUMBER($F1010)),IF($D1010&gt;$F1010,1,0),0)+IF(AND(ISNUMBER($E1010),ISNUMBER($F1010)),IF($E1010&gt;$F1010,1,0),0)</f>
        <v>0</v>
      </c>
      <c r="X1010" s="13" t="s">
        <v>76</v>
      </c>
    </row>
    <row r="1011" customFormat="false" ht="15" hidden="false" customHeight="false" outlineLevel="0" collapsed="false">
      <c r="A1011" s="10" t="s">
        <v>4198</v>
      </c>
      <c r="B1011" s="10" t="s">
        <v>4199</v>
      </c>
      <c r="C1011" s="11" t="s">
        <v>1799</v>
      </c>
      <c r="D1011" s="12" t="n">
        <v>0.7653</v>
      </c>
      <c r="E1011" s="12"/>
      <c r="F1011" s="12"/>
      <c r="G1011" s="10" t="s">
        <v>63</v>
      </c>
      <c r="H1011" s="10" t="s">
        <v>92</v>
      </c>
      <c r="I1011" s="11" t="s">
        <v>4200</v>
      </c>
      <c r="J1011" s="10" t="s">
        <v>66</v>
      </c>
      <c r="K1011" s="10" t="s">
        <v>67</v>
      </c>
      <c r="L1011" s="10" t="s">
        <v>68</v>
      </c>
      <c r="M1011" s="10" t="s">
        <v>69</v>
      </c>
      <c r="N1011" s="10"/>
      <c r="O1011" s="11" t="s">
        <v>2865</v>
      </c>
      <c r="P1011" s="10" t="s">
        <v>71</v>
      </c>
      <c r="Q1011" s="11" t="s">
        <v>72</v>
      </c>
      <c r="R1011" s="11" t="s">
        <v>73</v>
      </c>
      <c r="S1011" s="11" t="s">
        <v>74</v>
      </c>
      <c r="T1011" s="11" t="s">
        <v>4201</v>
      </c>
      <c r="U1011" s="10" t="n">
        <f aca="false">IF(AND($D1011="",$E1011="",$F1011=""),1,0)</f>
        <v>0</v>
      </c>
      <c r="V1011" s="10" t="n">
        <f aca="false">IF(OR($I1011="",$I1011="—"),1,0)</f>
        <v>0</v>
      </c>
      <c r="W1011" s="10" t="n">
        <f aca="false">IF(AND(ISNUMBER($D1011),ISNUMBER($E1011)),IF($E1011&gt;$D1011,1,0),0)+IF(AND(ISNUMBER($D1011),ISNUMBER($F1011)),IF($D1011&gt;$F1011,1,0),0)+IF(AND(ISNUMBER($E1011),ISNUMBER($F1011)),IF($E1011&gt;$F1011,1,0),0)</f>
        <v>0</v>
      </c>
      <c r="X1011" s="13" t="s">
        <v>76</v>
      </c>
    </row>
    <row r="1012" customFormat="false" ht="15" hidden="false" customHeight="false" outlineLevel="0" collapsed="false">
      <c r="A1012" s="10" t="s">
        <v>4202</v>
      </c>
      <c r="B1012" s="10" t="s">
        <v>4203</v>
      </c>
      <c r="C1012" s="11" t="s">
        <v>1799</v>
      </c>
      <c r="D1012" s="12" t="n">
        <v>1.4219</v>
      </c>
      <c r="E1012" s="12"/>
      <c r="F1012" s="12"/>
      <c r="G1012" s="10" t="s">
        <v>63</v>
      </c>
      <c r="H1012" s="10" t="s">
        <v>83</v>
      </c>
      <c r="I1012" s="11" t="s">
        <v>4200</v>
      </c>
      <c r="J1012" s="10" t="s">
        <v>66</v>
      </c>
      <c r="K1012" s="10" t="s">
        <v>67</v>
      </c>
      <c r="L1012" s="10" t="s">
        <v>68</v>
      </c>
      <c r="M1012" s="10" t="s">
        <v>69</v>
      </c>
      <c r="N1012" s="10"/>
      <c r="O1012" s="11" t="s">
        <v>2851</v>
      </c>
      <c r="P1012" s="10" t="s">
        <v>71</v>
      </c>
      <c r="Q1012" s="11" t="s">
        <v>72</v>
      </c>
      <c r="R1012" s="11" t="s">
        <v>73</v>
      </c>
      <c r="S1012" s="11" t="s">
        <v>74</v>
      </c>
      <c r="T1012" s="11" t="s">
        <v>4204</v>
      </c>
      <c r="U1012" s="10" t="n">
        <f aca="false">IF(AND($D1012="",$E1012="",$F1012=""),1,0)</f>
        <v>0</v>
      </c>
      <c r="V1012" s="10" t="n">
        <f aca="false">IF(OR($I1012="",$I1012="—"),1,0)</f>
        <v>0</v>
      </c>
      <c r="W1012" s="10" t="n">
        <f aca="false">IF(AND(ISNUMBER($D1012),ISNUMBER($E1012)),IF($E1012&gt;$D1012,1,0),0)+IF(AND(ISNUMBER($D1012),ISNUMBER($F1012)),IF($D1012&gt;$F1012,1,0),0)+IF(AND(ISNUMBER($E1012),ISNUMBER($F1012)),IF($E1012&gt;$F1012,1,0),0)</f>
        <v>0</v>
      </c>
      <c r="X1012" s="13" t="s">
        <v>76</v>
      </c>
    </row>
    <row r="1013" customFormat="false" ht="15" hidden="false" customHeight="false" outlineLevel="0" collapsed="false">
      <c r="A1013" s="10" t="s">
        <v>4205</v>
      </c>
      <c r="B1013" s="10" t="s">
        <v>4206</v>
      </c>
      <c r="C1013" s="11" t="s">
        <v>1799</v>
      </c>
      <c r="D1013" s="12" t="n">
        <v>0.7663</v>
      </c>
      <c r="E1013" s="12"/>
      <c r="F1013" s="12"/>
      <c r="G1013" s="10" t="s">
        <v>63</v>
      </c>
      <c r="H1013" s="10" t="s">
        <v>79</v>
      </c>
      <c r="I1013" s="11" t="s">
        <v>4200</v>
      </c>
      <c r="J1013" s="10" t="s">
        <v>66</v>
      </c>
      <c r="K1013" s="10" t="s">
        <v>67</v>
      </c>
      <c r="L1013" s="10" t="s">
        <v>68</v>
      </c>
      <c r="M1013" s="10" t="s">
        <v>69</v>
      </c>
      <c r="N1013" s="10"/>
      <c r="O1013" s="11" t="s">
        <v>2851</v>
      </c>
      <c r="P1013" s="10" t="s">
        <v>71</v>
      </c>
      <c r="Q1013" s="11" t="s">
        <v>72</v>
      </c>
      <c r="R1013" s="11" t="s">
        <v>73</v>
      </c>
      <c r="S1013" s="11" t="s">
        <v>74</v>
      </c>
      <c r="T1013" s="11" t="s">
        <v>4207</v>
      </c>
      <c r="U1013" s="10" t="n">
        <f aca="false">IF(AND($D1013="",$E1013="",$F1013=""),1,0)</f>
        <v>0</v>
      </c>
      <c r="V1013" s="10" t="n">
        <f aca="false">IF(OR($I1013="",$I1013="—"),1,0)</f>
        <v>0</v>
      </c>
      <c r="W1013" s="10" t="n">
        <f aca="false">IF(AND(ISNUMBER($D1013),ISNUMBER($E1013)),IF($E1013&gt;$D1013,1,0),0)+IF(AND(ISNUMBER($D1013),ISNUMBER($F1013)),IF($D1013&gt;$F1013,1,0),0)+IF(AND(ISNUMBER($E1013),ISNUMBER($F1013)),IF($E1013&gt;$F1013,1,0),0)</f>
        <v>0</v>
      </c>
      <c r="X1013" s="13" t="s">
        <v>76</v>
      </c>
    </row>
    <row r="1014" customFormat="false" ht="15" hidden="false" customHeight="false" outlineLevel="0" collapsed="false">
      <c r="A1014" s="10" t="s">
        <v>4208</v>
      </c>
      <c r="B1014" s="10" t="s">
        <v>4209</v>
      </c>
      <c r="C1014" s="11" t="s">
        <v>1799</v>
      </c>
      <c r="D1014" s="12" t="n">
        <v>0.3182</v>
      </c>
      <c r="E1014" s="12"/>
      <c r="F1014" s="12"/>
      <c r="G1014" s="10" t="s">
        <v>63</v>
      </c>
      <c r="H1014" s="10" t="s">
        <v>64</v>
      </c>
      <c r="I1014" s="11" t="s">
        <v>4200</v>
      </c>
      <c r="J1014" s="10" t="s">
        <v>66</v>
      </c>
      <c r="K1014" s="10" t="s">
        <v>67</v>
      </c>
      <c r="L1014" s="10" t="s">
        <v>68</v>
      </c>
      <c r="M1014" s="10" t="s">
        <v>69</v>
      </c>
      <c r="N1014" s="10"/>
      <c r="O1014" s="11" t="s">
        <v>2851</v>
      </c>
      <c r="P1014" s="10" t="s">
        <v>71</v>
      </c>
      <c r="Q1014" s="11" t="s">
        <v>72</v>
      </c>
      <c r="R1014" s="11" t="s">
        <v>73</v>
      </c>
      <c r="S1014" s="11" t="s">
        <v>74</v>
      </c>
      <c r="T1014" s="11" t="s">
        <v>4210</v>
      </c>
      <c r="U1014" s="10" t="n">
        <f aca="false">IF(AND($D1014="",$E1014="",$F1014=""),1,0)</f>
        <v>0</v>
      </c>
      <c r="V1014" s="10" t="n">
        <f aca="false">IF(OR($I1014="",$I1014="—"),1,0)</f>
        <v>0</v>
      </c>
      <c r="W1014" s="10" t="n">
        <f aca="false">IF(AND(ISNUMBER($D1014),ISNUMBER($E1014)),IF($E1014&gt;$D1014,1,0),0)+IF(AND(ISNUMBER($D1014),ISNUMBER($F1014)),IF($D1014&gt;$F1014,1,0),0)+IF(AND(ISNUMBER($E1014),ISNUMBER($F1014)),IF($E1014&gt;$F1014,1,0),0)</f>
        <v>0</v>
      </c>
      <c r="X1014" s="13" t="s">
        <v>76</v>
      </c>
    </row>
    <row r="1015" customFormat="false" ht="15" hidden="false" customHeight="false" outlineLevel="0" collapsed="false">
      <c r="A1015" s="10" t="s">
        <v>4211</v>
      </c>
      <c r="B1015" s="10" t="s">
        <v>4212</v>
      </c>
      <c r="C1015" s="10" t="s">
        <v>4213</v>
      </c>
      <c r="D1015" s="12" t="n">
        <v>0.2098</v>
      </c>
      <c r="E1015" s="12"/>
      <c r="F1015" s="12"/>
      <c r="G1015" s="10" t="s">
        <v>63</v>
      </c>
      <c r="H1015" s="10" t="s">
        <v>92</v>
      </c>
      <c r="I1015" s="11" t="s">
        <v>4214</v>
      </c>
      <c r="J1015" s="10" t="s">
        <v>66</v>
      </c>
      <c r="K1015" s="10" t="s">
        <v>67</v>
      </c>
      <c r="L1015" s="10" t="s">
        <v>68</v>
      </c>
      <c r="M1015" s="10" t="s">
        <v>69</v>
      </c>
      <c r="N1015" s="10"/>
      <c r="O1015" s="11" t="s">
        <v>2865</v>
      </c>
      <c r="P1015" s="10" t="s">
        <v>71</v>
      </c>
      <c r="Q1015" s="11" t="s">
        <v>72</v>
      </c>
      <c r="R1015" s="11" t="s">
        <v>73</v>
      </c>
      <c r="S1015" s="11" t="s">
        <v>74</v>
      </c>
      <c r="T1015" s="11" t="s">
        <v>4215</v>
      </c>
      <c r="U1015" s="10" t="n">
        <f aca="false">IF(AND($D1015="",$E1015="",$F1015=""),1,0)</f>
        <v>0</v>
      </c>
      <c r="V1015" s="10" t="n">
        <f aca="false">IF(OR($I1015="",$I1015="—"),1,0)</f>
        <v>0</v>
      </c>
      <c r="W1015" s="10" t="n">
        <f aca="false">IF(AND(ISNUMBER($D1015),ISNUMBER($E1015)),IF($E1015&gt;$D1015,1,0),0)+IF(AND(ISNUMBER($D1015),ISNUMBER($F1015)),IF($D1015&gt;$F1015,1,0),0)+IF(AND(ISNUMBER($E1015),ISNUMBER($F1015)),IF($E1015&gt;$F1015,1,0),0)</f>
        <v>0</v>
      </c>
      <c r="X1015" s="13" t="s">
        <v>76</v>
      </c>
    </row>
    <row r="1016" customFormat="false" ht="15" hidden="false" customHeight="false" outlineLevel="0" collapsed="false">
      <c r="A1016" s="10" t="s">
        <v>4216</v>
      </c>
      <c r="B1016" s="10" t="s">
        <v>4217</v>
      </c>
      <c r="C1016" s="10" t="s">
        <v>4218</v>
      </c>
      <c r="D1016" s="12" t="n">
        <v>0.5947</v>
      </c>
      <c r="E1016" s="12"/>
      <c r="F1016" s="12"/>
      <c r="G1016" s="10" t="s">
        <v>63</v>
      </c>
      <c r="H1016" s="10" t="s">
        <v>83</v>
      </c>
      <c r="I1016" s="11" t="s">
        <v>4214</v>
      </c>
      <c r="J1016" s="10" t="s">
        <v>66</v>
      </c>
      <c r="K1016" s="10" t="s">
        <v>67</v>
      </c>
      <c r="L1016" s="10" t="s">
        <v>68</v>
      </c>
      <c r="M1016" s="10" t="s">
        <v>69</v>
      </c>
      <c r="N1016" s="10"/>
      <c r="O1016" s="11" t="s">
        <v>2851</v>
      </c>
      <c r="P1016" s="10" t="s">
        <v>71</v>
      </c>
      <c r="Q1016" s="11" t="s">
        <v>72</v>
      </c>
      <c r="R1016" s="11" t="s">
        <v>73</v>
      </c>
      <c r="S1016" s="11" t="s">
        <v>74</v>
      </c>
      <c r="T1016" s="11" t="s">
        <v>4219</v>
      </c>
      <c r="U1016" s="10" t="n">
        <f aca="false">IF(AND($D1016="",$E1016="",$F1016=""),1,0)</f>
        <v>0</v>
      </c>
      <c r="V1016" s="10" t="n">
        <f aca="false">IF(OR($I1016="",$I1016="—"),1,0)</f>
        <v>0</v>
      </c>
      <c r="W1016" s="10" t="n">
        <f aca="false">IF(AND(ISNUMBER($D1016),ISNUMBER($E1016)),IF($E1016&gt;$D1016,1,0),0)+IF(AND(ISNUMBER($D1016),ISNUMBER($F1016)),IF($D1016&gt;$F1016,1,0),0)+IF(AND(ISNUMBER($E1016),ISNUMBER($F1016)),IF($E1016&gt;$F1016,1,0),0)</f>
        <v>0</v>
      </c>
      <c r="X1016" s="13" t="s">
        <v>76</v>
      </c>
    </row>
    <row r="1017" customFormat="false" ht="15" hidden="false" customHeight="false" outlineLevel="0" collapsed="false">
      <c r="A1017" s="10" t="s">
        <v>4220</v>
      </c>
      <c r="B1017" s="10" t="s">
        <v>4221</v>
      </c>
      <c r="C1017" s="11" t="s">
        <v>4222</v>
      </c>
      <c r="D1017" s="12" t="n">
        <v>74.9</v>
      </c>
      <c r="E1017" s="12"/>
      <c r="F1017" s="12"/>
      <c r="G1017" s="10" t="s">
        <v>401</v>
      </c>
      <c r="H1017" s="10" t="s">
        <v>3443</v>
      </c>
      <c r="I1017" s="11" t="s">
        <v>4223</v>
      </c>
      <c r="J1017" s="10" t="s">
        <v>66</v>
      </c>
      <c r="K1017" s="10" t="s">
        <v>67</v>
      </c>
      <c r="L1017" s="10" t="s">
        <v>68</v>
      </c>
      <c r="M1017" s="10" t="s">
        <v>69</v>
      </c>
      <c r="N1017" s="10"/>
      <c r="O1017" s="11" t="s">
        <v>3422</v>
      </c>
      <c r="P1017" s="10" t="s">
        <v>71</v>
      </c>
      <c r="Q1017" s="11" t="s">
        <v>72</v>
      </c>
      <c r="R1017" s="11" t="s">
        <v>73</v>
      </c>
      <c r="S1017" s="11" t="s">
        <v>74</v>
      </c>
      <c r="T1017" s="11" t="s">
        <v>4224</v>
      </c>
      <c r="U1017" s="10" t="n">
        <f aca="false">IF(AND($D1017="",$E1017="",$F1017=""),1,0)</f>
        <v>0</v>
      </c>
      <c r="V1017" s="10" t="n">
        <f aca="false">IF(OR($I1017="",$I1017="—"),1,0)</f>
        <v>0</v>
      </c>
      <c r="W1017" s="10" t="n">
        <f aca="false">IF(AND(ISNUMBER($D1017),ISNUMBER($E1017)),IF($E1017&gt;$D1017,1,0),0)+IF(AND(ISNUMBER($D1017),ISNUMBER($F1017)),IF($D1017&gt;$F1017,1,0),0)+IF(AND(ISNUMBER($E1017),ISNUMBER($F1017)),IF($E1017&gt;$F1017,1,0),0)</f>
        <v>0</v>
      </c>
      <c r="X1017" s="13" t="s">
        <v>76</v>
      </c>
    </row>
    <row r="1018" customFormat="false" ht="15" hidden="false" customHeight="false" outlineLevel="0" collapsed="false">
      <c r="A1018" s="10" t="s">
        <v>4225</v>
      </c>
      <c r="B1018" s="10" t="s">
        <v>4226</v>
      </c>
      <c r="C1018" s="11" t="s">
        <v>4222</v>
      </c>
      <c r="D1018" s="12" t="n">
        <v>75.3</v>
      </c>
      <c r="E1018" s="12"/>
      <c r="F1018" s="12"/>
      <c r="G1018" s="10" t="s">
        <v>401</v>
      </c>
      <c r="H1018" s="10" t="s">
        <v>3448</v>
      </c>
      <c r="I1018" s="11" t="s">
        <v>4223</v>
      </c>
      <c r="J1018" s="10" t="s">
        <v>66</v>
      </c>
      <c r="K1018" s="10" t="s">
        <v>67</v>
      </c>
      <c r="L1018" s="10" t="s">
        <v>68</v>
      </c>
      <c r="M1018" s="10" t="s">
        <v>69</v>
      </c>
      <c r="N1018" s="10"/>
      <c r="O1018" s="11" t="s">
        <v>3422</v>
      </c>
      <c r="P1018" s="10" t="s">
        <v>71</v>
      </c>
      <c r="Q1018" s="11" t="s">
        <v>72</v>
      </c>
      <c r="R1018" s="11" t="s">
        <v>73</v>
      </c>
      <c r="S1018" s="11" t="s">
        <v>74</v>
      </c>
      <c r="T1018" s="11" t="s">
        <v>4224</v>
      </c>
      <c r="U1018" s="10" t="n">
        <f aca="false">IF(AND($D1018="",$E1018="",$F1018=""),1,0)</f>
        <v>0</v>
      </c>
      <c r="V1018" s="10" t="n">
        <f aca="false">IF(OR($I1018="",$I1018="—"),1,0)</f>
        <v>0</v>
      </c>
      <c r="W1018" s="10" t="n">
        <f aca="false">IF(AND(ISNUMBER($D1018),ISNUMBER($E1018)),IF($E1018&gt;$D1018,1,0),0)+IF(AND(ISNUMBER($D1018),ISNUMBER($F1018)),IF($D1018&gt;$F1018,1,0),0)+IF(AND(ISNUMBER($E1018),ISNUMBER($F1018)),IF($E1018&gt;$F1018,1,0),0)</f>
        <v>0</v>
      </c>
      <c r="X1018" s="13" t="s">
        <v>76</v>
      </c>
    </row>
    <row r="1019" customFormat="false" ht="15" hidden="false" customHeight="false" outlineLevel="0" collapsed="false">
      <c r="A1019" s="10" t="s">
        <v>4227</v>
      </c>
      <c r="B1019" s="10" t="s">
        <v>4228</v>
      </c>
      <c r="C1019" s="11" t="s">
        <v>4222</v>
      </c>
      <c r="D1019" s="12" t="n">
        <v>50.9</v>
      </c>
      <c r="E1019" s="12"/>
      <c r="F1019" s="12"/>
      <c r="G1019" s="10" t="s">
        <v>401</v>
      </c>
      <c r="H1019" s="10" t="s">
        <v>3452</v>
      </c>
      <c r="I1019" s="11" t="s">
        <v>4223</v>
      </c>
      <c r="J1019" s="10" t="s">
        <v>66</v>
      </c>
      <c r="K1019" s="10" t="s">
        <v>67</v>
      </c>
      <c r="L1019" s="10" t="s">
        <v>68</v>
      </c>
      <c r="M1019" s="10" t="s">
        <v>69</v>
      </c>
      <c r="N1019" s="10"/>
      <c r="O1019" s="11" t="s">
        <v>3422</v>
      </c>
      <c r="P1019" s="10" t="s">
        <v>71</v>
      </c>
      <c r="Q1019" s="11" t="s">
        <v>72</v>
      </c>
      <c r="R1019" s="11" t="s">
        <v>73</v>
      </c>
      <c r="S1019" s="11" t="s">
        <v>74</v>
      </c>
      <c r="T1019" s="11" t="s">
        <v>4224</v>
      </c>
      <c r="U1019" s="10" t="n">
        <f aca="false">IF(AND($D1019="",$E1019="",$F1019=""),1,0)</f>
        <v>0</v>
      </c>
      <c r="V1019" s="10" t="n">
        <f aca="false">IF(OR($I1019="",$I1019="—"),1,0)</f>
        <v>0</v>
      </c>
      <c r="W1019" s="10" t="n">
        <f aca="false">IF(AND(ISNUMBER($D1019),ISNUMBER($E1019)),IF($E1019&gt;$D1019,1,0),0)+IF(AND(ISNUMBER($D1019),ISNUMBER($F1019)),IF($D1019&gt;$F1019,1,0),0)+IF(AND(ISNUMBER($E1019),ISNUMBER($F1019)),IF($E1019&gt;$F1019,1,0),0)</f>
        <v>0</v>
      </c>
      <c r="X1019" s="13" t="s">
        <v>76</v>
      </c>
    </row>
    <row r="1020" customFormat="false" ht="15" hidden="false" customHeight="false" outlineLevel="0" collapsed="false">
      <c r="A1020" s="10" t="s">
        <v>4229</v>
      </c>
      <c r="B1020" s="10" t="s">
        <v>4230</v>
      </c>
      <c r="C1020" s="11" t="s">
        <v>4222</v>
      </c>
      <c r="D1020" s="12" t="n">
        <v>39</v>
      </c>
      <c r="E1020" s="12"/>
      <c r="F1020" s="12"/>
      <c r="G1020" s="10" t="s">
        <v>401</v>
      </c>
      <c r="H1020" s="10" t="s">
        <v>440</v>
      </c>
      <c r="I1020" s="11" t="s">
        <v>4223</v>
      </c>
      <c r="J1020" s="10" t="s">
        <v>66</v>
      </c>
      <c r="K1020" s="10" t="s">
        <v>67</v>
      </c>
      <c r="L1020" s="10" t="s">
        <v>68</v>
      </c>
      <c r="M1020" s="10" t="s">
        <v>69</v>
      </c>
      <c r="N1020" s="10"/>
      <c r="O1020" s="11" t="s">
        <v>3428</v>
      </c>
      <c r="P1020" s="10" t="s">
        <v>71</v>
      </c>
      <c r="Q1020" s="11" t="s">
        <v>72</v>
      </c>
      <c r="R1020" s="11" t="s">
        <v>73</v>
      </c>
      <c r="S1020" s="11" t="s">
        <v>74</v>
      </c>
      <c r="T1020" s="11" t="s">
        <v>4224</v>
      </c>
      <c r="U1020" s="10" t="n">
        <f aca="false">IF(AND($D1020="",$E1020="",$F1020=""),1,0)</f>
        <v>0</v>
      </c>
      <c r="V1020" s="10" t="n">
        <f aca="false">IF(OR($I1020="",$I1020="—"),1,0)</f>
        <v>0</v>
      </c>
      <c r="W1020" s="10" t="n">
        <f aca="false">IF(AND(ISNUMBER($D1020),ISNUMBER($E1020)),IF($E1020&gt;$D1020,1,0),0)+IF(AND(ISNUMBER($D1020),ISNUMBER($F1020)),IF($D1020&gt;$F1020,1,0),0)+IF(AND(ISNUMBER($E1020),ISNUMBER($F1020)),IF($E1020&gt;$F1020,1,0),0)</f>
        <v>0</v>
      </c>
      <c r="X1020" s="13" t="s">
        <v>76</v>
      </c>
    </row>
    <row r="1021" customFormat="false" ht="15" hidden="false" customHeight="false" outlineLevel="0" collapsed="false">
      <c r="A1021" s="10" t="s">
        <v>4231</v>
      </c>
      <c r="B1021" s="10" t="s">
        <v>4232</v>
      </c>
      <c r="C1021" s="11" t="s">
        <v>4233</v>
      </c>
      <c r="D1021" s="12"/>
      <c r="E1021" s="12"/>
      <c r="F1021" s="12"/>
      <c r="G1021" s="11" t="s">
        <v>2957</v>
      </c>
      <c r="H1021" s="10" t="s">
        <v>2958</v>
      </c>
      <c r="I1021" s="11" t="s">
        <v>4234</v>
      </c>
      <c r="J1021" s="10" t="s">
        <v>66</v>
      </c>
      <c r="K1021" s="10" t="s">
        <v>67</v>
      </c>
      <c r="L1021" s="10" t="s">
        <v>68</v>
      </c>
      <c r="M1021" s="10" t="s">
        <v>69</v>
      </c>
      <c r="N1021" s="10"/>
      <c r="O1021" s="11" t="s">
        <v>2960</v>
      </c>
      <c r="P1021" s="10" t="s">
        <v>71</v>
      </c>
      <c r="Q1021" s="11" t="s">
        <v>72</v>
      </c>
      <c r="R1021" s="11" t="s">
        <v>73</v>
      </c>
      <c r="S1021" s="11" t="s">
        <v>74</v>
      </c>
      <c r="T1021" s="11" t="s">
        <v>4235</v>
      </c>
      <c r="U1021" s="10" t="n">
        <f aca="false">IF(AND($D1021="",$E1021="",$F1021=""),1,0)</f>
        <v>1</v>
      </c>
      <c r="V1021" s="10" t="n">
        <f aca="false">IF(OR($I1021="",$I1021="—"),1,0)</f>
        <v>0</v>
      </c>
      <c r="W1021" s="10" t="n">
        <f aca="false">IF(AND(ISNUMBER($D1021),ISNUMBER($E1021)),IF($E1021&gt;$D1021,1,0),0)+IF(AND(ISNUMBER($D1021),ISNUMBER($F1021)),IF($D1021&gt;$F1021,1,0),0)+IF(AND(ISNUMBER($E1021),ISNUMBER($F1021)),IF($E1021&gt;$F1021,1,0),0)</f>
        <v>0</v>
      </c>
      <c r="X1021" s="13" t="s">
        <v>76</v>
      </c>
    </row>
    <row r="1022" customFormat="false" ht="15" hidden="false" customHeight="false" outlineLevel="0" collapsed="false">
      <c r="A1022" s="10" t="s">
        <v>4236</v>
      </c>
      <c r="B1022" s="10" t="s">
        <v>4237</v>
      </c>
      <c r="C1022" s="11" t="s">
        <v>4238</v>
      </c>
      <c r="D1022" s="12" t="n">
        <v>0</v>
      </c>
      <c r="E1022" s="12"/>
      <c r="F1022" s="12"/>
      <c r="G1022" s="10" t="s">
        <v>63</v>
      </c>
      <c r="H1022" s="10" t="s">
        <v>64</v>
      </c>
      <c r="I1022" s="11" t="s">
        <v>4239</v>
      </c>
      <c r="J1022" s="10" t="s">
        <v>66</v>
      </c>
      <c r="K1022" s="10" t="s">
        <v>67</v>
      </c>
      <c r="L1022" s="10" t="s">
        <v>68</v>
      </c>
      <c r="M1022" s="10" t="s">
        <v>69</v>
      </c>
      <c r="N1022" s="10"/>
      <c r="O1022" s="11" t="s">
        <v>3422</v>
      </c>
      <c r="P1022" s="10" t="s">
        <v>71</v>
      </c>
      <c r="Q1022" s="11" t="s">
        <v>72</v>
      </c>
      <c r="R1022" s="11" t="s">
        <v>73</v>
      </c>
      <c r="S1022" s="11" t="s">
        <v>74</v>
      </c>
      <c r="T1022" s="11" t="s">
        <v>4240</v>
      </c>
      <c r="U1022" s="10" t="n">
        <f aca="false">IF(AND($D1022="",$E1022="",$F1022=""),1,0)</f>
        <v>0</v>
      </c>
      <c r="V1022" s="10" t="n">
        <f aca="false">IF(OR($I1022="",$I1022="—"),1,0)</f>
        <v>0</v>
      </c>
      <c r="W1022" s="10" t="n">
        <f aca="false">IF(AND(ISNUMBER($D1022),ISNUMBER($E1022)),IF($E1022&gt;$D1022,1,0),0)+IF(AND(ISNUMBER($D1022),ISNUMBER($F1022)),IF($D1022&gt;$F1022,1,0),0)+IF(AND(ISNUMBER($E1022),ISNUMBER($F1022)),IF($E1022&gt;$F1022,1,0),0)</f>
        <v>0</v>
      </c>
      <c r="X1022" s="13" t="s">
        <v>76</v>
      </c>
    </row>
    <row r="1023" customFormat="false" ht="15" hidden="false" customHeight="false" outlineLevel="0" collapsed="false">
      <c r="A1023" s="10" t="s">
        <v>4241</v>
      </c>
      <c r="B1023" s="10" t="s">
        <v>4242</v>
      </c>
      <c r="C1023" s="11" t="s">
        <v>4238</v>
      </c>
      <c r="D1023" s="12" t="n">
        <v>0</v>
      </c>
      <c r="E1023" s="12"/>
      <c r="F1023" s="12"/>
      <c r="G1023" s="10" t="s">
        <v>63</v>
      </c>
      <c r="H1023" s="10" t="s">
        <v>79</v>
      </c>
      <c r="I1023" s="11" t="s">
        <v>4239</v>
      </c>
      <c r="J1023" s="10" t="s">
        <v>66</v>
      </c>
      <c r="K1023" s="10" t="s">
        <v>67</v>
      </c>
      <c r="L1023" s="10" t="s">
        <v>68</v>
      </c>
      <c r="M1023" s="10" t="s">
        <v>69</v>
      </c>
      <c r="N1023" s="10"/>
      <c r="O1023" s="11" t="s">
        <v>3422</v>
      </c>
      <c r="P1023" s="10" t="s">
        <v>71</v>
      </c>
      <c r="Q1023" s="11" t="s">
        <v>72</v>
      </c>
      <c r="R1023" s="11" t="s">
        <v>73</v>
      </c>
      <c r="S1023" s="11" t="s">
        <v>74</v>
      </c>
      <c r="T1023" s="11" t="s">
        <v>4240</v>
      </c>
      <c r="U1023" s="10" t="n">
        <f aca="false">IF(AND($D1023="",$E1023="",$F1023=""),1,0)</f>
        <v>0</v>
      </c>
      <c r="V1023" s="10" t="n">
        <f aca="false">IF(OR($I1023="",$I1023="—"),1,0)</f>
        <v>0</v>
      </c>
      <c r="W1023" s="10" t="n">
        <f aca="false">IF(AND(ISNUMBER($D1023),ISNUMBER($E1023)),IF($E1023&gt;$D1023,1,0),0)+IF(AND(ISNUMBER($D1023),ISNUMBER($F1023)),IF($D1023&gt;$F1023,1,0),0)+IF(AND(ISNUMBER($E1023),ISNUMBER($F1023)),IF($E1023&gt;$F1023,1,0),0)</f>
        <v>0</v>
      </c>
      <c r="X1023" s="13" t="s">
        <v>76</v>
      </c>
    </row>
    <row r="1024" customFormat="false" ht="15" hidden="false" customHeight="false" outlineLevel="0" collapsed="false">
      <c r="A1024" s="10" t="s">
        <v>4243</v>
      </c>
      <c r="B1024" s="10" t="s">
        <v>4244</v>
      </c>
      <c r="C1024" s="11" t="s">
        <v>4238</v>
      </c>
      <c r="D1024" s="12" t="n">
        <v>0.3786</v>
      </c>
      <c r="E1024" s="12"/>
      <c r="F1024" s="12"/>
      <c r="G1024" s="10" t="s">
        <v>63</v>
      </c>
      <c r="H1024" s="10" t="s">
        <v>83</v>
      </c>
      <c r="I1024" s="11" t="s">
        <v>4239</v>
      </c>
      <c r="J1024" s="10" t="s">
        <v>66</v>
      </c>
      <c r="K1024" s="10" t="s">
        <v>67</v>
      </c>
      <c r="L1024" s="10" t="s">
        <v>68</v>
      </c>
      <c r="M1024" s="10" t="s">
        <v>69</v>
      </c>
      <c r="N1024" s="10"/>
      <c r="O1024" s="11" t="s">
        <v>3422</v>
      </c>
      <c r="P1024" s="10" t="s">
        <v>71</v>
      </c>
      <c r="Q1024" s="11" t="s">
        <v>72</v>
      </c>
      <c r="R1024" s="11" t="s">
        <v>73</v>
      </c>
      <c r="S1024" s="11" t="s">
        <v>74</v>
      </c>
      <c r="T1024" s="11" t="s">
        <v>4245</v>
      </c>
      <c r="U1024" s="10" t="n">
        <f aca="false">IF(AND($D1024="",$E1024="",$F1024=""),1,0)</f>
        <v>0</v>
      </c>
      <c r="V1024" s="10" t="n">
        <f aca="false">IF(OR($I1024="",$I1024="—"),1,0)</f>
        <v>0</v>
      </c>
      <c r="W1024" s="10" t="n">
        <f aca="false">IF(AND(ISNUMBER($D1024),ISNUMBER($E1024)),IF($E1024&gt;$D1024,1,0),0)+IF(AND(ISNUMBER($D1024),ISNUMBER($F1024)),IF($D1024&gt;$F1024,1,0),0)+IF(AND(ISNUMBER($E1024),ISNUMBER($F1024)),IF($E1024&gt;$F1024,1,0),0)</f>
        <v>0</v>
      </c>
      <c r="X1024" s="13" t="s">
        <v>76</v>
      </c>
    </row>
    <row r="1025" customFormat="false" ht="15" hidden="false" customHeight="false" outlineLevel="0" collapsed="false">
      <c r="A1025" s="10" t="s">
        <v>4246</v>
      </c>
      <c r="B1025" s="10" t="s">
        <v>4247</v>
      </c>
      <c r="C1025" s="11" t="s">
        <v>4238</v>
      </c>
      <c r="D1025" s="12" t="n">
        <v>0</v>
      </c>
      <c r="E1025" s="12"/>
      <c r="F1025" s="12"/>
      <c r="G1025" s="10" t="s">
        <v>63</v>
      </c>
      <c r="H1025" s="10" t="s">
        <v>87</v>
      </c>
      <c r="I1025" s="11" t="s">
        <v>4239</v>
      </c>
      <c r="J1025" s="10" t="s">
        <v>66</v>
      </c>
      <c r="K1025" s="10" t="s">
        <v>67</v>
      </c>
      <c r="L1025" s="10" t="s">
        <v>68</v>
      </c>
      <c r="M1025" s="10" t="s">
        <v>69</v>
      </c>
      <c r="N1025" s="10"/>
      <c r="O1025" s="11" t="s">
        <v>3608</v>
      </c>
      <c r="P1025" s="10" t="s">
        <v>71</v>
      </c>
      <c r="Q1025" s="11" t="s">
        <v>72</v>
      </c>
      <c r="R1025" s="11" t="s">
        <v>73</v>
      </c>
      <c r="S1025" s="11" t="s">
        <v>74</v>
      </c>
      <c r="T1025" s="11" t="s">
        <v>4240</v>
      </c>
      <c r="U1025" s="10" t="n">
        <f aca="false">IF(AND($D1025="",$E1025="",$F1025=""),1,0)</f>
        <v>0</v>
      </c>
      <c r="V1025" s="10" t="n">
        <f aca="false">IF(OR($I1025="",$I1025="—"),1,0)</f>
        <v>0</v>
      </c>
      <c r="W1025" s="10" t="n">
        <f aca="false">IF(AND(ISNUMBER($D1025),ISNUMBER($E1025)),IF($E1025&gt;$D1025,1,0),0)+IF(AND(ISNUMBER($D1025),ISNUMBER($F1025)),IF($D1025&gt;$F1025,1,0),0)+IF(AND(ISNUMBER($E1025),ISNUMBER($F1025)),IF($E1025&gt;$F1025,1,0),0)</f>
        <v>0</v>
      </c>
      <c r="X1025" s="13" t="s">
        <v>76</v>
      </c>
    </row>
    <row r="1026" customFormat="false" ht="15" hidden="false" customHeight="false" outlineLevel="0" collapsed="false">
      <c r="A1026" s="10" t="s">
        <v>4248</v>
      </c>
      <c r="B1026" s="10" t="s">
        <v>4249</v>
      </c>
      <c r="C1026" s="11" t="s">
        <v>4238</v>
      </c>
      <c r="D1026" s="12" t="n">
        <v>0.2972</v>
      </c>
      <c r="E1026" s="12"/>
      <c r="F1026" s="12"/>
      <c r="G1026" s="10" t="s">
        <v>63</v>
      </c>
      <c r="H1026" s="10" t="s">
        <v>92</v>
      </c>
      <c r="I1026" s="11" t="s">
        <v>4239</v>
      </c>
      <c r="J1026" s="10" t="s">
        <v>66</v>
      </c>
      <c r="K1026" s="10" t="s">
        <v>67</v>
      </c>
      <c r="L1026" s="10" t="s">
        <v>68</v>
      </c>
      <c r="M1026" s="10" t="s">
        <v>69</v>
      </c>
      <c r="N1026" s="10"/>
      <c r="O1026" s="11" t="s">
        <v>3428</v>
      </c>
      <c r="P1026" s="10" t="s">
        <v>71</v>
      </c>
      <c r="Q1026" s="11" t="s">
        <v>72</v>
      </c>
      <c r="R1026" s="11" t="s">
        <v>73</v>
      </c>
      <c r="S1026" s="11" t="s">
        <v>74</v>
      </c>
      <c r="T1026" s="11" t="s">
        <v>4250</v>
      </c>
      <c r="U1026" s="10" t="n">
        <f aca="false">IF(AND($D1026="",$E1026="",$F1026=""),1,0)</f>
        <v>0</v>
      </c>
      <c r="V1026" s="10" t="n">
        <f aca="false">IF(OR($I1026="",$I1026="—"),1,0)</f>
        <v>0</v>
      </c>
      <c r="W1026" s="10" t="n">
        <f aca="false">IF(AND(ISNUMBER($D1026),ISNUMBER($E1026)),IF($E1026&gt;$D1026,1,0),0)+IF(AND(ISNUMBER($D1026),ISNUMBER($F1026)),IF($D1026&gt;$F1026,1,0),0)+IF(AND(ISNUMBER($E1026),ISNUMBER($F1026)),IF($E1026&gt;$F1026,1,0),0)</f>
        <v>0</v>
      </c>
      <c r="X1026" s="13" t="s">
        <v>76</v>
      </c>
    </row>
    <row r="1027" customFormat="false" ht="15" hidden="false" customHeight="false" outlineLevel="0" collapsed="false">
      <c r="A1027" s="10" t="s">
        <v>4251</v>
      </c>
      <c r="B1027" s="10" t="s">
        <v>4252</v>
      </c>
      <c r="C1027" s="11" t="s">
        <v>4253</v>
      </c>
      <c r="D1027" s="12" t="n">
        <v>4173.4</v>
      </c>
      <c r="E1027" s="12"/>
      <c r="F1027" s="12"/>
      <c r="G1027" s="10" t="s">
        <v>2312</v>
      </c>
      <c r="H1027" s="10" t="s">
        <v>67</v>
      </c>
      <c r="I1027" s="11" t="s">
        <v>4254</v>
      </c>
      <c r="J1027" s="10" t="s">
        <v>66</v>
      </c>
      <c r="K1027" s="10" t="s">
        <v>67</v>
      </c>
      <c r="L1027" s="10" t="s">
        <v>68</v>
      </c>
      <c r="M1027" s="10" t="s">
        <v>69</v>
      </c>
      <c r="N1027" s="10"/>
      <c r="O1027" s="11" t="s">
        <v>4255</v>
      </c>
      <c r="P1027" s="10" t="s">
        <v>71</v>
      </c>
      <c r="Q1027" s="11" t="s">
        <v>72</v>
      </c>
      <c r="R1027" s="11" t="s">
        <v>73</v>
      </c>
      <c r="S1027" s="11" t="s">
        <v>74</v>
      </c>
      <c r="T1027" s="11" t="s">
        <v>4256</v>
      </c>
      <c r="U1027" s="10" t="n">
        <f aca="false">IF(AND($D1027="",$E1027="",$F1027=""),1,0)</f>
        <v>0</v>
      </c>
      <c r="V1027" s="10" t="n">
        <f aca="false">IF(OR($I1027="",$I1027="—"),1,0)</f>
        <v>0</v>
      </c>
      <c r="W1027" s="10" t="n">
        <f aca="false">IF(AND(ISNUMBER($D1027),ISNUMBER($E1027)),IF($E1027&gt;$D1027,1,0),0)+IF(AND(ISNUMBER($D1027),ISNUMBER($F1027)),IF($D1027&gt;$F1027,1,0),0)+IF(AND(ISNUMBER($E1027),ISNUMBER($F1027)),IF($E1027&gt;$F1027,1,0),0)</f>
        <v>0</v>
      </c>
      <c r="X1027" s="13" t="s">
        <v>76</v>
      </c>
    </row>
    <row r="1028" customFormat="false" ht="15" hidden="false" customHeight="false" outlineLevel="0" collapsed="false">
      <c r="A1028" s="10" t="s">
        <v>4257</v>
      </c>
      <c r="B1028" s="10" t="s">
        <v>4258</v>
      </c>
      <c r="C1028" s="10" t="s">
        <v>4259</v>
      </c>
      <c r="D1028" s="12" t="n">
        <v>70</v>
      </c>
      <c r="E1028" s="12"/>
      <c r="F1028" s="12"/>
      <c r="G1028" s="10" t="s">
        <v>401</v>
      </c>
      <c r="H1028" s="10" t="s">
        <v>4260</v>
      </c>
      <c r="I1028" s="11" t="s">
        <v>4261</v>
      </c>
      <c r="J1028" s="10" t="s">
        <v>66</v>
      </c>
      <c r="K1028" s="10" t="s">
        <v>67</v>
      </c>
      <c r="L1028" s="10" t="s">
        <v>68</v>
      </c>
      <c r="M1028" s="10" t="s">
        <v>69</v>
      </c>
      <c r="N1028" s="10"/>
      <c r="O1028" s="11" t="s">
        <v>4262</v>
      </c>
      <c r="P1028" s="10" t="s">
        <v>71</v>
      </c>
      <c r="Q1028" s="11" t="s">
        <v>72</v>
      </c>
      <c r="R1028" s="11" t="s">
        <v>73</v>
      </c>
      <c r="S1028" s="11" t="s">
        <v>74</v>
      </c>
      <c r="T1028" s="11" t="s">
        <v>4263</v>
      </c>
      <c r="U1028" s="10" t="n">
        <f aca="false">IF(AND($D1028="",$E1028="",$F1028=""),1,0)</f>
        <v>0</v>
      </c>
      <c r="V1028" s="10" t="n">
        <f aca="false">IF(OR($I1028="",$I1028="—"),1,0)</f>
        <v>0</v>
      </c>
      <c r="W1028" s="10" t="n">
        <f aca="false">IF(AND(ISNUMBER($D1028),ISNUMBER($E1028)),IF($E1028&gt;$D1028,1,0),0)+IF(AND(ISNUMBER($D1028),ISNUMBER($F1028)),IF($D1028&gt;$F1028,1,0),0)+IF(AND(ISNUMBER($E1028),ISNUMBER($F1028)),IF($E1028&gt;$F1028,1,0),0)</f>
        <v>0</v>
      </c>
      <c r="X1028" s="13" t="s">
        <v>76</v>
      </c>
    </row>
    <row r="1029" customFormat="false" ht="15" hidden="false" customHeight="false" outlineLevel="0" collapsed="false">
      <c r="A1029" s="10" t="s">
        <v>4264</v>
      </c>
      <c r="B1029" s="10" t="s">
        <v>4265</v>
      </c>
      <c r="C1029" s="10" t="s">
        <v>4266</v>
      </c>
      <c r="D1029" s="12" t="n">
        <v>60</v>
      </c>
      <c r="E1029" s="12"/>
      <c r="F1029" s="12"/>
      <c r="G1029" s="10" t="s">
        <v>401</v>
      </c>
      <c r="H1029" s="10" t="s">
        <v>4260</v>
      </c>
      <c r="I1029" s="11" t="s">
        <v>4261</v>
      </c>
      <c r="J1029" s="10" t="s">
        <v>66</v>
      </c>
      <c r="K1029" s="10" t="s">
        <v>67</v>
      </c>
      <c r="L1029" s="10" t="s">
        <v>68</v>
      </c>
      <c r="M1029" s="10" t="s">
        <v>69</v>
      </c>
      <c r="N1029" s="10"/>
      <c r="O1029" s="11" t="s">
        <v>4262</v>
      </c>
      <c r="P1029" s="10" t="s">
        <v>71</v>
      </c>
      <c r="Q1029" s="11" t="s">
        <v>72</v>
      </c>
      <c r="R1029" s="11" t="s">
        <v>73</v>
      </c>
      <c r="S1029" s="11" t="s">
        <v>74</v>
      </c>
      <c r="T1029" s="11" t="s">
        <v>4267</v>
      </c>
      <c r="U1029" s="10" t="n">
        <f aca="false">IF(AND($D1029="",$E1029="",$F1029=""),1,0)</f>
        <v>0</v>
      </c>
      <c r="V1029" s="10" t="n">
        <f aca="false">IF(OR($I1029="",$I1029="—"),1,0)</f>
        <v>0</v>
      </c>
      <c r="W1029" s="10" t="n">
        <f aca="false">IF(AND(ISNUMBER($D1029),ISNUMBER($E1029)),IF($E1029&gt;$D1029,1,0),0)+IF(AND(ISNUMBER($D1029),ISNUMBER($F1029)),IF($D1029&gt;$F1029,1,0),0)+IF(AND(ISNUMBER($E1029),ISNUMBER($F1029)),IF($E1029&gt;$F1029,1,0),0)</f>
        <v>0</v>
      </c>
      <c r="X1029" s="13" t="s">
        <v>76</v>
      </c>
    </row>
    <row r="1030" customFormat="false" ht="15" hidden="false" customHeight="false" outlineLevel="0" collapsed="false">
      <c r="A1030" s="10" t="s">
        <v>4268</v>
      </c>
      <c r="B1030" s="10" t="s">
        <v>4269</v>
      </c>
      <c r="C1030" s="10" t="s">
        <v>4270</v>
      </c>
      <c r="D1030" s="12" t="n">
        <v>10</v>
      </c>
      <c r="E1030" s="12"/>
      <c r="F1030" s="12"/>
      <c r="G1030" s="10" t="s">
        <v>401</v>
      </c>
      <c r="H1030" s="10" t="s">
        <v>4260</v>
      </c>
      <c r="I1030" s="11" t="s">
        <v>4261</v>
      </c>
      <c r="J1030" s="10" t="s">
        <v>66</v>
      </c>
      <c r="K1030" s="10" t="s">
        <v>67</v>
      </c>
      <c r="L1030" s="10" t="s">
        <v>68</v>
      </c>
      <c r="M1030" s="10" t="s">
        <v>69</v>
      </c>
      <c r="N1030" s="10"/>
      <c r="O1030" s="11" t="s">
        <v>4262</v>
      </c>
      <c r="P1030" s="10" t="s">
        <v>71</v>
      </c>
      <c r="Q1030" s="11" t="s">
        <v>72</v>
      </c>
      <c r="R1030" s="11" t="s">
        <v>73</v>
      </c>
      <c r="S1030" s="11" t="s">
        <v>74</v>
      </c>
      <c r="T1030" s="11" t="s">
        <v>4271</v>
      </c>
      <c r="U1030" s="10" t="n">
        <f aca="false">IF(AND($D1030="",$E1030="",$F1030=""),1,0)</f>
        <v>0</v>
      </c>
      <c r="V1030" s="10" t="n">
        <f aca="false">IF(OR($I1030="",$I1030="—"),1,0)</f>
        <v>0</v>
      </c>
      <c r="W1030" s="10" t="n">
        <f aca="false">IF(AND(ISNUMBER($D1030),ISNUMBER($E1030)),IF($E1030&gt;$D1030,1,0),0)+IF(AND(ISNUMBER($D1030),ISNUMBER($F1030)),IF($D1030&gt;$F1030,1,0),0)+IF(AND(ISNUMBER($E1030),ISNUMBER($F1030)),IF($E1030&gt;$F1030,1,0),0)</f>
        <v>0</v>
      </c>
      <c r="X1030" s="13" t="s">
        <v>76</v>
      </c>
    </row>
    <row r="1031" customFormat="false" ht="15" hidden="false" customHeight="false" outlineLevel="0" collapsed="false">
      <c r="A1031" s="10" t="s">
        <v>4272</v>
      </c>
      <c r="B1031" s="10" t="s">
        <v>4273</v>
      </c>
      <c r="C1031" s="10" t="s">
        <v>4274</v>
      </c>
      <c r="D1031" s="12" t="n">
        <v>10</v>
      </c>
      <c r="E1031" s="12"/>
      <c r="F1031" s="12"/>
      <c r="G1031" s="10" t="s">
        <v>401</v>
      </c>
      <c r="H1031" s="10" t="s">
        <v>4260</v>
      </c>
      <c r="I1031" s="11" t="s">
        <v>4261</v>
      </c>
      <c r="J1031" s="10" t="s">
        <v>66</v>
      </c>
      <c r="K1031" s="10" t="s">
        <v>67</v>
      </c>
      <c r="L1031" s="10" t="s">
        <v>68</v>
      </c>
      <c r="M1031" s="10" t="s">
        <v>69</v>
      </c>
      <c r="N1031" s="10"/>
      <c r="O1031" s="11" t="s">
        <v>4262</v>
      </c>
      <c r="P1031" s="10" t="s">
        <v>71</v>
      </c>
      <c r="Q1031" s="11" t="s">
        <v>72</v>
      </c>
      <c r="R1031" s="11" t="s">
        <v>73</v>
      </c>
      <c r="S1031" s="11" t="s">
        <v>74</v>
      </c>
      <c r="T1031" s="11" t="s">
        <v>4275</v>
      </c>
      <c r="U1031" s="10" t="n">
        <f aca="false">IF(AND($D1031="",$E1031="",$F1031=""),1,0)</f>
        <v>0</v>
      </c>
      <c r="V1031" s="10" t="n">
        <f aca="false">IF(OR($I1031="",$I1031="—"),1,0)</f>
        <v>0</v>
      </c>
      <c r="W1031" s="10" t="n">
        <f aca="false">IF(AND(ISNUMBER($D1031),ISNUMBER($E1031)),IF($E1031&gt;$D1031,1,0),0)+IF(AND(ISNUMBER($D1031),ISNUMBER($F1031)),IF($D1031&gt;$F1031,1,0),0)+IF(AND(ISNUMBER($E1031),ISNUMBER($F1031)),IF($E1031&gt;$F1031,1,0),0)</f>
        <v>0</v>
      </c>
      <c r="X1031" s="13" t="s">
        <v>76</v>
      </c>
    </row>
    <row r="1032" customFormat="false" ht="15" hidden="false" customHeight="false" outlineLevel="0" collapsed="false">
      <c r="A1032" s="10" t="s">
        <v>4276</v>
      </c>
      <c r="B1032" s="10" t="s">
        <v>4277</v>
      </c>
      <c r="C1032" s="10" t="s">
        <v>4278</v>
      </c>
      <c r="D1032" s="12" t="n">
        <v>10</v>
      </c>
      <c r="E1032" s="12"/>
      <c r="F1032" s="12"/>
      <c r="G1032" s="10" t="s">
        <v>401</v>
      </c>
      <c r="H1032" s="10" t="s">
        <v>4260</v>
      </c>
      <c r="I1032" s="11" t="s">
        <v>4261</v>
      </c>
      <c r="J1032" s="10" t="s">
        <v>66</v>
      </c>
      <c r="K1032" s="10" t="s">
        <v>67</v>
      </c>
      <c r="L1032" s="10" t="s">
        <v>68</v>
      </c>
      <c r="M1032" s="10" t="s">
        <v>69</v>
      </c>
      <c r="N1032" s="10"/>
      <c r="O1032" s="11" t="s">
        <v>4262</v>
      </c>
      <c r="P1032" s="10" t="s">
        <v>71</v>
      </c>
      <c r="Q1032" s="11" t="s">
        <v>72</v>
      </c>
      <c r="R1032" s="11" t="s">
        <v>73</v>
      </c>
      <c r="S1032" s="11" t="s">
        <v>74</v>
      </c>
      <c r="T1032" s="11" t="s">
        <v>4279</v>
      </c>
      <c r="U1032" s="10" t="n">
        <f aca="false">IF(AND($D1032="",$E1032="",$F1032=""),1,0)</f>
        <v>0</v>
      </c>
      <c r="V1032" s="10" t="n">
        <f aca="false">IF(OR($I1032="",$I1032="—"),1,0)</f>
        <v>0</v>
      </c>
      <c r="W1032" s="10" t="n">
        <f aca="false">IF(AND(ISNUMBER($D1032),ISNUMBER($E1032)),IF($E1032&gt;$D1032,1,0),0)+IF(AND(ISNUMBER($D1032),ISNUMBER($F1032)),IF($D1032&gt;$F1032,1,0),0)+IF(AND(ISNUMBER($E1032),ISNUMBER($F1032)),IF($E1032&gt;$F1032,1,0),0)</f>
        <v>0</v>
      </c>
      <c r="X1032" s="13" t="s">
        <v>76</v>
      </c>
    </row>
    <row r="1033" customFormat="false" ht="15" hidden="false" customHeight="false" outlineLevel="0" collapsed="false">
      <c r="A1033" s="10" t="s">
        <v>4280</v>
      </c>
      <c r="B1033" s="10" t="s">
        <v>4281</v>
      </c>
      <c r="C1033" s="10" t="s">
        <v>4282</v>
      </c>
      <c r="D1033" s="12" t="n">
        <v>10</v>
      </c>
      <c r="E1033" s="12"/>
      <c r="F1033" s="12"/>
      <c r="G1033" s="10" t="s">
        <v>401</v>
      </c>
      <c r="H1033" s="10" t="s">
        <v>4260</v>
      </c>
      <c r="I1033" s="11" t="s">
        <v>4261</v>
      </c>
      <c r="J1033" s="10" t="s">
        <v>66</v>
      </c>
      <c r="K1033" s="10" t="s">
        <v>67</v>
      </c>
      <c r="L1033" s="10" t="s">
        <v>68</v>
      </c>
      <c r="M1033" s="10" t="s">
        <v>69</v>
      </c>
      <c r="N1033" s="10"/>
      <c r="O1033" s="11" t="s">
        <v>4262</v>
      </c>
      <c r="P1033" s="10" t="s">
        <v>71</v>
      </c>
      <c r="Q1033" s="11" t="s">
        <v>72</v>
      </c>
      <c r="R1033" s="11" t="s">
        <v>73</v>
      </c>
      <c r="S1033" s="11" t="s">
        <v>74</v>
      </c>
      <c r="T1033" s="11" t="s">
        <v>4283</v>
      </c>
      <c r="U1033" s="10" t="n">
        <f aca="false">IF(AND($D1033="",$E1033="",$F1033=""),1,0)</f>
        <v>0</v>
      </c>
      <c r="V1033" s="10" t="n">
        <f aca="false">IF(OR($I1033="",$I1033="—"),1,0)</f>
        <v>0</v>
      </c>
      <c r="W1033" s="10" t="n">
        <f aca="false">IF(AND(ISNUMBER($D1033),ISNUMBER($E1033)),IF($E1033&gt;$D1033,1,0),0)+IF(AND(ISNUMBER($D1033),ISNUMBER($F1033)),IF($D1033&gt;$F1033,1,0),0)+IF(AND(ISNUMBER($E1033),ISNUMBER($F1033)),IF($E1033&gt;$F1033,1,0),0)</f>
        <v>0</v>
      </c>
      <c r="X1033" s="13" t="s">
        <v>76</v>
      </c>
    </row>
    <row r="1034" customFormat="false" ht="15" hidden="false" customHeight="false" outlineLevel="0" collapsed="false">
      <c r="A1034" s="10" t="s">
        <v>4284</v>
      </c>
      <c r="B1034" s="10" t="s">
        <v>4285</v>
      </c>
      <c r="C1034" s="11" t="s">
        <v>4286</v>
      </c>
      <c r="D1034" s="12" t="n">
        <v>632.6</v>
      </c>
      <c r="E1034" s="12"/>
      <c r="F1034" s="12"/>
      <c r="G1034" s="10" t="s">
        <v>2312</v>
      </c>
      <c r="H1034" s="10" t="s">
        <v>67</v>
      </c>
      <c r="I1034" s="11" t="s">
        <v>4287</v>
      </c>
      <c r="J1034" s="10" t="s">
        <v>66</v>
      </c>
      <c r="K1034" s="10" t="s">
        <v>67</v>
      </c>
      <c r="L1034" s="10" t="s">
        <v>68</v>
      </c>
      <c r="M1034" s="10" t="s">
        <v>69</v>
      </c>
      <c r="N1034" s="10"/>
      <c r="O1034" s="11" t="s">
        <v>4255</v>
      </c>
      <c r="P1034" s="10" t="s">
        <v>71</v>
      </c>
      <c r="Q1034" s="11" t="s">
        <v>72</v>
      </c>
      <c r="R1034" s="11" t="s">
        <v>73</v>
      </c>
      <c r="S1034" s="11" t="s">
        <v>74</v>
      </c>
      <c r="T1034" s="11" t="s">
        <v>4288</v>
      </c>
      <c r="U1034" s="10" t="n">
        <f aca="false">IF(AND($D1034="",$E1034="",$F1034=""),1,0)</f>
        <v>0</v>
      </c>
      <c r="V1034" s="10" t="n">
        <f aca="false">IF(OR($I1034="",$I1034="—"),1,0)</f>
        <v>0</v>
      </c>
      <c r="W1034" s="10" t="n">
        <f aca="false">IF(AND(ISNUMBER($D1034),ISNUMBER($E1034)),IF($E1034&gt;$D1034,1,0),0)+IF(AND(ISNUMBER($D1034),ISNUMBER($F1034)),IF($D1034&gt;$F1034,1,0),0)+IF(AND(ISNUMBER($E1034),ISNUMBER($F1034)),IF($E1034&gt;$F1034,1,0),0)</f>
        <v>0</v>
      </c>
      <c r="X1034" s="13" t="s">
        <v>76</v>
      </c>
    </row>
    <row r="1035" customFormat="false" ht="15" hidden="false" customHeight="false" outlineLevel="0" collapsed="false">
      <c r="A1035" s="10" t="s">
        <v>4289</v>
      </c>
      <c r="B1035" s="10" t="s">
        <v>4290</v>
      </c>
      <c r="C1035" s="11" t="s">
        <v>4291</v>
      </c>
      <c r="D1035" s="12" t="n">
        <v>158.5</v>
      </c>
      <c r="E1035" s="12"/>
      <c r="F1035" s="12"/>
      <c r="G1035" s="10" t="s">
        <v>2508</v>
      </c>
      <c r="H1035" s="10" t="s">
        <v>67</v>
      </c>
      <c r="I1035" s="11" t="s">
        <v>4292</v>
      </c>
      <c r="J1035" s="10" t="s">
        <v>66</v>
      </c>
      <c r="K1035" s="10" t="s">
        <v>67</v>
      </c>
      <c r="L1035" s="10" t="s">
        <v>68</v>
      </c>
      <c r="M1035" s="10" t="s">
        <v>69</v>
      </c>
      <c r="N1035" s="10"/>
      <c r="O1035" s="11" t="s">
        <v>4255</v>
      </c>
      <c r="P1035" s="10" t="s">
        <v>71</v>
      </c>
      <c r="Q1035" s="11" t="s">
        <v>72</v>
      </c>
      <c r="R1035" s="11" t="s">
        <v>73</v>
      </c>
      <c r="S1035" s="11" t="s">
        <v>74</v>
      </c>
      <c r="T1035" s="11" t="s">
        <v>4293</v>
      </c>
      <c r="U1035" s="10" t="n">
        <f aca="false">IF(AND($D1035="",$E1035="",$F1035=""),1,0)</f>
        <v>0</v>
      </c>
      <c r="V1035" s="10" t="n">
        <f aca="false">IF(OR($I1035="",$I1035="—"),1,0)</f>
        <v>0</v>
      </c>
      <c r="W1035" s="10" t="n">
        <f aca="false">IF(AND(ISNUMBER($D1035),ISNUMBER($E1035)),IF($E1035&gt;$D1035,1,0),0)+IF(AND(ISNUMBER($D1035),ISNUMBER($F1035)),IF($D1035&gt;$F1035,1,0),0)+IF(AND(ISNUMBER($E1035),ISNUMBER($F1035)),IF($E1035&gt;$F1035,1,0),0)</f>
        <v>0</v>
      </c>
      <c r="X1035" s="13" t="s">
        <v>76</v>
      </c>
    </row>
    <row r="1036" customFormat="false" ht="15" hidden="false" customHeight="false" outlineLevel="0" collapsed="false">
      <c r="A1036" s="10" t="s">
        <v>4294</v>
      </c>
      <c r="B1036" s="10" t="s">
        <v>4295</v>
      </c>
      <c r="C1036" s="11" t="s">
        <v>4296</v>
      </c>
      <c r="D1036" s="12" t="n">
        <v>27.3</v>
      </c>
      <c r="E1036" s="12" t="n">
        <v>27.3</v>
      </c>
      <c r="F1036" s="12" t="n">
        <v>38.9</v>
      </c>
      <c r="G1036" s="11" t="s">
        <v>4297</v>
      </c>
      <c r="H1036" s="10" t="s">
        <v>432</v>
      </c>
      <c r="I1036" s="11" t="s">
        <v>4298</v>
      </c>
      <c r="J1036" s="10" t="s">
        <v>66</v>
      </c>
      <c r="K1036" s="10" t="s">
        <v>67</v>
      </c>
      <c r="L1036" s="10" t="s">
        <v>68</v>
      </c>
      <c r="M1036" s="10" t="s">
        <v>416</v>
      </c>
      <c r="N1036" s="11" t="s">
        <v>4145</v>
      </c>
      <c r="O1036" s="11" t="s">
        <v>441</v>
      </c>
      <c r="P1036" s="10" t="s">
        <v>71</v>
      </c>
      <c r="Q1036" s="11" t="s">
        <v>72</v>
      </c>
      <c r="R1036" s="11" t="s">
        <v>4145</v>
      </c>
      <c r="S1036" s="11" t="s">
        <v>74</v>
      </c>
      <c r="T1036" s="11" t="s">
        <v>4299</v>
      </c>
      <c r="U1036" s="10" t="n">
        <f aca="false">IF(AND($D1036="",$E1036="",$F1036=""),1,0)</f>
        <v>0</v>
      </c>
      <c r="V1036" s="10" t="n">
        <f aca="false">IF(OR($I1036="",$I1036="—"),1,0)</f>
        <v>0</v>
      </c>
      <c r="W1036" s="10" t="n">
        <f aca="false">IF(AND(ISNUMBER($D1036),ISNUMBER($E1036)),IF($E1036&gt;$D1036,1,0),0)+IF(AND(ISNUMBER($D1036),ISNUMBER($F1036)),IF($D1036&gt;$F1036,1,0),0)+IF(AND(ISNUMBER($E1036),ISNUMBER($F1036)),IF($E1036&gt;$F1036,1,0),0)</f>
        <v>0</v>
      </c>
      <c r="X1036" s="13" t="s">
        <v>76</v>
      </c>
    </row>
    <row r="1037" customFormat="false" ht="15" hidden="false" customHeight="false" outlineLevel="0" collapsed="false">
      <c r="A1037" s="10" t="s">
        <v>4300</v>
      </c>
      <c r="B1037" s="10" t="s">
        <v>4301</v>
      </c>
      <c r="C1037" s="11" t="s">
        <v>4302</v>
      </c>
      <c r="D1037" s="12" t="n">
        <v>0.029</v>
      </c>
      <c r="E1037" s="12"/>
      <c r="F1037" s="12"/>
      <c r="G1037" s="10" t="s">
        <v>63</v>
      </c>
      <c r="H1037" s="10" t="s">
        <v>64</v>
      </c>
      <c r="I1037" s="11" t="s">
        <v>4303</v>
      </c>
      <c r="J1037" s="10" t="s">
        <v>66</v>
      </c>
      <c r="K1037" s="10" t="s">
        <v>67</v>
      </c>
      <c r="L1037" s="10" t="s">
        <v>68</v>
      </c>
      <c r="M1037" s="10" t="s">
        <v>69</v>
      </c>
      <c r="N1037" s="10"/>
      <c r="O1037" s="11" t="s">
        <v>3422</v>
      </c>
      <c r="P1037" s="10" t="s">
        <v>71</v>
      </c>
      <c r="Q1037" s="11" t="s">
        <v>72</v>
      </c>
      <c r="R1037" s="11" t="s">
        <v>73</v>
      </c>
      <c r="S1037" s="11" t="s">
        <v>74</v>
      </c>
      <c r="T1037" s="11" t="s">
        <v>4304</v>
      </c>
      <c r="U1037" s="10" t="n">
        <f aca="false">IF(AND($D1037="",$E1037="",$F1037=""),1,0)</f>
        <v>0</v>
      </c>
      <c r="V1037" s="10" t="n">
        <f aca="false">IF(OR($I1037="",$I1037="—"),1,0)</f>
        <v>0</v>
      </c>
      <c r="W1037" s="10" t="n">
        <f aca="false">IF(AND(ISNUMBER($D1037),ISNUMBER($E1037)),IF($E1037&gt;$D1037,1,0),0)+IF(AND(ISNUMBER($D1037),ISNUMBER($F1037)),IF($D1037&gt;$F1037,1,0),0)+IF(AND(ISNUMBER($E1037),ISNUMBER($F1037)),IF($E1037&gt;$F1037,1,0),0)</f>
        <v>0</v>
      </c>
      <c r="X1037" s="13" t="s">
        <v>76</v>
      </c>
    </row>
    <row r="1038" customFormat="false" ht="15" hidden="false" customHeight="false" outlineLevel="0" collapsed="false">
      <c r="A1038" s="10" t="s">
        <v>4305</v>
      </c>
      <c r="B1038" s="10" t="s">
        <v>4306</v>
      </c>
      <c r="C1038" s="11" t="s">
        <v>4302</v>
      </c>
      <c r="D1038" s="12" t="n">
        <v>0.112</v>
      </c>
      <c r="E1038" s="12"/>
      <c r="F1038" s="12"/>
      <c r="G1038" s="10" t="s">
        <v>63</v>
      </c>
      <c r="H1038" s="10" t="s">
        <v>79</v>
      </c>
      <c r="I1038" s="11" t="s">
        <v>4303</v>
      </c>
      <c r="J1038" s="10" t="s">
        <v>66</v>
      </c>
      <c r="K1038" s="10" t="s">
        <v>67</v>
      </c>
      <c r="L1038" s="10" t="s">
        <v>68</v>
      </c>
      <c r="M1038" s="10" t="s">
        <v>69</v>
      </c>
      <c r="N1038" s="10"/>
      <c r="O1038" s="11" t="s">
        <v>3422</v>
      </c>
      <c r="P1038" s="10" t="s">
        <v>71</v>
      </c>
      <c r="Q1038" s="11" t="s">
        <v>72</v>
      </c>
      <c r="R1038" s="11" t="s">
        <v>73</v>
      </c>
      <c r="S1038" s="11" t="s">
        <v>74</v>
      </c>
      <c r="T1038" s="11" t="s">
        <v>4307</v>
      </c>
      <c r="U1038" s="10" t="n">
        <f aca="false">IF(AND($D1038="",$E1038="",$F1038=""),1,0)</f>
        <v>0</v>
      </c>
      <c r="V1038" s="10" t="n">
        <f aca="false">IF(OR($I1038="",$I1038="—"),1,0)</f>
        <v>0</v>
      </c>
      <c r="W1038" s="10" t="n">
        <f aca="false">IF(AND(ISNUMBER($D1038),ISNUMBER($E1038)),IF($E1038&gt;$D1038,1,0),0)+IF(AND(ISNUMBER($D1038),ISNUMBER($F1038)),IF($D1038&gt;$F1038,1,0),0)+IF(AND(ISNUMBER($E1038),ISNUMBER($F1038)),IF($E1038&gt;$F1038,1,0),0)</f>
        <v>0</v>
      </c>
      <c r="X1038" s="13" t="s">
        <v>76</v>
      </c>
    </row>
    <row r="1039" customFormat="false" ht="15" hidden="false" customHeight="false" outlineLevel="0" collapsed="false">
      <c r="A1039" s="10" t="s">
        <v>4308</v>
      </c>
      <c r="B1039" s="10" t="s">
        <v>4309</v>
      </c>
      <c r="C1039" s="11" t="s">
        <v>4302</v>
      </c>
      <c r="D1039" s="12" t="n">
        <v>0.363</v>
      </c>
      <c r="E1039" s="12"/>
      <c r="F1039" s="12"/>
      <c r="G1039" s="10" t="s">
        <v>63</v>
      </c>
      <c r="H1039" s="10" t="s">
        <v>83</v>
      </c>
      <c r="I1039" s="11" t="s">
        <v>4303</v>
      </c>
      <c r="J1039" s="10" t="s">
        <v>66</v>
      </c>
      <c r="K1039" s="10" t="s">
        <v>67</v>
      </c>
      <c r="L1039" s="10" t="s">
        <v>68</v>
      </c>
      <c r="M1039" s="10" t="s">
        <v>69</v>
      </c>
      <c r="N1039" s="10"/>
      <c r="O1039" s="11" t="s">
        <v>3422</v>
      </c>
      <c r="P1039" s="10" t="s">
        <v>71</v>
      </c>
      <c r="Q1039" s="11" t="s">
        <v>72</v>
      </c>
      <c r="R1039" s="11" t="s">
        <v>73</v>
      </c>
      <c r="S1039" s="11" t="s">
        <v>74</v>
      </c>
      <c r="T1039" s="11" t="s">
        <v>4310</v>
      </c>
      <c r="U1039" s="10" t="n">
        <f aca="false">IF(AND($D1039="",$E1039="",$F1039=""),1,0)</f>
        <v>0</v>
      </c>
      <c r="V1039" s="10" t="n">
        <f aca="false">IF(OR($I1039="",$I1039="—"),1,0)</f>
        <v>0</v>
      </c>
      <c r="W1039" s="10" t="n">
        <f aca="false">IF(AND(ISNUMBER($D1039),ISNUMBER($E1039)),IF($E1039&gt;$D1039,1,0),0)+IF(AND(ISNUMBER($D1039),ISNUMBER($F1039)),IF($D1039&gt;$F1039,1,0),0)+IF(AND(ISNUMBER($E1039),ISNUMBER($F1039)),IF($E1039&gt;$F1039,1,0),0)</f>
        <v>0</v>
      </c>
      <c r="X1039" s="13" t="s">
        <v>76</v>
      </c>
    </row>
    <row r="1040" customFormat="false" ht="15" hidden="false" customHeight="false" outlineLevel="0" collapsed="false">
      <c r="A1040" s="10" t="s">
        <v>4311</v>
      </c>
      <c r="B1040" s="10" t="s">
        <v>4312</v>
      </c>
      <c r="C1040" s="11" t="s">
        <v>4302</v>
      </c>
      <c r="D1040" s="12" t="n">
        <v>0.057</v>
      </c>
      <c r="E1040" s="12"/>
      <c r="F1040" s="12"/>
      <c r="G1040" s="10" t="s">
        <v>63</v>
      </c>
      <c r="H1040" s="10" t="s">
        <v>92</v>
      </c>
      <c r="I1040" s="11" t="s">
        <v>4303</v>
      </c>
      <c r="J1040" s="10" t="s">
        <v>66</v>
      </c>
      <c r="K1040" s="10" t="s">
        <v>67</v>
      </c>
      <c r="L1040" s="10" t="s">
        <v>68</v>
      </c>
      <c r="M1040" s="10" t="s">
        <v>69</v>
      </c>
      <c r="N1040" s="10"/>
      <c r="O1040" s="11" t="s">
        <v>3428</v>
      </c>
      <c r="P1040" s="10" t="s">
        <v>71</v>
      </c>
      <c r="Q1040" s="11" t="s">
        <v>72</v>
      </c>
      <c r="R1040" s="11" t="s">
        <v>73</v>
      </c>
      <c r="S1040" s="11" t="s">
        <v>74</v>
      </c>
      <c r="T1040" s="11" t="s">
        <v>4313</v>
      </c>
      <c r="U1040" s="10" t="n">
        <f aca="false">IF(AND($D1040="",$E1040="",$F1040=""),1,0)</f>
        <v>0</v>
      </c>
      <c r="V1040" s="10" t="n">
        <f aca="false">IF(OR($I1040="",$I1040="—"),1,0)</f>
        <v>0</v>
      </c>
      <c r="W1040" s="10" t="n">
        <f aca="false">IF(AND(ISNUMBER($D1040),ISNUMBER($E1040)),IF($E1040&gt;$D1040,1,0),0)+IF(AND(ISNUMBER($D1040),ISNUMBER($F1040)),IF($D1040&gt;$F1040,1,0),0)+IF(AND(ISNUMBER($E1040),ISNUMBER($F1040)),IF($E1040&gt;$F1040,1,0),0)</f>
        <v>0</v>
      </c>
      <c r="X1040" s="13" t="s">
        <v>76</v>
      </c>
    </row>
    <row r="1041" customFormat="false" ht="15" hidden="false" customHeight="false" outlineLevel="0" collapsed="false">
      <c r="A1041" s="10" t="s">
        <v>4314</v>
      </c>
      <c r="B1041" s="10" t="s">
        <v>4315</v>
      </c>
      <c r="C1041" s="11" t="s">
        <v>4316</v>
      </c>
      <c r="D1041" s="12" t="n">
        <v>0.1031</v>
      </c>
      <c r="E1041" s="12"/>
      <c r="F1041" s="12"/>
      <c r="G1041" s="10" t="s">
        <v>63</v>
      </c>
      <c r="H1041" s="10" t="s">
        <v>3443</v>
      </c>
      <c r="I1041" s="11" t="s">
        <v>4303</v>
      </c>
      <c r="J1041" s="10" t="s">
        <v>66</v>
      </c>
      <c r="K1041" s="10" t="s">
        <v>67</v>
      </c>
      <c r="L1041" s="10" t="s">
        <v>68</v>
      </c>
      <c r="M1041" s="10" t="s">
        <v>69</v>
      </c>
      <c r="N1041" s="10"/>
      <c r="O1041" s="11" t="s">
        <v>3422</v>
      </c>
      <c r="P1041" s="10" t="s">
        <v>71</v>
      </c>
      <c r="Q1041" s="11" t="s">
        <v>72</v>
      </c>
      <c r="R1041" s="11" t="s">
        <v>73</v>
      </c>
      <c r="S1041" s="11" t="s">
        <v>74</v>
      </c>
      <c r="T1041" s="11" t="s">
        <v>4317</v>
      </c>
      <c r="U1041" s="10" t="n">
        <f aca="false">IF(AND($D1041="",$E1041="",$F1041=""),1,0)</f>
        <v>0</v>
      </c>
      <c r="V1041" s="10" t="n">
        <f aca="false">IF(OR($I1041="",$I1041="—"),1,0)</f>
        <v>0</v>
      </c>
      <c r="W1041" s="10" t="n">
        <f aca="false">IF(AND(ISNUMBER($D1041),ISNUMBER($E1041)),IF($E1041&gt;$D1041,1,0),0)+IF(AND(ISNUMBER($D1041),ISNUMBER($F1041)),IF($D1041&gt;$F1041,1,0),0)+IF(AND(ISNUMBER($E1041),ISNUMBER($F1041)),IF($E1041&gt;$F1041,1,0),0)</f>
        <v>0</v>
      </c>
      <c r="X1041" s="13" t="s">
        <v>76</v>
      </c>
    </row>
    <row r="1042" customFormat="false" ht="15" hidden="false" customHeight="false" outlineLevel="0" collapsed="false">
      <c r="A1042" s="10" t="s">
        <v>4318</v>
      </c>
      <c r="B1042" s="10" t="s">
        <v>4319</v>
      </c>
      <c r="C1042" s="11" t="s">
        <v>4316</v>
      </c>
      <c r="D1042" s="12" t="n">
        <v>0.2974</v>
      </c>
      <c r="E1042" s="12"/>
      <c r="F1042" s="12"/>
      <c r="G1042" s="10" t="s">
        <v>63</v>
      </c>
      <c r="H1042" s="10" t="s">
        <v>3448</v>
      </c>
      <c r="I1042" s="11" t="s">
        <v>4303</v>
      </c>
      <c r="J1042" s="10" t="s">
        <v>66</v>
      </c>
      <c r="K1042" s="10" t="s">
        <v>67</v>
      </c>
      <c r="L1042" s="10" t="s">
        <v>68</v>
      </c>
      <c r="M1042" s="10" t="s">
        <v>69</v>
      </c>
      <c r="N1042" s="10"/>
      <c r="O1042" s="11" t="s">
        <v>3422</v>
      </c>
      <c r="P1042" s="10" t="s">
        <v>71</v>
      </c>
      <c r="Q1042" s="11" t="s">
        <v>72</v>
      </c>
      <c r="R1042" s="11" t="s">
        <v>73</v>
      </c>
      <c r="S1042" s="11" t="s">
        <v>74</v>
      </c>
      <c r="T1042" s="11" t="s">
        <v>4320</v>
      </c>
      <c r="U1042" s="10" t="n">
        <f aca="false">IF(AND($D1042="",$E1042="",$F1042=""),1,0)</f>
        <v>0</v>
      </c>
      <c r="V1042" s="10" t="n">
        <f aca="false">IF(OR($I1042="",$I1042="—"),1,0)</f>
        <v>0</v>
      </c>
      <c r="W1042" s="10" t="n">
        <f aca="false">IF(AND(ISNUMBER($D1042),ISNUMBER($E1042)),IF($E1042&gt;$D1042,1,0),0)+IF(AND(ISNUMBER($D1042),ISNUMBER($F1042)),IF($D1042&gt;$F1042,1,0),0)+IF(AND(ISNUMBER($E1042),ISNUMBER($F1042)),IF($E1042&gt;$F1042,1,0),0)</f>
        <v>0</v>
      </c>
      <c r="X1042" s="13" t="s">
        <v>76</v>
      </c>
    </row>
    <row r="1043" customFormat="false" ht="15" hidden="false" customHeight="false" outlineLevel="0" collapsed="false">
      <c r="A1043" s="10" t="s">
        <v>4321</v>
      </c>
      <c r="B1043" s="10" t="s">
        <v>4322</v>
      </c>
      <c r="C1043" s="11" t="s">
        <v>4316</v>
      </c>
      <c r="D1043" s="12" t="n">
        <v>0.3475</v>
      </c>
      <c r="E1043" s="12"/>
      <c r="F1043" s="12"/>
      <c r="G1043" s="10" t="s">
        <v>63</v>
      </c>
      <c r="H1043" s="10" t="s">
        <v>3452</v>
      </c>
      <c r="I1043" s="11" t="s">
        <v>4303</v>
      </c>
      <c r="J1043" s="10" t="s">
        <v>66</v>
      </c>
      <c r="K1043" s="10" t="s">
        <v>67</v>
      </c>
      <c r="L1043" s="10" t="s">
        <v>68</v>
      </c>
      <c r="M1043" s="10" t="s">
        <v>69</v>
      </c>
      <c r="N1043" s="10"/>
      <c r="O1043" s="11" t="s">
        <v>3422</v>
      </c>
      <c r="P1043" s="10" t="s">
        <v>71</v>
      </c>
      <c r="Q1043" s="11" t="s">
        <v>72</v>
      </c>
      <c r="R1043" s="11" t="s">
        <v>73</v>
      </c>
      <c r="S1043" s="11" t="s">
        <v>74</v>
      </c>
      <c r="T1043" s="11" t="s">
        <v>4323</v>
      </c>
      <c r="U1043" s="10" t="n">
        <f aca="false">IF(AND($D1043="",$E1043="",$F1043=""),1,0)</f>
        <v>0</v>
      </c>
      <c r="V1043" s="10" t="n">
        <f aca="false">IF(OR($I1043="",$I1043="—"),1,0)</f>
        <v>0</v>
      </c>
      <c r="W1043" s="10" t="n">
        <f aca="false">IF(AND(ISNUMBER($D1043),ISNUMBER($E1043)),IF($E1043&gt;$D1043,1,0),0)+IF(AND(ISNUMBER($D1043),ISNUMBER($F1043)),IF($D1043&gt;$F1043,1,0),0)+IF(AND(ISNUMBER($E1043),ISNUMBER($F1043)),IF($E1043&gt;$F1043,1,0),0)</f>
        <v>0</v>
      </c>
      <c r="X1043" s="13" t="s">
        <v>76</v>
      </c>
    </row>
    <row r="1044" customFormat="false" ht="15" hidden="false" customHeight="false" outlineLevel="0" collapsed="false">
      <c r="A1044" s="10" t="s">
        <v>4324</v>
      </c>
      <c r="B1044" s="10" t="s">
        <v>4325</v>
      </c>
      <c r="C1044" s="11" t="s">
        <v>4316</v>
      </c>
      <c r="D1044" s="12" t="n">
        <v>0.362</v>
      </c>
      <c r="E1044" s="12"/>
      <c r="F1044" s="12"/>
      <c r="G1044" s="10" t="s">
        <v>63</v>
      </c>
      <c r="H1044" s="10" t="s">
        <v>440</v>
      </c>
      <c r="I1044" s="11" t="s">
        <v>4303</v>
      </c>
      <c r="J1044" s="10" t="s">
        <v>66</v>
      </c>
      <c r="K1044" s="10" t="s">
        <v>67</v>
      </c>
      <c r="L1044" s="10" t="s">
        <v>68</v>
      </c>
      <c r="M1044" s="10" t="s">
        <v>69</v>
      </c>
      <c r="N1044" s="10"/>
      <c r="O1044" s="11" t="s">
        <v>3428</v>
      </c>
      <c r="P1044" s="10" t="s">
        <v>71</v>
      </c>
      <c r="Q1044" s="11" t="s">
        <v>72</v>
      </c>
      <c r="R1044" s="11" t="s">
        <v>73</v>
      </c>
      <c r="S1044" s="11" t="s">
        <v>74</v>
      </c>
      <c r="T1044" s="11" t="s">
        <v>4326</v>
      </c>
      <c r="U1044" s="10" t="n">
        <f aca="false">IF(AND($D1044="",$E1044="",$F1044=""),1,0)</f>
        <v>0</v>
      </c>
      <c r="V1044" s="10" t="n">
        <f aca="false">IF(OR($I1044="",$I1044="—"),1,0)</f>
        <v>0</v>
      </c>
      <c r="W1044" s="10" t="n">
        <f aca="false">IF(AND(ISNUMBER($D1044),ISNUMBER($E1044)),IF($E1044&gt;$D1044,1,0),0)+IF(AND(ISNUMBER($D1044),ISNUMBER($F1044)),IF($D1044&gt;$F1044,1,0),0)+IF(AND(ISNUMBER($E1044),ISNUMBER($F1044)),IF($E1044&gt;$F1044,1,0),0)</f>
        <v>0</v>
      </c>
      <c r="X1044" s="13" t="s">
        <v>76</v>
      </c>
    </row>
    <row r="1045" customFormat="false" ht="15" hidden="false" customHeight="false" outlineLevel="0" collapsed="false">
      <c r="A1045" s="10" t="s">
        <v>4327</v>
      </c>
      <c r="B1045" s="10" t="s">
        <v>4328</v>
      </c>
      <c r="C1045" s="11" t="s">
        <v>4329</v>
      </c>
      <c r="D1045" s="12" t="n">
        <v>0.098</v>
      </c>
      <c r="E1045" s="12"/>
      <c r="F1045" s="12"/>
      <c r="G1045" s="10" t="s">
        <v>63</v>
      </c>
      <c r="H1045" s="10" t="s">
        <v>64</v>
      </c>
      <c r="I1045" s="11" t="s">
        <v>4330</v>
      </c>
      <c r="J1045" s="10" t="s">
        <v>66</v>
      </c>
      <c r="K1045" s="10" t="s">
        <v>67</v>
      </c>
      <c r="L1045" s="10" t="s">
        <v>68</v>
      </c>
      <c r="M1045" s="10" t="s">
        <v>636</v>
      </c>
      <c r="N1045" s="10"/>
      <c r="O1045" s="11" t="s">
        <v>3279</v>
      </c>
      <c r="P1045" s="10" t="s">
        <v>637</v>
      </c>
      <c r="Q1045" s="11" t="s">
        <v>638</v>
      </c>
      <c r="R1045" s="11" t="s">
        <v>639</v>
      </c>
      <c r="S1045" s="11" t="s">
        <v>74</v>
      </c>
      <c r="T1045" s="10" t="s">
        <v>4331</v>
      </c>
      <c r="U1045" s="10" t="n">
        <f aca="false">IF(AND($D1045="",$E1045="",$F1045=""),1,0)</f>
        <v>0</v>
      </c>
      <c r="V1045" s="10" t="n">
        <f aca="false">IF(OR($I1045="",$I1045="—"),1,0)</f>
        <v>0</v>
      </c>
      <c r="W1045" s="10" t="n">
        <f aca="false">IF(AND(ISNUMBER($D1045),ISNUMBER($E1045)),IF($E1045&gt;$D1045,1,0),0)+IF(AND(ISNUMBER($D1045),ISNUMBER($F1045)),IF($D1045&gt;$F1045,1,0),0)+IF(AND(ISNUMBER($E1045),ISNUMBER($F1045)),IF($E1045&gt;$F1045,1,0),0)</f>
        <v>0</v>
      </c>
      <c r="X1045" s="13" t="s">
        <v>76</v>
      </c>
    </row>
    <row r="1046" customFormat="false" ht="15" hidden="false" customHeight="false" outlineLevel="0" collapsed="false">
      <c r="A1046" s="10" t="s">
        <v>4332</v>
      </c>
      <c r="B1046" s="10" t="s">
        <v>4333</v>
      </c>
      <c r="C1046" s="11" t="s">
        <v>4329</v>
      </c>
      <c r="D1046" s="12" t="n">
        <v>0.306</v>
      </c>
      <c r="E1046" s="12"/>
      <c r="F1046" s="12"/>
      <c r="G1046" s="10" t="s">
        <v>63</v>
      </c>
      <c r="H1046" s="10" t="s">
        <v>79</v>
      </c>
      <c r="I1046" s="11" t="s">
        <v>4330</v>
      </c>
      <c r="J1046" s="10" t="s">
        <v>66</v>
      </c>
      <c r="K1046" s="10" t="s">
        <v>67</v>
      </c>
      <c r="L1046" s="10" t="s">
        <v>68</v>
      </c>
      <c r="M1046" s="10" t="s">
        <v>636</v>
      </c>
      <c r="N1046" s="10"/>
      <c r="O1046" s="11" t="s">
        <v>3279</v>
      </c>
      <c r="P1046" s="10" t="s">
        <v>637</v>
      </c>
      <c r="Q1046" s="11" t="s">
        <v>638</v>
      </c>
      <c r="R1046" s="11" t="s">
        <v>639</v>
      </c>
      <c r="S1046" s="11" t="s">
        <v>74</v>
      </c>
      <c r="T1046" s="10" t="s">
        <v>4334</v>
      </c>
      <c r="U1046" s="10" t="n">
        <f aca="false">IF(AND($D1046="",$E1046="",$F1046=""),1,0)</f>
        <v>0</v>
      </c>
      <c r="V1046" s="10" t="n">
        <f aca="false">IF(OR($I1046="",$I1046="—"),1,0)</f>
        <v>0</v>
      </c>
      <c r="W1046" s="10" t="n">
        <f aca="false">IF(AND(ISNUMBER($D1046),ISNUMBER($E1046)),IF($E1046&gt;$D1046,1,0),0)+IF(AND(ISNUMBER($D1046),ISNUMBER($F1046)),IF($D1046&gt;$F1046,1,0),0)+IF(AND(ISNUMBER($E1046),ISNUMBER($F1046)),IF($E1046&gt;$F1046,1,0),0)</f>
        <v>0</v>
      </c>
      <c r="X1046" s="13" t="s">
        <v>76</v>
      </c>
    </row>
    <row r="1047" customFormat="false" ht="15" hidden="false" customHeight="false" outlineLevel="0" collapsed="false">
      <c r="A1047" s="10" t="s">
        <v>4335</v>
      </c>
      <c r="B1047" s="10" t="s">
        <v>4336</v>
      </c>
      <c r="C1047" s="11" t="s">
        <v>4329</v>
      </c>
      <c r="D1047" s="12" t="n">
        <v>0.413</v>
      </c>
      <c r="E1047" s="12"/>
      <c r="F1047" s="12"/>
      <c r="G1047" s="10" t="s">
        <v>63</v>
      </c>
      <c r="H1047" s="10" t="s">
        <v>83</v>
      </c>
      <c r="I1047" s="11" t="s">
        <v>4330</v>
      </c>
      <c r="J1047" s="10" t="s">
        <v>66</v>
      </c>
      <c r="K1047" s="10" t="s">
        <v>67</v>
      </c>
      <c r="L1047" s="10" t="s">
        <v>68</v>
      </c>
      <c r="M1047" s="10" t="s">
        <v>636</v>
      </c>
      <c r="N1047" s="10"/>
      <c r="O1047" s="11" t="s">
        <v>3279</v>
      </c>
      <c r="P1047" s="10" t="s">
        <v>637</v>
      </c>
      <c r="Q1047" s="11" t="s">
        <v>638</v>
      </c>
      <c r="R1047" s="11" t="s">
        <v>639</v>
      </c>
      <c r="S1047" s="11" t="s">
        <v>74</v>
      </c>
      <c r="T1047" s="10" t="s">
        <v>4337</v>
      </c>
      <c r="U1047" s="10" t="n">
        <f aca="false">IF(AND($D1047="",$E1047="",$F1047=""),1,0)</f>
        <v>0</v>
      </c>
      <c r="V1047" s="10" t="n">
        <f aca="false">IF(OR($I1047="",$I1047="—"),1,0)</f>
        <v>0</v>
      </c>
      <c r="W1047" s="10" t="n">
        <f aca="false">IF(AND(ISNUMBER($D1047),ISNUMBER($E1047)),IF($E1047&gt;$D1047,1,0),0)+IF(AND(ISNUMBER($D1047),ISNUMBER($F1047)),IF($D1047&gt;$F1047,1,0),0)+IF(AND(ISNUMBER($E1047),ISNUMBER($F1047)),IF($E1047&gt;$F1047,1,0),0)</f>
        <v>0</v>
      </c>
      <c r="X1047" s="13" t="s">
        <v>76</v>
      </c>
    </row>
    <row r="1048" customFormat="false" ht="15" hidden="false" customHeight="false" outlineLevel="0" collapsed="false">
      <c r="A1048" s="10" t="s">
        <v>4338</v>
      </c>
      <c r="B1048" s="10" t="s">
        <v>4339</v>
      </c>
      <c r="C1048" s="11" t="s">
        <v>4329</v>
      </c>
      <c r="D1048" s="12" t="n">
        <v>0.072</v>
      </c>
      <c r="E1048" s="12"/>
      <c r="F1048" s="12"/>
      <c r="G1048" s="10" t="s">
        <v>63</v>
      </c>
      <c r="H1048" s="10" t="s">
        <v>92</v>
      </c>
      <c r="I1048" s="11" t="s">
        <v>4330</v>
      </c>
      <c r="J1048" s="10" t="s">
        <v>66</v>
      </c>
      <c r="K1048" s="10" t="s">
        <v>67</v>
      </c>
      <c r="L1048" s="10" t="s">
        <v>68</v>
      </c>
      <c r="M1048" s="10" t="s">
        <v>636</v>
      </c>
      <c r="N1048" s="10"/>
      <c r="O1048" s="11" t="s">
        <v>3279</v>
      </c>
      <c r="P1048" s="10" t="s">
        <v>637</v>
      </c>
      <c r="Q1048" s="11" t="s">
        <v>638</v>
      </c>
      <c r="R1048" s="11" t="s">
        <v>639</v>
      </c>
      <c r="S1048" s="11" t="s">
        <v>74</v>
      </c>
      <c r="T1048" s="10" t="s">
        <v>4340</v>
      </c>
      <c r="U1048" s="10" t="n">
        <f aca="false">IF(AND($D1048="",$E1048="",$F1048=""),1,0)</f>
        <v>0</v>
      </c>
      <c r="V1048" s="10" t="n">
        <f aca="false">IF(OR($I1048="",$I1048="—"),1,0)</f>
        <v>0</v>
      </c>
      <c r="W1048" s="10" t="n">
        <f aca="false">IF(AND(ISNUMBER($D1048),ISNUMBER($E1048)),IF($E1048&gt;$D1048,1,0),0)+IF(AND(ISNUMBER($D1048),ISNUMBER($F1048)),IF($D1048&gt;$F1048,1,0),0)+IF(AND(ISNUMBER($E1048),ISNUMBER($F1048)),IF($E1048&gt;$F1048,1,0),0)</f>
        <v>0</v>
      </c>
      <c r="X1048" s="13" t="s">
        <v>76</v>
      </c>
    </row>
    <row r="1049" customFormat="false" ht="15" hidden="false" customHeight="false" outlineLevel="0" collapsed="false">
      <c r="A1049" s="10" t="s">
        <v>4341</v>
      </c>
      <c r="B1049" s="10" t="s">
        <v>4342</v>
      </c>
      <c r="C1049" s="11" t="s">
        <v>4343</v>
      </c>
      <c r="D1049" s="12" t="n">
        <v>0.0143</v>
      </c>
      <c r="E1049" s="12"/>
      <c r="F1049" s="12"/>
      <c r="G1049" s="10" t="s">
        <v>63</v>
      </c>
      <c r="H1049" s="10" t="s">
        <v>64</v>
      </c>
      <c r="I1049" s="11" t="s">
        <v>4344</v>
      </c>
      <c r="J1049" s="10" t="s">
        <v>66</v>
      </c>
      <c r="K1049" s="10" t="s">
        <v>67</v>
      </c>
      <c r="L1049" s="10" t="s">
        <v>68</v>
      </c>
      <c r="M1049" s="10" t="s">
        <v>69</v>
      </c>
      <c r="N1049" s="10"/>
      <c r="O1049" s="11" t="s">
        <v>2851</v>
      </c>
      <c r="P1049" s="10" t="s">
        <v>71</v>
      </c>
      <c r="Q1049" s="11" t="s">
        <v>72</v>
      </c>
      <c r="R1049" s="11" t="s">
        <v>73</v>
      </c>
      <c r="S1049" s="11" t="s">
        <v>74</v>
      </c>
      <c r="T1049" s="11" t="s">
        <v>4345</v>
      </c>
      <c r="U1049" s="10" t="n">
        <f aca="false">IF(AND($D1049="",$E1049="",$F1049=""),1,0)</f>
        <v>0</v>
      </c>
      <c r="V1049" s="10" t="n">
        <f aca="false">IF(OR($I1049="",$I1049="—"),1,0)</f>
        <v>0</v>
      </c>
      <c r="W1049" s="10" t="n">
        <f aca="false">IF(AND(ISNUMBER($D1049),ISNUMBER($E1049)),IF($E1049&gt;$D1049,1,0),0)+IF(AND(ISNUMBER($D1049),ISNUMBER($F1049)),IF($D1049&gt;$F1049,1,0),0)+IF(AND(ISNUMBER($E1049),ISNUMBER($F1049)),IF($E1049&gt;$F1049,1,0),0)</f>
        <v>0</v>
      </c>
      <c r="X1049" s="13" t="s">
        <v>76</v>
      </c>
    </row>
    <row r="1050" customFormat="false" ht="15" hidden="false" customHeight="false" outlineLevel="0" collapsed="false">
      <c r="A1050" s="10" t="s">
        <v>4346</v>
      </c>
      <c r="B1050" s="10" t="s">
        <v>4347</v>
      </c>
      <c r="C1050" s="11" t="s">
        <v>4343</v>
      </c>
      <c r="D1050" s="12" t="n">
        <v>0.1124</v>
      </c>
      <c r="E1050" s="12"/>
      <c r="F1050" s="12"/>
      <c r="G1050" s="10" t="s">
        <v>63</v>
      </c>
      <c r="H1050" s="10" t="s">
        <v>79</v>
      </c>
      <c r="I1050" s="11" t="s">
        <v>4344</v>
      </c>
      <c r="J1050" s="10" t="s">
        <v>66</v>
      </c>
      <c r="K1050" s="10" t="s">
        <v>67</v>
      </c>
      <c r="L1050" s="10" t="s">
        <v>68</v>
      </c>
      <c r="M1050" s="10" t="s">
        <v>69</v>
      </c>
      <c r="N1050" s="10"/>
      <c r="O1050" s="11" t="s">
        <v>2851</v>
      </c>
      <c r="P1050" s="10" t="s">
        <v>71</v>
      </c>
      <c r="Q1050" s="11" t="s">
        <v>72</v>
      </c>
      <c r="R1050" s="11" t="s">
        <v>73</v>
      </c>
      <c r="S1050" s="11" t="s">
        <v>74</v>
      </c>
      <c r="T1050" s="11" t="s">
        <v>4348</v>
      </c>
      <c r="U1050" s="10" t="n">
        <f aca="false">IF(AND($D1050="",$E1050="",$F1050=""),1,0)</f>
        <v>0</v>
      </c>
      <c r="V1050" s="10" t="n">
        <f aca="false">IF(OR($I1050="",$I1050="—"),1,0)</f>
        <v>0</v>
      </c>
      <c r="W1050" s="10" t="n">
        <f aca="false">IF(AND(ISNUMBER($D1050),ISNUMBER($E1050)),IF($E1050&gt;$D1050,1,0),0)+IF(AND(ISNUMBER($D1050),ISNUMBER($F1050)),IF($D1050&gt;$F1050,1,0),0)+IF(AND(ISNUMBER($E1050),ISNUMBER($F1050)),IF($E1050&gt;$F1050,1,0),0)</f>
        <v>0</v>
      </c>
      <c r="X1050" s="13" t="s">
        <v>76</v>
      </c>
    </row>
    <row r="1051" customFormat="false" ht="15" hidden="false" customHeight="false" outlineLevel="0" collapsed="false">
      <c r="A1051" s="10" t="s">
        <v>4349</v>
      </c>
      <c r="B1051" s="10" t="s">
        <v>4350</v>
      </c>
      <c r="C1051" s="11" t="s">
        <v>4343</v>
      </c>
      <c r="D1051" s="12" t="n">
        <v>0.1341</v>
      </c>
      <c r="E1051" s="12"/>
      <c r="F1051" s="12"/>
      <c r="G1051" s="10" t="s">
        <v>63</v>
      </c>
      <c r="H1051" s="10" t="s">
        <v>83</v>
      </c>
      <c r="I1051" s="11" t="s">
        <v>4344</v>
      </c>
      <c r="J1051" s="10" t="s">
        <v>66</v>
      </c>
      <c r="K1051" s="10" t="s">
        <v>67</v>
      </c>
      <c r="L1051" s="10" t="s">
        <v>68</v>
      </c>
      <c r="M1051" s="10" t="s">
        <v>69</v>
      </c>
      <c r="N1051" s="10"/>
      <c r="O1051" s="11" t="s">
        <v>2851</v>
      </c>
      <c r="P1051" s="10" t="s">
        <v>71</v>
      </c>
      <c r="Q1051" s="11" t="s">
        <v>72</v>
      </c>
      <c r="R1051" s="11" t="s">
        <v>73</v>
      </c>
      <c r="S1051" s="11" t="s">
        <v>74</v>
      </c>
      <c r="T1051" s="11" t="s">
        <v>4351</v>
      </c>
      <c r="U1051" s="10" t="n">
        <f aca="false">IF(AND($D1051="",$E1051="",$F1051=""),1,0)</f>
        <v>0</v>
      </c>
      <c r="V1051" s="10" t="n">
        <f aca="false">IF(OR($I1051="",$I1051="—"),1,0)</f>
        <v>0</v>
      </c>
      <c r="W1051" s="10" t="n">
        <f aca="false">IF(AND(ISNUMBER($D1051),ISNUMBER($E1051)),IF($E1051&gt;$D1051,1,0),0)+IF(AND(ISNUMBER($D1051),ISNUMBER($F1051)),IF($D1051&gt;$F1051,1,0),0)+IF(AND(ISNUMBER($E1051),ISNUMBER($F1051)),IF($E1051&gt;$F1051,1,0),0)</f>
        <v>0</v>
      </c>
      <c r="X1051" s="13" t="s">
        <v>76</v>
      </c>
    </row>
    <row r="1052" customFormat="false" ht="15" hidden="false" customHeight="false" outlineLevel="0" collapsed="false">
      <c r="A1052" s="10" t="s">
        <v>4352</v>
      </c>
      <c r="B1052" s="10" t="s">
        <v>4353</v>
      </c>
      <c r="C1052" s="11" t="s">
        <v>4343</v>
      </c>
      <c r="D1052" s="12" t="n">
        <v>0.0416</v>
      </c>
      <c r="E1052" s="12"/>
      <c r="F1052" s="12"/>
      <c r="G1052" s="10" t="s">
        <v>63</v>
      </c>
      <c r="H1052" s="10" t="s">
        <v>87</v>
      </c>
      <c r="I1052" s="11" t="s">
        <v>4344</v>
      </c>
      <c r="J1052" s="10" t="s">
        <v>66</v>
      </c>
      <c r="K1052" s="10" t="s">
        <v>67</v>
      </c>
      <c r="L1052" s="10" t="s">
        <v>68</v>
      </c>
      <c r="M1052" s="10" t="s">
        <v>69</v>
      </c>
      <c r="N1052" s="10"/>
      <c r="O1052" s="11" t="s">
        <v>2861</v>
      </c>
      <c r="P1052" s="10" t="s">
        <v>71</v>
      </c>
      <c r="Q1052" s="11" t="s">
        <v>72</v>
      </c>
      <c r="R1052" s="11" t="s">
        <v>73</v>
      </c>
      <c r="S1052" s="11" t="s">
        <v>74</v>
      </c>
      <c r="T1052" s="11" t="s">
        <v>4354</v>
      </c>
      <c r="U1052" s="10" t="n">
        <f aca="false">IF(AND($D1052="",$E1052="",$F1052=""),1,0)</f>
        <v>0</v>
      </c>
      <c r="V1052" s="10" t="n">
        <f aca="false">IF(OR($I1052="",$I1052="—"),1,0)</f>
        <v>0</v>
      </c>
      <c r="W1052" s="10" t="n">
        <f aca="false">IF(AND(ISNUMBER($D1052),ISNUMBER($E1052)),IF($E1052&gt;$D1052,1,0),0)+IF(AND(ISNUMBER($D1052),ISNUMBER($F1052)),IF($D1052&gt;$F1052,1,0),0)+IF(AND(ISNUMBER($E1052),ISNUMBER($F1052)),IF($E1052&gt;$F1052,1,0),0)</f>
        <v>0</v>
      </c>
      <c r="X1052" s="13" t="s">
        <v>76</v>
      </c>
    </row>
    <row r="1053" customFormat="false" ht="15" hidden="false" customHeight="false" outlineLevel="0" collapsed="false">
      <c r="A1053" s="10" t="s">
        <v>4355</v>
      </c>
      <c r="B1053" s="10" t="s">
        <v>4356</v>
      </c>
      <c r="C1053" s="11" t="s">
        <v>4343</v>
      </c>
      <c r="D1053" s="12" t="n">
        <v>0.0461</v>
      </c>
      <c r="E1053" s="12"/>
      <c r="F1053" s="12"/>
      <c r="G1053" s="10" t="s">
        <v>63</v>
      </c>
      <c r="H1053" s="10" t="s">
        <v>92</v>
      </c>
      <c r="I1053" s="11" t="s">
        <v>4344</v>
      </c>
      <c r="J1053" s="10" t="s">
        <v>66</v>
      </c>
      <c r="K1053" s="10" t="s">
        <v>67</v>
      </c>
      <c r="L1053" s="10" t="s">
        <v>68</v>
      </c>
      <c r="M1053" s="10" t="s">
        <v>69</v>
      </c>
      <c r="N1053" s="10"/>
      <c r="O1053" s="11" t="s">
        <v>2865</v>
      </c>
      <c r="P1053" s="10" t="s">
        <v>71</v>
      </c>
      <c r="Q1053" s="11" t="s">
        <v>72</v>
      </c>
      <c r="R1053" s="11" t="s">
        <v>73</v>
      </c>
      <c r="S1053" s="11" t="s">
        <v>74</v>
      </c>
      <c r="T1053" s="11" t="s">
        <v>4357</v>
      </c>
      <c r="U1053" s="10" t="n">
        <f aca="false">IF(AND($D1053="",$E1053="",$F1053=""),1,0)</f>
        <v>0</v>
      </c>
      <c r="V1053" s="10" t="n">
        <f aca="false">IF(OR($I1053="",$I1053="—"),1,0)</f>
        <v>0</v>
      </c>
      <c r="W1053" s="10" t="n">
        <f aca="false">IF(AND(ISNUMBER($D1053),ISNUMBER($E1053)),IF($E1053&gt;$D1053,1,0),0)+IF(AND(ISNUMBER($D1053),ISNUMBER($F1053)),IF($D1053&gt;$F1053,1,0),0)+IF(AND(ISNUMBER($E1053),ISNUMBER($F1053)),IF($E1053&gt;$F1053,1,0),0)</f>
        <v>0</v>
      </c>
      <c r="X1053" s="13" t="s">
        <v>76</v>
      </c>
    </row>
    <row r="1054" customFormat="false" ht="15" hidden="false" customHeight="false" outlineLevel="0" collapsed="false">
      <c r="A1054" s="10" t="s">
        <v>4358</v>
      </c>
      <c r="B1054" s="10" t="s">
        <v>4359</v>
      </c>
      <c r="C1054" s="11" t="s">
        <v>4360</v>
      </c>
      <c r="D1054" s="12"/>
      <c r="E1054" s="12"/>
      <c r="F1054" s="12"/>
      <c r="G1054" s="11" t="s">
        <v>1401</v>
      </c>
      <c r="H1054" s="10" t="s">
        <v>4361</v>
      </c>
      <c r="I1054" s="11" t="s">
        <v>3531</v>
      </c>
      <c r="J1054" s="10" t="s">
        <v>66</v>
      </c>
      <c r="K1054" s="10" t="s">
        <v>67</v>
      </c>
      <c r="L1054" s="10" t="s">
        <v>68</v>
      </c>
      <c r="M1054" s="10" t="s">
        <v>69</v>
      </c>
      <c r="N1054" s="10"/>
      <c r="O1054" s="11" t="s">
        <v>441</v>
      </c>
      <c r="P1054" s="10" t="s">
        <v>71</v>
      </c>
      <c r="Q1054" s="11" t="s">
        <v>72</v>
      </c>
      <c r="R1054" s="11" t="s">
        <v>73</v>
      </c>
      <c r="S1054" s="11" t="s">
        <v>74</v>
      </c>
      <c r="T1054" s="11" t="s">
        <v>4362</v>
      </c>
      <c r="U1054" s="10" t="n">
        <f aca="false">IF(AND($D1054="",$E1054="",$F1054=""),1,0)</f>
        <v>1</v>
      </c>
      <c r="V1054" s="10" t="n">
        <f aca="false">IF(OR($I1054="",$I1054="—"),1,0)</f>
        <v>0</v>
      </c>
      <c r="W1054" s="10" t="n">
        <f aca="false">IF(AND(ISNUMBER($D1054),ISNUMBER($E1054)),IF($E1054&gt;$D1054,1,0),0)+IF(AND(ISNUMBER($D1054),ISNUMBER($F1054)),IF($D1054&gt;$F1054,1,0),0)+IF(AND(ISNUMBER($E1054),ISNUMBER($F1054)),IF($E1054&gt;$F1054,1,0),0)</f>
        <v>0</v>
      </c>
      <c r="X1054" s="13" t="s">
        <v>76</v>
      </c>
    </row>
    <row r="1055" customFormat="false" ht="15" hidden="false" customHeight="false" outlineLevel="0" collapsed="false">
      <c r="A1055" s="10" t="s">
        <v>4363</v>
      </c>
      <c r="B1055" s="10" t="s">
        <v>4364</v>
      </c>
      <c r="C1055" s="11" t="s">
        <v>4365</v>
      </c>
      <c r="D1055" s="12" t="n">
        <v>0</v>
      </c>
      <c r="E1055" s="12"/>
      <c r="F1055" s="12"/>
      <c r="G1055" s="11" t="s">
        <v>4366</v>
      </c>
      <c r="H1055" s="10" t="s">
        <v>4367</v>
      </c>
      <c r="I1055" s="11" t="s">
        <v>3531</v>
      </c>
      <c r="J1055" s="10" t="s">
        <v>66</v>
      </c>
      <c r="K1055" s="10" t="s">
        <v>67</v>
      </c>
      <c r="L1055" s="10" t="s">
        <v>68</v>
      </c>
      <c r="M1055" s="10" t="s">
        <v>69</v>
      </c>
      <c r="N1055" s="10"/>
      <c r="O1055" s="11" t="s">
        <v>441</v>
      </c>
      <c r="P1055" s="10" t="s">
        <v>71</v>
      </c>
      <c r="Q1055" s="11" t="s">
        <v>72</v>
      </c>
      <c r="R1055" s="11" t="s">
        <v>73</v>
      </c>
      <c r="S1055" s="11" t="s">
        <v>74</v>
      </c>
      <c r="T1055" s="11" t="s">
        <v>4368</v>
      </c>
      <c r="U1055" s="10" t="n">
        <f aca="false">IF(AND($D1055="",$E1055="",$F1055=""),1,0)</f>
        <v>0</v>
      </c>
      <c r="V1055" s="10" t="n">
        <f aca="false">IF(OR($I1055="",$I1055="—"),1,0)</f>
        <v>0</v>
      </c>
      <c r="W1055" s="10" t="n">
        <f aca="false">IF(AND(ISNUMBER($D1055),ISNUMBER($E1055)),IF($E1055&gt;$D1055,1,0),0)+IF(AND(ISNUMBER($D1055),ISNUMBER($F1055)),IF($D1055&gt;$F1055,1,0),0)+IF(AND(ISNUMBER($E1055),ISNUMBER($F1055)),IF($E1055&gt;$F1055,1,0),0)</f>
        <v>0</v>
      </c>
      <c r="X1055" s="13" t="s">
        <v>76</v>
      </c>
    </row>
    <row r="1056" customFormat="false" ht="15" hidden="false" customHeight="false" outlineLevel="0" collapsed="false">
      <c r="A1056" s="10" t="s">
        <v>4369</v>
      </c>
      <c r="B1056" s="10" t="s">
        <v>4370</v>
      </c>
      <c r="C1056" s="11" t="s">
        <v>4371</v>
      </c>
      <c r="D1056" s="12" t="n">
        <v>40</v>
      </c>
      <c r="E1056" s="12"/>
      <c r="F1056" s="12"/>
      <c r="G1056" s="11" t="s">
        <v>4372</v>
      </c>
      <c r="H1056" s="10" t="s">
        <v>440</v>
      </c>
      <c r="I1056" s="11" t="s">
        <v>4373</v>
      </c>
      <c r="J1056" s="10" t="s">
        <v>66</v>
      </c>
      <c r="K1056" s="10" t="s">
        <v>67</v>
      </c>
      <c r="L1056" s="10" t="s">
        <v>68</v>
      </c>
      <c r="M1056" s="10" t="s">
        <v>416</v>
      </c>
      <c r="N1056" s="11" t="s">
        <v>4145</v>
      </c>
      <c r="O1056" s="11" t="s">
        <v>441</v>
      </c>
      <c r="P1056" s="10" t="s">
        <v>71</v>
      </c>
      <c r="Q1056" s="11" t="s">
        <v>72</v>
      </c>
      <c r="R1056" s="11" t="s">
        <v>4145</v>
      </c>
      <c r="S1056" s="11" t="s">
        <v>74</v>
      </c>
      <c r="T1056" s="11" t="s">
        <v>4374</v>
      </c>
      <c r="U1056" s="10" t="n">
        <f aca="false">IF(AND($D1056="",$E1056="",$F1056=""),1,0)</f>
        <v>0</v>
      </c>
      <c r="V1056" s="10" t="n">
        <f aca="false">IF(OR($I1056="",$I1056="—"),1,0)</f>
        <v>0</v>
      </c>
      <c r="W1056" s="10" t="n">
        <f aca="false">IF(AND(ISNUMBER($D1056),ISNUMBER($E1056)),IF($E1056&gt;$D1056,1,0),0)+IF(AND(ISNUMBER($D1056),ISNUMBER($F1056)),IF($D1056&gt;$F1056,1,0),0)+IF(AND(ISNUMBER($E1056),ISNUMBER($F1056)),IF($E1056&gt;$F1056,1,0),0)</f>
        <v>0</v>
      </c>
      <c r="X1056" s="13" t="s">
        <v>76</v>
      </c>
    </row>
    <row r="1057" customFormat="false" ht="15" hidden="false" customHeight="false" outlineLevel="0" collapsed="false">
      <c r="A1057" s="10" t="s">
        <v>4375</v>
      </c>
      <c r="B1057" s="10" t="s">
        <v>4376</v>
      </c>
      <c r="C1057" s="11" t="s">
        <v>4377</v>
      </c>
      <c r="D1057" s="12" t="n">
        <v>2.0269</v>
      </c>
      <c r="E1057" s="12"/>
      <c r="F1057" s="12"/>
      <c r="G1057" s="10" t="s">
        <v>63</v>
      </c>
      <c r="H1057" s="10" t="s">
        <v>440</v>
      </c>
      <c r="I1057" s="11" t="s">
        <v>3875</v>
      </c>
      <c r="J1057" s="10" t="s">
        <v>66</v>
      </c>
      <c r="K1057" s="10" t="s">
        <v>67</v>
      </c>
      <c r="L1057" s="10" t="s">
        <v>68</v>
      </c>
      <c r="M1057" s="10" t="s">
        <v>69</v>
      </c>
      <c r="N1057" s="10"/>
      <c r="O1057" s="11" t="s">
        <v>3428</v>
      </c>
      <c r="P1057" s="10" t="s">
        <v>71</v>
      </c>
      <c r="Q1057" s="11" t="s">
        <v>72</v>
      </c>
      <c r="R1057" s="11" t="s">
        <v>73</v>
      </c>
      <c r="S1057" s="11" t="s">
        <v>74</v>
      </c>
      <c r="T1057" s="11" t="s">
        <v>4378</v>
      </c>
      <c r="U1057" s="10" t="n">
        <f aca="false">IF(AND($D1057="",$E1057="",$F1057=""),1,0)</f>
        <v>0</v>
      </c>
      <c r="V1057" s="10" t="n">
        <f aca="false">IF(OR($I1057="",$I1057="—"),1,0)</f>
        <v>0</v>
      </c>
      <c r="W1057" s="10" t="n">
        <f aca="false">IF(AND(ISNUMBER($D1057),ISNUMBER($E1057)),IF($E1057&gt;$D1057,1,0),0)+IF(AND(ISNUMBER($D1057),ISNUMBER($F1057)),IF($D1057&gt;$F1057,1,0),0)+IF(AND(ISNUMBER($E1057),ISNUMBER($F1057)),IF($E1057&gt;$F1057,1,0),0)</f>
        <v>0</v>
      </c>
      <c r="X1057" s="13" t="s">
        <v>76</v>
      </c>
    </row>
    <row r="1058" customFormat="false" ht="15" hidden="false" customHeight="false" outlineLevel="0" collapsed="false">
      <c r="A1058" s="10" t="s">
        <v>4379</v>
      </c>
      <c r="B1058" s="10" t="s">
        <v>4380</v>
      </c>
      <c r="C1058" s="11" t="s">
        <v>4381</v>
      </c>
      <c r="D1058" s="12" t="n">
        <v>25000</v>
      </c>
      <c r="E1058" s="12"/>
      <c r="F1058" s="12"/>
      <c r="G1058" s="10" t="s">
        <v>4382</v>
      </c>
      <c r="H1058" s="10" t="s">
        <v>4383</v>
      </c>
      <c r="I1058" s="11" t="s">
        <v>4384</v>
      </c>
      <c r="J1058" s="10" t="s">
        <v>66</v>
      </c>
      <c r="K1058" s="10" t="s">
        <v>67</v>
      </c>
      <c r="L1058" s="10" t="s">
        <v>68</v>
      </c>
      <c r="M1058" s="10" t="s">
        <v>416</v>
      </c>
      <c r="N1058" s="11" t="s">
        <v>4385</v>
      </c>
      <c r="O1058" s="11" t="s">
        <v>4386</v>
      </c>
      <c r="P1058" s="10" t="s">
        <v>71</v>
      </c>
      <c r="Q1058" s="11" t="s">
        <v>72</v>
      </c>
      <c r="R1058" s="11" t="s">
        <v>4385</v>
      </c>
      <c r="S1058" s="11" t="s">
        <v>74</v>
      </c>
      <c r="T1058" s="11" t="s">
        <v>4387</v>
      </c>
      <c r="U1058" s="10" t="n">
        <f aca="false">IF(AND($D1058="",$E1058="",$F1058=""),1,0)</f>
        <v>0</v>
      </c>
      <c r="V1058" s="10" t="n">
        <f aca="false">IF(OR($I1058="",$I1058="—"),1,0)</f>
        <v>0</v>
      </c>
      <c r="W1058" s="10" t="n">
        <f aca="false">IF(AND(ISNUMBER($D1058),ISNUMBER($E1058)),IF($E1058&gt;$D1058,1,0),0)+IF(AND(ISNUMBER($D1058),ISNUMBER($F1058)),IF($D1058&gt;$F1058,1,0),0)+IF(AND(ISNUMBER($E1058),ISNUMBER($F1058)),IF($E1058&gt;$F1058,1,0),0)</f>
        <v>0</v>
      </c>
      <c r="X1058" s="13"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60"/>
  </cols>
  <sheetData>
    <row r="1" customFormat="false" ht="20.1" hidden="false" customHeight="false" outlineLevel="0" collapsed="false">
      <c r="A1" s="7" t="s">
        <v>4388</v>
      </c>
    </row>
    <row r="2" customFormat="false" ht="15" hidden="false" customHeight="false" outlineLevel="0" collapsed="false">
      <c r="A2" s="2" t="s">
        <v>4389</v>
      </c>
    </row>
    <row r="3" customFormat="false" ht="15" hidden="false" customHeight="false" outlineLevel="0" collapsed="false">
      <c r="A3" s="6" t="s">
        <v>4390</v>
      </c>
      <c r="B3" s="10" t="s">
        <v>4391</v>
      </c>
    </row>
    <row r="4" customFormat="false" ht="15" hidden="false" customHeight="false" outlineLevel="0" collapsed="false">
      <c r="A4" s="6" t="s">
        <v>4392</v>
      </c>
      <c r="B4" s="10" t="s">
        <v>4393</v>
      </c>
    </row>
    <row r="5" customFormat="false" ht="15" hidden="false" customHeight="false" outlineLevel="0" collapsed="false">
      <c r="A5" s="6" t="s">
        <v>4394</v>
      </c>
      <c r="B5" s="10" t="s">
        <v>4395</v>
      </c>
    </row>
    <row r="6" customFormat="false" ht="15" hidden="false" customHeight="false" outlineLevel="0" collapsed="false">
      <c r="A6" s="3" t="s">
        <v>4396</v>
      </c>
      <c r="B6" s="10" t="s">
        <v>4397</v>
      </c>
    </row>
    <row r="7" customFormat="false" ht="15" hidden="false" customHeight="false" outlineLevel="0" collapsed="false">
      <c r="I7" s="3" t="s">
        <v>4398</v>
      </c>
      <c r="J7" s="10" t="s">
        <v>4399</v>
      </c>
      <c r="K7" s="10" t="s">
        <v>4399</v>
      </c>
      <c r="L7" s="10" t="s">
        <v>4399</v>
      </c>
      <c r="M7" s="10" t="s">
        <v>4400</v>
      </c>
      <c r="N7" s="10" t="s">
        <v>4400</v>
      </c>
      <c r="O7" s="10" t="s">
        <v>4400</v>
      </c>
      <c r="P7" s="10" t="s">
        <v>4401</v>
      </c>
      <c r="Q7" s="10" t="s">
        <v>4401</v>
      </c>
      <c r="R7" s="10" t="s">
        <v>4401</v>
      </c>
      <c r="S7" s="10" t="s">
        <v>4402</v>
      </c>
      <c r="T7" s="10" t="s">
        <v>4402</v>
      </c>
      <c r="U7" s="10" t="s">
        <v>4402</v>
      </c>
      <c r="V7" s="10" t="s">
        <v>4403</v>
      </c>
      <c r="W7" s="10" t="s">
        <v>4403</v>
      </c>
      <c r="X7" s="10" t="s">
        <v>4403</v>
      </c>
    </row>
    <row r="8" customFormat="false" ht="15" hidden="false" customHeight="false" outlineLevel="0" collapsed="false">
      <c r="I8" s="3" t="s">
        <v>4404</v>
      </c>
      <c r="J8" s="11" t="s">
        <v>4405</v>
      </c>
      <c r="K8" s="11" t="s">
        <v>4406</v>
      </c>
      <c r="L8" s="11" t="s">
        <v>4407</v>
      </c>
      <c r="M8" s="11" t="s">
        <v>4405</v>
      </c>
      <c r="N8" s="11" t="s">
        <v>4406</v>
      </c>
      <c r="O8" s="11" t="s">
        <v>4407</v>
      </c>
      <c r="P8" s="11" t="s">
        <v>4405</v>
      </c>
      <c r="Q8" s="11" t="s">
        <v>4406</v>
      </c>
      <c r="R8" s="11" t="s">
        <v>4407</v>
      </c>
      <c r="S8" s="11" t="s">
        <v>4405</v>
      </c>
      <c r="T8" s="11" t="s">
        <v>4406</v>
      </c>
      <c r="U8" s="11" t="s">
        <v>4407</v>
      </c>
      <c r="V8" s="11" t="s">
        <v>4405</v>
      </c>
      <c r="W8" s="11" t="s">
        <v>4406</v>
      </c>
      <c r="X8" s="11" t="s">
        <v>4407</v>
      </c>
    </row>
    <row r="9" customFormat="false" ht="26.85" hidden="false" customHeight="false" outlineLevel="0" collapsed="false">
      <c r="A9" s="8" t="s">
        <v>4408</v>
      </c>
      <c r="B9" s="9" t="s">
        <v>4409</v>
      </c>
      <c r="C9" s="9" t="s">
        <v>4410</v>
      </c>
      <c r="D9" s="9" t="s">
        <v>43</v>
      </c>
      <c r="E9" s="9" t="s">
        <v>4411</v>
      </c>
      <c r="F9" s="9" t="s">
        <v>4412</v>
      </c>
      <c r="G9" s="8" t="s">
        <v>4392</v>
      </c>
      <c r="H9" s="9" t="s">
        <v>4413</v>
      </c>
      <c r="I9" s="9" t="s">
        <v>4396</v>
      </c>
      <c r="J9" s="9" t="s">
        <v>4414</v>
      </c>
      <c r="K9" s="9" t="s">
        <v>4415</v>
      </c>
      <c r="L9" s="9" t="s">
        <v>4416</v>
      </c>
      <c r="M9" s="9" t="s">
        <v>4417</v>
      </c>
      <c r="N9" s="9" t="s">
        <v>4418</v>
      </c>
      <c r="O9" s="9" t="s">
        <v>4419</v>
      </c>
      <c r="P9" s="9" t="s">
        <v>4420</v>
      </c>
      <c r="Q9" s="9" t="s">
        <v>4421</v>
      </c>
      <c r="R9" s="9" t="s">
        <v>4422</v>
      </c>
      <c r="S9" s="9" t="s">
        <v>4423</v>
      </c>
      <c r="T9" s="9" t="s">
        <v>4424</v>
      </c>
      <c r="U9" s="9" t="s">
        <v>4425</v>
      </c>
      <c r="V9" s="9" t="s">
        <v>4426</v>
      </c>
      <c r="W9" s="9" t="s">
        <v>4427</v>
      </c>
      <c r="X9" s="9" t="s">
        <v>4428</v>
      </c>
    </row>
    <row r="10" customFormat="false" ht="15" hidden="false" customHeight="false" outlineLevel="0" collapsed="false">
      <c r="A10" s="10" t="s">
        <v>4429</v>
      </c>
      <c r="B10" s="10" t="s">
        <v>4430</v>
      </c>
      <c r="C10" s="11" t="s">
        <v>4431</v>
      </c>
      <c r="D10" s="10" t="s">
        <v>4432</v>
      </c>
      <c r="E10" s="10" t="n">
        <v>15</v>
      </c>
      <c r="F10" s="10" t="s">
        <v>4433</v>
      </c>
      <c r="G10" s="10" t="s">
        <v>4393</v>
      </c>
      <c r="H10" s="10" t="s">
        <v>4434</v>
      </c>
      <c r="I10" s="10" t="s">
        <v>4397</v>
      </c>
      <c r="J10" s="12" t="n">
        <v>6809025705.99183</v>
      </c>
      <c r="K10" s="12" t="n">
        <v>6809025705.99183</v>
      </c>
      <c r="L10" s="12" t="n">
        <v>6809025705.99183</v>
      </c>
      <c r="M10" s="12" t="n">
        <v>33674781620.6943</v>
      </c>
      <c r="N10" s="12" t="n">
        <v>33674781620.6943</v>
      </c>
      <c r="O10" s="12" t="n">
        <v>33674781620.6943</v>
      </c>
      <c r="P10" s="12" t="n">
        <v>39257828144.5082</v>
      </c>
      <c r="Q10" s="12" t="n">
        <v>39257828144.5082</v>
      </c>
      <c r="R10" s="12" t="n">
        <v>39257828144.5082</v>
      </c>
      <c r="S10" s="12" t="n">
        <v>69625193603.6778</v>
      </c>
      <c r="T10" s="12" t="n">
        <v>69625193603.6778</v>
      </c>
      <c r="U10" s="12" t="n">
        <v>69625193603.6778</v>
      </c>
      <c r="V10" s="12" t="n">
        <v>98521567397.5749</v>
      </c>
      <c r="W10" s="12" t="n">
        <v>98521567397.5749</v>
      </c>
      <c r="X10" s="12" t="n">
        <v>98521567397.5749</v>
      </c>
    </row>
    <row r="11" customFormat="false" ht="15" hidden="false" customHeight="false" outlineLevel="0" collapsed="false">
      <c r="A11" s="10" t="s">
        <v>4435</v>
      </c>
      <c r="B11" s="10" t="s">
        <v>4436</v>
      </c>
      <c r="C11" s="11" t="s">
        <v>4431</v>
      </c>
      <c r="D11" s="10" t="s">
        <v>4432</v>
      </c>
      <c r="E11" s="10" t="n">
        <v>15</v>
      </c>
      <c r="F11" s="10" t="s">
        <v>4433</v>
      </c>
      <c r="G11" s="10" t="s">
        <v>4393</v>
      </c>
      <c r="H11" s="10" t="s">
        <v>4434</v>
      </c>
      <c r="I11" s="10" t="s">
        <v>4397</v>
      </c>
      <c r="J11" s="12" t="n">
        <v>112228240510.472</v>
      </c>
      <c r="K11" s="12" t="n">
        <v>112228240510.472</v>
      </c>
      <c r="L11" s="12" t="n">
        <v>112228240510.472</v>
      </c>
      <c r="M11" s="12" t="n">
        <v>557838911578.971</v>
      </c>
      <c r="N11" s="12" t="n">
        <v>557838911578.971</v>
      </c>
      <c r="O11" s="12" t="n">
        <v>557838911578.971</v>
      </c>
      <c r="P11" s="12" t="n">
        <v>723176042011.176</v>
      </c>
      <c r="Q11" s="12" t="n">
        <v>723176042011.176</v>
      </c>
      <c r="R11" s="12" t="n">
        <v>723176042011.176</v>
      </c>
      <c r="S11" s="12" t="n">
        <v>1043267705667.06</v>
      </c>
      <c r="T11" s="12" t="n">
        <v>1043267705667.06</v>
      </c>
      <c r="U11" s="12" t="n">
        <v>1043267705667.06</v>
      </c>
      <c r="V11" s="12" t="n">
        <v>1404587982526.55</v>
      </c>
      <c r="W11" s="12" t="n">
        <v>1404587982526.55</v>
      </c>
      <c r="X11" s="12" t="n">
        <v>1404587982526.55</v>
      </c>
    </row>
    <row r="12" customFormat="false" ht="15" hidden="false" customHeight="false" outlineLevel="0" collapsed="false">
      <c r="A12" s="10" t="s">
        <v>4437</v>
      </c>
      <c r="B12" s="10" t="s">
        <v>4438</v>
      </c>
      <c r="C12" s="11" t="s">
        <v>4431</v>
      </c>
      <c r="D12" s="10" t="s">
        <v>4432</v>
      </c>
      <c r="E12" s="10" t="n">
        <v>15</v>
      </c>
      <c r="F12" s="10" t="s">
        <v>4433</v>
      </c>
      <c r="G12" s="10" t="s">
        <v>4393</v>
      </c>
      <c r="H12" s="10" t="s">
        <v>4434</v>
      </c>
      <c r="I12" s="10" t="s">
        <v>4397</v>
      </c>
      <c r="J12" s="12" t="n">
        <v>33634916325.118</v>
      </c>
      <c r="K12" s="12" t="n">
        <v>33634916325.118</v>
      </c>
      <c r="L12" s="12" t="n">
        <v>33634916325.118</v>
      </c>
      <c r="M12" s="12" t="n">
        <v>163715850475.954</v>
      </c>
      <c r="N12" s="12" t="n">
        <v>163715850475.954</v>
      </c>
      <c r="O12" s="12" t="n">
        <v>163715850475.954</v>
      </c>
      <c r="P12" s="12" t="n">
        <v>212334321421.888</v>
      </c>
      <c r="Q12" s="12" t="n">
        <v>212334321421.888</v>
      </c>
      <c r="R12" s="12" t="n">
        <v>212334321421.888</v>
      </c>
      <c r="S12" s="12" t="n">
        <v>318984897819.054</v>
      </c>
      <c r="T12" s="12" t="n">
        <v>318984897819.054</v>
      </c>
      <c r="U12" s="12" t="n">
        <v>318984897819.054</v>
      </c>
      <c r="V12" s="12" t="n">
        <v>434380455314.928</v>
      </c>
      <c r="W12" s="12" t="n">
        <v>434380455314.928</v>
      </c>
      <c r="X12" s="12" t="n">
        <v>434380455314.928</v>
      </c>
    </row>
    <row r="13" customFormat="false" ht="15" hidden="false" customHeight="false" outlineLevel="0" collapsed="false">
      <c r="A13" s="10" t="s">
        <v>4439</v>
      </c>
      <c r="B13" s="10" t="s">
        <v>4440</v>
      </c>
      <c r="C13" s="11" t="s">
        <v>4441</v>
      </c>
      <c r="D13" s="10" t="s">
        <v>401</v>
      </c>
      <c r="E13" s="10" t="n">
        <v>1</v>
      </c>
      <c r="F13" s="10" t="s">
        <v>4433</v>
      </c>
      <c r="G13" s="10" t="s">
        <v>4393</v>
      </c>
      <c r="H13" s="10" t="s">
        <v>4434</v>
      </c>
      <c r="I13" s="10" t="s">
        <v>4397</v>
      </c>
      <c r="J13" s="12" t="n">
        <v>0.6</v>
      </c>
    </row>
    <row r="14" customFormat="false" ht="15" hidden="false" customHeight="false" outlineLevel="0" collapsed="false">
      <c r="A14" s="10" t="s">
        <v>4442</v>
      </c>
      <c r="B14" s="10" t="s">
        <v>4443</v>
      </c>
      <c r="C14" s="11" t="s">
        <v>4444</v>
      </c>
      <c r="D14" s="10" t="s">
        <v>4445</v>
      </c>
      <c r="E14" s="10" t="n">
        <v>15</v>
      </c>
      <c r="F14" s="10" t="s">
        <v>4433</v>
      </c>
      <c r="G14" s="10" t="s">
        <v>4393</v>
      </c>
      <c r="H14" s="10" t="s">
        <v>4434</v>
      </c>
      <c r="I14" s="10" t="s">
        <v>4397</v>
      </c>
      <c r="J14" s="12" t="n">
        <v>6.79107465326444</v>
      </c>
      <c r="K14" s="12" t="n">
        <v>9.70308728611469</v>
      </c>
      <c r="L14" s="12" t="n">
        <v>16.6637697337026</v>
      </c>
      <c r="M14" s="12" t="n">
        <v>6.6118162762144</v>
      </c>
      <c r="N14" s="12" t="n">
        <v>8.82816556596761</v>
      </c>
      <c r="O14" s="12" t="n">
        <v>14.3185748619737</v>
      </c>
      <c r="P14" s="12" t="n">
        <v>8.42889912085495</v>
      </c>
      <c r="Q14" s="12" t="n">
        <v>10.8864110021101</v>
      </c>
      <c r="R14" s="12" t="n">
        <v>18.5346455040469</v>
      </c>
      <c r="S14" s="12" t="n">
        <v>9.51207691858967</v>
      </c>
      <c r="T14" s="12" t="n">
        <v>12.2254710045841</v>
      </c>
      <c r="U14" s="12" t="n">
        <v>19.7506269894487</v>
      </c>
      <c r="V14" s="12" t="n">
        <v>10.1025446864987</v>
      </c>
      <c r="W14" s="12" t="n">
        <v>15.3544827030524</v>
      </c>
      <c r="X14" s="12" t="n">
        <v>28.0302450108258</v>
      </c>
    </row>
    <row r="15" customFormat="false" ht="15" hidden="false" customHeight="false" outlineLevel="0" collapsed="false">
      <c r="A15" s="10" t="s">
        <v>4446</v>
      </c>
      <c r="B15" s="10" t="s">
        <v>4447</v>
      </c>
      <c r="C15" s="11" t="s">
        <v>4448</v>
      </c>
      <c r="D15" s="10" t="s">
        <v>4449</v>
      </c>
      <c r="E15" s="10" t="n">
        <v>15</v>
      </c>
      <c r="F15" s="10" t="s">
        <v>4433</v>
      </c>
      <c r="G15" s="10" t="s">
        <v>4393</v>
      </c>
      <c r="H15" s="10" t="s">
        <v>4434</v>
      </c>
      <c r="I15" s="10" t="s">
        <v>4397</v>
      </c>
      <c r="J15" s="12" t="n">
        <v>4.44041141753621</v>
      </c>
      <c r="K15" s="12" t="n">
        <v>6.34436399268955</v>
      </c>
      <c r="L15" s="12" t="n">
        <v>10.8954463339561</v>
      </c>
      <c r="M15" s="12" t="n">
        <v>0.5303163115694</v>
      </c>
      <c r="N15" s="12" t="n">
        <v>0.708008999990632</v>
      </c>
      <c r="O15" s="12" t="n">
        <v>1.14819484653149</v>
      </c>
      <c r="P15" s="12" t="n">
        <v>0.598522481651746</v>
      </c>
      <c r="Q15" s="12" t="n">
        <v>0.772961335570172</v>
      </c>
      <c r="R15" s="12" t="n">
        <v>1.31584752513189</v>
      </c>
      <c r="S15" s="12" t="n">
        <v>0.328979014060463</v>
      </c>
      <c r="T15" s="12" t="n">
        <v>0.422759162078806</v>
      </c>
      <c r="U15" s="12" t="n">
        <v>0.682843108514873</v>
      </c>
      <c r="V15" s="12" t="n">
        <v>0.224274240897612</v>
      </c>
      <c r="W15" s="12" t="n">
        <v>0.340750041982449</v>
      </c>
      <c r="X15" s="12" t="n">
        <v>0.621869043102671</v>
      </c>
    </row>
    <row r="16" customFormat="false" ht="15" hidden="false" customHeight="false" outlineLevel="0" collapsed="false">
      <c r="A16" s="10" t="s">
        <v>4450</v>
      </c>
      <c r="B16" s="10" t="s">
        <v>4451</v>
      </c>
      <c r="C16" s="11" t="s">
        <v>4448</v>
      </c>
      <c r="D16" s="10" t="s">
        <v>4449</v>
      </c>
      <c r="E16" s="10" t="n">
        <v>15</v>
      </c>
      <c r="F16" s="10" t="s">
        <v>4433</v>
      </c>
      <c r="G16" s="10" t="s">
        <v>4393</v>
      </c>
      <c r="H16" s="10" t="s">
        <v>4434</v>
      </c>
      <c r="I16" s="10" t="s">
        <v>4397</v>
      </c>
      <c r="J16" s="12" t="n">
        <v>0.147064628142164</v>
      </c>
      <c r="K16" s="12" t="n">
        <v>0.210121291884421</v>
      </c>
      <c r="L16" s="12" t="n">
        <v>0.360847771420528</v>
      </c>
      <c r="M16" s="12" t="n">
        <v>0.022499114886034</v>
      </c>
      <c r="N16" s="12" t="n">
        <v>0.0300374200650076</v>
      </c>
      <c r="O16" s="12" t="n">
        <v>0.0487115437792242</v>
      </c>
      <c r="P16" s="12" t="n">
        <v>0.0228779020648233</v>
      </c>
      <c r="Q16" s="12" t="n">
        <v>0.0295449762037583</v>
      </c>
      <c r="R16" s="12" t="n">
        <v>0.0502941521671846</v>
      </c>
      <c r="S16" s="12" t="n">
        <v>0.0167884625578468</v>
      </c>
      <c r="T16" s="12" t="n">
        <v>0.0215744123341219</v>
      </c>
      <c r="U16" s="12" t="n">
        <v>0.0348474635241773</v>
      </c>
      <c r="V16" s="12" t="n">
        <v>0.0128091124335383</v>
      </c>
      <c r="W16" s="12" t="n">
        <v>0.0194624631931499</v>
      </c>
      <c r="X16" s="12" t="n">
        <v>0.0355205911667204</v>
      </c>
    </row>
    <row r="17" customFormat="false" ht="15" hidden="false" customHeight="false" outlineLevel="0" collapsed="false">
      <c r="A17" s="10" t="s">
        <v>4452</v>
      </c>
      <c r="B17" s="10" t="s">
        <v>4453</v>
      </c>
      <c r="C17" s="11" t="s">
        <v>4448</v>
      </c>
      <c r="D17" s="10" t="s">
        <v>4449</v>
      </c>
      <c r="E17" s="10" t="n">
        <v>15</v>
      </c>
      <c r="F17" s="10" t="s">
        <v>4433</v>
      </c>
      <c r="G17" s="10" t="s">
        <v>4393</v>
      </c>
      <c r="H17" s="10" t="s">
        <v>4434</v>
      </c>
      <c r="I17" s="10" t="s">
        <v>4397</v>
      </c>
      <c r="J17" s="12" t="n">
        <v>0.450574665095153</v>
      </c>
      <c r="K17" s="12" t="n">
        <v>0.643774480313015</v>
      </c>
      <c r="L17" s="12" t="n">
        <v>1.10558654372701</v>
      </c>
      <c r="M17" s="12" t="n">
        <v>0.0751157533505579</v>
      </c>
      <c r="N17" s="12" t="n">
        <v>0.100290180645192</v>
      </c>
      <c r="O17" s="12" t="n">
        <v>0.162653053807429</v>
      </c>
      <c r="P17" s="12" t="n">
        <v>0.0755575928591388</v>
      </c>
      <c r="Q17" s="12" t="n">
        <v>0.0975825234136689</v>
      </c>
      <c r="R17" s="12" t="n">
        <v>0.166128207792573</v>
      </c>
      <c r="S17" s="12" t="n">
        <v>0.0537829036443724</v>
      </c>
      <c r="T17" s="12" t="n">
        <v>0.0691205126041982</v>
      </c>
      <c r="U17" s="12" t="n">
        <v>0.11165686972729</v>
      </c>
      <c r="V17" s="12" t="n">
        <v>0.0409015415330202</v>
      </c>
      <c r="W17" s="12" t="n">
        <v>0.0621567461847294</v>
      </c>
      <c r="X17" s="12" t="n">
        <v>0.11345703212088</v>
      </c>
    </row>
    <row r="18" customFormat="false" ht="15" hidden="false" customHeight="false" outlineLevel="0" collapsed="false">
      <c r="A18" s="10" t="s">
        <v>4454</v>
      </c>
      <c r="B18" s="10" t="s">
        <v>4455</v>
      </c>
      <c r="C18" s="11" t="s">
        <v>4456</v>
      </c>
      <c r="D18" s="10" t="s">
        <v>4449</v>
      </c>
      <c r="E18" s="10" t="n">
        <v>1</v>
      </c>
      <c r="F18" s="10" t="s">
        <v>4433</v>
      </c>
      <c r="G18" s="10" t="s">
        <v>4393</v>
      </c>
      <c r="H18" s="10" t="s">
        <v>4434</v>
      </c>
      <c r="I18" s="10" t="s">
        <v>4397</v>
      </c>
      <c r="J18" s="12" t="n">
        <v>0.8</v>
      </c>
    </row>
    <row r="19" customFormat="false" ht="15" hidden="false" customHeight="false" outlineLevel="0" collapsed="false">
      <c r="A19" s="10" t="s">
        <v>4457</v>
      </c>
      <c r="B19" s="10" t="s">
        <v>4458</v>
      </c>
      <c r="C19" s="11" t="s">
        <v>4456</v>
      </c>
      <c r="D19" s="10" t="s">
        <v>4449</v>
      </c>
      <c r="E19" s="10" t="n">
        <v>1</v>
      </c>
      <c r="F19" s="10" t="s">
        <v>4433</v>
      </c>
      <c r="G19" s="10" t="s">
        <v>4393</v>
      </c>
      <c r="H19" s="10" t="s">
        <v>4434</v>
      </c>
      <c r="I19" s="10" t="s">
        <v>4397</v>
      </c>
      <c r="J19" s="12" t="n">
        <v>0.008</v>
      </c>
    </row>
    <row r="20" customFormat="false" ht="15" hidden="false" customHeight="false" outlineLevel="0" collapsed="false">
      <c r="A20" s="10" t="s">
        <v>4459</v>
      </c>
      <c r="B20" s="10" t="s">
        <v>4460</v>
      </c>
      <c r="C20" s="11" t="s">
        <v>4456</v>
      </c>
      <c r="D20" s="10" t="s">
        <v>4449</v>
      </c>
      <c r="E20" s="10" t="n">
        <v>1</v>
      </c>
      <c r="F20" s="10" t="s">
        <v>4433</v>
      </c>
      <c r="G20" s="10" t="s">
        <v>4393</v>
      </c>
      <c r="H20" s="10" t="s">
        <v>4434</v>
      </c>
      <c r="I20" s="10" t="s">
        <v>4397</v>
      </c>
      <c r="J20" s="12" t="n">
        <v>0.16</v>
      </c>
    </row>
    <row r="21" customFormat="false" ht="15" hidden="false" customHeight="false" outlineLevel="0" collapsed="false">
      <c r="A21" s="10" t="s">
        <v>4461</v>
      </c>
      <c r="B21" s="10" t="s">
        <v>4462</v>
      </c>
      <c r="C21" s="11" t="s">
        <v>4463</v>
      </c>
      <c r="D21" s="10" t="s">
        <v>4449</v>
      </c>
      <c r="E21" s="10" t="n">
        <v>1</v>
      </c>
      <c r="F21" s="10" t="s">
        <v>4433</v>
      </c>
      <c r="G21" s="10" t="s">
        <v>4393</v>
      </c>
      <c r="H21" s="10" t="s">
        <v>4434</v>
      </c>
      <c r="I21" s="10" t="s">
        <v>4397</v>
      </c>
      <c r="J21" s="12" t="n">
        <v>8</v>
      </c>
    </row>
    <row r="22" customFormat="false" ht="15" hidden="false" customHeight="false" outlineLevel="0" collapsed="false">
      <c r="A22" s="10" t="s">
        <v>4464</v>
      </c>
      <c r="B22" s="10" t="s">
        <v>4465</v>
      </c>
      <c r="C22" s="11" t="s">
        <v>4463</v>
      </c>
      <c r="D22" s="10" t="s">
        <v>4449</v>
      </c>
      <c r="E22" s="10" t="n">
        <v>1</v>
      </c>
      <c r="F22" s="10" t="s">
        <v>4433</v>
      </c>
      <c r="G22" s="10" t="s">
        <v>4393</v>
      </c>
      <c r="H22" s="10" t="s">
        <v>4434</v>
      </c>
      <c r="I22" s="10" t="s">
        <v>4397</v>
      </c>
      <c r="J22" s="12" t="n">
        <v>0.08</v>
      </c>
    </row>
    <row r="23" customFormat="false" ht="15" hidden="false" customHeight="false" outlineLevel="0" collapsed="false">
      <c r="A23" s="10" t="s">
        <v>4466</v>
      </c>
      <c r="B23" s="10" t="s">
        <v>4467</v>
      </c>
      <c r="C23" s="11" t="s">
        <v>4463</v>
      </c>
      <c r="D23" s="10" t="s">
        <v>4449</v>
      </c>
      <c r="E23" s="10" t="n">
        <v>1</v>
      </c>
      <c r="F23" s="10" t="s">
        <v>4433</v>
      </c>
      <c r="G23" s="10" t="s">
        <v>4393</v>
      </c>
      <c r="H23" s="10" t="s">
        <v>4434</v>
      </c>
      <c r="I23" s="10" t="s">
        <v>4397</v>
      </c>
      <c r="J23" s="12" t="n">
        <v>1.6</v>
      </c>
    </row>
    <row r="24" customFormat="false" ht="15" hidden="false" customHeight="false" outlineLevel="0" collapsed="false">
      <c r="A24" s="10" t="s">
        <v>4468</v>
      </c>
      <c r="B24" s="10" t="s">
        <v>4469</v>
      </c>
      <c r="C24" s="11" t="s">
        <v>4470</v>
      </c>
      <c r="D24" s="10" t="s">
        <v>4449</v>
      </c>
      <c r="E24" s="10" t="n">
        <v>1</v>
      </c>
      <c r="F24" s="10" t="s">
        <v>4433</v>
      </c>
      <c r="G24" s="10" t="s">
        <v>4393</v>
      </c>
      <c r="H24" s="10" t="s">
        <v>4434</v>
      </c>
      <c r="I24" s="10" t="s">
        <v>4397</v>
      </c>
      <c r="J24" s="12" t="n">
        <v>40</v>
      </c>
    </row>
    <row r="25" customFormat="false" ht="15" hidden="false" customHeight="false" outlineLevel="0" collapsed="false">
      <c r="A25" s="10" t="s">
        <v>4471</v>
      </c>
      <c r="B25" s="10" t="s">
        <v>4472</v>
      </c>
      <c r="C25" s="11" t="s">
        <v>4470</v>
      </c>
      <c r="D25" s="10" t="s">
        <v>4449</v>
      </c>
      <c r="E25" s="10" t="n">
        <v>1</v>
      </c>
      <c r="F25" s="10" t="s">
        <v>4433</v>
      </c>
      <c r="G25" s="10" t="s">
        <v>4393</v>
      </c>
      <c r="H25" s="10" t="s">
        <v>4434</v>
      </c>
      <c r="I25" s="10" t="s">
        <v>4397</v>
      </c>
      <c r="J25" s="12" t="n">
        <v>0.4</v>
      </c>
    </row>
    <row r="26" customFormat="false" ht="15" hidden="false" customHeight="false" outlineLevel="0" collapsed="false">
      <c r="A26" s="10" t="s">
        <v>4473</v>
      </c>
      <c r="B26" s="10" t="s">
        <v>4474</v>
      </c>
      <c r="C26" s="11" t="s">
        <v>4470</v>
      </c>
      <c r="D26" s="10" t="s">
        <v>4449</v>
      </c>
      <c r="E26" s="10" t="n">
        <v>1</v>
      </c>
      <c r="F26" s="10" t="s">
        <v>4433</v>
      </c>
      <c r="G26" s="10" t="s">
        <v>4393</v>
      </c>
      <c r="H26" s="10" t="s">
        <v>4434</v>
      </c>
      <c r="I26" s="10" t="s">
        <v>4397</v>
      </c>
      <c r="J26" s="12" t="n">
        <v>8</v>
      </c>
    </row>
    <row r="27" customFormat="false" ht="15" hidden="false" customHeight="false" outlineLevel="0" collapsed="false">
      <c r="A27" s="10" t="s">
        <v>4475</v>
      </c>
      <c r="B27" s="10" t="s">
        <v>4476</v>
      </c>
      <c r="C27" s="11" t="s">
        <v>4477</v>
      </c>
      <c r="D27" s="10" t="s">
        <v>4449</v>
      </c>
      <c r="E27" s="10" t="n">
        <v>1</v>
      </c>
      <c r="F27" s="10" t="s">
        <v>4433</v>
      </c>
      <c r="G27" s="10" t="s">
        <v>4393</v>
      </c>
      <c r="H27" s="10" t="s">
        <v>4434</v>
      </c>
      <c r="I27" s="10" t="s">
        <v>4397</v>
      </c>
      <c r="J27" s="12" t="n">
        <v>8.03555555555555</v>
      </c>
    </row>
    <row r="28" customFormat="false" ht="15" hidden="false" customHeight="false" outlineLevel="0" collapsed="false">
      <c r="A28" s="10" t="s">
        <v>4478</v>
      </c>
      <c r="B28" s="10" t="s">
        <v>4479</v>
      </c>
      <c r="C28" s="11" t="s">
        <v>4477</v>
      </c>
      <c r="D28" s="10" t="s">
        <v>4449</v>
      </c>
      <c r="E28" s="10" t="n">
        <v>1</v>
      </c>
      <c r="F28" s="10" t="s">
        <v>4433</v>
      </c>
      <c r="G28" s="10" t="s">
        <v>4393</v>
      </c>
      <c r="H28" s="10" t="s">
        <v>4434</v>
      </c>
      <c r="I28" s="10" t="s">
        <v>4397</v>
      </c>
      <c r="J28" s="12" t="n">
        <v>0.0803555555555556</v>
      </c>
    </row>
    <row r="29" customFormat="false" ht="15" hidden="false" customHeight="false" outlineLevel="0" collapsed="false">
      <c r="A29" s="10" t="s">
        <v>4480</v>
      </c>
      <c r="B29" s="10" t="s">
        <v>4481</v>
      </c>
      <c r="C29" s="11" t="s">
        <v>4477</v>
      </c>
      <c r="D29" s="10" t="s">
        <v>4449</v>
      </c>
      <c r="E29" s="10" t="n">
        <v>1</v>
      </c>
      <c r="F29" s="10" t="s">
        <v>4433</v>
      </c>
      <c r="G29" s="10" t="s">
        <v>4393</v>
      </c>
      <c r="H29" s="10" t="s">
        <v>4434</v>
      </c>
      <c r="I29" s="10" t="s">
        <v>4397</v>
      </c>
      <c r="J29" s="12" t="n">
        <v>1.60711111111111</v>
      </c>
    </row>
    <row r="30" customFormat="false" ht="15" hidden="false" customHeight="false" outlineLevel="0" collapsed="false">
      <c r="A30" s="10" t="s">
        <v>4482</v>
      </c>
      <c r="B30" s="10" t="s">
        <v>4483</v>
      </c>
      <c r="C30" s="11" t="s">
        <v>4484</v>
      </c>
      <c r="D30" s="10" t="s">
        <v>4449</v>
      </c>
      <c r="E30" s="10" t="n">
        <v>1</v>
      </c>
      <c r="F30" s="10" t="s">
        <v>4433</v>
      </c>
      <c r="G30" s="10" t="s">
        <v>4393</v>
      </c>
      <c r="H30" s="10" t="s">
        <v>4434</v>
      </c>
      <c r="I30" s="10" t="s">
        <v>4397</v>
      </c>
      <c r="J30" s="12" t="n">
        <v>40</v>
      </c>
    </row>
    <row r="31" customFormat="false" ht="15" hidden="false" customHeight="false" outlineLevel="0" collapsed="false">
      <c r="A31" s="10" t="s">
        <v>4485</v>
      </c>
      <c r="B31" s="10" t="s">
        <v>4486</v>
      </c>
      <c r="C31" s="11" t="s">
        <v>4484</v>
      </c>
      <c r="D31" s="10" t="s">
        <v>4449</v>
      </c>
      <c r="E31" s="10" t="n">
        <v>1</v>
      </c>
      <c r="F31" s="10" t="s">
        <v>4433</v>
      </c>
      <c r="G31" s="10" t="s">
        <v>4393</v>
      </c>
      <c r="H31" s="10" t="s">
        <v>4434</v>
      </c>
      <c r="I31" s="10" t="s">
        <v>4397</v>
      </c>
      <c r="J31" s="12" t="n">
        <v>0.4</v>
      </c>
    </row>
    <row r="32" customFormat="false" ht="15" hidden="false" customHeight="false" outlineLevel="0" collapsed="false">
      <c r="A32" s="10" t="s">
        <v>4487</v>
      </c>
      <c r="B32" s="10" t="s">
        <v>4488</v>
      </c>
      <c r="C32" s="11" t="s">
        <v>4484</v>
      </c>
      <c r="D32" s="10" t="s">
        <v>4449</v>
      </c>
      <c r="E32" s="10" t="n">
        <v>1</v>
      </c>
      <c r="F32" s="10" t="s">
        <v>4433</v>
      </c>
      <c r="G32" s="10" t="s">
        <v>4393</v>
      </c>
      <c r="H32" s="10" t="s">
        <v>4434</v>
      </c>
      <c r="I32" s="10" t="s">
        <v>4397</v>
      </c>
      <c r="J32" s="12" t="n">
        <v>8</v>
      </c>
    </row>
    <row r="33" customFormat="false" ht="15" hidden="false" customHeight="false" outlineLevel="0" collapsed="false">
      <c r="A33" s="10" t="s">
        <v>4489</v>
      </c>
      <c r="B33" s="10" t="s">
        <v>4490</v>
      </c>
      <c r="C33" s="11" t="s">
        <v>4491</v>
      </c>
      <c r="D33" s="10" t="s">
        <v>4449</v>
      </c>
      <c r="E33" s="10" t="n">
        <v>1</v>
      </c>
      <c r="F33" s="10" t="s">
        <v>4433</v>
      </c>
      <c r="G33" s="10" t="s">
        <v>4393</v>
      </c>
      <c r="H33" s="10" t="s">
        <v>4434</v>
      </c>
      <c r="I33" s="10" t="s">
        <v>4397</v>
      </c>
      <c r="J33" s="12" t="n">
        <v>7.74222222222222</v>
      </c>
    </row>
    <row r="34" customFormat="false" ht="15" hidden="false" customHeight="false" outlineLevel="0" collapsed="false">
      <c r="A34" s="10" t="s">
        <v>4492</v>
      </c>
      <c r="B34" s="10" t="s">
        <v>4493</v>
      </c>
      <c r="C34" s="11" t="s">
        <v>4491</v>
      </c>
      <c r="D34" s="10" t="s">
        <v>4449</v>
      </c>
      <c r="E34" s="10" t="n">
        <v>1</v>
      </c>
      <c r="F34" s="10" t="s">
        <v>4433</v>
      </c>
      <c r="G34" s="10" t="s">
        <v>4393</v>
      </c>
      <c r="H34" s="10" t="s">
        <v>4434</v>
      </c>
      <c r="I34" s="10" t="s">
        <v>4397</v>
      </c>
      <c r="J34" s="12" t="n">
        <v>0.0803555555555556</v>
      </c>
    </row>
    <row r="35" customFormat="false" ht="15" hidden="false" customHeight="false" outlineLevel="0" collapsed="false">
      <c r="A35" s="10" t="s">
        <v>4494</v>
      </c>
      <c r="B35" s="10" t="s">
        <v>4495</v>
      </c>
      <c r="C35" s="11" t="s">
        <v>4491</v>
      </c>
      <c r="D35" s="10" t="s">
        <v>4449</v>
      </c>
      <c r="E35" s="10" t="n">
        <v>1</v>
      </c>
      <c r="F35" s="10" t="s">
        <v>4433</v>
      </c>
      <c r="G35" s="10" t="s">
        <v>4393</v>
      </c>
      <c r="H35" s="10" t="s">
        <v>4434</v>
      </c>
      <c r="I35" s="10" t="s">
        <v>4397</v>
      </c>
      <c r="J35" s="12" t="n">
        <v>1.60711111111111</v>
      </c>
    </row>
    <row r="36" customFormat="false" ht="15" hidden="false" customHeight="false" outlineLevel="0" collapsed="false">
      <c r="A36" s="10" t="s">
        <v>4496</v>
      </c>
      <c r="B36" s="10" t="s">
        <v>4497</v>
      </c>
      <c r="C36" s="11" t="s">
        <v>4498</v>
      </c>
      <c r="D36" s="10" t="s">
        <v>401</v>
      </c>
      <c r="E36" s="10" t="n">
        <v>15</v>
      </c>
      <c r="F36" s="10" t="s">
        <v>4433</v>
      </c>
      <c r="G36" s="10" t="s">
        <v>4393</v>
      </c>
      <c r="H36" s="10" t="s">
        <v>4434</v>
      </c>
      <c r="I36" s="10" t="s">
        <v>4397</v>
      </c>
      <c r="J36" s="12" t="n">
        <v>0.156848141308111</v>
      </c>
      <c r="K36" s="12" t="n">
        <v>0.156848141308111</v>
      </c>
      <c r="L36" s="12" t="n">
        <v>0.156848141308111</v>
      </c>
      <c r="M36" s="12" t="n">
        <v>0.0578355294019958</v>
      </c>
      <c r="N36" s="12" t="n">
        <v>0.0578355294019958</v>
      </c>
      <c r="O36" s="12" t="n">
        <v>0.0578355294019958</v>
      </c>
      <c r="P36" s="12" t="n">
        <v>0.0655864074968763</v>
      </c>
      <c r="Q36" s="12" t="n">
        <v>0.0655864074968763</v>
      </c>
      <c r="R36" s="12" t="n">
        <v>0.0655864074968763</v>
      </c>
      <c r="S36" s="12" t="n">
        <v>0.0400178434586299</v>
      </c>
      <c r="T36" s="12" t="n">
        <v>0.0400178434586299</v>
      </c>
      <c r="U36" s="12" t="n">
        <v>0.0400178434586299</v>
      </c>
      <c r="V36" s="12" t="n">
        <v>0.0272504145323638</v>
      </c>
      <c r="W36" s="12" t="n">
        <v>0.0272504145323638</v>
      </c>
      <c r="X36" s="12" t="n">
        <v>0.0272504145323638</v>
      </c>
    </row>
    <row r="37" customFormat="false" ht="15" hidden="false" customHeight="false" outlineLevel="0" collapsed="false">
      <c r="A37" s="10" t="s">
        <v>4499</v>
      </c>
      <c r="B37" s="10" t="s">
        <v>4500</v>
      </c>
      <c r="C37" s="11" t="s">
        <v>4498</v>
      </c>
      <c r="D37" s="10" t="s">
        <v>401</v>
      </c>
      <c r="E37" s="10" t="n">
        <v>15</v>
      </c>
      <c r="F37" s="10" t="s">
        <v>4433</v>
      </c>
      <c r="G37" s="10" t="s">
        <v>4393</v>
      </c>
      <c r="H37" s="10" t="s">
        <v>4434</v>
      </c>
      <c r="I37" s="10" t="s">
        <v>4397</v>
      </c>
      <c r="J37" s="12" t="n">
        <v>0.00927434400031541</v>
      </c>
      <c r="K37" s="12" t="n">
        <v>0.00927434400031541</v>
      </c>
      <c r="L37" s="12" t="n">
        <v>0.00927434400031541</v>
      </c>
      <c r="M37" s="12" t="n">
        <v>0.00276456085751356</v>
      </c>
      <c r="N37" s="12" t="n">
        <v>0.00276456085751356</v>
      </c>
      <c r="O37" s="12" t="n">
        <v>0.00276456085751356</v>
      </c>
      <c r="P37" s="12" t="n">
        <v>0.00332896549749013</v>
      </c>
      <c r="Q37" s="12" t="n">
        <v>0.00332896549749013</v>
      </c>
      <c r="R37" s="12" t="n">
        <v>0.00332896549749013</v>
      </c>
      <c r="S37" s="12" t="n">
        <v>0.00220433968028437</v>
      </c>
      <c r="T37" s="12" t="n">
        <v>0.00220433968028437</v>
      </c>
      <c r="U37" s="12" t="n">
        <v>0.00220433968028437</v>
      </c>
      <c r="V37" s="12" t="n">
        <v>0.00143044852589726</v>
      </c>
      <c r="W37" s="12" t="n">
        <v>0.00143044852589726</v>
      </c>
      <c r="X37" s="12" t="n">
        <v>0.00143044852589726</v>
      </c>
    </row>
    <row r="38" customFormat="false" ht="15" hidden="false" customHeight="false" outlineLevel="0" collapsed="false">
      <c r="A38" s="10" t="s">
        <v>4501</v>
      </c>
      <c r="B38" s="10" t="s">
        <v>4502</v>
      </c>
      <c r="C38" s="11" t="s">
        <v>4498</v>
      </c>
      <c r="D38" s="10" t="s">
        <v>401</v>
      </c>
      <c r="E38" s="10" t="n">
        <v>15</v>
      </c>
      <c r="F38" s="10" t="s">
        <v>4433</v>
      </c>
      <c r="G38" s="10" t="s">
        <v>4393</v>
      </c>
      <c r="H38" s="10" t="s">
        <v>4434</v>
      </c>
      <c r="I38" s="10" t="s">
        <v>4397</v>
      </c>
      <c r="J38" s="12" t="n">
        <v>0.0257573532274046</v>
      </c>
      <c r="K38" s="12" t="n">
        <v>0.0257573532274046</v>
      </c>
      <c r="L38" s="12" t="n">
        <v>0.0257573532274046</v>
      </c>
      <c r="M38" s="12" t="n">
        <v>0.00887775506681788</v>
      </c>
      <c r="N38" s="12" t="n">
        <v>0.00887775506681788</v>
      </c>
      <c r="O38" s="12" t="n">
        <v>0.00887775506681788</v>
      </c>
      <c r="P38" s="12" t="n">
        <v>0.0102273044724078</v>
      </c>
      <c r="Q38" s="12" t="n">
        <v>0.0102273044724078</v>
      </c>
      <c r="R38" s="12" t="n">
        <v>0.0102273044724078</v>
      </c>
      <c r="S38" s="12" t="n">
        <v>0.00642112099901794</v>
      </c>
      <c r="T38" s="12" t="n">
        <v>0.00642112099901794</v>
      </c>
      <c r="U38" s="12" t="n">
        <v>0.00642112099901794</v>
      </c>
      <c r="V38" s="12" t="n">
        <v>0.00430948556016603</v>
      </c>
      <c r="W38" s="12" t="n">
        <v>0.00430948556016603</v>
      </c>
      <c r="X38" s="12" t="n">
        <v>0.00430948556016603</v>
      </c>
    </row>
    <row r="39" customFormat="false" ht="15" hidden="false" customHeight="false" outlineLevel="0" collapsed="false">
      <c r="A39" s="10" t="s">
        <v>4503</v>
      </c>
      <c r="B39" s="10" t="s">
        <v>4504</v>
      </c>
      <c r="C39" s="11" t="s">
        <v>4505</v>
      </c>
      <c r="D39" s="10" t="s">
        <v>4506</v>
      </c>
      <c r="E39" s="10" t="n">
        <v>1</v>
      </c>
      <c r="F39" s="10" t="s">
        <v>4433</v>
      </c>
      <c r="G39" s="10" t="s">
        <v>4393</v>
      </c>
      <c r="H39" s="10" t="s">
        <v>4434</v>
      </c>
      <c r="I39" s="10" t="s">
        <v>4397</v>
      </c>
      <c r="J39" s="12" t="n">
        <v>8</v>
      </c>
    </row>
    <row r="40" customFormat="false" ht="15" hidden="false" customHeight="false" outlineLevel="0" collapsed="false">
      <c r="A40" s="10" t="s">
        <v>4507</v>
      </c>
      <c r="B40" s="10" t="s">
        <v>4508</v>
      </c>
      <c r="C40" s="11" t="s">
        <v>4509</v>
      </c>
      <c r="D40" s="11" t="s">
        <v>4510</v>
      </c>
      <c r="E40" s="10" t="n">
        <v>1</v>
      </c>
      <c r="F40" s="10" t="s">
        <v>4433</v>
      </c>
      <c r="G40" s="10" t="s">
        <v>4393</v>
      </c>
      <c r="H40" s="10" t="s">
        <v>4434</v>
      </c>
      <c r="I40" s="10" t="s">
        <v>4397</v>
      </c>
      <c r="J40" s="12" t="n">
        <v>4</v>
      </c>
    </row>
    <row r="41" customFormat="false" ht="15" hidden="false" customHeight="false" outlineLevel="0" collapsed="false">
      <c r="A41" s="10" t="s">
        <v>4511</v>
      </c>
      <c r="B41" s="10" t="s">
        <v>4512</v>
      </c>
      <c r="C41" s="10" t="s">
        <v>4513</v>
      </c>
      <c r="D41" s="10" t="s">
        <v>4514</v>
      </c>
      <c r="E41" s="10" t="n">
        <v>1</v>
      </c>
      <c r="F41" s="10" t="s">
        <v>4433</v>
      </c>
      <c r="G41" s="10" t="s">
        <v>4393</v>
      </c>
      <c r="H41" s="10" t="s">
        <v>4434</v>
      </c>
      <c r="I41" s="10" t="s">
        <v>4397</v>
      </c>
      <c r="J41" s="12" t="n">
        <v>8.4</v>
      </c>
    </row>
    <row r="42" customFormat="false" ht="15" hidden="false" customHeight="false" outlineLevel="0" collapsed="false">
      <c r="A42" s="10" t="s">
        <v>4515</v>
      </c>
      <c r="B42" s="10" t="s">
        <v>4516</v>
      </c>
      <c r="C42" s="10" t="s">
        <v>4517</v>
      </c>
      <c r="D42" s="10" t="s">
        <v>4514</v>
      </c>
      <c r="E42" s="10" t="n">
        <v>1</v>
      </c>
      <c r="F42" s="10" t="s">
        <v>4433</v>
      </c>
      <c r="G42" s="10" t="s">
        <v>4393</v>
      </c>
      <c r="H42" s="10" t="s">
        <v>4434</v>
      </c>
      <c r="I42" s="10" t="s">
        <v>4397</v>
      </c>
      <c r="J42" s="12" t="n">
        <v>3.9</v>
      </c>
    </row>
    <row r="43" customFormat="false" ht="15" hidden="false" customHeight="false" outlineLevel="0" collapsed="false">
      <c r="A43" s="10" t="s">
        <v>4518</v>
      </c>
      <c r="B43" s="10" t="s">
        <v>4519</v>
      </c>
      <c r="C43" s="10" t="s">
        <v>4520</v>
      </c>
      <c r="D43" s="10" t="s">
        <v>4514</v>
      </c>
      <c r="E43" s="10" t="n">
        <v>1</v>
      </c>
      <c r="F43" s="10" t="s">
        <v>4433</v>
      </c>
      <c r="G43" s="10" t="s">
        <v>4393</v>
      </c>
      <c r="H43" s="10" t="s">
        <v>4434</v>
      </c>
      <c r="I43" s="10" t="s">
        <v>4397</v>
      </c>
      <c r="J43" s="12" t="n">
        <v>12</v>
      </c>
    </row>
    <row r="44" customFormat="false" ht="15" hidden="false" customHeight="false" outlineLevel="0" collapsed="false">
      <c r="A44" s="10" t="s">
        <v>4521</v>
      </c>
      <c r="B44" s="10" t="s">
        <v>4522</v>
      </c>
      <c r="C44" s="10" t="s">
        <v>4523</v>
      </c>
      <c r="D44" s="10" t="s">
        <v>4514</v>
      </c>
      <c r="E44" s="10" t="n">
        <v>1</v>
      </c>
      <c r="F44" s="10" t="s">
        <v>4433</v>
      </c>
      <c r="G44" s="10" t="s">
        <v>4393</v>
      </c>
      <c r="H44" s="10" t="s">
        <v>4434</v>
      </c>
      <c r="I44" s="10" t="s">
        <v>4397</v>
      </c>
      <c r="J44" s="12" t="n">
        <v>13.07</v>
      </c>
    </row>
    <row r="45" customFormat="false" ht="15" hidden="false" customHeight="false" outlineLevel="0" collapsed="false">
      <c r="A45" s="10" t="s">
        <v>4524</v>
      </c>
      <c r="B45" s="10" t="s">
        <v>4525</v>
      </c>
      <c r="C45" s="10" t="s">
        <v>4526</v>
      </c>
      <c r="D45" s="10" t="s">
        <v>4527</v>
      </c>
      <c r="E45" s="10" t="n">
        <v>1</v>
      </c>
      <c r="F45" s="10" t="s">
        <v>4433</v>
      </c>
      <c r="G45" s="10" t="s">
        <v>4393</v>
      </c>
      <c r="H45" s="10" t="s">
        <v>4434</v>
      </c>
      <c r="I45" s="10" t="s">
        <v>4397</v>
      </c>
      <c r="J45" s="12" t="n">
        <v>0.6</v>
      </c>
    </row>
    <row r="46" customFormat="false" ht="15" hidden="false" customHeight="false" outlineLevel="0" collapsed="false">
      <c r="A46" s="10" t="s">
        <v>4528</v>
      </c>
      <c r="B46" s="10" t="s">
        <v>4529</v>
      </c>
      <c r="C46" s="10" t="s">
        <v>4530</v>
      </c>
      <c r="D46" s="10" t="s">
        <v>4527</v>
      </c>
      <c r="E46" s="10" t="n">
        <v>1</v>
      </c>
      <c r="F46" s="10" t="s">
        <v>4433</v>
      </c>
      <c r="G46" s="10" t="s">
        <v>4393</v>
      </c>
      <c r="H46" s="10" t="s">
        <v>4434</v>
      </c>
      <c r="I46" s="10" t="s">
        <v>4397</v>
      </c>
      <c r="J46" s="12" t="n">
        <v>1.9</v>
      </c>
    </row>
    <row r="47" customFormat="false" ht="15" hidden="false" customHeight="false" outlineLevel="0" collapsed="false">
      <c r="A47" s="10" t="s">
        <v>4531</v>
      </c>
      <c r="B47" s="10" t="s">
        <v>4532</v>
      </c>
      <c r="C47" s="10" t="s">
        <v>4533</v>
      </c>
      <c r="D47" s="10" t="s">
        <v>4534</v>
      </c>
      <c r="E47" s="10" t="n">
        <v>1</v>
      </c>
      <c r="F47" s="10" t="s">
        <v>4433</v>
      </c>
      <c r="G47" s="10" t="s">
        <v>4393</v>
      </c>
      <c r="H47" s="10" t="s">
        <v>4434</v>
      </c>
      <c r="I47" s="10" t="s">
        <v>4397</v>
      </c>
      <c r="J47" s="12" t="n">
        <v>6</v>
      </c>
    </row>
    <row r="48" customFormat="false" ht="15" hidden="false" customHeight="false" outlineLevel="0" collapsed="false">
      <c r="A48" s="10" t="s">
        <v>4535</v>
      </c>
      <c r="B48" s="10" t="s">
        <v>4536</v>
      </c>
      <c r="C48" s="10" t="s">
        <v>4537</v>
      </c>
      <c r="D48" s="10" t="s">
        <v>4534</v>
      </c>
      <c r="E48" s="10" t="n">
        <v>1</v>
      </c>
      <c r="F48" s="10" t="s">
        <v>4433</v>
      </c>
      <c r="G48" s="10" t="s">
        <v>4393</v>
      </c>
      <c r="H48" s="10" t="s">
        <v>4434</v>
      </c>
      <c r="I48" s="10" t="s">
        <v>4397</v>
      </c>
      <c r="J48" s="12" t="n">
        <v>15</v>
      </c>
    </row>
    <row r="49" customFormat="false" ht="15" hidden="false" customHeight="false" outlineLevel="0" collapsed="false">
      <c r="A49" s="10" t="s">
        <v>4538</v>
      </c>
      <c r="B49" s="10" t="s">
        <v>4539</v>
      </c>
      <c r="C49" s="10" t="s">
        <v>4540</v>
      </c>
      <c r="D49" s="10" t="s">
        <v>4541</v>
      </c>
      <c r="E49" s="10" t="n">
        <v>1</v>
      </c>
      <c r="F49" s="10" t="s">
        <v>4433</v>
      </c>
      <c r="G49" s="10" t="s">
        <v>4393</v>
      </c>
      <c r="H49" s="10" t="s">
        <v>4434</v>
      </c>
      <c r="I49" s="10" t="s">
        <v>4397</v>
      </c>
      <c r="J49" s="12" t="n">
        <v>2.5</v>
      </c>
    </row>
    <row r="50" customFormat="false" ht="15" hidden="false" customHeight="false" outlineLevel="0" collapsed="false">
      <c r="A50" s="10" t="s">
        <v>4542</v>
      </c>
      <c r="B50" s="10" t="s">
        <v>4543</v>
      </c>
      <c r="C50" s="11" t="s">
        <v>4544</v>
      </c>
      <c r="D50" s="10" t="s">
        <v>4545</v>
      </c>
      <c r="E50" s="10" t="n">
        <v>1</v>
      </c>
      <c r="F50" s="10" t="s">
        <v>4433</v>
      </c>
      <c r="G50" s="10" t="s">
        <v>4393</v>
      </c>
      <c r="H50" s="10" t="s">
        <v>4434</v>
      </c>
      <c r="I50" s="10" t="s">
        <v>4397</v>
      </c>
      <c r="J50" s="12"/>
    </row>
    <row r="51" customFormat="false" ht="15" hidden="false" customHeight="false" outlineLevel="0" collapsed="false">
      <c r="A51" s="10" t="s">
        <v>4546</v>
      </c>
      <c r="B51" s="10" t="s">
        <v>4547</v>
      </c>
      <c r="C51" s="11" t="s">
        <v>4544</v>
      </c>
      <c r="D51" s="10" t="s">
        <v>4545</v>
      </c>
      <c r="E51" s="10" t="n">
        <v>1</v>
      </c>
      <c r="F51" s="10" t="s">
        <v>4433</v>
      </c>
      <c r="G51" s="10" t="s">
        <v>4393</v>
      </c>
      <c r="H51" s="10" t="s">
        <v>4434</v>
      </c>
      <c r="I51" s="10" t="s">
        <v>4397</v>
      </c>
      <c r="J51" s="12" t="n">
        <v>10</v>
      </c>
    </row>
    <row r="52" customFormat="false" ht="15" hidden="false" customHeight="false" outlineLevel="0" collapsed="false">
      <c r="A52" s="10" t="s">
        <v>4548</v>
      </c>
      <c r="B52" s="10" t="s">
        <v>4549</v>
      </c>
      <c r="C52" s="11" t="s">
        <v>4544</v>
      </c>
      <c r="D52" s="10" t="s">
        <v>4545</v>
      </c>
      <c r="E52" s="10" t="n">
        <v>1</v>
      </c>
      <c r="F52" s="10" t="s">
        <v>4433</v>
      </c>
      <c r="G52" s="10" t="s">
        <v>4393</v>
      </c>
      <c r="H52" s="10" t="s">
        <v>4434</v>
      </c>
      <c r="I52" s="10" t="s">
        <v>4397</v>
      </c>
      <c r="J52" s="12" t="n">
        <v>100</v>
      </c>
    </row>
    <row r="53" customFormat="false" ht="15" hidden="false" customHeight="false" outlineLevel="0" collapsed="false">
      <c r="A53" s="10" t="s">
        <v>4550</v>
      </c>
      <c r="B53" s="10" t="s">
        <v>4551</v>
      </c>
      <c r="C53" s="11" t="s">
        <v>4552</v>
      </c>
      <c r="D53" s="10" t="s">
        <v>401</v>
      </c>
      <c r="E53" s="10" t="n">
        <v>1</v>
      </c>
      <c r="F53" s="10" t="s">
        <v>4433</v>
      </c>
      <c r="G53" s="10" t="s">
        <v>4393</v>
      </c>
      <c r="H53" s="10" t="s">
        <v>4434</v>
      </c>
      <c r="I53" s="10" t="s">
        <v>4397</v>
      </c>
      <c r="J53" s="12" t="n">
        <v>0.184347357556488</v>
      </c>
    </row>
    <row r="54" customFormat="false" ht="15" hidden="false" customHeight="false" outlineLevel="0" collapsed="false">
      <c r="A54" s="10" t="s">
        <v>4553</v>
      </c>
      <c r="B54" s="10" t="s">
        <v>4554</v>
      </c>
      <c r="C54" s="11" t="s">
        <v>4555</v>
      </c>
      <c r="D54" s="10" t="s">
        <v>401</v>
      </c>
      <c r="E54" s="10" t="n">
        <v>1</v>
      </c>
      <c r="F54" s="10" t="s">
        <v>4433</v>
      </c>
      <c r="G54" s="10" t="s">
        <v>4393</v>
      </c>
      <c r="H54" s="10" t="s">
        <v>4434</v>
      </c>
      <c r="I54" s="10" t="s">
        <v>4397</v>
      </c>
      <c r="J54" s="12" t="n">
        <v>0.563043227262404</v>
      </c>
    </row>
    <row r="55" customFormat="false" ht="15" hidden="false" customHeight="false" outlineLevel="0" collapsed="false">
      <c r="A55" s="10" t="s">
        <v>4556</v>
      </c>
      <c r="B55" s="10" t="s">
        <v>4557</v>
      </c>
      <c r="C55" s="11" t="s">
        <v>4558</v>
      </c>
      <c r="D55" s="10" t="s">
        <v>401</v>
      </c>
      <c r="E55" s="10" t="n">
        <v>1</v>
      </c>
      <c r="F55" s="10" t="s">
        <v>4433</v>
      </c>
      <c r="G55" s="10" t="s">
        <v>4393</v>
      </c>
      <c r="H55" s="10" t="s">
        <v>4434</v>
      </c>
      <c r="I55" s="10" t="s">
        <v>4397</v>
      </c>
      <c r="J55" s="12" t="n">
        <v>0.185008599902928</v>
      </c>
    </row>
    <row r="56" customFormat="false" ht="15" hidden="false" customHeight="false" outlineLevel="0" collapsed="false">
      <c r="A56" s="10" t="s">
        <v>4559</v>
      </c>
      <c r="B56" s="10" t="s">
        <v>4560</v>
      </c>
      <c r="C56" s="11" t="s">
        <v>4561</v>
      </c>
      <c r="D56" s="10" t="s">
        <v>4527</v>
      </c>
      <c r="E56" s="10" t="n">
        <v>1</v>
      </c>
      <c r="F56" s="10" t="s">
        <v>4433</v>
      </c>
      <c r="G56" s="10" t="s">
        <v>4393</v>
      </c>
      <c r="H56" s="10" t="s">
        <v>4434</v>
      </c>
      <c r="I56" s="10" t="s">
        <v>4397</v>
      </c>
      <c r="J56" s="12" t="n">
        <v>0.89809617101894</v>
      </c>
    </row>
    <row r="57" customFormat="false" ht="15" hidden="false" customHeight="false" outlineLevel="0" collapsed="false">
      <c r="A57" s="10" t="s">
        <v>4562</v>
      </c>
      <c r="B57" s="10" t="s">
        <v>4563</v>
      </c>
      <c r="C57" s="11" t="s">
        <v>4564</v>
      </c>
      <c r="D57" s="10" t="s">
        <v>4565</v>
      </c>
      <c r="E57" s="10" t="n">
        <v>1</v>
      </c>
      <c r="F57" s="10" t="s">
        <v>4433</v>
      </c>
      <c r="G57" s="10" t="s">
        <v>4393</v>
      </c>
      <c r="H57" s="10" t="s">
        <v>4434</v>
      </c>
      <c r="I57" s="10" t="s">
        <v>4397</v>
      </c>
      <c r="J57" s="12" t="n">
        <v>0.202980591668232</v>
      </c>
    </row>
    <row r="58" customFormat="false" ht="15" hidden="false" customHeight="false" outlineLevel="0" collapsed="false">
      <c r="A58" s="10" t="s">
        <v>4566</v>
      </c>
      <c r="B58" s="10" t="s">
        <v>4567</v>
      </c>
      <c r="C58" s="11" t="s">
        <v>4568</v>
      </c>
      <c r="D58" s="10" t="s">
        <v>4432</v>
      </c>
      <c r="E58" s="10" t="n">
        <v>1</v>
      </c>
      <c r="F58" s="10" t="s">
        <v>4433</v>
      </c>
      <c r="G58" s="10" t="s">
        <v>4393</v>
      </c>
      <c r="H58" s="10" t="s">
        <v>4434</v>
      </c>
      <c r="I58" s="10" t="s">
        <v>4397</v>
      </c>
      <c r="J58" s="12" t="n">
        <v>6015200000</v>
      </c>
    </row>
    <row r="59" customFormat="false" ht="15" hidden="false" customHeight="false" outlineLevel="0" collapsed="false">
      <c r="A59" s="10" t="s">
        <v>4569</v>
      </c>
      <c r="B59" s="10" t="s">
        <v>4570</v>
      </c>
      <c r="C59" s="11" t="s">
        <v>4571</v>
      </c>
      <c r="D59" s="11" t="s">
        <v>1691</v>
      </c>
      <c r="E59" s="10" t="n">
        <v>1</v>
      </c>
      <c r="F59" s="10" t="s">
        <v>4433</v>
      </c>
      <c r="G59" s="10" t="s">
        <v>4393</v>
      </c>
      <c r="H59" s="10" t="s">
        <v>4434</v>
      </c>
      <c r="I59" s="10" t="s">
        <v>4397</v>
      </c>
      <c r="J59" s="12" t="n">
        <v>11.3588952994222</v>
      </c>
    </row>
    <row r="60" customFormat="false" ht="15" hidden="false" customHeight="false" outlineLevel="0" collapsed="false">
      <c r="A60" s="10" t="s">
        <v>4572</v>
      </c>
      <c r="B60" s="10" t="s">
        <v>4573</v>
      </c>
      <c r="C60" s="11" t="s">
        <v>4574</v>
      </c>
      <c r="D60" s="10" t="s">
        <v>4575</v>
      </c>
      <c r="E60" s="10" t="n">
        <v>15</v>
      </c>
      <c r="F60" s="10" t="s">
        <v>4433</v>
      </c>
      <c r="G60" s="10" t="s">
        <v>4393</v>
      </c>
      <c r="H60" s="10" t="s">
        <v>4434</v>
      </c>
      <c r="I60" s="10" t="s">
        <v>4397</v>
      </c>
      <c r="J60" s="12" t="n">
        <v>133.145929606144</v>
      </c>
      <c r="K60" s="12" t="n">
        <v>190.238900722181</v>
      </c>
      <c r="L60" s="12" t="n">
        <v>326.710163739702</v>
      </c>
      <c r="M60" s="12" t="n">
        <v>47.799736830449</v>
      </c>
      <c r="N60" s="12" t="n">
        <v>63.8227036445258</v>
      </c>
      <c r="O60" s="12" t="n">
        <v>103.515294678045</v>
      </c>
      <c r="P60" s="12" t="n">
        <v>69.1026515613069</v>
      </c>
      <c r="Q60" s="12" t="n">
        <v>89.2500735203584</v>
      </c>
      <c r="R60" s="12" t="n">
        <v>151.95260160482</v>
      </c>
      <c r="S60" s="12" t="n">
        <v>47.581600636821</v>
      </c>
      <c r="T60" s="12" t="n">
        <v>61.1546231086832</v>
      </c>
      <c r="U60" s="12" t="n">
        <v>98.7971873841935</v>
      </c>
      <c r="V60" s="12" t="n">
        <v>34.4123163173522</v>
      </c>
      <c r="W60" s="12" t="n">
        <v>52.3020023235234</v>
      </c>
      <c r="X60" s="12" t="n">
        <v>95.4794744985908</v>
      </c>
    </row>
    <row r="61" customFormat="false" ht="15" hidden="false" customHeight="false" outlineLevel="0" collapsed="false">
      <c r="A61" s="10" t="s">
        <v>4576</v>
      </c>
      <c r="B61" s="10" t="s">
        <v>4577</v>
      </c>
      <c r="C61" s="11" t="s">
        <v>4578</v>
      </c>
      <c r="D61" s="10" t="s">
        <v>4575</v>
      </c>
      <c r="E61" s="10" t="n">
        <v>15</v>
      </c>
      <c r="F61" s="10" t="s">
        <v>4433</v>
      </c>
      <c r="G61" s="10" t="s">
        <v>4393</v>
      </c>
      <c r="H61" s="10" t="s">
        <v>4434</v>
      </c>
      <c r="I61" s="10" t="s">
        <v>4397</v>
      </c>
      <c r="J61" s="12" t="n">
        <v>7.87284530827463</v>
      </c>
      <c r="K61" s="12" t="n">
        <v>11.2487211695643</v>
      </c>
      <c r="L61" s="12" t="n">
        <v>19.3181916065503</v>
      </c>
      <c r="M61" s="12" t="n">
        <v>2.28484605928668</v>
      </c>
      <c r="N61" s="12" t="n">
        <v>3.05075012091539</v>
      </c>
      <c r="O61" s="12" t="n">
        <v>4.94807144984878</v>
      </c>
      <c r="P61" s="12" t="n">
        <v>3.50743929439388</v>
      </c>
      <c r="Q61" s="12" t="n">
        <v>4.53006082719016</v>
      </c>
      <c r="R61" s="12" t="n">
        <v>7.71264942389781</v>
      </c>
      <c r="S61" s="12" t="n">
        <v>2.62098107419554</v>
      </c>
      <c r="T61" s="12" t="n">
        <v>3.36863635569634</v>
      </c>
      <c r="U61" s="12" t="n">
        <v>5.44213634791714</v>
      </c>
      <c r="V61" s="12" t="n">
        <v>1.80639626932665</v>
      </c>
      <c r="W61" s="12" t="n">
        <v>2.74547464356203</v>
      </c>
      <c r="X61" s="12" t="n">
        <v>5.01197783203435</v>
      </c>
    </row>
    <row r="62" customFormat="false" ht="15" hidden="false" customHeight="false" outlineLevel="0" collapsed="false">
      <c r="A62" s="10" t="s">
        <v>4579</v>
      </c>
      <c r="B62" s="10" t="s">
        <v>4580</v>
      </c>
      <c r="C62" s="11" t="s">
        <v>4581</v>
      </c>
      <c r="D62" s="10" t="s">
        <v>4575</v>
      </c>
      <c r="E62" s="10" t="n">
        <v>15</v>
      </c>
      <c r="F62" s="10" t="s">
        <v>4433</v>
      </c>
      <c r="G62" s="10" t="s">
        <v>4393</v>
      </c>
      <c r="H62" s="10" t="s">
        <v>4434</v>
      </c>
      <c r="I62" s="10" t="s">
        <v>4397</v>
      </c>
      <c r="J62" s="12" t="n">
        <v>21.8650135797258</v>
      </c>
      <c r="K62" s="12" t="n">
        <v>31.2407308280994</v>
      </c>
      <c r="L62" s="12" t="n">
        <v>53.6518253913892</v>
      </c>
      <c r="M62" s="12" t="n">
        <v>7.33726068087892</v>
      </c>
      <c r="N62" s="12" t="n">
        <v>9.79678644799702</v>
      </c>
      <c r="O62" s="12" t="n">
        <v>15.8896000663123</v>
      </c>
      <c r="P62" s="12" t="n">
        <v>10.7756147095243</v>
      </c>
      <c r="Q62" s="12" t="n">
        <v>13.9173299912937</v>
      </c>
      <c r="R62" s="12" t="n">
        <v>23.6949328572539</v>
      </c>
      <c r="S62" s="12" t="n">
        <v>7.63477460577875</v>
      </c>
      <c r="T62" s="12" t="n">
        <v>9.8126535738025</v>
      </c>
      <c r="U62" s="12" t="n">
        <v>15.8526457132149</v>
      </c>
      <c r="V62" s="12" t="n">
        <v>5.44209630592475</v>
      </c>
      <c r="W62" s="12" t="n">
        <v>8.27124018657791</v>
      </c>
      <c r="X62" s="12" t="n">
        <v>15.0994920152587</v>
      </c>
    </row>
    <row r="63" customFormat="false" ht="15" hidden="false" customHeight="false" outlineLevel="0" collapsed="false">
      <c r="A63" s="10" t="s">
        <v>4582</v>
      </c>
      <c r="B63" s="10" t="s">
        <v>4583</v>
      </c>
      <c r="C63" s="11" t="s">
        <v>4584</v>
      </c>
      <c r="D63" s="10" t="s">
        <v>4445</v>
      </c>
      <c r="E63" s="10" t="n">
        <v>15</v>
      </c>
      <c r="F63" s="10" t="s">
        <v>4433</v>
      </c>
      <c r="G63" s="10" t="s">
        <v>4393</v>
      </c>
      <c r="H63" s="10" t="s">
        <v>4434</v>
      </c>
      <c r="I63" s="10" t="s">
        <v>4397</v>
      </c>
      <c r="J63" s="12" t="n">
        <v>32.8285826038219</v>
      </c>
      <c r="K63" s="12" t="n">
        <v>32.8285826038219</v>
      </c>
      <c r="L63" s="12" t="n">
        <v>32.8285826038219</v>
      </c>
      <c r="M63" s="12" t="n">
        <v>162.357347120574</v>
      </c>
      <c r="N63" s="12" t="n">
        <v>162.357347120574</v>
      </c>
      <c r="O63" s="12" t="n">
        <v>162.357347120574</v>
      </c>
      <c r="P63" s="12" t="n">
        <v>189.275075427389</v>
      </c>
      <c r="Q63" s="12" t="n">
        <v>189.275075427389</v>
      </c>
      <c r="R63" s="12" t="n">
        <v>189.275075427389</v>
      </c>
      <c r="S63" s="12" t="n">
        <v>335.686266761199</v>
      </c>
      <c r="T63" s="12" t="n">
        <v>335.686266761199</v>
      </c>
      <c r="U63" s="12" t="n">
        <v>335.686266761199</v>
      </c>
      <c r="V63" s="12" t="n">
        <v>475.005316946174</v>
      </c>
      <c r="W63" s="12" t="n">
        <v>475.005316946174</v>
      </c>
      <c r="X63" s="12" t="n">
        <v>475.005316946174</v>
      </c>
    </row>
    <row r="64" customFormat="false" ht="15" hidden="false" customHeight="false" outlineLevel="0" collapsed="false">
      <c r="A64" s="10" t="s">
        <v>4585</v>
      </c>
      <c r="B64" s="10" t="s">
        <v>4586</v>
      </c>
      <c r="C64" s="11" t="s">
        <v>4584</v>
      </c>
      <c r="D64" s="10" t="s">
        <v>4445</v>
      </c>
      <c r="E64" s="10" t="n">
        <v>15</v>
      </c>
      <c r="F64" s="10" t="s">
        <v>4433</v>
      </c>
      <c r="G64" s="10" t="s">
        <v>4393</v>
      </c>
      <c r="H64" s="10" t="s">
        <v>4434</v>
      </c>
      <c r="I64" s="10" t="s">
        <v>4397</v>
      </c>
      <c r="J64" s="12" t="n">
        <v>5.41089756914487</v>
      </c>
      <c r="K64" s="12" t="n">
        <v>5.41089756914487</v>
      </c>
      <c r="L64" s="12" t="n">
        <v>5.41089756914487</v>
      </c>
      <c r="M64" s="12" t="n">
        <v>26.8952733902608</v>
      </c>
      <c r="N64" s="12" t="n">
        <v>26.8952733902608</v>
      </c>
      <c r="O64" s="12" t="n">
        <v>26.8952733902608</v>
      </c>
      <c r="P64" s="12" t="n">
        <v>34.8667275721655</v>
      </c>
      <c r="Q64" s="12" t="n">
        <v>34.8667275721655</v>
      </c>
      <c r="R64" s="12" t="n">
        <v>34.8667275721655</v>
      </c>
      <c r="S64" s="12" t="n">
        <v>50.299413649228</v>
      </c>
      <c r="T64" s="12" t="n">
        <v>50.299413649228</v>
      </c>
      <c r="U64" s="12" t="n">
        <v>50.299413649228</v>
      </c>
      <c r="V64" s="12" t="n">
        <v>67.7198685975468</v>
      </c>
      <c r="W64" s="12" t="n">
        <v>67.7198685975468</v>
      </c>
      <c r="X64" s="12" t="n">
        <v>67.7198685975468</v>
      </c>
    </row>
    <row r="65" customFormat="false" ht="15" hidden="false" customHeight="false" outlineLevel="0" collapsed="false">
      <c r="A65" s="10" t="s">
        <v>4587</v>
      </c>
      <c r="B65" s="10" t="s">
        <v>4588</v>
      </c>
      <c r="C65" s="11" t="s">
        <v>4584</v>
      </c>
      <c r="D65" s="10" t="s">
        <v>4445</v>
      </c>
      <c r="E65" s="10" t="n">
        <v>15</v>
      </c>
      <c r="F65" s="10" t="s">
        <v>4433</v>
      </c>
      <c r="G65" s="10" t="s">
        <v>4393</v>
      </c>
      <c r="H65" s="10" t="s">
        <v>4434</v>
      </c>
      <c r="I65" s="10" t="s">
        <v>4397</v>
      </c>
      <c r="J65" s="12" t="n">
        <v>32.4330286484338</v>
      </c>
      <c r="K65" s="12" t="n">
        <v>32.4330286484338</v>
      </c>
      <c r="L65" s="12" t="n">
        <v>32.4330286484338</v>
      </c>
      <c r="M65" s="12" t="n">
        <v>157.865737418946</v>
      </c>
      <c r="N65" s="12" t="n">
        <v>157.865737418946</v>
      </c>
      <c r="O65" s="12" t="n">
        <v>157.865737418946</v>
      </c>
      <c r="P65" s="12" t="n">
        <v>204.746908336412</v>
      </c>
      <c r="Q65" s="12" t="n">
        <v>204.746908336412</v>
      </c>
      <c r="R65" s="12" t="n">
        <v>204.746908336412</v>
      </c>
      <c r="S65" s="12" t="n">
        <v>307.586504136986</v>
      </c>
      <c r="T65" s="12" t="n">
        <v>307.586504136986</v>
      </c>
      <c r="U65" s="12" t="n">
        <v>307.586504136986</v>
      </c>
      <c r="V65" s="12" t="n">
        <v>418.858593711675</v>
      </c>
      <c r="W65" s="12" t="n">
        <v>418.858593711675</v>
      </c>
      <c r="X65" s="12" t="n">
        <v>418.858593711675</v>
      </c>
    </row>
    <row r="66" customFormat="false" ht="15" hidden="false" customHeight="false" outlineLevel="0" collapsed="false">
      <c r="A66" s="10" t="s">
        <v>4589</v>
      </c>
      <c r="B66" s="10" t="s">
        <v>4590</v>
      </c>
      <c r="C66" s="11" t="s">
        <v>4591</v>
      </c>
      <c r="D66" s="10" t="s">
        <v>4449</v>
      </c>
      <c r="E66" s="10" t="n">
        <v>15</v>
      </c>
      <c r="F66" s="10" t="s">
        <v>4433</v>
      </c>
      <c r="G66" s="10" t="s">
        <v>4393</v>
      </c>
      <c r="H66" s="10" t="s">
        <v>4434</v>
      </c>
      <c r="I66" s="10" t="s">
        <v>4397</v>
      </c>
      <c r="J66" s="12" t="n">
        <v>8.37597131767689</v>
      </c>
      <c r="K66" s="12" t="n">
        <v>11.9672141592289</v>
      </c>
      <c r="L66" s="12" t="n">
        <v>20.5514835851995</v>
      </c>
      <c r="M66" s="12" t="n">
        <v>1.67604698239201</v>
      </c>
      <c r="N66" s="12" t="n">
        <v>2.23757982051207</v>
      </c>
      <c r="O66" s="12" t="n">
        <v>3.62862640720346</v>
      </c>
      <c r="P66" s="12" t="n">
        <v>1.76284570954953</v>
      </c>
      <c r="Q66" s="12" t="n">
        <v>2.27655571119161</v>
      </c>
      <c r="R66" s="12" t="n">
        <v>3.87531687630239</v>
      </c>
      <c r="S66" s="12" t="n">
        <v>1.18776185214537</v>
      </c>
      <c r="T66" s="12" t="n">
        <v>1.52633508268063</v>
      </c>
      <c r="U66" s="12" t="n">
        <v>2.46531272150879</v>
      </c>
      <c r="V66" s="12" t="n">
        <v>0.909184613506693</v>
      </c>
      <c r="W66" s="12" t="n">
        <v>1.38139206389233</v>
      </c>
      <c r="X66" s="12" t="n">
        <v>2.52108361816848</v>
      </c>
    </row>
    <row r="67" customFormat="false" ht="15" hidden="false" customHeight="false" outlineLevel="0" collapsed="false">
      <c r="A67" s="10" t="s">
        <v>4592</v>
      </c>
      <c r="B67" s="10" t="s">
        <v>4593</v>
      </c>
      <c r="C67" s="11" t="s">
        <v>4594</v>
      </c>
      <c r="D67" s="10" t="s">
        <v>4449</v>
      </c>
      <c r="E67" s="10" t="n">
        <v>15</v>
      </c>
      <c r="F67" s="10" t="s">
        <v>4433</v>
      </c>
      <c r="G67" s="10" t="s">
        <v>4393</v>
      </c>
      <c r="H67" s="10" t="s">
        <v>4434</v>
      </c>
      <c r="I67" s="10" t="s">
        <v>4397</v>
      </c>
      <c r="J67" s="12" t="n">
        <v>0.212513608042025</v>
      </c>
      <c r="K67" s="12" t="n">
        <v>0.303630174195324</v>
      </c>
      <c r="L67" s="12" t="n">
        <v>0.52142918905982</v>
      </c>
      <c r="M67" s="12" t="n">
        <v>0.0379021572432986</v>
      </c>
      <c r="N67" s="12" t="n">
        <v>0.0506007555302371</v>
      </c>
      <c r="O67" s="12" t="n">
        <v>0.0820581176000116</v>
      </c>
      <c r="P67" s="12" t="n">
        <v>0.0394990702371519</v>
      </c>
      <c r="Q67" s="12" t="n">
        <v>0.0510093723279292</v>
      </c>
      <c r="R67" s="12" t="n">
        <v>0.0868315753658399</v>
      </c>
      <c r="S67" s="12" t="n">
        <v>0.0300930289619664</v>
      </c>
      <c r="T67" s="12" t="n">
        <v>0.038671399449487</v>
      </c>
      <c r="U67" s="12" t="n">
        <v>0.0624621109969744</v>
      </c>
      <c r="V67" s="12" t="n">
        <v>0.0229208408319282</v>
      </c>
      <c r="W67" s="12" t="n">
        <v>0.034826063901107</v>
      </c>
      <c r="X67" s="12" t="n">
        <v>0.0635597955960129</v>
      </c>
    </row>
    <row r="68" customFormat="false" ht="15" hidden="false" customHeight="false" outlineLevel="0" collapsed="false">
      <c r="A68" s="10" t="s">
        <v>4595</v>
      </c>
      <c r="B68" s="10" t="s">
        <v>4596</v>
      </c>
      <c r="C68" s="11" t="s">
        <v>4597</v>
      </c>
      <c r="D68" s="10" t="s">
        <v>4449</v>
      </c>
      <c r="E68" s="10" t="n">
        <v>15</v>
      </c>
      <c r="F68" s="10" t="s">
        <v>4433</v>
      </c>
      <c r="G68" s="10" t="s">
        <v>4393</v>
      </c>
      <c r="H68" s="10" t="s">
        <v>4434</v>
      </c>
      <c r="I68" s="10" t="s">
        <v>4397</v>
      </c>
      <c r="J68" s="12" t="n">
        <v>0.612147517744397</v>
      </c>
      <c r="K68" s="12" t="n">
        <v>0.874618366438229</v>
      </c>
      <c r="L68" s="12" t="n">
        <v>1.50201132788924</v>
      </c>
      <c r="M68" s="12" t="n">
        <v>0.119083174299561</v>
      </c>
      <c r="N68" s="12" t="n">
        <v>0.158987469501826</v>
      </c>
      <c r="O68" s="12" t="n">
        <v>0.257839628925434</v>
      </c>
      <c r="P68" s="12" t="n">
        <v>0.120947669135898</v>
      </c>
      <c r="Q68" s="12" t="n">
        <v>0.156198775124104</v>
      </c>
      <c r="R68" s="12" t="n">
        <v>0.265906779836878</v>
      </c>
      <c r="S68" s="12" t="n">
        <v>0.0882322144931937</v>
      </c>
      <c r="T68" s="12" t="n">
        <v>0.113389480552912</v>
      </c>
      <c r="U68" s="12" t="n">
        <v>0.183159055208242</v>
      </c>
      <c r="V68" s="12" t="n">
        <v>0.0679801329179448</v>
      </c>
      <c r="W68" s="12" t="n">
        <v>0.103299531016465</v>
      </c>
      <c r="X68" s="12" t="n">
        <v>0.18854430994176</v>
      </c>
    </row>
    <row r="69" customFormat="false" ht="15" hidden="false" customHeight="false" outlineLevel="0" collapsed="false">
      <c r="A69" s="10" t="s">
        <v>4598</v>
      </c>
      <c r="B69" s="10" t="s">
        <v>4599</v>
      </c>
      <c r="C69" s="11" t="s">
        <v>4600</v>
      </c>
      <c r="D69" s="10" t="s">
        <v>4445</v>
      </c>
      <c r="E69" s="10" t="n">
        <v>1</v>
      </c>
      <c r="F69" s="10" t="s">
        <v>4433</v>
      </c>
      <c r="G69" s="10" t="s">
        <v>4393</v>
      </c>
      <c r="H69" s="10" t="s">
        <v>4434</v>
      </c>
      <c r="I69" s="10" t="s">
        <v>4397</v>
      </c>
      <c r="J69" s="12" t="n">
        <v>1.90685722450505</v>
      </c>
    </row>
    <row r="70" customFormat="false" ht="15" hidden="false" customHeight="false" outlineLevel="0" collapsed="false">
      <c r="A70" s="10" t="s">
        <v>4601</v>
      </c>
      <c r="B70" s="10" t="s">
        <v>4602</v>
      </c>
      <c r="C70" s="11" t="s">
        <v>4603</v>
      </c>
      <c r="D70" s="10" t="s">
        <v>4445</v>
      </c>
      <c r="E70" s="10" t="n">
        <v>1</v>
      </c>
      <c r="F70" s="10" t="s">
        <v>4433</v>
      </c>
      <c r="G70" s="10" t="s">
        <v>4393</v>
      </c>
      <c r="H70" s="10" t="s">
        <v>4434</v>
      </c>
      <c r="I70" s="10" t="s">
        <v>4397</v>
      </c>
      <c r="J70" s="12" t="n">
        <v>0.953428612252527</v>
      </c>
    </row>
    <row r="71" customFormat="false" ht="15" hidden="false" customHeight="false" outlineLevel="0" collapsed="false">
      <c r="A71" s="10" t="s">
        <v>4604</v>
      </c>
      <c r="B71" s="10" t="s">
        <v>4605</v>
      </c>
      <c r="C71" s="11" t="s">
        <v>4606</v>
      </c>
      <c r="D71" s="10" t="s">
        <v>4445</v>
      </c>
      <c r="E71" s="10" t="n">
        <v>1</v>
      </c>
      <c r="F71" s="10" t="s">
        <v>4433</v>
      </c>
      <c r="G71" s="10" t="s">
        <v>4393</v>
      </c>
      <c r="H71" s="10" t="s">
        <v>4434</v>
      </c>
      <c r="I71" s="10" t="s">
        <v>4397</v>
      </c>
      <c r="J71" s="12" t="n">
        <v>13.3480005715354</v>
      </c>
    </row>
    <row r="72" customFormat="false" ht="15" hidden="false" customHeight="false" outlineLevel="0" collapsed="false">
      <c r="A72" s="10" t="s">
        <v>4607</v>
      </c>
      <c r="B72" s="10" t="s">
        <v>4608</v>
      </c>
      <c r="C72" s="11" t="s">
        <v>4609</v>
      </c>
      <c r="D72" s="10" t="s">
        <v>4514</v>
      </c>
      <c r="E72" s="10" t="n">
        <v>15</v>
      </c>
      <c r="F72" s="10" t="s">
        <v>4433</v>
      </c>
      <c r="G72" s="10" t="s">
        <v>4393</v>
      </c>
      <c r="H72" s="10" t="s">
        <v>4434</v>
      </c>
      <c r="I72" s="10" t="s">
        <v>4397</v>
      </c>
      <c r="J72" s="12" t="n">
        <v>31.6322694</v>
      </c>
      <c r="K72" s="12" t="n">
        <v>40.180214</v>
      </c>
      <c r="L72" s="12" t="n">
        <v>50.3067434</v>
      </c>
      <c r="M72" s="12" t="n">
        <v>30.8513904</v>
      </c>
      <c r="N72" s="12" t="n">
        <v>36.685174</v>
      </c>
      <c r="O72" s="12" t="n">
        <v>43.8362044</v>
      </c>
      <c r="P72" s="12" t="n">
        <v>38.7669024</v>
      </c>
      <c r="Q72" s="12" t="n">
        <v>44.907224</v>
      </c>
      <c r="R72" s="12" t="n">
        <v>55.4686064</v>
      </c>
      <c r="S72" s="12" t="n">
        <v>43.4854032</v>
      </c>
      <c r="T72" s="12" t="n">
        <v>50.256352</v>
      </c>
      <c r="U72" s="12" t="n">
        <v>58.8235752</v>
      </c>
      <c r="V72" s="12" t="n">
        <v>46.057578</v>
      </c>
      <c r="W72" s="12" t="n">
        <v>62.75578</v>
      </c>
      <c r="X72" s="12" t="n">
        <v>81.667558</v>
      </c>
    </row>
    <row r="73" customFormat="false" ht="15" hidden="false" customHeight="false" outlineLevel="0" collapsed="false">
      <c r="A73" s="10" t="s">
        <v>4610</v>
      </c>
      <c r="B73" s="10" t="s">
        <v>4611</v>
      </c>
      <c r="C73" s="11" t="s">
        <v>4612</v>
      </c>
      <c r="D73" s="10" t="s">
        <v>4449</v>
      </c>
      <c r="E73" s="10" t="n">
        <v>15</v>
      </c>
      <c r="F73" s="10" t="s">
        <v>4433</v>
      </c>
      <c r="G73" s="10" t="s">
        <v>4393</v>
      </c>
      <c r="H73" s="10" t="s">
        <v>4434</v>
      </c>
      <c r="I73" s="10" t="s">
        <v>4397</v>
      </c>
      <c r="J73" s="12" t="n">
        <v>0.000172743177629224</v>
      </c>
      <c r="K73" s="12" t="n">
        <v>0.000246815447656943</v>
      </c>
      <c r="L73" s="12" t="n">
        <v>0.000423872904076792</v>
      </c>
      <c r="M73" s="12" t="n">
        <v>0.000240676503089255</v>
      </c>
      <c r="N73" s="12" t="n">
        <v>0.000321353759443325</v>
      </c>
      <c r="O73" s="12" t="n">
        <v>0.000521209964559791</v>
      </c>
      <c r="P73" s="12" t="n">
        <v>0.000316119027527436</v>
      </c>
      <c r="Q73" s="12" t="n">
        <v>0.000408286018127352</v>
      </c>
      <c r="R73" s="12" t="n">
        <v>0.000695126852071133</v>
      </c>
      <c r="S73" s="12" t="n">
        <v>0.000595510326598316</v>
      </c>
      <c r="T73" s="12" t="n">
        <v>0.000765384289158751</v>
      </c>
      <c r="U73" s="12" t="n">
        <v>0.00123650202050216</v>
      </c>
      <c r="V73" s="12" t="n">
        <v>0.00094742947287411</v>
      </c>
      <c r="W73" s="12" t="n">
        <v>0.00143996289103764</v>
      </c>
      <c r="X73" s="12" t="n">
        <v>0.00262871198091606</v>
      </c>
    </row>
    <row r="74" customFormat="false" ht="15" hidden="false" customHeight="false" outlineLevel="0" collapsed="false">
      <c r="A74" s="10" t="s">
        <v>4613</v>
      </c>
      <c r="B74" s="10" t="s">
        <v>4614</v>
      </c>
      <c r="C74" s="11" t="s">
        <v>4612</v>
      </c>
      <c r="D74" s="10" t="s">
        <v>4449</v>
      </c>
      <c r="E74" s="10" t="n">
        <v>15</v>
      </c>
      <c r="F74" s="10" t="s">
        <v>4433</v>
      </c>
      <c r="G74" s="10" t="s">
        <v>4393</v>
      </c>
      <c r="H74" s="10" t="s">
        <v>4434</v>
      </c>
      <c r="I74" s="10" t="s">
        <v>4397</v>
      </c>
      <c r="J74" s="12" t="n">
        <v>8.3822427339181E-006</v>
      </c>
      <c r="K74" s="12" t="n">
        <v>1.19765481979367E-005</v>
      </c>
      <c r="L74" s="12" t="n">
        <v>2.05681383141429E-005</v>
      </c>
      <c r="M74" s="12" t="n">
        <v>1.16786601759456E-005</v>
      </c>
      <c r="N74" s="12" t="n">
        <v>1.55934680146544E-005</v>
      </c>
      <c r="O74" s="12" t="n">
        <v>2.52913515788996E-005</v>
      </c>
      <c r="P74" s="12" t="n">
        <v>1.53394562836664E-005</v>
      </c>
      <c r="Q74" s="12" t="n">
        <v>1.98117954976727E-005</v>
      </c>
      <c r="R74" s="12" t="n">
        <v>3.37305477697711E-005</v>
      </c>
      <c r="S74" s="12" t="n">
        <v>2.88967250493453E-005</v>
      </c>
      <c r="T74" s="12" t="n">
        <v>3.71397411145609E-005</v>
      </c>
      <c r="U74" s="12" t="n">
        <v>6.00004018629087E-005</v>
      </c>
      <c r="V74" s="12" t="n">
        <v>4.59733572340822E-005</v>
      </c>
      <c r="W74" s="12" t="n">
        <v>6.98731993133716E-005</v>
      </c>
      <c r="X74" s="12" t="n">
        <v>0.000127556423379521</v>
      </c>
    </row>
    <row r="75" customFormat="false" ht="15" hidden="false" customHeight="false" outlineLevel="0" collapsed="false">
      <c r="A75" s="10" t="s">
        <v>4615</v>
      </c>
      <c r="B75" s="10" t="s">
        <v>4616</v>
      </c>
      <c r="C75" s="11" t="s">
        <v>4612</v>
      </c>
      <c r="D75" s="10" t="s">
        <v>4449</v>
      </c>
      <c r="E75" s="10" t="n">
        <v>15</v>
      </c>
      <c r="F75" s="10" t="s">
        <v>4433</v>
      </c>
      <c r="G75" s="10" t="s">
        <v>4393</v>
      </c>
      <c r="H75" s="10" t="s">
        <v>4434</v>
      </c>
      <c r="I75" s="10" t="s">
        <v>4397</v>
      </c>
      <c r="J75" s="12" t="n">
        <v>1.18910885295117E-005</v>
      </c>
      <c r="K75" s="12" t="n">
        <v>1.69899869784684E-005</v>
      </c>
      <c r="L75" s="12" t="n">
        <v>2.91780566782028E-005</v>
      </c>
      <c r="M75" s="12" t="n">
        <v>1.65674016449461E-005</v>
      </c>
      <c r="N75" s="12" t="n">
        <v>2.21209662533469E-005</v>
      </c>
      <c r="O75" s="12" t="n">
        <v>3.58784289840203E-005</v>
      </c>
      <c r="P75" s="12" t="n">
        <v>2.17606240303174E-005</v>
      </c>
      <c r="Q75" s="12" t="n">
        <v>2.81051052408846E-005</v>
      </c>
      <c r="R75" s="12" t="n">
        <v>4.7850311952466E-005</v>
      </c>
      <c r="S75" s="12" t="n">
        <v>4.09930285583736E-005</v>
      </c>
      <c r="T75" s="12" t="n">
        <v>5.2686609488098E-005</v>
      </c>
      <c r="U75" s="12" t="n">
        <v>8.51168491543588E-005</v>
      </c>
      <c r="V75" s="12" t="n">
        <v>6.52180184018376E-005</v>
      </c>
      <c r="W75" s="12" t="n">
        <v>9.91224455375737E-005</v>
      </c>
      <c r="X75" s="12" t="n">
        <v>0.000180952135491878</v>
      </c>
    </row>
    <row r="76" customFormat="false" ht="15" hidden="false" customHeight="false" outlineLevel="0" collapsed="false">
      <c r="A76" s="10" t="s">
        <v>4617</v>
      </c>
      <c r="B76" s="10" t="s">
        <v>4618</v>
      </c>
      <c r="C76" s="10" t="s">
        <v>4619</v>
      </c>
      <c r="D76" s="10" t="s">
        <v>4449</v>
      </c>
      <c r="E76" s="10" t="n">
        <v>15</v>
      </c>
      <c r="F76" s="10" t="s">
        <v>4433</v>
      </c>
      <c r="G76" s="10" t="s">
        <v>4393</v>
      </c>
      <c r="H76" s="10" t="s">
        <v>4434</v>
      </c>
      <c r="I76" s="10" t="s">
        <v>4397</v>
      </c>
      <c r="J76" s="12" t="n">
        <v>7.37325071219114</v>
      </c>
      <c r="K76" s="12" t="n">
        <v>10.5349004238096</v>
      </c>
      <c r="L76" s="12" t="n">
        <v>18.0922988378211</v>
      </c>
      <c r="M76" s="12" t="n">
        <v>1.54620311196135</v>
      </c>
      <c r="N76" s="12" t="n">
        <v>2.06450640803718</v>
      </c>
      <c r="O76" s="12" t="n">
        <v>3.34846343055243</v>
      </c>
      <c r="P76" s="12" t="n">
        <v>1.73893897604108</v>
      </c>
      <c r="Q76" s="12" t="n">
        <v>2.24594032142734</v>
      </c>
      <c r="R76" s="12" t="n">
        <v>3.82382289928538</v>
      </c>
      <c r="S76" s="12" t="n">
        <v>1.07340978673099</v>
      </c>
      <c r="T76" s="12" t="n">
        <v>1.37960829543652</v>
      </c>
      <c r="U76" s="12" t="n">
        <v>2.2287999230867</v>
      </c>
      <c r="V76" s="12" t="n">
        <v>0.798655307714581</v>
      </c>
      <c r="W76" s="12" t="n">
        <v>1.21384655931224</v>
      </c>
      <c r="X76" s="12" t="n">
        <v>2.2159272390405</v>
      </c>
    </row>
    <row r="77" customFormat="false" ht="15" hidden="false" customHeight="false" outlineLevel="0" collapsed="false">
      <c r="A77" s="10" t="s">
        <v>4620</v>
      </c>
      <c r="B77" s="10" t="s">
        <v>4621</v>
      </c>
      <c r="C77" s="10" t="s">
        <v>4619</v>
      </c>
      <c r="D77" s="10" t="s">
        <v>4449</v>
      </c>
      <c r="E77" s="10" t="n">
        <v>15</v>
      </c>
      <c r="F77" s="10" t="s">
        <v>4433</v>
      </c>
      <c r="G77" s="10" t="s">
        <v>4393</v>
      </c>
      <c r="H77" s="10" t="s">
        <v>4434</v>
      </c>
      <c r="I77" s="10" t="s">
        <v>4397</v>
      </c>
      <c r="J77" s="12" t="n">
        <v>0.405380050142216</v>
      </c>
      <c r="K77" s="12" t="n">
        <v>0.579207004989805</v>
      </c>
      <c r="L77" s="12" t="n">
        <v>0.99471146395947</v>
      </c>
      <c r="M77" s="12" t="n">
        <v>0.0874891624533162</v>
      </c>
      <c r="N77" s="12" t="n">
        <v>0.116816435771856</v>
      </c>
      <c r="O77" s="12" t="n">
        <v>0.189466868083702</v>
      </c>
      <c r="P77" s="12" t="n">
        <v>0.0881003806320243</v>
      </c>
      <c r="Q77" s="12" t="n">
        <v>0.11378674002985</v>
      </c>
      <c r="R77" s="12" t="n">
        <v>0.193727472635897</v>
      </c>
      <c r="S77" s="12" t="n">
        <v>0.0684962476429933</v>
      </c>
      <c r="T77" s="12" t="n">
        <v>0.0880353361993613</v>
      </c>
      <c r="U77" s="12" t="n">
        <v>0.142223811787074</v>
      </c>
      <c r="V77" s="12" t="n">
        <v>0.0539445549286936</v>
      </c>
      <c r="W77" s="12" t="n">
        <v>0.0819883268305102</v>
      </c>
      <c r="X77" s="12" t="n">
        <v>0.149673091144256</v>
      </c>
    </row>
    <row r="78" customFormat="false" ht="15" hidden="false" customHeight="false" outlineLevel="0" collapsed="false">
      <c r="A78" s="10" t="s">
        <v>4622</v>
      </c>
      <c r="B78" s="10" t="s">
        <v>4623</v>
      </c>
      <c r="C78" s="10" t="s">
        <v>4619</v>
      </c>
      <c r="D78" s="10" t="s">
        <v>4449</v>
      </c>
      <c r="E78" s="10" t="n">
        <v>15</v>
      </c>
      <c r="F78" s="10" t="s">
        <v>4433</v>
      </c>
      <c r="G78" s="10" t="s">
        <v>4393</v>
      </c>
      <c r="H78" s="10" t="s">
        <v>4434</v>
      </c>
      <c r="I78" s="10" t="s">
        <v>4397</v>
      </c>
      <c r="J78" s="12" t="n">
        <v>1.33394074881857</v>
      </c>
      <c r="K78" s="12" t="n">
        <v>1.905934506856</v>
      </c>
      <c r="L78" s="12" t="n">
        <v>3.2731905643285</v>
      </c>
      <c r="M78" s="12" t="n">
        <v>0.296890256417977</v>
      </c>
      <c r="N78" s="12" t="n">
        <v>0.39641094505444</v>
      </c>
      <c r="O78" s="12" t="n">
        <v>0.642946685860623</v>
      </c>
      <c r="P78" s="12" t="n">
        <v>0.29896439585097</v>
      </c>
      <c r="Q78" s="12" t="n">
        <v>0.386129818564143</v>
      </c>
      <c r="R78" s="12" t="n">
        <v>0.657404842077077</v>
      </c>
      <c r="S78" s="12" t="n">
        <v>0.22130772679342</v>
      </c>
      <c r="T78" s="12" t="n">
        <v>0.284437480916053</v>
      </c>
      <c r="U78" s="12" t="n">
        <v>0.459517558487924</v>
      </c>
      <c r="V78" s="12" t="n">
        <v>0.171872558083737</v>
      </c>
      <c r="W78" s="12" t="n">
        <v>0.261222721811166</v>
      </c>
      <c r="X78" s="12" t="n">
        <v>0.47687291303576</v>
      </c>
    </row>
    <row r="79" customFormat="false" ht="15" hidden="false" customHeight="false" outlineLevel="0" collapsed="false">
      <c r="A79" s="10" t="s">
        <v>4624</v>
      </c>
      <c r="B79" s="10" t="s">
        <v>4625</v>
      </c>
      <c r="C79" s="11" t="s">
        <v>4626</v>
      </c>
      <c r="D79" s="10" t="s">
        <v>4449</v>
      </c>
      <c r="E79" s="10" t="n">
        <v>15</v>
      </c>
      <c r="F79" s="10" t="s">
        <v>4433</v>
      </c>
      <c r="G79" s="10" t="s">
        <v>4393</v>
      </c>
      <c r="H79" s="10" t="s">
        <v>4434</v>
      </c>
      <c r="I79" s="10" t="s">
        <v>4397</v>
      </c>
      <c r="J79" s="12" t="n">
        <v>0.445283898601385</v>
      </c>
      <c r="K79" s="12" t="n">
        <v>0.636221622619591</v>
      </c>
      <c r="L79" s="12" t="n">
        <v>1.09262653280539</v>
      </c>
      <c r="M79" s="12" t="n">
        <v>0.061357276139298</v>
      </c>
      <c r="N79" s="12" t="n">
        <v>0.0819248705356724</v>
      </c>
      <c r="O79" s="12" t="n">
        <v>0.132875554163212</v>
      </c>
      <c r="P79" s="12" t="n">
        <v>0.0537268967983248</v>
      </c>
      <c r="Q79" s="12" t="n">
        <v>0.0693913964360257</v>
      </c>
      <c r="R79" s="12" t="n">
        <v>0.118142235648023</v>
      </c>
      <c r="S79" s="12" t="n">
        <v>0.0433764125987652</v>
      </c>
      <c r="T79" s="12" t="n">
        <v>0.0557498724040708</v>
      </c>
      <c r="U79" s="12" t="n">
        <v>0.0900656452540185</v>
      </c>
      <c r="V79" s="12" t="n">
        <v>0.0345049362606085</v>
      </c>
      <c r="W79" s="12" t="n">
        <v>0.0524427719375976</v>
      </c>
      <c r="X79" s="12" t="n">
        <v>0.0957364552675877</v>
      </c>
    </row>
    <row r="80" customFormat="false" ht="15" hidden="false" customHeight="false" outlineLevel="0" collapsed="false">
      <c r="A80" s="10" t="s">
        <v>4627</v>
      </c>
      <c r="B80" s="10" t="s">
        <v>4628</v>
      </c>
      <c r="C80" s="11" t="s">
        <v>4626</v>
      </c>
      <c r="D80" s="10" t="s">
        <v>4449</v>
      </c>
      <c r="E80" s="10" t="n">
        <v>15</v>
      </c>
      <c r="F80" s="10" t="s">
        <v>4433</v>
      </c>
      <c r="G80" s="10" t="s">
        <v>4393</v>
      </c>
      <c r="H80" s="10" t="s">
        <v>4434</v>
      </c>
      <c r="I80" s="10" t="s">
        <v>4397</v>
      </c>
      <c r="J80" s="12" t="n">
        <v>0.0386726342545921</v>
      </c>
      <c r="K80" s="12" t="n">
        <v>0.0552554588066438</v>
      </c>
      <c r="L80" s="12" t="n">
        <v>0.0948939461156487</v>
      </c>
      <c r="M80" s="12" t="n">
        <v>0.00532884190613242</v>
      </c>
      <c r="N80" s="12" t="n">
        <v>0.00711512490016412</v>
      </c>
      <c r="O80" s="12" t="n">
        <v>0.0115401606113995</v>
      </c>
      <c r="P80" s="12" t="n">
        <v>0.00466614812716556</v>
      </c>
      <c r="Q80" s="12" t="n">
        <v>0.00602660034017561</v>
      </c>
      <c r="R80" s="12" t="n">
        <v>0.0102605809093624</v>
      </c>
      <c r="S80" s="12" t="n">
        <v>0.00376721490486678</v>
      </c>
      <c r="T80" s="12" t="n">
        <v>0.00484184232125769</v>
      </c>
      <c r="U80" s="12" t="n">
        <v>0.00782214620549421</v>
      </c>
      <c r="V80" s="12" t="n">
        <v>0.00299673261075866</v>
      </c>
      <c r="W80" s="12" t="n">
        <v>0.0045546226683917</v>
      </c>
      <c r="X80" s="12" t="n">
        <v>0.00831465258686319</v>
      </c>
    </row>
    <row r="81" customFormat="false" ht="15" hidden="false" customHeight="false" outlineLevel="0" collapsed="false">
      <c r="A81" s="10" t="s">
        <v>4629</v>
      </c>
      <c r="B81" s="10" t="s">
        <v>4630</v>
      </c>
      <c r="C81" s="11" t="s">
        <v>4626</v>
      </c>
      <c r="D81" s="10" t="s">
        <v>4449</v>
      </c>
      <c r="E81" s="10" t="n">
        <v>15</v>
      </c>
      <c r="F81" s="10" t="s">
        <v>4433</v>
      </c>
      <c r="G81" s="10" t="s">
        <v>4393</v>
      </c>
      <c r="H81" s="10" t="s">
        <v>4434</v>
      </c>
      <c r="I81" s="10" t="s">
        <v>4397</v>
      </c>
      <c r="J81" s="12" t="n">
        <v>0.134224657207592</v>
      </c>
      <c r="K81" s="12" t="n">
        <v>0.191780186690782</v>
      </c>
      <c r="L81" s="12" t="n">
        <v>0.32935711864356</v>
      </c>
      <c r="M81" s="12" t="n">
        <v>0.018495300150885</v>
      </c>
      <c r="N81" s="12" t="n">
        <v>0.0246951163043756</v>
      </c>
      <c r="O81" s="12" t="n">
        <v>0.0400534934338416</v>
      </c>
      <c r="P81" s="12" t="n">
        <v>0.0161952280965778</v>
      </c>
      <c r="Q81" s="12" t="n">
        <v>0.0209170743182869</v>
      </c>
      <c r="R81" s="12" t="n">
        <v>0.0356123388503434</v>
      </c>
      <c r="S81" s="12" t="n">
        <v>0.0130752181479087</v>
      </c>
      <c r="T81" s="12" t="n">
        <v>0.0168050260436256</v>
      </c>
      <c r="U81" s="12" t="n">
        <v>0.0271490399683714</v>
      </c>
      <c r="V81" s="12" t="n">
        <v>0.0104010346120689</v>
      </c>
      <c r="W81" s="12" t="n">
        <v>0.0158081464621773</v>
      </c>
      <c r="X81" s="12" t="n">
        <v>0.0288584270190855</v>
      </c>
    </row>
    <row r="82" customFormat="false" ht="15" hidden="false" customHeight="false" outlineLevel="0" collapsed="false">
      <c r="A82" s="10" t="s">
        <v>4631</v>
      </c>
      <c r="B82" s="10" t="s">
        <v>4632</v>
      </c>
      <c r="C82" s="11" t="s">
        <v>4633</v>
      </c>
      <c r="D82" s="10" t="s">
        <v>4445</v>
      </c>
      <c r="E82" s="10" t="n">
        <v>15</v>
      </c>
      <c r="F82" s="10" t="s">
        <v>4433</v>
      </c>
      <c r="G82" s="10" t="s">
        <v>4393</v>
      </c>
      <c r="H82" s="10" t="s">
        <v>4434</v>
      </c>
      <c r="I82" s="10" t="s">
        <v>4397</v>
      </c>
      <c r="J82" s="12" t="n">
        <v>1.11222553908253</v>
      </c>
      <c r="K82" s="12" t="n">
        <v>1.88466748019734</v>
      </c>
      <c r="L82" s="12" t="n">
        <v>2.8646513532112</v>
      </c>
      <c r="M82" s="12" t="n">
        <v>1.10188330451562</v>
      </c>
      <c r="N82" s="12" t="n">
        <v>1.812232738713</v>
      </c>
      <c r="O82" s="12" t="n">
        <v>2.69481414737547</v>
      </c>
      <c r="P82" s="12" t="n">
        <v>1.20671911367581</v>
      </c>
      <c r="Q82" s="12" t="n">
        <v>1.98263481314457</v>
      </c>
      <c r="R82" s="12" t="n">
        <v>3.00013873514752</v>
      </c>
      <c r="S82" s="12" t="n">
        <v>1.26921258843664</v>
      </c>
      <c r="T82" s="12" t="n">
        <v>2.09349554831403</v>
      </c>
      <c r="U82" s="12" t="n">
        <v>3.08819917750912</v>
      </c>
      <c r="V82" s="12" t="n">
        <v>1.30327937103509</v>
      </c>
      <c r="W82" s="12" t="n">
        <v>2.35254632767053</v>
      </c>
      <c r="X82" s="12" t="n">
        <v>3.68780273586978</v>
      </c>
    </row>
    <row r="83" customFormat="false" ht="15" hidden="false" customHeight="false" outlineLevel="0" collapsed="false">
      <c r="A83" s="10" t="s">
        <v>4634</v>
      </c>
      <c r="B83" s="10" t="s">
        <v>4635</v>
      </c>
      <c r="C83" s="10" t="s">
        <v>4636</v>
      </c>
      <c r="D83" s="11" t="s">
        <v>2665</v>
      </c>
      <c r="E83" s="10" t="n">
        <v>15</v>
      </c>
      <c r="F83" s="10" t="s">
        <v>4433</v>
      </c>
      <c r="G83" s="10" t="s">
        <v>4393</v>
      </c>
      <c r="H83" s="10" t="s">
        <v>4434</v>
      </c>
      <c r="I83" s="10" t="s">
        <v>4397</v>
      </c>
      <c r="J83" s="12" t="n">
        <v>6</v>
      </c>
      <c r="K83" s="12" t="n">
        <v>6</v>
      </c>
      <c r="L83" s="12" t="n">
        <v>4</v>
      </c>
      <c r="M83" s="12" t="n">
        <v>6</v>
      </c>
      <c r="N83" s="12" t="n">
        <v>6</v>
      </c>
      <c r="O83" s="12" t="n">
        <v>4</v>
      </c>
      <c r="P83" s="12" t="n">
        <v>6</v>
      </c>
      <c r="Q83" s="12" t="n">
        <v>6</v>
      </c>
      <c r="R83" s="12" t="n">
        <v>4</v>
      </c>
      <c r="S83" s="12" t="n">
        <v>6</v>
      </c>
      <c r="T83" s="12" t="n">
        <v>6</v>
      </c>
      <c r="U83" s="12" t="n">
        <v>4</v>
      </c>
      <c r="V83" s="12" t="n">
        <v>6</v>
      </c>
      <c r="W83" s="12" t="n">
        <v>6</v>
      </c>
      <c r="X83" s="12" t="n">
        <v>4</v>
      </c>
    </row>
    <row r="84" customFormat="false" ht="15" hidden="false" customHeight="false" outlineLevel="0" collapsed="false">
      <c r="A84" s="10" t="s">
        <v>4637</v>
      </c>
      <c r="B84" s="10" t="s">
        <v>4638</v>
      </c>
      <c r="C84" s="10" t="s">
        <v>4639</v>
      </c>
      <c r="D84" s="10" t="s">
        <v>4565</v>
      </c>
      <c r="E84" s="10" t="n">
        <v>1</v>
      </c>
      <c r="F84" s="10" t="s">
        <v>4433</v>
      </c>
      <c r="G84" s="10" t="s">
        <v>4393</v>
      </c>
      <c r="H84" s="10" t="s">
        <v>4434</v>
      </c>
      <c r="I84" s="10" t="s">
        <v>4397</v>
      </c>
      <c r="J84" s="12" t="n">
        <v>0.162638888560071</v>
      </c>
    </row>
    <row r="85" customFormat="false" ht="15" hidden="false" customHeight="false" outlineLevel="0" collapsed="false">
      <c r="A85" s="10" t="s">
        <v>4640</v>
      </c>
      <c r="B85" s="10" t="s">
        <v>4641</v>
      </c>
      <c r="C85" s="10" t="s">
        <v>4642</v>
      </c>
      <c r="D85" s="10" t="s">
        <v>4565</v>
      </c>
      <c r="E85" s="10" t="n">
        <v>1</v>
      </c>
      <c r="F85" s="10" t="s">
        <v>4433</v>
      </c>
      <c r="G85" s="10" t="s">
        <v>4393</v>
      </c>
      <c r="H85" s="10" t="s">
        <v>4434</v>
      </c>
      <c r="I85" s="10" t="s">
        <v>4397</v>
      </c>
      <c r="J85" s="12" t="n">
        <v>0.211627622575658</v>
      </c>
    </row>
    <row r="86" customFormat="false" ht="15" hidden="false" customHeight="false" outlineLevel="0" collapsed="false">
      <c r="A86" s="10" t="s">
        <v>4643</v>
      </c>
      <c r="B86" s="10" t="s">
        <v>4644</v>
      </c>
      <c r="C86" s="11" t="s">
        <v>4645</v>
      </c>
      <c r="D86" s="11" t="s">
        <v>2957</v>
      </c>
      <c r="E86" s="10" t="n">
        <v>1</v>
      </c>
      <c r="F86" s="10" t="s">
        <v>4433</v>
      </c>
      <c r="G86" s="10" t="s">
        <v>4393</v>
      </c>
      <c r="H86" s="10" t="s">
        <v>4434</v>
      </c>
      <c r="I86" s="10" t="s">
        <v>4397</v>
      </c>
      <c r="J86" s="14" t="s">
        <v>4646</v>
      </c>
    </row>
    <row r="87" customFormat="false" ht="15" hidden="false" customHeight="false" outlineLevel="0" collapsed="false">
      <c r="A87" s="11" t="s">
        <v>4647</v>
      </c>
      <c r="B87" s="10" t="s">
        <v>4648</v>
      </c>
      <c r="C87" s="10" t="s">
        <v>4649</v>
      </c>
      <c r="D87" s="10" t="s">
        <v>4650</v>
      </c>
      <c r="E87" s="10" t="n">
        <v>5</v>
      </c>
      <c r="F87" s="11" t="s">
        <v>4651</v>
      </c>
      <c r="G87" s="10" t="s">
        <v>4393</v>
      </c>
      <c r="H87" s="10" t="s">
        <v>4434</v>
      </c>
      <c r="I87" s="10" t="s">
        <v>4397</v>
      </c>
      <c r="J87" s="12" t="n">
        <v>1.4</v>
      </c>
      <c r="K87" s="12" t="n">
        <v>0.26</v>
      </c>
      <c r="L87" s="12" t="n">
        <v>4.4</v>
      </c>
      <c r="M87" s="12" t="n">
        <v>0</v>
      </c>
      <c r="N87" s="12" t="n">
        <v>45</v>
      </c>
    </row>
    <row r="88" customFormat="false" ht="15" hidden="false" customHeight="false" outlineLevel="0" collapsed="false">
      <c r="A88" s="11" t="s">
        <v>4652</v>
      </c>
      <c r="B88" s="10" t="s">
        <v>4653</v>
      </c>
      <c r="C88" s="10" t="s">
        <v>4654</v>
      </c>
      <c r="D88" s="10" t="s">
        <v>4650</v>
      </c>
      <c r="E88" s="10" t="n">
        <v>5</v>
      </c>
      <c r="F88" s="11" t="s">
        <v>4651</v>
      </c>
      <c r="G88" s="10" t="s">
        <v>4393</v>
      </c>
      <c r="H88" s="10" t="s">
        <v>4434</v>
      </c>
      <c r="I88" s="10" t="s">
        <v>4397</v>
      </c>
      <c r="J88" s="12" t="n">
        <v>0.15</v>
      </c>
      <c r="K88" s="12" t="n">
        <v>0.03</v>
      </c>
      <c r="L88" s="12" t="n">
        <v>0.5</v>
      </c>
      <c r="M88" s="12" t="n">
        <v>0</v>
      </c>
      <c r="N88" s="12" t="n">
        <v>42</v>
      </c>
    </row>
    <row r="89" customFormat="false" ht="15" hidden="false" customHeight="false" outlineLevel="0" collapsed="false">
      <c r="A89" s="11" t="s">
        <v>4655</v>
      </c>
      <c r="B89" s="10" t="s">
        <v>4656</v>
      </c>
      <c r="C89" s="10" t="s">
        <v>4657</v>
      </c>
      <c r="D89" s="10" t="s">
        <v>4449</v>
      </c>
      <c r="E89" s="10" t="n">
        <v>3</v>
      </c>
      <c r="F89" s="11" t="s">
        <v>4651</v>
      </c>
      <c r="G89" s="10" t="s">
        <v>4393</v>
      </c>
      <c r="H89" s="10" t="s">
        <v>4434</v>
      </c>
      <c r="I89" s="10" t="s">
        <v>4397</v>
      </c>
      <c r="J89" s="12" t="n">
        <v>1.176</v>
      </c>
      <c r="K89" s="12" t="n">
        <v>1.176</v>
      </c>
      <c r="L89" s="12" t="n">
        <v>1.176</v>
      </c>
    </row>
    <row r="90" customFormat="false" ht="15" hidden="false" customHeight="false" outlineLevel="0" collapsed="false">
      <c r="A90" s="11" t="s">
        <v>4658</v>
      </c>
      <c r="B90" s="10" t="s">
        <v>4659</v>
      </c>
      <c r="C90" s="10" t="s">
        <v>4660</v>
      </c>
      <c r="D90" s="10" t="s">
        <v>4449</v>
      </c>
      <c r="E90" s="10" t="n">
        <v>3</v>
      </c>
      <c r="F90" s="11" t="s">
        <v>4651</v>
      </c>
      <c r="G90" s="10" t="s">
        <v>4393</v>
      </c>
      <c r="H90" s="10" t="s">
        <v>4434</v>
      </c>
      <c r="I90" s="10" t="s">
        <v>4397</v>
      </c>
      <c r="J90" s="12" t="n">
        <v>0.130222222222222</v>
      </c>
      <c r="K90" s="12" t="n">
        <v>0.130222222222222</v>
      </c>
      <c r="L90" s="12" t="n">
        <v>0.130222222222222</v>
      </c>
    </row>
    <row r="91" customFormat="false" ht="15" hidden="false" customHeight="false" outlineLevel="0" collapsed="false">
      <c r="A91" s="11" t="s">
        <v>4661</v>
      </c>
      <c r="B91" s="10" t="s">
        <v>4662</v>
      </c>
      <c r="C91" s="10" t="s">
        <v>4663</v>
      </c>
      <c r="D91" s="10" t="s">
        <v>4449</v>
      </c>
      <c r="E91" s="10" t="n">
        <v>3</v>
      </c>
      <c r="F91" s="11" t="s">
        <v>4651</v>
      </c>
      <c r="G91" s="10" t="s">
        <v>4393</v>
      </c>
      <c r="H91" s="10" t="s">
        <v>4434</v>
      </c>
      <c r="I91" s="10" t="s">
        <v>4397</v>
      </c>
      <c r="J91" s="12" t="n">
        <v>0.130222222222222</v>
      </c>
      <c r="K91" s="14" t="s">
        <v>4664</v>
      </c>
      <c r="L91" s="14" t="s">
        <v>4664</v>
      </c>
    </row>
    <row r="92" customFormat="false" ht="15" hidden="false" customHeight="false" outlineLevel="0" collapsed="false">
      <c r="A92" s="11" t="s">
        <v>4665</v>
      </c>
      <c r="B92" s="10" t="s">
        <v>4666</v>
      </c>
      <c r="C92" s="10" t="s">
        <v>4667</v>
      </c>
      <c r="D92" s="11" t="s">
        <v>2957</v>
      </c>
      <c r="E92" s="10" t="n">
        <v>3</v>
      </c>
      <c r="F92" s="11" t="s">
        <v>4651</v>
      </c>
      <c r="G92" s="10" t="s">
        <v>4393</v>
      </c>
      <c r="H92" s="10" t="s">
        <v>4434</v>
      </c>
      <c r="I92" s="10" t="s">
        <v>4397</v>
      </c>
      <c r="J92" s="12" t="s">
        <v>4668</v>
      </c>
      <c r="K92" s="12" t="s">
        <v>2121</v>
      </c>
      <c r="L92" s="12" t="s">
        <v>2121</v>
      </c>
    </row>
    <row r="93" customFormat="false" ht="15" hidden="false" customHeight="false" outlineLevel="0" collapsed="false">
      <c r="A93" s="11" t="s">
        <v>4669</v>
      </c>
      <c r="B93" s="10" t="s">
        <v>4670</v>
      </c>
      <c r="C93" s="10" t="s">
        <v>4671</v>
      </c>
      <c r="D93" s="10" t="s">
        <v>4506</v>
      </c>
      <c r="E93" s="10" t="n">
        <v>3</v>
      </c>
      <c r="F93" s="11" t="s">
        <v>4651</v>
      </c>
      <c r="G93" s="10" t="s">
        <v>4393</v>
      </c>
      <c r="H93" s="10" t="s">
        <v>4434</v>
      </c>
      <c r="I93" s="10" t="s">
        <v>4397</v>
      </c>
      <c r="J93" s="12" t="n">
        <v>1.29646017699115</v>
      </c>
      <c r="K93" s="12" t="s">
        <v>2121</v>
      </c>
      <c r="L93" s="12" t="s">
        <v>2121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3" min="3" style="0" width="34"/>
  </cols>
  <sheetData>
    <row r="1" customFormat="false" ht="20.1" hidden="false" customHeight="false" outlineLevel="0" collapsed="false">
      <c r="A1" s="7" t="s">
        <v>4672</v>
      </c>
    </row>
    <row r="2" customFormat="false" ht="15" hidden="false" customHeight="false" outlineLevel="0" collapsed="false">
      <c r="A2" s="2" t="s">
        <v>4673</v>
      </c>
    </row>
    <row r="3" customFormat="false" ht="15" hidden="false" customHeight="false" outlineLevel="0" collapsed="false">
      <c r="A3" s="6" t="s">
        <v>4674</v>
      </c>
      <c r="B3" s="10" t="s">
        <v>4675</v>
      </c>
    </row>
    <row r="4" customFormat="false" ht="15" hidden="false" customHeight="false" outlineLevel="0" collapsed="false">
      <c r="A4" s="6" t="s">
        <v>4676</v>
      </c>
      <c r="B4" s="10" t="s">
        <v>4677</v>
      </c>
    </row>
    <row r="5" customFormat="false" ht="15" hidden="false" customHeight="false" outlineLevel="0" collapsed="false">
      <c r="A5" s="3" t="s">
        <v>4678</v>
      </c>
      <c r="B5" s="10" t="s">
        <v>4679</v>
      </c>
    </row>
    <row r="6" customFormat="false" ht="15" hidden="false" customHeight="false" outlineLevel="0" collapsed="false">
      <c r="A6" s="3" t="s">
        <v>4396</v>
      </c>
      <c r="B6" s="10" t="s">
        <v>4397</v>
      </c>
    </row>
    <row r="9" customFormat="false" ht="15" hidden="false" customHeight="false" outlineLevel="0" collapsed="false">
      <c r="A9" s="8" t="s">
        <v>4680</v>
      </c>
      <c r="B9" s="9" t="s">
        <v>4409</v>
      </c>
      <c r="C9" s="9" t="s">
        <v>4410</v>
      </c>
      <c r="D9" s="9" t="s">
        <v>43</v>
      </c>
      <c r="E9" s="9" t="s">
        <v>4412</v>
      </c>
      <c r="F9" s="8" t="s">
        <v>4383</v>
      </c>
      <c r="G9" s="8" t="s">
        <v>1908</v>
      </c>
      <c r="H9" s="8" t="s">
        <v>4681</v>
      </c>
      <c r="I9" s="8" t="s">
        <v>4682</v>
      </c>
      <c r="J9" s="8" t="s">
        <v>4683</v>
      </c>
      <c r="K9" s="8" t="s">
        <v>4684</v>
      </c>
    </row>
    <row r="10" customFormat="false" ht="15" hidden="false" customHeight="false" outlineLevel="0" collapsed="false">
      <c r="A10" s="10" t="s">
        <v>4685</v>
      </c>
      <c r="B10" s="10" t="s">
        <v>4686</v>
      </c>
      <c r="C10" s="11" t="s">
        <v>4687</v>
      </c>
      <c r="D10" s="10" t="s">
        <v>4514</v>
      </c>
      <c r="E10" s="10" t="s">
        <v>4433</v>
      </c>
      <c r="F10" s="12" t="n">
        <v>13.07</v>
      </c>
      <c r="G10" s="12" t="n">
        <v>34.2037814299461</v>
      </c>
      <c r="H10" s="12" t="n">
        <v>54.7956532383272</v>
      </c>
      <c r="I10" s="12" t="n">
        <v>78.4240890026059</v>
      </c>
      <c r="J10" s="12" t="n">
        <v>102.127374380687</v>
      </c>
      <c r="K10" s="12" t="n">
        <v>126.38309270298</v>
      </c>
    </row>
    <row r="11" customFormat="false" ht="15" hidden="false" customHeight="false" outlineLevel="0" collapsed="false">
      <c r="A11" s="10" t="s">
        <v>4688</v>
      </c>
      <c r="B11" s="10" t="s">
        <v>4689</v>
      </c>
      <c r="C11" s="11" t="s">
        <v>4690</v>
      </c>
      <c r="D11" s="10" t="s">
        <v>4514</v>
      </c>
      <c r="E11" s="10" t="s">
        <v>4433</v>
      </c>
      <c r="F11" s="12" t="n">
        <v>10.456</v>
      </c>
      <c r="G11" s="12" t="n">
        <v>27.3630251439569</v>
      </c>
      <c r="H11" s="12" t="n">
        <v>43.8365225906617</v>
      </c>
      <c r="I11" s="12" t="n">
        <v>62.7392712020847</v>
      </c>
      <c r="J11" s="12" t="n">
        <v>97.6120791148627</v>
      </c>
      <c r="K11" s="12" t="n">
        <v>126.38309270298</v>
      </c>
    </row>
    <row r="12" customFormat="false" ht="15" hidden="false" customHeight="false" outlineLevel="0" collapsed="false">
      <c r="A12" s="10" t="s">
        <v>4691</v>
      </c>
      <c r="B12" s="10" t="s">
        <v>4692</v>
      </c>
      <c r="C12" s="10" t="s">
        <v>4693</v>
      </c>
      <c r="D12" s="10" t="s">
        <v>4694</v>
      </c>
      <c r="E12" s="10" t="s">
        <v>4433</v>
      </c>
      <c r="F12" s="12" t="n">
        <v>3538.06010994171</v>
      </c>
      <c r="G12" s="12" t="n">
        <v>10018.6243193776</v>
      </c>
      <c r="H12" s="12" t="n">
        <v>22447.299009042</v>
      </c>
      <c r="I12" s="12" t="n">
        <v>47137.5517848678</v>
      </c>
      <c r="J12" s="12" t="n">
        <v>92412.3198790402</v>
      </c>
      <c r="K12" s="12" t="n">
        <v>173673.865896334</v>
      </c>
    </row>
    <row r="13" customFormat="false" ht="15" hidden="false" customHeight="false" outlineLevel="0" collapsed="false">
      <c r="A13" s="10" t="s">
        <v>4695</v>
      </c>
      <c r="B13" s="10" t="s">
        <v>4696</v>
      </c>
      <c r="C13" s="11" t="s">
        <v>4697</v>
      </c>
      <c r="D13" s="10" t="s">
        <v>4527</v>
      </c>
      <c r="E13" s="10" t="s">
        <v>4433</v>
      </c>
      <c r="F13" s="12" t="n">
        <v>0.7</v>
      </c>
      <c r="G13" s="12" t="n">
        <v>0.759564789336789</v>
      </c>
      <c r="H13" s="12" t="n">
        <v>1.20555852431702</v>
      </c>
      <c r="I13" s="12" t="n">
        <v>2.1094912292996</v>
      </c>
      <c r="J13" s="12" t="n">
        <v>3.8245858609013</v>
      </c>
      <c r="K13" s="12" t="n">
        <v>6.84363877252514</v>
      </c>
    </row>
    <row r="14" customFormat="false" ht="15" hidden="false" customHeight="false" outlineLevel="0" collapsed="false">
      <c r="A14" s="10" t="s">
        <v>4698</v>
      </c>
      <c r="B14" s="10" t="s">
        <v>4699</v>
      </c>
      <c r="C14" s="11" t="s">
        <v>4700</v>
      </c>
      <c r="D14" s="10" t="s">
        <v>4527</v>
      </c>
      <c r="E14" s="10" t="s">
        <v>4433</v>
      </c>
      <c r="F14" s="12" t="n">
        <v>0.33022494935016</v>
      </c>
      <c r="G14" s="12" t="n">
        <v>1.25017349742072</v>
      </c>
      <c r="H14" s="12" t="n">
        <v>5.98550624591421</v>
      </c>
      <c r="I14" s="12" t="n">
        <v>9.11751152150993</v>
      </c>
      <c r="J14" s="12" t="n">
        <v>12.2704150766753</v>
      </c>
      <c r="K14" s="12" t="n">
        <v>14.9846917029944</v>
      </c>
    </row>
    <row r="15" customFormat="false" ht="15" hidden="false" customHeight="false" outlineLevel="0" collapsed="false">
      <c r="A15" s="10" t="s">
        <v>4701</v>
      </c>
      <c r="B15" s="10" t="s">
        <v>4702</v>
      </c>
      <c r="C15" s="11" t="s">
        <v>4703</v>
      </c>
      <c r="D15" s="10" t="s">
        <v>4514</v>
      </c>
      <c r="E15" s="10" t="s">
        <v>4433</v>
      </c>
      <c r="F15" s="12" t="n">
        <v>14.7552380952381</v>
      </c>
      <c r="G15" s="12" t="n">
        <v>53.2406349206349</v>
      </c>
      <c r="H15" s="12" t="n">
        <v>141.726031746032</v>
      </c>
      <c r="I15" s="12" t="n">
        <v>175.211428571429</v>
      </c>
      <c r="J15" s="12" t="n">
        <v>208.696825396825</v>
      </c>
      <c r="K15" s="12" t="n">
        <v>228.222222222222</v>
      </c>
    </row>
    <row r="16" customFormat="false" ht="15" hidden="false" customHeight="false" outlineLevel="0" collapsed="false">
      <c r="A16" s="10" t="s">
        <v>4704</v>
      </c>
      <c r="B16" s="10" t="s">
        <v>4705</v>
      </c>
      <c r="C16" s="11" t="s">
        <v>4706</v>
      </c>
      <c r="D16" s="10" t="s">
        <v>4514</v>
      </c>
      <c r="E16" s="10" t="s">
        <v>4433</v>
      </c>
      <c r="F16" s="12" t="n">
        <v>29.2352380952381</v>
      </c>
      <c r="G16" s="12" t="n">
        <v>76.0789549206349</v>
      </c>
      <c r="H16" s="12" t="n">
        <v>171.943842226032</v>
      </c>
      <c r="I16" s="12" t="n">
        <v>212.125402324709</v>
      </c>
      <c r="J16" s="12" t="n">
        <v>251.920901307586</v>
      </c>
      <c r="K16" s="12" t="n">
        <v>276.644521629114</v>
      </c>
    </row>
    <row r="17" customFormat="false" ht="15" hidden="false" customHeight="false" outlineLevel="0" collapsed="false">
      <c r="A17" s="10" t="s">
        <v>4707</v>
      </c>
      <c r="B17" s="10" t="s">
        <v>4708</v>
      </c>
      <c r="C17" s="11" t="s">
        <v>4709</v>
      </c>
      <c r="D17" s="10" t="s">
        <v>4710</v>
      </c>
      <c r="E17" s="10" t="s">
        <v>4433</v>
      </c>
      <c r="F17" s="12" t="n">
        <v>31.6632647550588</v>
      </c>
      <c r="G17" s="12" t="n">
        <v>21.8873821916803</v>
      </c>
      <c r="H17" s="12" t="n">
        <v>7.32377860612628</v>
      </c>
      <c r="I17" s="12" t="n">
        <v>6.88118364907694</v>
      </c>
      <c r="J17" s="12" t="n">
        <v>7.95507556222872</v>
      </c>
      <c r="K17" s="12" t="n">
        <v>8.43414700869186</v>
      </c>
    </row>
    <row r="18" customFormat="false" ht="15" hidden="false" customHeight="false" outlineLevel="0" collapsed="false">
      <c r="A18" s="10" t="s">
        <v>4711</v>
      </c>
      <c r="B18" s="10" t="s">
        <v>4712</v>
      </c>
      <c r="C18" s="11" t="s">
        <v>4713</v>
      </c>
      <c r="D18" s="10" t="s">
        <v>4710</v>
      </c>
      <c r="E18" s="10" t="s">
        <v>4433</v>
      </c>
      <c r="F18" s="12" t="n">
        <v>88.5312819421103</v>
      </c>
      <c r="G18" s="12" t="n">
        <v>60.8547174272981</v>
      </c>
      <c r="H18" s="12" t="n">
        <v>28.7266999919018</v>
      </c>
      <c r="I18" s="12" t="n">
        <v>23.2657125603039</v>
      </c>
      <c r="J18" s="12" t="n">
        <v>20.5307562729853</v>
      </c>
      <c r="K18" s="12" t="n">
        <v>18.4618093660099</v>
      </c>
    </row>
    <row r="19" customFormat="false" ht="15" hidden="false" customHeight="false" outlineLevel="0" collapsed="false">
      <c r="A19" s="10" t="s">
        <v>4714</v>
      </c>
      <c r="B19" s="10" t="s">
        <v>4715</v>
      </c>
      <c r="C19" s="11" t="s">
        <v>4716</v>
      </c>
      <c r="D19" s="10" t="s">
        <v>4710</v>
      </c>
      <c r="E19" s="10" t="s">
        <v>4433</v>
      </c>
      <c r="F19" s="12" t="n">
        <v>-56.8680171870515</v>
      </c>
      <c r="G19" s="12" t="n">
        <v>-38.9673352356179</v>
      </c>
      <c r="H19" s="12" t="n">
        <v>-21.4029213857755</v>
      </c>
      <c r="I19" s="12" t="n">
        <v>-16.3845289112269</v>
      </c>
      <c r="J19" s="12" t="n">
        <v>-12.5756807107566</v>
      </c>
      <c r="K19" s="12" t="n">
        <v>-10.027662357318</v>
      </c>
    </row>
    <row r="20" customFormat="false" ht="15" hidden="false" customHeight="false" outlineLevel="0" collapsed="false">
      <c r="A20" s="10" t="s">
        <v>4717</v>
      </c>
      <c r="B20" s="10" t="s">
        <v>4718</v>
      </c>
      <c r="C20" s="11" t="s">
        <v>4719</v>
      </c>
      <c r="D20" s="11" t="s">
        <v>4720</v>
      </c>
      <c r="E20" s="10" t="s">
        <v>4433</v>
      </c>
      <c r="F20" s="12" t="n">
        <v>0.357650584747695</v>
      </c>
      <c r="G20" s="12" t="n">
        <v>0.359666154359005</v>
      </c>
      <c r="H20" s="12" t="n">
        <v>0.254946743210703</v>
      </c>
      <c r="I20" s="12" t="n">
        <v>0.295765007465006</v>
      </c>
      <c r="J20" s="12" t="n">
        <v>0.387471141172531</v>
      </c>
      <c r="K20" s="12" t="n">
        <v>0.456842925927943</v>
      </c>
    </row>
    <row r="21" customFormat="false" ht="15" hidden="false" customHeight="false" outlineLevel="0" collapsed="false">
      <c r="A21" s="10" t="s">
        <v>4721</v>
      </c>
      <c r="B21" s="10" t="s">
        <v>4722</v>
      </c>
      <c r="C21" s="11" t="s">
        <v>4723</v>
      </c>
      <c r="D21" s="10" t="s">
        <v>4514</v>
      </c>
      <c r="E21" s="10" t="s">
        <v>4433</v>
      </c>
      <c r="F21" s="12" t="n">
        <v>-12.7792380952381</v>
      </c>
      <c r="G21" s="12" t="n">
        <v>-39.415929776678</v>
      </c>
      <c r="H21" s="12" t="n">
        <v>-116.01731963537</v>
      </c>
      <c r="I21" s="12" t="n">
        <v>-134.878131122624</v>
      </c>
      <c r="J21" s="12" t="n">
        <v>-137.624622192723</v>
      </c>
      <c r="K21" s="12" t="n">
        <v>-131.908808926133</v>
      </c>
    </row>
    <row r="22" customFormat="false" ht="15" hidden="false" customHeight="false" outlineLevel="0" collapsed="false">
      <c r="A22" s="10" t="s">
        <v>4724</v>
      </c>
      <c r="B22" s="10" t="s">
        <v>4725</v>
      </c>
      <c r="C22" s="11" t="s">
        <v>4726</v>
      </c>
      <c r="D22" s="10" t="s">
        <v>4514</v>
      </c>
      <c r="E22" s="10" t="s">
        <v>4433</v>
      </c>
      <c r="F22" s="12"/>
      <c r="G22" s="12" t="n">
        <v>0</v>
      </c>
      <c r="H22" s="12" t="n">
        <v>38.4332494120481</v>
      </c>
      <c r="I22" s="12" t="n">
        <v>134.878131122624</v>
      </c>
      <c r="J22" s="12" t="n">
        <v>137.624622192723</v>
      </c>
      <c r="K22" s="12" t="n">
        <v>131.908808926133</v>
      </c>
    </row>
    <row r="23" customFormat="false" ht="15" hidden="false" customHeight="false" outlineLevel="0" collapsed="false">
      <c r="A23" s="10" t="s">
        <v>4727</v>
      </c>
      <c r="B23" s="10" t="s">
        <v>4728</v>
      </c>
      <c r="C23" s="11" t="s">
        <v>4729</v>
      </c>
      <c r="D23" s="10" t="s">
        <v>4514</v>
      </c>
      <c r="E23" s="10" t="s">
        <v>4433</v>
      </c>
      <c r="F23" s="12"/>
      <c r="G23" s="12" t="n">
        <v>0</v>
      </c>
      <c r="H23" s="12" t="n">
        <v>38.4332494120481</v>
      </c>
      <c r="I23" s="12" t="n">
        <v>173.311380534672</v>
      </c>
      <c r="J23" s="12" t="n">
        <v>310.936002727395</v>
      </c>
      <c r="K23" s="12" t="n">
        <v>442.844811653528</v>
      </c>
    </row>
    <row r="24" customFormat="false" ht="15" hidden="false" customHeight="false" outlineLevel="0" collapsed="false">
      <c r="A24" s="10" t="s">
        <v>4730</v>
      </c>
      <c r="B24" s="10" t="s">
        <v>4731</v>
      </c>
      <c r="C24" s="11" t="s">
        <v>4732</v>
      </c>
      <c r="D24" s="10" t="s">
        <v>4514</v>
      </c>
      <c r="E24" s="10" t="s">
        <v>4433</v>
      </c>
      <c r="F24" s="12" t="n">
        <v>40</v>
      </c>
      <c r="G24" s="12" t="n">
        <v>87.584070223322</v>
      </c>
      <c r="H24" s="12" t="n">
        <v>10</v>
      </c>
      <c r="I24" s="12" t="n">
        <v>10</v>
      </c>
      <c r="J24" s="12" t="n">
        <v>10</v>
      </c>
      <c r="K24" s="12" t="n">
        <v>10</v>
      </c>
    </row>
    <row r="25" customFormat="false" ht="15" hidden="false" customHeight="false" outlineLevel="0" collapsed="false">
      <c r="A25" s="10" t="s">
        <v>4733</v>
      </c>
      <c r="B25" s="10" t="s">
        <v>4734</v>
      </c>
      <c r="C25" s="11" t="s">
        <v>4735</v>
      </c>
      <c r="D25" s="10" t="s">
        <v>4514</v>
      </c>
      <c r="E25" s="10" t="s">
        <v>4433</v>
      </c>
      <c r="F25" s="12" t="n">
        <v>0</v>
      </c>
      <c r="G25" s="12" t="n">
        <v>87</v>
      </c>
      <c r="H25" s="12" t="n">
        <v>0</v>
      </c>
      <c r="I25" s="12" t="n">
        <v>0</v>
      </c>
      <c r="J25" s="12" t="n">
        <v>0</v>
      </c>
      <c r="K25" s="12" t="n">
        <v>0</v>
      </c>
    </row>
    <row r="26" customFormat="false" ht="15" hidden="false" customHeight="false" outlineLevel="0" collapsed="false">
      <c r="A26" s="10" t="s">
        <v>4736</v>
      </c>
      <c r="B26" s="10" t="s">
        <v>4737</v>
      </c>
      <c r="C26" s="11" t="s">
        <v>4738</v>
      </c>
      <c r="D26" s="10" t="s">
        <v>4514</v>
      </c>
      <c r="E26" s="10" t="s">
        <v>4433</v>
      </c>
      <c r="F26" s="12"/>
      <c r="G26" s="12" t="n">
        <v>0</v>
      </c>
      <c r="H26" s="12" t="n">
        <v>20.7527971466667</v>
      </c>
      <c r="I26" s="12" t="n">
        <v>92.6501994713753</v>
      </c>
      <c r="J26" s="12" t="n">
        <v>92.6501994713753</v>
      </c>
      <c r="K26" s="12" t="n">
        <v>92.6501994713753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46"/>
    <col collapsed="false" customWidth="true" hidden="false" outlineLevel="0" max="5" min="4" style="0" width="12"/>
    <col collapsed="false" customWidth="true" hidden="false" outlineLevel="0" max="6" min="6" style="0" width="10"/>
    <col collapsed="false" customWidth="true" hidden="false" outlineLevel="0" max="8" min="7" style="0" width="9"/>
    <col collapsed="false" customWidth="true" hidden="false" outlineLevel="0" max="9" min="9" style="0" width="12"/>
    <col collapsed="false" customWidth="true" hidden="false" outlineLevel="0" max="10" min="10" style="0" width="70"/>
    <col collapsed="false" customWidth="true" hidden="false" outlineLevel="0" max="11" min="11" style="0" width="36"/>
  </cols>
  <sheetData>
    <row r="1" customFormat="false" ht="20.1" hidden="false" customHeight="false" outlineLevel="0" collapsed="false">
      <c r="A1" s="7" t="s">
        <v>4739</v>
      </c>
    </row>
    <row r="2" customFormat="false" ht="15" hidden="false" customHeight="false" outlineLevel="0" collapsed="false">
      <c r="A2" s="2" t="s">
        <v>4740</v>
      </c>
    </row>
    <row r="3" customFormat="false" ht="15" hidden="false" customHeight="false" outlineLevel="0" collapsed="false">
      <c r="A3" s="13" t="s">
        <v>4741</v>
      </c>
    </row>
    <row r="4" customFormat="false" ht="66.4" hidden="false" customHeight="false" outlineLevel="0" collapsed="false">
      <c r="A4" s="8" t="s">
        <v>4742</v>
      </c>
      <c r="B4" s="9" t="s">
        <v>38</v>
      </c>
      <c r="C4" s="9" t="s">
        <v>4743</v>
      </c>
      <c r="D4" s="9" t="s">
        <v>4510</v>
      </c>
      <c r="E4" s="9" t="s">
        <v>43</v>
      </c>
      <c r="F4" s="9" t="s">
        <v>40</v>
      </c>
      <c r="G4" s="9" t="s">
        <v>41</v>
      </c>
      <c r="H4" s="9" t="s">
        <v>42</v>
      </c>
      <c r="I4" s="9" t="s">
        <v>30</v>
      </c>
      <c r="J4" s="9" t="s">
        <v>4744</v>
      </c>
      <c r="K4" s="9" t="s">
        <v>4745</v>
      </c>
      <c r="L4" s="9" t="s">
        <v>58</v>
      </c>
      <c r="M4" s="8" t="s">
        <v>4746</v>
      </c>
    </row>
    <row r="5" customFormat="false" ht="15" hidden="false" customHeight="false" outlineLevel="0" collapsed="false">
      <c r="A5" s="10" t="s">
        <v>4747</v>
      </c>
      <c r="B5" s="10" t="s">
        <v>4748</v>
      </c>
      <c r="C5" s="11" t="s">
        <v>4749</v>
      </c>
      <c r="D5" s="11" t="s">
        <v>4750</v>
      </c>
      <c r="E5" s="11" t="s">
        <v>2665</v>
      </c>
      <c r="F5" s="12" t="n">
        <v>2025</v>
      </c>
      <c r="G5" s="12" t="n">
        <v>2025</v>
      </c>
      <c r="H5" s="12" t="n">
        <v>2025</v>
      </c>
      <c r="I5" s="10" t="s">
        <v>4751</v>
      </c>
      <c r="J5" s="11" t="s">
        <v>4752</v>
      </c>
      <c r="K5" s="11" t="s">
        <v>4753</v>
      </c>
      <c r="L5" s="10" t="n">
        <f aca="false">IF(AND(ISNUMBER($F5),ISNUMBER($G5),ISNUMBER($H5)),IF(AND($G5&lt;=$F5,$F5&lt;=$H5),0,1),0)</f>
        <v>0</v>
      </c>
      <c r="M5" s="10" t="n">
        <f aca="false">IF(AND(OR($I5="Analogy",$I5="Assumed"),OR($G5="",$H5="")),1,0)</f>
        <v>0</v>
      </c>
    </row>
    <row r="6" customFormat="false" ht="15" hidden="false" customHeight="false" outlineLevel="0" collapsed="false">
      <c r="A6" s="10" t="s">
        <v>4754</v>
      </c>
      <c r="B6" s="10" t="s">
        <v>4755</v>
      </c>
      <c r="C6" s="11" t="s">
        <v>4749</v>
      </c>
      <c r="D6" s="11" t="s">
        <v>4756</v>
      </c>
      <c r="E6" s="11" t="s">
        <v>2665</v>
      </c>
      <c r="F6" s="12" t="n">
        <v>2026</v>
      </c>
      <c r="G6" s="12" t="n">
        <v>2026</v>
      </c>
      <c r="H6" s="12" t="n">
        <v>2026</v>
      </c>
      <c r="I6" s="10" t="s">
        <v>4751</v>
      </c>
      <c r="J6" s="10" t="s">
        <v>4757</v>
      </c>
      <c r="K6" s="11" t="s">
        <v>4753</v>
      </c>
      <c r="L6" s="10" t="n">
        <f aca="false">IF(AND(ISNUMBER($F6),ISNUMBER($G6),ISNUMBER($H6)),IF(AND($G6&lt;=$F6,$F6&lt;=$H6),0,1),0)</f>
        <v>0</v>
      </c>
      <c r="M6" s="10" t="n">
        <f aca="false">IF(AND(OR($I6="Analogy",$I6="Assumed"),OR($G6="",$H6="")),1,0)</f>
        <v>0</v>
      </c>
    </row>
    <row r="7" customFormat="false" ht="15" hidden="false" customHeight="false" outlineLevel="0" collapsed="false">
      <c r="A7" s="10" t="s">
        <v>4758</v>
      </c>
      <c r="B7" s="10" t="s">
        <v>4759</v>
      </c>
      <c r="C7" s="11" t="s">
        <v>4749</v>
      </c>
      <c r="D7" s="11" t="s">
        <v>4760</v>
      </c>
      <c r="E7" s="11" t="s">
        <v>2665</v>
      </c>
      <c r="F7" s="12" t="n">
        <v>2027</v>
      </c>
      <c r="G7" s="12" t="n">
        <v>2027</v>
      </c>
      <c r="H7" s="12" t="n">
        <v>2027</v>
      </c>
      <c r="I7" s="10" t="s">
        <v>4751</v>
      </c>
      <c r="J7" s="11" t="s">
        <v>4753</v>
      </c>
      <c r="K7" s="11" t="s">
        <v>4753</v>
      </c>
      <c r="L7" s="10" t="n">
        <f aca="false">IF(AND(ISNUMBER($F7),ISNUMBER($G7),ISNUMBER($H7)),IF(AND($G7&lt;=$F7,$F7&lt;=$H7),0,1),0)</f>
        <v>0</v>
      </c>
      <c r="M7" s="10" t="n">
        <f aca="false">IF(AND(OR($I7="Analogy",$I7="Assumed"),OR($G7="",$H7="")),1,0)</f>
        <v>0</v>
      </c>
    </row>
    <row r="8" customFormat="false" ht="15" hidden="false" customHeight="false" outlineLevel="0" collapsed="false">
      <c r="A8" s="10" t="s">
        <v>4761</v>
      </c>
      <c r="B8" s="10" t="s">
        <v>4762</v>
      </c>
      <c r="C8" s="11" t="s">
        <v>4749</v>
      </c>
      <c r="D8" s="11" t="s">
        <v>4763</v>
      </c>
      <c r="E8" s="11" t="s">
        <v>2665</v>
      </c>
      <c r="F8" s="12" t="n">
        <v>2028</v>
      </c>
      <c r="G8" s="12" t="n">
        <v>2028</v>
      </c>
      <c r="H8" s="12" t="n">
        <v>2028</v>
      </c>
      <c r="I8" s="10" t="s">
        <v>4751</v>
      </c>
      <c r="J8" s="11" t="s">
        <v>4753</v>
      </c>
      <c r="K8" s="11" t="s">
        <v>4753</v>
      </c>
      <c r="L8" s="10" t="n">
        <f aca="false">IF(AND(ISNUMBER($F8),ISNUMBER($G8),ISNUMBER($H8)),IF(AND($G8&lt;=$F8,$F8&lt;=$H8),0,1),0)</f>
        <v>0</v>
      </c>
      <c r="M8" s="10" t="n">
        <f aca="false">IF(AND(OR($I8="Analogy",$I8="Assumed"),OR($G8="",$H8="")),1,0)</f>
        <v>0</v>
      </c>
    </row>
    <row r="9" customFormat="false" ht="15" hidden="false" customHeight="false" outlineLevel="0" collapsed="false">
      <c r="A9" s="10" t="s">
        <v>4764</v>
      </c>
      <c r="B9" s="10" t="s">
        <v>4765</v>
      </c>
      <c r="C9" s="11" t="s">
        <v>4749</v>
      </c>
      <c r="D9" s="11" t="s">
        <v>4766</v>
      </c>
      <c r="E9" s="11" t="s">
        <v>2665</v>
      </c>
      <c r="F9" s="12" t="n">
        <v>2029</v>
      </c>
      <c r="G9" s="12" t="n">
        <v>2029</v>
      </c>
      <c r="H9" s="12" t="n">
        <v>2029</v>
      </c>
      <c r="I9" s="10" t="s">
        <v>4751</v>
      </c>
      <c r="J9" s="11" t="s">
        <v>4753</v>
      </c>
      <c r="K9" s="11" t="s">
        <v>4753</v>
      </c>
      <c r="L9" s="10" t="n">
        <f aca="false">IF(AND(ISNUMBER($F9),ISNUMBER($G9),ISNUMBER($H9)),IF(AND($G9&lt;=$F9,$F9&lt;=$H9),0,1),0)</f>
        <v>0</v>
      </c>
      <c r="M9" s="10" t="n">
        <f aca="false">IF(AND(OR($I9="Analogy",$I9="Assumed"),OR($G9="",$H9="")),1,0)</f>
        <v>0</v>
      </c>
    </row>
    <row r="10" customFormat="false" ht="15" hidden="false" customHeight="false" outlineLevel="0" collapsed="false">
      <c r="A10" s="10" t="s">
        <v>4767</v>
      </c>
      <c r="B10" s="10" t="s">
        <v>4768</v>
      </c>
      <c r="C10" s="11" t="s">
        <v>4749</v>
      </c>
      <c r="D10" s="11" t="s">
        <v>4769</v>
      </c>
      <c r="E10" s="11" t="s">
        <v>2665</v>
      </c>
      <c r="F10" s="12" t="n">
        <v>2030</v>
      </c>
      <c r="G10" s="12" t="n">
        <v>2030</v>
      </c>
      <c r="H10" s="12" t="n">
        <v>2030</v>
      </c>
      <c r="I10" s="10" t="s">
        <v>4751</v>
      </c>
      <c r="J10" s="11" t="s">
        <v>4753</v>
      </c>
      <c r="K10" s="11" t="s">
        <v>4753</v>
      </c>
      <c r="L10" s="10" t="n">
        <f aca="false">IF(AND(ISNUMBER($F10),ISNUMBER($G10),ISNUMBER($H10)),IF(AND($G10&lt;=$F10,$F10&lt;=$H10),0,1),0)</f>
        <v>0</v>
      </c>
      <c r="M10" s="10" t="n">
        <f aca="false">IF(AND(OR($I10="Analogy",$I10="Assumed"),OR($G10="",$H10="")),1,0)</f>
        <v>0</v>
      </c>
    </row>
    <row r="11" customFormat="false" ht="15" hidden="false" customHeight="false" outlineLevel="0" collapsed="false">
      <c r="A11" s="10" t="s">
        <v>4770</v>
      </c>
      <c r="B11" s="10" t="s">
        <v>4771</v>
      </c>
      <c r="C11" s="11" t="s">
        <v>4772</v>
      </c>
      <c r="D11" s="10" t="s">
        <v>2121</v>
      </c>
      <c r="E11" s="11" t="s">
        <v>4773</v>
      </c>
      <c r="F11" s="12" t="n">
        <v>365</v>
      </c>
      <c r="G11" s="12" t="n">
        <v>365</v>
      </c>
      <c r="H11" s="12" t="n">
        <v>365</v>
      </c>
      <c r="I11" s="10" t="s">
        <v>4751</v>
      </c>
      <c r="J11" s="11" t="s">
        <v>4774</v>
      </c>
      <c r="K11" s="11" t="s">
        <v>4753</v>
      </c>
      <c r="L11" s="10" t="n">
        <f aca="false">IF(AND(ISNUMBER($F11),ISNUMBER($G11),ISNUMBER($H11)),IF(AND($G11&lt;=$F11,$F11&lt;=$H11),0,1),0)</f>
        <v>0</v>
      </c>
      <c r="M11" s="10" t="n">
        <f aca="false">IF(AND(OR($I11="Analogy",$I11="Assumed"),OR($G11="",$H11="")),1,0)</f>
        <v>0</v>
      </c>
    </row>
    <row r="12" customFormat="false" ht="15" hidden="false" customHeight="false" outlineLevel="0" collapsed="false">
      <c r="A12" s="10" t="s">
        <v>4775</v>
      </c>
      <c r="B12" s="10" t="s">
        <v>4776</v>
      </c>
      <c r="C12" s="10" t="s">
        <v>4777</v>
      </c>
      <c r="D12" s="10" t="s">
        <v>662</v>
      </c>
      <c r="E12" s="11" t="s">
        <v>4773</v>
      </c>
      <c r="F12" s="12" t="n">
        <v>181</v>
      </c>
      <c r="G12" s="12" t="n">
        <v>181</v>
      </c>
      <c r="H12" s="12" t="n">
        <v>181</v>
      </c>
      <c r="I12" s="10" t="s">
        <v>4751</v>
      </c>
      <c r="J12" s="10" t="s">
        <v>4778</v>
      </c>
      <c r="K12" s="11" t="s">
        <v>4753</v>
      </c>
      <c r="L12" s="10" t="n">
        <f aca="false">IF(AND(ISNUMBER($F12),ISNUMBER($G12),ISNUMBER($H12)),IF(AND($G12&lt;=$F12,$F12&lt;=$H12),0,1),0)</f>
        <v>0</v>
      </c>
      <c r="M12" s="10" t="n">
        <f aca="false">IF(AND(OR($I12="Analogy",$I12="Assumed"),OR($G12="",$H12="")),1,0)</f>
        <v>0</v>
      </c>
    </row>
    <row r="13" customFormat="false" ht="15" hidden="false" customHeight="false" outlineLevel="0" collapsed="false">
      <c r="A13" s="10" t="s">
        <v>4779</v>
      </c>
      <c r="B13" s="10" t="s">
        <v>4780</v>
      </c>
      <c r="C13" s="10" t="s">
        <v>4781</v>
      </c>
      <c r="D13" s="10" t="s">
        <v>4782</v>
      </c>
      <c r="E13" s="11" t="s">
        <v>4773</v>
      </c>
      <c r="F13" s="12" t="n">
        <v>184</v>
      </c>
      <c r="G13" s="12" t="n">
        <v>184</v>
      </c>
      <c r="H13" s="12" t="n">
        <v>184</v>
      </c>
      <c r="I13" s="10" t="s">
        <v>4751</v>
      </c>
      <c r="J13" s="10" t="s">
        <v>4783</v>
      </c>
      <c r="K13" s="11" t="s">
        <v>4753</v>
      </c>
      <c r="L13" s="10" t="n">
        <f aca="false">IF(AND(ISNUMBER($F13),ISNUMBER($G13),ISNUMBER($H13)),IF(AND($G13&lt;=$F13,$F13&lt;=$H13),0,1),0)</f>
        <v>0</v>
      </c>
      <c r="M13" s="10" t="n">
        <f aca="false">IF(AND(OR($I13="Analogy",$I13="Assumed"),OR($G13="",$H13="")),1,0)</f>
        <v>0</v>
      </c>
    </row>
    <row r="14" customFormat="false" ht="15" hidden="false" customHeight="false" outlineLevel="0" collapsed="false">
      <c r="A14" s="10" t="s">
        <v>4784</v>
      </c>
      <c r="B14" s="10" t="s">
        <v>4785</v>
      </c>
      <c r="C14" s="11" t="s">
        <v>4786</v>
      </c>
      <c r="D14" s="10" t="s">
        <v>2121</v>
      </c>
      <c r="E14" s="11" t="s">
        <v>4297</v>
      </c>
      <c r="F14" s="12" t="n">
        <v>12</v>
      </c>
      <c r="G14" s="12" t="n">
        <v>12</v>
      </c>
      <c r="H14" s="12" t="n">
        <v>12</v>
      </c>
      <c r="I14" s="10" t="s">
        <v>4751</v>
      </c>
      <c r="J14" s="11" t="s">
        <v>4787</v>
      </c>
      <c r="K14" s="11" t="s">
        <v>4753</v>
      </c>
      <c r="L14" s="10" t="n">
        <f aca="false">IF(AND(ISNUMBER($F14),ISNUMBER($G14),ISNUMBER($H14)),IF(AND($G14&lt;=$F14,$F14&lt;=$H14),0,1),0)</f>
        <v>0</v>
      </c>
      <c r="M14" s="10" t="n">
        <f aca="false">IF(AND(OR($I14="Analogy",$I14="Assumed"),OR($G14="",$H14="")),1,0)</f>
        <v>0</v>
      </c>
    </row>
    <row r="15" customFormat="false" ht="15" hidden="false" customHeight="false" outlineLevel="0" collapsed="false">
      <c r="A15" s="10" t="s">
        <v>4788</v>
      </c>
      <c r="B15" s="10" t="s">
        <v>4789</v>
      </c>
      <c r="C15" s="11" t="s">
        <v>4790</v>
      </c>
      <c r="D15" s="10" t="s">
        <v>2121</v>
      </c>
      <c r="E15" s="11" t="s">
        <v>4297</v>
      </c>
      <c r="F15" s="12" t="n">
        <v>6</v>
      </c>
      <c r="G15" s="12" t="n">
        <v>6</v>
      </c>
      <c r="H15" s="12" t="n">
        <v>6</v>
      </c>
      <c r="I15" s="10" t="s">
        <v>4751</v>
      </c>
      <c r="J15" s="11" t="s">
        <v>4753</v>
      </c>
      <c r="K15" s="11" t="s">
        <v>4753</v>
      </c>
      <c r="L15" s="10" t="n">
        <f aca="false">IF(AND(ISNUMBER($F15),ISNUMBER($G15),ISNUMBER($H15)),IF(AND($G15&lt;=$F15,$F15&lt;=$H15),0,1),0)</f>
        <v>0</v>
      </c>
      <c r="M15" s="10" t="n">
        <f aca="false">IF(AND(OR($I15="Analogy",$I15="Assumed"),OR($G15="",$H15="")),1,0)</f>
        <v>0</v>
      </c>
    </row>
    <row r="16" customFormat="false" ht="15" hidden="false" customHeight="false" outlineLevel="0" collapsed="false">
      <c r="A16" s="10" t="s">
        <v>4791</v>
      </c>
      <c r="B16" s="10" t="s">
        <v>4792</v>
      </c>
      <c r="C16" s="11" t="s">
        <v>4793</v>
      </c>
      <c r="D16" s="10" t="s">
        <v>2121</v>
      </c>
      <c r="E16" s="11" t="s">
        <v>4297</v>
      </c>
      <c r="F16" s="12" t="n">
        <v>3</v>
      </c>
      <c r="G16" s="12" t="n">
        <v>3</v>
      </c>
      <c r="H16" s="12" t="n">
        <v>3</v>
      </c>
      <c r="I16" s="10" t="s">
        <v>4751</v>
      </c>
      <c r="J16" s="11" t="s">
        <v>4794</v>
      </c>
      <c r="K16" s="11" t="s">
        <v>4753</v>
      </c>
      <c r="L16" s="10" t="n">
        <f aca="false">IF(AND(ISNUMBER($F16),ISNUMBER($G16),ISNUMBER($H16)),IF(AND($G16&lt;=$F16,$F16&lt;=$H16),0,1),0)</f>
        <v>0</v>
      </c>
      <c r="M16" s="10" t="n">
        <f aca="false">IF(AND(OR($I16="Analogy",$I16="Assumed"),OR($G16="",$H16="")),1,0)</f>
        <v>0</v>
      </c>
    </row>
    <row r="17" customFormat="false" ht="15" hidden="false" customHeight="false" outlineLevel="0" collapsed="false">
      <c r="A17" s="10" t="s">
        <v>4795</v>
      </c>
      <c r="B17" s="10" t="s">
        <v>4796</v>
      </c>
      <c r="C17" s="11" t="s">
        <v>4797</v>
      </c>
      <c r="D17" s="10" t="s">
        <v>2121</v>
      </c>
      <c r="E17" s="11" t="s">
        <v>1691</v>
      </c>
      <c r="F17" s="12" t="n">
        <v>2</v>
      </c>
      <c r="G17" s="12" t="n">
        <v>2</v>
      </c>
      <c r="H17" s="12" t="n">
        <v>2</v>
      </c>
      <c r="I17" s="10" t="s">
        <v>4751</v>
      </c>
      <c r="J17" s="11" t="s">
        <v>4798</v>
      </c>
      <c r="K17" s="11" t="s">
        <v>4753</v>
      </c>
      <c r="L17" s="10" t="n">
        <f aca="false">IF(AND(ISNUMBER($F17),ISNUMBER($G17),ISNUMBER($H17)),IF(AND($G17&lt;=$F17,$F17&lt;=$H17),0,1),0)</f>
        <v>0</v>
      </c>
      <c r="M17" s="10" t="n">
        <f aca="false">IF(AND(OR($I17="Analogy",$I17="Assumed"),OR($G17="",$H17="")),1,0)</f>
        <v>0</v>
      </c>
    </row>
    <row r="18" customFormat="false" ht="15" hidden="false" customHeight="false" outlineLevel="0" collapsed="false">
      <c r="A18" s="10" t="s">
        <v>4799</v>
      </c>
      <c r="B18" s="10" t="s">
        <v>4800</v>
      </c>
      <c r="C18" s="11" t="s">
        <v>4801</v>
      </c>
      <c r="D18" s="10" t="s">
        <v>2121</v>
      </c>
      <c r="E18" s="10" t="s">
        <v>4802</v>
      </c>
      <c r="F18" s="12" t="n">
        <v>100</v>
      </c>
      <c r="G18" s="12" t="n">
        <v>100</v>
      </c>
      <c r="H18" s="12" t="n">
        <v>100</v>
      </c>
      <c r="I18" s="10" t="s">
        <v>4751</v>
      </c>
      <c r="J18" s="10" t="s">
        <v>4803</v>
      </c>
      <c r="K18" s="11" t="s">
        <v>4753</v>
      </c>
      <c r="L18" s="10" t="n">
        <f aca="false">IF(AND(ISNUMBER($F18),ISNUMBER($G18),ISNUMBER($H18)),IF(AND($G18&lt;=$F18,$F18&lt;=$H18),0,1),0)</f>
        <v>0</v>
      </c>
      <c r="M18" s="10" t="n">
        <f aca="false">IF(AND(OR($I18="Analogy",$I18="Assumed"),OR($G18="",$H18="")),1,0)</f>
        <v>0</v>
      </c>
    </row>
    <row r="19" customFormat="false" ht="15" hidden="false" customHeight="false" outlineLevel="0" collapsed="false">
      <c r="A19" s="10" t="s">
        <v>4804</v>
      </c>
      <c r="B19" s="10" t="s">
        <v>4805</v>
      </c>
      <c r="C19" s="11" t="s">
        <v>4806</v>
      </c>
      <c r="D19" s="10" t="s">
        <v>2121</v>
      </c>
      <c r="E19" s="10" t="s">
        <v>2121</v>
      </c>
      <c r="F19" s="12" t="n">
        <v>100</v>
      </c>
      <c r="G19" s="12" t="n">
        <v>100</v>
      </c>
      <c r="H19" s="12" t="n">
        <v>100</v>
      </c>
      <c r="I19" s="10" t="s">
        <v>4751</v>
      </c>
      <c r="J19" s="10" t="s">
        <v>4807</v>
      </c>
      <c r="K19" s="11" t="s">
        <v>4753</v>
      </c>
      <c r="L19" s="10" t="n">
        <f aca="false">IF(AND(ISNUMBER($F19),ISNUMBER($G19),ISNUMBER($H19)),IF(AND($G19&lt;=$F19,$F19&lt;=$H19),0,1),0)</f>
        <v>0</v>
      </c>
      <c r="M19" s="10" t="n">
        <f aca="false">IF(AND(OR($I19="Analogy",$I19="Assumed"),OR($G19="",$H19="")),1,0)</f>
        <v>0</v>
      </c>
    </row>
    <row r="20" customFormat="false" ht="15" hidden="false" customHeight="false" outlineLevel="0" collapsed="false">
      <c r="A20" s="10" t="s">
        <v>4808</v>
      </c>
      <c r="B20" s="10" t="s">
        <v>4809</v>
      </c>
      <c r="C20" s="11" t="s">
        <v>4810</v>
      </c>
      <c r="D20" s="10" t="s">
        <v>2121</v>
      </c>
      <c r="E20" s="10" t="s">
        <v>2121</v>
      </c>
      <c r="F20" s="12" t="n">
        <v>100</v>
      </c>
      <c r="G20" s="12" t="n">
        <v>100</v>
      </c>
      <c r="H20" s="12" t="n">
        <v>100</v>
      </c>
      <c r="I20" s="10" t="s">
        <v>4751</v>
      </c>
      <c r="J20" s="10" t="s">
        <v>4811</v>
      </c>
      <c r="K20" s="11" t="s">
        <v>4753</v>
      </c>
      <c r="L20" s="10" t="n">
        <f aca="false">IF(AND(ISNUMBER($F20),ISNUMBER($G20),ISNUMBER($H20)),IF(AND($G20&lt;=$F20,$F20&lt;=$H20),0,1),0)</f>
        <v>0</v>
      </c>
      <c r="M20" s="10" t="n">
        <f aca="false">IF(AND(OR($I20="Analogy",$I20="Assumed"),OR($G20="",$H20="")),1,0)</f>
        <v>0</v>
      </c>
    </row>
    <row r="21" customFormat="false" ht="15" hidden="false" customHeight="false" outlineLevel="0" collapsed="false">
      <c r="A21" s="10" t="s">
        <v>4812</v>
      </c>
      <c r="B21" s="10" t="s">
        <v>4813</v>
      </c>
      <c r="C21" s="11" t="s">
        <v>4814</v>
      </c>
      <c r="D21" s="10" t="s">
        <v>2121</v>
      </c>
      <c r="E21" s="10" t="s">
        <v>2121</v>
      </c>
      <c r="F21" s="12" t="n">
        <v>10000</v>
      </c>
      <c r="G21" s="12" t="n">
        <v>10000</v>
      </c>
      <c r="H21" s="12" t="n">
        <v>10000</v>
      </c>
      <c r="I21" s="10" t="s">
        <v>4751</v>
      </c>
      <c r="J21" s="10" t="s">
        <v>4815</v>
      </c>
      <c r="K21" s="11" t="s">
        <v>4753</v>
      </c>
      <c r="L21" s="10" t="n">
        <f aca="false">IF(AND(ISNUMBER($F21),ISNUMBER($G21),ISNUMBER($H21)),IF(AND($G21&lt;=$F21,$F21&lt;=$H21),0,1),0)</f>
        <v>0</v>
      </c>
      <c r="M21" s="10" t="n">
        <f aca="false">IF(AND(OR($I21="Analogy",$I21="Assumed"),OR($G21="",$H21="")),1,0)</f>
        <v>0</v>
      </c>
    </row>
    <row r="22" customFormat="false" ht="15" hidden="false" customHeight="false" outlineLevel="0" collapsed="false">
      <c r="A22" s="10" t="s">
        <v>4816</v>
      </c>
      <c r="B22" s="10" t="s">
        <v>4817</v>
      </c>
      <c r="C22" s="11" t="s">
        <v>4818</v>
      </c>
      <c r="D22" s="10" t="s">
        <v>2121</v>
      </c>
      <c r="E22" s="10" t="s">
        <v>2121</v>
      </c>
      <c r="F22" s="12" t="n">
        <v>1000</v>
      </c>
      <c r="G22" s="12" t="n">
        <v>1000</v>
      </c>
      <c r="H22" s="12" t="n">
        <v>1000</v>
      </c>
      <c r="I22" s="10" t="s">
        <v>4751</v>
      </c>
      <c r="J22" s="10" t="s">
        <v>4819</v>
      </c>
      <c r="K22" s="11" t="s">
        <v>4753</v>
      </c>
      <c r="L22" s="10" t="n">
        <f aca="false">IF(AND(ISNUMBER($F22),ISNUMBER($G22),ISNUMBER($H22)),IF(AND($G22&lt;=$F22,$F22&lt;=$H22),0,1),0)</f>
        <v>0</v>
      </c>
      <c r="M22" s="10" t="n">
        <f aca="false">IF(AND(OR($I22="Analogy",$I22="Assumed"),OR($G22="",$H22="")),1,0)</f>
        <v>0</v>
      </c>
    </row>
    <row r="23" customFormat="false" ht="15" hidden="false" customHeight="false" outlineLevel="0" collapsed="false">
      <c r="A23" s="10" t="s">
        <v>4820</v>
      </c>
      <c r="B23" s="10" t="s">
        <v>4821</v>
      </c>
      <c r="C23" s="11" t="s">
        <v>4822</v>
      </c>
      <c r="D23" s="10" t="s">
        <v>2121</v>
      </c>
      <c r="E23" s="10" t="s">
        <v>2121</v>
      </c>
      <c r="F23" s="12" t="n">
        <v>1000</v>
      </c>
      <c r="G23" s="12" t="n">
        <v>1000</v>
      </c>
      <c r="H23" s="12" t="n">
        <v>1000</v>
      </c>
      <c r="I23" s="10" t="s">
        <v>4751</v>
      </c>
      <c r="J23" s="11" t="s">
        <v>4753</v>
      </c>
      <c r="K23" s="11" t="s">
        <v>4753</v>
      </c>
      <c r="L23" s="10" t="n">
        <f aca="false">IF(AND(ISNUMBER($F23),ISNUMBER($G23),ISNUMBER($H23)),IF(AND($G23&lt;=$F23,$F23&lt;=$H23),0,1),0)</f>
        <v>0</v>
      </c>
      <c r="M23" s="10" t="n">
        <f aca="false">IF(AND(OR($I23="Analogy",$I23="Assumed"),OR($G23="",$H23="")),1,0)</f>
        <v>0</v>
      </c>
    </row>
    <row r="24" customFormat="false" ht="15" hidden="false" customHeight="false" outlineLevel="0" collapsed="false">
      <c r="A24" s="10" t="s">
        <v>4823</v>
      </c>
      <c r="B24" s="10" t="s">
        <v>4824</v>
      </c>
      <c r="C24" s="11" t="s">
        <v>4825</v>
      </c>
      <c r="D24" s="10" t="s">
        <v>2121</v>
      </c>
      <c r="E24" s="10" t="s">
        <v>2121</v>
      </c>
      <c r="F24" s="12" t="n">
        <v>100</v>
      </c>
      <c r="G24" s="12" t="n">
        <v>100</v>
      </c>
      <c r="H24" s="12" t="n">
        <v>100</v>
      </c>
      <c r="I24" s="10" t="s">
        <v>4751</v>
      </c>
      <c r="J24" s="11" t="s">
        <v>4826</v>
      </c>
      <c r="K24" s="11" t="s">
        <v>4753</v>
      </c>
      <c r="L24" s="10" t="n">
        <f aca="false">IF(AND(ISNUMBER($F24),ISNUMBER($G24),ISNUMBER($H24)),IF(AND($G24&lt;=$F24,$F24&lt;=$H24),0,1),0)</f>
        <v>0</v>
      </c>
      <c r="M24" s="10" t="n">
        <f aca="false">IF(AND(OR($I24="Analogy",$I24="Assumed"),OR($G24="",$H24="")),1,0)</f>
        <v>0</v>
      </c>
    </row>
    <row r="25" customFormat="false" ht="15" hidden="false" customHeight="false" outlineLevel="0" collapsed="false">
      <c r="A25" s="10" t="s">
        <v>4827</v>
      </c>
      <c r="B25" s="10" t="s">
        <v>4828</v>
      </c>
      <c r="C25" s="11" t="s">
        <v>4829</v>
      </c>
      <c r="D25" s="10" t="s">
        <v>2121</v>
      </c>
      <c r="E25" s="10" t="s">
        <v>2121</v>
      </c>
      <c r="F25" s="12" t="n">
        <v>10</v>
      </c>
      <c r="G25" s="12" t="n">
        <v>10</v>
      </c>
      <c r="H25" s="12" t="n">
        <v>10</v>
      </c>
      <c r="I25" s="10" t="s">
        <v>4751</v>
      </c>
      <c r="J25" s="11" t="s">
        <v>4830</v>
      </c>
      <c r="K25" s="11" t="s">
        <v>4753</v>
      </c>
      <c r="L25" s="10" t="n">
        <f aca="false">IF(AND(ISNUMBER($F25),ISNUMBER($G25),ISNUMBER($H25)),IF(AND($G25&lt;=$F25,$F25&lt;=$H25),0,1),0)</f>
        <v>0</v>
      </c>
      <c r="M25" s="10" t="n">
        <f aca="false">IF(AND(OR($I25="Analogy",$I25="Assumed"),OR($G25="",$H25="")),1,0)</f>
        <v>0</v>
      </c>
    </row>
    <row r="26" customFormat="false" ht="15" hidden="false" customHeight="false" outlineLevel="0" collapsed="false">
      <c r="A26" s="10" t="s">
        <v>4831</v>
      </c>
      <c r="B26" s="10" t="s">
        <v>4832</v>
      </c>
      <c r="C26" s="11" t="s">
        <v>4833</v>
      </c>
      <c r="D26" s="10" t="s">
        <v>2121</v>
      </c>
      <c r="E26" s="11" t="s">
        <v>4834</v>
      </c>
      <c r="F26" s="12" t="n">
        <v>4.8</v>
      </c>
      <c r="G26" s="12" t="n">
        <v>4.8</v>
      </c>
      <c r="H26" s="12" t="n">
        <v>4.8</v>
      </c>
      <c r="I26" s="10" t="s">
        <v>4751</v>
      </c>
      <c r="J26" s="10" t="s">
        <v>4835</v>
      </c>
      <c r="K26" s="11" t="s">
        <v>4753</v>
      </c>
      <c r="L26" s="10" t="n">
        <f aca="false">IF(AND(ISNUMBER($F26),ISNUMBER($G26),ISNUMBER($H26)),IF(AND($G26&lt;=$F26,$F26&lt;=$H26),0,1),0)</f>
        <v>0</v>
      </c>
      <c r="M26" s="10" t="n">
        <f aca="false">IF(AND(OR($I26="Analogy",$I26="Assumed"),OR($G26="",$H26="")),1,0)</f>
        <v>0</v>
      </c>
    </row>
    <row r="27" customFormat="false" ht="15" hidden="false" customHeight="false" outlineLevel="0" collapsed="false">
      <c r="A27" s="10" t="s">
        <v>4836</v>
      </c>
      <c r="B27" s="10" t="s">
        <v>4837</v>
      </c>
      <c r="C27" s="11" t="s">
        <v>4838</v>
      </c>
      <c r="D27" s="10" t="s">
        <v>1103</v>
      </c>
      <c r="E27" s="11" t="s">
        <v>4839</v>
      </c>
      <c r="F27" s="12" t="n">
        <v>6.7399</v>
      </c>
      <c r="G27" s="12" t="n">
        <v>6.4029</v>
      </c>
      <c r="H27" s="12" t="n">
        <v>7.0769</v>
      </c>
      <c r="I27" s="10" t="s">
        <v>69</v>
      </c>
      <c r="J27" s="11" t="s">
        <v>4840</v>
      </c>
      <c r="K27" s="10" t="s">
        <v>4841</v>
      </c>
      <c r="L27" s="10" t="n">
        <f aca="false">IF(AND(ISNUMBER($F27),ISNUMBER($G27),ISNUMBER($H27)),IF(AND($G27&lt;=$F27,$F27&lt;=$H27),0,1),0)</f>
        <v>0</v>
      </c>
      <c r="M27" s="10" t="n">
        <f aca="false">IF(AND(OR($I27="Analogy",$I27="Assumed"),OR($G27="",$H27="")),1,0)</f>
        <v>0</v>
      </c>
    </row>
    <row r="28" customFormat="false" ht="15" hidden="false" customHeight="false" outlineLevel="0" collapsed="false">
      <c r="A28" s="10" t="s">
        <v>4842</v>
      </c>
      <c r="B28" s="10" t="s">
        <v>4843</v>
      </c>
      <c r="C28" s="11" t="s">
        <v>4844</v>
      </c>
      <c r="D28" s="10" t="s">
        <v>1103</v>
      </c>
      <c r="E28" s="11" t="s">
        <v>4845</v>
      </c>
      <c r="F28" s="12" t="n">
        <v>0.85923</v>
      </c>
      <c r="G28" s="12" t="n">
        <v>0.81627</v>
      </c>
      <c r="H28" s="12" t="n">
        <v>0.90219</v>
      </c>
      <c r="I28" s="10" t="s">
        <v>69</v>
      </c>
      <c r="J28" s="11" t="s">
        <v>4846</v>
      </c>
      <c r="K28" s="10" t="s">
        <v>4841</v>
      </c>
      <c r="L28" s="10" t="n">
        <f aca="false">IF(AND(ISNUMBER($F28),ISNUMBER($G28),ISNUMBER($H28)),IF(AND($G28&lt;=$F28,$F28&lt;=$H28),0,1),0)</f>
        <v>0</v>
      </c>
      <c r="M28" s="10" t="n">
        <f aca="false">IF(AND(OR($I28="Analogy",$I28="Assumed"),OR($G28="",$H28="")),1,0)</f>
        <v>0</v>
      </c>
    </row>
    <row r="29" customFormat="false" ht="15" hidden="false" customHeight="false" outlineLevel="0" collapsed="false">
      <c r="A29" s="10" t="s">
        <v>4847</v>
      </c>
      <c r="B29" s="10" t="s">
        <v>4848</v>
      </c>
      <c r="C29" s="10" t="s">
        <v>4849</v>
      </c>
      <c r="D29" s="10" t="s">
        <v>2121</v>
      </c>
      <c r="E29" s="11" t="s">
        <v>4720</v>
      </c>
      <c r="F29" s="12" t="n">
        <v>0.6</v>
      </c>
      <c r="G29" s="12" t="n">
        <v>0.3</v>
      </c>
      <c r="H29" s="12" t="n">
        <v>0.9</v>
      </c>
      <c r="I29" s="10" t="s">
        <v>4850</v>
      </c>
      <c r="J29" s="11" t="s">
        <v>4851</v>
      </c>
      <c r="K29" s="10" t="s">
        <v>4852</v>
      </c>
      <c r="L29" s="10" t="n">
        <f aca="false">IF(AND(ISNUMBER($F29),ISNUMBER($G29),ISNUMBER($H29)),IF(AND($G29&lt;=$F29,$F29&lt;=$H29),0,1),0)</f>
        <v>0</v>
      </c>
      <c r="M29" s="10" t="n">
        <f aca="false">IF(AND(OR($I29="Analogy",$I29="Assumed"),OR($G29="",$H29="")),1,0)</f>
        <v>0</v>
      </c>
    </row>
    <row r="30" customFormat="false" ht="15" hidden="false" customHeight="false" outlineLevel="0" collapsed="false">
      <c r="A30" s="10" t="s">
        <v>4853</v>
      </c>
      <c r="B30" s="10" t="s">
        <v>4854</v>
      </c>
      <c r="C30" s="10" t="s">
        <v>4855</v>
      </c>
      <c r="D30" s="10" t="s">
        <v>662</v>
      </c>
      <c r="E30" s="11" t="s">
        <v>4773</v>
      </c>
      <c r="F30" s="12" t="n">
        <v>42</v>
      </c>
      <c r="G30" s="12" t="n">
        <v>42</v>
      </c>
      <c r="H30" s="12" t="n">
        <v>42</v>
      </c>
      <c r="I30" s="10" t="s">
        <v>636</v>
      </c>
      <c r="J30" s="10" t="s">
        <v>4856</v>
      </c>
      <c r="K30" s="11" t="s">
        <v>4857</v>
      </c>
      <c r="L30" s="10" t="n">
        <f aca="false">IF(AND(ISNUMBER($F30),ISNUMBER($G30),ISNUMBER($H30)),IF(AND($G30&lt;=$F30,$F30&lt;=$H30),0,1),0)</f>
        <v>0</v>
      </c>
      <c r="M30" s="10" t="n">
        <f aca="false">IF(AND(OR($I30="Analogy",$I30="Assumed"),OR($G30="",$H30="")),1,0)</f>
        <v>0</v>
      </c>
    </row>
    <row r="31" customFormat="false" ht="15" hidden="false" customHeight="false" outlineLevel="0" collapsed="false">
      <c r="A31" s="10" t="s">
        <v>4858</v>
      </c>
      <c r="B31" s="10" t="s">
        <v>4859</v>
      </c>
      <c r="C31" s="10" t="s">
        <v>4860</v>
      </c>
      <c r="D31" s="10" t="s">
        <v>662</v>
      </c>
      <c r="E31" s="11" t="s">
        <v>4773</v>
      </c>
      <c r="F31" s="12" t="n">
        <v>54</v>
      </c>
      <c r="G31" s="12" t="n">
        <v>54</v>
      </c>
      <c r="H31" s="12" t="n">
        <v>54</v>
      </c>
      <c r="I31" s="10" t="s">
        <v>636</v>
      </c>
      <c r="J31" s="10" t="s">
        <v>4861</v>
      </c>
      <c r="K31" s="11" t="s">
        <v>4857</v>
      </c>
      <c r="L31" s="10" t="n">
        <f aca="false">IF(AND(ISNUMBER($F31),ISNUMBER($G31),ISNUMBER($H31)),IF(AND($G31&lt;=$F31,$F31&lt;=$H31),0,1),0)</f>
        <v>0</v>
      </c>
      <c r="M31" s="10" t="n">
        <f aca="false">IF(AND(OR($I31="Analogy",$I31="Assumed"),OR($G31="",$H31="")),1,0)</f>
        <v>0</v>
      </c>
    </row>
    <row r="32" customFormat="false" ht="15" hidden="false" customHeight="false" outlineLevel="0" collapsed="false">
      <c r="A32" s="10" t="s">
        <v>4862</v>
      </c>
      <c r="B32" s="10" t="s">
        <v>4863</v>
      </c>
      <c r="C32" s="10" t="s">
        <v>4864</v>
      </c>
      <c r="D32" s="10" t="s">
        <v>4782</v>
      </c>
      <c r="E32" s="11" t="s">
        <v>4773</v>
      </c>
      <c r="F32" s="12" t="n">
        <v>128</v>
      </c>
      <c r="G32" s="12" t="n">
        <v>128</v>
      </c>
      <c r="H32" s="12" t="n">
        <v>128</v>
      </c>
      <c r="I32" s="10" t="s">
        <v>636</v>
      </c>
      <c r="J32" s="10" t="s">
        <v>4865</v>
      </c>
      <c r="K32" s="11" t="s">
        <v>4857</v>
      </c>
      <c r="L32" s="10" t="n">
        <f aca="false">IF(AND(ISNUMBER($F32),ISNUMBER($G32),ISNUMBER($H32)),IF(AND($G32&lt;=$F32,$F32&lt;=$H32),0,1),0)</f>
        <v>0</v>
      </c>
      <c r="M32" s="10" t="n">
        <f aca="false">IF(AND(OR($I32="Analogy",$I32="Assumed"),OR($G32="",$H32="")),1,0)</f>
        <v>0</v>
      </c>
    </row>
    <row r="33" customFormat="false" ht="15" hidden="false" customHeight="false" outlineLevel="0" collapsed="false">
      <c r="A33" s="10" t="s">
        <v>4866</v>
      </c>
      <c r="B33" s="10" t="s">
        <v>4867</v>
      </c>
      <c r="C33" s="10" t="s">
        <v>4868</v>
      </c>
      <c r="D33" s="10" t="s">
        <v>2121</v>
      </c>
      <c r="E33" s="11" t="s">
        <v>4720</v>
      </c>
      <c r="F33" s="12" t="n">
        <v>0.15</v>
      </c>
      <c r="G33" s="12" t="n">
        <v>0.05</v>
      </c>
      <c r="H33" s="12" t="n">
        <v>0.3</v>
      </c>
      <c r="I33" s="10" t="s">
        <v>1308</v>
      </c>
      <c r="J33" s="10" t="s">
        <v>4869</v>
      </c>
      <c r="K33" s="10" t="s">
        <v>4870</v>
      </c>
      <c r="L33" s="10" t="n">
        <f aca="false">IF(AND(ISNUMBER($F33),ISNUMBER($G33),ISNUMBER($H33)),IF(AND($G33&lt;=$F33,$F33&lt;=$H33),0,1),0)</f>
        <v>0</v>
      </c>
      <c r="M33" s="10" t="n">
        <f aca="false">IF(AND(OR($I33="Analogy",$I33="Assumed"),OR($G33="",$H33="")),1,0)</f>
        <v>0</v>
      </c>
    </row>
    <row r="34" customFormat="false" ht="15" hidden="false" customHeight="false" outlineLevel="0" collapsed="false">
      <c r="A34" s="10" t="s">
        <v>4871</v>
      </c>
      <c r="B34" s="10" t="s">
        <v>4872</v>
      </c>
      <c r="C34" s="10" t="s">
        <v>4873</v>
      </c>
      <c r="D34" s="10" t="s">
        <v>2121</v>
      </c>
      <c r="E34" s="11" t="s">
        <v>4720</v>
      </c>
      <c r="F34" s="12" t="n">
        <v>0.5</v>
      </c>
      <c r="G34" s="12" t="n">
        <v>0.3</v>
      </c>
      <c r="H34" s="12" t="n">
        <v>0.75</v>
      </c>
      <c r="I34" s="10" t="s">
        <v>1308</v>
      </c>
      <c r="J34" s="10" t="s">
        <v>4874</v>
      </c>
      <c r="K34" s="11" t="s">
        <v>4875</v>
      </c>
      <c r="L34" s="10" t="n">
        <f aca="false">IF(AND(ISNUMBER($F34),ISNUMBER($G34),ISNUMBER($H34)),IF(AND($G34&lt;=$F34,$F34&lt;=$H34),0,1),0)</f>
        <v>0</v>
      </c>
      <c r="M34" s="10" t="n">
        <f aca="false">IF(AND(OR($I34="Analogy",$I34="Assumed"),OR($G34="",$H34="")),1,0)</f>
        <v>0</v>
      </c>
    </row>
    <row r="35" customFormat="false" ht="15" hidden="false" customHeight="false" outlineLevel="0" collapsed="false">
      <c r="A35" s="10" t="s">
        <v>4876</v>
      </c>
      <c r="B35" s="10" t="s">
        <v>4877</v>
      </c>
      <c r="C35" s="10" t="s">
        <v>4878</v>
      </c>
      <c r="D35" s="10" t="s">
        <v>2121</v>
      </c>
      <c r="E35" s="11" t="s">
        <v>4720</v>
      </c>
      <c r="F35" s="12" t="n">
        <v>0.25</v>
      </c>
      <c r="G35" s="12" t="n">
        <v>0.1</v>
      </c>
      <c r="H35" s="12" t="n">
        <v>0.4</v>
      </c>
      <c r="I35" s="10" t="s">
        <v>4850</v>
      </c>
      <c r="J35" s="10" t="s">
        <v>4879</v>
      </c>
      <c r="K35" s="10" t="s">
        <v>4880</v>
      </c>
      <c r="L35" s="10" t="n">
        <f aca="false">IF(AND(ISNUMBER($F35),ISNUMBER($G35),ISNUMBER($H35)),IF(AND($G35&lt;=$F35,$F35&lt;=$H35),0,1),0)</f>
        <v>0</v>
      </c>
      <c r="M35" s="10" t="n">
        <f aca="false">IF(AND(OR($I35="Analogy",$I35="Assumed"),OR($G35="",$H35="")),1,0)</f>
        <v>0</v>
      </c>
    </row>
    <row r="36" customFormat="false" ht="15" hidden="false" customHeight="false" outlineLevel="0" collapsed="false">
      <c r="A36" s="10" t="s">
        <v>4881</v>
      </c>
      <c r="B36" s="10" t="s">
        <v>4882</v>
      </c>
      <c r="C36" s="11" t="s">
        <v>4883</v>
      </c>
      <c r="D36" s="10" t="s">
        <v>4383</v>
      </c>
      <c r="E36" s="11" t="s">
        <v>4720</v>
      </c>
      <c r="F36" s="12" t="n">
        <v>0.6</v>
      </c>
      <c r="G36" s="12" t="n">
        <v>0.4</v>
      </c>
      <c r="H36" s="12" t="n">
        <v>0.8</v>
      </c>
      <c r="I36" s="10" t="s">
        <v>4850</v>
      </c>
      <c r="J36" s="10" t="s">
        <v>4884</v>
      </c>
      <c r="K36" s="10" t="s">
        <v>4885</v>
      </c>
      <c r="L36" s="10" t="n">
        <f aca="false">IF(AND(ISNUMBER($F36),ISNUMBER($G36),ISNUMBER($H36)),IF(AND($G36&lt;=$F36,$F36&lt;=$H36),0,1),0)</f>
        <v>0</v>
      </c>
      <c r="M36" s="10" t="n">
        <f aca="false">IF(AND(OR($I36="Analogy",$I36="Assumed"),OR($G36="",$H36="")),1,0)</f>
        <v>0</v>
      </c>
    </row>
    <row r="37" customFormat="false" ht="15" hidden="false" customHeight="false" outlineLevel="0" collapsed="false">
      <c r="A37" s="10" t="s">
        <v>4886</v>
      </c>
      <c r="B37" s="10" t="s">
        <v>4887</v>
      </c>
      <c r="C37" s="11" t="s">
        <v>4883</v>
      </c>
      <c r="D37" s="10" t="s">
        <v>1908</v>
      </c>
      <c r="E37" s="11" t="s">
        <v>4720</v>
      </c>
      <c r="F37" s="12" t="n">
        <v>0.7</v>
      </c>
      <c r="G37" s="12" t="n">
        <v>0.5</v>
      </c>
      <c r="H37" s="12" t="n">
        <v>0.85</v>
      </c>
      <c r="I37" s="10" t="s">
        <v>4850</v>
      </c>
      <c r="J37" s="10" t="s">
        <v>4888</v>
      </c>
      <c r="K37" s="10" t="s">
        <v>4889</v>
      </c>
      <c r="L37" s="10" t="n">
        <f aca="false">IF(AND(ISNUMBER($F37),ISNUMBER($G37),ISNUMBER($H37)),IF(AND($G37&lt;=$F37,$F37&lt;=$H37),0,1),0)</f>
        <v>0</v>
      </c>
      <c r="M37" s="10" t="n">
        <f aca="false">IF(AND(OR($I37="Analogy",$I37="Assumed"),OR($G37="",$H37="")),1,0)</f>
        <v>0</v>
      </c>
    </row>
    <row r="38" customFormat="false" ht="15" hidden="false" customHeight="false" outlineLevel="0" collapsed="false">
      <c r="A38" s="10" t="s">
        <v>4890</v>
      </c>
      <c r="B38" s="10" t="s">
        <v>4891</v>
      </c>
      <c r="C38" s="11" t="s">
        <v>4883</v>
      </c>
      <c r="D38" s="10" t="s">
        <v>4892</v>
      </c>
      <c r="E38" s="11" t="s">
        <v>4720</v>
      </c>
      <c r="F38" s="12" t="n">
        <v>0.7</v>
      </c>
      <c r="G38" s="12" t="n">
        <v>0.5</v>
      </c>
      <c r="H38" s="12" t="n">
        <v>0.85</v>
      </c>
      <c r="I38" s="10" t="s">
        <v>4850</v>
      </c>
      <c r="J38" s="11" t="s">
        <v>4893</v>
      </c>
      <c r="K38" s="10" t="s">
        <v>4889</v>
      </c>
      <c r="L38" s="10" t="n">
        <f aca="false">IF(AND(ISNUMBER($F38),ISNUMBER($G38),ISNUMBER($H38)),IF(AND($G38&lt;=$F38,$F38&lt;=$H38),0,1),0)</f>
        <v>0</v>
      </c>
      <c r="M38" s="10" t="n">
        <f aca="false">IF(AND(OR($I38="Analogy",$I38="Assumed"),OR($G38="",$H38="")),1,0)</f>
        <v>0</v>
      </c>
    </row>
    <row r="39" customFormat="false" ht="15" hidden="false" customHeight="false" outlineLevel="0" collapsed="false">
      <c r="A39" s="10" t="s">
        <v>4894</v>
      </c>
      <c r="B39" s="10" t="s">
        <v>4895</v>
      </c>
      <c r="C39" s="10" t="s">
        <v>4896</v>
      </c>
      <c r="D39" s="10" t="s">
        <v>4892</v>
      </c>
      <c r="E39" s="11" t="s">
        <v>4897</v>
      </c>
      <c r="F39" s="12" t="n">
        <v>-0.2</v>
      </c>
      <c r="G39" s="12" t="n">
        <v>-0.4</v>
      </c>
      <c r="H39" s="12" t="n">
        <v>0.2</v>
      </c>
      <c r="I39" s="10" t="s">
        <v>4850</v>
      </c>
      <c r="J39" s="11" t="s">
        <v>4898</v>
      </c>
      <c r="K39" s="10" t="s">
        <v>4899</v>
      </c>
      <c r="L39" s="10" t="n">
        <f aca="false">IF(AND(ISNUMBER($F39),ISNUMBER($G39),ISNUMBER($H39)),IF(AND($G39&lt;=$F39,$F39&lt;=$H39),0,1),0)</f>
        <v>0</v>
      </c>
      <c r="M39" s="10" t="n">
        <f aca="false">IF(AND(OR($I39="Analogy",$I39="Assumed"),OR($G39="",$H39="")),1,0)</f>
        <v>0</v>
      </c>
    </row>
    <row r="40" customFormat="false" ht="15" hidden="false" customHeight="false" outlineLevel="0" collapsed="false">
      <c r="A40" s="10" t="s">
        <v>4900</v>
      </c>
      <c r="B40" s="10" t="s">
        <v>4901</v>
      </c>
      <c r="C40" s="10" t="s">
        <v>4902</v>
      </c>
      <c r="D40" s="10" t="s">
        <v>4892</v>
      </c>
      <c r="E40" s="11" t="s">
        <v>4897</v>
      </c>
      <c r="F40" s="12" t="n">
        <v>-0.2</v>
      </c>
      <c r="G40" s="12" t="n">
        <v>-0.4</v>
      </c>
      <c r="H40" s="12" t="n">
        <v>0.2</v>
      </c>
      <c r="I40" s="10" t="s">
        <v>4850</v>
      </c>
      <c r="J40" s="11" t="s">
        <v>4903</v>
      </c>
      <c r="K40" s="10" t="s">
        <v>4899</v>
      </c>
      <c r="L40" s="10" t="n">
        <f aca="false">IF(AND(ISNUMBER($F40),ISNUMBER($G40),ISNUMBER($H40)),IF(AND($G40&lt;=$F40,$F40&lt;=$H40),0,1),0)</f>
        <v>0</v>
      </c>
      <c r="M40" s="10" t="n">
        <f aca="false">IF(AND(OR($I40="Analogy",$I40="Assumed"),OR($G40="",$H40="")),1,0)</f>
        <v>0</v>
      </c>
    </row>
    <row r="41" customFormat="false" ht="15" hidden="false" customHeight="false" outlineLevel="0" collapsed="false">
      <c r="A41" s="10" t="s">
        <v>4904</v>
      </c>
      <c r="B41" s="10" t="s">
        <v>4905</v>
      </c>
      <c r="C41" s="10" t="s">
        <v>4906</v>
      </c>
      <c r="D41" s="10" t="s">
        <v>2121</v>
      </c>
      <c r="E41" s="10" t="s">
        <v>4907</v>
      </c>
      <c r="F41" s="12" t="n">
        <v>20</v>
      </c>
      <c r="G41" s="12" t="n">
        <v>5</v>
      </c>
      <c r="H41" s="12" t="n">
        <v>50</v>
      </c>
      <c r="I41" s="10" t="s">
        <v>4850</v>
      </c>
      <c r="J41" s="10" t="s">
        <v>4908</v>
      </c>
      <c r="K41" s="10" t="s">
        <v>4909</v>
      </c>
      <c r="L41" s="10" t="n">
        <f aca="false">IF(AND(ISNUMBER($F41),ISNUMBER($G41),ISNUMBER($H41)),IF(AND($G41&lt;=$F41,$F41&lt;=$H41),0,1),0)</f>
        <v>0</v>
      </c>
      <c r="M41" s="10" t="n">
        <f aca="false">IF(AND(OR($I41="Analogy",$I41="Assumed"),OR($G41="",$H41="")),1,0)</f>
        <v>0</v>
      </c>
    </row>
    <row r="42" customFormat="false" ht="15" hidden="false" customHeight="false" outlineLevel="0" collapsed="false">
      <c r="A42" s="10" t="s">
        <v>4910</v>
      </c>
      <c r="B42" s="10" t="s">
        <v>4911</v>
      </c>
      <c r="C42" s="10" t="s">
        <v>4912</v>
      </c>
      <c r="D42" s="10" t="s">
        <v>4782</v>
      </c>
      <c r="E42" s="11" t="s">
        <v>4913</v>
      </c>
      <c r="F42" s="12" t="n">
        <v>2.24</v>
      </c>
      <c r="G42" s="12" t="n">
        <v>1.3</v>
      </c>
      <c r="H42" s="12" t="n">
        <v>3</v>
      </c>
      <c r="I42" s="10" t="s">
        <v>636</v>
      </c>
      <c r="J42" s="11" t="s">
        <v>4914</v>
      </c>
      <c r="K42" s="10" t="s">
        <v>4915</v>
      </c>
      <c r="L42" s="10" t="n">
        <f aca="false">IF(AND(ISNUMBER($F42),ISNUMBER($G42),ISNUMBER($H42)),IF(AND($G42&lt;=$F42,$F42&lt;=$H42),0,1),0)</f>
        <v>0</v>
      </c>
      <c r="M42" s="10" t="n">
        <f aca="false">IF(AND(OR($I42="Analogy",$I42="Assumed"),OR($G42="",$H42="")),1,0)</f>
        <v>0</v>
      </c>
    </row>
    <row r="43" customFormat="false" ht="15" hidden="false" customHeight="false" outlineLevel="0" collapsed="false">
      <c r="A43" s="10" t="s">
        <v>4916</v>
      </c>
      <c r="B43" s="10" t="s">
        <v>4917</v>
      </c>
      <c r="C43" s="10" t="s">
        <v>4918</v>
      </c>
      <c r="D43" s="10" t="s">
        <v>4782</v>
      </c>
      <c r="E43" s="11" t="s">
        <v>4913</v>
      </c>
      <c r="F43" s="12" t="n">
        <v>0.1</v>
      </c>
      <c r="G43" s="12" t="n">
        <v>0</v>
      </c>
      <c r="H43" s="12" t="n">
        <v>0.3</v>
      </c>
      <c r="I43" s="10" t="s">
        <v>4850</v>
      </c>
      <c r="J43" s="10" t="s">
        <v>4919</v>
      </c>
      <c r="K43" s="10" t="s">
        <v>4920</v>
      </c>
      <c r="L43" s="10" t="n">
        <f aca="false">IF(AND(ISNUMBER($F43),ISNUMBER($G43),ISNUMBER($H43)),IF(AND($G43&lt;=$F43,$F43&lt;=$H43),0,1),0)</f>
        <v>0</v>
      </c>
      <c r="M43" s="10" t="n">
        <f aca="false">IF(AND(OR($I43="Analogy",$I43="Assumed"),OR($G43="",$H43="")),1,0)</f>
        <v>0</v>
      </c>
    </row>
    <row r="44" customFormat="false" ht="15" hidden="false" customHeight="false" outlineLevel="0" collapsed="false">
      <c r="A44" s="10" t="s">
        <v>4921</v>
      </c>
      <c r="B44" s="10" t="s">
        <v>4922</v>
      </c>
      <c r="C44" s="10" t="s">
        <v>4923</v>
      </c>
      <c r="D44" s="10" t="s">
        <v>4681</v>
      </c>
      <c r="E44" s="11" t="s">
        <v>4897</v>
      </c>
      <c r="F44" s="12" t="n">
        <v>0.8</v>
      </c>
      <c r="G44" s="12" t="n">
        <v>0.4</v>
      </c>
      <c r="H44" s="12" t="n">
        <v>1.6</v>
      </c>
      <c r="I44" s="10" t="s">
        <v>4850</v>
      </c>
      <c r="J44" s="10" t="s">
        <v>4924</v>
      </c>
      <c r="K44" s="11" t="s">
        <v>4925</v>
      </c>
      <c r="L44" s="10" t="n">
        <f aca="false">IF(AND(ISNUMBER($F44),ISNUMBER($G44),ISNUMBER($H44)),IF(AND($G44&lt;=$F44,$F44&lt;=$H44),0,1),0)</f>
        <v>0</v>
      </c>
      <c r="M44" s="10" t="n">
        <f aca="false">IF(AND(OR($I44="Analogy",$I44="Assumed"),OR($G44="",$H44="")),1,0)</f>
        <v>0</v>
      </c>
    </row>
    <row r="45" customFormat="false" ht="15" hidden="false" customHeight="false" outlineLevel="0" collapsed="false">
      <c r="A45" s="10" t="s">
        <v>4926</v>
      </c>
      <c r="B45" s="10" t="s">
        <v>4927</v>
      </c>
      <c r="C45" s="10" t="s">
        <v>4923</v>
      </c>
      <c r="D45" s="10" t="s">
        <v>4682</v>
      </c>
      <c r="E45" s="11" t="s">
        <v>4897</v>
      </c>
      <c r="F45" s="12" t="n">
        <v>0.5</v>
      </c>
      <c r="G45" s="12" t="n">
        <v>0.25</v>
      </c>
      <c r="H45" s="12" t="n">
        <v>1</v>
      </c>
      <c r="I45" s="10" t="s">
        <v>4850</v>
      </c>
      <c r="J45" s="10" t="s">
        <v>4928</v>
      </c>
      <c r="K45" s="11" t="s">
        <v>4925</v>
      </c>
      <c r="L45" s="10" t="n">
        <f aca="false">IF(AND(ISNUMBER($F45),ISNUMBER($G45),ISNUMBER($H45)),IF(AND($G45&lt;=$F45,$F45&lt;=$H45),0,1),0)</f>
        <v>0</v>
      </c>
      <c r="M45" s="10" t="n">
        <f aca="false">IF(AND(OR($I45="Analogy",$I45="Assumed"),OR($G45="",$H45="")),1,0)</f>
        <v>0</v>
      </c>
    </row>
    <row r="46" customFormat="false" ht="15" hidden="false" customHeight="false" outlineLevel="0" collapsed="false">
      <c r="A46" s="10" t="s">
        <v>4929</v>
      </c>
      <c r="B46" s="10" t="s">
        <v>4930</v>
      </c>
      <c r="C46" s="10" t="s">
        <v>4923</v>
      </c>
      <c r="D46" s="10" t="s">
        <v>4683</v>
      </c>
      <c r="E46" s="11" t="s">
        <v>4897</v>
      </c>
      <c r="F46" s="12" t="n">
        <v>0.35</v>
      </c>
      <c r="G46" s="12" t="n">
        <v>0.175</v>
      </c>
      <c r="H46" s="12" t="n">
        <v>0.7</v>
      </c>
      <c r="I46" s="10" t="s">
        <v>4850</v>
      </c>
      <c r="J46" s="10" t="s">
        <v>4931</v>
      </c>
      <c r="K46" s="11" t="s">
        <v>4925</v>
      </c>
      <c r="L46" s="10" t="n">
        <f aca="false">IF(AND(ISNUMBER($F46),ISNUMBER($G46),ISNUMBER($H46)),IF(AND($G46&lt;=$F46,$F46&lt;=$H46),0,1),0)</f>
        <v>0</v>
      </c>
      <c r="M46" s="10" t="n">
        <f aca="false">IF(AND(OR($I46="Analogy",$I46="Assumed"),OR($G46="",$H46="")),1,0)</f>
        <v>0</v>
      </c>
    </row>
    <row r="47" customFormat="false" ht="15" hidden="false" customHeight="false" outlineLevel="0" collapsed="false">
      <c r="A47" s="10" t="s">
        <v>4932</v>
      </c>
      <c r="B47" s="10" t="s">
        <v>4933</v>
      </c>
      <c r="C47" s="10" t="s">
        <v>4923</v>
      </c>
      <c r="D47" s="10" t="s">
        <v>4684</v>
      </c>
      <c r="E47" s="11" t="s">
        <v>4897</v>
      </c>
      <c r="F47" s="12" t="n">
        <v>0.25</v>
      </c>
      <c r="G47" s="12" t="n">
        <v>0.125</v>
      </c>
      <c r="H47" s="12" t="n">
        <v>0.5</v>
      </c>
      <c r="I47" s="10" t="s">
        <v>4850</v>
      </c>
      <c r="J47" s="10" t="s">
        <v>4934</v>
      </c>
      <c r="K47" s="11" t="s">
        <v>4925</v>
      </c>
      <c r="L47" s="10" t="n">
        <f aca="false">IF(AND(ISNUMBER($F47),ISNUMBER($G47),ISNUMBER($H47)),IF(AND($G47&lt;=$F47,$F47&lt;=$H47),0,1),0)</f>
        <v>0</v>
      </c>
      <c r="M47" s="10" t="n">
        <f aca="false">IF(AND(OR($I47="Analogy",$I47="Assumed"),OR($G47="",$H47="")),1,0)</f>
        <v>0</v>
      </c>
    </row>
    <row r="48" customFormat="false" ht="15" hidden="false" customHeight="false" outlineLevel="0" collapsed="false">
      <c r="A48" s="10" t="s">
        <v>4935</v>
      </c>
      <c r="B48" s="10" t="s">
        <v>4936</v>
      </c>
      <c r="C48" s="10" t="s">
        <v>4937</v>
      </c>
      <c r="D48" s="10" t="s">
        <v>4892</v>
      </c>
      <c r="E48" s="11" t="s">
        <v>4897</v>
      </c>
      <c r="F48" s="12" t="n">
        <v>0.15</v>
      </c>
      <c r="G48" s="12" t="n">
        <v>0.05</v>
      </c>
      <c r="H48" s="12" t="n">
        <v>0.25</v>
      </c>
      <c r="I48" s="10" t="s">
        <v>1308</v>
      </c>
      <c r="J48" s="10" t="s">
        <v>4938</v>
      </c>
      <c r="K48" s="10" t="s">
        <v>4939</v>
      </c>
      <c r="L48" s="10" t="n">
        <f aca="false">IF(AND(ISNUMBER($F48),ISNUMBER($G48),ISNUMBER($H48)),IF(AND($G48&lt;=$F48,$F48&lt;=$H48),0,1),0)</f>
        <v>0</v>
      </c>
      <c r="M48" s="10" t="n">
        <f aca="false">IF(AND(OR($I48="Analogy",$I48="Assumed"),OR($G48="",$H48="")),1,0)</f>
        <v>0</v>
      </c>
    </row>
    <row r="49" customFormat="false" ht="15" hidden="false" customHeight="false" outlineLevel="0" collapsed="false">
      <c r="A49" s="10" t="s">
        <v>4940</v>
      </c>
      <c r="B49" s="10" t="s">
        <v>4941</v>
      </c>
      <c r="C49" s="11" t="s">
        <v>4942</v>
      </c>
      <c r="D49" s="10" t="s">
        <v>4943</v>
      </c>
      <c r="E49" s="11" t="s">
        <v>4944</v>
      </c>
      <c r="F49" s="12" t="n">
        <v>-0.7</v>
      </c>
      <c r="G49" s="12" t="n">
        <v>-1.05</v>
      </c>
      <c r="H49" s="12" t="n">
        <v>-0.35</v>
      </c>
      <c r="I49" s="10" t="s">
        <v>1308</v>
      </c>
      <c r="J49" s="10" t="s">
        <v>4945</v>
      </c>
      <c r="K49" s="11" t="s">
        <v>4875</v>
      </c>
      <c r="L49" s="10" t="n">
        <f aca="false">IF(AND(ISNUMBER($F49),ISNUMBER($G49),ISNUMBER($H49)),IF(AND($G49&lt;=$F49,$F49&lt;=$H49),0,1),0)</f>
        <v>0</v>
      </c>
      <c r="M49" s="10" t="n">
        <f aca="false">IF(AND(OR($I49="Analogy",$I49="Assumed"),OR($G49="",$H49="")),1,0)</f>
        <v>0</v>
      </c>
    </row>
    <row r="50" customFormat="false" ht="15" hidden="false" customHeight="false" outlineLevel="0" collapsed="false">
      <c r="A50" s="10" t="s">
        <v>4946</v>
      </c>
      <c r="B50" s="10" t="s">
        <v>4947</v>
      </c>
      <c r="C50" s="11" t="s">
        <v>4948</v>
      </c>
      <c r="D50" s="10" t="s">
        <v>4943</v>
      </c>
      <c r="E50" s="11" t="s">
        <v>4944</v>
      </c>
      <c r="F50" s="12" t="n">
        <v>-0.3</v>
      </c>
      <c r="G50" s="12" t="n">
        <v>-0.45</v>
      </c>
      <c r="H50" s="12" t="n">
        <v>-0.15</v>
      </c>
      <c r="I50" s="10" t="s">
        <v>1308</v>
      </c>
      <c r="J50" s="10" t="s">
        <v>4949</v>
      </c>
      <c r="K50" s="11" t="s">
        <v>4875</v>
      </c>
      <c r="L50" s="10" t="n">
        <f aca="false">IF(AND(ISNUMBER($F50),ISNUMBER($G50),ISNUMBER($H50)),IF(AND($G50&lt;=$F50,$F50&lt;=$H50),0,1),0)</f>
        <v>0</v>
      </c>
      <c r="M50" s="10" t="n">
        <f aca="false">IF(AND(OR($I50="Analogy",$I50="Assumed"),OR($G50="",$H50="")),1,0)</f>
        <v>0</v>
      </c>
    </row>
    <row r="51" customFormat="false" ht="15" hidden="false" customHeight="false" outlineLevel="0" collapsed="false">
      <c r="A51" s="10" t="s">
        <v>4950</v>
      </c>
      <c r="B51" s="10" t="s">
        <v>4951</v>
      </c>
      <c r="C51" s="11" t="s">
        <v>4952</v>
      </c>
      <c r="D51" s="10" t="s">
        <v>2121</v>
      </c>
      <c r="E51" s="11" t="s">
        <v>1709</v>
      </c>
      <c r="F51" s="12" t="n">
        <v>0.3</v>
      </c>
      <c r="G51" s="12" t="n">
        <v>0.1</v>
      </c>
      <c r="H51" s="12" t="n">
        <v>1</v>
      </c>
      <c r="I51" s="10" t="s">
        <v>4850</v>
      </c>
      <c r="J51" s="10" t="s">
        <v>4953</v>
      </c>
      <c r="K51" s="10" t="s">
        <v>4954</v>
      </c>
      <c r="L51" s="10" t="n">
        <f aca="false">IF(AND(ISNUMBER($F51),ISNUMBER($G51),ISNUMBER($H51)),IF(AND($G51&lt;=$F51,$F51&lt;=$H51),0,1),0)</f>
        <v>0</v>
      </c>
      <c r="M51" s="10" t="n">
        <f aca="false">IF(AND(OR($I51="Analogy",$I51="Assumed"),OR($G51="",$H51="")),1,0)</f>
        <v>0</v>
      </c>
    </row>
    <row r="52" customFormat="false" ht="15" hidden="false" customHeight="false" outlineLevel="0" collapsed="false">
      <c r="A52" s="10" t="s">
        <v>4955</v>
      </c>
      <c r="B52" s="10" t="s">
        <v>4956</v>
      </c>
      <c r="C52" s="10" t="s">
        <v>4957</v>
      </c>
      <c r="D52" s="10" t="s">
        <v>662</v>
      </c>
      <c r="E52" s="11" t="s">
        <v>1709</v>
      </c>
      <c r="F52" s="12" t="n">
        <v>1</v>
      </c>
      <c r="G52" s="12" t="n">
        <v>0.7</v>
      </c>
      <c r="H52" s="12" t="n">
        <v>1.5</v>
      </c>
      <c r="I52" s="10" t="s">
        <v>4850</v>
      </c>
      <c r="J52" s="10" t="s">
        <v>4958</v>
      </c>
      <c r="K52" s="10" t="s">
        <v>4959</v>
      </c>
      <c r="L52" s="10" t="n">
        <f aca="false">IF(AND(ISNUMBER($F52),ISNUMBER($G52),ISNUMBER($H52)),IF(AND($G52&lt;=$F52,$F52&lt;=$H52),0,1),0)</f>
        <v>0</v>
      </c>
      <c r="M52" s="10" t="n">
        <f aca="false">IF(AND(OR($I52="Analogy",$I52="Assumed"),OR($G52="",$H52="")),1,0)</f>
        <v>0</v>
      </c>
    </row>
    <row r="53" customFormat="false" ht="15" hidden="false" customHeight="false" outlineLevel="0" collapsed="false">
      <c r="A53" s="10" t="s">
        <v>4960</v>
      </c>
      <c r="B53" s="10" t="s">
        <v>4961</v>
      </c>
      <c r="C53" s="10" t="s">
        <v>4962</v>
      </c>
      <c r="D53" s="10" t="s">
        <v>4383</v>
      </c>
      <c r="E53" s="11" t="s">
        <v>1709</v>
      </c>
      <c r="F53" s="12" t="n">
        <v>0.15</v>
      </c>
      <c r="G53" s="12" t="n">
        <v>0.05</v>
      </c>
      <c r="H53" s="12" t="n">
        <v>0.3</v>
      </c>
      <c r="I53" s="10" t="s">
        <v>4850</v>
      </c>
      <c r="J53" s="10" t="s">
        <v>4963</v>
      </c>
      <c r="K53" s="10" t="s">
        <v>4964</v>
      </c>
      <c r="L53" s="10" t="n">
        <f aca="false">IF(AND(ISNUMBER($F53),ISNUMBER($G53),ISNUMBER($H53)),IF(AND($G53&lt;=$F53,$F53&lt;=$H53),0,1),0)</f>
        <v>0</v>
      </c>
      <c r="M53" s="10" t="n">
        <f aca="false">IF(AND(OR($I53="Analogy",$I53="Assumed"),OR($G53="",$H53="")),1,0)</f>
        <v>0</v>
      </c>
    </row>
    <row r="54" customFormat="false" ht="15" hidden="false" customHeight="false" outlineLevel="0" collapsed="false">
      <c r="A54" s="10" t="s">
        <v>4965</v>
      </c>
      <c r="B54" s="10" t="s">
        <v>4966</v>
      </c>
      <c r="C54" s="10" t="s">
        <v>4967</v>
      </c>
      <c r="D54" s="10" t="s">
        <v>4782</v>
      </c>
      <c r="E54" s="11" t="s">
        <v>4913</v>
      </c>
      <c r="F54" s="12" t="n">
        <v>0.5</v>
      </c>
      <c r="G54" s="12" t="n">
        <v>0</v>
      </c>
      <c r="H54" s="12" t="n">
        <v>1.5</v>
      </c>
      <c r="I54" s="10" t="s">
        <v>4850</v>
      </c>
      <c r="J54" s="10" t="s">
        <v>4968</v>
      </c>
      <c r="K54" s="10" t="s">
        <v>4969</v>
      </c>
      <c r="L54" s="10" t="n">
        <f aca="false">IF(AND(ISNUMBER($F54),ISNUMBER($G54),ISNUMBER($H54)),IF(AND($G54&lt;=$F54,$F54&lt;=$H54),0,1),0)</f>
        <v>0</v>
      </c>
      <c r="M54" s="10" t="n">
        <f aca="false">IF(AND(OR($I54="Analogy",$I54="Assumed"),OR($G54="",$H54="")),1,0)</f>
        <v>0</v>
      </c>
    </row>
    <row r="55" customFormat="false" ht="15" hidden="false" customHeight="false" outlineLevel="0" collapsed="false">
      <c r="A55" s="10" t="s">
        <v>4970</v>
      </c>
      <c r="B55" s="10" t="s">
        <v>4971</v>
      </c>
      <c r="C55" s="10" t="s">
        <v>4972</v>
      </c>
      <c r="D55" s="10" t="s">
        <v>4681</v>
      </c>
      <c r="E55" s="11" t="s">
        <v>4897</v>
      </c>
      <c r="F55" s="12" t="n">
        <v>0.5</v>
      </c>
      <c r="G55" s="12" t="n">
        <v>0.2</v>
      </c>
      <c r="H55" s="12" t="n">
        <v>1</v>
      </c>
      <c r="I55" s="10" t="s">
        <v>4850</v>
      </c>
      <c r="J55" s="11" t="s">
        <v>4973</v>
      </c>
      <c r="K55" s="10" t="s">
        <v>4974</v>
      </c>
      <c r="L55" s="10" t="n">
        <f aca="false">IF(AND(ISNUMBER($F55),ISNUMBER($G55),ISNUMBER($H55)),IF(AND($G55&lt;=$F55,$F55&lt;=$H55),0,1),0)</f>
        <v>0</v>
      </c>
      <c r="M55" s="10" t="n">
        <f aca="false">IF(AND(OR($I55="Analogy",$I55="Assumed"),OR($G55="",$H55="")),1,0)</f>
        <v>0</v>
      </c>
    </row>
    <row r="56" customFormat="false" ht="15" hidden="false" customHeight="false" outlineLevel="0" collapsed="false">
      <c r="A56" s="10" t="s">
        <v>4975</v>
      </c>
      <c r="B56" s="10" t="s">
        <v>4976</v>
      </c>
      <c r="C56" s="10" t="s">
        <v>4972</v>
      </c>
      <c r="D56" s="10" t="s">
        <v>4682</v>
      </c>
      <c r="E56" s="11" t="s">
        <v>4897</v>
      </c>
      <c r="F56" s="12" t="n">
        <v>0.3</v>
      </c>
      <c r="G56" s="12" t="n">
        <v>0.1</v>
      </c>
      <c r="H56" s="12" t="n">
        <v>0.6</v>
      </c>
      <c r="I56" s="10" t="s">
        <v>4850</v>
      </c>
      <c r="J56" s="11" t="s">
        <v>1095</v>
      </c>
      <c r="K56" s="10" t="s">
        <v>4977</v>
      </c>
      <c r="L56" s="10" t="n">
        <f aca="false">IF(AND(ISNUMBER($F56),ISNUMBER($G56),ISNUMBER($H56)),IF(AND($G56&lt;=$F56,$F56&lt;=$H56),0,1),0)</f>
        <v>0</v>
      </c>
      <c r="M56" s="10" t="n">
        <f aca="false">IF(AND(OR($I56="Analogy",$I56="Assumed"),OR($G56="",$H56="")),1,0)</f>
        <v>0</v>
      </c>
    </row>
    <row r="57" customFormat="false" ht="15" hidden="false" customHeight="false" outlineLevel="0" collapsed="false">
      <c r="A57" s="10" t="s">
        <v>4978</v>
      </c>
      <c r="B57" s="10" t="s">
        <v>4979</v>
      </c>
      <c r="C57" s="10" t="s">
        <v>4972</v>
      </c>
      <c r="D57" s="10" t="s">
        <v>4683</v>
      </c>
      <c r="E57" s="11" t="s">
        <v>4897</v>
      </c>
      <c r="F57" s="12" t="n">
        <v>0.2</v>
      </c>
      <c r="G57" s="12" t="n">
        <v>0.05</v>
      </c>
      <c r="H57" s="12" t="n">
        <v>0.4</v>
      </c>
      <c r="I57" s="10" t="s">
        <v>4850</v>
      </c>
      <c r="J57" s="11" t="s">
        <v>1095</v>
      </c>
      <c r="K57" s="10" t="s">
        <v>4980</v>
      </c>
      <c r="L57" s="10" t="n">
        <f aca="false">IF(AND(ISNUMBER($F57),ISNUMBER($G57),ISNUMBER($H57)),IF(AND($G57&lt;=$F57,$F57&lt;=$H57),0,1),0)</f>
        <v>0</v>
      </c>
      <c r="M57" s="10" t="n">
        <f aca="false">IF(AND(OR($I57="Analogy",$I57="Assumed"),OR($G57="",$H57="")),1,0)</f>
        <v>0</v>
      </c>
    </row>
    <row r="58" customFormat="false" ht="15" hidden="false" customHeight="false" outlineLevel="0" collapsed="false">
      <c r="A58" s="10" t="s">
        <v>4981</v>
      </c>
      <c r="B58" s="10" t="s">
        <v>4982</v>
      </c>
      <c r="C58" s="10" t="s">
        <v>4972</v>
      </c>
      <c r="D58" s="10" t="s">
        <v>4684</v>
      </c>
      <c r="E58" s="11" t="s">
        <v>4897</v>
      </c>
      <c r="F58" s="12" t="n">
        <v>0.15</v>
      </c>
      <c r="G58" s="12" t="n">
        <v>0</v>
      </c>
      <c r="H58" s="12" t="n">
        <v>0.3</v>
      </c>
      <c r="I58" s="10" t="s">
        <v>4850</v>
      </c>
      <c r="J58" s="11" t="s">
        <v>1095</v>
      </c>
      <c r="K58" s="10" t="s">
        <v>4920</v>
      </c>
      <c r="L58" s="10" t="n">
        <f aca="false">IF(AND(ISNUMBER($F58),ISNUMBER($G58),ISNUMBER($H58)),IF(AND($G58&lt;=$F58,$F58&lt;=$H58),0,1),0)</f>
        <v>0</v>
      </c>
      <c r="M58" s="10" t="n">
        <f aca="false">IF(AND(OR($I58="Analogy",$I58="Assumed"),OR($G58="",$H58="")),1,0)</f>
        <v>0</v>
      </c>
    </row>
    <row r="59" customFormat="false" ht="15" hidden="false" customHeight="false" outlineLevel="0" collapsed="false">
      <c r="A59" s="10" t="s">
        <v>4983</v>
      </c>
      <c r="B59" s="10" t="s">
        <v>4984</v>
      </c>
      <c r="C59" s="10" t="s">
        <v>4985</v>
      </c>
      <c r="D59" s="10" t="s">
        <v>2121</v>
      </c>
      <c r="E59" s="11" t="s">
        <v>4720</v>
      </c>
      <c r="F59" s="12" t="n">
        <v>0.6</v>
      </c>
      <c r="G59" s="12" t="n">
        <v>0.4</v>
      </c>
      <c r="H59" s="12" t="n">
        <v>0.8</v>
      </c>
      <c r="I59" s="10" t="s">
        <v>4850</v>
      </c>
      <c r="J59" s="11" t="s">
        <v>4986</v>
      </c>
      <c r="K59" s="10" t="s">
        <v>4885</v>
      </c>
      <c r="L59" s="10" t="n">
        <f aca="false">IF(AND(ISNUMBER($F59),ISNUMBER($G59),ISNUMBER($H59)),IF(AND($G59&lt;=$F59,$F59&lt;=$H59),0,1),0)</f>
        <v>0</v>
      </c>
      <c r="M59" s="10" t="n">
        <f aca="false">IF(AND(OR($I59="Analogy",$I59="Assumed"),OR($G59="",$H59="")),1,0)</f>
        <v>0</v>
      </c>
    </row>
    <row r="60" customFormat="false" ht="15" hidden="false" customHeight="false" outlineLevel="0" collapsed="false">
      <c r="A60" s="10" t="s">
        <v>4987</v>
      </c>
      <c r="B60" s="10" t="s">
        <v>4988</v>
      </c>
      <c r="C60" s="10" t="s">
        <v>4989</v>
      </c>
      <c r="D60" s="10" t="s">
        <v>2121</v>
      </c>
      <c r="E60" s="11" t="s">
        <v>4720</v>
      </c>
      <c r="F60" s="12" t="n">
        <v>0.3</v>
      </c>
      <c r="G60" s="12" t="n">
        <v>0.15</v>
      </c>
      <c r="H60" s="12" t="n">
        <v>0.45</v>
      </c>
      <c r="I60" s="10" t="s">
        <v>4850</v>
      </c>
      <c r="J60" s="10" t="s">
        <v>4990</v>
      </c>
      <c r="K60" s="10" t="s">
        <v>4991</v>
      </c>
      <c r="L60" s="10" t="n">
        <f aca="false">IF(AND(ISNUMBER($F60),ISNUMBER($G60),ISNUMBER($H60)),IF(AND($G60&lt;=$F60,$F60&lt;=$H60),0,1),0)</f>
        <v>0</v>
      </c>
      <c r="M60" s="10" t="n">
        <f aca="false">IF(AND(OR($I60="Analogy",$I60="Assumed"),OR($G60="",$H60="")),1,0)</f>
        <v>0</v>
      </c>
    </row>
    <row r="61" customFormat="false" ht="15" hidden="false" customHeight="false" outlineLevel="0" collapsed="false">
      <c r="A61" s="10" t="s">
        <v>4992</v>
      </c>
      <c r="B61" s="10" t="s">
        <v>4993</v>
      </c>
      <c r="C61" s="10" t="s">
        <v>4994</v>
      </c>
      <c r="D61" s="10" t="s">
        <v>2121</v>
      </c>
      <c r="E61" s="11" t="s">
        <v>4720</v>
      </c>
      <c r="F61" s="12" t="n">
        <v>0.3</v>
      </c>
      <c r="G61" s="12" t="n">
        <v>0.1</v>
      </c>
      <c r="H61" s="12" t="n">
        <v>0.5</v>
      </c>
      <c r="I61" s="10" t="s">
        <v>4850</v>
      </c>
      <c r="J61" s="11" t="s">
        <v>4995</v>
      </c>
      <c r="K61" s="10" t="s">
        <v>4996</v>
      </c>
      <c r="L61" s="10" t="n">
        <f aca="false">IF(AND(ISNUMBER($F61),ISNUMBER($G61),ISNUMBER($H61)),IF(AND($G61&lt;=$F61,$F61&lt;=$H61),0,1),0)</f>
        <v>0</v>
      </c>
      <c r="M61" s="10" t="n">
        <f aca="false">IF(AND(OR($I61="Analogy",$I61="Assumed"),OR($G61="",$H61="")),1,0)</f>
        <v>0</v>
      </c>
    </row>
    <row r="62" customFormat="false" ht="15" hidden="false" customHeight="false" outlineLevel="0" collapsed="false">
      <c r="A62" s="10" t="s">
        <v>4997</v>
      </c>
      <c r="B62" s="10" t="s">
        <v>4998</v>
      </c>
      <c r="C62" s="10" t="s">
        <v>4999</v>
      </c>
      <c r="D62" s="10" t="s">
        <v>2121</v>
      </c>
      <c r="E62" s="11" t="s">
        <v>4720</v>
      </c>
      <c r="F62" s="12" t="n">
        <v>0.2</v>
      </c>
      <c r="G62" s="12" t="n">
        <v>0.1</v>
      </c>
      <c r="H62" s="12" t="n">
        <v>0.3</v>
      </c>
      <c r="I62" s="10" t="s">
        <v>4850</v>
      </c>
      <c r="J62" s="11" t="s">
        <v>5000</v>
      </c>
      <c r="K62" s="10" t="s">
        <v>5001</v>
      </c>
      <c r="L62" s="10" t="n">
        <f aca="false">IF(AND(ISNUMBER($F62),ISNUMBER($G62),ISNUMBER($H62)),IF(AND($G62&lt;=$F62,$F62&lt;=$H62),0,1),0)</f>
        <v>0</v>
      </c>
      <c r="M62" s="10" t="n">
        <f aca="false">IF(AND(OR($I62="Analogy",$I62="Assumed"),OR($G62="",$H62="")),1,0)</f>
        <v>0</v>
      </c>
    </row>
    <row r="63" customFormat="false" ht="15" hidden="false" customHeight="false" outlineLevel="0" collapsed="false">
      <c r="A63" s="10" t="s">
        <v>5002</v>
      </c>
      <c r="B63" s="10" t="s">
        <v>5003</v>
      </c>
      <c r="C63" s="10" t="s">
        <v>5004</v>
      </c>
      <c r="D63" s="10" t="s">
        <v>4892</v>
      </c>
      <c r="E63" s="11" t="s">
        <v>4897</v>
      </c>
      <c r="F63" s="12" t="n">
        <v>0</v>
      </c>
      <c r="G63" s="12" t="n">
        <v>-0.2</v>
      </c>
      <c r="H63" s="12" t="n">
        <v>0.2</v>
      </c>
      <c r="I63" s="10" t="s">
        <v>4850</v>
      </c>
      <c r="J63" s="10" t="s">
        <v>5005</v>
      </c>
      <c r="K63" s="10" t="s">
        <v>5006</v>
      </c>
      <c r="L63" s="10" t="n">
        <f aca="false">IF(AND(ISNUMBER($F63),ISNUMBER($G63),ISNUMBER($H63)),IF(AND($G63&lt;=$F63,$F63&lt;=$H63),0,1),0)</f>
        <v>0</v>
      </c>
      <c r="M63" s="10" t="n">
        <f aca="false">IF(AND(OR($I63="Analogy",$I63="Assumed"),OR($G63="",$H63="")),1,0)</f>
        <v>0</v>
      </c>
    </row>
    <row r="64" customFormat="false" ht="15" hidden="false" customHeight="false" outlineLevel="0" collapsed="false">
      <c r="A64" s="10" t="s">
        <v>5007</v>
      </c>
      <c r="B64" s="10" t="s">
        <v>5008</v>
      </c>
      <c r="C64" s="10" t="s">
        <v>5009</v>
      </c>
      <c r="D64" s="10" t="s">
        <v>2121</v>
      </c>
      <c r="E64" s="11" t="s">
        <v>4720</v>
      </c>
      <c r="F64" s="12" t="n">
        <v>0.15</v>
      </c>
      <c r="G64" s="12" t="n">
        <v>0.05</v>
      </c>
      <c r="H64" s="12" t="n">
        <v>0.4</v>
      </c>
      <c r="I64" s="10" t="s">
        <v>4850</v>
      </c>
      <c r="J64" s="11" t="s">
        <v>5010</v>
      </c>
      <c r="K64" s="10" t="s">
        <v>4980</v>
      </c>
      <c r="L64" s="10" t="n">
        <f aca="false">IF(AND(ISNUMBER($F64),ISNUMBER($G64),ISNUMBER($H64)),IF(AND($G64&lt;=$F64,$F64&lt;=$H64),0,1),0)</f>
        <v>0</v>
      </c>
      <c r="M64" s="10" t="n">
        <f aca="false">IF(AND(OR($I64="Analogy",$I64="Assumed"),OR($G64="",$H64="")),1,0)</f>
        <v>0</v>
      </c>
    </row>
    <row r="65" customFormat="false" ht="15" hidden="false" customHeight="false" outlineLevel="0" collapsed="false">
      <c r="A65" s="10" t="s">
        <v>5011</v>
      </c>
      <c r="B65" s="10" t="s">
        <v>5012</v>
      </c>
      <c r="C65" s="10" t="s">
        <v>5013</v>
      </c>
      <c r="D65" s="10" t="s">
        <v>2121</v>
      </c>
      <c r="E65" s="11" t="s">
        <v>1534</v>
      </c>
      <c r="F65" s="12" t="n">
        <v>17.5</v>
      </c>
      <c r="G65" s="12" t="n">
        <v>15</v>
      </c>
      <c r="H65" s="12" t="n">
        <v>20</v>
      </c>
      <c r="I65" s="10" t="s">
        <v>636</v>
      </c>
      <c r="J65" s="10" t="s">
        <v>5014</v>
      </c>
      <c r="K65" s="10" t="s">
        <v>5015</v>
      </c>
      <c r="L65" s="10" t="n">
        <f aca="false">IF(AND(ISNUMBER($F65),ISNUMBER($G65),ISNUMBER($H65)),IF(AND($G65&lt;=$F65,$F65&lt;=$H65),0,1),0)</f>
        <v>0</v>
      </c>
      <c r="M65" s="10" t="n">
        <f aca="false">IF(AND(OR($I65="Analogy",$I65="Assumed"),OR($G65="",$H65="")),1,0)</f>
        <v>0</v>
      </c>
    </row>
    <row r="66" customFormat="false" ht="15" hidden="false" customHeight="false" outlineLevel="0" collapsed="false">
      <c r="A66" s="10" t="s">
        <v>5016</v>
      </c>
      <c r="B66" s="10" t="s">
        <v>5017</v>
      </c>
      <c r="C66" s="10" t="s">
        <v>5018</v>
      </c>
      <c r="D66" s="10" t="s">
        <v>2121</v>
      </c>
      <c r="E66" s="10" t="s">
        <v>5019</v>
      </c>
      <c r="F66" s="12" t="n">
        <v>20</v>
      </c>
      <c r="G66" s="12" t="n">
        <v>10</v>
      </c>
      <c r="H66" s="12" t="n">
        <v>40</v>
      </c>
      <c r="I66" s="10" t="s">
        <v>4850</v>
      </c>
      <c r="J66" s="11" t="s">
        <v>5020</v>
      </c>
      <c r="K66" s="10" t="s">
        <v>5021</v>
      </c>
      <c r="L66" s="10" t="n">
        <f aca="false">IF(AND(ISNUMBER($F66),ISNUMBER($G66),ISNUMBER($H66)),IF(AND($G66&lt;=$F66,$F66&lt;=$H66),0,1),0)</f>
        <v>0</v>
      </c>
      <c r="M66" s="10" t="n">
        <f aca="false">IF(AND(OR($I66="Analogy",$I66="Assumed"),OR($G66="",$H66="")),1,0)</f>
        <v>0</v>
      </c>
    </row>
    <row r="67" customFormat="false" ht="15" hidden="false" customHeight="false" outlineLevel="0" collapsed="false">
      <c r="A67" s="10" t="s">
        <v>5022</v>
      </c>
      <c r="B67" s="10" t="s">
        <v>5023</v>
      </c>
      <c r="C67" s="10" t="s">
        <v>5024</v>
      </c>
      <c r="D67" s="10" t="s">
        <v>2121</v>
      </c>
      <c r="E67" s="11" t="s">
        <v>4720</v>
      </c>
      <c r="F67" s="12" t="n">
        <v>0.9</v>
      </c>
      <c r="G67" s="12" t="n">
        <v>0.7</v>
      </c>
      <c r="H67" s="12" t="n">
        <v>1</v>
      </c>
      <c r="I67" s="10" t="s">
        <v>4850</v>
      </c>
      <c r="J67" s="10" t="s">
        <v>5025</v>
      </c>
      <c r="K67" s="10" t="s">
        <v>5026</v>
      </c>
      <c r="L67" s="10" t="n">
        <f aca="false">IF(AND(ISNUMBER($F67),ISNUMBER($G67),ISNUMBER($H67)),IF(AND($G67&lt;=$F67,$F67&lt;=$H67),0,1),0)</f>
        <v>0</v>
      </c>
      <c r="M67" s="10" t="n">
        <f aca="false">IF(AND(OR($I67="Analogy",$I67="Assumed"),OR($G67="",$H67="")),1,0)</f>
        <v>0</v>
      </c>
    </row>
    <row r="68" customFormat="false" ht="15" hidden="false" customHeight="false" outlineLevel="0" collapsed="false">
      <c r="A68" s="10" t="s">
        <v>5027</v>
      </c>
      <c r="B68" s="10" t="s">
        <v>5028</v>
      </c>
      <c r="C68" s="11" t="s">
        <v>5029</v>
      </c>
      <c r="D68" s="10" t="s">
        <v>4383</v>
      </c>
      <c r="E68" s="11" t="s">
        <v>5030</v>
      </c>
      <c r="F68" s="12" t="n">
        <v>10</v>
      </c>
      <c r="G68" s="12" t="n">
        <v>3</v>
      </c>
      <c r="H68" s="12" t="n">
        <v>30</v>
      </c>
      <c r="I68" s="10" t="s">
        <v>4850</v>
      </c>
      <c r="J68" s="10" t="s">
        <v>5031</v>
      </c>
      <c r="K68" s="10" t="s">
        <v>5032</v>
      </c>
      <c r="L68" s="10" t="n">
        <f aca="false">IF(AND(ISNUMBER($F68),ISNUMBER($G68),ISNUMBER($H68)),IF(AND($G68&lt;=$F68,$F68&lt;=$H68),0,1),0)</f>
        <v>0</v>
      </c>
      <c r="M68" s="10" t="n">
        <f aca="false">IF(AND(OR($I68="Analogy",$I68="Assumed"),OR($G68="",$H68="")),1,0)</f>
        <v>0</v>
      </c>
    </row>
    <row r="69" customFormat="false" ht="15" hidden="false" customHeight="false" outlineLevel="0" collapsed="false">
      <c r="A69" s="10" t="s">
        <v>5033</v>
      </c>
      <c r="B69" s="10" t="s">
        <v>5034</v>
      </c>
      <c r="C69" s="11" t="s">
        <v>5035</v>
      </c>
      <c r="D69" s="10" t="s">
        <v>5036</v>
      </c>
      <c r="E69" s="11" t="s">
        <v>4897</v>
      </c>
      <c r="F69" s="12" t="n">
        <v>0.1</v>
      </c>
      <c r="G69" s="12" t="n">
        <v>-0.2</v>
      </c>
      <c r="H69" s="12" t="n">
        <v>0.5</v>
      </c>
      <c r="I69" s="10" t="s">
        <v>4850</v>
      </c>
      <c r="J69" s="11" t="s">
        <v>5037</v>
      </c>
      <c r="K69" s="10" t="s">
        <v>5038</v>
      </c>
      <c r="L69" s="10" t="n">
        <f aca="false">IF(AND(ISNUMBER($F69),ISNUMBER($G69),ISNUMBER($H69)),IF(AND($G69&lt;=$F69,$F69&lt;=$H69),0,1),0)</f>
        <v>0</v>
      </c>
      <c r="M69" s="10" t="n">
        <f aca="false">IF(AND(OR($I69="Analogy",$I69="Assumed"),OR($G69="",$H69="")),1,0)</f>
        <v>0</v>
      </c>
    </row>
    <row r="70" customFormat="false" ht="15" hidden="false" customHeight="false" outlineLevel="0" collapsed="false">
      <c r="A70" s="10" t="s">
        <v>5039</v>
      </c>
      <c r="B70" s="10" t="s">
        <v>5040</v>
      </c>
      <c r="C70" s="11" t="s">
        <v>5041</v>
      </c>
      <c r="D70" s="10" t="s">
        <v>2121</v>
      </c>
      <c r="E70" s="11" t="s">
        <v>5042</v>
      </c>
      <c r="F70" s="12" t="n">
        <v>1</v>
      </c>
      <c r="G70" s="12" t="n">
        <v>0.3</v>
      </c>
      <c r="H70" s="12" t="n">
        <v>3</v>
      </c>
      <c r="I70" s="10" t="s">
        <v>1308</v>
      </c>
      <c r="J70" s="10" t="s">
        <v>5043</v>
      </c>
      <c r="K70" s="10" t="s">
        <v>5044</v>
      </c>
      <c r="L70" s="10" t="n">
        <f aca="false">IF(AND(ISNUMBER($F70),ISNUMBER($G70),ISNUMBER($H70)),IF(AND($G70&lt;=$F70,$F70&lt;=$H70),0,1),0)</f>
        <v>0</v>
      </c>
      <c r="M70" s="10" t="n">
        <f aca="false">IF(AND(OR($I70="Analogy",$I70="Assumed"),OR($G70="",$H70="")),1,0)</f>
        <v>0</v>
      </c>
    </row>
    <row r="71" customFormat="false" ht="15" hidden="false" customHeight="false" outlineLevel="0" collapsed="false">
      <c r="A71" s="10" t="s">
        <v>5045</v>
      </c>
      <c r="B71" s="10" t="s">
        <v>5046</v>
      </c>
      <c r="C71" s="11" t="s">
        <v>5047</v>
      </c>
      <c r="D71" s="10" t="s">
        <v>2121</v>
      </c>
      <c r="E71" s="10" t="s">
        <v>4907</v>
      </c>
      <c r="F71" s="12" t="n">
        <v>3</v>
      </c>
      <c r="G71" s="12" t="n">
        <v>1</v>
      </c>
      <c r="H71" s="12" t="n">
        <v>10</v>
      </c>
      <c r="I71" s="10" t="s">
        <v>1308</v>
      </c>
      <c r="J71" s="10" t="s">
        <v>5048</v>
      </c>
      <c r="K71" s="10" t="s">
        <v>5049</v>
      </c>
      <c r="L71" s="10" t="n">
        <f aca="false">IF(AND(ISNUMBER($F71),ISNUMBER($G71),ISNUMBER($H71)),IF(AND($G71&lt;=$F71,$F71&lt;=$H71),0,1),0)</f>
        <v>0</v>
      </c>
      <c r="M71" s="10" t="n">
        <f aca="false">IF(AND(OR($I71="Analogy",$I71="Assumed"),OR($G71="",$H71="")),1,0)</f>
        <v>0</v>
      </c>
    </row>
    <row r="72" customFormat="false" ht="15" hidden="false" customHeight="false" outlineLevel="0" collapsed="false">
      <c r="A72" s="10" t="s">
        <v>5050</v>
      </c>
      <c r="B72" s="10" t="s">
        <v>5051</v>
      </c>
      <c r="C72" s="11" t="s">
        <v>5052</v>
      </c>
      <c r="D72" s="10" t="s">
        <v>2121</v>
      </c>
      <c r="E72" s="11" t="s">
        <v>4720</v>
      </c>
      <c r="F72" s="12" t="n">
        <v>0.3</v>
      </c>
      <c r="G72" s="12" t="n">
        <v>0.1</v>
      </c>
      <c r="H72" s="12" t="n">
        <v>0.6</v>
      </c>
      <c r="I72" s="10" t="s">
        <v>4850</v>
      </c>
      <c r="J72" s="11" t="s">
        <v>5053</v>
      </c>
      <c r="K72" s="10" t="s">
        <v>4977</v>
      </c>
      <c r="L72" s="10" t="n">
        <f aca="false">IF(AND(ISNUMBER($F72),ISNUMBER($G72),ISNUMBER($H72)),IF(AND($G72&lt;=$F72,$F72&lt;=$H72),0,1),0)</f>
        <v>0</v>
      </c>
      <c r="M72" s="10" t="n">
        <f aca="false">IF(AND(OR($I72="Analogy",$I72="Assumed"),OR($G72="",$H72="")),1,0)</f>
        <v>0</v>
      </c>
    </row>
    <row r="73" customFormat="false" ht="15" hidden="false" customHeight="false" outlineLevel="0" collapsed="false">
      <c r="A73" s="10" t="s">
        <v>5054</v>
      </c>
      <c r="B73" s="10" t="s">
        <v>5055</v>
      </c>
      <c r="C73" s="11" t="s">
        <v>5056</v>
      </c>
      <c r="D73" s="10" t="s">
        <v>4782</v>
      </c>
      <c r="E73" s="11" t="s">
        <v>4720</v>
      </c>
      <c r="F73" s="12" t="n">
        <v>0</v>
      </c>
      <c r="G73" s="12" t="n">
        <v>0</v>
      </c>
      <c r="H73" s="12" t="n">
        <v>1</v>
      </c>
      <c r="I73" s="10" t="s">
        <v>4850</v>
      </c>
      <c r="J73" s="10" t="s">
        <v>5057</v>
      </c>
      <c r="K73" s="10" t="s">
        <v>5058</v>
      </c>
      <c r="L73" s="10" t="n">
        <f aca="false">IF(AND(ISNUMBER($F73),ISNUMBER($G73),ISNUMBER($H73)),IF(AND($G73&lt;=$F73,$F73&lt;=$H73),0,1),0)</f>
        <v>0</v>
      </c>
      <c r="M73" s="10" t="n">
        <f aca="false">IF(AND(OR($I73="Analogy",$I73="Assumed"),OR($G73="",$H73="")),1,0)</f>
        <v>0</v>
      </c>
    </row>
    <row r="74" customFormat="false" ht="15" hidden="false" customHeight="false" outlineLevel="0" collapsed="false">
      <c r="A74" s="10" t="s">
        <v>5059</v>
      </c>
      <c r="B74" s="10" t="s">
        <v>5060</v>
      </c>
      <c r="C74" s="11" t="s">
        <v>5061</v>
      </c>
      <c r="D74" s="10" t="s">
        <v>4892</v>
      </c>
      <c r="E74" s="11" t="s">
        <v>4897</v>
      </c>
      <c r="F74" s="12" t="n">
        <v>0</v>
      </c>
      <c r="G74" s="12" t="n">
        <v>-0.2</v>
      </c>
      <c r="H74" s="12" t="n">
        <v>0.2</v>
      </c>
      <c r="I74" s="10" t="s">
        <v>4850</v>
      </c>
      <c r="J74" s="11" t="s">
        <v>5062</v>
      </c>
      <c r="K74" s="11" t="s">
        <v>5063</v>
      </c>
      <c r="L74" s="10" t="n">
        <f aca="false">IF(AND(ISNUMBER($F74),ISNUMBER($G74),ISNUMBER($H74)),IF(AND($G74&lt;=$F74,$F74&lt;=$H74),0,1),0)</f>
        <v>0</v>
      </c>
      <c r="M74" s="10" t="n">
        <f aca="false">IF(AND(OR($I74="Analogy",$I74="Assumed"),OR($G74="",$H74="")),1,0)</f>
        <v>0</v>
      </c>
    </row>
    <row r="75" customFormat="false" ht="15" hidden="false" customHeight="false" outlineLevel="0" collapsed="false">
      <c r="A75" s="10" t="s">
        <v>5064</v>
      </c>
      <c r="B75" s="10" t="s">
        <v>5065</v>
      </c>
      <c r="C75" s="11" t="s">
        <v>5066</v>
      </c>
      <c r="D75" s="11" t="s">
        <v>5067</v>
      </c>
      <c r="E75" s="10" t="s">
        <v>63</v>
      </c>
      <c r="F75" s="12" t="n">
        <v>0</v>
      </c>
      <c r="G75" s="12" t="n">
        <v>0</v>
      </c>
      <c r="H75" s="12" t="n">
        <v>0</v>
      </c>
      <c r="I75" s="10" t="s">
        <v>4751</v>
      </c>
      <c r="J75" s="11" t="s">
        <v>5068</v>
      </c>
      <c r="K75" s="11" t="s">
        <v>5069</v>
      </c>
      <c r="L75" s="10" t="n">
        <f aca="false">IF(AND(ISNUMBER($F75),ISNUMBER($G75),ISNUMBER($H75)),IF(AND($G75&lt;=$F75,$F75&lt;=$H75),0,1),0)</f>
        <v>0</v>
      </c>
      <c r="M75" s="10" t="n">
        <f aca="false">IF(AND(OR($I75="Analogy",$I75="Assumed"),OR($G75="",$H75="")),1,0)</f>
        <v>0</v>
      </c>
    </row>
    <row r="76" customFormat="false" ht="15" hidden="false" customHeight="false" outlineLevel="0" collapsed="false">
      <c r="A76" s="10" t="s">
        <v>5070</v>
      </c>
      <c r="B76" s="10" t="s">
        <v>5071</v>
      </c>
      <c r="C76" s="10" t="s">
        <v>5072</v>
      </c>
      <c r="D76" s="10" t="s">
        <v>2121</v>
      </c>
      <c r="E76" s="11" t="s">
        <v>4720</v>
      </c>
      <c r="F76" s="12" t="n">
        <v>0.25</v>
      </c>
      <c r="G76" s="12" t="n">
        <v>0.25</v>
      </c>
      <c r="H76" s="12" t="n">
        <v>0.25</v>
      </c>
      <c r="I76" s="10" t="s">
        <v>4751</v>
      </c>
      <c r="J76" s="11" t="s">
        <v>5073</v>
      </c>
      <c r="K76" s="11" t="s">
        <v>5074</v>
      </c>
      <c r="L76" s="10" t="n">
        <f aca="false">IF(AND(ISNUMBER($F76),ISNUMBER($G76),ISNUMBER($H76)),IF(AND($G76&lt;=$F76,$F76&lt;=$H76),0,1),0)</f>
        <v>0</v>
      </c>
      <c r="M76" s="10" t="n">
        <f aca="false">IF(AND(OR($I76="Analogy",$I76="Assumed"),OR($G76="",$H76="")),1,0)</f>
        <v>0</v>
      </c>
    </row>
    <row r="77" customFormat="false" ht="15" hidden="false" customHeight="false" outlineLevel="0" collapsed="false">
      <c r="A77" s="10" t="s">
        <v>5075</v>
      </c>
      <c r="B77" s="10" t="s">
        <v>5076</v>
      </c>
      <c r="C77" s="11" t="s">
        <v>5077</v>
      </c>
      <c r="D77" s="10" t="s">
        <v>2121</v>
      </c>
      <c r="E77" s="10" t="s">
        <v>2121</v>
      </c>
      <c r="F77" s="12" t="n">
        <v>1000000</v>
      </c>
      <c r="G77" s="12" t="n">
        <v>1000000</v>
      </c>
      <c r="H77" s="12" t="n">
        <v>1000000</v>
      </c>
      <c r="I77" s="10" t="s">
        <v>4751</v>
      </c>
      <c r="J77" s="10" t="s">
        <v>5078</v>
      </c>
      <c r="K77" s="11" t="s">
        <v>4753</v>
      </c>
      <c r="L77" s="10" t="n">
        <f aca="false">IF(AND(ISNUMBER($F77),ISNUMBER($G77),ISNUMBER($H77)),IF(AND($G77&lt;=$F77,$F77&lt;=$H77),0,1),0)</f>
        <v>0</v>
      </c>
      <c r="M77" s="10" t="n">
        <f aca="false">IF(AND(OR($I77="Analogy",$I77="Assumed"),OR($G77="",$H77="")),1,0)</f>
        <v>0</v>
      </c>
    </row>
    <row r="78" customFormat="false" ht="15" hidden="false" customHeight="false" outlineLevel="0" collapsed="false">
      <c r="A78" s="10" t="s">
        <v>5079</v>
      </c>
      <c r="B78" s="10" t="s">
        <v>5080</v>
      </c>
      <c r="C78" s="11" t="s">
        <v>5081</v>
      </c>
      <c r="D78" s="10" t="s">
        <v>2121</v>
      </c>
      <c r="E78" s="10" t="s">
        <v>5082</v>
      </c>
      <c r="F78" s="12" t="n">
        <v>1000000</v>
      </c>
      <c r="G78" s="12" t="n">
        <v>1000000</v>
      </c>
      <c r="H78" s="12" t="n">
        <v>1000000</v>
      </c>
      <c r="I78" s="10" t="s">
        <v>4751</v>
      </c>
      <c r="J78" s="11" t="s">
        <v>4753</v>
      </c>
      <c r="K78" s="11" t="s">
        <v>4753</v>
      </c>
      <c r="L78" s="10" t="n">
        <f aca="false">IF(AND(ISNUMBER($F78),ISNUMBER($G78),ISNUMBER($H78)),IF(AND($G78&lt;=$F78,$F78&lt;=$H78),0,1),0)</f>
        <v>0</v>
      </c>
      <c r="M78" s="10" t="n">
        <f aca="false">IF(AND(OR($I78="Analogy",$I78="Assumed"),OR($G78="",$H78="")),1,0)</f>
        <v>0</v>
      </c>
    </row>
    <row r="79" customFormat="false" ht="15" hidden="false" customHeight="false" outlineLevel="0" collapsed="false">
      <c r="A79" s="10" t="s">
        <v>5083</v>
      </c>
      <c r="B79" s="10" t="s">
        <v>5084</v>
      </c>
      <c r="C79" s="11" t="s">
        <v>5085</v>
      </c>
      <c r="D79" s="10" t="s">
        <v>2121</v>
      </c>
      <c r="E79" s="11" t="s">
        <v>5086</v>
      </c>
      <c r="F79" s="12" t="n">
        <v>8760</v>
      </c>
      <c r="G79" s="12" t="n">
        <v>8760</v>
      </c>
      <c r="H79" s="12" t="n">
        <v>8760</v>
      </c>
      <c r="I79" s="10" t="s">
        <v>4751</v>
      </c>
      <c r="J79" s="10" t="s">
        <v>5087</v>
      </c>
      <c r="K79" s="11" t="s">
        <v>4753</v>
      </c>
      <c r="L79" s="10" t="n">
        <f aca="false">IF(AND(ISNUMBER($F79),ISNUMBER($G79),ISNUMBER($H79)),IF(AND($G79&lt;=$F79,$F79&lt;=$H79),0,1),0)</f>
        <v>0</v>
      </c>
      <c r="M79" s="10" t="n">
        <f aca="false">IF(AND(OR($I79="Analogy",$I79="Assumed"),OR($G79="",$H79="")),1,0)</f>
        <v>0</v>
      </c>
    </row>
    <row r="80" customFormat="false" ht="15" hidden="false" customHeight="false" outlineLevel="0" collapsed="false">
      <c r="A80" s="10" t="s">
        <v>5088</v>
      </c>
      <c r="B80" s="10" t="s">
        <v>5089</v>
      </c>
      <c r="C80" s="11" t="s">
        <v>5090</v>
      </c>
      <c r="D80" s="10" t="s">
        <v>2121</v>
      </c>
      <c r="E80" s="10" t="s">
        <v>2121</v>
      </c>
      <c r="F80" s="12" t="n">
        <v>100000000</v>
      </c>
      <c r="G80" s="12" t="n">
        <v>100000000</v>
      </c>
      <c r="H80" s="12" t="n">
        <v>100000000</v>
      </c>
      <c r="I80" s="10" t="s">
        <v>4751</v>
      </c>
      <c r="J80" s="11" t="s">
        <v>4753</v>
      </c>
      <c r="K80" s="11" t="s">
        <v>4753</v>
      </c>
      <c r="L80" s="10" t="n">
        <f aca="false">IF(AND(ISNUMBER($F80),ISNUMBER($G80),ISNUMBER($H80)),IF(AND($G80&lt;=$F80,$F80&lt;=$H80),0,1),0)</f>
        <v>0</v>
      </c>
      <c r="M80" s="10" t="n">
        <f aca="false">IF(AND(OR($I80="Analogy",$I80="Assumed"),OR($G80="",$H80="")),1,0)</f>
        <v>0</v>
      </c>
    </row>
    <row r="81" customFormat="false" ht="15" hidden="false" customHeight="false" outlineLevel="0" collapsed="false">
      <c r="A81" s="10" t="s">
        <v>5091</v>
      </c>
      <c r="B81" s="10" t="s">
        <v>5092</v>
      </c>
      <c r="C81" s="11" t="s">
        <v>5093</v>
      </c>
      <c r="D81" s="10" t="s">
        <v>2121</v>
      </c>
      <c r="E81" s="10" t="s">
        <v>2121</v>
      </c>
      <c r="F81" s="12" t="n">
        <v>1000000000</v>
      </c>
      <c r="G81" s="12" t="n">
        <v>1000000000</v>
      </c>
      <c r="H81" s="12" t="n">
        <v>1000000000</v>
      </c>
      <c r="I81" s="10" t="s">
        <v>4751</v>
      </c>
      <c r="J81" s="10" t="s">
        <v>5094</v>
      </c>
      <c r="K81" s="11" t="s">
        <v>4753</v>
      </c>
      <c r="L81" s="10" t="n">
        <f aca="false">IF(AND(ISNUMBER($F81),ISNUMBER($G81),ISNUMBER($H81)),IF(AND($G81&lt;=$F81,$F81&lt;=$H81),0,1),0)</f>
        <v>0</v>
      </c>
      <c r="M81" s="10" t="n">
        <f aca="false">IF(AND(OR($I81="Analogy",$I81="Assumed"),OR($G81="",$H81="")),1,0)</f>
        <v>0</v>
      </c>
    </row>
    <row r="82" customFormat="false" ht="15" hidden="false" customHeight="false" outlineLevel="0" collapsed="false">
      <c r="A82" s="10" t="s">
        <v>5095</v>
      </c>
      <c r="B82" s="10" t="s">
        <v>5096</v>
      </c>
      <c r="C82" s="10" t="s">
        <v>5097</v>
      </c>
      <c r="D82" s="10" t="s">
        <v>2121</v>
      </c>
      <c r="E82" s="11" t="s">
        <v>1709</v>
      </c>
      <c r="F82" s="12" t="n">
        <v>0.1</v>
      </c>
      <c r="G82" s="12" t="n">
        <v>0.1</v>
      </c>
      <c r="H82" s="12" t="n">
        <v>0.1</v>
      </c>
      <c r="I82" s="10" t="s">
        <v>4751</v>
      </c>
      <c r="J82" s="11" t="s">
        <v>5098</v>
      </c>
      <c r="K82" s="11" t="s">
        <v>4753</v>
      </c>
      <c r="L82" s="10" t="n">
        <f aca="false">IF(AND(ISNUMBER($F82),ISNUMBER($G82),ISNUMBER($H82)),IF(AND($G82&lt;=$F82,$F82&lt;=$H82),0,1),0)</f>
        <v>0</v>
      </c>
      <c r="M82" s="10" t="n">
        <f aca="false">IF(AND(OR($I82="Analogy",$I82="Assumed"),OR($G82="",$H82="")),1,0)</f>
        <v>0</v>
      </c>
    </row>
    <row r="83" customFormat="false" ht="15" hidden="false" customHeight="false" outlineLevel="0" collapsed="false">
      <c r="A83" s="10" t="s">
        <v>5099</v>
      </c>
      <c r="B83" s="10" t="s">
        <v>5100</v>
      </c>
      <c r="C83" s="10" t="s">
        <v>5101</v>
      </c>
      <c r="D83" s="10" t="s">
        <v>2121</v>
      </c>
      <c r="E83" s="11" t="s">
        <v>1709</v>
      </c>
      <c r="F83" s="12" t="n">
        <v>1</v>
      </c>
      <c r="G83" s="12" t="n">
        <v>1</v>
      </c>
      <c r="H83" s="12" t="n">
        <v>1</v>
      </c>
      <c r="I83" s="10" t="s">
        <v>4751</v>
      </c>
      <c r="J83" s="10" t="s">
        <v>5102</v>
      </c>
      <c r="K83" s="11" t="s">
        <v>4753</v>
      </c>
      <c r="L83" s="10" t="n">
        <f aca="false">IF(AND(ISNUMBER($F83),ISNUMBER($G83),ISNUMBER($H83)),IF(AND($G83&lt;=$F83,$F83&lt;=$H83),0,1),0)</f>
        <v>0</v>
      </c>
      <c r="M83" s="10" t="n">
        <f aca="false">IF(AND(OR($I83="Analogy",$I83="Assumed"),OR($G83="",$H83="")),1,0)</f>
        <v>0</v>
      </c>
    </row>
    <row r="84" customFormat="false" ht="15" hidden="false" customHeight="false" outlineLevel="0" collapsed="false">
      <c r="A84" s="10" t="s">
        <v>5103</v>
      </c>
      <c r="B84" s="10" t="s">
        <v>5104</v>
      </c>
      <c r="C84" s="11" t="s">
        <v>5105</v>
      </c>
      <c r="D84" s="10" t="s">
        <v>2121</v>
      </c>
      <c r="E84" s="11" t="s">
        <v>4720</v>
      </c>
      <c r="F84" s="12" t="n">
        <v>0.5</v>
      </c>
      <c r="G84" s="12" t="n">
        <v>0.5</v>
      </c>
      <c r="H84" s="12" t="n">
        <v>0.5</v>
      </c>
      <c r="I84" s="10" t="s">
        <v>4751</v>
      </c>
      <c r="J84" s="11" t="s">
        <v>5106</v>
      </c>
      <c r="K84" s="11" t="s">
        <v>5063</v>
      </c>
      <c r="L84" s="10" t="n">
        <f aca="false">IF(AND(ISNUMBER($F84),ISNUMBER($G84),ISNUMBER($H84)),IF(AND($G84&lt;=$F84,$F84&lt;=$H84),0,1),0)</f>
        <v>0</v>
      </c>
      <c r="M84" s="10" t="n">
        <f aca="false">IF(AND(OR($I84="Analogy",$I84="Assumed"),OR($G84="",$H84="")),1,0)</f>
        <v>0</v>
      </c>
    </row>
    <row r="85" customFormat="false" ht="15" hidden="false" customHeight="false" outlineLevel="0" collapsed="false">
      <c r="A85" s="10" t="s">
        <v>5107</v>
      </c>
      <c r="B85" s="10" t="s">
        <v>5108</v>
      </c>
      <c r="C85" s="10" t="s">
        <v>5109</v>
      </c>
      <c r="D85" s="11" t="s">
        <v>5067</v>
      </c>
      <c r="E85" s="11" t="s">
        <v>1709</v>
      </c>
      <c r="F85" s="12" t="n">
        <v>0.34</v>
      </c>
      <c r="G85" s="12" t="n">
        <v>0.26</v>
      </c>
      <c r="H85" s="12" t="n">
        <v>0.42</v>
      </c>
      <c r="I85" s="10" t="s">
        <v>1308</v>
      </c>
      <c r="J85" s="10" t="s">
        <v>5110</v>
      </c>
      <c r="K85" s="10" t="s">
        <v>5015</v>
      </c>
      <c r="L85" s="10" t="n">
        <f aca="false">IF(AND(ISNUMBER($F85),ISNUMBER($G85),ISNUMBER($H85)),IF(AND($G85&lt;=$F85,$F85&lt;=$H85),0,1),0)</f>
        <v>0</v>
      </c>
      <c r="M85" s="10" t="n">
        <f aca="false">IF(AND(OR($I85="Analogy",$I85="Assumed"),OR($G85="",$H85="")),1,0)</f>
        <v>0</v>
      </c>
    </row>
    <row r="86" customFormat="false" ht="15" hidden="false" customHeight="false" outlineLevel="0" collapsed="false">
      <c r="A86" s="10" t="s">
        <v>5111</v>
      </c>
      <c r="B86" s="10" t="s">
        <v>5112</v>
      </c>
      <c r="C86" s="11" t="s">
        <v>5113</v>
      </c>
      <c r="D86" s="11" t="s">
        <v>5067</v>
      </c>
      <c r="E86" s="11" t="s">
        <v>1709</v>
      </c>
      <c r="F86" s="12" t="n">
        <v>0.6</v>
      </c>
      <c r="G86" s="12" t="n">
        <v>0.4</v>
      </c>
      <c r="H86" s="12" t="n">
        <v>0.9</v>
      </c>
      <c r="I86" s="10" t="s">
        <v>1308</v>
      </c>
      <c r="J86" s="11" t="s">
        <v>5114</v>
      </c>
      <c r="K86" s="11" t="s">
        <v>5115</v>
      </c>
      <c r="L86" s="10" t="n">
        <f aca="false">IF(AND(ISNUMBER($F86),ISNUMBER($G86),ISNUMBER($H86)),IF(AND($G86&lt;=$F86,$F86&lt;=$H86),0,1),0)</f>
        <v>0</v>
      </c>
      <c r="M86" s="10" t="n">
        <f aca="false">IF(AND(OR($I86="Analogy",$I86="Assumed"),OR($G86="",$H86="")),1,0)</f>
        <v>0</v>
      </c>
    </row>
    <row r="87" customFormat="false" ht="15" hidden="false" customHeight="false" outlineLevel="0" collapsed="false">
      <c r="A87" s="10" t="s">
        <v>5116</v>
      </c>
      <c r="B87" s="10" t="s">
        <v>5117</v>
      </c>
      <c r="C87" s="11" t="s">
        <v>5118</v>
      </c>
      <c r="D87" s="10" t="s">
        <v>4383</v>
      </c>
      <c r="E87" s="11" t="s">
        <v>4720</v>
      </c>
      <c r="F87" s="12" t="n">
        <v>0.3</v>
      </c>
      <c r="G87" s="12" t="n">
        <v>0.1</v>
      </c>
      <c r="H87" s="12" t="n">
        <v>0.5</v>
      </c>
      <c r="I87" s="10" t="s">
        <v>4850</v>
      </c>
      <c r="J87" s="11" t="s">
        <v>5119</v>
      </c>
      <c r="K87" s="10" t="s">
        <v>4996</v>
      </c>
      <c r="L87" s="10" t="n">
        <f aca="false">IF(AND(ISNUMBER($F87),ISNUMBER($G87),ISNUMBER($H87)),IF(AND($G87&lt;=$F87,$F87&lt;=$H87),0,1),0)</f>
        <v>0</v>
      </c>
      <c r="M87" s="10" t="n">
        <f aca="false">IF(AND(OR($I87="Analogy",$I87="Assumed"),OR($G87="",$H87="")),1,0)</f>
        <v>0</v>
      </c>
    </row>
    <row r="88" customFormat="false" ht="15" hidden="false" customHeight="false" outlineLevel="0" collapsed="false">
      <c r="A88" s="10" t="s">
        <v>5120</v>
      </c>
      <c r="B88" s="10" t="s">
        <v>5121</v>
      </c>
      <c r="C88" s="11" t="s">
        <v>5118</v>
      </c>
      <c r="D88" s="10" t="s">
        <v>1908</v>
      </c>
      <c r="E88" s="11" t="s">
        <v>4720</v>
      </c>
      <c r="F88" s="12" t="n">
        <v>0.6</v>
      </c>
      <c r="G88" s="12" t="n">
        <v>0.4</v>
      </c>
      <c r="H88" s="12" t="n">
        <v>0.8</v>
      </c>
      <c r="I88" s="10" t="s">
        <v>4850</v>
      </c>
      <c r="J88" s="11" t="s">
        <v>5122</v>
      </c>
      <c r="K88" s="10" t="s">
        <v>4885</v>
      </c>
      <c r="L88" s="10" t="n">
        <f aca="false">IF(AND(ISNUMBER($F88),ISNUMBER($G88),ISNUMBER($H88)),IF(AND($G88&lt;=$F88,$F88&lt;=$H88),0,1),0)</f>
        <v>0</v>
      </c>
      <c r="M88" s="10" t="n">
        <f aca="false">IF(AND(OR($I88="Analogy",$I88="Assumed"),OR($G88="",$H88="")),1,0)</f>
        <v>0</v>
      </c>
    </row>
    <row r="89" customFormat="false" ht="15" hidden="false" customHeight="false" outlineLevel="0" collapsed="false">
      <c r="A89" s="10" t="s">
        <v>5123</v>
      </c>
      <c r="B89" s="10" t="s">
        <v>5124</v>
      </c>
      <c r="C89" s="11" t="s">
        <v>5118</v>
      </c>
      <c r="D89" s="10" t="s">
        <v>4681</v>
      </c>
      <c r="E89" s="11" t="s">
        <v>4720</v>
      </c>
      <c r="F89" s="12" t="n">
        <v>0.75</v>
      </c>
      <c r="G89" s="12" t="n">
        <v>0.5</v>
      </c>
      <c r="H89" s="12" t="n">
        <v>0.9</v>
      </c>
      <c r="I89" s="10" t="s">
        <v>4850</v>
      </c>
      <c r="J89" s="11" t="s">
        <v>5125</v>
      </c>
      <c r="K89" s="10" t="s">
        <v>5126</v>
      </c>
      <c r="L89" s="10" t="n">
        <f aca="false">IF(AND(ISNUMBER($F89),ISNUMBER($G89),ISNUMBER($H89)),IF(AND($G89&lt;=$F89,$F89&lt;=$H89),0,1),0)</f>
        <v>0</v>
      </c>
      <c r="M89" s="10" t="n">
        <f aca="false">IF(AND(OR($I89="Analogy",$I89="Assumed"),OR($G89="",$H89="")),1,0)</f>
        <v>0</v>
      </c>
    </row>
    <row r="90" customFormat="false" ht="15" hidden="false" customHeight="false" outlineLevel="0" collapsed="false">
      <c r="A90" s="10" t="s">
        <v>5127</v>
      </c>
      <c r="B90" s="10" t="s">
        <v>5128</v>
      </c>
      <c r="C90" s="11" t="s">
        <v>5118</v>
      </c>
      <c r="D90" s="10" t="s">
        <v>4682</v>
      </c>
      <c r="E90" s="11" t="s">
        <v>4720</v>
      </c>
      <c r="F90" s="12" t="n">
        <v>0.85</v>
      </c>
      <c r="G90" s="12" t="n">
        <v>0.6</v>
      </c>
      <c r="H90" s="12" t="n">
        <v>0.95</v>
      </c>
      <c r="I90" s="10" t="s">
        <v>4850</v>
      </c>
      <c r="J90" s="11" t="s">
        <v>1095</v>
      </c>
      <c r="K90" s="10" t="s">
        <v>5129</v>
      </c>
      <c r="L90" s="10" t="n">
        <f aca="false">IF(AND(ISNUMBER($F90),ISNUMBER($G90),ISNUMBER($H90)),IF(AND($G90&lt;=$F90,$F90&lt;=$H90),0,1),0)</f>
        <v>0</v>
      </c>
      <c r="M90" s="10" t="n">
        <f aca="false">IF(AND(OR($I90="Analogy",$I90="Assumed"),OR($G90="",$H90="")),1,0)</f>
        <v>0</v>
      </c>
    </row>
    <row r="91" customFormat="false" ht="15" hidden="false" customHeight="false" outlineLevel="0" collapsed="false">
      <c r="A91" s="10" t="s">
        <v>5130</v>
      </c>
      <c r="B91" s="10" t="s">
        <v>5131</v>
      </c>
      <c r="C91" s="11" t="s">
        <v>5118</v>
      </c>
      <c r="D91" s="10" t="s">
        <v>4683</v>
      </c>
      <c r="E91" s="11" t="s">
        <v>4720</v>
      </c>
      <c r="F91" s="12" t="n">
        <v>0.9</v>
      </c>
      <c r="G91" s="12" t="n">
        <v>0.7</v>
      </c>
      <c r="H91" s="12" t="n">
        <v>1</v>
      </c>
      <c r="I91" s="10" t="s">
        <v>4850</v>
      </c>
      <c r="J91" s="11" t="s">
        <v>1095</v>
      </c>
      <c r="K91" s="10" t="s">
        <v>5026</v>
      </c>
      <c r="L91" s="10" t="n">
        <f aca="false">IF(AND(ISNUMBER($F91),ISNUMBER($G91),ISNUMBER($H91)),IF(AND($G91&lt;=$F91,$F91&lt;=$H91),0,1),0)</f>
        <v>0</v>
      </c>
      <c r="M91" s="10" t="n">
        <f aca="false">IF(AND(OR($I91="Analogy",$I91="Assumed"),OR($G91="",$H91="")),1,0)</f>
        <v>0</v>
      </c>
    </row>
    <row r="92" customFormat="false" ht="15" hidden="false" customHeight="false" outlineLevel="0" collapsed="false">
      <c r="A92" s="10" t="s">
        <v>5132</v>
      </c>
      <c r="B92" s="10" t="s">
        <v>5133</v>
      </c>
      <c r="C92" s="11" t="s">
        <v>5118</v>
      </c>
      <c r="D92" s="10" t="s">
        <v>4684</v>
      </c>
      <c r="E92" s="11" t="s">
        <v>4720</v>
      </c>
      <c r="F92" s="12" t="n">
        <v>0.95</v>
      </c>
      <c r="G92" s="12" t="n">
        <v>0.75</v>
      </c>
      <c r="H92" s="12" t="n">
        <v>1</v>
      </c>
      <c r="I92" s="10" t="s">
        <v>4850</v>
      </c>
      <c r="J92" s="11" t="s">
        <v>1095</v>
      </c>
      <c r="K92" s="10" t="s">
        <v>5134</v>
      </c>
      <c r="L92" s="10" t="n">
        <f aca="false">IF(AND(ISNUMBER($F92),ISNUMBER($G92),ISNUMBER($H92)),IF(AND($G92&lt;=$F92,$F92&lt;=$H92),0,1),0)</f>
        <v>0</v>
      </c>
      <c r="M92" s="10" t="n">
        <f aca="false">IF(AND(OR($I92="Analogy",$I92="Assumed"),OR($G92="",$H92="")),1,0)</f>
        <v>0</v>
      </c>
    </row>
    <row r="93" customFormat="false" ht="15" hidden="false" customHeight="false" outlineLevel="0" collapsed="false">
      <c r="A93" s="10" t="s">
        <v>5135</v>
      </c>
      <c r="B93" s="10" t="s">
        <v>5136</v>
      </c>
      <c r="C93" s="10" t="s">
        <v>5137</v>
      </c>
      <c r="D93" s="10" t="s">
        <v>4383</v>
      </c>
      <c r="E93" s="11" t="s">
        <v>4720</v>
      </c>
      <c r="F93" s="12" t="n">
        <v>0.2</v>
      </c>
      <c r="G93" s="12" t="n">
        <v>0.1</v>
      </c>
      <c r="H93" s="12" t="n">
        <v>0.4</v>
      </c>
      <c r="I93" s="10" t="s">
        <v>4850</v>
      </c>
      <c r="J93" s="10" t="s">
        <v>5138</v>
      </c>
      <c r="K93" s="10" t="s">
        <v>4880</v>
      </c>
      <c r="L93" s="10" t="n">
        <f aca="false">IF(AND(ISNUMBER($F93),ISNUMBER($G93),ISNUMBER($H93)),IF(AND($G93&lt;=$F93,$F93&lt;=$H93),0,1),0)</f>
        <v>0</v>
      </c>
      <c r="M93" s="10" t="n">
        <f aca="false">IF(AND(OR($I93="Analogy",$I93="Assumed"),OR($G93="",$H93="")),1,0)</f>
        <v>0</v>
      </c>
    </row>
    <row r="94" customFormat="false" ht="15" hidden="false" customHeight="false" outlineLevel="0" collapsed="false">
      <c r="A94" s="10" t="s">
        <v>5139</v>
      </c>
      <c r="B94" s="10" t="s">
        <v>5140</v>
      </c>
      <c r="C94" s="10" t="s">
        <v>5137</v>
      </c>
      <c r="D94" s="10" t="s">
        <v>1908</v>
      </c>
      <c r="E94" s="11" t="s">
        <v>4720</v>
      </c>
      <c r="F94" s="12" t="n">
        <v>0.15</v>
      </c>
      <c r="G94" s="12" t="n">
        <v>0.05</v>
      </c>
      <c r="H94" s="12" t="n">
        <v>0.3</v>
      </c>
      <c r="I94" s="10" t="s">
        <v>4850</v>
      </c>
      <c r="J94" s="11" t="s">
        <v>5141</v>
      </c>
      <c r="K94" s="10" t="s">
        <v>4964</v>
      </c>
      <c r="L94" s="10" t="n">
        <f aca="false">IF(AND(ISNUMBER($F94),ISNUMBER($G94),ISNUMBER($H94)),IF(AND($G94&lt;=$F94,$F94&lt;=$H94),0,1),0)</f>
        <v>0</v>
      </c>
      <c r="M94" s="10" t="n">
        <f aca="false">IF(AND(OR($I94="Analogy",$I94="Assumed"),OR($G94="",$H94="")),1,0)</f>
        <v>0</v>
      </c>
    </row>
    <row r="95" customFormat="false" ht="15" hidden="false" customHeight="false" outlineLevel="0" collapsed="false">
      <c r="A95" s="10" t="s">
        <v>5142</v>
      </c>
      <c r="B95" s="10" t="s">
        <v>5143</v>
      </c>
      <c r="C95" s="10" t="s">
        <v>5137</v>
      </c>
      <c r="D95" s="10" t="s">
        <v>4681</v>
      </c>
      <c r="E95" s="11" t="s">
        <v>4720</v>
      </c>
      <c r="F95" s="12" t="n">
        <v>0.1</v>
      </c>
      <c r="G95" s="12" t="n">
        <v>0</v>
      </c>
      <c r="H95" s="12" t="n">
        <v>0.2</v>
      </c>
      <c r="I95" s="10" t="s">
        <v>4850</v>
      </c>
      <c r="J95" s="11" t="s">
        <v>1095</v>
      </c>
      <c r="K95" s="10" t="s">
        <v>5144</v>
      </c>
      <c r="L95" s="10" t="n">
        <f aca="false">IF(AND(ISNUMBER($F95),ISNUMBER($G95),ISNUMBER($H95)),IF(AND($G95&lt;=$F95,$F95&lt;=$H95),0,1),0)</f>
        <v>0</v>
      </c>
      <c r="M95" s="10" t="n">
        <f aca="false">IF(AND(OR($I95="Analogy",$I95="Assumed"),OR($G95="",$H95="")),1,0)</f>
        <v>0</v>
      </c>
    </row>
    <row r="96" customFormat="false" ht="15" hidden="false" customHeight="false" outlineLevel="0" collapsed="false">
      <c r="A96" s="10" t="s">
        <v>5145</v>
      </c>
      <c r="B96" s="10" t="s">
        <v>5146</v>
      </c>
      <c r="C96" s="10" t="s">
        <v>5137</v>
      </c>
      <c r="D96" s="10" t="s">
        <v>4682</v>
      </c>
      <c r="E96" s="11" t="s">
        <v>4720</v>
      </c>
      <c r="F96" s="12" t="n">
        <v>0.05</v>
      </c>
      <c r="G96" s="12" t="n">
        <v>0</v>
      </c>
      <c r="H96" s="12" t="n">
        <v>0.15</v>
      </c>
      <c r="I96" s="10" t="s">
        <v>4850</v>
      </c>
      <c r="J96" s="11" t="s">
        <v>1095</v>
      </c>
      <c r="K96" s="10" t="s">
        <v>5147</v>
      </c>
      <c r="L96" s="10" t="n">
        <f aca="false">IF(AND(ISNUMBER($F96),ISNUMBER($G96),ISNUMBER($H96)),IF(AND($G96&lt;=$F96,$F96&lt;=$H96),0,1),0)</f>
        <v>0</v>
      </c>
      <c r="M96" s="10" t="n">
        <f aca="false">IF(AND(OR($I96="Analogy",$I96="Assumed"),OR($G96="",$H96="")),1,0)</f>
        <v>0</v>
      </c>
    </row>
    <row r="97" customFormat="false" ht="15" hidden="false" customHeight="false" outlineLevel="0" collapsed="false">
      <c r="A97" s="10" t="s">
        <v>5148</v>
      </c>
      <c r="B97" s="10" t="s">
        <v>5149</v>
      </c>
      <c r="C97" s="10" t="s">
        <v>5137</v>
      </c>
      <c r="D97" s="10" t="s">
        <v>4683</v>
      </c>
      <c r="E97" s="11" t="s">
        <v>4720</v>
      </c>
      <c r="F97" s="12" t="n">
        <v>0.05</v>
      </c>
      <c r="G97" s="12" t="n">
        <v>0</v>
      </c>
      <c r="H97" s="12" t="n">
        <v>0.1</v>
      </c>
      <c r="I97" s="10" t="s">
        <v>4850</v>
      </c>
      <c r="J97" s="11" t="s">
        <v>1095</v>
      </c>
      <c r="K97" s="10" t="s">
        <v>5150</v>
      </c>
      <c r="L97" s="10" t="n">
        <f aca="false">IF(AND(ISNUMBER($F97),ISNUMBER($G97),ISNUMBER($H97)),IF(AND($G97&lt;=$F97,$F97&lt;=$H97),0,1),0)</f>
        <v>0</v>
      </c>
      <c r="M97" s="10" t="n">
        <f aca="false">IF(AND(OR($I97="Analogy",$I97="Assumed"),OR($G97="",$H97="")),1,0)</f>
        <v>0</v>
      </c>
    </row>
    <row r="98" customFormat="false" ht="15" hidden="false" customHeight="false" outlineLevel="0" collapsed="false">
      <c r="A98" s="10" t="s">
        <v>5151</v>
      </c>
      <c r="B98" s="10" t="s">
        <v>5152</v>
      </c>
      <c r="C98" s="10" t="s">
        <v>5137</v>
      </c>
      <c r="D98" s="10" t="s">
        <v>4684</v>
      </c>
      <c r="E98" s="11" t="s">
        <v>4720</v>
      </c>
      <c r="F98" s="12" t="n">
        <v>0</v>
      </c>
      <c r="G98" s="12" t="n">
        <v>0</v>
      </c>
      <c r="H98" s="12" t="n">
        <v>0.1</v>
      </c>
      <c r="I98" s="10" t="s">
        <v>4850</v>
      </c>
      <c r="J98" s="11" t="s">
        <v>1095</v>
      </c>
      <c r="K98" s="10" t="s">
        <v>5150</v>
      </c>
      <c r="L98" s="10" t="n">
        <f aca="false">IF(AND(ISNUMBER($F98),ISNUMBER($G98),ISNUMBER($H98)),IF(AND($G98&lt;=$F98,$F98&lt;=$H98),0,1),0)</f>
        <v>0</v>
      </c>
      <c r="M98" s="10" t="n">
        <f aca="false">IF(AND(OR($I98="Analogy",$I98="Assumed"),OR($G98="",$H98="")),1,0)</f>
        <v>0</v>
      </c>
    </row>
    <row r="99" customFormat="false" ht="15" hidden="false" customHeight="false" outlineLevel="0" collapsed="false">
      <c r="A99" s="10" t="s">
        <v>5153</v>
      </c>
      <c r="B99" s="10" t="s">
        <v>5154</v>
      </c>
      <c r="C99" s="11" t="s">
        <v>5155</v>
      </c>
      <c r="D99" s="11" t="s">
        <v>5067</v>
      </c>
      <c r="E99" s="10" t="s">
        <v>5156</v>
      </c>
      <c r="F99" s="12" t="n">
        <v>1.393</v>
      </c>
      <c r="G99" s="12" t="n">
        <v>1.2</v>
      </c>
      <c r="H99" s="12" t="n">
        <v>1.6</v>
      </c>
      <c r="I99" s="10" t="s">
        <v>1308</v>
      </c>
      <c r="J99" s="10" t="s">
        <v>5157</v>
      </c>
      <c r="K99" s="10" t="s">
        <v>5158</v>
      </c>
      <c r="L99" s="10" t="n">
        <f aca="false">IF(AND(ISNUMBER($F99),ISNUMBER($G99),ISNUMBER($H99)),IF(AND($G99&lt;=$F99,$F99&lt;=$H99),0,1),0)</f>
        <v>0</v>
      </c>
      <c r="M99" s="10" t="n">
        <f aca="false">IF(AND(OR($I99="Analogy",$I99="Assumed"),OR($G99="",$H99="")),1,0)</f>
        <v>0</v>
      </c>
    </row>
    <row r="100" customFormat="false" ht="15" hidden="false" customHeight="false" outlineLevel="0" collapsed="false">
      <c r="A100" s="10" t="s">
        <v>5159</v>
      </c>
      <c r="B100" s="10" t="s">
        <v>5160</v>
      </c>
      <c r="C100" s="11" t="s">
        <v>5161</v>
      </c>
      <c r="D100" s="11" t="s">
        <v>5067</v>
      </c>
      <c r="E100" s="10" t="s">
        <v>5156</v>
      </c>
      <c r="F100" s="12" t="n">
        <v>1.09</v>
      </c>
      <c r="G100" s="12" t="n">
        <v>0.9</v>
      </c>
      <c r="H100" s="12" t="n">
        <v>1.393</v>
      </c>
      <c r="I100" s="10" t="s">
        <v>1308</v>
      </c>
      <c r="J100" s="10" t="s">
        <v>5162</v>
      </c>
      <c r="K100" s="10" t="s">
        <v>5163</v>
      </c>
      <c r="L100" s="10" t="n">
        <f aca="false">IF(AND(ISNUMBER($F100),ISNUMBER($G100),ISNUMBER($H100)),IF(AND($G100&lt;=$F100,$F100&lt;=$H100),0,1),0)</f>
        <v>0</v>
      </c>
      <c r="M100" s="10" t="n">
        <f aca="false">IF(AND(OR($I100="Analogy",$I100="Assumed"),OR($G100="",$H100="")),1,0)</f>
        <v>0</v>
      </c>
    </row>
    <row r="101" customFormat="false" ht="15" hidden="false" customHeight="false" outlineLevel="0" collapsed="false">
      <c r="A101" s="10" t="s">
        <v>5164</v>
      </c>
      <c r="B101" s="10" t="s">
        <v>5165</v>
      </c>
      <c r="C101" s="11" t="s">
        <v>5166</v>
      </c>
      <c r="D101" s="11" t="s">
        <v>5067</v>
      </c>
      <c r="E101" s="10" t="s">
        <v>5156</v>
      </c>
      <c r="F101" s="12" t="n">
        <v>1</v>
      </c>
      <c r="G101" s="12" t="n">
        <v>0.65</v>
      </c>
      <c r="H101" s="12" t="n">
        <v>1.4</v>
      </c>
      <c r="I101" s="10" t="s">
        <v>1308</v>
      </c>
      <c r="J101" s="11" t="s">
        <v>5167</v>
      </c>
      <c r="K101" s="10" t="s">
        <v>5168</v>
      </c>
      <c r="L101" s="10" t="n">
        <f aca="false">IF(AND(ISNUMBER($F101),ISNUMBER($G101),ISNUMBER($H101)),IF(AND($G101&lt;=$F101,$F101&lt;=$H101),0,1),0)</f>
        <v>0</v>
      </c>
      <c r="M101" s="10" t="n">
        <f aca="false">IF(AND(OR($I101="Analogy",$I101="Assumed"),OR($G101="",$H101="")),1,0)</f>
        <v>0</v>
      </c>
    </row>
    <row r="102" customFormat="false" ht="15" hidden="false" customHeight="false" outlineLevel="0" collapsed="false">
      <c r="A102" s="10" t="s">
        <v>5169</v>
      </c>
      <c r="B102" s="10" t="s">
        <v>5170</v>
      </c>
      <c r="C102" s="11" t="s">
        <v>5171</v>
      </c>
      <c r="D102" s="11" t="s">
        <v>5067</v>
      </c>
      <c r="E102" s="11" t="s">
        <v>1709</v>
      </c>
      <c r="F102" s="12" t="n">
        <v>1.5</v>
      </c>
      <c r="G102" s="12" t="n">
        <v>1</v>
      </c>
      <c r="H102" s="12" t="n">
        <v>2</v>
      </c>
      <c r="I102" s="10" t="s">
        <v>4850</v>
      </c>
      <c r="J102" s="11" t="s">
        <v>5172</v>
      </c>
      <c r="K102" s="10" t="s">
        <v>5173</v>
      </c>
      <c r="L102" s="10" t="n">
        <f aca="false">IF(AND(ISNUMBER($F102),ISNUMBER($G102),ISNUMBER($H102)),IF(AND($G102&lt;=$F102,$F102&lt;=$H102),0,1),0)</f>
        <v>0</v>
      </c>
      <c r="M102" s="10" t="n">
        <f aca="false">IF(AND(OR($I102="Analogy",$I102="Assumed"),OR($G102="",$H102="")),1,0)</f>
        <v>0</v>
      </c>
    </row>
    <row r="103" customFormat="false" ht="15" hidden="false" customHeight="false" outlineLevel="0" collapsed="false">
      <c r="A103" s="10" t="s">
        <v>5174</v>
      </c>
      <c r="B103" s="10" t="s">
        <v>5175</v>
      </c>
      <c r="C103" s="11" t="s">
        <v>5176</v>
      </c>
      <c r="D103" s="10" t="s">
        <v>4943</v>
      </c>
      <c r="E103" s="11" t="s">
        <v>4897</v>
      </c>
      <c r="F103" s="12" t="n">
        <v>-0.1</v>
      </c>
      <c r="G103" s="12" t="n">
        <v>-0.25</v>
      </c>
      <c r="H103" s="12" t="n">
        <v>0</v>
      </c>
      <c r="I103" s="10" t="s">
        <v>4850</v>
      </c>
      <c r="J103" s="11" t="s">
        <v>5177</v>
      </c>
      <c r="K103" s="11" t="s">
        <v>5063</v>
      </c>
      <c r="L103" s="10" t="n">
        <f aca="false">IF(AND(ISNUMBER($F103),ISNUMBER($G103),ISNUMBER($H103)),IF(AND($G103&lt;=$F103,$F103&lt;=$H103),0,1),0)</f>
        <v>0</v>
      </c>
      <c r="M103" s="10" t="n">
        <f aca="false">IF(AND(OR($I103="Analogy",$I103="Assumed"),OR($G103="",$H103="")),1,0)</f>
        <v>0</v>
      </c>
    </row>
    <row r="104" customFormat="false" ht="15" hidden="false" customHeight="false" outlineLevel="0" collapsed="false">
      <c r="A104" s="10" t="s">
        <v>5178</v>
      </c>
      <c r="B104" s="10" t="s">
        <v>5179</v>
      </c>
      <c r="C104" s="10" t="s">
        <v>5180</v>
      </c>
      <c r="D104" s="10" t="s">
        <v>2121</v>
      </c>
      <c r="E104" s="11" t="s">
        <v>1709</v>
      </c>
      <c r="F104" s="12" t="n">
        <v>1.3</v>
      </c>
      <c r="G104" s="12" t="n">
        <v>1.15</v>
      </c>
      <c r="H104" s="12" t="n">
        <v>1.5</v>
      </c>
      <c r="I104" s="10" t="s">
        <v>1308</v>
      </c>
      <c r="J104" s="11" t="s">
        <v>5181</v>
      </c>
      <c r="K104" s="11" t="s">
        <v>5063</v>
      </c>
      <c r="L104" s="10" t="n">
        <f aca="false">IF(AND(ISNUMBER($F104),ISNUMBER($G104),ISNUMBER($H104)),IF(AND($G104&lt;=$F104,$F104&lt;=$H104),0,1),0)</f>
        <v>0</v>
      </c>
      <c r="M104" s="10" t="n">
        <f aca="false">IF(AND(OR($I104="Analogy",$I104="Assumed"),OR($G104="",$H104="")),1,0)</f>
        <v>0</v>
      </c>
    </row>
    <row r="105" customFormat="false" ht="15" hidden="false" customHeight="false" outlineLevel="0" collapsed="false">
      <c r="A105" s="10" t="s">
        <v>5182</v>
      </c>
      <c r="B105" s="10" t="s">
        <v>5183</v>
      </c>
      <c r="C105" s="11" t="s">
        <v>5184</v>
      </c>
      <c r="D105" s="10" t="s">
        <v>5185</v>
      </c>
      <c r="E105" s="11" t="s">
        <v>4720</v>
      </c>
      <c r="F105" s="12" t="n">
        <v>1</v>
      </c>
      <c r="G105" s="12" t="n">
        <v>0.22</v>
      </c>
      <c r="H105" s="12" t="n">
        <v>1</v>
      </c>
      <c r="I105" s="10" t="s">
        <v>636</v>
      </c>
      <c r="J105" s="11" t="s">
        <v>5186</v>
      </c>
      <c r="K105" s="10" t="s">
        <v>5187</v>
      </c>
      <c r="L105" s="10" t="n">
        <f aca="false">IF(AND(ISNUMBER($F105),ISNUMBER($G105),ISNUMBER($H105)),IF(AND($G105&lt;=$F105,$F105&lt;=$H105),0,1),0)</f>
        <v>0</v>
      </c>
      <c r="M105" s="10" t="n">
        <f aca="false">IF(AND(OR($I105="Analogy",$I105="Assumed"),OR($G105="",$H105="")),1,0)</f>
        <v>0</v>
      </c>
    </row>
    <row r="106" customFormat="false" ht="15" hidden="false" customHeight="false" outlineLevel="0" collapsed="false">
      <c r="A106" s="10" t="s">
        <v>5188</v>
      </c>
      <c r="B106" s="10" t="s">
        <v>5189</v>
      </c>
      <c r="C106" s="11" t="s">
        <v>5190</v>
      </c>
      <c r="D106" s="10" t="s">
        <v>5185</v>
      </c>
      <c r="E106" s="11" t="s">
        <v>4720</v>
      </c>
      <c r="F106" s="12" t="n">
        <v>0.707</v>
      </c>
      <c r="G106" s="12" t="n">
        <v>0.6</v>
      </c>
      <c r="H106" s="12" t="n">
        <v>0.8</v>
      </c>
      <c r="I106" s="10" t="s">
        <v>1308</v>
      </c>
      <c r="J106" s="11" t="s">
        <v>5191</v>
      </c>
      <c r="K106" s="11" t="s">
        <v>5192</v>
      </c>
      <c r="L106" s="10" t="n">
        <f aca="false">IF(AND(ISNUMBER($F106),ISNUMBER($G106),ISNUMBER($H106)),IF(AND($G106&lt;=$F106,$F106&lt;=$H106),0,1),0)</f>
        <v>0</v>
      </c>
      <c r="M106" s="10" t="n">
        <f aca="false">IF(AND(OR($I106="Analogy",$I106="Assumed"),OR($G106="",$H106="")),1,0)</f>
        <v>0</v>
      </c>
    </row>
    <row r="107" customFormat="false" ht="15" hidden="false" customHeight="false" outlineLevel="0" collapsed="false">
      <c r="A107" s="10" t="s">
        <v>5193</v>
      </c>
      <c r="B107" s="10" t="s">
        <v>5194</v>
      </c>
      <c r="C107" s="11" t="s">
        <v>5195</v>
      </c>
      <c r="D107" s="10" t="s">
        <v>5185</v>
      </c>
      <c r="E107" s="11" t="s">
        <v>4720</v>
      </c>
      <c r="F107" s="12" t="n">
        <v>0.744</v>
      </c>
      <c r="G107" s="12" t="n">
        <v>0.5</v>
      </c>
      <c r="H107" s="12" t="n">
        <v>0.9</v>
      </c>
      <c r="I107" s="10" t="s">
        <v>1308</v>
      </c>
      <c r="J107" s="11" t="s">
        <v>5196</v>
      </c>
      <c r="K107" s="10" t="s">
        <v>5126</v>
      </c>
      <c r="L107" s="10" t="n">
        <f aca="false">IF(AND(ISNUMBER($F107),ISNUMBER($G107),ISNUMBER($H107)),IF(AND($G107&lt;=$F107,$F107&lt;=$H107),0,1),0)</f>
        <v>0</v>
      </c>
      <c r="M107" s="10" t="n">
        <f aca="false">IF(AND(OR($I107="Analogy",$I107="Assumed"),OR($G107="",$H107="")),1,0)</f>
        <v>0</v>
      </c>
    </row>
    <row r="108" customFormat="false" ht="15" hidden="false" customHeight="false" outlineLevel="0" collapsed="false">
      <c r="A108" s="10" t="s">
        <v>5197</v>
      </c>
      <c r="B108" s="10" t="s">
        <v>5198</v>
      </c>
      <c r="C108" s="10" t="s">
        <v>5199</v>
      </c>
      <c r="D108" s="10" t="s">
        <v>2121</v>
      </c>
      <c r="E108" s="11" t="s">
        <v>5200</v>
      </c>
      <c r="F108" s="12" t="n">
        <v>0</v>
      </c>
      <c r="G108" s="12" t="n">
        <v>0</v>
      </c>
      <c r="H108" s="12" t="n">
        <v>1</v>
      </c>
      <c r="I108" s="10" t="s">
        <v>4751</v>
      </c>
      <c r="J108" s="11" t="s">
        <v>5201</v>
      </c>
      <c r="K108" s="11" t="s">
        <v>5200</v>
      </c>
      <c r="L108" s="10" t="n">
        <f aca="false">IF(AND(ISNUMBER($F108),ISNUMBER($G108),ISNUMBER($H108)),IF(AND($G108&lt;=$F108,$F108&lt;=$H108),0,1),0)</f>
        <v>0</v>
      </c>
      <c r="M108" s="10" t="n">
        <f aca="false">IF(AND(OR($I108="Analogy",$I108="Assumed"),OR($G108="",$H108="")),1,0)</f>
        <v>0</v>
      </c>
    </row>
    <row r="109" customFormat="false" ht="15" hidden="false" customHeight="false" outlineLevel="0" collapsed="false">
      <c r="A109" s="10" t="s">
        <v>5202</v>
      </c>
      <c r="B109" s="10" t="s">
        <v>5203</v>
      </c>
      <c r="C109" s="10" t="s">
        <v>5204</v>
      </c>
      <c r="D109" s="10" t="s">
        <v>2121</v>
      </c>
      <c r="E109" s="11" t="s">
        <v>5200</v>
      </c>
      <c r="F109" s="12" t="n">
        <v>1</v>
      </c>
      <c r="G109" s="12" t="n">
        <v>0</v>
      </c>
      <c r="H109" s="12" t="n">
        <v>1</v>
      </c>
      <c r="I109" s="10" t="s">
        <v>4751</v>
      </c>
      <c r="J109" s="11" t="s">
        <v>5205</v>
      </c>
      <c r="K109" s="11" t="s">
        <v>5200</v>
      </c>
      <c r="L109" s="10" t="n">
        <f aca="false">IF(AND(ISNUMBER($F109),ISNUMBER($G109),ISNUMBER($H109)),IF(AND($G109&lt;=$F109,$F109&lt;=$H109),0,1),0)</f>
        <v>0</v>
      </c>
      <c r="M109" s="10" t="n">
        <f aca="false">IF(AND(OR($I109="Analogy",$I109="Assumed"),OR($G109="",$H109="")),1,0)</f>
        <v>0</v>
      </c>
    </row>
    <row r="110" customFormat="false" ht="15" hidden="false" customHeight="false" outlineLevel="0" collapsed="false">
      <c r="A110" s="10" t="s">
        <v>5206</v>
      </c>
      <c r="B110" s="10" t="s">
        <v>5207</v>
      </c>
      <c r="C110" s="10" t="s">
        <v>5208</v>
      </c>
      <c r="D110" s="10" t="s">
        <v>2121</v>
      </c>
      <c r="E110" s="11" t="s">
        <v>1709</v>
      </c>
      <c r="F110" s="12" t="n">
        <v>1</v>
      </c>
      <c r="G110" s="12" t="n">
        <v>1</v>
      </c>
      <c r="H110" s="12" t="n">
        <v>1</v>
      </c>
      <c r="I110" s="10" t="s">
        <v>4751</v>
      </c>
      <c r="J110" s="11" t="s">
        <v>5209</v>
      </c>
      <c r="K110" s="11" t="s">
        <v>4753</v>
      </c>
      <c r="L110" s="10" t="n">
        <f aca="false">IF(AND(ISNUMBER($F110),ISNUMBER($G110),ISNUMBER($H110)),IF(AND($G110&lt;=$F110,$F110&lt;=$H110),0,1),0)</f>
        <v>0</v>
      </c>
      <c r="M110" s="10" t="n">
        <f aca="false">IF(AND(OR($I110="Analogy",$I110="Assumed"),OR($G110="",$H110="")),1,0)</f>
        <v>0</v>
      </c>
    </row>
    <row r="111" customFormat="false" ht="15" hidden="false" customHeight="false" outlineLevel="0" collapsed="false">
      <c r="A111" s="10" t="s">
        <v>5210</v>
      </c>
      <c r="B111" s="10" t="s">
        <v>5211</v>
      </c>
      <c r="C111" s="10" t="s">
        <v>5212</v>
      </c>
      <c r="D111" s="10" t="s">
        <v>2121</v>
      </c>
      <c r="E111" s="11" t="s">
        <v>2665</v>
      </c>
      <c r="F111" s="12" t="n">
        <v>2030</v>
      </c>
      <c r="G111" s="12" t="n">
        <v>2030</v>
      </c>
      <c r="H111" s="12" t="n">
        <v>2030</v>
      </c>
      <c r="I111" s="10" t="s">
        <v>4751</v>
      </c>
      <c r="J111" s="11" t="s">
        <v>5213</v>
      </c>
      <c r="K111" s="11" t="s">
        <v>4753</v>
      </c>
      <c r="L111" s="10" t="n">
        <f aca="false">IF(AND(ISNUMBER($F111),ISNUMBER($G111),ISNUMBER($H111)),IF(AND($G111&lt;=$F111,$F111&lt;=$H111),0,1),0)</f>
        <v>0</v>
      </c>
      <c r="M111" s="10" t="n">
        <f aca="false">IF(AND(OR($I111="Analogy",$I111="Assumed"),OR($G111="",$H111="")),1,0)</f>
        <v>0</v>
      </c>
    </row>
    <row r="112" customFormat="false" ht="15" hidden="false" customHeight="false" outlineLevel="0" collapsed="false">
      <c r="A112" s="10" t="s">
        <v>5214</v>
      </c>
      <c r="B112" s="10" t="s">
        <v>5215</v>
      </c>
      <c r="C112" s="11" t="s">
        <v>5216</v>
      </c>
      <c r="D112" s="10" t="s">
        <v>4943</v>
      </c>
      <c r="E112" s="11" t="s">
        <v>4720</v>
      </c>
      <c r="F112" s="12" t="n">
        <v>0.1</v>
      </c>
      <c r="G112" s="12" t="n">
        <v>0.05</v>
      </c>
      <c r="H112" s="12" t="n">
        <v>0.2</v>
      </c>
      <c r="I112" s="10" t="s">
        <v>1308</v>
      </c>
      <c r="J112" s="10" t="s">
        <v>5217</v>
      </c>
      <c r="K112" s="10" t="s">
        <v>5218</v>
      </c>
      <c r="L112" s="10" t="n">
        <f aca="false">IF(AND(ISNUMBER($F112),ISNUMBER($G112),ISNUMBER($H112)),IF(AND($G112&lt;=$F112,$F112&lt;=$H112),0,1),0)</f>
        <v>0</v>
      </c>
      <c r="M112" s="10" t="n">
        <f aca="false">IF(AND(OR($I112="Analogy",$I112="Assumed"),OR($G112="",$H112="")),1,0)</f>
        <v>0</v>
      </c>
    </row>
    <row r="113" customFormat="false" ht="15" hidden="false" customHeight="false" outlineLevel="0" collapsed="false">
      <c r="A113" s="10" t="s">
        <v>5219</v>
      </c>
      <c r="B113" s="10" t="s">
        <v>5220</v>
      </c>
      <c r="C113" s="11" t="s">
        <v>5221</v>
      </c>
      <c r="D113" s="10" t="s">
        <v>4943</v>
      </c>
      <c r="E113" s="11" t="s">
        <v>4720</v>
      </c>
      <c r="F113" s="12" t="n">
        <v>0.3</v>
      </c>
      <c r="G113" s="12" t="n">
        <v>0.2</v>
      </c>
      <c r="H113" s="12" t="n">
        <v>0.4</v>
      </c>
      <c r="I113" s="10" t="s">
        <v>1308</v>
      </c>
      <c r="J113" s="10" t="s">
        <v>5222</v>
      </c>
      <c r="K113" s="10" t="s">
        <v>5223</v>
      </c>
      <c r="L113" s="10" t="n">
        <f aca="false">IF(AND(ISNUMBER($F113),ISNUMBER($G113),ISNUMBER($H113)),IF(AND($G113&lt;=$F113,$F113&lt;=$H113),0,1),0)</f>
        <v>0</v>
      </c>
      <c r="M113" s="10" t="n">
        <f aca="false">IF(AND(OR($I113="Analogy",$I113="Assumed"),OR($G113="",$H113="")),1,0)</f>
        <v>0</v>
      </c>
    </row>
    <row r="114" customFormat="false" ht="15" hidden="false" customHeight="false" outlineLevel="0" collapsed="false">
      <c r="A114" s="10" t="s">
        <v>5224</v>
      </c>
      <c r="B114" s="10" t="s">
        <v>5225</v>
      </c>
      <c r="C114" s="11" t="s">
        <v>5226</v>
      </c>
      <c r="D114" s="10" t="s">
        <v>4943</v>
      </c>
      <c r="E114" s="11" t="s">
        <v>5200</v>
      </c>
      <c r="F114" s="12" t="n">
        <v>0</v>
      </c>
      <c r="G114" s="12" t="n">
        <v>0</v>
      </c>
      <c r="H114" s="12" t="n">
        <v>1</v>
      </c>
      <c r="I114" s="10" t="s">
        <v>4751</v>
      </c>
      <c r="J114" s="10" t="s">
        <v>5227</v>
      </c>
      <c r="K114" s="11" t="s">
        <v>5200</v>
      </c>
      <c r="L114" s="10" t="n">
        <f aca="false">IF(AND(ISNUMBER($F114),ISNUMBER($G114),ISNUMBER($H114)),IF(AND($G114&lt;=$F114,$F114&lt;=$H114),0,1),0)</f>
        <v>0</v>
      </c>
      <c r="M114" s="10" t="n">
        <f aca="false">IF(AND(OR($I114="Analogy",$I114="Assumed"),OR($G114="",$H114="")),1,0)</f>
        <v>0</v>
      </c>
    </row>
    <row r="115" customFormat="false" ht="15" hidden="false" customHeight="false" outlineLevel="0" collapsed="false">
      <c r="A115" s="10" t="s">
        <v>5228</v>
      </c>
      <c r="B115" s="10" t="s">
        <v>5229</v>
      </c>
      <c r="C115" s="11" t="s">
        <v>5230</v>
      </c>
      <c r="D115" s="10" t="s">
        <v>4684</v>
      </c>
      <c r="E115" s="11" t="s">
        <v>4720</v>
      </c>
      <c r="F115" s="12" t="n">
        <v>0.5</v>
      </c>
      <c r="G115" s="12" t="n">
        <v>0.3</v>
      </c>
      <c r="H115" s="12" t="n">
        <v>0.7</v>
      </c>
      <c r="I115" s="10" t="s">
        <v>1308</v>
      </c>
      <c r="J115" s="10" t="s">
        <v>5231</v>
      </c>
      <c r="K115" s="10" t="s">
        <v>5232</v>
      </c>
      <c r="L115" s="10" t="n">
        <f aca="false">IF(AND(ISNUMBER($F115),ISNUMBER($G115),ISNUMBER($H115)),IF(AND($G115&lt;=$F115,$F115&lt;=$H115),0,1),0)</f>
        <v>0</v>
      </c>
      <c r="M115" s="10" t="n">
        <f aca="false">IF(AND(OR($I115="Analogy",$I115="Assumed"),OR($G115="",$H115="")),1,0)</f>
        <v>0</v>
      </c>
    </row>
    <row r="116" customFormat="false" ht="15" hidden="false" customHeight="false" outlineLevel="0" collapsed="false">
      <c r="A116" s="10" t="s">
        <v>5233</v>
      </c>
      <c r="B116" s="10" t="s">
        <v>5234</v>
      </c>
      <c r="C116" s="11" t="s">
        <v>5235</v>
      </c>
      <c r="D116" s="10" t="s">
        <v>4892</v>
      </c>
      <c r="E116" s="10" t="s">
        <v>5236</v>
      </c>
      <c r="F116" s="12" t="n">
        <v>0</v>
      </c>
      <c r="G116" s="12" t="n">
        <v>0</v>
      </c>
      <c r="H116" s="12" t="n">
        <v>50</v>
      </c>
      <c r="I116" s="10" t="s">
        <v>4850</v>
      </c>
      <c r="J116" s="11" t="s">
        <v>5237</v>
      </c>
      <c r="K116" s="10" t="s">
        <v>5238</v>
      </c>
      <c r="L116" s="10" t="n">
        <f aca="false">IF(AND(ISNUMBER($F116),ISNUMBER($G116),ISNUMBER($H116)),IF(AND($G116&lt;=$F116,$F116&lt;=$H116),0,1),0)</f>
        <v>0</v>
      </c>
      <c r="M116" s="10" t="n">
        <f aca="false">IF(AND(OR($I116="Analogy",$I116="Assumed"),OR($G116="",$H116="")),1,0)</f>
        <v>0</v>
      </c>
    </row>
    <row r="117" customFormat="false" ht="15" hidden="false" customHeight="false" outlineLevel="0" collapsed="false">
      <c r="A117" s="10" t="s">
        <v>5239</v>
      </c>
      <c r="B117" s="10" t="s">
        <v>5240</v>
      </c>
      <c r="C117" s="11" t="s">
        <v>5241</v>
      </c>
      <c r="D117" s="10" t="s">
        <v>2121</v>
      </c>
      <c r="E117" s="11" t="s">
        <v>5200</v>
      </c>
      <c r="F117" s="12" t="n">
        <v>0</v>
      </c>
      <c r="G117" s="12" t="n">
        <v>0</v>
      </c>
      <c r="H117" s="12" t="n">
        <v>1</v>
      </c>
      <c r="I117" s="10" t="s">
        <v>4751</v>
      </c>
      <c r="J117" s="11" t="s">
        <v>5242</v>
      </c>
      <c r="K117" s="11" t="s">
        <v>5200</v>
      </c>
      <c r="L117" s="10" t="n">
        <f aca="false">IF(AND(ISNUMBER($F117),ISNUMBER($G117),ISNUMBER($H117)),IF(AND($G117&lt;=$F117,$F117&lt;=$H117),0,1),0)</f>
        <v>0</v>
      </c>
      <c r="M117" s="10" t="n">
        <f aca="false">IF(AND(OR($I117="Analogy",$I117="Assumed"),OR($G117="",$H117="")),1,0)</f>
        <v>0</v>
      </c>
    </row>
    <row r="118" customFormat="false" ht="15" hidden="false" customHeight="false" outlineLevel="0" collapsed="false">
      <c r="A118" s="10" t="s">
        <v>5243</v>
      </c>
      <c r="B118" s="10" t="s">
        <v>5244</v>
      </c>
      <c r="C118" s="10" t="s">
        <v>5245</v>
      </c>
      <c r="D118" s="10" t="s">
        <v>2121</v>
      </c>
      <c r="E118" s="11" t="s">
        <v>2665</v>
      </c>
      <c r="F118" s="12" t="n">
        <v>2028</v>
      </c>
      <c r="G118" s="12" t="n">
        <v>2027</v>
      </c>
      <c r="H118" s="12" t="n">
        <v>2030</v>
      </c>
      <c r="I118" s="10" t="s">
        <v>4850</v>
      </c>
      <c r="J118" s="11" t="s">
        <v>5246</v>
      </c>
      <c r="K118" s="10" t="s">
        <v>5247</v>
      </c>
      <c r="L118" s="10" t="n">
        <f aca="false">IF(AND(ISNUMBER($F118),ISNUMBER($G118),ISNUMBER($H118)),IF(AND($G118&lt;=$F118,$F118&lt;=$H118),0,1),0)</f>
        <v>0</v>
      </c>
      <c r="M118" s="10" t="n">
        <f aca="false">IF(AND(OR($I118="Analogy",$I118="Assumed"),OR($G118="",$H118="")),1,0)</f>
        <v>0</v>
      </c>
    </row>
    <row r="119" customFormat="false" ht="15" hidden="false" customHeight="false" outlineLevel="0" collapsed="false">
      <c r="A119" s="10" t="s">
        <v>5248</v>
      </c>
      <c r="B119" s="10" t="s">
        <v>5249</v>
      </c>
      <c r="C119" s="10" t="s">
        <v>5250</v>
      </c>
      <c r="D119" s="11" t="s">
        <v>5067</v>
      </c>
      <c r="E119" s="11" t="s">
        <v>1709</v>
      </c>
      <c r="F119" s="12" t="n">
        <v>0.6</v>
      </c>
      <c r="G119" s="12" t="n">
        <v>0.4</v>
      </c>
      <c r="H119" s="12" t="n">
        <v>0.8</v>
      </c>
      <c r="I119" s="10" t="s">
        <v>1308</v>
      </c>
      <c r="J119" s="11" t="s">
        <v>5251</v>
      </c>
      <c r="K119" s="10" t="s">
        <v>4885</v>
      </c>
      <c r="L119" s="10" t="n">
        <f aca="false">IF(AND(ISNUMBER($F119),ISNUMBER($G119),ISNUMBER($H119)),IF(AND($G119&lt;=$F119,$F119&lt;=$H119),0,1),0)</f>
        <v>0</v>
      </c>
      <c r="M119" s="10" t="n">
        <f aca="false">IF(AND(OR($I119="Analogy",$I119="Assumed"),OR($G119="",$H119="")),1,0)</f>
        <v>0</v>
      </c>
    </row>
    <row r="120" customFormat="false" ht="15" hidden="false" customHeight="false" outlineLevel="0" collapsed="false">
      <c r="A120" s="10" t="s">
        <v>5252</v>
      </c>
      <c r="B120" s="10" t="s">
        <v>5253</v>
      </c>
      <c r="C120" s="11" t="s">
        <v>5254</v>
      </c>
      <c r="D120" s="11" t="s">
        <v>5067</v>
      </c>
      <c r="E120" s="11" t="s">
        <v>1709</v>
      </c>
      <c r="F120" s="12" t="n">
        <v>0.6</v>
      </c>
      <c r="G120" s="12" t="n">
        <v>0.4</v>
      </c>
      <c r="H120" s="12" t="n">
        <v>0.9</v>
      </c>
      <c r="I120" s="10" t="s">
        <v>1308</v>
      </c>
      <c r="J120" s="11" t="s">
        <v>5255</v>
      </c>
      <c r="K120" s="10" t="s">
        <v>5256</v>
      </c>
      <c r="L120" s="10" t="n">
        <f aca="false">IF(AND(ISNUMBER($F120),ISNUMBER($G120),ISNUMBER($H120)),IF(AND($G120&lt;=$F120,$F120&lt;=$H120),0,1),0)</f>
        <v>0</v>
      </c>
      <c r="M120" s="10" t="n">
        <f aca="false">IF(AND(OR($I120="Analogy",$I120="Assumed"),OR($G120="",$H120="")),1,0)</f>
        <v>0</v>
      </c>
    </row>
    <row r="121" customFormat="false" ht="15" hidden="false" customHeight="false" outlineLevel="0" collapsed="false">
      <c r="A121" s="10" t="s">
        <v>5257</v>
      </c>
      <c r="B121" s="10" t="s">
        <v>5258</v>
      </c>
      <c r="C121" s="11" t="s">
        <v>5259</v>
      </c>
      <c r="D121" s="10" t="s">
        <v>4782</v>
      </c>
      <c r="E121" s="11" t="s">
        <v>4913</v>
      </c>
      <c r="F121" s="12" t="n">
        <v>0</v>
      </c>
      <c r="G121" s="12" t="n">
        <v>-0.1</v>
      </c>
      <c r="H121" s="12" t="n">
        <v>0.15</v>
      </c>
      <c r="I121" s="10" t="s">
        <v>4850</v>
      </c>
      <c r="J121" s="11" t="s">
        <v>5260</v>
      </c>
      <c r="K121" s="10" t="s">
        <v>5261</v>
      </c>
      <c r="L121" s="10" t="n">
        <f aca="false">IF(AND(ISNUMBER($F121),ISNUMBER($G121),ISNUMBER($H121)),IF(AND($G121&lt;=$F121,$F121&lt;=$H121),0,1),0)</f>
        <v>0</v>
      </c>
      <c r="M121" s="10" t="n">
        <f aca="false">IF(AND(OR($I121="Analogy",$I121="Assumed"),OR($G121="",$H121="")),1,0)</f>
        <v>0</v>
      </c>
    </row>
    <row r="122" customFormat="false" ht="15" hidden="false" customHeight="false" outlineLevel="0" collapsed="false">
      <c r="A122" s="10" t="s">
        <v>5262</v>
      </c>
      <c r="B122" s="10" t="s">
        <v>5263</v>
      </c>
      <c r="C122" s="11" t="s">
        <v>5264</v>
      </c>
      <c r="D122" s="10" t="s">
        <v>4892</v>
      </c>
      <c r="E122" s="11" t="s">
        <v>4897</v>
      </c>
      <c r="F122" s="12" t="n">
        <v>0.1</v>
      </c>
      <c r="G122" s="12" t="n">
        <v>0</v>
      </c>
      <c r="H122" s="12" t="n">
        <v>0.3</v>
      </c>
      <c r="I122" s="10" t="s">
        <v>4850</v>
      </c>
      <c r="J122" s="10" t="s">
        <v>5265</v>
      </c>
      <c r="K122" s="10" t="s">
        <v>4920</v>
      </c>
      <c r="L122" s="10" t="n">
        <f aca="false">IF(AND(ISNUMBER($F122),ISNUMBER($G122),ISNUMBER($H122)),IF(AND($G122&lt;=$F122,$F122&lt;=$H122),0,1),0)</f>
        <v>0</v>
      </c>
      <c r="M122" s="10" t="n">
        <f aca="false">IF(AND(OR($I122="Analogy",$I122="Assumed"),OR($G122="",$H122="")),1,0)</f>
        <v>0</v>
      </c>
    </row>
    <row r="123" customFormat="false" ht="15" hidden="false" customHeight="false" outlineLevel="0" collapsed="false">
      <c r="A123" s="10" t="s">
        <v>5266</v>
      </c>
      <c r="B123" s="10" t="s">
        <v>5267</v>
      </c>
      <c r="C123" s="11" t="s">
        <v>5268</v>
      </c>
      <c r="D123" s="10" t="s">
        <v>4943</v>
      </c>
      <c r="E123" s="11" t="s">
        <v>4897</v>
      </c>
      <c r="F123" s="12" t="n">
        <v>0.03</v>
      </c>
      <c r="G123" s="12" t="n">
        <v>0</v>
      </c>
      <c r="H123" s="12" t="n">
        <v>0.08</v>
      </c>
      <c r="I123" s="10" t="s">
        <v>1308</v>
      </c>
      <c r="J123" s="10" t="s">
        <v>5269</v>
      </c>
      <c r="K123" s="11" t="s">
        <v>4875</v>
      </c>
      <c r="L123" s="10" t="n">
        <f aca="false">IF(AND(ISNUMBER($F123),ISNUMBER($G123),ISNUMBER($H123)),IF(AND($G123&lt;=$F123,$F123&lt;=$H123),0,1),0)</f>
        <v>0</v>
      </c>
      <c r="M123" s="10" t="n">
        <f aca="false">IF(AND(OR($I123="Analogy",$I123="Assumed"),OR($G123="",$H123="")),1,0)</f>
        <v>0</v>
      </c>
    </row>
    <row r="124" customFormat="false" ht="15" hidden="false" customHeight="false" outlineLevel="0" collapsed="false">
      <c r="A124" s="10" t="s">
        <v>5270</v>
      </c>
      <c r="B124" s="10" t="s">
        <v>5271</v>
      </c>
      <c r="C124" s="11" t="s">
        <v>5272</v>
      </c>
      <c r="D124" s="10" t="s">
        <v>4943</v>
      </c>
      <c r="E124" s="11" t="s">
        <v>4897</v>
      </c>
      <c r="F124" s="12" t="n">
        <v>0</v>
      </c>
      <c r="G124" s="12" t="n">
        <v>-0.2</v>
      </c>
      <c r="H124" s="12" t="n">
        <v>0.2</v>
      </c>
      <c r="I124" s="10" t="s">
        <v>1308</v>
      </c>
      <c r="J124" s="10" t="s">
        <v>5273</v>
      </c>
      <c r="K124" s="11" t="s">
        <v>4875</v>
      </c>
      <c r="L124" s="10" t="n">
        <f aca="false">IF(AND(ISNUMBER($F124),ISNUMBER($G124),ISNUMBER($H124)),IF(AND($G124&lt;=$F124,$F124&lt;=$H124),0,1),0)</f>
        <v>0</v>
      </c>
      <c r="M124" s="10" t="n">
        <f aca="false">IF(AND(OR($I124="Analogy",$I124="Assumed"),OR($G124="",$H124="")),1,0)</f>
        <v>0</v>
      </c>
    </row>
    <row r="125" customFormat="false" ht="15" hidden="false" customHeight="false" outlineLevel="0" collapsed="false">
      <c r="A125" s="10" t="s">
        <v>5274</v>
      </c>
      <c r="B125" s="10" t="s">
        <v>5275</v>
      </c>
      <c r="C125" s="10" t="s">
        <v>5276</v>
      </c>
      <c r="D125" s="11" t="s">
        <v>5067</v>
      </c>
      <c r="E125" s="11" t="s">
        <v>4720</v>
      </c>
      <c r="F125" s="12" t="n">
        <v>0.9</v>
      </c>
      <c r="G125" s="12" t="n">
        <v>0.8</v>
      </c>
      <c r="H125" s="12" t="n">
        <v>0.97</v>
      </c>
      <c r="I125" s="10" t="s">
        <v>1308</v>
      </c>
      <c r="J125" s="11" t="s">
        <v>5277</v>
      </c>
      <c r="K125" s="10" t="s">
        <v>5278</v>
      </c>
      <c r="L125" s="10" t="n">
        <f aca="false">IF(AND(ISNUMBER($F125),ISNUMBER($G125),ISNUMBER($H125)),IF(AND($G125&lt;=$F125,$F125&lt;=$H125),0,1),0)</f>
        <v>0</v>
      </c>
      <c r="M125" s="10" t="n">
        <f aca="false">IF(AND(OR($I125="Analogy",$I125="Assumed"),OR($G125="",$H125="")),1,0)</f>
        <v>0</v>
      </c>
    </row>
    <row r="126" customFormat="false" ht="15" hidden="false" customHeight="false" outlineLevel="0" collapsed="false">
      <c r="A126" s="10" t="s">
        <v>5279</v>
      </c>
      <c r="B126" s="10" t="s">
        <v>5280</v>
      </c>
      <c r="C126" s="10" t="s">
        <v>5281</v>
      </c>
      <c r="D126" s="11" t="s">
        <v>5067</v>
      </c>
      <c r="E126" s="11" t="s">
        <v>4720</v>
      </c>
      <c r="F126" s="12" t="n">
        <v>0.03</v>
      </c>
      <c r="G126" s="12" t="n">
        <v>0.01</v>
      </c>
      <c r="H126" s="12" t="n">
        <v>0.08</v>
      </c>
      <c r="I126" s="10" t="s">
        <v>1308</v>
      </c>
      <c r="J126" s="11" t="s">
        <v>5282</v>
      </c>
      <c r="K126" s="10" t="s">
        <v>5283</v>
      </c>
      <c r="L126" s="10" t="n">
        <f aca="false">IF(AND(ISNUMBER($F126),ISNUMBER($G126),ISNUMBER($H126)),IF(AND($G126&lt;=$F126,$F126&lt;=$H126),0,1),0)</f>
        <v>0</v>
      </c>
      <c r="M126" s="10" t="n">
        <f aca="false">IF(AND(OR($I126="Analogy",$I126="Assumed"),OR($G126="",$H126="")),1,0)</f>
        <v>0</v>
      </c>
    </row>
    <row r="127" customFormat="false" ht="15" hidden="false" customHeight="false" outlineLevel="0" collapsed="false">
      <c r="A127" s="10" t="s">
        <v>5284</v>
      </c>
      <c r="B127" s="10" t="s">
        <v>5285</v>
      </c>
      <c r="C127" s="11" t="s">
        <v>5286</v>
      </c>
      <c r="D127" s="10" t="s">
        <v>5036</v>
      </c>
      <c r="E127" s="11" t="s">
        <v>4297</v>
      </c>
      <c r="F127" s="12" t="n">
        <v>6</v>
      </c>
      <c r="G127" s="12" t="n">
        <v>3</v>
      </c>
      <c r="H127" s="12" t="n">
        <v>12</v>
      </c>
      <c r="I127" s="10" t="s">
        <v>4850</v>
      </c>
      <c r="J127" s="11" t="s">
        <v>5287</v>
      </c>
      <c r="K127" s="10" t="s">
        <v>5288</v>
      </c>
      <c r="L127" s="10" t="n">
        <f aca="false">IF(AND(ISNUMBER($F127),ISNUMBER($G127),ISNUMBER($H127)),IF(AND($G127&lt;=$F127,$F127&lt;=$H127),0,1),0)</f>
        <v>0</v>
      </c>
      <c r="M127" s="10" t="n">
        <f aca="false">IF(AND(OR($I127="Analogy",$I127="Assumed"),OR($G127="",$H127="")),1,0)</f>
        <v>0</v>
      </c>
    </row>
    <row r="128" customFormat="false" ht="15" hidden="false" customHeight="false" outlineLevel="0" collapsed="false">
      <c r="A128" s="10" t="s">
        <v>5289</v>
      </c>
      <c r="B128" s="10" t="s">
        <v>5290</v>
      </c>
      <c r="C128" s="11" t="s">
        <v>5291</v>
      </c>
      <c r="D128" s="10" t="s">
        <v>4943</v>
      </c>
      <c r="E128" s="10" t="s">
        <v>5236</v>
      </c>
      <c r="F128" s="12" t="n">
        <v>0</v>
      </c>
      <c r="G128" s="12" t="n">
        <v>0</v>
      </c>
      <c r="H128" s="12" t="n">
        <v>0.83</v>
      </c>
      <c r="I128" s="10" t="s">
        <v>4751</v>
      </c>
      <c r="J128" s="11" t="s">
        <v>5292</v>
      </c>
      <c r="K128" s="10" t="s">
        <v>5293</v>
      </c>
      <c r="L128" s="10" t="n">
        <f aca="false">IF(AND(ISNUMBER($F128),ISNUMBER($G128),ISNUMBER($H128)),IF(AND($G128&lt;=$F128,$F128&lt;=$H128),0,1),0)</f>
        <v>0</v>
      </c>
      <c r="M128" s="10" t="n">
        <f aca="false">IF(AND(OR($I128="Analogy",$I128="Assumed"),OR($G128="",$H128="")),1,0)</f>
        <v>0</v>
      </c>
    </row>
    <row r="129" customFormat="false" ht="15" hidden="false" customHeight="false" outlineLevel="0" collapsed="false">
      <c r="A129" s="10" t="s">
        <v>5294</v>
      </c>
      <c r="B129" s="10" t="s">
        <v>5295</v>
      </c>
      <c r="C129" s="11" t="s">
        <v>5296</v>
      </c>
      <c r="D129" s="10" t="s">
        <v>4943</v>
      </c>
      <c r="E129" s="11" t="s">
        <v>4897</v>
      </c>
      <c r="F129" s="12" t="n">
        <v>0.03</v>
      </c>
      <c r="G129" s="12" t="n">
        <v>0.025</v>
      </c>
      <c r="H129" s="12" t="n">
        <v>0.045</v>
      </c>
      <c r="I129" s="10" t="s">
        <v>1308</v>
      </c>
      <c r="J129" s="11" t="s">
        <v>5297</v>
      </c>
      <c r="K129" s="10" t="s">
        <v>5298</v>
      </c>
      <c r="L129" s="10" t="n">
        <f aca="false">IF(AND(ISNUMBER($F129),ISNUMBER($G129),ISNUMBER($H129)),IF(AND($G129&lt;=$F129,$F129&lt;=$H129),0,1),0)</f>
        <v>0</v>
      </c>
      <c r="M129" s="10" t="n">
        <f aca="false">IF(AND(OR($I129="Analogy",$I129="Assumed"),OR($G129="",$H129="")),1,0)</f>
        <v>0</v>
      </c>
    </row>
    <row r="130" customFormat="false" ht="15" hidden="false" customHeight="false" outlineLevel="0" collapsed="false">
      <c r="A130" s="10" t="s">
        <v>5299</v>
      </c>
      <c r="B130" s="10" t="s">
        <v>5300</v>
      </c>
      <c r="C130" s="11" t="s">
        <v>5301</v>
      </c>
      <c r="D130" s="10" t="s">
        <v>2121</v>
      </c>
      <c r="E130" s="11" t="s">
        <v>5200</v>
      </c>
      <c r="F130" s="12" t="n">
        <v>0</v>
      </c>
      <c r="G130" s="12" t="n">
        <v>0</v>
      </c>
      <c r="H130" s="12" t="n">
        <v>1</v>
      </c>
      <c r="I130" s="10" t="s">
        <v>4751</v>
      </c>
      <c r="J130" s="11" t="s">
        <v>5302</v>
      </c>
      <c r="K130" s="11" t="s">
        <v>5200</v>
      </c>
      <c r="L130" s="10" t="n">
        <f aca="false">IF(AND(ISNUMBER($F130),ISNUMBER($G130),ISNUMBER($H130)),IF(AND($G130&lt;=$F130,$F130&lt;=$H130),0,1),0)</f>
        <v>0</v>
      </c>
      <c r="M130" s="10" t="n">
        <f aca="false">IF(AND(OR($I130="Analogy",$I130="Assumed"),OR($G130="",$H130="")),1,0)</f>
        <v>0</v>
      </c>
    </row>
    <row r="131" customFormat="false" ht="15" hidden="false" customHeight="false" outlineLevel="0" collapsed="false">
      <c r="A131" s="10" t="s">
        <v>5303</v>
      </c>
      <c r="B131" s="10" t="s">
        <v>5304</v>
      </c>
      <c r="C131" s="11" t="s">
        <v>5305</v>
      </c>
      <c r="D131" s="10" t="s">
        <v>2121</v>
      </c>
      <c r="E131" s="11" t="s">
        <v>5200</v>
      </c>
      <c r="F131" s="12" t="n">
        <v>0</v>
      </c>
      <c r="G131" s="12" t="n">
        <v>0</v>
      </c>
      <c r="H131" s="12" t="n">
        <v>1</v>
      </c>
      <c r="I131" s="10" t="s">
        <v>4751</v>
      </c>
      <c r="J131" s="11" t="s">
        <v>5306</v>
      </c>
      <c r="K131" s="11" t="s">
        <v>5200</v>
      </c>
      <c r="L131" s="10" t="n">
        <f aca="false">IF(AND(ISNUMBER($F131),ISNUMBER($G131),ISNUMBER($H131)),IF(AND($G131&lt;=$F131,$F131&lt;=$H131),0,1),0)</f>
        <v>0</v>
      </c>
      <c r="M131" s="10" t="n">
        <f aca="false">IF(AND(OR($I131="Analogy",$I131="Assumed"),OR($G131="",$H131="")),1,0)</f>
        <v>0</v>
      </c>
    </row>
    <row r="132" customFormat="false" ht="15" hidden="false" customHeight="false" outlineLevel="0" collapsed="false">
      <c r="A132" s="10" t="s">
        <v>5307</v>
      </c>
      <c r="B132" s="10" t="s">
        <v>5308</v>
      </c>
      <c r="C132" s="11" t="s">
        <v>5309</v>
      </c>
      <c r="D132" s="10" t="s">
        <v>2121</v>
      </c>
      <c r="E132" s="11" t="s">
        <v>1709</v>
      </c>
      <c r="F132" s="12" t="n">
        <v>1</v>
      </c>
      <c r="G132" s="12" t="n">
        <v>1</v>
      </c>
      <c r="H132" s="12" t="n">
        <v>1</v>
      </c>
      <c r="I132" s="10" t="s">
        <v>4751</v>
      </c>
      <c r="J132" s="11" t="s">
        <v>5310</v>
      </c>
      <c r="K132" s="10" t="s">
        <v>2121</v>
      </c>
      <c r="L132" s="10" t="n">
        <f aca="false">IF(AND(ISNUMBER($F132),ISNUMBER($G132),ISNUMBER($H132)),IF(AND($G132&lt;=$F132,$F132&lt;=$H132),0,1),0)</f>
        <v>0</v>
      </c>
      <c r="M132" s="10" t="n">
        <f aca="false">IF(AND(OR($I132="Analogy",$I132="Assumed"),OR($G132="",$H132="")),1,0)</f>
        <v>0</v>
      </c>
    </row>
    <row r="133" customFormat="false" ht="15" hidden="false" customHeight="false" outlineLevel="0" collapsed="false">
      <c r="A133" s="10" t="s">
        <v>5311</v>
      </c>
      <c r="B133" s="10" t="s">
        <v>5312</v>
      </c>
      <c r="C133" s="11" t="s">
        <v>5313</v>
      </c>
      <c r="D133" s="10" t="s">
        <v>2121</v>
      </c>
      <c r="E133" s="11" t="s">
        <v>2665</v>
      </c>
      <c r="F133" s="12" t="n">
        <v>2027</v>
      </c>
      <c r="G133" s="12" t="n">
        <v>2027</v>
      </c>
      <c r="H133" s="12" t="n">
        <v>2027</v>
      </c>
      <c r="I133" s="10" t="s">
        <v>4751</v>
      </c>
      <c r="J133" s="10" t="s">
        <v>5314</v>
      </c>
      <c r="K133" s="10" t="s">
        <v>2121</v>
      </c>
      <c r="L133" s="10" t="n">
        <f aca="false">IF(AND(ISNUMBER($F133),ISNUMBER($G133),ISNUMBER($H133)),IF(AND($G133&lt;=$F133,$F133&lt;=$H133),0,1),0)</f>
        <v>0</v>
      </c>
      <c r="M133" s="10" t="n">
        <f aca="false">IF(AND(OR($I133="Analogy",$I133="Assumed"),OR($G133="",$H133="")),1,0)</f>
        <v>0</v>
      </c>
    </row>
    <row r="134" customFormat="false" ht="15" hidden="false" customHeight="false" outlineLevel="0" collapsed="false">
      <c r="A134" s="10" t="s">
        <v>5315</v>
      </c>
      <c r="B134" s="10" t="s">
        <v>5316</v>
      </c>
      <c r="C134" s="11" t="s">
        <v>5317</v>
      </c>
      <c r="D134" s="10" t="s">
        <v>4943</v>
      </c>
      <c r="E134" s="10" t="s">
        <v>5236</v>
      </c>
      <c r="F134" s="12" t="n">
        <v>0.75</v>
      </c>
      <c r="G134" s="12" t="n">
        <v>0</v>
      </c>
      <c r="H134" s="12" t="n">
        <v>1.5</v>
      </c>
      <c r="I134" s="10" t="s">
        <v>4850</v>
      </c>
      <c r="J134" s="10" t="s">
        <v>5318</v>
      </c>
      <c r="K134" s="10" t="s">
        <v>5319</v>
      </c>
      <c r="L134" s="10" t="n">
        <f aca="false">IF(AND(ISNUMBER($F134),ISNUMBER($G134),ISNUMBER($H134)),IF(AND($G134&lt;=$F134,$F134&lt;=$H134),0,1),0)</f>
        <v>0</v>
      </c>
      <c r="M134" s="10" t="n">
        <f aca="false">IF(AND(OR($I134="Analogy",$I134="Assumed"),OR($G134="",$H134="")),1,0)</f>
        <v>0</v>
      </c>
    </row>
    <row r="135" customFormat="false" ht="15" hidden="false" customHeight="false" outlineLevel="0" collapsed="false">
      <c r="A135" s="10" t="s">
        <v>5320</v>
      </c>
      <c r="B135" s="10" t="s">
        <v>5321</v>
      </c>
      <c r="C135" s="11" t="s">
        <v>5322</v>
      </c>
      <c r="D135" s="10" t="s">
        <v>4782</v>
      </c>
      <c r="E135" s="10" t="s">
        <v>63</v>
      </c>
      <c r="F135" s="12" t="n">
        <v>3</v>
      </c>
      <c r="G135" s="12" t="n">
        <v>1</v>
      </c>
      <c r="H135" s="12" t="n">
        <v>5</v>
      </c>
      <c r="I135" s="10" t="s">
        <v>4850</v>
      </c>
      <c r="J135" s="11" t="s">
        <v>5323</v>
      </c>
      <c r="K135" s="10" t="s">
        <v>5324</v>
      </c>
      <c r="L135" s="10" t="n">
        <f aca="false">IF(AND(ISNUMBER($F135),ISNUMBER($G135),ISNUMBER($H135)),IF(AND($G135&lt;=$F135,$F135&lt;=$H135),0,1),0)</f>
        <v>0</v>
      </c>
      <c r="M135" s="10" t="n">
        <f aca="false">IF(AND(OR($I135="Analogy",$I135="Assumed"),OR($G135="",$H135="")),1,0)</f>
        <v>0</v>
      </c>
    </row>
    <row r="136" customFormat="false" ht="15" hidden="false" customHeight="false" outlineLevel="0" collapsed="false">
      <c r="A136" s="10" t="s">
        <v>5325</v>
      </c>
      <c r="B136" s="10" t="s">
        <v>5326</v>
      </c>
      <c r="C136" s="10" t="s">
        <v>5327</v>
      </c>
      <c r="D136" s="10" t="s">
        <v>4782</v>
      </c>
      <c r="E136" s="11" t="s">
        <v>4773</v>
      </c>
      <c r="F136" s="12" t="n">
        <v>62</v>
      </c>
      <c r="G136" s="12" t="n">
        <v>62</v>
      </c>
      <c r="H136" s="12" t="n">
        <v>62</v>
      </c>
      <c r="I136" s="10" t="s">
        <v>4751</v>
      </c>
      <c r="J136" s="11" t="s">
        <v>5328</v>
      </c>
      <c r="K136" s="10" t="s">
        <v>2121</v>
      </c>
      <c r="L136" s="10" t="n">
        <f aca="false">IF(AND(ISNUMBER($F136),ISNUMBER($G136),ISNUMBER($H136)),IF(AND($G136&lt;=$F136,$F136&lt;=$H136),0,1),0)</f>
        <v>0</v>
      </c>
      <c r="M136" s="10" t="n">
        <f aca="false">IF(AND(OR($I136="Analogy",$I136="Assumed"),OR($G136="",$H136="")),1,0)</f>
        <v>0</v>
      </c>
    </row>
    <row r="137" customFormat="false" ht="15" hidden="false" customHeight="false" outlineLevel="0" collapsed="false">
      <c r="A137" s="10" t="s">
        <v>5329</v>
      </c>
      <c r="B137" s="10" t="s">
        <v>5330</v>
      </c>
      <c r="C137" s="11" t="s">
        <v>5331</v>
      </c>
      <c r="D137" s="10" t="s">
        <v>5332</v>
      </c>
      <c r="E137" s="11" t="s">
        <v>4897</v>
      </c>
      <c r="F137" s="12" t="n">
        <v>0</v>
      </c>
      <c r="G137" s="12" t="n">
        <v>0</v>
      </c>
      <c r="H137" s="12" t="n">
        <v>0.25</v>
      </c>
      <c r="I137" s="10" t="s">
        <v>4850</v>
      </c>
      <c r="J137" s="11" t="s">
        <v>5333</v>
      </c>
      <c r="K137" s="10" t="s">
        <v>5334</v>
      </c>
      <c r="L137" s="10" t="n">
        <f aca="false">IF(AND(ISNUMBER($F137),ISNUMBER($G137),ISNUMBER($H137)),IF(AND($G137&lt;=$F137,$F137&lt;=$H137),0,1),0)</f>
        <v>0</v>
      </c>
      <c r="M137" s="10" t="n">
        <f aca="false">IF(AND(OR($I137="Analogy",$I137="Assumed"),OR($G137="",$H137="")),1,0)</f>
        <v>0</v>
      </c>
    </row>
    <row r="138" customFormat="false" ht="15" hidden="false" customHeight="false" outlineLevel="0" collapsed="false">
      <c r="A138" s="10" t="s">
        <v>5335</v>
      </c>
      <c r="B138" s="10" t="s">
        <v>5336</v>
      </c>
      <c r="C138" s="11" t="s">
        <v>5337</v>
      </c>
      <c r="D138" s="10" t="s">
        <v>2121</v>
      </c>
      <c r="E138" s="11" t="s">
        <v>1709</v>
      </c>
      <c r="F138" s="12" t="n">
        <v>1</v>
      </c>
      <c r="G138" s="12" t="n">
        <v>0.5</v>
      </c>
      <c r="H138" s="12" t="n">
        <v>2</v>
      </c>
      <c r="I138" s="10" t="s">
        <v>1308</v>
      </c>
      <c r="J138" s="11" t="s">
        <v>5338</v>
      </c>
      <c r="K138" s="10" t="s">
        <v>5339</v>
      </c>
      <c r="L138" s="10" t="n">
        <f aca="false">IF(AND(ISNUMBER($F138),ISNUMBER($G138),ISNUMBER($H138)),IF(AND($G138&lt;=$F138,$F138&lt;=$H138),0,1),0)</f>
        <v>0</v>
      </c>
      <c r="M138" s="10" t="n">
        <f aca="false">IF(AND(OR($I138="Analogy",$I138="Assumed"),OR($G138="",$H138="")),1,0)</f>
        <v>0</v>
      </c>
    </row>
    <row r="139" customFormat="false" ht="15" hidden="false" customHeight="false" outlineLevel="0" collapsed="false">
      <c r="A139" s="10" t="s">
        <v>5340</v>
      </c>
      <c r="B139" s="10" t="s">
        <v>5341</v>
      </c>
      <c r="C139" s="11" t="s">
        <v>5342</v>
      </c>
      <c r="D139" s="10" t="s">
        <v>4943</v>
      </c>
      <c r="E139" s="11" t="s">
        <v>4720</v>
      </c>
      <c r="F139" s="12" t="n">
        <v>0</v>
      </c>
      <c r="G139" s="12" t="n">
        <v>0</v>
      </c>
      <c r="H139" s="12" t="n">
        <v>0.2</v>
      </c>
      <c r="I139" s="10" t="s">
        <v>4850</v>
      </c>
      <c r="J139" s="11" t="s">
        <v>5343</v>
      </c>
      <c r="K139" s="10" t="s">
        <v>5344</v>
      </c>
      <c r="L139" s="10" t="n">
        <f aca="false">IF(AND(ISNUMBER($F139),ISNUMBER($G139),ISNUMBER($H139)),IF(AND($G139&lt;=$F139,$F139&lt;=$H139),0,1),0)</f>
        <v>0</v>
      </c>
      <c r="M139" s="10" t="n">
        <f aca="false">IF(AND(OR($I139="Analogy",$I139="Assumed"),OR($G139="",$H139="")),1,0)</f>
        <v>0</v>
      </c>
    </row>
    <row r="140" customFormat="false" ht="15" hidden="false" customHeight="false" outlineLevel="0" collapsed="false">
      <c r="A140" s="10" t="s">
        <v>5345</v>
      </c>
      <c r="B140" s="10" t="s">
        <v>5346</v>
      </c>
      <c r="C140" s="11" t="s">
        <v>5347</v>
      </c>
      <c r="D140" s="10" t="s">
        <v>5185</v>
      </c>
      <c r="E140" s="11" t="s">
        <v>4720</v>
      </c>
      <c r="F140" s="12" t="n">
        <v>0.718</v>
      </c>
      <c r="G140" s="12" t="n">
        <v>0.6</v>
      </c>
      <c r="H140" s="12" t="n">
        <v>0.8</v>
      </c>
      <c r="I140" s="10" t="s">
        <v>1308</v>
      </c>
      <c r="J140" s="11" t="s">
        <v>5348</v>
      </c>
      <c r="K140" s="11" t="s">
        <v>5349</v>
      </c>
      <c r="L140" s="10" t="n">
        <f aca="false">IF(AND(ISNUMBER($F140),ISNUMBER($G140),ISNUMBER($H140)),IF(AND($G140&lt;=$F140,$F140&lt;=$H140),0,1),0)</f>
        <v>0</v>
      </c>
      <c r="M140" s="10" t="n">
        <f aca="false">IF(AND(OR($I140="Analogy",$I140="Assumed"),OR($G140="",$H140="")),1,0)</f>
        <v>0</v>
      </c>
    </row>
    <row r="141" customFormat="false" ht="15" hidden="false" customHeight="false" outlineLevel="0" collapsed="false">
      <c r="A141" s="10" t="s">
        <v>5350</v>
      </c>
      <c r="B141" s="10" t="s">
        <v>5351</v>
      </c>
      <c r="C141" s="10" t="s">
        <v>5352</v>
      </c>
      <c r="D141" s="10" t="s">
        <v>5185</v>
      </c>
      <c r="E141" s="11" t="s">
        <v>1709</v>
      </c>
      <c r="F141" s="12" t="n">
        <v>1</v>
      </c>
      <c r="G141" s="12" t="n">
        <v>1</v>
      </c>
      <c r="H141" s="12" t="n">
        <v>1</v>
      </c>
      <c r="I141" s="10" t="s">
        <v>4751</v>
      </c>
      <c r="J141" s="11" t="s">
        <v>5353</v>
      </c>
      <c r="K141" s="11" t="s">
        <v>4753</v>
      </c>
      <c r="L141" s="10" t="n">
        <f aca="false">IF(AND(ISNUMBER($F141),ISNUMBER($G141),ISNUMBER($H141)),IF(AND($G141&lt;=$F141,$F141&lt;=$H141),0,1),0)</f>
        <v>0</v>
      </c>
      <c r="M141" s="10" t="n">
        <f aca="false">IF(AND(OR($I141="Analogy",$I141="Assumed"),OR($G141="",$H141="")),1,0)</f>
        <v>0</v>
      </c>
    </row>
    <row r="142" customFormat="false" ht="15" hidden="false" customHeight="false" outlineLevel="0" collapsed="false">
      <c r="A142" s="10" t="s">
        <v>5354</v>
      </c>
      <c r="B142" s="10" t="s">
        <v>5355</v>
      </c>
      <c r="C142" s="10" t="s">
        <v>5356</v>
      </c>
      <c r="D142" s="10" t="s">
        <v>5185</v>
      </c>
      <c r="E142" s="11" t="s">
        <v>5200</v>
      </c>
      <c r="F142" s="12" t="n">
        <v>0</v>
      </c>
      <c r="G142" s="12" t="n">
        <v>0</v>
      </c>
      <c r="H142" s="12" t="n">
        <v>1</v>
      </c>
      <c r="I142" s="10" t="s">
        <v>4751</v>
      </c>
      <c r="J142" s="11" t="s">
        <v>5357</v>
      </c>
      <c r="K142" s="11" t="s">
        <v>5200</v>
      </c>
      <c r="L142" s="10" t="n">
        <f aca="false">IF(AND(ISNUMBER($F142),ISNUMBER($G142),ISNUMBER($H142)),IF(AND($G142&lt;=$F142,$F142&lt;=$H142),0,1),0)</f>
        <v>0</v>
      </c>
      <c r="M142" s="10" t="n">
        <f aca="false">IF(AND(OR($I142="Analogy",$I142="Assumed"),OR($G142="",$H142="")),1,0)</f>
        <v>0</v>
      </c>
    </row>
    <row r="143" customFormat="false" ht="15" hidden="false" customHeight="false" outlineLevel="0" collapsed="false">
      <c r="A143" s="10" t="s">
        <v>5358</v>
      </c>
      <c r="B143" s="10" t="s">
        <v>5359</v>
      </c>
      <c r="C143" s="10" t="s">
        <v>5360</v>
      </c>
      <c r="D143" s="10" t="s">
        <v>2121</v>
      </c>
      <c r="E143" s="11" t="s">
        <v>5361</v>
      </c>
      <c r="F143" s="12" t="n">
        <v>0</v>
      </c>
      <c r="G143" s="12" t="n">
        <v>0</v>
      </c>
      <c r="H143" s="12" t="n">
        <v>0</v>
      </c>
      <c r="I143" s="10" t="s">
        <v>4751</v>
      </c>
      <c r="J143" s="11" t="s">
        <v>5362</v>
      </c>
      <c r="K143" s="11" t="s">
        <v>4753</v>
      </c>
      <c r="L143" s="10" t="n">
        <f aca="false">IF(AND(ISNUMBER($F143),ISNUMBER($G143),ISNUMBER($H143)),IF(AND($G143&lt;=$F143,$F143&lt;=$H143),0,1),0)</f>
        <v>0</v>
      </c>
      <c r="M143" s="10" t="n">
        <f aca="false">IF(AND(OR($I143="Analogy",$I143="Assumed"),OR($G143="",$H143="")),1,0)</f>
        <v>0</v>
      </c>
    </row>
    <row r="144" customFormat="false" ht="15" hidden="false" customHeight="false" outlineLevel="0" collapsed="false">
      <c r="A144" s="10" t="s">
        <v>5363</v>
      </c>
      <c r="B144" s="10" t="s">
        <v>5364</v>
      </c>
      <c r="C144" s="11" t="s">
        <v>5365</v>
      </c>
      <c r="D144" s="11" t="s">
        <v>5067</v>
      </c>
      <c r="E144" s="10" t="s">
        <v>63</v>
      </c>
      <c r="F144" s="12" t="n">
        <v>0.001</v>
      </c>
      <c r="G144" s="12" t="n">
        <v>0.001</v>
      </c>
      <c r="H144" s="12" t="n">
        <v>0.001</v>
      </c>
      <c r="I144" s="10" t="s">
        <v>4751</v>
      </c>
      <c r="J144" s="11" t="s">
        <v>5366</v>
      </c>
      <c r="K144" s="11" t="s">
        <v>4753</v>
      </c>
      <c r="L144" s="10" t="n">
        <f aca="false">IF(AND(ISNUMBER($F144),ISNUMBER($G144),ISNUMBER($H144)),IF(AND($G144&lt;=$F144,$F144&lt;=$H144),0,1),0)</f>
        <v>0</v>
      </c>
      <c r="M144" s="10" t="n">
        <f aca="false">IF(AND(OR($I144="Analogy",$I144="Assumed"),OR($G144="",$H144="")),1,0)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4"/>
    <col collapsed="false" customWidth="true" hidden="false" outlineLevel="0" max="3" min="3" style="0" width="12"/>
    <col collapsed="false" customWidth="true" hidden="false" outlineLevel="0" max="9" min="4" style="0" width="11"/>
    <col collapsed="false" customWidth="true" hidden="false" outlineLevel="0" max="10" min="10" style="0" width="2"/>
    <col collapsed="false" customWidth="true" hidden="false" outlineLevel="0" max="12" min="11" style="0" width="11"/>
    <col collapsed="false" customWidth="true" hidden="false" outlineLevel="0" max="13" min="13" style="0" width="80"/>
  </cols>
  <sheetData>
    <row r="1" customFormat="false" ht="20.1" hidden="false" customHeight="false" outlineLevel="0" collapsed="false">
      <c r="A1" s="7" t="s">
        <v>5367</v>
      </c>
    </row>
    <row r="2" customFormat="false" ht="15" hidden="false" customHeight="false" outlineLevel="0" collapsed="false">
      <c r="A2" s="13" t="s">
        <v>5368</v>
      </c>
    </row>
    <row r="3" customFormat="false" ht="15" hidden="false" customHeight="false" outlineLevel="0" collapsed="false">
      <c r="A3" s="13" t="s">
        <v>5369</v>
      </c>
    </row>
    <row r="5" customFormat="false" ht="15" hidden="false" customHeight="false" outlineLevel="0" collapsed="false">
      <c r="A5" s="9" t="s">
        <v>5370</v>
      </c>
      <c r="B5" s="9" t="s">
        <v>39</v>
      </c>
      <c r="C5" s="9" t="s">
        <v>43</v>
      </c>
      <c r="D5" s="8" t="s">
        <v>4383</v>
      </c>
      <c r="E5" s="8" t="s">
        <v>1908</v>
      </c>
      <c r="F5" s="8" t="s">
        <v>4681</v>
      </c>
      <c r="G5" s="8" t="s">
        <v>4682</v>
      </c>
      <c r="H5" s="8" t="s">
        <v>4683</v>
      </c>
      <c r="I5" s="8" t="s">
        <v>4684</v>
      </c>
      <c r="J5" s="9"/>
      <c r="K5" s="8" t="s">
        <v>662</v>
      </c>
      <c r="L5" s="8" t="s">
        <v>4782</v>
      </c>
      <c r="M5" s="9" t="s">
        <v>4410</v>
      </c>
    </row>
    <row r="6" customFormat="false" ht="15" hidden="false" customHeight="false" outlineLevel="0" collapsed="false">
      <c r="B6" s="3" t="s">
        <v>5371</v>
      </c>
      <c r="D6" s="10" t="n">
        <f aca="false">INP_001</f>
        <v>2025</v>
      </c>
      <c r="E6" s="10" t="n">
        <f aca="false">INP_002</f>
        <v>2026</v>
      </c>
      <c r="F6" s="10" t="n">
        <f aca="false">INP_003</f>
        <v>2027</v>
      </c>
      <c r="G6" s="10" t="n">
        <f aca="false">INP_004</f>
        <v>2028</v>
      </c>
      <c r="H6" s="10" t="n">
        <f aca="false">INP_005</f>
        <v>2029</v>
      </c>
      <c r="I6" s="10" t="n">
        <f aca="false">INP_006</f>
        <v>2030</v>
      </c>
      <c r="K6" s="6" t="s">
        <v>5372</v>
      </c>
      <c r="L6" s="6" t="s">
        <v>5373</v>
      </c>
    </row>
    <row r="7" customFormat="false" ht="15" hidden="false" customHeight="false" outlineLevel="0" collapsed="false">
      <c r="A7" s="15" t="s">
        <v>5374</v>
      </c>
    </row>
    <row r="8" customFormat="false" ht="15" hidden="false" customHeight="false" outlineLevel="0" collapsed="false">
      <c r="A8" s="10" t="s">
        <v>5375</v>
      </c>
      <c r="B8" s="11" t="s">
        <v>5376</v>
      </c>
      <c r="C8" s="11" t="s">
        <v>1709</v>
      </c>
      <c r="F8" s="16" t="n">
        <f aca="false">Revenue!F24/Revenue!L24</f>
        <v>0.8</v>
      </c>
      <c r="G8" s="16" t="n">
        <f aca="false">Revenue!G24/Revenue!F24</f>
        <v>0.8</v>
      </c>
      <c r="H8" s="16" t="n">
        <f aca="false">Revenue!H24/Revenue!G24</f>
        <v>0.8</v>
      </c>
      <c r="I8" s="16" t="n">
        <f aca="false">Revenue!I24/Revenue!H24</f>
        <v>0.8</v>
      </c>
      <c r="L8" s="16" t="n">
        <f aca="false">Revenue!L24/Revenue!K24</f>
        <v>1.26963127239957</v>
      </c>
      <c r="M8" s="13" t="s">
        <v>5377</v>
      </c>
    </row>
    <row r="9" customFormat="false" ht="15" hidden="false" customHeight="false" outlineLevel="0" collapsed="false">
      <c r="A9" s="10" t="s">
        <v>5378</v>
      </c>
      <c r="B9" s="10" t="s">
        <v>5379</v>
      </c>
      <c r="C9" s="10" t="s">
        <v>4907</v>
      </c>
      <c r="D9" s="10" t="n">
        <f aca="false">INP_037</f>
        <v>20</v>
      </c>
      <c r="E9" s="10" t="n">
        <f aca="false">E11/E10</f>
        <v>20.3513407117569</v>
      </c>
      <c r="F9" s="10" t="n">
        <f aca="false">E9*(1+INP_044)*F8^INP_046</f>
        <v>25.0244112920028</v>
      </c>
      <c r="G9" s="10" t="n">
        <f aca="false">F9*(1+INP_044)*G8^INP_046</f>
        <v>30.7705113574925</v>
      </c>
      <c r="H9" s="10" t="n">
        <f aca="false">G9*(1+INP_044)*H8^INP_046</f>
        <v>37.8360297132807</v>
      </c>
      <c r="I9" s="10" t="n">
        <f aca="false">H9*(1+INP_044)*I8^INP_046</f>
        <v>46.5239309100945</v>
      </c>
      <c r="K9" s="10" t="n">
        <f aca="false">INP_037</f>
        <v>20</v>
      </c>
      <c r="L9" s="10" t="n">
        <f aca="false">K9*(1+INP_039)*L8^INP_046</f>
        <v>20.4795022744763</v>
      </c>
      <c r="M9" s="2" t="s">
        <v>5380</v>
      </c>
    </row>
    <row r="10" customFormat="false" ht="15" hidden="false" customHeight="false" outlineLevel="0" collapsed="false">
      <c r="A10" s="10" t="s">
        <v>5381</v>
      </c>
      <c r="B10" s="10" t="s">
        <v>5382</v>
      </c>
      <c r="C10" s="11" t="s">
        <v>5383</v>
      </c>
      <c r="D10" s="10" t="n">
        <f aca="false">D11/D9</f>
        <v>3.32307569727226</v>
      </c>
      <c r="E10" s="10" t="n">
        <f aca="false">K10+L10</f>
        <v>34.1373458115013</v>
      </c>
      <c r="F10" s="10" t="n">
        <f aca="false">E10*(1+INP_040)*F8^INP_045</f>
        <v>71.8355242867289</v>
      </c>
      <c r="G10" s="10" t="n">
        <f aca="false">F10*(1+INP_041)*G8^INP_045</f>
        <v>125.970117351914</v>
      </c>
      <c r="H10" s="10" t="n">
        <f aca="false">G10*(1+INP_042)*H8^INP_045</f>
        <v>198.810039474131</v>
      </c>
      <c r="I10" s="10" t="n">
        <f aca="false">H10*(1+INP_043)*I8^INP_045</f>
        <v>290.526220046461</v>
      </c>
      <c r="K10" s="10" t="n">
        <f aca="false">K11/K9</f>
        <v>9.12424365676369</v>
      </c>
      <c r="L10" s="10" t="n">
        <f aca="false">K10*(1+INP_038)*L8^INP_045</f>
        <v>25.0131021547376</v>
      </c>
      <c r="M10" s="2" t="s">
        <v>5384</v>
      </c>
    </row>
    <row r="11" customFormat="false" ht="15" hidden="false" customHeight="false" outlineLevel="0" collapsed="false">
      <c r="A11" s="10" t="s">
        <v>5385</v>
      </c>
      <c r="B11" s="10" t="s">
        <v>5386</v>
      </c>
      <c r="C11" s="10" t="s">
        <v>4694</v>
      </c>
      <c r="D11" s="16" t="n">
        <f aca="false">Revenue!D44*INP_015/Revenue!D24</f>
        <v>66.4615139454451</v>
      </c>
      <c r="E11" s="10" t="n">
        <f aca="false">K11+L11</f>
        <v>694.74075560493</v>
      </c>
      <c r="F11" s="10" t="n">
        <f aca="false">F10*F9</f>
        <v>1797.64170512776</v>
      </c>
      <c r="G11" s="10" t="n">
        <f aca="false">G10*G9</f>
        <v>3876.16492668172</v>
      </c>
      <c r="H11" s="10" t="n">
        <f aca="false">H10*H9</f>
        <v>7522.18256084172</v>
      </c>
      <c r="I11" s="10" t="n">
        <f aca="false">I10*I9</f>
        <v>13516.4217890125</v>
      </c>
      <c r="K11" s="16" t="n">
        <f aca="false">Revenue!K44*INP_015/Revenue!K24</f>
        <v>182.484873135274</v>
      </c>
      <c r="L11" s="10" t="n">
        <f aca="false">L10*L9</f>
        <v>512.255882469656</v>
      </c>
      <c r="M11" s="13" t="s">
        <v>5387</v>
      </c>
    </row>
    <row r="12" customFormat="false" ht="15" hidden="false" customHeight="false" outlineLevel="0" collapsed="false">
      <c r="A12" s="10" t="s">
        <v>5388</v>
      </c>
      <c r="B12" s="10" t="s">
        <v>5389</v>
      </c>
      <c r="C12" s="10" t="s">
        <v>4694</v>
      </c>
      <c r="D12" s="16" t="n">
        <f aca="false">D11*Revenue!D22</f>
        <v>39.8769083672671</v>
      </c>
      <c r="E12" s="10" t="n">
        <f aca="false">K12+L12</f>
        <v>486.318528923451</v>
      </c>
      <c r="F12" s="16" t="n">
        <f aca="false">F11*Revenue!F22</f>
        <v>1258.34919358943</v>
      </c>
      <c r="G12" s="16" t="n">
        <f aca="false">G11*Revenue!G22</f>
        <v>2713.31544867721</v>
      </c>
      <c r="H12" s="16" t="n">
        <f aca="false">H11*Revenue!H22</f>
        <v>5265.5277925892</v>
      </c>
      <c r="I12" s="16" t="n">
        <f aca="false">I11*Revenue!I22</f>
        <v>9461.49525230872</v>
      </c>
      <c r="K12" s="16" t="n">
        <f aca="false">K11*Revenue!K22</f>
        <v>127.739411194692</v>
      </c>
      <c r="L12" s="16" t="n">
        <f aca="false">L11*Revenue!L22</f>
        <v>358.579117728759</v>
      </c>
      <c r="M12" s="13" t="s">
        <v>5390</v>
      </c>
    </row>
    <row r="13" customFormat="false" ht="15" hidden="false" customHeight="false" outlineLevel="0" collapsed="false">
      <c r="A13" s="10" t="s">
        <v>5391</v>
      </c>
      <c r="B13" s="10" t="s">
        <v>5392</v>
      </c>
      <c r="C13" s="10" t="s">
        <v>4694</v>
      </c>
      <c r="D13" s="16" t="n">
        <f aca="false">D11*Revenue!D23</f>
        <v>26.5846055781781</v>
      </c>
      <c r="E13" s="10" t="n">
        <f aca="false">K13+L13</f>
        <v>208.422226681479</v>
      </c>
      <c r="F13" s="16" t="n">
        <f aca="false">F11*Revenue!F23</f>
        <v>539.292511538327</v>
      </c>
      <c r="G13" s="16" t="n">
        <f aca="false">G11*Revenue!G23</f>
        <v>1162.84947800452</v>
      </c>
      <c r="H13" s="16" t="n">
        <f aca="false">H11*Revenue!H23</f>
        <v>2256.65476825252</v>
      </c>
      <c r="I13" s="16" t="n">
        <f aca="false">I11*Revenue!I23</f>
        <v>4054.92653670374</v>
      </c>
      <c r="K13" s="16" t="n">
        <f aca="false">K11*Revenue!K23</f>
        <v>54.7454619405822</v>
      </c>
      <c r="L13" s="16" t="n">
        <f aca="false">L11*Revenue!L23</f>
        <v>153.676764740897</v>
      </c>
      <c r="M13" s="13" t="s">
        <v>5390</v>
      </c>
    </row>
    <row r="14" customFormat="false" ht="15" hidden="false" customHeight="false" outlineLevel="0" collapsed="false">
      <c r="A14" s="10" t="s">
        <v>5393</v>
      </c>
      <c r="B14" s="11" t="s">
        <v>5394</v>
      </c>
      <c r="C14" s="10" t="s">
        <v>4694</v>
      </c>
      <c r="D14" s="10" t="n">
        <f aca="false">D11*INP_047</f>
        <v>19.9384541836335</v>
      </c>
      <c r="E14" s="10" t="n">
        <f aca="false">K14+L14</f>
        <v>208.422226681479</v>
      </c>
      <c r="F14" s="10" t="n">
        <f aca="false">F11*INP_047</f>
        <v>539.292511538327</v>
      </c>
      <c r="G14" s="10" t="n">
        <f aca="false">G11*INP_047</f>
        <v>1162.84947800452</v>
      </c>
      <c r="H14" s="10" t="n">
        <f aca="false">H11*INP_047</f>
        <v>2256.65476825252</v>
      </c>
      <c r="I14" s="10" t="n">
        <f aca="false">I11*INP_047</f>
        <v>4054.92653670374</v>
      </c>
      <c r="K14" s="10" t="n">
        <f aca="false">K11*INP_047</f>
        <v>54.7454619405821</v>
      </c>
      <c r="L14" s="10" t="n">
        <f aca="false">L11*INP_047</f>
        <v>153.676764740897</v>
      </c>
      <c r="M14" s="13" t="s">
        <v>5395</v>
      </c>
    </row>
    <row r="15" customFormat="false" ht="15" hidden="false" customHeight="false" outlineLevel="0" collapsed="false">
      <c r="A15" s="15" t="s">
        <v>5396</v>
      </c>
    </row>
    <row r="16" customFormat="false" ht="15" hidden="false" customHeight="false" outlineLevel="0" collapsed="false">
      <c r="A16" s="10" t="s">
        <v>5397</v>
      </c>
      <c r="B16" s="10" t="s">
        <v>5398</v>
      </c>
      <c r="C16" s="11" t="s">
        <v>5399</v>
      </c>
      <c r="D16" s="10" t="n">
        <f aca="false">SRC_ZP_402*INP_049</f>
        <v>3.63</v>
      </c>
      <c r="E16" s="10" t="n">
        <f aca="false">(K16+L16)/INP_013</f>
        <v>30.25</v>
      </c>
      <c r="F16" s="10" t="n">
        <f aca="false">E16*(1+INP_051)</f>
        <v>45.375</v>
      </c>
      <c r="G16" s="10" t="n">
        <f aca="false">F16*(1+INP_052)</f>
        <v>58.9875</v>
      </c>
      <c r="H16" s="10" t="n">
        <f aca="false">G16*(1+INP_053)</f>
        <v>70.785</v>
      </c>
      <c r="I16" s="10" t="n">
        <f aca="false">H16*(1+INP_054)</f>
        <v>81.40275</v>
      </c>
      <c r="K16" s="10" t="n">
        <f aca="false">SRC_ZP_402*INP_048</f>
        <v>24.2</v>
      </c>
      <c r="L16" s="10" t="n">
        <f aca="false">K16*(1+INP_050)</f>
        <v>36.3</v>
      </c>
      <c r="M16" s="13" t="s">
        <v>5400</v>
      </c>
    </row>
    <row r="17" customFormat="false" ht="15" hidden="false" customHeight="false" outlineLevel="0" collapsed="false">
      <c r="A17" s="10" t="s">
        <v>5401</v>
      </c>
      <c r="B17" s="10" t="s">
        <v>5402</v>
      </c>
      <c r="C17" s="11" t="s">
        <v>5399</v>
      </c>
      <c r="D17" s="16" t="n">
        <f aca="false">D16*Revenue!D35</f>
        <v>2.178</v>
      </c>
      <c r="E17" s="16" t="n">
        <f aca="false">E16*Revenue!E35</f>
        <v>18.15</v>
      </c>
      <c r="F17" s="16" t="n">
        <f aca="false">F16*Revenue!F35</f>
        <v>27.225</v>
      </c>
      <c r="G17" s="16" t="n">
        <f aca="false">G16*Revenue!G35</f>
        <v>35.3925</v>
      </c>
      <c r="H17" s="16" t="n">
        <f aca="false">H16*Revenue!H35</f>
        <v>42.471</v>
      </c>
      <c r="I17" s="16" t="n">
        <f aca="false">I16*Revenue!I35</f>
        <v>48.84165</v>
      </c>
      <c r="K17" s="16" t="n">
        <f aca="false">K16*Revenue!K35</f>
        <v>14.52</v>
      </c>
      <c r="L17" s="16" t="n">
        <f aca="false">L16*Revenue!L35</f>
        <v>21.78</v>
      </c>
      <c r="M17" s="2" t="s">
        <v>5403</v>
      </c>
    </row>
    <row r="18" customFormat="false" ht="15" hidden="false" customHeight="false" outlineLevel="0" collapsed="false">
      <c r="A18" s="10" t="s">
        <v>5404</v>
      </c>
      <c r="B18" s="10" t="s">
        <v>5405</v>
      </c>
      <c r="C18" s="11" t="s">
        <v>5399</v>
      </c>
      <c r="D18" s="16" t="n">
        <f aca="false">D16*Revenue!D36</f>
        <v>1.089</v>
      </c>
      <c r="E18" s="16" t="n">
        <f aca="false">E16*Revenue!E36</f>
        <v>9.075</v>
      </c>
      <c r="F18" s="16" t="n">
        <f aca="false">F16*Revenue!F36</f>
        <v>13.6125</v>
      </c>
      <c r="G18" s="16" t="n">
        <f aca="false">G16*Revenue!G36</f>
        <v>17.69625</v>
      </c>
      <c r="H18" s="16" t="n">
        <f aca="false">H16*Revenue!H36</f>
        <v>21.2355</v>
      </c>
      <c r="I18" s="16" t="n">
        <f aca="false">I16*Revenue!I36</f>
        <v>24.420825</v>
      </c>
      <c r="K18" s="16" t="n">
        <f aca="false">K16*Revenue!K36</f>
        <v>7.26</v>
      </c>
      <c r="L18" s="16" t="n">
        <f aca="false">L16*Revenue!L36</f>
        <v>10.89</v>
      </c>
      <c r="M18" s="2" t="s">
        <v>5403</v>
      </c>
    </row>
    <row r="19" customFormat="false" ht="15" hidden="false" customHeight="false" outlineLevel="0" collapsed="false">
      <c r="A19" s="10" t="s">
        <v>5406</v>
      </c>
      <c r="B19" s="10" t="s">
        <v>5407</v>
      </c>
      <c r="C19" s="11" t="s">
        <v>5399</v>
      </c>
      <c r="D19" s="16" t="n">
        <f aca="false">D16*Revenue!D37</f>
        <v>0.363</v>
      </c>
      <c r="E19" s="16" t="n">
        <f aca="false">E16*Revenue!E37</f>
        <v>3.025</v>
      </c>
      <c r="F19" s="16" t="n">
        <f aca="false">F16*Revenue!F37</f>
        <v>4.5375</v>
      </c>
      <c r="G19" s="16" t="n">
        <f aca="false">G16*Revenue!G37</f>
        <v>5.89875</v>
      </c>
      <c r="H19" s="16" t="n">
        <f aca="false">H16*Revenue!H37</f>
        <v>7.0785</v>
      </c>
      <c r="I19" s="16" t="n">
        <f aca="false">I16*Revenue!I37</f>
        <v>8.140275</v>
      </c>
      <c r="K19" s="16" t="n">
        <f aca="false">K16*Revenue!K37</f>
        <v>2.42</v>
      </c>
      <c r="L19" s="16" t="n">
        <f aca="false">L16*Revenue!L37</f>
        <v>3.63</v>
      </c>
      <c r="M19" s="2" t="s">
        <v>5403</v>
      </c>
    </row>
    <row r="20" customFormat="false" ht="15" hidden="false" customHeight="false" outlineLevel="0" collapsed="false">
      <c r="A20" s="10" t="s">
        <v>5408</v>
      </c>
      <c r="B20" s="11" t="s">
        <v>5409</v>
      </c>
      <c r="C20" s="10" t="s">
        <v>5410</v>
      </c>
      <c r="D20" s="10" t="n">
        <f aca="false">SRC_ZP_376*INP_022*INP_060*INP_061*INP_062/INP_019</f>
        <v>20.16</v>
      </c>
      <c r="E20" s="10" t="n">
        <f aca="false">SRC_ZP_376*INP_022*INP_060*INP_061*INP_062/INP_019</f>
        <v>20.16</v>
      </c>
      <c r="F20" s="10" t="n">
        <f aca="false">SRC_ZP_376*INP_022*INP_060*INP_061*INP_062/INP_019</f>
        <v>20.16</v>
      </c>
      <c r="G20" s="10" t="n">
        <f aca="false">SRC_ZP_376*INP_022*INP_060*INP_061*INP_062/INP_019</f>
        <v>20.16</v>
      </c>
      <c r="H20" s="10" t="n">
        <f aca="false">SRC_ZP_376*INP_022*INP_060*INP_061*INP_062/INP_019</f>
        <v>20.16</v>
      </c>
      <c r="I20" s="10" t="n">
        <f aca="false">SRC_ZP_376*INP_022*INP_060*INP_061*INP_062/INP_019</f>
        <v>20.16</v>
      </c>
      <c r="K20" s="10" t="n">
        <f aca="false">SRC_ZP_376*INP_022*INP_060*INP_061*INP_062/INP_019</f>
        <v>20.16</v>
      </c>
      <c r="L20" s="10" t="n">
        <f aca="false">SRC_ZP_376*INP_022*INP_060*INP_061*INP_062/INP_019</f>
        <v>20.16</v>
      </c>
      <c r="M20" s="2" t="s">
        <v>5411</v>
      </c>
    </row>
    <row r="21" customFormat="false" ht="15" hidden="false" customHeight="false" outlineLevel="0" collapsed="false">
      <c r="A21" s="10" t="s">
        <v>5412</v>
      </c>
      <c r="B21" s="11" t="s">
        <v>5413</v>
      </c>
      <c r="C21" s="10" t="s">
        <v>5410</v>
      </c>
      <c r="D21" s="10" t="n">
        <f aca="false">SRC_ZP_377*INP_022*INP_060*INP_061*INP_062/INP_019</f>
        <v>100.8</v>
      </c>
      <c r="E21" s="10" t="n">
        <f aca="false">SRC_ZP_377*INP_022*INP_060*INP_061*INP_062/INP_019</f>
        <v>100.8</v>
      </c>
      <c r="F21" s="10" t="n">
        <f aca="false">SRC_ZP_377*INP_022*INP_060*INP_061*INP_062/INP_019</f>
        <v>100.8</v>
      </c>
      <c r="G21" s="10" t="n">
        <f aca="false">SRC_ZP_377*INP_022*INP_060*INP_061*INP_062/INP_019</f>
        <v>100.8</v>
      </c>
      <c r="H21" s="10" t="n">
        <f aca="false">SRC_ZP_377*INP_022*INP_060*INP_061*INP_062/INP_019</f>
        <v>100.8</v>
      </c>
      <c r="I21" s="10" t="n">
        <f aca="false">SRC_ZP_377*INP_022*INP_060*INP_061*INP_062/INP_019</f>
        <v>100.8</v>
      </c>
      <c r="K21" s="10" t="n">
        <f aca="false">SRC_ZP_377*INP_022*INP_060*INP_061*INP_062/INP_019</f>
        <v>100.8</v>
      </c>
      <c r="L21" s="10" t="n">
        <f aca="false">SRC_ZP_377*INP_022*INP_060*INP_061*INP_062/INP_019</f>
        <v>100.8</v>
      </c>
      <c r="M21" s="2" t="s">
        <v>5411</v>
      </c>
    </row>
    <row r="22" customFormat="false" ht="15" hidden="false" customHeight="false" outlineLevel="0" collapsed="false">
      <c r="A22" s="10" t="s">
        <v>5414</v>
      </c>
      <c r="B22" s="11" t="s">
        <v>5415</v>
      </c>
      <c r="C22" s="10" t="s">
        <v>5410</v>
      </c>
      <c r="D22" s="10" t="n">
        <f aca="false">SRC_ZP_378*INP_022*INP_060*INP_061*INP_062/INP_019</f>
        <v>403.2</v>
      </c>
      <c r="E22" s="10" t="n">
        <f aca="false">SRC_ZP_378*INP_022*INP_060*INP_061*INP_062/INP_019</f>
        <v>403.2</v>
      </c>
      <c r="F22" s="10" t="n">
        <f aca="false">SRC_ZP_378*INP_022*INP_060*INP_061*INP_062/INP_019</f>
        <v>403.2</v>
      </c>
      <c r="G22" s="10" t="n">
        <f aca="false">SRC_ZP_378*INP_022*INP_060*INP_061*INP_062/INP_019</f>
        <v>403.2</v>
      </c>
      <c r="H22" s="10" t="n">
        <f aca="false">SRC_ZP_378*INP_022*INP_060*INP_061*INP_062/INP_019</f>
        <v>403.2</v>
      </c>
      <c r="I22" s="10" t="n">
        <f aca="false">SRC_ZP_378*INP_022*INP_060*INP_061*INP_062/INP_019</f>
        <v>403.2</v>
      </c>
      <c r="K22" s="10" t="n">
        <f aca="false">SRC_ZP_378*INP_022*INP_060*INP_061*INP_062/INP_019</f>
        <v>403.2</v>
      </c>
      <c r="L22" s="10" t="n">
        <f aca="false">SRC_ZP_378*INP_022*INP_060*INP_061*INP_062/INP_019</f>
        <v>403.2</v>
      </c>
      <c r="M22" s="2" t="s">
        <v>5411</v>
      </c>
    </row>
    <row r="23" customFormat="false" ht="15" hidden="false" customHeight="false" outlineLevel="0" collapsed="false">
      <c r="A23" s="10" t="s">
        <v>5416</v>
      </c>
      <c r="B23" s="10" t="s">
        <v>5417</v>
      </c>
      <c r="C23" s="10" t="s">
        <v>4694</v>
      </c>
      <c r="D23" s="10" t="n">
        <f aca="false">D17*D20*INP_007/INP_016</f>
        <v>160.265952</v>
      </c>
      <c r="E23" s="10" t="n">
        <f aca="false">K23+L23</f>
        <v>1337.745024</v>
      </c>
      <c r="F23" s="10" t="n">
        <f aca="false">F17*F20*INP_007/INP_016</f>
        <v>2003.3244</v>
      </c>
      <c r="G23" s="10" t="n">
        <f aca="false">G17*G20*INP_007/INP_016</f>
        <v>2604.32172</v>
      </c>
      <c r="H23" s="10" t="n">
        <f aca="false">H17*H20*INP_007/INP_016</f>
        <v>3125.186064</v>
      </c>
      <c r="I23" s="10" t="n">
        <f aca="false">I17*I20*INP_007/INP_016</f>
        <v>3593.9639736</v>
      </c>
      <c r="K23" s="10" t="n">
        <f aca="false">K17*K20*INP_008/INP_016</f>
        <v>529.828992</v>
      </c>
      <c r="L23" s="10" t="n">
        <f aca="false">L17*L20*INP_009/INP_016</f>
        <v>807.916032</v>
      </c>
      <c r="M23" s="2" t="s">
        <v>5418</v>
      </c>
    </row>
    <row r="24" customFormat="false" ht="15" hidden="false" customHeight="false" outlineLevel="0" collapsed="false">
      <c r="A24" s="10" t="s">
        <v>5419</v>
      </c>
      <c r="B24" s="10" t="s">
        <v>5420</v>
      </c>
      <c r="C24" s="10" t="s">
        <v>4694</v>
      </c>
      <c r="D24" s="10" t="n">
        <f aca="false">D18*D21*INP_007/INP_016</f>
        <v>400.66488</v>
      </c>
      <c r="E24" s="10" t="n">
        <f aca="false">K24+L24</f>
        <v>3344.36256</v>
      </c>
      <c r="F24" s="10" t="n">
        <f aca="false">F18*F21*INP_007/INP_016</f>
        <v>5008.311</v>
      </c>
      <c r="G24" s="10" t="n">
        <f aca="false">G18*G21*INP_007/INP_016</f>
        <v>6510.8043</v>
      </c>
      <c r="H24" s="10" t="n">
        <f aca="false">H18*H21*INP_007/INP_016</f>
        <v>7812.96516</v>
      </c>
      <c r="I24" s="10" t="n">
        <f aca="false">I18*I21*INP_007/INP_016</f>
        <v>8984.909934</v>
      </c>
      <c r="K24" s="10" t="n">
        <f aca="false">K18*K21*INP_008/INP_016</f>
        <v>1324.57248</v>
      </c>
      <c r="L24" s="10" t="n">
        <f aca="false">L18*L21*INP_009/INP_016</f>
        <v>2019.79008</v>
      </c>
      <c r="M24" s="2" t="s">
        <v>5418</v>
      </c>
    </row>
    <row r="25" customFormat="false" ht="15" hidden="false" customHeight="false" outlineLevel="0" collapsed="false">
      <c r="A25" s="10" t="s">
        <v>5421</v>
      </c>
      <c r="B25" s="10" t="s">
        <v>5422</v>
      </c>
      <c r="C25" s="10" t="s">
        <v>4694</v>
      </c>
      <c r="D25" s="10" t="n">
        <f aca="false">D19*D22*INP_007/INP_016</f>
        <v>534.21984</v>
      </c>
      <c r="E25" s="10" t="n">
        <f aca="false">K25+L25</f>
        <v>4459.15008</v>
      </c>
      <c r="F25" s="10" t="n">
        <f aca="false">F19*F22*INP_007/INP_016</f>
        <v>6677.748</v>
      </c>
      <c r="G25" s="10" t="n">
        <f aca="false">G19*G22*INP_007/INP_016</f>
        <v>8681.07240000001</v>
      </c>
      <c r="H25" s="10" t="n">
        <f aca="false">H19*H22*INP_007/INP_016</f>
        <v>10417.28688</v>
      </c>
      <c r="I25" s="10" t="n">
        <f aca="false">I19*I22*INP_007/INP_016</f>
        <v>11979.879912</v>
      </c>
      <c r="K25" s="10" t="n">
        <f aca="false">K19*K22*INP_008/INP_016</f>
        <v>1766.09664</v>
      </c>
      <c r="L25" s="10" t="n">
        <f aca="false">L19*L22*INP_009/INP_016</f>
        <v>2693.05344</v>
      </c>
      <c r="M25" s="2" t="s">
        <v>5418</v>
      </c>
    </row>
    <row r="26" customFormat="false" ht="15" hidden="false" customHeight="false" outlineLevel="0" collapsed="false">
      <c r="A26" s="10" t="s">
        <v>5423</v>
      </c>
      <c r="B26" s="10" t="s">
        <v>5424</v>
      </c>
      <c r="C26" s="10" t="s">
        <v>4694</v>
      </c>
      <c r="D26" s="10" t="n">
        <f aca="false">D23+D24+D25</f>
        <v>1095.150672</v>
      </c>
      <c r="E26" s="10" t="n">
        <f aca="false">E23+E24+E25</f>
        <v>9141.257664</v>
      </c>
      <c r="F26" s="10" t="n">
        <f aca="false">F23+F24+F25</f>
        <v>13689.3834</v>
      </c>
      <c r="G26" s="10" t="n">
        <f aca="false">G23+G24+G25</f>
        <v>17796.19842</v>
      </c>
      <c r="H26" s="10" t="n">
        <f aca="false">H23+H24+H25</f>
        <v>21355.438104</v>
      </c>
      <c r="I26" s="10" t="n">
        <f aca="false">I23+I24+I25</f>
        <v>24558.7538196</v>
      </c>
      <c r="K26" s="10" t="n">
        <f aca="false">K23+K24+K25</f>
        <v>3620.498112</v>
      </c>
      <c r="L26" s="10" t="n">
        <f aca="false">L23+L24+L25</f>
        <v>5520.759552</v>
      </c>
      <c r="M26" s="2"/>
    </row>
    <row r="27" customFormat="false" ht="15" hidden="false" customHeight="false" outlineLevel="0" collapsed="false">
      <c r="A27" s="10" t="s">
        <v>5425</v>
      </c>
      <c r="B27" s="10" t="s">
        <v>5426</v>
      </c>
      <c r="C27" s="10" t="s">
        <v>4694</v>
      </c>
      <c r="D27" s="10" t="n">
        <f aca="false">D26*INP_063</f>
        <v>985.6356048</v>
      </c>
      <c r="E27" s="10" t="n">
        <f aca="false">E26*INP_063</f>
        <v>8227.1318976</v>
      </c>
      <c r="F27" s="10" t="n">
        <f aca="false">F26*INP_063</f>
        <v>12320.44506</v>
      </c>
      <c r="G27" s="10" t="n">
        <f aca="false">G26*INP_063</f>
        <v>16016.578578</v>
      </c>
      <c r="H27" s="10" t="n">
        <f aca="false">H26*INP_063</f>
        <v>19219.8942936</v>
      </c>
      <c r="I27" s="10" t="n">
        <f aca="false">I26*INP_063</f>
        <v>22102.87843764</v>
      </c>
      <c r="K27" s="10" t="n">
        <f aca="false">K26*INP_063</f>
        <v>3258.4483008</v>
      </c>
      <c r="L27" s="10" t="n">
        <f aca="false">L26*INP_063</f>
        <v>4968.6835968</v>
      </c>
      <c r="M27" s="13" t="s">
        <v>5427</v>
      </c>
    </row>
    <row r="28" customFormat="false" ht="15" hidden="false" customHeight="false" outlineLevel="0" collapsed="false">
      <c r="A28" s="10" t="s">
        <v>5428</v>
      </c>
      <c r="B28" s="10" t="s">
        <v>5429</v>
      </c>
      <c r="C28" s="10" t="s">
        <v>4694</v>
      </c>
      <c r="D28" s="10" t="n">
        <f aca="false">D26*(1-INP_063)</f>
        <v>109.5150672</v>
      </c>
      <c r="E28" s="10" t="n">
        <f aca="false">E26*(1-INP_063)</f>
        <v>914.1257664</v>
      </c>
      <c r="F28" s="10" t="n">
        <f aca="false">F26*(1-INP_063)</f>
        <v>1368.93834</v>
      </c>
      <c r="G28" s="10" t="n">
        <f aca="false">G26*(1-INP_063)</f>
        <v>1779.619842</v>
      </c>
      <c r="H28" s="10" t="n">
        <f aca="false">H26*(1-INP_063)</f>
        <v>2135.5438104</v>
      </c>
      <c r="I28" s="10" t="n">
        <f aca="false">I26*(1-INP_063)</f>
        <v>2455.87538196</v>
      </c>
      <c r="K28" s="10" t="n">
        <f aca="false">K26*(1-INP_063)</f>
        <v>362.0498112</v>
      </c>
      <c r="L28" s="10" t="n">
        <f aca="false">L26*(1-INP_063)</f>
        <v>552.0759552</v>
      </c>
      <c r="M28" s="2"/>
    </row>
    <row r="29" customFormat="false" ht="15" hidden="false" customHeight="false" outlineLevel="0" collapsed="false">
      <c r="A29" s="15" t="s">
        <v>5430</v>
      </c>
    </row>
    <row r="30" customFormat="false" ht="15" hidden="false" customHeight="false" outlineLevel="0" collapsed="false">
      <c r="A30" s="10" t="s">
        <v>5431</v>
      </c>
      <c r="B30" s="11" t="s">
        <v>5029</v>
      </c>
      <c r="C30" s="11" t="s">
        <v>5030</v>
      </c>
      <c r="D30" s="10" t="n">
        <f aca="false">INP_064</f>
        <v>10</v>
      </c>
      <c r="E30" s="10" t="n">
        <f aca="false">D30*(1+INP_065)</f>
        <v>11</v>
      </c>
      <c r="F30" s="10" t="n">
        <f aca="false">E30*(1+INP_065)</f>
        <v>12.1</v>
      </c>
      <c r="G30" s="10" t="n">
        <f aca="false">F30*(1+INP_065)</f>
        <v>13.31</v>
      </c>
      <c r="H30" s="10" t="n">
        <f aca="false">G30*(1+INP_065)</f>
        <v>14.641</v>
      </c>
      <c r="I30" s="10" t="n">
        <f aca="false">H30*(1+INP_065)</f>
        <v>16.1051</v>
      </c>
      <c r="M30" s="13" t="s">
        <v>5432</v>
      </c>
    </row>
    <row r="31" customFormat="false" ht="15" hidden="false" customHeight="false" outlineLevel="0" collapsed="false">
      <c r="A31" s="10" t="s">
        <v>5433</v>
      </c>
      <c r="B31" s="11" t="s">
        <v>5434</v>
      </c>
      <c r="C31" s="10" t="s">
        <v>4694</v>
      </c>
      <c r="D31" s="10" t="n">
        <f aca="false">D30*INP_066*INP_067*INP_007/INP_018</f>
        <v>10.95</v>
      </c>
      <c r="E31" s="10" t="n">
        <f aca="false">E30*INP_066*INP_067*INP_007/INP_018</f>
        <v>12.045</v>
      </c>
      <c r="F31" s="10" t="n">
        <f aca="false">F30*INP_066*INP_067*INP_007/INP_018</f>
        <v>13.2495</v>
      </c>
      <c r="G31" s="10" t="n">
        <f aca="false">G30*INP_066*INP_067*INP_007/INP_018</f>
        <v>14.57445</v>
      </c>
      <c r="H31" s="10" t="n">
        <f aca="false">H30*INP_066*INP_067*INP_007/INP_018</f>
        <v>16.031895</v>
      </c>
      <c r="I31" s="10" t="n">
        <f aca="false">I30*INP_066*INP_067*INP_007/INP_018</f>
        <v>17.6350845</v>
      </c>
      <c r="M31" s="2" t="s">
        <v>5435</v>
      </c>
    </row>
    <row r="32" customFormat="false" ht="15" hidden="false" customHeight="false" outlineLevel="0" collapsed="false">
      <c r="A32" s="10" t="s">
        <v>5436</v>
      </c>
      <c r="B32" s="11" t="s">
        <v>5437</v>
      </c>
      <c r="C32" s="10" t="s">
        <v>4694</v>
      </c>
      <c r="D32" s="10" t="n">
        <f aca="false">D31*INP_068</f>
        <v>3.285</v>
      </c>
      <c r="E32" s="10" t="n">
        <f aca="false">E31*INP_068</f>
        <v>3.6135</v>
      </c>
      <c r="F32" s="10" t="n">
        <f aca="false">F31*INP_068</f>
        <v>3.97485</v>
      </c>
      <c r="G32" s="10" t="n">
        <f aca="false">G31*INP_068</f>
        <v>4.372335</v>
      </c>
      <c r="H32" s="10" t="n">
        <f aca="false">H31*INP_068</f>
        <v>4.8095685</v>
      </c>
      <c r="I32" s="10" t="n">
        <f aca="false">I31*INP_068</f>
        <v>5.29052535</v>
      </c>
      <c r="M32" s="2"/>
    </row>
    <row r="33" customFormat="false" ht="15" hidden="false" customHeight="false" outlineLevel="0" collapsed="false">
      <c r="A33" s="10" t="s">
        <v>5438</v>
      </c>
      <c r="B33" s="11" t="s">
        <v>5439</v>
      </c>
      <c r="C33" s="10" t="s">
        <v>4694</v>
      </c>
      <c r="D33" s="10" t="n">
        <f aca="false">D31*(1-INP_068)</f>
        <v>7.665</v>
      </c>
      <c r="E33" s="10" t="n">
        <f aca="false">E31*(1-INP_068)</f>
        <v>8.4315</v>
      </c>
      <c r="F33" s="10" t="n">
        <f aca="false">F31*(1-INP_068)</f>
        <v>9.27465</v>
      </c>
      <c r="G33" s="10" t="n">
        <f aca="false">G31*(1-INP_068)</f>
        <v>10.202115</v>
      </c>
      <c r="H33" s="10" t="n">
        <f aca="false">H31*(1-INP_068)</f>
        <v>11.2223265</v>
      </c>
      <c r="I33" s="10" t="n">
        <f aca="false">I31*(1-INP_068)</f>
        <v>12.34455915</v>
      </c>
      <c r="M33" s="2"/>
    </row>
    <row r="34" customFormat="false" ht="15" hidden="false" customHeight="false" outlineLevel="0" collapsed="false">
      <c r="A34" s="15" t="s">
        <v>5440</v>
      </c>
    </row>
    <row r="35" customFormat="false" ht="15" hidden="false" customHeight="false" outlineLevel="0" collapsed="false">
      <c r="A35" s="10" t="s">
        <v>5441</v>
      </c>
      <c r="B35" s="11" t="s">
        <v>5442</v>
      </c>
      <c r="C35" s="10" t="s">
        <v>4694</v>
      </c>
      <c r="D35" s="10" t="n">
        <f aca="false">D12+D27</f>
        <v>1025.51251316727</v>
      </c>
      <c r="E35" s="10" t="n">
        <f aca="false">E12+E27</f>
        <v>8713.45042652345</v>
      </c>
      <c r="F35" s="10" t="n">
        <f aca="false">F12+F27</f>
        <v>13578.7942535894</v>
      </c>
      <c r="G35" s="10" t="n">
        <f aca="false">G12+G27</f>
        <v>18729.8940266772</v>
      </c>
      <c r="H35" s="10" t="n">
        <f aca="false">H12+H27</f>
        <v>24485.4220861892</v>
      </c>
      <c r="I35" s="10" t="n">
        <f aca="false">I12+I27</f>
        <v>31564.3736899487</v>
      </c>
      <c r="M35" s="13" t="s">
        <v>5443</v>
      </c>
    </row>
    <row r="36" customFormat="false" ht="15" hidden="false" customHeight="false" outlineLevel="0" collapsed="false">
      <c r="A36" s="10" t="s">
        <v>5444</v>
      </c>
      <c r="B36" s="11" t="s">
        <v>5445</v>
      </c>
      <c r="C36" s="10" t="s">
        <v>4694</v>
      </c>
      <c r="D36" s="10" t="n">
        <f aca="false">D13+D28</f>
        <v>136.099672778178</v>
      </c>
      <c r="E36" s="10" t="n">
        <f aca="false">E13+E28</f>
        <v>1122.54799308148</v>
      </c>
      <c r="F36" s="10" t="n">
        <f aca="false">F13+F28</f>
        <v>1908.23085153833</v>
      </c>
      <c r="G36" s="10" t="n">
        <f aca="false">G13+G28</f>
        <v>2942.46932000452</v>
      </c>
      <c r="H36" s="10" t="n">
        <f aca="false">H13+H28</f>
        <v>4392.19857865252</v>
      </c>
      <c r="I36" s="10" t="n">
        <f aca="false">I13+I28</f>
        <v>6510.80191866374</v>
      </c>
      <c r="M36" s="13" t="s">
        <v>5446</v>
      </c>
    </row>
    <row r="37" customFormat="false" ht="15" hidden="false" customHeight="false" outlineLevel="0" collapsed="false">
      <c r="A37" s="10" t="s">
        <v>5447</v>
      </c>
      <c r="B37" s="11" t="s">
        <v>5448</v>
      </c>
      <c r="C37" s="10" t="s">
        <v>4694</v>
      </c>
      <c r="D37" s="10" t="n">
        <f aca="false">D32</f>
        <v>3.285</v>
      </c>
      <c r="E37" s="10" t="n">
        <f aca="false">E32</f>
        <v>3.6135</v>
      </c>
      <c r="F37" s="10" t="n">
        <f aca="false">F32</f>
        <v>3.97485</v>
      </c>
      <c r="G37" s="10" t="n">
        <f aca="false">G32</f>
        <v>4.372335</v>
      </c>
      <c r="H37" s="10" t="n">
        <f aca="false">H32</f>
        <v>4.8095685</v>
      </c>
      <c r="I37" s="10" t="n">
        <f aca="false">I32</f>
        <v>5.29052535</v>
      </c>
      <c r="M37" s="2" t="s">
        <v>5449</v>
      </c>
    </row>
    <row r="38" customFormat="false" ht="15" hidden="false" customHeight="false" outlineLevel="0" collapsed="false">
      <c r="A38" s="10" t="s">
        <v>5450</v>
      </c>
      <c r="B38" s="11" t="s">
        <v>5451</v>
      </c>
      <c r="C38" s="10" t="s">
        <v>4694</v>
      </c>
      <c r="D38" s="10" t="n">
        <f aca="false">D33+D14</f>
        <v>27.6034541836335</v>
      </c>
      <c r="E38" s="10" t="n">
        <f aca="false">E33+E14</f>
        <v>216.853726681479</v>
      </c>
      <c r="F38" s="10" t="n">
        <f aca="false">F33+F14</f>
        <v>548.567161538327</v>
      </c>
      <c r="G38" s="10" t="n">
        <f aca="false">G33+G14</f>
        <v>1173.05159300452</v>
      </c>
      <c r="H38" s="10" t="n">
        <f aca="false">H33+H14</f>
        <v>2267.87709475252</v>
      </c>
      <c r="I38" s="10" t="n">
        <f aca="false">I33+I14</f>
        <v>4067.27109585374</v>
      </c>
      <c r="M38" s="2" t="s">
        <v>5452</v>
      </c>
    </row>
    <row r="39" customFormat="false" ht="15" hidden="false" customHeight="false" outlineLevel="0" collapsed="false">
      <c r="A39" s="10" t="s">
        <v>5453</v>
      </c>
      <c r="B39" s="11" t="s">
        <v>5454</v>
      </c>
      <c r="C39" s="10" t="s">
        <v>4694</v>
      </c>
      <c r="D39" s="10" t="n">
        <f aca="false">D35+D36</f>
        <v>1161.61218594545</v>
      </c>
      <c r="E39" s="10" t="n">
        <f aca="false">E35+E36</f>
        <v>9835.99841960493</v>
      </c>
      <c r="F39" s="10" t="n">
        <f aca="false">F35+F36</f>
        <v>15487.0251051278</v>
      </c>
      <c r="G39" s="10" t="n">
        <f aca="false">G35+G36</f>
        <v>21672.3633466817</v>
      </c>
      <c r="H39" s="10" t="n">
        <f aca="false">H35+H36</f>
        <v>28877.6206648417</v>
      </c>
      <c r="I39" s="10" t="n">
        <f aca="false">I35+I36</f>
        <v>38075.1756086125</v>
      </c>
      <c r="M39" s="2"/>
    </row>
    <row r="40" customFormat="false" ht="15" hidden="false" customHeight="false" outlineLevel="0" collapsed="false">
      <c r="A40" s="10" t="s">
        <v>5455</v>
      </c>
      <c r="B40" s="11" t="s">
        <v>5456</v>
      </c>
      <c r="C40" s="10" t="s">
        <v>4694</v>
      </c>
      <c r="D40" s="10" t="n">
        <f aca="false">D37+D38</f>
        <v>30.8884541836335</v>
      </c>
      <c r="E40" s="10" t="n">
        <f aca="false">E37+E38</f>
        <v>220.467226681479</v>
      </c>
      <c r="F40" s="10" t="n">
        <f aca="false">F37+F38</f>
        <v>552.542011538327</v>
      </c>
      <c r="G40" s="10" t="n">
        <f aca="false">G37+G38</f>
        <v>1177.42392800452</v>
      </c>
      <c r="H40" s="10" t="n">
        <f aca="false">H37+H38</f>
        <v>2272.68666325252</v>
      </c>
      <c r="I40" s="10" t="n">
        <f aca="false">I37+I38</f>
        <v>4072.56162120374</v>
      </c>
      <c r="M40" s="2"/>
    </row>
    <row r="41" customFormat="false" ht="15" hidden="false" customHeight="false" outlineLevel="0" collapsed="false">
      <c r="A41" s="10" t="s">
        <v>5457</v>
      </c>
      <c r="B41" s="10" t="s">
        <v>4693</v>
      </c>
      <c r="C41" s="10" t="s">
        <v>4694</v>
      </c>
      <c r="D41" s="10" t="n">
        <f aca="false">D39+D40</f>
        <v>1192.50064012908</v>
      </c>
      <c r="E41" s="10" t="n">
        <f aca="false">E39+E40</f>
        <v>10056.4656462864</v>
      </c>
      <c r="F41" s="10" t="n">
        <f aca="false">F39+F40</f>
        <v>16039.5671166661</v>
      </c>
      <c r="G41" s="10" t="n">
        <f aca="false">G39+G40</f>
        <v>22849.7872746862</v>
      </c>
      <c r="H41" s="10" t="n">
        <f aca="false">H39+H40</f>
        <v>31150.3073280942</v>
      </c>
      <c r="I41" s="10" t="n">
        <f aca="false">I39+I40</f>
        <v>42147.7372298162</v>
      </c>
      <c r="M41" s="2"/>
    </row>
    <row r="42" customFormat="false" ht="15" hidden="false" customHeight="false" outlineLevel="0" collapsed="false">
      <c r="A42" s="15" t="s">
        <v>5458</v>
      </c>
    </row>
    <row r="43" customFormat="false" ht="15" hidden="false" customHeight="false" outlineLevel="0" collapsed="false">
      <c r="A43" s="10" t="s">
        <v>5459</v>
      </c>
      <c r="B43" s="10" t="s">
        <v>5460</v>
      </c>
      <c r="C43" s="11" t="s">
        <v>1709</v>
      </c>
      <c r="K43" s="16" t="n">
        <f aca="false">(SRC_ZP_169/(SRC_ZP_112-SRC_ZP_170))/(Revenue!K24/Revenue!D24)</f>
        <v>3.24095943895404</v>
      </c>
      <c r="M43" s="2" t="s">
        <v>5461</v>
      </c>
    </row>
    <row r="44" customFormat="false" ht="15" hidden="false" customHeight="false" outlineLevel="0" collapsed="false">
      <c r="A44" s="10" t="s">
        <v>5462</v>
      </c>
      <c r="B44" s="11" t="s">
        <v>5463</v>
      </c>
      <c r="C44" s="11" t="s">
        <v>1709</v>
      </c>
      <c r="L44" s="10" t="n">
        <f aca="false">L11/K11</f>
        <v>2.80711422085888</v>
      </c>
      <c r="M44" s="2" t="s">
        <v>5464</v>
      </c>
    </row>
    <row r="45" customFormat="false" ht="15" hidden="false" customHeight="false" outlineLevel="0" collapsed="false">
      <c r="A45" s="10" t="s">
        <v>5465</v>
      </c>
      <c r="B45" s="11" t="s">
        <v>5466</v>
      </c>
      <c r="C45" s="11" t="s">
        <v>1709</v>
      </c>
      <c r="K45" s="10" t="n">
        <f aca="false">SRC_ZP_410</f>
        <v>40</v>
      </c>
      <c r="M45" s="13" t="s">
        <v>5467</v>
      </c>
    </row>
    <row r="46" customFormat="false" ht="15" hidden="false" customHeight="false" outlineLevel="0" collapsed="false">
      <c r="A46" s="10" t="s">
        <v>5468</v>
      </c>
      <c r="B46" s="11" t="s">
        <v>5469</v>
      </c>
      <c r="C46" s="10" t="s">
        <v>1714</v>
      </c>
      <c r="D46" s="10" t="n">
        <f aca="false">D41/INP_007</f>
        <v>3.26712504144953</v>
      </c>
      <c r="M46" s="2" t="s">
        <v>5470</v>
      </c>
    </row>
    <row r="47" customFormat="false" ht="15" hidden="false" customHeight="false" outlineLevel="0" collapsed="false">
      <c r="A47" s="10" t="s">
        <v>5471</v>
      </c>
      <c r="B47" s="11" t="s">
        <v>5472</v>
      </c>
      <c r="C47" s="10" t="s">
        <v>1714</v>
      </c>
      <c r="D47" s="10" t="n">
        <f aca="false">SRC_ZP_991</f>
        <v>4.2</v>
      </c>
      <c r="M47" s="13" t="s">
        <v>5473</v>
      </c>
    </row>
    <row r="48" customFormat="false" ht="15" hidden="false" customHeight="false" outlineLevel="0" collapsed="false">
      <c r="A48" s="10" t="s">
        <v>5474</v>
      </c>
      <c r="B48" s="10" t="s">
        <v>5475</v>
      </c>
      <c r="C48" s="11" t="s">
        <v>4720</v>
      </c>
      <c r="D48" s="10" t="n">
        <f aca="false">D11/(SRC_ZP_991*INP_007)</f>
        <v>0.0433538903753719</v>
      </c>
      <c r="M48" s="2" t="s">
        <v>5476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0"/>
    <col collapsed="false" customWidth="true" hidden="false" outlineLevel="0" max="3" min="3" style="0" width="12"/>
    <col collapsed="false" customWidth="true" hidden="false" outlineLevel="0" max="9" min="4" style="0" width="11"/>
    <col collapsed="false" customWidth="true" hidden="false" outlineLevel="0" max="10" min="10" style="0" width="2"/>
    <col collapsed="false" customWidth="true" hidden="false" outlineLevel="0" max="12" min="11" style="0" width="11"/>
    <col collapsed="false" customWidth="true" hidden="false" outlineLevel="0" max="13" min="13" style="0" width="80"/>
  </cols>
  <sheetData>
    <row r="1" customFormat="false" ht="20.1" hidden="false" customHeight="false" outlineLevel="0" collapsed="false">
      <c r="A1" s="7" t="s">
        <v>5477</v>
      </c>
    </row>
    <row r="2" customFormat="false" ht="15" hidden="false" customHeight="false" outlineLevel="0" collapsed="false">
      <c r="A2" s="13" t="s">
        <v>5478</v>
      </c>
    </row>
    <row r="3" customFormat="false" ht="15" hidden="false" customHeight="false" outlineLevel="0" collapsed="false">
      <c r="A3" s="2" t="s">
        <v>5479</v>
      </c>
    </row>
    <row r="5" customFormat="false" ht="15" hidden="false" customHeight="false" outlineLevel="0" collapsed="false">
      <c r="A5" s="9" t="s">
        <v>5370</v>
      </c>
      <c r="B5" s="9" t="s">
        <v>39</v>
      </c>
      <c r="C5" s="9" t="s">
        <v>43</v>
      </c>
      <c r="D5" s="8" t="s">
        <v>4383</v>
      </c>
      <c r="E5" s="8" t="s">
        <v>1908</v>
      </c>
      <c r="F5" s="8" t="s">
        <v>4681</v>
      </c>
      <c r="G5" s="8" t="s">
        <v>4682</v>
      </c>
      <c r="H5" s="8" t="s">
        <v>4683</v>
      </c>
      <c r="I5" s="8" t="s">
        <v>4684</v>
      </c>
      <c r="J5" s="9"/>
      <c r="K5" s="8" t="s">
        <v>662</v>
      </c>
      <c r="L5" s="8" t="s">
        <v>4782</v>
      </c>
      <c r="M5" s="9" t="s">
        <v>4410</v>
      </c>
    </row>
    <row r="6" customFormat="false" ht="15" hidden="false" customHeight="false" outlineLevel="0" collapsed="false">
      <c r="B6" s="3" t="s">
        <v>5371</v>
      </c>
      <c r="D6" s="10" t="n">
        <f aca="false">INP_001</f>
        <v>2025</v>
      </c>
      <c r="E6" s="10" t="n">
        <f aca="false">INP_002</f>
        <v>2026</v>
      </c>
      <c r="F6" s="10" t="n">
        <f aca="false">INP_003</f>
        <v>2027</v>
      </c>
      <c r="G6" s="10" t="n">
        <f aca="false">INP_004</f>
        <v>2028</v>
      </c>
      <c r="H6" s="10" t="n">
        <f aca="false">INP_005</f>
        <v>2029</v>
      </c>
      <c r="I6" s="10" t="n">
        <f aca="false">INP_006</f>
        <v>2030</v>
      </c>
      <c r="K6" s="6" t="s">
        <v>5372</v>
      </c>
      <c r="L6" s="6" t="s">
        <v>5373</v>
      </c>
    </row>
    <row r="7" customFormat="false" ht="15" hidden="false" customHeight="false" outlineLevel="0" collapsed="false">
      <c r="A7" s="15" t="s">
        <v>5480</v>
      </c>
    </row>
    <row r="8" customFormat="false" ht="15" hidden="false" customHeight="false" outlineLevel="0" collapsed="false">
      <c r="A8" s="10" t="s">
        <v>5481</v>
      </c>
      <c r="B8" s="10" t="s">
        <v>5482</v>
      </c>
      <c r="C8" s="11" t="s">
        <v>4720</v>
      </c>
      <c r="K8" s="10" t="n">
        <f aca="false">INP_026/INP_008</f>
        <v>0.232044198895028</v>
      </c>
      <c r="M8" s="13" t="s">
        <v>5483</v>
      </c>
    </row>
    <row r="9" customFormat="false" ht="15" hidden="false" customHeight="false" outlineLevel="0" collapsed="false">
      <c r="A9" s="10" t="s">
        <v>5484</v>
      </c>
      <c r="B9" s="10" t="s">
        <v>5485</v>
      </c>
      <c r="C9" s="11" t="s">
        <v>4720</v>
      </c>
      <c r="K9" s="10" t="n">
        <f aca="false">INP_027/INP_008</f>
        <v>0.298342541436464</v>
      </c>
      <c r="M9" s="13" t="s">
        <v>5486</v>
      </c>
    </row>
    <row r="10" customFormat="false" ht="15" hidden="false" customHeight="false" outlineLevel="0" collapsed="false">
      <c r="A10" s="10" t="s">
        <v>5487</v>
      </c>
      <c r="B10" s="10" t="s">
        <v>5488</v>
      </c>
      <c r="C10" s="11" t="s">
        <v>4720</v>
      </c>
      <c r="K10" s="10" t="n">
        <f aca="false">(1-K8-K9)</f>
        <v>0.469613259668508</v>
      </c>
      <c r="M10" s="13" t="s">
        <v>5489</v>
      </c>
    </row>
    <row r="11" customFormat="false" ht="15" hidden="false" customHeight="false" outlineLevel="0" collapsed="false">
      <c r="A11" s="10" t="s">
        <v>5490</v>
      </c>
      <c r="B11" s="10" t="s">
        <v>5491</v>
      </c>
      <c r="C11" s="11" t="s">
        <v>4720</v>
      </c>
      <c r="L11" s="10" t="n">
        <f aca="false">INP_028/INP_009</f>
        <v>0.695652173913044</v>
      </c>
      <c r="M11" s="13" t="s">
        <v>5492</v>
      </c>
    </row>
    <row r="12" customFormat="false" ht="15" hidden="false" customHeight="false" outlineLevel="0" collapsed="false">
      <c r="A12" s="15" t="s">
        <v>5493</v>
      </c>
    </row>
    <row r="13" customFormat="false" ht="15" hidden="false" customHeight="false" outlineLevel="0" collapsed="false">
      <c r="A13" s="10" t="s">
        <v>5494</v>
      </c>
      <c r="B13" s="10" t="s">
        <v>5495</v>
      </c>
      <c r="C13" s="11" t="s">
        <v>5496</v>
      </c>
      <c r="D13" s="10" t="n">
        <f aca="false">(1-INP_025)*SRC_ZP_311+INP_025*SRC_ZP_314</f>
        <v>3.6</v>
      </c>
      <c r="E13" s="10" t="n">
        <f aca="false">(K13+L13)/INP_013</f>
        <v>6.88397790055249</v>
      </c>
      <c r="F13" s="10" t="n">
        <f aca="false">L13*(1+INP_035)</f>
        <v>6.4</v>
      </c>
      <c r="G13" s="10" t="n">
        <f aca="false">F13*(1+INP_035)</f>
        <v>5.12</v>
      </c>
      <c r="H13" s="10" t="n">
        <f aca="false">G13*(1+INP_035)</f>
        <v>4.096</v>
      </c>
      <c r="I13" s="10" t="n">
        <f aca="false">H13*(1+INP_035)</f>
        <v>3.2768</v>
      </c>
      <c r="K13" s="10" t="n">
        <f aca="false">K8*D13+K9*((1-INP_025)*SRC_ZP_302+INP_025*SRC_ZP_305)+K10*((1-INP_025)*SRC_ZP_290+INP_025*SRC_ZP_293)</f>
        <v>5.76795580110497</v>
      </c>
      <c r="L13" s="10" t="n">
        <f aca="false">SRC_ZP_284</f>
        <v>8</v>
      </c>
      <c r="M13" s="13" t="s">
        <v>5497</v>
      </c>
    </row>
    <row r="14" customFormat="false" ht="15" hidden="false" customHeight="false" outlineLevel="0" collapsed="false">
      <c r="A14" s="10" t="s">
        <v>5498</v>
      </c>
      <c r="B14" s="10" t="s">
        <v>5499</v>
      </c>
      <c r="C14" s="11" t="s">
        <v>5496</v>
      </c>
      <c r="D14" s="10" t="n">
        <f aca="false">(1-INP_025)*SRC_ZP_312+INP_025*SRC_ZP_315</f>
        <v>0.72</v>
      </c>
      <c r="E14" s="10" t="n">
        <f aca="false">(K14+L14)/INP_013</f>
        <v>1.68132596685083</v>
      </c>
      <c r="F14" s="10" t="n">
        <f aca="false">L14*(1+INP_035)</f>
        <v>1.6</v>
      </c>
      <c r="G14" s="10" t="n">
        <f aca="false">F14*(1+INP_035)</f>
        <v>1.28</v>
      </c>
      <c r="H14" s="10" t="n">
        <f aca="false">G14*(1+INP_035)</f>
        <v>1.024</v>
      </c>
      <c r="I14" s="10" t="n">
        <f aca="false">H14*(1+INP_035)</f>
        <v>0.8192</v>
      </c>
      <c r="K14" s="10" t="n">
        <f aca="false">K8*D14+K9*((1-INP_025)*SRC_ZP_303+INP_025*SRC_ZP_306)+K10*((1-INP_025)*SRC_ZP_291+INP_025*SRC_ZP_294)</f>
        <v>1.36265193370166</v>
      </c>
      <c r="L14" s="10" t="n">
        <f aca="false">SRC_ZP_285</f>
        <v>2</v>
      </c>
      <c r="M14" s="13" t="s">
        <v>5497</v>
      </c>
    </row>
    <row r="15" customFormat="false" ht="15" hidden="false" customHeight="false" outlineLevel="0" collapsed="false">
      <c r="A15" s="10" t="s">
        <v>5500</v>
      </c>
      <c r="B15" s="10" t="s">
        <v>5501</v>
      </c>
      <c r="C15" s="11" t="s">
        <v>5496</v>
      </c>
      <c r="D15" s="10" t="n">
        <f aca="false">(1-INP_025)*SRC_ZP_313+INP_025*SRC_ZP_316</f>
        <v>15.2</v>
      </c>
      <c r="E15" s="10" t="n">
        <f aca="false">(K15+L15)/INP_013</f>
        <v>25.0055248618785</v>
      </c>
      <c r="F15" s="10" t="n">
        <f aca="false">L15*(1+INP_035)</f>
        <v>22.4</v>
      </c>
      <c r="G15" s="10" t="n">
        <f aca="false">F15*(1+INP_035)</f>
        <v>17.92</v>
      </c>
      <c r="H15" s="10" t="n">
        <f aca="false">G15*(1+INP_035)</f>
        <v>14.336</v>
      </c>
      <c r="I15" s="10" t="n">
        <f aca="false">H15*(1+INP_035)</f>
        <v>11.4688</v>
      </c>
      <c r="K15" s="10" t="n">
        <f aca="false">K8*D15+K9*((1-INP_025)*SRC_ZP_304+INP_025*SRC_ZP_307)+K10*((1-INP_025)*SRC_ZP_292+INP_025*SRC_ZP_295)</f>
        <v>22.0110497237569</v>
      </c>
      <c r="L15" s="10" t="n">
        <f aca="false">SRC_ZP_286</f>
        <v>28</v>
      </c>
      <c r="M15" s="13" t="s">
        <v>5497</v>
      </c>
    </row>
    <row r="16" customFormat="false" ht="15" hidden="false" customHeight="false" outlineLevel="0" collapsed="false">
      <c r="A16" s="10" t="s">
        <v>5502</v>
      </c>
      <c r="B16" s="10" t="s">
        <v>5503</v>
      </c>
      <c r="C16" s="11" t="s">
        <v>5496</v>
      </c>
      <c r="D16" s="10" t="n">
        <f aca="false">(1-INP_025)*SRC_ZP_320+INP_025*SRC_ZP_323</f>
        <v>1.04</v>
      </c>
      <c r="E16" s="10" t="n">
        <f aca="false">(K16+L16)/INP_013</f>
        <v>0.956521739130435</v>
      </c>
      <c r="F16" s="10" t="n">
        <f aca="false">L16*(1+INP_036)</f>
        <v>0.698434782608696</v>
      </c>
      <c r="G16" s="10" t="n">
        <f aca="false">F16*(1+INP_036)</f>
        <v>0.558747826086957</v>
      </c>
      <c r="H16" s="10" t="n">
        <f aca="false">G16*(1+INP_036)</f>
        <v>0.446998260869565</v>
      </c>
      <c r="I16" s="10" t="n">
        <f aca="false">H16*(1+INP_036)</f>
        <v>0.357598608695652</v>
      </c>
      <c r="K16" s="10" t="n">
        <f aca="false">D16</f>
        <v>1.04</v>
      </c>
      <c r="L16" s="10" t="n">
        <f aca="false">(1-L11)*K16+L11*SRC_ZP_329</f>
        <v>0.87304347826087</v>
      </c>
      <c r="M16" s="13" t="s">
        <v>5504</v>
      </c>
    </row>
    <row r="17" customFormat="false" ht="15" hidden="false" customHeight="false" outlineLevel="0" collapsed="false">
      <c r="A17" s="10" t="s">
        <v>5505</v>
      </c>
      <c r="B17" s="10" t="s">
        <v>5506</v>
      </c>
      <c r="C17" s="11" t="s">
        <v>5496</v>
      </c>
      <c r="D17" s="10" t="n">
        <f aca="false">(1-INP_025)*SRC_ZP_321+INP_025*SRC_ZP_324</f>
        <v>0.208</v>
      </c>
      <c r="E17" s="10" t="n">
        <f aca="false">(K17+L17)/INP_013</f>
        <v>0.215652173913043</v>
      </c>
      <c r="F17" s="10" t="n">
        <f aca="false">L17*(1+INP_036)</f>
        <v>0.17864347826087</v>
      </c>
      <c r="G17" s="10" t="n">
        <f aca="false">F17*(1+INP_036)</f>
        <v>0.142914782608696</v>
      </c>
      <c r="H17" s="10" t="n">
        <f aca="false">G17*(1+INP_036)</f>
        <v>0.114331826086957</v>
      </c>
      <c r="I17" s="10" t="n">
        <f aca="false">H17*(1+INP_036)</f>
        <v>0.0914654608695652</v>
      </c>
      <c r="K17" s="10" t="n">
        <f aca="false">D17</f>
        <v>0.208</v>
      </c>
      <c r="L17" s="10" t="n">
        <f aca="false">(1-L11)*K17+L11*SRC_ZP_330</f>
        <v>0.223304347826087</v>
      </c>
      <c r="M17" s="13" t="s">
        <v>5504</v>
      </c>
    </row>
    <row r="18" customFormat="false" ht="15" hidden="false" customHeight="false" outlineLevel="0" collapsed="false">
      <c r="A18" s="10" t="s">
        <v>5507</v>
      </c>
      <c r="B18" s="10" t="s">
        <v>5508</v>
      </c>
      <c r="C18" s="11" t="s">
        <v>5496</v>
      </c>
      <c r="D18" s="10" t="n">
        <f aca="false">(1-INP_025)*SRC_ZP_322+INP_025*SRC_ZP_325</f>
        <v>7.2</v>
      </c>
      <c r="E18" s="10" t="n">
        <f aca="false">(K18+L18)/INP_013</f>
        <v>5.6695652173913</v>
      </c>
      <c r="F18" s="10" t="n">
        <f aca="false">L18*(1+INP_036)</f>
        <v>3.31130434782609</v>
      </c>
      <c r="G18" s="10" t="n">
        <f aca="false">F18*(1+INP_036)</f>
        <v>2.64904347826087</v>
      </c>
      <c r="H18" s="10" t="n">
        <f aca="false">G18*(1+INP_036)</f>
        <v>2.1192347826087</v>
      </c>
      <c r="I18" s="10" t="n">
        <f aca="false">H18*(1+INP_036)</f>
        <v>1.69538782608696</v>
      </c>
      <c r="K18" s="10" t="n">
        <f aca="false">D18</f>
        <v>7.2</v>
      </c>
      <c r="L18" s="10" t="n">
        <f aca="false">(1-L11)*K18+L11*SRC_ZP_331</f>
        <v>4.13913043478261</v>
      </c>
      <c r="M18" s="13" t="s">
        <v>5504</v>
      </c>
    </row>
    <row r="19" customFormat="false" ht="15" hidden="false" customHeight="false" outlineLevel="0" collapsed="false">
      <c r="A19" s="15" t="s">
        <v>5509</v>
      </c>
    </row>
    <row r="20" customFormat="false" ht="15" hidden="false" customHeight="false" outlineLevel="0" collapsed="false">
      <c r="A20" s="10" t="s">
        <v>5510</v>
      </c>
      <c r="B20" s="10" t="s">
        <v>5511</v>
      </c>
      <c r="C20" s="11" t="s">
        <v>5496</v>
      </c>
      <c r="D20" s="10" t="n">
        <f aca="false">((1-INP_029)*(INP_030*D14+(1-INP_030)*D13)+INP_029*D15)*(1-INP_031)</f>
        <v>3.087</v>
      </c>
      <c r="E20" s="10" t="n">
        <f aca="false">(K20+L20)/INP_013</f>
        <v>5.54331215469613</v>
      </c>
      <c r="F20" s="10" t="n">
        <f aca="false">((1-INP_029)*(INP_030*F14+(1-INP_030)*F13)+INP_029*F15)*(1-INP_031)</f>
        <v>5.07</v>
      </c>
      <c r="G20" s="10" t="n">
        <f aca="false">((1-INP_029)*(INP_030*G14+(1-INP_030)*G13)+INP_029*G15)*(1-INP_031)</f>
        <v>4.056</v>
      </c>
      <c r="H20" s="10" t="n">
        <f aca="false">((1-INP_029)*(INP_030*H14+(1-INP_030)*H13)+INP_029*H15)*(1-INP_031)</f>
        <v>3.2448</v>
      </c>
      <c r="I20" s="10" t="n">
        <f aca="false">((1-INP_029)*(INP_030*I14+(1-INP_030)*I13)+INP_029*I15)*(1-INP_031)</f>
        <v>2.59584</v>
      </c>
      <c r="K20" s="10" t="n">
        <f aca="false">((1-INP_029)*(INP_030*K14+(1-INP_030)*K13)+INP_029*K15)*(1-INP_031)</f>
        <v>4.74912430939227</v>
      </c>
      <c r="L20" s="10" t="n">
        <f aca="false">((1-INP_029)*(INP_030*L14+(1-INP_030)*L13)+INP_029*L15)*(1-INP_031)</f>
        <v>6.3375</v>
      </c>
      <c r="M20" s="2" t="s">
        <v>5512</v>
      </c>
    </row>
    <row r="21" customFormat="false" ht="15" hidden="false" customHeight="false" outlineLevel="0" collapsed="false">
      <c r="A21" s="10" t="s">
        <v>5513</v>
      </c>
      <c r="B21" s="10" t="s">
        <v>5514</v>
      </c>
      <c r="C21" s="11" t="s">
        <v>5496</v>
      </c>
      <c r="D21" s="10" t="n">
        <f aca="false">((1-INP_029)*(INP_030*D17+(1-INP_030)*D16)+INP_029*D18)*(1-INP_031)</f>
        <v>1.2078</v>
      </c>
      <c r="E21" s="10" t="n">
        <f aca="false">(K21+L21)/INP_013</f>
        <v>1.01145652173913</v>
      </c>
      <c r="F21" s="10" t="n">
        <f aca="false">((1-INP_029)*(INP_030*F17+(1-INP_030)*F16)+INP_029*F18)*(1-INP_031)</f>
        <v>0.652090434782609</v>
      </c>
      <c r="G21" s="10" t="n">
        <f aca="false">((1-INP_029)*(INP_030*G17+(1-INP_030)*G16)+INP_029*G18)*(1-INP_031)</f>
        <v>0.521672347826087</v>
      </c>
      <c r="H21" s="10" t="n">
        <f aca="false">((1-INP_029)*(INP_030*H17+(1-INP_030)*H16)+INP_029*H18)*(1-INP_031)</f>
        <v>0.41733787826087</v>
      </c>
      <c r="I21" s="10" t="n">
        <f aca="false">((1-INP_029)*(INP_030*I17+(1-INP_030)*I16)+INP_029*I18)*(1-INP_031)</f>
        <v>0.333870302608696</v>
      </c>
      <c r="K21" s="10" t="n">
        <f aca="false">((1-INP_029)*(INP_030*K17+(1-INP_030)*K16)+INP_029*K18)*(1-INP_031)</f>
        <v>1.2078</v>
      </c>
      <c r="L21" s="10" t="n">
        <f aca="false">((1-INP_029)*(INP_030*L17+(1-INP_030)*L16)+INP_029*L18)*(1-INP_031)</f>
        <v>0.815113043478261</v>
      </c>
      <c r="M21" s="2" t="s">
        <v>5512</v>
      </c>
    </row>
    <row r="22" customFormat="false" ht="15" hidden="false" customHeight="false" outlineLevel="0" collapsed="false">
      <c r="A22" s="10" t="s">
        <v>5515</v>
      </c>
      <c r="B22" s="11" t="s">
        <v>5516</v>
      </c>
      <c r="C22" s="11" t="s">
        <v>4720</v>
      </c>
      <c r="D22" s="10" t="n">
        <f aca="false">INP_032</f>
        <v>0.6</v>
      </c>
      <c r="E22" s="10" t="n">
        <f aca="false">INP_033</f>
        <v>0.7</v>
      </c>
      <c r="F22" s="10" t="n">
        <f aca="false">INP_034</f>
        <v>0.7</v>
      </c>
      <c r="G22" s="10" t="n">
        <f aca="false">INP_034</f>
        <v>0.7</v>
      </c>
      <c r="H22" s="10" t="n">
        <f aca="false">INP_034</f>
        <v>0.7</v>
      </c>
      <c r="I22" s="10" t="n">
        <f aca="false">INP_034</f>
        <v>0.7</v>
      </c>
      <c r="K22" s="10" t="n">
        <f aca="false">INP_033</f>
        <v>0.7</v>
      </c>
      <c r="L22" s="10" t="n">
        <f aca="false">INP_033</f>
        <v>0.7</v>
      </c>
      <c r="M22" s="13" t="s">
        <v>5517</v>
      </c>
    </row>
    <row r="23" customFormat="false" ht="15" hidden="false" customHeight="false" outlineLevel="0" collapsed="false">
      <c r="A23" s="10" t="s">
        <v>5518</v>
      </c>
      <c r="B23" s="11" t="s">
        <v>5519</v>
      </c>
      <c r="C23" s="11" t="s">
        <v>4720</v>
      </c>
      <c r="D23" s="10" t="n">
        <f aca="false">(1-D22)</f>
        <v>0.4</v>
      </c>
      <c r="E23" s="10" t="n">
        <f aca="false">(1-E22)</f>
        <v>0.3</v>
      </c>
      <c r="F23" s="10" t="n">
        <f aca="false">(1-F22)</f>
        <v>0.3</v>
      </c>
      <c r="G23" s="10" t="n">
        <f aca="false">(1-G22)</f>
        <v>0.3</v>
      </c>
      <c r="H23" s="10" t="n">
        <f aca="false">(1-H22)</f>
        <v>0.3</v>
      </c>
      <c r="I23" s="10" t="n">
        <f aca="false">(1-I22)</f>
        <v>0.3</v>
      </c>
      <c r="K23" s="10" t="n">
        <f aca="false">(1-K22)</f>
        <v>0.3</v>
      </c>
      <c r="L23" s="10" t="n">
        <f aca="false">(1-L22)</f>
        <v>0.3</v>
      </c>
      <c r="M23" s="2" t="s">
        <v>5520</v>
      </c>
    </row>
    <row r="24" customFormat="false" ht="15" hidden="false" customHeight="false" outlineLevel="0" collapsed="false">
      <c r="A24" s="10" t="s">
        <v>5521</v>
      </c>
      <c r="B24" s="11" t="s">
        <v>5522</v>
      </c>
      <c r="C24" s="11" t="s">
        <v>5496</v>
      </c>
      <c r="D24" s="10" t="n">
        <f aca="false">D22*D20+D23*D21</f>
        <v>2.33532</v>
      </c>
      <c r="E24" s="16" t="n">
        <f aca="false">E47*INP_015/Demand!E11</f>
        <v>4.41967882430657</v>
      </c>
      <c r="F24" s="10" t="n">
        <f aca="false">F22*F20+F23*F21</f>
        <v>3.74462713043478</v>
      </c>
      <c r="G24" s="10" t="n">
        <f aca="false">G22*G20+G23*G21</f>
        <v>2.99570170434783</v>
      </c>
      <c r="H24" s="10" t="n">
        <f aca="false">H22*H20+H23*H21</f>
        <v>2.39656136347826</v>
      </c>
      <c r="I24" s="10" t="n">
        <f aca="false">I22*I20+I23*I21</f>
        <v>1.91724909078261</v>
      </c>
      <c r="K24" s="10" t="n">
        <f aca="false">K22*K20+K23*K21</f>
        <v>3.68672701657459</v>
      </c>
      <c r="L24" s="10" t="n">
        <f aca="false">L22*L20+L23*L21</f>
        <v>4.68078391304348</v>
      </c>
      <c r="M24" s="13" t="s">
        <v>5523</v>
      </c>
    </row>
    <row r="25" customFormat="false" ht="15" hidden="false" customHeight="false" outlineLevel="0" collapsed="false">
      <c r="A25" s="15" t="s">
        <v>5524</v>
      </c>
    </row>
    <row r="26" customFormat="false" ht="15" hidden="false" customHeight="false" outlineLevel="0" collapsed="false">
      <c r="A26" s="10" t="s">
        <v>5525</v>
      </c>
      <c r="B26" s="10" t="s">
        <v>5526</v>
      </c>
      <c r="C26" s="11" t="s">
        <v>5527</v>
      </c>
      <c r="K26" s="10" t="n">
        <f aca="false">SRC_ZP_356</f>
        <v>49</v>
      </c>
      <c r="L26" s="10" t="n">
        <f aca="false">SRC_ZP_356</f>
        <v>49</v>
      </c>
      <c r="M26" s="13" t="s">
        <v>5528</v>
      </c>
    </row>
    <row r="27" customFormat="false" ht="15" hidden="false" customHeight="false" outlineLevel="0" collapsed="false">
      <c r="A27" s="10" t="s">
        <v>5529</v>
      </c>
      <c r="B27" s="10" t="s">
        <v>5530</v>
      </c>
      <c r="C27" s="11" t="s">
        <v>5527</v>
      </c>
      <c r="K27" s="10" t="n">
        <f aca="false">SRC_ZP_373/INP_012*INP_023</f>
        <v>67.399</v>
      </c>
      <c r="L27" s="10" t="n">
        <f aca="false">SRC_ZP_367*INP_023</f>
        <v>121.3182</v>
      </c>
      <c r="M27" s="13" t="s">
        <v>5531</v>
      </c>
    </row>
    <row r="28" customFormat="false" ht="15" hidden="false" customHeight="false" outlineLevel="0" collapsed="false">
      <c r="A28" s="10" t="s">
        <v>5532</v>
      </c>
      <c r="B28" s="10" t="s">
        <v>5533</v>
      </c>
      <c r="C28" s="11" t="s">
        <v>5527</v>
      </c>
      <c r="D28" s="10" t="n">
        <f aca="false">K28/(1+SRC_ZP_350/INP_014)</f>
        <v>33.5505846153846</v>
      </c>
      <c r="E28" s="10" t="n">
        <f aca="false">(K28+L28)/INP_013</f>
        <v>50.086064</v>
      </c>
      <c r="F28" s="10" t="n">
        <f aca="false">L28*(1+INP_059)</f>
        <v>56.556368</v>
      </c>
      <c r="G28" s="10" t="n">
        <f aca="false">F28*(1+INP_059)</f>
        <v>56.556368</v>
      </c>
      <c r="H28" s="10" t="n">
        <f aca="false">G28*(1+INP_059)</f>
        <v>56.556368</v>
      </c>
      <c r="I28" s="10" t="n">
        <f aca="false">H28*(1+INP_059)</f>
        <v>56.556368</v>
      </c>
      <c r="K28" s="10" t="n">
        <f aca="false">((1-INP_057)*K26+INP_057*K27)*(1-INP_058)</f>
        <v>43.61576</v>
      </c>
      <c r="L28" s="10" t="n">
        <f aca="false">((1-INP_057)*L26+INP_057*L27)*(1-INP_058)</f>
        <v>56.556368</v>
      </c>
      <c r="M28" s="2" t="s">
        <v>5534</v>
      </c>
    </row>
    <row r="29" customFormat="false" ht="15" hidden="false" customHeight="false" outlineLevel="0" collapsed="false">
      <c r="A29" s="10" t="s">
        <v>5535</v>
      </c>
      <c r="B29" s="10" t="s">
        <v>5536</v>
      </c>
      <c r="C29" s="11" t="s">
        <v>5527</v>
      </c>
      <c r="K29" s="10" t="n">
        <f aca="false">SRC_ZP_359</f>
        <v>149</v>
      </c>
      <c r="L29" s="10" t="n">
        <f aca="false">SRC_ZP_359</f>
        <v>149</v>
      </c>
      <c r="M29" s="13" t="s">
        <v>5528</v>
      </c>
    </row>
    <row r="30" customFormat="false" ht="15" hidden="false" customHeight="false" outlineLevel="0" collapsed="false">
      <c r="A30" s="10" t="s">
        <v>5537</v>
      </c>
      <c r="B30" s="10" t="s">
        <v>5538</v>
      </c>
      <c r="C30" s="11" t="s">
        <v>5527</v>
      </c>
      <c r="K30" s="10" t="n">
        <f aca="false">SRC_ZP_374/INP_012*INP_023</f>
        <v>202.197</v>
      </c>
      <c r="L30" s="10" t="n">
        <f aca="false">SRC_ZP_369*INP_023</f>
        <v>485.2728</v>
      </c>
      <c r="M30" s="13" t="s">
        <v>5531</v>
      </c>
    </row>
    <row r="31" customFormat="false" ht="15" hidden="false" customHeight="false" outlineLevel="0" collapsed="false">
      <c r="A31" s="10" t="s">
        <v>5539</v>
      </c>
      <c r="B31" s="10" t="s">
        <v>5540</v>
      </c>
      <c r="C31" s="11" t="s">
        <v>5527</v>
      </c>
      <c r="D31" s="10" t="n">
        <f aca="false">K31/(1+SRC_ZP_350/INP_014)</f>
        <v>101.513292307692</v>
      </c>
      <c r="E31" s="10" t="n">
        <f aca="false">(K31+L31)/INP_013</f>
        <v>165.936376</v>
      </c>
      <c r="F31" s="10" t="n">
        <f aca="false">L31*(1+INP_059)</f>
        <v>199.905472</v>
      </c>
      <c r="G31" s="10" t="n">
        <f aca="false">F31*(1+INP_059)</f>
        <v>199.905472</v>
      </c>
      <c r="H31" s="10" t="n">
        <f aca="false">G31*(1+INP_059)</f>
        <v>199.905472</v>
      </c>
      <c r="I31" s="10" t="n">
        <f aca="false">H31*(1+INP_059)</f>
        <v>199.905472</v>
      </c>
      <c r="K31" s="10" t="n">
        <f aca="false">((1-INP_057)*K29+INP_057*K30)*(1-INP_058)</f>
        <v>131.96728</v>
      </c>
      <c r="L31" s="10" t="n">
        <f aca="false">((1-INP_057)*L29+INP_057*L30)*(1-INP_058)</f>
        <v>199.905472</v>
      </c>
      <c r="M31" s="2" t="s">
        <v>5534</v>
      </c>
    </row>
    <row r="32" customFormat="false" ht="15" hidden="false" customHeight="false" outlineLevel="0" collapsed="false">
      <c r="A32" s="10" t="s">
        <v>5541</v>
      </c>
      <c r="B32" s="10" t="s">
        <v>5542</v>
      </c>
      <c r="C32" s="11" t="s">
        <v>5527</v>
      </c>
      <c r="K32" s="10" t="n">
        <f aca="false">SRC_ZP_362</f>
        <v>469</v>
      </c>
      <c r="L32" s="10" t="n">
        <f aca="false">SRC_ZP_362</f>
        <v>469</v>
      </c>
      <c r="M32" s="13" t="s">
        <v>5528</v>
      </c>
    </row>
    <row r="33" customFormat="false" ht="15" hidden="false" customHeight="false" outlineLevel="0" collapsed="false">
      <c r="A33" s="10" t="s">
        <v>5543</v>
      </c>
      <c r="B33" s="10" t="s">
        <v>5544</v>
      </c>
      <c r="C33" s="11" t="s">
        <v>5527</v>
      </c>
      <c r="K33" s="10" t="n">
        <f aca="false">SRC_ZP_375/INP_012*INP_023</f>
        <v>539.192</v>
      </c>
      <c r="L33" s="10" t="n">
        <f aca="false">SRC_ZP_371*INP_023</f>
        <v>1078.384</v>
      </c>
      <c r="M33" s="13" t="s">
        <v>5531</v>
      </c>
    </row>
    <row r="34" customFormat="false" ht="15" hidden="false" customHeight="false" outlineLevel="0" collapsed="false">
      <c r="A34" s="10" t="s">
        <v>5545</v>
      </c>
      <c r="B34" s="10" t="s">
        <v>5546</v>
      </c>
      <c r="C34" s="11" t="s">
        <v>5527</v>
      </c>
      <c r="D34" s="10" t="n">
        <f aca="false">K34/(1+SRC_ZP_350/INP_014)</f>
        <v>301.573907692308</v>
      </c>
      <c r="E34" s="10" t="n">
        <f aca="false">(K34+L34)/INP_013</f>
        <v>456.74912</v>
      </c>
      <c r="F34" s="10" t="n">
        <f aca="false">L34*(1+INP_059)</f>
        <v>521.45216</v>
      </c>
      <c r="G34" s="10" t="n">
        <f aca="false">F34*(1+INP_059)</f>
        <v>521.45216</v>
      </c>
      <c r="H34" s="10" t="n">
        <f aca="false">G34*(1+INP_059)</f>
        <v>521.45216</v>
      </c>
      <c r="I34" s="10" t="n">
        <f aca="false">H34*(1+INP_059)</f>
        <v>521.45216</v>
      </c>
      <c r="K34" s="10" t="n">
        <f aca="false">((1-INP_057)*K32+INP_057*K33)*(1-INP_058)</f>
        <v>392.04608</v>
      </c>
      <c r="L34" s="10" t="n">
        <f aca="false">((1-INP_057)*L32+INP_057*L33)*(1-INP_058)</f>
        <v>521.45216</v>
      </c>
      <c r="M34" s="2" t="s">
        <v>5534</v>
      </c>
    </row>
    <row r="35" customFormat="false" ht="15" hidden="false" customHeight="false" outlineLevel="0" collapsed="false">
      <c r="A35" s="10" t="s">
        <v>5547</v>
      </c>
      <c r="B35" s="11" t="s">
        <v>5548</v>
      </c>
      <c r="C35" s="11" t="s">
        <v>4720</v>
      </c>
      <c r="D35" s="10" t="n">
        <f aca="false">INP_055</f>
        <v>0.6</v>
      </c>
      <c r="E35" s="10" t="n">
        <f aca="false">INP_055</f>
        <v>0.6</v>
      </c>
      <c r="F35" s="10" t="n">
        <f aca="false">INP_055</f>
        <v>0.6</v>
      </c>
      <c r="G35" s="10" t="n">
        <f aca="false">INP_055</f>
        <v>0.6</v>
      </c>
      <c r="H35" s="10" t="n">
        <f aca="false">INP_055</f>
        <v>0.6</v>
      </c>
      <c r="I35" s="10" t="n">
        <f aca="false">INP_055</f>
        <v>0.6</v>
      </c>
      <c r="K35" s="10" t="n">
        <f aca="false">INP_055</f>
        <v>0.6</v>
      </c>
      <c r="L35" s="10" t="n">
        <f aca="false">INP_055</f>
        <v>0.6</v>
      </c>
      <c r="M35" s="13" t="s">
        <v>14</v>
      </c>
    </row>
    <row r="36" customFormat="false" ht="15" hidden="false" customHeight="false" outlineLevel="0" collapsed="false">
      <c r="A36" s="10" t="s">
        <v>5549</v>
      </c>
      <c r="B36" s="11" t="s">
        <v>5550</v>
      </c>
      <c r="C36" s="11" t="s">
        <v>4720</v>
      </c>
      <c r="D36" s="10" t="n">
        <f aca="false">INP_056</f>
        <v>0.3</v>
      </c>
      <c r="E36" s="10" t="n">
        <f aca="false">INP_056</f>
        <v>0.3</v>
      </c>
      <c r="F36" s="10" t="n">
        <f aca="false">INP_056</f>
        <v>0.3</v>
      </c>
      <c r="G36" s="10" t="n">
        <f aca="false">INP_056</f>
        <v>0.3</v>
      </c>
      <c r="H36" s="10" t="n">
        <f aca="false">INP_056</f>
        <v>0.3</v>
      </c>
      <c r="I36" s="10" t="n">
        <f aca="false">INP_056</f>
        <v>0.3</v>
      </c>
      <c r="K36" s="10" t="n">
        <f aca="false">INP_056</f>
        <v>0.3</v>
      </c>
      <c r="L36" s="10" t="n">
        <f aca="false">INP_056</f>
        <v>0.3</v>
      </c>
      <c r="M36" s="13" t="s">
        <v>14</v>
      </c>
    </row>
    <row r="37" customFormat="false" ht="15" hidden="false" customHeight="false" outlineLevel="0" collapsed="false">
      <c r="A37" s="10" t="s">
        <v>5551</v>
      </c>
      <c r="B37" s="11" t="s">
        <v>5552</v>
      </c>
      <c r="C37" s="11" t="s">
        <v>4720</v>
      </c>
      <c r="D37" s="10" t="n">
        <f aca="false">(1-D35-D36)</f>
        <v>0.1</v>
      </c>
      <c r="E37" s="10" t="n">
        <f aca="false">(1-E35-E36)</f>
        <v>0.1</v>
      </c>
      <c r="F37" s="10" t="n">
        <f aca="false">(1-F35-F36)</f>
        <v>0.1</v>
      </c>
      <c r="G37" s="10" t="n">
        <f aca="false">(1-G35-G36)</f>
        <v>0.1</v>
      </c>
      <c r="H37" s="10" t="n">
        <f aca="false">(1-H35-H36)</f>
        <v>0.1</v>
      </c>
      <c r="I37" s="10" t="n">
        <f aca="false">(1-I35-I36)</f>
        <v>0.1</v>
      </c>
      <c r="K37" s="10" t="n">
        <f aca="false">(1-K35-K36)</f>
        <v>0.1</v>
      </c>
      <c r="L37" s="10" t="n">
        <f aca="false">(1-L35-L36)</f>
        <v>0.1</v>
      </c>
      <c r="M37" s="2" t="s">
        <v>5553</v>
      </c>
    </row>
    <row r="38" customFormat="false" ht="15" hidden="false" customHeight="false" outlineLevel="0" collapsed="false">
      <c r="A38" s="10" t="s">
        <v>5554</v>
      </c>
      <c r="B38" s="11" t="s">
        <v>5555</v>
      </c>
      <c r="C38" s="11" t="s">
        <v>5527</v>
      </c>
      <c r="D38" s="10" t="n">
        <f aca="false">D35*D28+D36*D31+D37*D34</f>
        <v>80.7417292307692</v>
      </c>
      <c r="E38" s="10" t="n">
        <f aca="false">E35*E28+E36*E31+E37*E34</f>
        <v>125.5074632</v>
      </c>
      <c r="F38" s="10" t="n">
        <f aca="false">F35*F28+F36*F31+F37*F34</f>
        <v>146.0506784</v>
      </c>
      <c r="G38" s="10" t="n">
        <f aca="false">G35*G28+G36*G31+G37*G34</f>
        <v>146.0506784</v>
      </c>
      <c r="H38" s="10" t="n">
        <f aca="false">H35*H28+H36*H31+H37*H34</f>
        <v>146.0506784</v>
      </c>
      <c r="I38" s="10" t="n">
        <f aca="false">I35*I28+I36*I31+I37*I34</f>
        <v>146.0506784</v>
      </c>
      <c r="K38" s="10" t="n">
        <f aca="false">K35*K28+K36*K31+K37*K34</f>
        <v>104.964248</v>
      </c>
      <c r="L38" s="10" t="n">
        <f aca="false">L35*L28+L36*L31+L37*L34</f>
        <v>146.0506784</v>
      </c>
      <c r="M38" s="2"/>
    </row>
    <row r="39" customFormat="false" ht="15" hidden="false" customHeight="false" outlineLevel="0" collapsed="false">
      <c r="A39" s="15" t="s">
        <v>5556</v>
      </c>
    </row>
    <row r="40" customFormat="false" ht="15" hidden="false" customHeight="false" outlineLevel="0" collapsed="false">
      <c r="A40" s="10" t="s">
        <v>5557</v>
      </c>
      <c r="B40" s="10" t="s">
        <v>5558</v>
      </c>
      <c r="C40" s="10" t="s">
        <v>63</v>
      </c>
      <c r="D40" s="16" t="n">
        <f aca="false">Demand!D17*D28*INP_010/INP_017</f>
        <v>0.0876878079507692</v>
      </c>
      <c r="E40" s="10" t="n">
        <f aca="false">K40+L40</f>
        <v>1.119059118144</v>
      </c>
      <c r="F40" s="16" t="n">
        <f aca="false">Demand!F17*F28*INP_010/INP_017</f>
        <v>1.84769654256</v>
      </c>
      <c r="G40" s="16" t="n">
        <f aca="false">Demand!G17*G28*INP_010/INP_017</f>
        <v>2.402005505328</v>
      </c>
      <c r="H40" s="16" t="n">
        <f aca="false">Demand!H17*H28*INP_010/INP_017</f>
        <v>2.8824066063936</v>
      </c>
      <c r="I40" s="16" t="n">
        <f aca="false">Demand!I17*I28*INP_010/INP_017</f>
        <v>3.31476759735264</v>
      </c>
      <c r="K40" s="16" t="n">
        <f aca="false">Demand!K17*K28*INP_011/INP_017</f>
        <v>0.37998050112</v>
      </c>
      <c r="L40" s="16" t="n">
        <f aca="false">Demand!L17*L28*INP_011/INP_017</f>
        <v>0.739078617024</v>
      </c>
      <c r="M40" s="2" t="s">
        <v>5559</v>
      </c>
    </row>
    <row r="41" customFormat="false" ht="15" hidden="false" customHeight="false" outlineLevel="0" collapsed="false">
      <c r="A41" s="10" t="s">
        <v>5560</v>
      </c>
      <c r="B41" s="10" t="s">
        <v>5561</v>
      </c>
      <c r="C41" s="10" t="s">
        <v>63</v>
      </c>
      <c r="D41" s="16" t="n">
        <f aca="false">Demand!D18*D31*INP_010/INP_017</f>
        <v>0.132657570387692</v>
      </c>
      <c r="E41" s="10" t="n">
        <f aca="false">K41+L41</f>
        <v>1.881031825728</v>
      </c>
      <c r="F41" s="16" t="n">
        <f aca="false">Demand!F18*F31*INP_010/INP_017</f>
        <v>3.26545588512</v>
      </c>
      <c r="G41" s="16" t="n">
        <f aca="false">Demand!G18*G31*INP_010/INP_017</f>
        <v>4.245092650656</v>
      </c>
      <c r="H41" s="16" t="n">
        <f aca="false">Demand!H18*H31*INP_010/INP_017</f>
        <v>5.0941111807872</v>
      </c>
      <c r="I41" s="16" t="n">
        <f aca="false">Demand!I18*I31*INP_010/INP_017</f>
        <v>5.85822785790528</v>
      </c>
      <c r="K41" s="16" t="n">
        <f aca="false">Demand!K18*K31*INP_011/INP_017</f>
        <v>0.57484947168</v>
      </c>
      <c r="L41" s="16" t="n">
        <f aca="false">Demand!L18*L31*INP_011/INP_017</f>
        <v>1.306182354048</v>
      </c>
      <c r="M41" s="2" t="s">
        <v>5559</v>
      </c>
    </row>
    <row r="42" customFormat="false" ht="15" hidden="false" customHeight="false" outlineLevel="0" collapsed="false">
      <c r="A42" s="10" t="s">
        <v>5562</v>
      </c>
      <c r="B42" s="10" t="s">
        <v>5563</v>
      </c>
      <c r="C42" s="10" t="s">
        <v>63</v>
      </c>
      <c r="D42" s="16" t="n">
        <f aca="false">Demand!D19*D34*INP_010/INP_017</f>
        <v>0.131365594190769</v>
      </c>
      <c r="E42" s="10" t="n">
        <f aca="false">K42+L42</f>
        <v>1.70497371264</v>
      </c>
      <c r="F42" s="16" t="n">
        <f aca="false">Demand!F19*F34*INP_010/INP_017</f>
        <v>2.8393070112</v>
      </c>
      <c r="G42" s="16" t="n">
        <f aca="false">Demand!G19*G34*INP_010/INP_017</f>
        <v>3.69109911456</v>
      </c>
      <c r="H42" s="16" t="n">
        <f aca="false">Demand!H19*H34*INP_010/INP_017</f>
        <v>4.429318937472</v>
      </c>
      <c r="I42" s="16" t="n">
        <f aca="false">Demand!I19*I34*INP_010/INP_017</f>
        <v>5.0937167780928</v>
      </c>
      <c r="K42" s="16" t="n">
        <f aca="false">Demand!K19*K34*INP_011/INP_017</f>
        <v>0.56925090816</v>
      </c>
      <c r="L42" s="16" t="n">
        <f aca="false">Demand!L19*L34*INP_011/INP_017</f>
        <v>1.13572280448</v>
      </c>
      <c r="M42" s="2" t="s">
        <v>5559</v>
      </c>
    </row>
    <row r="43" customFormat="false" ht="15" hidden="false" customHeight="false" outlineLevel="0" collapsed="false">
      <c r="A43" s="10" t="s">
        <v>5564</v>
      </c>
      <c r="B43" s="10" t="s">
        <v>5565</v>
      </c>
      <c r="C43" s="10" t="s">
        <v>63</v>
      </c>
      <c r="D43" s="10" t="n">
        <f aca="false">D40+D41+D42</f>
        <v>0.351710972529231</v>
      </c>
      <c r="E43" s="10" t="n">
        <f aca="false">E40+E41+E42</f>
        <v>4.705064656512</v>
      </c>
      <c r="F43" s="10" t="n">
        <f aca="false">F40+F41+F42</f>
        <v>7.95245943888</v>
      </c>
      <c r="G43" s="10" t="n">
        <f aca="false">G40+G41+G42</f>
        <v>10.338197270544</v>
      </c>
      <c r="H43" s="10" t="n">
        <f aca="false">H40+H41+H42</f>
        <v>12.4058367246528</v>
      </c>
      <c r="I43" s="10" t="n">
        <f aca="false">I40+I41+I42</f>
        <v>14.2667122333507</v>
      </c>
      <c r="K43" s="10" t="n">
        <f aca="false">K40+K41+K42</f>
        <v>1.52408088096</v>
      </c>
      <c r="L43" s="10" t="n">
        <f aca="false">L40+L41+L42</f>
        <v>3.180983775552</v>
      </c>
      <c r="M43" s="2" t="s">
        <v>5566</v>
      </c>
    </row>
    <row r="44" customFormat="false" ht="15" hidden="false" customHeight="false" outlineLevel="0" collapsed="false">
      <c r="A44" s="10" t="s">
        <v>5567</v>
      </c>
      <c r="B44" s="11" t="s">
        <v>5568</v>
      </c>
      <c r="C44" s="10" t="s">
        <v>63</v>
      </c>
      <c r="D44" s="10" t="n">
        <f aca="false">SRC_ZP_112-D43</f>
        <v>1.55208902747077</v>
      </c>
      <c r="K44" s="10" t="n">
        <f aca="false">SRC_ZP_169-K43</f>
        <v>6.72771911904</v>
      </c>
      <c r="M44" s="13" t="s">
        <v>5569</v>
      </c>
    </row>
    <row r="45" customFormat="false" ht="15" hidden="false" customHeight="false" outlineLevel="0" collapsed="false">
      <c r="A45" s="10" t="s">
        <v>5570</v>
      </c>
      <c r="B45" s="10" t="s">
        <v>5571</v>
      </c>
      <c r="C45" s="10" t="s">
        <v>63</v>
      </c>
      <c r="D45" s="16" t="n">
        <f aca="false">Demand!D11*D22*D20/INP_015</f>
        <v>1.23100016129753</v>
      </c>
      <c r="E45" s="10" t="n">
        <f aca="false">K45+L45</f>
        <v>28.7914550157818</v>
      </c>
      <c r="F45" s="16" t="n">
        <f aca="false">Demand!F11*F22*F20/INP_015</f>
        <v>63.7983041149841</v>
      </c>
      <c r="G45" s="16" t="n">
        <f aca="false">Demand!G11*G22*G20/INP_015</f>
        <v>110.052074598347</v>
      </c>
      <c r="H45" s="16" t="n">
        <f aca="false">Demand!H11*H22*H20/INP_015</f>
        <v>170.855845813934</v>
      </c>
      <c r="I45" s="16" t="n">
        <f aca="false">Demand!I11*I22*I20/INP_015</f>
        <v>245.605278357531</v>
      </c>
      <c r="K45" s="16" t="n">
        <f aca="false">Demand!K11*K22*K20/INP_015</f>
        <v>6.06650342972165</v>
      </c>
      <c r="L45" s="16" t="n">
        <f aca="false">Demand!L11*L22*L20/INP_015</f>
        <v>22.7249515860601</v>
      </c>
      <c r="M45" s="13" t="s">
        <v>5572</v>
      </c>
    </row>
    <row r="46" customFormat="false" ht="15" hidden="false" customHeight="false" outlineLevel="0" collapsed="false">
      <c r="A46" s="10" t="s">
        <v>5573</v>
      </c>
      <c r="B46" s="10" t="s">
        <v>5574</v>
      </c>
      <c r="C46" s="10" t="s">
        <v>63</v>
      </c>
      <c r="D46" s="16" t="n">
        <f aca="false">Demand!D11*D23*D21/INP_015</f>
        <v>0.321088866173235</v>
      </c>
      <c r="E46" s="10" t="n">
        <f aca="false">K46+L46</f>
        <v>1.9138550435168</v>
      </c>
      <c r="F46" s="16" t="n">
        <f aca="false">Demand!F11*F23*F21/INP_015</f>
        <v>3.51667488324033</v>
      </c>
      <c r="G46" s="16" t="n">
        <f aca="false">Demand!G11*G23*G21/INP_015</f>
        <v>6.06626417358956</v>
      </c>
      <c r="H46" s="16" t="n">
        <f aca="false">Demand!H11*H23*H21/INP_015</f>
        <v>9.41787512949779</v>
      </c>
      <c r="I46" s="16" t="n">
        <f aca="false">Demand!I11*I23*I21/INP_015</f>
        <v>13.5381954986531</v>
      </c>
      <c r="K46" s="16" t="n">
        <f aca="false">Demand!K11*K23*K21/INP_015</f>
        <v>0.661215689318351</v>
      </c>
      <c r="L46" s="16" t="n">
        <f aca="false">Demand!L11*L23*L21/INP_015</f>
        <v>1.25263935419845</v>
      </c>
      <c r="M46" s="13" t="s">
        <v>5572</v>
      </c>
    </row>
    <row r="47" customFormat="false" ht="15" hidden="false" customHeight="false" outlineLevel="0" collapsed="false">
      <c r="A47" s="10" t="s">
        <v>5575</v>
      </c>
      <c r="B47" s="10" t="s">
        <v>5576</v>
      </c>
      <c r="C47" s="10" t="s">
        <v>63</v>
      </c>
      <c r="D47" s="10" t="n">
        <f aca="false">D45+D46</f>
        <v>1.55208902747077</v>
      </c>
      <c r="E47" s="10" t="n">
        <f aca="false">E45+E46</f>
        <v>30.7053100592986</v>
      </c>
      <c r="F47" s="10" t="n">
        <f aca="false">F45+F46</f>
        <v>67.3149789982244</v>
      </c>
      <c r="G47" s="10" t="n">
        <f aca="false">G45+G46</f>
        <v>116.118338771937</v>
      </c>
      <c r="H47" s="10" t="n">
        <f aca="false">H45+H46</f>
        <v>180.273720943432</v>
      </c>
      <c r="I47" s="10" t="n">
        <f aca="false">I45+I46</f>
        <v>259.143473856184</v>
      </c>
      <c r="K47" s="10" t="n">
        <f aca="false">K45+K46</f>
        <v>6.72771911904</v>
      </c>
      <c r="L47" s="10" t="n">
        <f aca="false">L45+L46</f>
        <v>23.9775909402586</v>
      </c>
      <c r="M47" s="2" t="s">
        <v>5577</v>
      </c>
    </row>
    <row r="48" customFormat="false" ht="15" hidden="false" customHeight="false" outlineLevel="0" collapsed="false">
      <c r="A48" s="10" t="s">
        <v>5578</v>
      </c>
      <c r="B48" s="11" t="s">
        <v>5579</v>
      </c>
      <c r="C48" s="10" t="s">
        <v>63</v>
      </c>
      <c r="D48" s="10" t="n">
        <f aca="false">D47+D43</f>
        <v>1.9038</v>
      </c>
      <c r="E48" s="10" t="n">
        <f aca="false">E47+E43</f>
        <v>35.4103747158106</v>
      </c>
      <c r="F48" s="10" t="n">
        <f aca="false">F47+F43</f>
        <v>75.2674384371044</v>
      </c>
      <c r="G48" s="10" t="n">
        <f aca="false">G47+G43</f>
        <v>126.456536042481</v>
      </c>
      <c r="H48" s="10" t="n">
        <f aca="false">H47+H43</f>
        <v>192.679557668085</v>
      </c>
      <c r="I48" s="10" t="n">
        <f aca="false">I47+I43</f>
        <v>273.410186089535</v>
      </c>
      <c r="K48" s="10" t="n">
        <f aca="false">K47+K43</f>
        <v>8.2518</v>
      </c>
      <c r="L48" s="10" t="n">
        <f aca="false">L47+L43</f>
        <v>27.1585747158106</v>
      </c>
      <c r="M48" s="2" t="s">
        <v>5580</v>
      </c>
    </row>
    <row r="49" customFormat="false" ht="15" hidden="false" customHeight="false" outlineLevel="0" collapsed="false">
      <c r="A49" s="10" t="s">
        <v>5581</v>
      </c>
      <c r="B49" s="11" t="s">
        <v>5582</v>
      </c>
      <c r="C49" s="10" t="s">
        <v>63</v>
      </c>
      <c r="D49" s="10" t="n">
        <f aca="false">SRC_ZP_114</f>
        <v>1.6569</v>
      </c>
      <c r="E49" s="10" t="n">
        <f aca="false">K49+L49</f>
        <v>2.0751</v>
      </c>
      <c r="F49" s="10" t="n">
        <f aca="false">E49*(1+INP_070)</f>
        <v>2.0751</v>
      </c>
      <c r="G49" s="10" t="n">
        <f aca="false">F49*(1+INP_070)</f>
        <v>2.0751</v>
      </c>
      <c r="H49" s="10" t="n">
        <f aca="false">G49*(1+INP_070)</f>
        <v>2.0751</v>
      </c>
      <c r="I49" s="10" t="n">
        <f aca="false">H49*(1+INP_070)</f>
        <v>2.0751</v>
      </c>
      <c r="K49" s="10" t="n">
        <f aca="false">SRC_ZP_171</f>
        <v>0.5556</v>
      </c>
      <c r="L49" s="10" t="n">
        <f aca="false">(SRC_ZP_114-SRC_ZP_172)*((1-INP_069)+INP_069*SRC_ZP_171/SRC_ZP_172)</f>
        <v>1.5195</v>
      </c>
      <c r="M49" s="13" t="s">
        <v>5583</v>
      </c>
    </row>
    <row r="50" customFormat="false" ht="15" hidden="false" customHeight="false" outlineLevel="0" collapsed="false">
      <c r="A50" s="10" t="s">
        <v>5584</v>
      </c>
      <c r="B50" s="11" t="s">
        <v>5585</v>
      </c>
      <c r="C50" s="10" t="s">
        <v>63</v>
      </c>
      <c r="D50" s="10" t="n">
        <f aca="false">SRC_ZP_116</f>
        <v>3.6572</v>
      </c>
      <c r="E50" s="10" t="n">
        <f aca="false">K50+L50</f>
        <v>2.8521</v>
      </c>
      <c r="F50" s="10" t="n">
        <f aca="false">E50*(1+INP_070)</f>
        <v>2.8521</v>
      </c>
      <c r="G50" s="10" t="n">
        <f aca="false">F50*(1+INP_070)</f>
        <v>2.8521</v>
      </c>
      <c r="H50" s="10" t="n">
        <f aca="false">G50*(1+INP_070)</f>
        <v>2.8521</v>
      </c>
      <c r="I50" s="10" t="n">
        <f aca="false">H50*(1+INP_070)</f>
        <v>2.8521</v>
      </c>
      <c r="K50" s="10" t="n">
        <f aca="false">SRC_ZP_173</f>
        <v>0.6704</v>
      </c>
      <c r="L50" s="10" t="n">
        <f aca="false">(SRC_ZP_116-SRC_ZP_174)*((1-INP_069)+INP_069*SRC_ZP_173/SRC_ZP_174)</f>
        <v>2.1817</v>
      </c>
      <c r="M50" s="13" t="s">
        <v>5583</v>
      </c>
    </row>
    <row r="51" customFormat="false" ht="15" hidden="false" customHeight="false" outlineLevel="0" collapsed="false">
      <c r="A51" s="10" t="s">
        <v>5586</v>
      </c>
      <c r="B51" s="11" t="s">
        <v>5587</v>
      </c>
      <c r="C51" s="10" t="s">
        <v>63</v>
      </c>
      <c r="D51" s="10" t="n">
        <f aca="false">SRC_ZP_118</f>
        <v>0.0254</v>
      </c>
      <c r="E51" s="10" t="n">
        <f aca="false">K51+L51</f>
        <v>0.0818</v>
      </c>
      <c r="F51" s="10" t="n">
        <f aca="false">E51*(1+INP_070)</f>
        <v>0.0818</v>
      </c>
      <c r="G51" s="10" t="n">
        <f aca="false">F51*(1+INP_070)</f>
        <v>0.0818</v>
      </c>
      <c r="H51" s="10" t="n">
        <f aca="false">G51*(1+INP_070)</f>
        <v>0.0818</v>
      </c>
      <c r="I51" s="10" t="n">
        <f aca="false">H51*(1+INP_070)</f>
        <v>0.0818</v>
      </c>
      <c r="K51" s="10" t="n">
        <f aca="false">SRC_ZP_175</f>
        <v>0.0612</v>
      </c>
      <c r="L51" s="10" t="n">
        <f aca="false">(SRC_ZP_118-SRC_ZP_176)*((1-INP_069)+INP_069*SRC_ZP_175/SRC_ZP_176)</f>
        <v>0.0206</v>
      </c>
      <c r="M51" s="13" t="s">
        <v>5583</v>
      </c>
    </row>
    <row r="52" customFormat="false" ht="15" hidden="false" customHeight="false" outlineLevel="0" collapsed="false">
      <c r="A52" s="10" t="s">
        <v>5588</v>
      </c>
      <c r="B52" s="11" t="s">
        <v>5589</v>
      </c>
      <c r="C52" s="10" t="s">
        <v>63</v>
      </c>
      <c r="D52" s="10" t="n">
        <f aca="false">D49+D50+D51</f>
        <v>5.3395</v>
      </c>
      <c r="E52" s="10" t="n">
        <f aca="false">E49+E50+E51</f>
        <v>5.009</v>
      </c>
      <c r="F52" s="10" t="n">
        <f aca="false">F49+F50+F51</f>
        <v>5.009</v>
      </c>
      <c r="G52" s="10" t="n">
        <f aca="false">G49+G50+G51</f>
        <v>5.009</v>
      </c>
      <c r="H52" s="10" t="n">
        <f aca="false">H49+H50+H51</f>
        <v>5.009</v>
      </c>
      <c r="I52" s="10" t="n">
        <f aca="false">I49+I50+I51</f>
        <v>5.009</v>
      </c>
      <c r="K52" s="10" t="n">
        <f aca="false">K49+K50+K51</f>
        <v>1.2872</v>
      </c>
      <c r="L52" s="10" t="n">
        <f aca="false">L49+L50+L51</f>
        <v>3.7218</v>
      </c>
      <c r="M52" s="13" t="s">
        <v>5590</v>
      </c>
    </row>
    <row r="53" customFormat="false" ht="15" hidden="false" customHeight="false" outlineLevel="0" collapsed="false">
      <c r="A53" s="10" t="s">
        <v>5591</v>
      </c>
      <c r="B53" s="11" t="s">
        <v>5592</v>
      </c>
      <c r="C53" s="10" t="s">
        <v>63</v>
      </c>
      <c r="D53" s="10" t="n">
        <f aca="false">INP_071</f>
        <v>0</v>
      </c>
      <c r="E53" s="10" t="n">
        <f aca="false">INP_071</f>
        <v>0</v>
      </c>
      <c r="F53" s="10" t="n">
        <f aca="false">INP_071</f>
        <v>0</v>
      </c>
      <c r="G53" s="10" t="n">
        <f aca="false">INP_071</f>
        <v>0</v>
      </c>
      <c r="H53" s="10" t="n">
        <f aca="false">INP_071</f>
        <v>0</v>
      </c>
      <c r="I53" s="10" t="n">
        <f aca="false">INP_071</f>
        <v>0</v>
      </c>
      <c r="K53" s="10" t="n">
        <f aca="false">INP_071</f>
        <v>0</v>
      </c>
      <c r="L53" s="10" t="n">
        <f aca="false">INP_071</f>
        <v>0</v>
      </c>
      <c r="M53" s="2" t="s">
        <v>5593</v>
      </c>
    </row>
    <row r="54" customFormat="false" ht="15" hidden="false" customHeight="false" outlineLevel="0" collapsed="false">
      <c r="A54" s="10" t="s">
        <v>5594</v>
      </c>
      <c r="B54" s="11" t="s">
        <v>5595</v>
      </c>
      <c r="C54" s="10" t="s">
        <v>63</v>
      </c>
      <c r="D54" s="10" t="n">
        <f aca="false">D48+D52+D53</f>
        <v>7.2433</v>
      </c>
      <c r="E54" s="10" t="n">
        <f aca="false">E48+E52+E53</f>
        <v>40.4193747158106</v>
      </c>
      <c r="F54" s="10" t="n">
        <f aca="false">F48+F52+F53</f>
        <v>80.2764384371044</v>
      </c>
      <c r="G54" s="10" t="n">
        <f aca="false">G48+G52+G53</f>
        <v>131.465536042481</v>
      </c>
      <c r="H54" s="10" t="n">
        <f aca="false">H48+H52+H53</f>
        <v>197.688557668085</v>
      </c>
      <c r="I54" s="10" t="n">
        <f aca="false">I48+I52+I53</f>
        <v>278.419186089535</v>
      </c>
      <c r="K54" s="10" t="n">
        <f aca="false">K48+K52+K53</f>
        <v>9.539</v>
      </c>
      <c r="L54" s="10" t="n">
        <f aca="false">L48+L52+L53</f>
        <v>30.8803747158106</v>
      </c>
      <c r="M54" s="2" t="s">
        <v>5596</v>
      </c>
    </row>
    <row r="55" customFormat="false" ht="15" hidden="false" customHeight="false" outlineLevel="0" collapsed="false">
      <c r="A55" s="10" t="s">
        <v>5597</v>
      </c>
      <c r="B55" s="11" t="s">
        <v>5598</v>
      </c>
      <c r="C55" s="10" t="s">
        <v>63</v>
      </c>
      <c r="D55" s="10" t="n">
        <f aca="false">D54</f>
        <v>7.2433</v>
      </c>
      <c r="E55" s="10" t="n">
        <f aca="false">E54</f>
        <v>40.4193747158106</v>
      </c>
      <c r="F55" s="10" t="n">
        <f aca="false">F54</f>
        <v>80.2764384371044</v>
      </c>
      <c r="G55" s="10" t="n">
        <f aca="false">G54</f>
        <v>131.465536042481</v>
      </c>
      <c r="H55" s="10" t="n">
        <f aca="false">H54</f>
        <v>197.688557668085</v>
      </c>
      <c r="I55" s="10" t="n">
        <f aca="false">I54</f>
        <v>278.419186089535</v>
      </c>
      <c r="K55" s="10" t="n">
        <f aca="false">K54</f>
        <v>9.539</v>
      </c>
      <c r="L55" s="10" t="n">
        <f aca="false">L54</f>
        <v>30.8803747158106</v>
      </c>
      <c r="M55" s="13" t="s">
        <v>5599</v>
      </c>
    </row>
    <row r="56" customFormat="false" ht="15" hidden="false" customHeight="false" outlineLevel="0" collapsed="false">
      <c r="A56" s="10" t="s">
        <v>5600</v>
      </c>
      <c r="B56" s="11" t="s">
        <v>5601</v>
      </c>
      <c r="C56" s="10" t="s">
        <v>63</v>
      </c>
      <c r="D56" s="10" t="n">
        <f aca="false">D48</f>
        <v>1.9038</v>
      </c>
      <c r="E56" s="10" t="n">
        <f aca="false">E48</f>
        <v>35.4103747158106</v>
      </c>
      <c r="F56" s="10" t="n">
        <f aca="false">F48</f>
        <v>75.2674384371044</v>
      </c>
      <c r="G56" s="10" t="n">
        <f aca="false">G48</f>
        <v>126.456536042481</v>
      </c>
      <c r="H56" s="10" t="n">
        <f aca="false">H48</f>
        <v>192.679557668085</v>
      </c>
      <c r="I56" s="10" t="n">
        <f aca="false">I48</f>
        <v>273.410186089535</v>
      </c>
      <c r="K56" s="10" t="n">
        <f aca="false">K48</f>
        <v>8.2518</v>
      </c>
      <c r="L56" s="10" t="n">
        <f aca="false">L48</f>
        <v>27.1585747158106</v>
      </c>
      <c r="M56" s="2" t="s">
        <v>5602</v>
      </c>
    </row>
    <row r="57" customFormat="false" ht="15" hidden="false" customHeight="false" outlineLevel="0" collapsed="false">
      <c r="A57" s="10" t="s">
        <v>5603</v>
      </c>
      <c r="B57" s="11" t="s">
        <v>5604</v>
      </c>
      <c r="C57" s="11" t="s">
        <v>4720</v>
      </c>
      <c r="D57" s="16" t="n">
        <f aca="false">Compute!D125</f>
        <v>1</v>
      </c>
      <c r="E57" s="16" t="n">
        <f aca="false">(K56+L56*Compute!L125)/E56</f>
        <v>1</v>
      </c>
      <c r="F57" s="16" t="n">
        <f aca="false">Compute!F125</f>
        <v>1</v>
      </c>
      <c r="G57" s="16" t="n">
        <f aca="false">Compute!G125</f>
        <v>1</v>
      </c>
      <c r="H57" s="16" t="n">
        <f aca="false">Compute!H125</f>
        <v>1</v>
      </c>
      <c r="I57" s="16" t="n">
        <f aca="false">Compute!I125</f>
        <v>1</v>
      </c>
      <c r="M57" s="13" t="s">
        <v>5605</v>
      </c>
    </row>
    <row r="58" customFormat="false" ht="15" hidden="false" customHeight="false" outlineLevel="0" collapsed="false">
      <c r="A58" s="10" t="s">
        <v>5606</v>
      </c>
      <c r="B58" s="11" t="s">
        <v>5607</v>
      </c>
      <c r="C58" s="10" t="s">
        <v>63</v>
      </c>
      <c r="D58" s="10" t="n">
        <f aca="false">D56*D57+D52+D53</f>
        <v>7.2433</v>
      </c>
      <c r="E58" s="10" t="n">
        <f aca="false">E56*E57+E52+E53</f>
        <v>40.4193747158106</v>
      </c>
      <c r="F58" s="10" t="n">
        <f aca="false">F56*F57+F52+F53</f>
        <v>80.2764384371044</v>
      </c>
      <c r="G58" s="10" t="n">
        <f aca="false">G56*G57+G52+G53</f>
        <v>131.465536042481</v>
      </c>
      <c r="H58" s="10" t="n">
        <f aca="false">H56*H57+H52+H53</f>
        <v>197.688557668085</v>
      </c>
      <c r="I58" s="10" t="n">
        <f aca="false">I56*I57+I52+I53</f>
        <v>278.419186089535</v>
      </c>
      <c r="M58" s="2" t="s">
        <v>5608</v>
      </c>
    </row>
    <row r="59" customFormat="false" ht="15" hidden="false" customHeight="false" outlineLevel="0" collapsed="false">
      <c r="A59" s="10" t="s">
        <v>5609</v>
      </c>
      <c r="B59" s="11" t="s">
        <v>5610</v>
      </c>
      <c r="C59" s="10" t="s">
        <v>63</v>
      </c>
      <c r="D59" s="10" t="n">
        <f aca="false">D58</f>
        <v>7.2433</v>
      </c>
      <c r="E59" s="10" t="n">
        <f aca="false">E58</f>
        <v>40.4193747158106</v>
      </c>
      <c r="F59" s="10" t="n">
        <f aca="false">F58</f>
        <v>80.2764384371044</v>
      </c>
      <c r="G59" s="10" t="n">
        <f aca="false">G58</f>
        <v>131.465536042481</v>
      </c>
      <c r="H59" s="10" t="n">
        <f aca="false">H58</f>
        <v>197.688557668085</v>
      </c>
      <c r="I59" s="10" t="n">
        <f aca="false">I58</f>
        <v>278.419186089535</v>
      </c>
      <c r="M59" s="2"/>
    </row>
    <row r="60" customFormat="false" ht="15" hidden="false" customHeight="false" outlineLevel="0" collapsed="false">
      <c r="A60" s="10" t="s">
        <v>5611</v>
      </c>
      <c r="B60" s="11" t="s">
        <v>5612</v>
      </c>
      <c r="C60" s="10" t="s">
        <v>63</v>
      </c>
      <c r="D60" s="10" t="n">
        <f aca="false">D47+D52</f>
        <v>6.89158902747077</v>
      </c>
      <c r="E60" s="10" t="n">
        <f aca="false">E47+E52</f>
        <v>35.7143100592986</v>
      </c>
      <c r="F60" s="10" t="n">
        <f aca="false">F47+F52</f>
        <v>72.3239789982244</v>
      </c>
      <c r="G60" s="10" t="n">
        <f aca="false">G47+G52</f>
        <v>121.127338771937</v>
      </c>
      <c r="H60" s="10" t="n">
        <f aca="false">H47+H52</f>
        <v>185.282720943432</v>
      </c>
      <c r="I60" s="10" t="n">
        <f aca="false">I47+I52</f>
        <v>264.152473856184</v>
      </c>
      <c r="K60" s="10" t="n">
        <f aca="false">K47+K52</f>
        <v>8.01491911904</v>
      </c>
      <c r="L60" s="10" t="n">
        <f aca="false">L47+L52</f>
        <v>27.6993909402586</v>
      </c>
      <c r="M60" s="13" t="s">
        <v>5613</v>
      </c>
    </row>
    <row r="61" customFormat="false" ht="15" hidden="false" customHeight="false" outlineLevel="0" collapsed="false">
      <c r="A61" s="10" t="s">
        <v>5614</v>
      </c>
      <c r="B61" s="11" t="s">
        <v>5615</v>
      </c>
      <c r="C61" s="10" t="s">
        <v>63</v>
      </c>
      <c r="D61" s="10" t="n">
        <f aca="false">D43</f>
        <v>0.351710972529231</v>
      </c>
      <c r="E61" s="10" t="n">
        <f aca="false">E43</f>
        <v>4.705064656512</v>
      </c>
      <c r="F61" s="10" t="n">
        <f aca="false">F43</f>
        <v>7.95245943888</v>
      </c>
      <c r="G61" s="10" t="n">
        <f aca="false">G43</f>
        <v>10.338197270544</v>
      </c>
      <c r="H61" s="10" t="n">
        <f aca="false">H43</f>
        <v>12.4058367246528</v>
      </c>
      <c r="I61" s="10" t="n">
        <f aca="false">I43</f>
        <v>14.2667122333507</v>
      </c>
      <c r="K61" s="10" t="n">
        <f aca="false">K43</f>
        <v>1.52408088096</v>
      </c>
      <c r="L61" s="10" t="n">
        <f aca="false">L43</f>
        <v>3.180983775552</v>
      </c>
      <c r="M61" s="13" t="s">
        <v>5616</v>
      </c>
    </row>
    <row r="62" customFormat="false" ht="15" hidden="false" customHeight="false" outlineLevel="0" collapsed="false">
      <c r="A62" s="10" t="s">
        <v>5617</v>
      </c>
      <c r="B62" s="11" t="s">
        <v>5618</v>
      </c>
      <c r="C62" s="10" t="s">
        <v>63</v>
      </c>
      <c r="D62" s="10" t="n">
        <f aca="false">D60+D61+D53-D54</f>
        <v>0</v>
      </c>
      <c r="E62" s="10" t="n">
        <f aca="false">E60+E61+E53-E54</f>
        <v>0</v>
      </c>
      <c r="F62" s="10" t="n">
        <f aca="false">F60+F61+F53-F54</f>
        <v>0</v>
      </c>
      <c r="G62" s="10" t="n">
        <f aca="false">G60+G61+G53-G54</f>
        <v>0</v>
      </c>
      <c r="H62" s="10" t="n">
        <f aca="false">H60+H61+H53-H54</f>
        <v>0</v>
      </c>
      <c r="I62" s="10" t="n">
        <f aca="false">I60+I61+I53-I54</f>
        <v>0</v>
      </c>
      <c r="K62" s="10" t="n">
        <f aca="false">K60+K61+K53-K54</f>
        <v>0</v>
      </c>
      <c r="L62" s="10" t="n">
        <f aca="false">L60+L61+L53-L54</f>
        <v>0</v>
      </c>
      <c r="M62" s="2"/>
    </row>
    <row r="63" customFormat="false" ht="15" hidden="false" customHeight="false" outlineLevel="0" collapsed="false">
      <c r="A63" s="10" t="s">
        <v>5619</v>
      </c>
      <c r="B63" s="11" t="s">
        <v>5620</v>
      </c>
      <c r="C63" s="11" t="s">
        <v>4720</v>
      </c>
      <c r="D63" s="10" t="n">
        <f aca="false">D56/D54</f>
        <v>0.26283600016567</v>
      </c>
      <c r="E63" s="10" t="n">
        <f aca="false">E56/E54</f>
        <v>0.876074282810697</v>
      </c>
      <c r="F63" s="10" t="n">
        <f aca="false">F56/F54</f>
        <v>0.937603111230146</v>
      </c>
      <c r="G63" s="10" t="n">
        <f aca="false">G56/G54</f>
        <v>0.961898759547282</v>
      </c>
      <c r="H63" s="10" t="n">
        <f aca="false">H56/H54</f>
        <v>0.974662165281159</v>
      </c>
      <c r="I63" s="10" t="n">
        <f aca="false">I56/I54</f>
        <v>0.982009142148741</v>
      </c>
      <c r="K63" s="10" t="n">
        <f aca="false">K56/K54</f>
        <v>0.865059230527309</v>
      </c>
      <c r="L63" s="10" t="n">
        <f aca="false">L56/L54</f>
        <v>0.879476851098751</v>
      </c>
      <c r="M63" s="13" t="s">
        <v>5621</v>
      </c>
    </row>
    <row r="64" customFormat="false" ht="15" hidden="false" customHeight="false" outlineLevel="0" collapsed="false">
      <c r="A64" s="10" t="s">
        <v>5622</v>
      </c>
      <c r="B64" s="11" t="s">
        <v>5623</v>
      </c>
      <c r="C64" s="11" t="s">
        <v>4720</v>
      </c>
      <c r="E64" s="10" t="n">
        <f aca="false">(E54-D54)/D54</f>
        <v>4.58024308199447</v>
      </c>
      <c r="F64" s="10" t="n">
        <f aca="false">(F54-E54)/E54</f>
        <v>0.986088082795186</v>
      </c>
      <c r="G64" s="10" t="n">
        <f aca="false">(G54-F54)/F54</f>
        <v>0.637660297367112</v>
      </c>
      <c r="H64" s="10" t="n">
        <f aca="false">(H54-G54)/G54</f>
        <v>0.503729141637586</v>
      </c>
      <c r="I64" s="10" t="n">
        <f aca="false">(I54-H54)/H54</f>
        <v>0.408372792910931</v>
      </c>
      <c r="M64" s="2"/>
    </row>
    <row r="65" customFormat="false" ht="15" hidden="false" customHeight="false" outlineLevel="0" collapsed="false">
      <c r="A65" s="15" t="s">
        <v>5624</v>
      </c>
    </row>
    <row r="66" customFormat="false" ht="15" hidden="false" customHeight="false" outlineLevel="0" collapsed="false">
      <c r="A66" s="10" t="s">
        <v>5625</v>
      </c>
      <c r="B66" s="10" t="s">
        <v>5626</v>
      </c>
      <c r="C66" s="10" t="s">
        <v>63</v>
      </c>
      <c r="D66" s="10" t="n">
        <f aca="false">D48-SRC_ZP_112</f>
        <v>0</v>
      </c>
      <c r="M66" s="2"/>
    </row>
    <row r="67" customFormat="false" ht="15" hidden="false" customHeight="false" outlineLevel="0" collapsed="false">
      <c r="A67" s="10" t="s">
        <v>5627</v>
      </c>
      <c r="B67" s="10" t="s">
        <v>5628</v>
      </c>
      <c r="C67" s="10" t="s">
        <v>63</v>
      </c>
      <c r="K67" s="10" t="n">
        <f aca="false">K48-SRC_ZP_169</f>
        <v>0</v>
      </c>
      <c r="M67" s="2"/>
    </row>
    <row r="68" customFormat="false" ht="15" hidden="false" customHeight="false" outlineLevel="0" collapsed="false">
      <c r="A68" s="10" t="s">
        <v>5629</v>
      </c>
      <c r="B68" s="10" t="s">
        <v>5630</v>
      </c>
      <c r="C68" s="10" t="s">
        <v>63</v>
      </c>
      <c r="D68" s="10" t="n">
        <f aca="false">D49-SRC_ZP_114</f>
        <v>0</v>
      </c>
      <c r="M68" s="2"/>
    </row>
    <row r="69" customFormat="false" ht="15" hidden="false" customHeight="false" outlineLevel="0" collapsed="false">
      <c r="A69" s="10" t="s">
        <v>5631</v>
      </c>
      <c r="B69" s="10" t="s">
        <v>5632</v>
      </c>
      <c r="C69" s="10" t="s">
        <v>63</v>
      </c>
      <c r="K69" s="10" t="n">
        <f aca="false">K49-SRC_ZP_171</f>
        <v>0</v>
      </c>
      <c r="M69" s="2"/>
    </row>
    <row r="70" customFormat="false" ht="15" hidden="false" customHeight="false" outlineLevel="0" collapsed="false">
      <c r="A70" s="10" t="s">
        <v>5633</v>
      </c>
      <c r="B70" s="10" t="s">
        <v>5634</v>
      </c>
      <c r="C70" s="10" t="s">
        <v>63</v>
      </c>
      <c r="D70" s="10" t="n">
        <f aca="false">D50-SRC_ZP_116</f>
        <v>0</v>
      </c>
      <c r="M70" s="2"/>
    </row>
    <row r="71" customFormat="false" ht="15" hidden="false" customHeight="false" outlineLevel="0" collapsed="false">
      <c r="A71" s="10" t="s">
        <v>5635</v>
      </c>
      <c r="B71" s="10" t="s">
        <v>5636</v>
      </c>
      <c r="C71" s="10" t="s">
        <v>63</v>
      </c>
      <c r="K71" s="10" t="n">
        <f aca="false">K50-SRC_ZP_173</f>
        <v>0</v>
      </c>
      <c r="M71" s="2"/>
    </row>
    <row r="72" customFormat="false" ht="15" hidden="false" customHeight="false" outlineLevel="0" collapsed="false">
      <c r="A72" s="10" t="s">
        <v>5637</v>
      </c>
      <c r="B72" s="10" t="s">
        <v>5638</v>
      </c>
      <c r="C72" s="10" t="s">
        <v>63</v>
      </c>
      <c r="D72" s="10" t="n">
        <f aca="false">D51-SRC_ZP_118</f>
        <v>0</v>
      </c>
      <c r="M72" s="2"/>
    </row>
    <row r="73" customFormat="false" ht="15" hidden="false" customHeight="false" outlineLevel="0" collapsed="false">
      <c r="A73" s="10" t="s">
        <v>5639</v>
      </c>
      <c r="B73" s="10" t="s">
        <v>5640</v>
      </c>
      <c r="C73" s="10" t="s">
        <v>63</v>
      </c>
      <c r="K73" s="10" t="n">
        <f aca="false">K51-SRC_ZP_175</f>
        <v>0</v>
      </c>
      <c r="M73" s="2"/>
    </row>
    <row r="74" customFormat="false" ht="15" hidden="false" customHeight="false" outlineLevel="0" collapsed="false">
      <c r="A74" s="10" t="s">
        <v>5641</v>
      </c>
      <c r="B74" s="10" t="s">
        <v>5642</v>
      </c>
      <c r="C74" s="10" t="s">
        <v>63</v>
      </c>
      <c r="D74" s="10" t="n">
        <f aca="false">D54-SRC_ZP_120</f>
        <v>0</v>
      </c>
      <c r="M74" s="2"/>
    </row>
    <row r="75" customFormat="false" ht="15" hidden="false" customHeight="false" outlineLevel="0" collapsed="false">
      <c r="A75" s="10" t="s">
        <v>5643</v>
      </c>
      <c r="B75" s="10" t="s">
        <v>5644</v>
      </c>
      <c r="C75" s="10" t="s">
        <v>63</v>
      </c>
      <c r="K75" s="10" t="n">
        <f aca="false">K54-SRC_ZP_177</f>
        <v>9.99999999979906E-005</v>
      </c>
      <c r="M75" s="2" t="s">
        <v>5645</v>
      </c>
    </row>
    <row r="76" customFormat="false" ht="15" hidden="false" customHeight="false" outlineLevel="0" collapsed="false">
      <c r="A76" s="10" t="s">
        <v>5646</v>
      </c>
      <c r="B76" s="10" t="s">
        <v>5647</v>
      </c>
      <c r="C76" s="10" t="s">
        <v>63</v>
      </c>
      <c r="D76" s="10" t="n">
        <f aca="false">SRC_ZP_991*INP_007*D24/INP_015+D43</f>
        <v>36.1521665725292</v>
      </c>
      <c r="M76" s="2" t="s">
        <v>5648</v>
      </c>
    </row>
    <row r="77" customFormat="false" ht="15" hidden="false" customHeight="false" outlineLevel="0" collapsed="false">
      <c r="A77" s="10" t="s">
        <v>5649</v>
      </c>
      <c r="B77" s="10" t="s">
        <v>5650</v>
      </c>
      <c r="C77" s="10" t="s">
        <v>63</v>
      </c>
      <c r="D77" s="10" t="n">
        <f aca="false">D76-SRC_ZP_112</f>
        <v>34.2483665725292</v>
      </c>
      <c r="M77" s="2" t="s">
        <v>5651</v>
      </c>
    </row>
    <row r="78" customFormat="false" ht="15" hidden="false" customHeight="false" outlineLevel="0" collapsed="false">
      <c r="A78" s="10" t="s">
        <v>5652</v>
      </c>
      <c r="B78" s="11" t="s">
        <v>5653</v>
      </c>
      <c r="C78" s="11" t="s">
        <v>4720</v>
      </c>
      <c r="K78" s="10" t="n">
        <f aca="false">(K24-D24)/D24</f>
        <v>0.578681729516549</v>
      </c>
      <c r="M78" s="2" t="s">
        <v>5654</v>
      </c>
    </row>
    <row r="79" customFormat="false" ht="15" hidden="false" customHeight="false" outlineLevel="0" collapsed="false">
      <c r="A79" s="10" t="s">
        <v>5655</v>
      </c>
      <c r="B79" s="11" t="s">
        <v>5656</v>
      </c>
      <c r="C79" s="11" t="s">
        <v>4720</v>
      </c>
      <c r="L79" s="10" t="n">
        <f aca="false">(L24-D24)/D24</f>
        <v>1.00434369296006</v>
      </c>
      <c r="M79" s="2" t="s">
        <v>5657</v>
      </c>
    </row>
    <row r="80" customFormat="false" ht="15" hidden="false" customHeight="false" outlineLevel="0" collapsed="false">
      <c r="A80" s="10" t="s">
        <v>5658</v>
      </c>
      <c r="B80" s="11" t="s">
        <v>5659</v>
      </c>
      <c r="C80" s="11" t="s">
        <v>4720</v>
      </c>
      <c r="K80" s="10" t="n">
        <f aca="false">SRC_ZP_347/INP_014</f>
        <v>1.01</v>
      </c>
      <c r="M80" s="13" t="s">
        <v>5660</v>
      </c>
    </row>
    <row r="81" customFormat="false" ht="15" hidden="false" customHeight="false" outlineLevel="0" collapsed="false">
      <c r="A81" s="10" t="s">
        <v>5661</v>
      </c>
      <c r="B81" s="11" t="s">
        <v>5662</v>
      </c>
      <c r="C81" s="11" t="s">
        <v>4720</v>
      </c>
      <c r="L81" s="10" t="n">
        <f aca="false">SRC_ZP_346/INP_014</f>
        <v>0.83</v>
      </c>
      <c r="M81" s="13" t="s">
        <v>5663</v>
      </c>
    </row>
    <row r="82" customFormat="false" ht="15" hidden="false" customHeight="false" outlineLevel="0" collapsed="false">
      <c r="A82" s="10" t="s">
        <v>5664</v>
      </c>
      <c r="B82" s="11" t="s">
        <v>5665</v>
      </c>
      <c r="C82" s="10" t="s">
        <v>63</v>
      </c>
      <c r="L82" s="10" t="n">
        <f aca="false">L56*INP_013</f>
        <v>54.3171494316211</v>
      </c>
      <c r="M82" s="2" t="s">
        <v>5666</v>
      </c>
    </row>
    <row r="83" customFormat="false" ht="15" hidden="false" customHeight="false" outlineLevel="0" collapsed="false">
      <c r="A83" s="10" t="s">
        <v>5667</v>
      </c>
      <c r="B83" s="11" t="s">
        <v>5668</v>
      </c>
      <c r="C83" s="10" t="s">
        <v>63</v>
      </c>
      <c r="L83" s="10" t="n">
        <f aca="false">SRC_ZP_417*INP_023</f>
        <v>107.8384</v>
      </c>
      <c r="M83" s="13" t="s">
        <v>5669</v>
      </c>
    </row>
    <row r="84" customFormat="false" ht="15" hidden="false" customHeight="false" outlineLevel="0" collapsed="false">
      <c r="A84" s="10" t="s">
        <v>5670</v>
      </c>
      <c r="B84" s="11" t="s">
        <v>5671</v>
      </c>
      <c r="C84" s="11" t="s">
        <v>4720</v>
      </c>
      <c r="L84" s="10" t="n">
        <f aca="false">(L82-L83)/L83</f>
        <v>-0.496309761350121</v>
      </c>
      <c r="M84" s="13" t="s">
        <v>5672</v>
      </c>
    </row>
    <row r="85" customFormat="false" ht="15" hidden="false" customHeight="false" outlineLevel="0" collapsed="false">
      <c r="A85" s="10" t="s">
        <v>5673</v>
      </c>
      <c r="B85" s="11" t="s">
        <v>5674</v>
      </c>
      <c r="C85" s="10" t="s">
        <v>63</v>
      </c>
      <c r="L85" s="10" t="n">
        <f aca="false">L54*INP_013</f>
        <v>61.7607494316211</v>
      </c>
      <c r="M85" s="2" t="s">
        <v>5675</v>
      </c>
    </row>
    <row r="86" customFormat="false" ht="15" hidden="false" customHeight="false" outlineLevel="0" collapsed="false">
      <c r="A86" s="10" t="s">
        <v>5676</v>
      </c>
      <c r="B86" s="11" t="s">
        <v>5677</v>
      </c>
      <c r="C86" s="10" t="s">
        <v>63</v>
      </c>
      <c r="L86" s="10" t="n">
        <f aca="false">SRC_ZP_419*INP_023</f>
        <v>121.3182</v>
      </c>
      <c r="M86" s="13" t="s">
        <v>5678</v>
      </c>
    </row>
    <row r="87" customFormat="false" ht="15" hidden="false" customHeight="false" outlineLevel="0" collapsed="false">
      <c r="A87" s="10" t="s">
        <v>5679</v>
      </c>
      <c r="B87" s="11" t="s">
        <v>5680</v>
      </c>
      <c r="C87" s="11" t="s">
        <v>4720</v>
      </c>
      <c r="L87" s="10" t="n">
        <f aca="false">(L85-L86)/L86</f>
        <v>-0.490919339129487</v>
      </c>
      <c r="M87" s="13" t="s">
        <v>5681</v>
      </c>
    </row>
    <row r="88" customFormat="false" ht="15" hidden="false" customHeight="false" outlineLevel="0" collapsed="false">
      <c r="A88" s="10" t="s">
        <v>5682</v>
      </c>
      <c r="B88" s="11" t="s">
        <v>5683</v>
      </c>
      <c r="C88" s="10" t="s">
        <v>63</v>
      </c>
      <c r="E88" s="10" t="n">
        <f aca="false">SRC_ZP_582/INP_020</f>
        <v>60.48</v>
      </c>
      <c r="M88" s="13" t="s">
        <v>5684</v>
      </c>
    </row>
    <row r="89" customFormat="false" ht="15" hidden="false" customHeight="false" outlineLevel="0" collapsed="false">
      <c r="A89" s="10" t="s">
        <v>5685</v>
      </c>
      <c r="B89" s="11" t="s">
        <v>5686</v>
      </c>
      <c r="C89" s="10" t="s">
        <v>63</v>
      </c>
      <c r="E89" s="10" t="n">
        <f aca="false">E54-E88</f>
        <v>-20.0606252841894</v>
      </c>
      <c r="M89" s="2"/>
    </row>
    <row r="90" customFormat="false" ht="15" hidden="false" customHeight="false" outlineLevel="0" collapsed="false">
      <c r="A90" s="10" t="s">
        <v>5687</v>
      </c>
      <c r="B90" s="10" t="s">
        <v>5688</v>
      </c>
      <c r="C90" s="11" t="s">
        <v>1709</v>
      </c>
      <c r="L90" s="16" t="n">
        <f aca="false">TK_Link!$J$87*INP_023/L13</f>
        <v>1.1794825</v>
      </c>
      <c r="M90" s="13" t="s">
        <v>5689</v>
      </c>
    </row>
    <row r="91" customFormat="false" ht="15" hidden="false" customHeight="false" outlineLevel="0" collapsed="false">
      <c r="A91" s="10" t="s">
        <v>5690</v>
      </c>
      <c r="B91" s="10" t="s">
        <v>5691</v>
      </c>
      <c r="C91" s="11" t="s">
        <v>1709</v>
      </c>
      <c r="L91" s="16" t="n">
        <f aca="false">TK_Link!$L$87*INP_023/L15</f>
        <v>1.05912714285714</v>
      </c>
      <c r="M91" s="2" t="s">
        <v>1095</v>
      </c>
    </row>
    <row r="92" customFormat="false" ht="15" hidden="false" customHeight="false" outlineLevel="0" collapsed="false">
      <c r="A92" s="10" t="s">
        <v>5692</v>
      </c>
      <c r="B92" s="10" t="s">
        <v>5693</v>
      </c>
      <c r="C92" s="11" t="s">
        <v>5496</v>
      </c>
      <c r="L92" s="16" t="n">
        <f aca="false">TK_Link!$J$91*INP_023</f>
        <v>0.877684755555554</v>
      </c>
      <c r="M92" s="13" t="s">
        <v>5694</v>
      </c>
    </row>
    <row r="93" customFormat="false" ht="15" hidden="false" customHeight="false" outlineLevel="0" collapsed="false">
      <c r="A93" s="10" t="s">
        <v>5695</v>
      </c>
      <c r="B93" s="10" t="s">
        <v>5696</v>
      </c>
      <c r="C93" s="11" t="s">
        <v>5496</v>
      </c>
      <c r="L93" s="16" t="n">
        <f aca="false">TK_Link!$K$89*INP_023</f>
        <v>7.9261224</v>
      </c>
      <c r="M93" s="13" t="s">
        <v>5697</v>
      </c>
    </row>
    <row r="94" customFormat="false" ht="15" hidden="false" customHeight="false" outlineLevel="0" collapsed="false">
      <c r="A94" s="10" t="s">
        <v>5698</v>
      </c>
      <c r="B94" s="11" t="s">
        <v>5699</v>
      </c>
      <c r="C94" s="11" t="s">
        <v>1709</v>
      </c>
      <c r="L94" s="10" t="n">
        <f aca="false">L20/L93</f>
        <v>0.799571301094215</v>
      </c>
      <c r="M94" s="2" t="s">
        <v>5700</v>
      </c>
    </row>
    <row r="95" customFormat="false" ht="15" hidden="false" customHeight="false" outlineLevel="0" collapsed="false">
      <c r="A95" s="10" t="s">
        <v>5701</v>
      </c>
      <c r="B95" s="11" t="s">
        <v>5702</v>
      </c>
      <c r="C95" s="11" t="s">
        <v>1709</v>
      </c>
      <c r="L95" s="10" t="n">
        <f aca="false">L21/L92</f>
        <v>0.928708215926929</v>
      </c>
      <c r="M95" s="2" t="s">
        <v>1095</v>
      </c>
    </row>
    <row r="96" customFormat="false" ht="15" hidden="false" customHeight="false" outlineLevel="0" collapsed="false">
      <c r="A96" s="15" t="s">
        <v>5703</v>
      </c>
    </row>
    <row r="97" customFormat="false" ht="15" hidden="false" customHeight="false" outlineLevel="0" collapsed="false">
      <c r="A97" s="10" t="s">
        <v>5704</v>
      </c>
      <c r="B97" s="11" t="s">
        <v>5705</v>
      </c>
      <c r="C97" s="10" t="s">
        <v>63</v>
      </c>
      <c r="D97" s="10" t="n">
        <f aca="false">SRC_ZP_121</f>
        <v>5.3396</v>
      </c>
      <c r="M97" s="13" t="s">
        <v>5706</v>
      </c>
    </row>
    <row r="98" customFormat="false" ht="15" hidden="false" customHeight="false" outlineLevel="0" collapsed="false">
      <c r="A98" s="10" t="s">
        <v>5707</v>
      </c>
      <c r="B98" s="11" t="s">
        <v>5708</v>
      </c>
      <c r="C98" s="10" t="s">
        <v>63</v>
      </c>
      <c r="D98" s="10" t="n">
        <f aca="false">D52</f>
        <v>5.3395</v>
      </c>
      <c r="M98" s="2"/>
    </row>
    <row r="99" customFormat="false" ht="15" hidden="false" customHeight="false" outlineLevel="0" collapsed="false">
      <c r="A99" s="10" t="s">
        <v>5709</v>
      </c>
      <c r="B99" s="11" t="s">
        <v>5710</v>
      </c>
      <c r="C99" s="10" t="s">
        <v>63</v>
      </c>
      <c r="D99" s="10" t="n">
        <f aca="false">D98-D97</f>
        <v>-9.99999999997669E-005</v>
      </c>
      <c r="M99" s="2" t="s">
        <v>5711</v>
      </c>
    </row>
    <row r="100" customFormat="false" ht="15" hidden="false" customHeight="false" outlineLevel="0" collapsed="false">
      <c r="A100" s="10" t="s">
        <v>5712</v>
      </c>
      <c r="B100" s="11" t="s">
        <v>5713</v>
      </c>
      <c r="C100" s="11" t="s">
        <v>2957</v>
      </c>
      <c r="D100" s="10" t="str">
        <f aca="false">IF(ABS(D99)&lt;=INP_141,"OK","差異")</f>
        <v>OK</v>
      </c>
      <c r="M100" s="2"/>
    </row>
    <row r="101" customFormat="false" ht="15" hidden="false" customHeight="false" outlineLevel="0" collapsed="false">
      <c r="A101" s="10" t="s">
        <v>5714</v>
      </c>
      <c r="B101" s="11" t="s">
        <v>5715</v>
      </c>
      <c r="C101" s="10" t="s">
        <v>63</v>
      </c>
      <c r="D101" s="10" t="n">
        <f aca="false">SRC_ZP_122</f>
        <v>1.9038</v>
      </c>
      <c r="M101" s="13" t="s">
        <v>5716</v>
      </c>
    </row>
    <row r="102" customFormat="false" ht="15" hidden="false" customHeight="false" outlineLevel="0" collapsed="false">
      <c r="A102" s="10" t="s">
        <v>5717</v>
      </c>
      <c r="B102" s="11" t="s">
        <v>5718</v>
      </c>
      <c r="C102" s="10" t="s">
        <v>63</v>
      </c>
      <c r="D102" s="10" t="n">
        <f aca="false">D56</f>
        <v>1.9038</v>
      </c>
      <c r="M102" s="2"/>
    </row>
    <row r="103" customFormat="false" ht="15" hidden="false" customHeight="false" outlineLevel="0" collapsed="false">
      <c r="A103" s="10" t="s">
        <v>5719</v>
      </c>
      <c r="B103" s="11" t="s">
        <v>5720</v>
      </c>
      <c r="C103" s="10" t="s">
        <v>63</v>
      </c>
      <c r="D103" s="10" t="n">
        <f aca="false">D102-D101</f>
        <v>0</v>
      </c>
      <c r="M103" s="2" t="s">
        <v>5711</v>
      </c>
    </row>
    <row r="104" customFormat="false" ht="15" hidden="false" customHeight="false" outlineLevel="0" collapsed="false">
      <c r="A104" s="10" t="s">
        <v>5721</v>
      </c>
      <c r="B104" s="11" t="s">
        <v>5722</v>
      </c>
      <c r="C104" s="11" t="s">
        <v>2957</v>
      </c>
      <c r="D104" s="10" t="str">
        <f aca="false">IF(ABS(D103)&lt;=INP_141,"OK","差異")</f>
        <v>OK</v>
      </c>
      <c r="M104" s="2"/>
    </row>
    <row r="105" customFormat="false" ht="15" hidden="false" customHeight="false" outlineLevel="0" collapsed="false">
      <c r="A105" s="10" t="s">
        <v>5723</v>
      </c>
      <c r="B105" s="11" t="s">
        <v>5724</v>
      </c>
      <c r="C105" s="10" t="s">
        <v>63</v>
      </c>
      <c r="K105" s="10" t="n">
        <f aca="false">SRC_ZP_178</f>
        <v>1.2872</v>
      </c>
      <c r="M105" s="13" t="s">
        <v>5725</v>
      </c>
    </row>
    <row r="106" customFormat="false" ht="15" hidden="false" customHeight="false" outlineLevel="0" collapsed="false">
      <c r="A106" s="10" t="s">
        <v>5726</v>
      </c>
      <c r="B106" s="11" t="s">
        <v>5727</v>
      </c>
      <c r="C106" s="10" t="s">
        <v>63</v>
      </c>
      <c r="K106" s="10" t="n">
        <f aca="false">SRC_ZP_171+SRC_ZP_173+SRC_ZP_175</f>
        <v>1.2872</v>
      </c>
      <c r="M106" s="2"/>
    </row>
    <row r="107" customFormat="false" ht="15" hidden="false" customHeight="false" outlineLevel="0" collapsed="false">
      <c r="A107" s="10" t="s">
        <v>5728</v>
      </c>
      <c r="B107" s="11" t="s">
        <v>5729</v>
      </c>
      <c r="C107" s="10" t="s">
        <v>63</v>
      </c>
      <c r="K107" s="10" t="n">
        <f aca="false">K106-K105</f>
        <v>0</v>
      </c>
      <c r="M107" s="2" t="s">
        <v>5711</v>
      </c>
    </row>
    <row r="108" customFormat="false" ht="15" hidden="false" customHeight="false" outlineLevel="0" collapsed="false">
      <c r="A108" s="10" t="s">
        <v>5730</v>
      </c>
      <c r="B108" s="11" t="s">
        <v>5731</v>
      </c>
      <c r="C108" s="11" t="s">
        <v>2957</v>
      </c>
      <c r="K108" s="10" t="str">
        <f aca="false">IF(ABS(K107)&lt;=INP_141,"OK","差異")</f>
        <v>OK</v>
      </c>
      <c r="M108" s="2"/>
    </row>
    <row r="109" customFormat="false" ht="15" hidden="false" customHeight="false" outlineLevel="0" collapsed="false">
      <c r="A109" s="10" t="s">
        <v>5732</v>
      </c>
      <c r="B109" s="11" t="s">
        <v>5733</v>
      </c>
      <c r="C109" s="10" t="s">
        <v>63</v>
      </c>
      <c r="K109" s="10" t="n">
        <f aca="false">SRC_ZP_179</f>
        <v>8.2518</v>
      </c>
      <c r="M109" s="13" t="s">
        <v>5734</v>
      </c>
    </row>
    <row r="110" customFormat="false" ht="15" hidden="false" customHeight="false" outlineLevel="0" collapsed="false">
      <c r="A110" s="10" t="s">
        <v>5735</v>
      </c>
      <c r="B110" s="11" t="s">
        <v>5736</v>
      </c>
      <c r="C110" s="10" t="s">
        <v>63</v>
      </c>
      <c r="K110" s="10" t="n">
        <f aca="false">SRC_ZP_169</f>
        <v>8.2518</v>
      </c>
      <c r="M110" s="2"/>
    </row>
    <row r="111" customFormat="false" ht="15" hidden="false" customHeight="false" outlineLevel="0" collapsed="false">
      <c r="A111" s="10" t="s">
        <v>5737</v>
      </c>
      <c r="B111" s="11" t="s">
        <v>5738</v>
      </c>
      <c r="C111" s="10" t="s">
        <v>63</v>
      </c>
      <c r="K111" s="10" t="n">
        <f aca="false">K110-K109</f>
        <v>0</v>
      </c>
      <c r="M111" s="2" t="s">
        <v>5711</v>
      </c>
    </row>
    <row r="112" customFormat="false" ht="15" hidden="false" customHeight="false" outlineLevel="0" collapsed="false">
      <c r="A112" s="10" t="s">
        <v>5739</v>
      </c>
      <c r="B112" s="11" t="s">
        <v>5740</v>
      </c>
      <c r="C112" s="11" t="s">
        <v>2957</v>
      </c>
      <c r="K112" s="10" t="str">
        <f aca="false">IF(ABS(K111)&lt;=INP_141,"OK","差異")</f>
        <v>OK</v>
      </c>
      <c r="M11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14"/>
    <col collapsed="false" customWidth="true" hidden="false" outlineLevel="0" max="9" min="4" style="0" width="12"/>
    <col collapsed="false" customWidth="true" hidden="false" outlineLevel="0" max="10" min="10" style="0" width="2"/>
    <col collapsed="false" customWidth="true" hidden="false" outlineLevel="0" max="12" min="11" style="0" width="12"/>
    <col collapsed="false" customWidth="true" hidden="false" outlineLevel="0" max="13" min="13" style="0" width="80"/>
  </cols>
  <sheetData>
    <row r="1" customFormat="false" ht="20.1" hidden="false" customHeight="false" outlineLevel="0" collapsed="false">
      <c r="A1" s="7" t="s">
        <v>5741</v>
      </c>
    </row>
    <row r="2" customFormat="false" ht="15" hidden="false" customHeight="false" outlineLevel="0" collapsed="false">
      <c r="A2" s="2" t="s">
        <v>5742</v>
      </c>
    </row>
    <row r="3" customFormat="false" ht="15" hidden="false" customHeight="false" outlineLevel="0" collapsed="false">
      <c r="A3" s="13" t="s">
        <v>5743</v>
      </c>
    </row>
    <row r="5" customFormat="false" ht="15" hidden="false" customHeight="false" outlineLevel="0" collapsed="false">
      <c r="A5" s="9" t="s">
        <v>5370</v>
      </c>
      <c r="B5" s="9" t="s">
        <v>39</v>
      </c>
      <c r="C5" s="9" t="s">
        <v>43</v>
      </c>
      <c r="D5" s="8" t="s">
        <v>4383</v>
      </c>
      <c r="E5" s="8" t="s">
        <v>1908</v>
      </c>
      <c r="F5" s="8" t="s">
        <v>4681</v>
      </c>
      <c r="G5" s="8" t="s">
        <v>4682</v>
      </c>
      <c r="H5" s="8" t="s">
        <v>4683</v>
      </c>
      <c r="I5" s="8" t="s">
        <v>4684</v>
      </c>
      <c r="J5" s="9"/>
      <c r="K5" s="8" t="s">
        <v>662</v>
      </c>
      <c r="L5" s="8" t="s">
        <v>4782</v>
      </c>
      <c r="M5" s="9" t="s">
        <v>4410</v>
      </c>
    </row>
    <row r="6" customFormat="false" ht="15" hidden="false" customHeight="false" outlineLevel="0" collapsed="false">
      <c r="B6" s="3" t="s">
        <v>5371</v>
      </c>
      <c r="D6" s="10" t="n">
        <f aca="false">INP_001</f>
        <v>2025</v>
      </c>
      <c r="E6" s="10" t="n">
        <f aca="false">INP_002</f>
        <v>2026</v>
      </c>
      <c r="F6" s="10" t="n">
        <f aca="false">INP_003</f>
        <v>2027</v>
      </c>
      <c r="G6" s="10" t="n">
        <f aca="false">INP_004</f>
        <v>2028</v>
      </c>
      <c r="H6" s="10" t="n">
        <f aca="false">INP_005</f>
        <v>2029</v>
      </c>
      <c r="I6" s="10" t="n">
        <f aca="false">INP_006</f>
        <v>2030</v>
      </c>
      <c r="K6" s="6" t="s">
        <v>5372</v>
      </c>
      <c r="L6" s="6" t="s">
        <v>5373</v>
      </c>
    </row>
    <row r="7" customFormat="false" ht="15" hidden="false" customHeight="false" outlineLevel="0" collapsed="false">
      <c r="A7" s="15" t="s">
        <v>5744</v>
      </c>
    </row>
    <row r="8" customFormat="false" ht="15" hidden="false" customHeight="false" outlineLevel="0" collapsed="false">
      <c r="A8" s="10" t="s">
        <v>5745</v>
      </c>
      <c r="B8" s="10" t="s">
        <v>5746</v>
      </c>
      <c r="C8" s="11" t="s">
        <v>2957</v>
      </c>
      <c r="D8" s="10" t="s">
        <v>4399</v>
      </c>
      <c r="M8" s="13" t="s">
        <v>5747</v>
      </c>
    </row>
    <row r="9" customFormat="false" ht="15" hidden="false" customHeight="false" outlineLevel="0" collapsed="false">
      <c r="A9" s="10" t="s">
        <v>5748</v>
      </c>
      <c r="B9" s="10" t="s">
        <v>5749</v>
      </c>
      <c r="C9" s="11" t="s">
        <v>2957</v>
      </c>
      <c r="D9" s="10" t="s">
        <v>4402</v>
      </c>
      <c r="M9" s="2"/>
    </row>
    <row r="10" customFormat="false" ht="15" hidden="false" customHeight="false" outlineLevel="0" collapsed="false">
      <c r="A10" s="10" t="s">
        <v>5750</v>
      </c>
      <c r="B10" s="10" t="s">
        <v>5751</v>
      </c>
      <c r="C10" s="11" t="s">
        <v>2957</v>
      </c>
      <c r="D10" s="11" t="s">
        <v>4406</v>
      </c>
      <c r="M10" s="13" t="s">
        <v>5752</v>
      </c>
    </row>
    <row r="11" customFormat="false" ht="15" hidden="false" customHeight="false" outlineLevel="0" collapsed="false">
      <c r="A11" s="10" t="s">
        <v>5753</v>
      </c>
      <c r="B11" s="10" t="s">
        <v>5754</v>
      </c>
      <c r="C11" s="10" t="s">
        <v>5755</v>
      </c>
      <c r="D11" s="10" t="n">
        <f aca="false">SUMIFS(TK_IF_TokGW_Sol,TK_HdrGen,$D$8,TK_HdrCost,$D$10)</f>
        <v>33634916325.118</v>
      </c>
      <c r="E11" s="10" t="n">
        <f aca="false">SUMIFS(TK_IF_TokGW_Sol,TK_HdrGen,$D$8,TK_HdrCost,$D$10)</f>
        <v>33634916325.118</v>
      </c>
      <c r="F11" s="10" t="n">
        <f aca="false">SUMIFS(TK_IF_TokGW_Sol,TK_HdrGen,$D$8,TK_HdrCost,$D$10)</f>
        <v>33634916325.118</v>
      </c>
      <c r="G11" s="10" t="n">
        <f aca="false">SUMIFS(TK_IF_TokGW_Sol,TK_HdrGen,$D$8,TK_HdrCost,$D$10)</f>
        <v>33634916325.118</v>
      </c>
      <c r="H11" s="10" t="n">
        <f aca="false">SUMIFS(TK_IF_TokGW_Sol,TK_HdrGen,$D$8,TK_HdrCost,$D$10)</f>
        <v>33634916325.118</v>
      </c>
      <c r="I11" s="10" t="n">
        <f aca="false">SUMIFS(TK_IF_TokGW_Sol,TK_HdrGen,$D$8,TK_HdrCost,$D$10)</f>
        <v>33634916325.118</v>
      </c>
      <c r="K11" s="10" t="n">
        <f aca="false">SUMIFS(TK_IF_TokGW_Sol,TK_HdrGen,$D$8,TK_HdrCost,$D$10)</f>
        <v>33634916325.118</v>
      </c>
      <c r="L11" s="10" t="n">
        <f aca="false">SUMIFS(TK_IF_TokGW_Sol,TK_HdrGen,$D$8,TK_HdrCost,$D$10)</f>
        <v>33634916325.118</v>
      </c>
      <c r="M11" s="13" t="s">
        <v>5756</v>
      </c>
    </row>
    <row r="12" customFormat="false" ht="15" hidden="false" customHeight="false" outlineLevel="0" collapsed="false">
      <c r="A12" s="10" t="s">
        <v>5757</v>
      </c>
      <c r="B12" s="10" t="s">
        <v>5758</v>
      </c>
      <c r="C12" s="10" t="s">
        <v>5755</v>
      </c>
      <c r="D12" s="10" t="n">
        <f aca="false">SUMIFS(TK_IF_TokGW_Luna,TK_HdrGen,$D$8,TK_HdrCost,$D$10)</f>
        <v>112228240510.472</v>
      </c>
      <c r="E12" s="10" t="n">
        <f aca="false">SUMIFS(TK_IF_TokGW_Luna,TK_HdrGen,$D$8,TK_HdrCost,$D$10)</f>
        <v>112228240510.472</v>
      </c>
      <c r="F12" s="10" t="n">
        <f aca="false">SUMIFS(TK_IF_TokGW_Luna,TK_HdrGen,$D$8,TK_HdrCost,$D$10)</f>
        <v>112228240510.472</v>
      </c>
      <c r="G12" s="10" t="n">
        <f aca="false">SUMIFS(TK_IF_TokGW_Luna,TK_HdrGen,$D$8,TK_HdrCost,$D$10)</f>
        <v>112228240510.472</v>
      </c>
      <c r="H12" s="10" t="n">
        <f aca="false">SUMIFS(TK_IF_TokGW_Luna,TK_HdrGen,$D$8,TK_HdrCost,$D$10)</f>
        <v>112228240510.472</v>
      </c>
      <c r="I12" s="10" t="n">
        <f aca="false">SUMIFS(TK_IF_TokGW_Luna,TK_HdrGen,$D$8,TK_HdrCost,$D$10)</f>
        <v>112228240510.472</v>
      </c>
      <c r="K12" s="10" t="n">
        <f aca="false">SUMIFS(TK_IF_TokGW_Luna,TK_HdrGen,$D$8,TK_HdrCost,$D$10)</f>
        <v>112228240510.472</v>
      </c>
      <c r="L12" s="10" t="n">
        <f aca="false">SUMIFS(TK_IF_TokGW_Luna,TK_HdrGen,$D$8,TK_HdrCost,$D$10)</f>
        <v>112228240510.472</v>
      </c>
      <c r="M12" s="13" t="s">
        <v>5759</v>
      </c>
    </row>
    <row r="13" customFormat="false" ht="15" hidden="false" customHeight="false" outlineLevel="0" collapsed="false">
      <c r="A13" s="10" t="s">
        <v>5760</v>
      </c>
      <c r="B13" s="10" t="s">
        <v>5761</v>
      </c>
      <c r="C13" s="10" t="s">
        <v>5755</v>
      </c>
      <c r="D13" s="10" t="n">
        <f aca="false">SUMIFS(TK_IF_TokGW_Sol,TK_HdrGen,$D$9,TK_HdrCost,$D$10)</f>
        <v>318984897819.054</v>
      </c>
      <c r="E13" s="10" t="n">
        <f aca="false">SUMIFS(TK_IF_TokGW_Sol,TK_HdrGen,$D$9,TK_HdrCost,$D$10)</f>
        <v>318984897819.054</v>
      </c>
      <c r="F13" s="10" t="n">
        <f aca="false">SUMIFS(TK_IF_TokGW_Sol,TK_HdrGen,$D$9,TK_HdrCost,$D$10)</f>
        <v>318984897819.054</v>
      </c>
      <c r="G13" s="10" t="n">
        <f aca="false">SUMIFS(TK_IF_TokGW_Sol,TK_HdrGen,$D$9,TK_HdrCost,$D$10)</f>
        <v>318984897819.054</v>
      </c>
      <c r="H13" s="10" t="n">
        <f aca="false">SUMIFS(TK_IF_TokGW_Sol,TK_HdrGen,$D$9,TK_HdrCost,$D$10)</f>
        <v>318984897819.054</v>
      </c>
      <c r="I13" s="10" t="n">
        <f aca="false">SUMIFS(TK_IF_TokGW_Sol,TK_HdrGen,$D$9,TK_HdrCost,$D$10)</f>
        <v>318984897819.054</v>
      </c>
      <c r="K13" s="10" t="n">
        <f aca="false">SUMIFS(TK_IF_TokGW_Sol,TK_HdrGen,$D$9,TK_HdrCost,$D$10)</f>
        <v>318984897819.054</v>
      </c>
      <c r="L13" s="10" t="n">
        <f aca="false">SUMIFS(TK_IF_TokGW_Sol,TK_HdrGen,$D$9,TK_HdrCost,$D$10)</f>
        <v>318984897819.054</v>
      </c>
      <c r="M13" s="13" t="s">
        <v>5762</v>
      </c>
    </row>
    <row r="14" customFormat="false" ht="15" hidden="false" customHeight="false" outlineLevel="0" collapsed="false">
      <c r="A14" s="10" t="s">
        <v>5763</v>
      </c>
      <c r="B14" s="10" t="s">
        <v>5764</v>
      </c>
      <c r="C14" s="11" t="s">
        <v>1709</v>
      </c>
      <c r="D14" s="10" t="n">
        <f aca="false">INP_082</f>
        <v>0.34</v>
      </c>
      <c r="E14" s="10" t="n">
        <f aca="false">INP_082</f>
        <v>0.34</v>
      </c>
      <c r="F14" s="10" t="n">
        <f aca="false">INP_082</f>
        <v>0.34</v>
      </c>
      <c r="G14" s="10" t="n">
        <f aca="false">INP_082</f>
        <v>0.34</v>
      </c>
      <c r="H14" s="10" t="n">
        <f aca="false">INP_082</f>
        <v>0.34</v>
      </c>
      <c r="I14" s="10" t="n">
        <f aca="false">INP_082</f>
        <v>0.34</v>
      </c>
      <c r="K14" s="10" t="n">
        <f aca="false">INP_082</f>
        <v>0.34</v>
      </c>
      <c r="L14" s="10" t="n">
        <f aca="false">INP_082</f>
        <v>0.34</v>
      </c>
      <c r="M14" s="13" t="s">
        <v>5765</v>
      </c>
    </row>
    <row r="15" customFormat="false" ht="15" hidden="false" customHeight="false" outlineLevel="0" collapsed="false">
      <c r="A15" s="10" t="s">
        <v>5766</v>
      </c>
      <c r="B15" s="11" t="s">
        <v>5767</v>
      </c>
      <c r="C15" s="11" t="s">
        <v>1709</v>
      </c>
      <c r="D15" s="10" t="n">
        <f aca="false">INP_083</f>
        <v>0.6</v>
      </c>
      <c r="E15" s="10" t="n">
        <f aca="false">INP_083</f>
        <v>0.6</v>
      </c>
      <c r="F15" s="10" t="n">
        <f aca="false">INP_083</f>
        <v>0.6</v>
      </c>
      <c r="G15" s="10" t="n">
        <f aca="false">INP_083</f>
        <v>0.6</v>
      </c>
      <c r="H15" s="10" t="n">
        <f aca="false">INP_083</f>
        <v>0.6</v>
      </c>
      <c r="I15" s="10" t="n">
        <f aca="false">INP_083</f>
        <v>0.6</v>
      </c>
      <c r="K15" s="10" t="n">
        <f aca="false">INP_083</f>
        <v>0.6</v>
      </c>
      <c r="L15" s="10" t="n">
        <f aca="false">INP_083</f>
        <v>0.6</v>
      </c>
      <c r="M15" s="13" t="s">
        <v>5768</v>
      </c>
    </row>
    <row r="16" customFormat="false" ht="15" hidden="false" customHeight="false" outlineLevel="0" collapsed="false">
      <c r="A16" s="10" t="s">
        <v>5769</v>
      </c>
      <c r="B16" s="11" t="s">
        <v>5770</v>
      </c>
      <c r="C16" s="10" t="s">
        <v>5755</v>
      </c>
      <c r="D16" s="10" t="n">
        <f aca="false">D11</f>
        <v>33634916325.118</v>
      </c>
      <c r="E16" s="10" t="n">
        <f aca="false">E11</f>
        <v>33634916325.118</v>
      </c>
      <c r="F16" s="10" t="n">
        <f aca="false">F11</f>
        <v>33634916325.118</v>
      </c>
      <c r="G16" s="10" t="n">
        <f aca="false">G11</f>
        <v>33634916325.118</v>
      </c>
      <c r="H16" s="10" t="n">
        <f aca="false">H11</f>
        <v>33634916325.118</v>
      </c>
      <c r="I16" s="10" t="n">
        <f aca="false">I11</f>
        <v>33634916325.118</v>
      </c>
      <c r="K16" s="10" t="n">
        <f aca="false">K11</f>
        <v>33634916325.118</v>
      </c>
      <c r="L16" s="10" t="n">
        <f aca="false">L11</f>
        <v>33634916325.118</v>
      </c>
      <c r="M16" s="13" t="s">
        <v>5771</v>
      </c>
    </row>
    <row r="17" customFormat="false" ht="15" hidden="false" customHeight="false" outlineLevel="0" collapsed="false">
      <c r="A17" s="10" t="s">
        <v>5772</v>
      </c>
      <c r="B17" s="11" t="s">
        <v>5773</v>
      </c>
      <c r="C17" s="10" t="s">
        <v>5755</v>
      </c>
      <c r="D17" s="10" t="n">
        <f aca="false">D12</f>
        <v>112228240510.472</v>
      </c>
      <c r="E17" s="10" t="n">
        <f aca="false">E12</f>
        <v>112228240510.472</v>
      </c>
      <c r="F17" s="10" t="n">
        <f aca="false">F12</f>
        <v>112228240510.472</v>
      </c>
      <c r="G17" s="10" t="n">
        <f aca="false">G12</f>
        <v>112228240510.472</v>
      </c>
      <c r="H17" s="10" t="n">
        <f aca="false">H12</f>
        <v>112228240510.472</v>
      </c>
      <c r="I17" s="10" t="n">
        <f aca="false">I12</f>
        <v>112228240510.472</v>
      </c>
      <c r="K17" s="10" t="n">
        <f aca="false">K12</f>
        <v>112228240510.472</v>
      </c>
      <c r="L17" s="10" t="n">
        <f aca="false">L12</f>
        <v>112228240510.472</v>
      </c>
      <c r="M17" s="13" t="s">
        <v>5771</v>
      </c>
    </row>
    <row r="18" customFormat="false" ht="15" hidden="false" customHeight="false" outlineLevel="0" collapsed="false">
      <c r="A18" s="10" t="s">
        <v>5774</v>
      </c>
      <c r="B18" s="11" t="s">
        <v>5775</v>
      </c>
      <c r="C18" s="10" t="s">
        <v>5755</v>
      </c>
      <c r="D18" s="10" t="n">
        <f aca="false">D11*D14</f>
        <v>11435871550.5401</v>
      </c>
      <c r="E18" s="10" t="n">
        <f aca="false">E11*E14</f>
        <v>11435871550.5401</v>
      </c>
      <c r="F18" s="10" t="n">
        <f aca="false">F11*F14</f>
        <v>11435871550.5401</v>
      </c>
      <c r="G18" s="10" t="n">
        <f aca="false">G11*G14</f>
        <v>11435871550.5401</v>
      </c>
      <c r="H18" s="10" t="n">
        <f aca="false">H11*H14</f>
        <v>11435871550.5401</v>
      </c>
      <c r="I18" s="10" t="n">
        <f aca="false">I11*I14</f>
        <v>11435871550.5401</v>
      </c>
      <c r="K18" s="10" t="n">
        <f aca="false">K11*K14</f>
        <v>11435871550.5401</v>
      </c>
      <c r="L18" s="10" t="n">
        <f aca="false">L11*L14</f>
        <v>11435871550.5401</v>
      </c>
      <c r="M18" s="13" t="s">
        <v>5771</v>
      </c>
    </row>
    <row r="19" customFormat="false" ht="15" hidden="false" customHeight="false" outlineLevel="0" collapsed="false">
      <c r="A19" s="10" t="s">
        <v>5776</v>
      </c>
      <c r="B19" s="11" t="s">
        <v>5777</v>
      </c>
      <c r="C19" s="10" t="s">
        <v>5755</v>
      </c>
      <c r="D19" s="10" t="n">
        <f aca="false">D12*D14</f>
        <v>38157601773.5605</v>
      </c>
      <c r="E19" s="10" t="n">
        <f aca="false">E12*E14</f>
        <v>38157601773.5605</v>
      </c>
      <c r="F19" s="10" t="n">
        <f aca="false">F12*F14</f>
        <v>38157601773.5605</v>
      </c>
      <c r="G19" s="10" t="n">
        <f aca="false">G12*G14</f>
        <v>38157601773.5605</v>
      </c>
      <c r="H19" s="10" t="n">
        <f aca="false">H12*H14</f>
        <v>38157601773.5605</v>
      </c>
      <c r="I19" s="10" t="n">
        <f aca="false">I12*I14</f>
        <v>38157601773.5605</v>
      </c>
      <c r="K19" s="10" t="n">
        <f aca="false">K12*K14</f>
        <v>38157601773.5605</v>
      </c>
      <c r="L19" s="10" t="n">
        <f aca="false">L12*L14</f>
        <v>38157601773.5605</v>
      </c>
      <c r="M19" s="13" t="s">
        <v>5771</v>
      </c>
    </row>
    <row r="20" customFormat="false" ht="15" hidden="false" customHeight="false" outlineLevel="0" collapsed="false">
      <c r="A20" s="10" t="s">
        <v>5778</v>
      </c>
      <c r="B20" s="11" t="s">
        <v>5779</v>
      </c>
      <c r="C20" s="10" t="s">
        <v>5755</v>
      </c>
      <c r="D20" s="10" t="n">
        <f aca="false">D11*D15</f>
        <v>20180949795.0708</v>
      </c>
      <c r="E20" s="10" t="n">
        <f aca="false">E11*E15</f>
        <v>20180949795.0708</v>
      </c>
      <c r="F20" s="10" t="n">
        <f aca="false">F11*F15</f>
        <v>20180949795.0708</v>
      </c>
      <c r="G20" s="10" t="n">
        <f aca="false">G11*G15</f>
        <v>20180949795.0708</v>
      </c>
      <c r="H20" s="10" t="n">
        <f aca="false">H11*H15</f>
        <v>20180949795.0708</v>
      </c>
      <c r="I20" s="10" t="n">
        <f aca="false">I11*I15</f>
        <v>20180949795.0708</v>
      </c>
      <c r="K20" s="10" t="n">
        <f aca="false">K11*K15</f>
        <v>20180949795.0708</v>
      </c>
      <c r="L20" s="10" t="n">
        <f aca="false">L11*L15</f>
        <v>20180949795.0708</v>
      </c>
      <c r="M20" s="13" t="s">
        <v>5771</v>
      </c>
    </row>
    <row r="21" customFormat="false" ht="15" hidden="false" customHeight="false" outlineLevel="0" collapsed="false">
      <c r="A21" s="10" t="s">
        <v>5780</v>
      </c>
      <c r="B21" s="11" t="s">
        <v>5781</v>
      </c>
      <c r="C21" s="10" t="s">
        <v>5755</v>
      </c>
      <c r="D21" s="10" t="n">
        <f aca="false">D12*D15</f>
        <v>67336944306.2832</v>
      </c>
      <c r="E21" s="10" t="n">
        <f aca="false">E12*E15</f>
        <v>67336944306.2832</v>
      </c>
      <c r="F21" s="10" t="n">
        <f aca="false">F12*F15</f>
        <v>67336944306.2832</v>
      </c>
      <c r="G21" s="10" t="n">
        <f aca="false">G12*G15</f>
        <v>67336944306.2832</v>
      </c>
      <c r="H21" s="10" t="n">
        <f aca="false">H12*H15</f>
        <v>67336944306.2832</v>
      </c>
      <c r="I21" s="10" t="n">
        <f aca="false">I12*I15</f>
        <v>67336944306.2832</v>
      </c>
      <c r="K21" s="10" t="n">
        <f aca="false">K12*K15</f>
        <v>67336944306.2832</v>
      </c>
      <c r="L21" s="10" t="n">
        <f aca="false">L12*L15</f>
        <v>67336944306.2832</v>
      </c>
      <c r="M21" s="13" t="s">
        <v>5771</v>
      </c>
    </row>
    <row r="22" customFormat="false" ht="15" hidden="false" customHeight="false" outlineLevel="0" collapsed="false">
      <c r="A22" s="15" t="s">
        <v>5782</v>
      </c>
    </row>
    <row r="23" customFormat="false" ht="15" hidden="false" customHeight="false" outlineLevel="0" collapsed="false">
      <c r="A23" s="10" t="s">
        <v>5783</v>
      </c>
      <c r="B23" s="11" t="s">
        <v>5784</v>
      </c>
      <c r="C23" s="11" t="s">
        <v>4720</v>
      </c>
      <c r="D23" s="10" t="n">
        <f aca="false">INP_084</f>
        <v>0.3</v>
      </c>
      <c r="E23" s="10" t="n">
        <f aca="false">INP_085</f>
        <v>0.6</v>
      </c>
      <c r="F23" s="10" t="n">
        <f aca="false">INP_086</f>
        <v>0.75</v>
      </c>
      <c r="G23" s="10" t="n">
        <f aca="false">INP_087</f>
        <v>0.85</v>
      </c>
      <c r="H23" s="10" t="n">
        <f aca="false">INP_088</f>
        <v>0.9</v>
      </c>
      <c r="I23" s="10" t="n">
        <f aca="false">INP_089</f>
        <v>0.95</v>
      </c>
      <c r="K23" s="10" t="n">
        <f aca="false">INP_085</f>
        <v>0.6</v>
      </c>
      <c r="L23" s="10" t="n">
        <f aca="false">INP_085</f>
        <v>0.6</v>
      </c>
      <c r="M23" s="13" t="s">
        <v>5785</v>
      </c>
    </row>
    <row r="24" customFormat="false" ht="15" hidden="false" customHeight="false" outlineLevel="0" collapsed="false">
      <c r="A24" s="10" t="s">
        <v>5786</v>
      </c>
      <c r="B24" s="10" t="s">
        <v>5787</v>
      </c>
      <c r="C24" s="11" t="s">
        <v>4720</v>
      </c>
      <c r="D24" s="10" t="n">
        <f aca="false">INP_090</f>
        <v>0.2</v>
      </c>
      <c r="E24" s="10" t="n">
        <f aca="false">INP_091</f>
        <v>0.15</v>
      </c>
      <c r="F24" s="10" t="n">
        <f aca="false">INP_092</f>
        <v>0.1</v>
      </c>
      <c r="G24" s="10" t="n">
        <f aca="false">INP_093</f>
        <v>0.05</v>
      </c>
      <c r="H24" s="10" t="n">
        <f aca="false">INP_094</f>
        <v>0.05</v>
      </c>
      <c r="I24" s="10" t="n">
        <f aca="false">INP_095</f>
        <v>0</v>
      </c>
      <c r="K24" s="10" t="n">
        <f aca="false">INP_091</f>
        <v>0.15</v>
      </c>
      <c r="L24" s="10" t="n">
        <f aca="false">INP_091</f>
        <v>0.15</v>
      </c>
      <c r="M24" s="13" t="s">
        <v>5788</v>
      </c>
    </row>
    <row r="25" customFormat="false" ht="15" hidden="false" customHeight="false" outlineLevel="0" collapsed="false">
      <c r="A25" s="10" t="s">
        <v>5789</v>
      </c>
      <c r="B25" s="10" t="s">
        <v>5790</v>
      </c>
      <c r="C25" s="11" t="s">
        <v>4720</v>
      </c>
      <c r="D25" s="10" t="n">
        <f aca="false">(1-D23-D24)</f>
        <v>0.5</v>
      </c>
      <c r="E25" s="10" t="n">
        <f aca="false">(1-E23-E24)</f>
        <v>0.25</v>
      </c>
      <c r="F25" s="10" t="n">
        <f aca="false">(1-F23-F24)</f>
        <v>0.15</v>
      </c>
      <c r="G25" s="10" t="n">
        <f aca="false">(1-G23-G24)</f>
        <v>0.1</v>
      </c>
      <c r="H25" s="10" t="n">
        <f aca="false">(1-H23-H24)</f>
        <v>0.05</v>
      </c>
      <c r="I25" s="10" t="n">
        <f aca="false">(1-I23-I24)</f>
        <v>0.05</v>
      </c>
      <c r="K25" s="10" t="n">
        <f aca="false">(1-K23-K24)</f>
        <v>0.25</v>
      </c>
      <c r="L25" s="10" t="n">
        <f aca="false">(1-L23-L24)</f>
        <v>0.25</v>
      </c>
      <c r="M25" s="2" t="s">
        <v>5791</v>
      </c>
    </row>
    <row r="26" customFormat="false" ht="15" hidden="false" customHeight="false" outlineLevel="0" collapsed="false">
      <c r="A26" s="10" t="s">
        <v>5792</v>
      </c>
      <c r="B26" s="11" t="s">
        <v>5793</v>
      </c>
      <c r="C26" s="11" t="s">
        <v>1709</v>
      </c>
      <c r="D26" s="10" t="n">
        <f aca="false">D25+D24*D14+D23*D15</f>
        <v>0.748</v>
      </c>
      <c r="E26" s="10" t="n">
        <f aca="false">E25+E24*E14+E23*E15</f>
        <v>0.661</v>
      </c>
      <c r="F26" s="10" t="n">
        <f aca="false">F25+F24*F14+F23*F15</f>
        <v>0.634</v>
      </c>
      <c r="G26" s="10" t="n">
        <f aca="false">G25+G24*G14+G23*G15</f>
        <v>0.627</v>
      </c>
      <c r="H26" s="10" t="n">
        <f aca="false">H25+H24*H14+H23*H15</f>
        <v>0.607</v>
      </c>
      <c r="I26" s="10" t="n">
        <f aca="false">I25+I24*I14+I23*I15</f>
        <v>0.62</v>
      </c>
      <c r="K26" s="10" t="n">
        <f aca="false">K25+K24*K14+K23*K15</f>
        <v>0.661</v>
      </c>
      <c r="L26" s="10" t="n">
        <f aca="false">L25+L24*L14+L23*L15</f>
        <v>0.661</v>
      </c>
      <c r="M26" s="2" t="s">
        <v>5794</v>
      </c>
    </row>
    <row r="27" customFormat="false" ht="15" hidden="false" customHeight="false" outlineLevel="0" collapsed="false">
      <c r="A27" s="15" t="s">
        <v>5795</v>
      </c>
    </row>
    <row r="28" customFormat="false" ht="15" hidden="false" customHeight="false" outlineLevel="0" collapsed="false">
      <c r="A28" s="10" t="s">
        <v>5796</v>
      </c>
      <c r="B28" s="10" t="s">
        <v>5797</v>
      </c>
      <c r="C28" s="10" t="s">
        <v>4694</v>
      </c>
      <c r="D28" s="16" t="n">
        <f aca="false">Demand!D12</f>
        <v>39.8769083672671</v>
      </c>
      <c r="E28" s="16" t="n">
        <f aca="false">Demand!E12</f>
        <v>486.318528923451</v>
      </c>
      <c r="F28" s="16" t="n">
        <f aca="false">Demand!F12</f>
        <v>1258.34919358943</v>
      </c>
      <c r="G28" s="16" t="n">
        <f aca="false">Demand!G12</f>
        <v>2713.31544867721</v>
      </c>
      <c r="H28" s="16" t="n">
        <f aca="false">Demand!H12</f>
        <v>5265.5277925892</v>
      </c>
      <c r="I28" s="16" t="n">
        <f aca="false">Demand!I12</f>
        <v>9461.49525230872</v>
      </c>
      <c r="K28" s="16" t="n">
        <f aca="false">Demand!K12</f>
        <v>127.739411194692</v>
      </c>
      <c r="L28" s="16" t="n">
        <f aca="false">Demand!L12</f>
        <v>358.579117728759</v>
      </c>
      <c r="M28" s="13" t="s">
        <v>5798</v>
      </c>
    </row>
    <row r="29" customFormat="false" ht="15" hidden="false" customHeight="false" outlineLevel="0" collapsed="false">
      <c r="A29" s="10" t="s">
        <v>5799</v>
      </c>
      <c r="B29" s="10" t="s">
        <v>5800</v>
      </c>
      <c r="C29" s="10" t="s">
        <v>4694</v>
      </c>
      <c r="D29" s="16" t="n">
        <f aca="false">Demand!D13</f>
        <v>26.5846055781781</v>
      </c>
      <c r="E29" s="16" t="n">
        <f aca="false">Demand!E13</f>
        <v>208.422226681479</v>
      </c>
      <c r="F29" s="16" t="n">
        <f aca="false">Demand!F13</f>
        <v>539.292511538327</v>
      </c>
      <c r="G29" s="16" t="n">
        <f aca="false">Demand!G13</f>
        <v>1162.84947800452</v>
      </c>
      <c r="H29" s="16" t="n">
        <f aca="false">Demand!H13</f>
        <v>2256.65476825252</v>
      </c>
      <c r="I29" s="16" t="n">
        <f aca="false">Demand!I13</f>
        <v>4054.92653670374</v>
      </c>
      <c r="K29" s="16" t="n">
        <f aca="false">Demand!K13</f>
        <v>54.7454619405822</v>
      </c>
      <c r="L29" s="16" t="n">
        <f aca="false">Demand!L13</f>
        <v>153.676764740897</v>
      </c>
      <c r="M29" s="13" t="s">
        <v>5801</v>
      </c>
    </row>
    <row r="30" customFormat="false" ht="15" hidden="false" customHeight="false" outlineLevel="0" collapsed="false">
      <c r="A30" s="10" t="s">
        <v>5802</v>
      </c>
      <c r="B30" s="10" t="s">
        <v>5426</v>
      </c>
      <c r="C30" s="10" t="s">
        <v>4694</v>
      </c>
      <c r="D30" s="16" t="n">
        <f aca="false">Demand!D27</f>
        <v>985.6356048</v>
      </c>
      <c r="E30" s="16" t="n">
        <f aca="false">Demand!E27</f>
        <v>8227.1318976</v>
      </c>
      <c r="F30" s="16" t="n">
        <f aca="false">Demand!F27</f>
        <v>12320.44506</v>
      </c>
      <c r="G30" s="16" t="n">
        <f aca="false">Demand!G27</f>
        <v>16016.578578</v>
      </c>
      <c r="H30" s="16" t="n">
        <f aca="false">Demand!H27</f>
        <v>19219.8942936</v>
      </c>
      <c r="I30" s="16" t="n">
        <f aca="false">Demand!I27</f>
        <v>22102.87843764</v>
      </c>
      <c r="K30" s="16" t="n">
        <f aca="false">Demand!K27</f>
        <v>3258.4483008</v>
      </c>
      <c r="L30" s="16" t="n">
        <f aca="false">Demand!L27</f>
        <v>4968.6835968</v>
      </c>
      <c r="M30" s="13" t="s">
        <v>5803</v>
      </c>
    </row>
    <row r="31" customFormat="false" ht="15" hidden="false" customHeight="false" outlineLevel="0" collapsed="false">
      <c r="A31" s="10" t="s">
        <v>5804</v>
      </c>
      <c r="B31" s="10" t="s">
        <v>5429</v>
      </c>
      <c r="C31" s="10" t="s">
        <v>4694</v>
      </c>
      <c r="D31" s="16" t="n">
        <f aca="false">Demand!D28</f>
        <v>109.5150672</v>
      </c>
      <c r="E31" s="16" t="n">
        <f aca="false">Demand!E28</f>
        <v>914.1257664</v>
      </c>
      <c r="F31" s="16" t="n">
        <f aca="false">Demand!F28</f>
        <v>1368.93834</v>
      </c>
      <c r="G31" s="16" t="n">
        <f aca="false">Demand!G28</f>
        <v>1779.619842</v>
      </c>
      <c r="H31" s="16" t="n">
        <f aca="false">Demand!H28</f>
        <v>2135.5438104</v>
      </c>
      <c r="I31" s="16" t="n">
        <f aca="false">Demand!I28</f>
        <v>2455.87538196</v>
      </c>
      <c r="K31" s="16" t="n">
        <f aca="false">Demand!K28</f>
        <v>362.0498112</v>
      </c>
      <c r="L31" s="16" t="n">
        <f aca="false">Demand!L28</f>
        <v>552.0759552</v>
      </c>
      <c r="M31" s="13" t="s">
        <v>5805</v>
      </c>
    </row>
    <row r="32" customFormat="false" ht="15" hidden="false" customHeight="false" outlineLevel="0" collapsed="false">
      <c r="A32" s="10" t="s">
        <v>5806</v>
      </c>
      <c r="B32" s="11" t="s">
        <v>5807</v>
      </c>
      <c r="C32" s="10" t="s">
        <v>4694</v>
      </c>
      <c r="D32" s="16" t="n">
        <f aca="false">Demand!D14</f>
        <v>19.9384541836335</v>
      </c>
      <c r="E32" s="16" t="n">
        <f aca="false">Demand!E14</f>
        <v>208.422226681479</v>
      </c>
      <c r="F32" s="16" t="n">
        <f aca="false">Demand!F14</f>
        <v>539.292511538327</v>
      </c>
      <c r="G32" s="16" t="n">
        <f aca="false">Demand!G14</f>
        <v>1162.84947800452</v>
      </c>
      <c r="H32" s="16" t="n">
        <f aca="false">Demand!H14</f>
        <v>2256.65476825252</v>
      </c>
      <c r="I32" s="16" t="n">
        <f aca="false">Demand!I14</f>
        <v>4054.92653670374</v>
      </c>
      <c r="K32" s="16" t="n">
        <f aca="false">Demand!K14</f>
        <v>54.7454619405821</v>
      </c>
      <c r="L32" s="16" t="n">
        <f aca="false">Demand!L14</f>
        <v>153.676764740897</v>
      </c>
      <c r="M32" s="13" t="s">
        <v>5808</v>
      </c>
    </row>
    <row r="33" customFormat="false" ht="15" hidden="false" customHeight="false" outlineLevel="0" collapsed="false">
      <c r="A33" s="10" t="s">
        <v>5809</v>
      </c>
      <c r="B33" s="11" t="s">
        <v>5437</v>
      </c>
      <c r="C33" s="10" t="s">
        <v>4694</v>
      </c>
      <c r="D33" s="16" t="n">
        <f aca="false">Demand!D32</f>
        <v>3.285</v>
      </c>
      <c r="E33" s="10" t="n">
        <f aca="false">K33+L33</f>
        <v>3.6135</v>
      </c>
      <c r="F33" s="16" t="n">
        <f aca="false">Demand!F32</f>
        <v>3.97485</v>
      </c>
      <c r="G33" s="16" t="n">
        <f aca="false">Demand!G32</f>
        <v>4.372335</v>
      </c>
      <c r="H33" s="16" t="n">
        <f aca="false">Demand!H32</f>
        <v>4.8095685</v>
      </c>
      <c r="I33" s="16" t="n">
        <f aca="false">Demand!I32</f>
        <v>5.29052535</v>
      </c>
      <c r="K33" s="16" t="n">
        <f aca="false">Demand!$E$32*INP_008/INP_007</f>
        <v>1.7919</v>
      </c>
      <c r="L33" s="16" t="n">
        <f aca="false">Demand!$E$32*INP_009/INP_007</f>
        <v>1.8216</v>
      </c>
      <c r="M33" s="13" t="s">
        <v>5810</v>
      </c>
    </row>
    <row r="34" customFormat="false" ht="15" hidden="false" customHeight="false" outlineLevel="0" collapsed="false">
      <c r="A34" s="10" t="s">
        <v>5811</v>
      </c>
      <c r="B34" s="11" t="s">
        <v>5439</v>
      </c>
      <c r="C34" s="10" t="s">
        <v>4694</v>
      </c>
      <c r="D34" s="16" t="n">
        <f aca="false">Demand!D33</f>
        <v>7.665</v>
      </c>
      <c r="E34" s="10" t="n">
        <f aca="false">K34+L34</f>
        <v>8.4315</v>
      </c>
      <c r="F34" s="16" t="n">
        <f aca="false">Demand!F33</f>
        <v>9.27465</v>
      </c>
      <c r="G34" s="16" t="n">
        <f aca="false">Demand!G33</f>
        <v>10.202115</v>
      </c>
      <c r="H34" s="16" t="n">
        <f aca="false">Demand!H33</f>
        <v>11.2223265</v>
      </c>
      <c r="I34" s="16" t="n">
        <f aca="false">Demand!I33</f>
        <v>12.34455915</v>
      </c>
      <c r="K34" s="16" t="n">
        <f aca="false">Demand!$E$33*INP_008/INP_007</f>
        <v>4.1811</v>
      </c>
      <c r="L34" s="16" t="n">
        <f aca="false">Demand!$E$33*INP_009/INP_007</f>
        <v>4.2504</v>
      </c>
      <c r="M34" s="13" t="s">
        <v>5812</v>
      </c>
    </row>
    <row r="35" customFormat="false" ht="15" hidden="false" customHeight="false" outlineLevel="0" collapsed="false">
      <c r="A35" s="10" t="s">
        <v>5813</v>
      </c>
      <c r="B35" s="11" t="s">
        <v>5442</v>
      </c>
      <c r="C35" s="10" t="s">
        <v>4694</v>
      </c>
      <c r="D35" s="10" t="n">
        <f aca="false">D28+D30</f>
        <v>1025.51251316727</v>
      </c>
      <c r="E35" s="10" t="n">
        <f aca="false">E28+E30</f>
        <v>8713.45042652345</v>
      </c>
      <c r="F35" s="10" t="n">
        <f aca="false">F28+F30</f>
        <v>13578.7942535894</v>
      </c>
      <c r="G35" s="10" t="n">
        <f aca="false">G28+G30</f>
        <v>18729.8940266772</v>
      </c>
      <c r="H35" s="10" t="n">
        <f aca="false">H28+H30</f>
        <v>24485.4220861892</v>
      </c>
      <c r="I35" s="10" t="n">
        <f aca="false">I28+I30</f>
        <v>31564.3736899487</v>
      </c>
      <c r="K35" s="10" t="n">
        <f aca="false">K28+K30</f>
        <v>3386.18771199469</v>
      </c>
      <c r="L35" s="10" t="n">
        <f aca="false">L28+L30</f>
        <v>5327.26271452876</v>
      </c>
      <c r="M35" s="2" t="s">
        <v>5814</v>
      </c>
    </row>
    <row r="36" customFormat="false" ht="15" hidden="false" customHeight="false" outlineLevel="0" collapsed="false">
      <c r="A36" s="10" t="s">
        <v>5815</v>
      </c>
      <c r="B36" s="11" t="s">
        <v>5445</v>
      </c>
      <c r="C36" s="10" t="s">
        <v>4694</v>
      </c>
      <c r="D36" s="10" t="n">
        <f aca="false">D29+D31</f>
        <v>136.099672778178</v>
      </c>
      <c r="E36" s="10" t="n">
        <f aca="false">E29+E31</f>
        <v>1122.54799308148</v>
      </c>
      <c r="F36" s="10" t="n">
        <f aca="false">F29+F31</f>
        <v>1908.23085153833</v>
      </c>
      <c r="G36" s="10" t="n">
        <f aca="false">G29+G31</f>
        <v>2942.46932000452</v>
      </c>
      <c r="H36" s="10" t="n">
        <f aca="false">H29+H31</f>
        <v>4392.19857865252</v>
      </c>
      <c r="I36" s="10" t="n">
        <f aca="false">I29+I31</f>
        <v>6510.80191866374</v>
      </c>
      <c r="K36" s="10" t="n">
        <f aca="false">K29+K31</f>
        <v>416.795273140582</v>
      </c>
      <c r="L36" s="10" t="n">
        <f aca="false">L29+L31</f>
        <v>705.752719940897</v>
      </c>
      <c r="M36" s="2" t="s">
        <v>5814</v>
      </c>
    </row>
    <row r="37" customFormat="false" ht="15" hidden="false" customHeight="false" outlineLevel="0" collapsed="false">
      <c r="A37" s="10" t="s">
        <v>5816</v>
      </c>
      <c r="B37" s="11" t="s">
        <v>5448</v>
      </c>
      <c r="C37" s="10" t="s">
        <v>4694</v>
      </c>
      <c r="D37" s="10" t="n">
        <f aca="false">D33</f>
        <v>3.285</v>
      </c>
      <c r="E37" s="10" t="n">
        <f aca="false">E33</f>
        <v>3.6135</v>
      </c>
      <c r="F37" s="10" t="n">
        <f aca="false">F33</f>
        <v>3.97485</v>
      </c>
      <c r="G37" s="10" t="n">
        <f aca="false">G33</f>
        <v>4.372335</v>
      </c>
      <c r="H37" s="10" t="n">
        <f aca="false">H33</f>
        <v>4.8095685</v>
      </c>
      <c r="I37" s="10" t="n">
        <f aca="false">I33</f>
        <v>5.29052535</v>
      </c>
      <c r="K37" s="10" t="n">
        <f aca="false">K33</f>
        <v>1.7919</v>
      </c>
      <c r="L37" s="10" t="n">
        <f aca="false">L33</f>
        <v>1.8216</v>
      </c>
      <c r="M37" s="2" t="s">
        <v>5814</v>
      </c>
    </row>
    <row r="38" customFormat="false" ht="15" hidden="false" customHeight="false" outlineLevel="0" collapsed="false">
      <c r="A38" s="10" t="s">
        <v>5817</v>
      </c>
      <c r="B38" s="11" t="s">
        <v>5451</v>
      </c>
      <c r="C38" s="10" t="s">
        <v>4694</v>
      </c>
      <c r="D38" s="10" t="n">
        <f aca="false">D32+D34</f>
        <v>27.6034541836335</v>
      </c>
      <c r="E38" s="10" t="n">
        <f aca="false">E32+E34</f>
        <v>216.853726681479</v>
      </c>
      <c r="F38" s="10" t="n">
        <f aca="false">F32+F34</f>
        <v>548.567161538327</v>
      </c>
      <c r="G38" s="10" t="n">
        <f aca="false">G32+G34</f>
        <v>1173.05159300452</v>
      </c>
      <c r="H38" s="10" t="n">
        <f aca="false">H32+H34</f>
        <v>2267.87709475252</v>
      </c>
      <c r="I38" s="10" t="n">
        <f aca="false">I32+I34</f>
        <v>4067.27109585374</v>
      </c>
      <c r="K38" s="10" t="n">
        <f aca="false">K32+K34</f>
        <v>58.9265619405822</v>
      </c>
      <c r="L38" s="10" t="n">
        <f aca="false">L32+L34</f>
        <v>157.927164740897</v>
      </c>
      <c r="M38" s="2" t="s">
        <v>5814</v>
      </c>
    </row>
    <row r="39" customFormat="false" ht="15" hidden="false" customHeight="false" outlineLevel="0" collapsed="false">
      <c r="A39" s="10" t="s">
        <v>5818</v>
      </c>
      <c r="B39" s="11" t="s">
        <v>5454</v>
      </c>
      <c r="C39" s="10" t="s">
        <v>4694</v>
      </c>
      <c r="D39" s="10" t="n">
        <f aca="false">D35+D36</f>
        <v>1161.61218594545</v>
      </c>
      <c r="E39" s="10" t="n">
        <f aca="false">E35+E36</f>
        <v>9835.99841960493</v>
      </c>
      <c r="F39" s="10" t="n">
        <f aca="false">F35+F36</f>
        <v>15487.0251051278</v>
      </c>
      <c r="G39" s="10" t="n">
        <f aca="false">G35+G36</f>
        <v>21672.3633466817</v>
      </c>
      <c r="H39" s="10" t="n">
        <f aca="false">H35+H36</f>
        <v>28877.6206648417</v>
      </c>
      <c r="I39" s="10" t="n">
        <f aca="false">I35+I36</f>
        <v>38075.1756086125</v>
      </c>
      <c r="K39" s="10" t="n">
        <f aca="false">K35+K36</f>
        <v>3802.98298513527</v>
      </c>
      <c r="L39" s="10" t="n">
        <f aca="false">L35+L36</f>
        <v>6033.01543446966</v>
      </c>
      <c r="M39" s="2"/>
    </row>
    <row r="40" customFormat="false" ht="15" hidden="false" customHeight="false" outlineLevel="0" collapsed="false">
      <c r="A40" s="10" t="s">
        <v>5819</v>
      </c>
      <c r="B40" s="11" t="s">
        <v>5820</v>
      </c>
      <c r="C40" s="11" t="s">
        <v>4720</v>
      </c>
      <c r="D40" s="10" t="n">
        <f aca="false">D35/D39</f>
        <v>0.882835532869858</v>
      </c>
      <c r="E40" s="10" t="n">
        <f aca="false">E35/E39</f>
        <v>0.885873508189668</v>
      </c>
      <c r="F40" s="10" t="n">
        <f aca="false">F35/F39</f>
        <v>0.87678519027476</v>
      </c>
      <c r="G40" s="10" t="n">
        <f aca="false">G35/G39</f>
        <v>0.864229420994133</v>
      </c>
      <c r="H40" s="10" t="n">
        <f aca="false">H35/H39</f>
        <v>0.847903030875394</v>
      </c>
      <c r="I40" s="10" t="n">
        <f aca="false">I35/I39</f>
        <v>0.829001394882838</v>
      </c>
      <c r="K40" s="10" t="n">
        <f aca="false">K35/K39</f>
        <v>0.890403066548099</v>
      </c>
      <c r="L40" s="10" t="n">
        <f aca="false">L35/L39</f>
        <v>0.883018247241906</v>
      </c>
      <c r="M40" s="2"/>
    </row>
    <row r="41" customFormat="false" ht="15" hidden="false" customHeight="false" outlineLevel="0" collapsed="false">
      <c r="A41" s="10" t="s">
        <v>5821</v>
      </c>
      <c r="B41" s="11" t="s">
        <v>5822</v>
      </c>
      <c r="C41" s="11" t="s">
        <v>4720</v>
      </c>
      <c r="D41" s="10" t="n">
        <f aca="false">D36/D39</f>
        <v>0.117164467130142</v>
      </c>
      <c r="E41" s="10" t="n">
        <f aca="false">E36/E39</f>
        <v>0.114126491810332</v>
      </c>
      <c r="F41" s="10" t="n">
        <f aca="false">F36/F39</f>
        <v>0.12321480972524</v>
      </c>
      <c r="G41" s="10" t="n">
        <f aca="false">G36/G39</f>
        <v>0.135770579005867</v>
      </c>
      <c r="H41" s="10" t="n">
        <f aca="false">H36/H39</f>
        <v>0.152096969124606</v>
      </c>
      <c r="I41" s="10" t="n">
        <f aca="false">I36/I39</f>
        <v>0.170998605117162</v>
      </c>
      <c r="K41" s="10" t="n">
        <f aca="false">K36/K39</f>
        <v>0.109596933451901</v>
      </c>
      <c r="L41" s="10" t="n">
        <f aca="false">L36/L39</f>
        <v>0.116981752758094</v>
      </c>
      <c r="M41" s="2"/>
    </row>
    <row r="42" customFormat="false" ht="15" hidden="false" customHeight="false" outlineLevel="0" collapsed="false">
      <c r="A42" s="10" t="s">
        <v>5823</v>
      </c>
      <c r="B42" s="11" t="s">
        <v>5456</v>
      </c>
      <c r="C42" s="10" t="s">
        <v>4694</v>
      </c>
      <c r="D42" s="10" t="n">
        <f aca="false">D37+D38</f>
        <v>30.8884541836335</v>
      </c>
      <c r="E42" s="10" t="n">
        <f aca="false">E37+E38</f>
        <v>220.467226681479</v>
      </c>
      <c r="F42" s="10" t="n">
        <f aca="false">F37+F38</f>
        <v>552.542011538327</v>
      </c>
      <c r="G42" s="10" t="n">
        <f aca="false">G37+G38</f>
        <v>1177.42392800452</v>
      </c>
      <c r="H42" s="10" t="n">
        <f aca="false">H37+H38</f>
        <v>2272.68666325252</v>
      </c>
      <c r="I42" s="10" t="n">
        <f aca="false">I37+I38</f>
        <v>4072.56162120374</v>
      </c>
      <c r="K42" s="10" t="n">
        <f aca="false">K37+K38</f>
        <v>60.7184619405821</v>
      </c>
      <c r="L42" s="10" t="n">
        <f aca="false">L37+L38</f>
        <v>159.748764740897</v>
      </c>
      <c r="M42" s="2"/>
    </row>
    <row r="43" customFormat="false" ht="15" hidden="false" customHeight="false" outlineLevel="0" collapsed="false">
      <c r="A43" s="10" t="s">
        <v>5824</v>
      </c>
      <c r="B43" s="11" t="s">
        <v>5825</v>
      </c>
      <c r="C43" s="11" t="s">
        <v>4720</v>
      </c>
      <c r="D43" s="10" t="n">
        <f aca="false">D37/D42</f>
        <v>0.106350417553125</v>
      </c>
      <c r="E43" s="10" t="n">
        <f aca="false">E37/E42</f>
        <v>0.0163901912061543</v>
      </c>
      <c r="F43" s="10" t="n">
        <f aca="false">F37/F42</f>
        <v>0.00719375163697265</v>
      </c>
      <c r="G43" s="10" t="n">
        <f aca="false">G37/G42</f>
        <v>0.00371347557664314</v>
      </c>
      <c r="H43" s="10" t="n">
        <f aca="false">H37/H42</f>
        <v>0.00211624795347585</v>
      </c>
      <c r="I43" s="10" t="n">
        <f aca="false">I37/I42</f>
        <v>0.00129906575813487</v>
      </c>
      <c r="K43" s="10" t="n">
        <f aca="false">K37/K42</f>
        <v>0.0295116171050828</v>
      </c>
      <c r="L43" s="10" t="n">
        <f aca="false">L37/L42</f>
        <v>0.0114029050738172</v>
      </c>
      <c r="M43" s="2"/>
    </row>
    <row r="44" customFormat="false" ht="15" hidden="false" customHeight="false" outlineLevel="0" collapsed="false">
      <c r="A44" s="10" t="s">
        <v>5826</v>
      </c>
      <c r="B44" s="11" t="s">
        <v>5827</v>
      </c>
      <c r="C44" s="11" t="s">
        <v>4720</v>
      </c>
      <c r="D44" s="10" t="n">
        <f aca="false">D38/D42</f>
        <v>0.893649582446875</v>
      </c>
      <c r="E44" s="10" t="n">
        <f aca="false">E38/E42</f>
        <v>0.983609808793846</v>
      </c>
      <c r="F44" s="10" t="n">
        <f aca="false">F38/F42</f>
        <v>0.992806248363027</v>
      </c>
      <c r="G44" s="10" t="n">
        <f aca="false">G38/G42</f>
        <v>0.996286524423357</v>
      </c>
      <c r="H44" s="10" t="n">
        <f aca="false">H38/H42</f>
        <v>0.997883752046524</v>
      </c>
      <c r="I44" s="10" t="n">
        <f aca="false">I38/I42</f>
        <v>0.998700934241865</v>
      </c>
      <c r="K44" s="10" t="n">
        <f aca="false">K38/K42</f>
        <v>0.970488382894917</v>
      </c>
      <c r="L44" s="10" t="n">
        <f aca="false">L38/L42</f>
        <v>0.988597094926183</v>
      </c>
      <c r="M44" s="2"/>
    </row>
    <row r="45" customFormat="false" ht="15" hidden="false" customHeight="false" outlineLevel="0" collapsed="false">
      <c r="A45" s="15" t="s">
        <v>5828</v>
      </c>
    </row>
    <row r="46" customFormat="false" ht="15" hidden="false" customHeight="false" outlineLevel="0" collapsed="false">
      <c r="A46" s="10" t="s">
        <v>5829</v>
      </c>
      <c r="B46" s="10" t="s">
        <v>5830</v>
      </c>
      <c r="C46" s="10" t="s">
        <v>4449</v>
      </c>
      <c r="D46" s="10" t="n">
        <f aca="false">SUMIFS(TK_IF_CostPre_Sol,TK_HdrGen,$D$8,TK_HdrCost,$D$10)</f>
        <v>0.191780186690782</v>
      </c>
      <c r="E46" s="10" t="n">
        <f aca="false">SUMIFS(TK_IF_CostPre_Sol,TK_HdrGen,$D$8,TK_HdrCost,$D$10)</f>
        <v>0.191780186690782</v>
      </c>
      <c r="F46" s="10" t="n">
        <f aca="false">SUMIFS(TK_IF_CostPre_Sol,TK_HdrGen,$D$8,TK_HdrCost,$D$10)</f>
        <v>0.191780186690782</v>
      </c>
      <c r="G46" s="10" t="n">
        <f aca="false">SUMIFS(TK_IF_CostPre_Sol,TK_HdrGen,$D$8,TK_HdrCost,$D$10)</f>
        <v>0.191780186690782</v>
      </c>
      <c r="H46" s="10" t="n">
        <f aca="false">SUMIFS(TK_IF_CostPre_Sol,TK_HdrGen,$D$8,TK_HdrCost,$D$10)</f>
        <v>0.191780186690782</v>
      </c>
      <c r="I46" s="10" t="n">
        <f aca="false">SUMIFS(TK_IF_CostPre_Sol,TK_HdrGen,$D$8,TK_HdrCost,$D$10)</f>
        <v>0.191780186690782</v>
      </c>
      <c r="K46" s="10" t="n">
        <f aca="false">SUMIFS(TK_IF_CostPre_Sol,TK_HdrGen,$D$8,TK_HdrCost,$D$10)</f>
        <v>0.191780186690782</v>
      </c>
      <c r="L46" s="10" t="n">
        <f aca="false">SUMIFS(TK_IF_CostPre_Sol,TK_HdrGen,$D$8,TK_HdrCost,$D$10)</f>
        <v>0.191780186690782</v>
      </c>
      <c r="M46" s="13" t="s">
        <v>5831</v>
      </c>
    </row>
    <row r="47" customFormat="false" ht="15" hidden="false" customHeight="false" outlineLevel="0" collapsed="false">
      <c r="A47" s="10" t="s">
        <v>5832</v>
      </c>
      <c r="B47" s="10" t="s">
        <v>5833</v>
      </c>
      <c r="C47" s="10" t="s">
        <v>4449</v>
      </c>
      <c r="D47" s="10" t="n">
        <f aca="false">SUMIFS(TK_IF_CostCache_Sol,TK_HdrGen,$D$8,TK_HdrCost,$D$10)</f>
        <v>1.69899869784684E-005</v>
      </c>
      <c r="E47" s="10" t="n">
        <f aca="false">SUMIFS(TK_IF_CostCache_Sol,TK_HdrGen,$D$8,TK_HdrCost,$D$10)</f>
        <v>1.69899869784684E-005</v>
      </c>
      <c r="F47" s="10" t="n">
        <f aca="false">SUMIFS(TK_IF_CostCache_Sol,TK_HdrGen,$D$8,TK_HdrCost,$D$10)</f>
        <v>1.69899869784684E-005</v>
      </c>
      <c r="G47" s="10" t="n">
        <f aca="false">SUMIFS(TK_IF_CostCache_Sol,TK_HdrGen,$D$8,TK_HdrCost,$D$10)</f>
        <v>1.69899869784684E-005</v>
      </c>
      <c r="H47" s="10" t="n">
        <f aca="false">SUMIFS(TK_IF_CostCache_Sol,TK_HdrGen,$D$8,TK_HdrCost,$D$10)</f>
        <v>1.69899869784684E-005</v>
      </c>
      <c r="I47" s="10" t="n">
        <f aca="false">SUMIFS(TK_IF_CostCache_Sol,TK_HdrGen,$D$8,TK_HdrCost,$D$10)</f>
        <v>1.69899869784684E-005</v>
      </c>
      <c r="K47" s="10" t="n">
        <f aca="false">SUMIFS(TK_IF_CostCache_Sol,TK_HdrGen,$D$8,TK_HdrCost,$D$10)</f>
        <v>1.69899869784684E-005</v>
      </c>
      <c r="L47" s="10" t="n">
        <f aca="false">SUMIFS(TK_IF_CostCache_Sol,TK_HdrGen,$D$8,TK_HdrCost,$D$10)</f>
        <v>1.69899869784684E-005</v>
      </c>
      <c r="M47" s="13" t="s">
        <v>5834</v>
      </c>
    </row>
    <row r="48" customFormat="false" ht="15" hidden="false" customHeight="false" outlineLevel="0" collapsed="false">
      <c r="A48" s="10" t="s">
        <v>5835</v>
      </c>
      <c r="B48" s="10" t="s">
        <v>5836</v>
      </c>
      <c r="C48" s="10" t="s">
        <v>4449</v>
      </c>
      <c r="D48" s="10" t="n">
        <f aca="false">SUMIFS(TK_IF_CostDec_Sol,TK_HdrGen,$D$8,TK_HdrCost,$D$10)</f>
        <v>1.905934506856</v>
      </c>
      <c r="E48" s="10" t="n">
        <f aca="false">SUMIFS(TK_IF_CostDec_Sol,TK_HdrGen,$D$8,TK_HdrCost,$D$10)</f>
        <v>1.905934506856</v>
      </c>
      <c r="F48" s="10" t="n">
        <f aca="false">SUMIFS(TK_IF_CostDec_Sol,TK_HdrGen,$D$8,TK_HdrCost,$D$10)</f>
        <v>1.905934506856</v>
      </c>
      <c r="G48" s="10" t="n">
        <f aca="false">SUMIFS(TK_IF_CostDec_Sol,TK_HdrGen,$D$8,TK_HdrCost,$D$10)</f>
        <v>1.905934506856</v>
      </c>
      <c r="H48" s="10" t="n">
        <f aca="false">SUMIFS(TK_IF_CostDec_Sol,TK_HdrGen,$D$8,TK_HdrCost,$D$10)</f>
        <v>1.905934506856</v>
      </c>
      <c r="I48" s="10" t="n">
        <f aca="false">SUMIFS(TK_IF_CostDec_Sol,TK_HdrGen,$D$8,TK_HdrCost,$D$10)</f>
        <v>1.905934506856</v>
      </c>
      <c r="K48" s="10" t="n">
        <f aca="false">SUMIFS(TK_IF_CostDec_Sol,TK_HdrGen,$D$8,TK_HdrCost,$D$10)</f>
        <v>1.905934506856</v>
      </c>
      <c r="L48" s="10" t="n">
        <f aca="false">SUMIFS(TK_IF_CostDec_Sol,TK_HdrGen,$D$8,TK_HdrCost,$D$10)</f>
        <v>1.905934506856</v>
      </c>
      <c r="M48" s="13" t="s">
        <v>5837</v>
      </c>
    </row>
    <row r="49" customFormat="false" ht="15" hidden="false" customHeight="false" outlineLevel="0" collapsed="false">
      <c r="A49" s="10" t="s">
        <v>5838</v>
      </c>
      <c r="B49" s="10" t="s">
        <v>5839</v>
      </c>
      <c r="C49" s="10" t="s">
        <v>4449</v>
      </c>
      <c r="D49" s="10" t="n">
        <f aca="false">SUMIFS(TK_IF_CostPre_Luna,TK_HdrGen,$D$8,TK_HdrCost,$D$10)</f>
        <v>0.0552554588066438</v>
      </c>
      <c r="E49" s="10" t="n">
        <f aca="false">SUMIFS(TK_IF_CostPre_Luna,TK_HdrGen,$D$8,TK_HdrCost,$D$10)</f>
        <v>0.0552554588066438</v>
      </c>
      <c r="F49" s="10" t="n">
        <f aca="false">SUMIFS(TK_IF_CostPre_Luna,TK_HdrGen,$D$8,TK_HdrCost,$D$10)</f>
        <v>0.0552554588066438</v>
      </c>
      <c r="G49" s="10" t="n">
        <f aca="false">SUMIFS(TK_IF_CostPre_Luna,TK_HdrGen,$D$8,TK_HdrCost,$D$10)</f>
        <v>0.0552554588066438</v>
      </c>
      <c r="H49" s="10" t="n">
        <f aca="false">SUMIFS(TK_IF_CostPre_Luna,TK_HdrGen,$D$8,TK_HdrCost,$D$10)</f>
        <v>0.0552554588066438</v>
      </c>
      <c r="I49" s="10" t="n">
        <f aca="false">SUMIFS(TK_IF_CostPre_Luna,TK_HdrGen,$D$8,TK_HdrCost,$D$10)</f>
        <v>0.0552554588066438</v>
      </c>
      <c r="K49" s="10" t="n">
        <f aca="false">SUMIFS(TK_IF_CostPre_Luna,TK_HdrGen,$D$8,TK_HdrCost,$D$10)</f>
        <v>0.0552554588066438</v>
      </c>
      <c r="L49" s="10" t="n">
        <f aca="false">SUMIFS(TK_IF_CostPre_Luna,TK_HdrGen,$D$8,TK_HdrCost,$D$10)</f>
        <v>0.0552554588066438</v>
      </c>
      <c r="M49" s="13" t="s">
        <v>5840</v>
      </c>
    </row>
    <row r="50" customFormat="false" ht="15" hidden="false" customHeight="false" outlineLevel="0" collapsed="false">
      <c r="A50" s="10" t="s">
        <v>5841</v>
      </c>
      <c r="B50" s="10" t="s">
        <v>5842</v>
      </c>
      <c r="C50" s="10" t="s">
        <v>4449</v>
      </c>
      <c r="D50" s="10" t="n">
        <f aca="false">SUMIFS(TK_IF_CostCache_Luna,TK_HdrGen,$D$8,TK_HdrCost,$D$10)</f>
        <v>1.19765481979367E-005</v>
      </c>
      <c r="E50" s="10" t="n">
        <f aca="false">SUMIFS(TK_IF_CostCache_Luna,TK_HdrGen,$D$8,TK_HdrCost,$D$10)</f>
        <v>1.19765481979367E-005</v>
      </c>
      <c r="F50" s="10" t="n">
        <f aca="false">SUMIFS(TK_IF_CostCache_Luna,TK_HdrGen,$D$8,TK_HdrCost,$D$10)</f>
        <v>1.19765481979367E-005</v>
      </c>
      <c r="G50" s="10" t="n">
        <f aca="false">SUMIFS(TK_IF_CostCache_Luna,TK_HdrGen,$D$8,TK_HdrCost,$D$10)</f>
        <v>1.19765481979367E-005</v>
      </c>
      <c r="H50" s="10" t="n">
        <f aca="false">SUMIFS(TK_IF_CostCache_Luna,TK_HdrGen,$D$8,TK_HdrCost,$D$10)</f>
        <v>1.19765481979367E-005</v>
      </c>
      <c r="I50" s="10" t="n">
        <f aca="false">SUMIFS(TK_IF_CostCache_Luna,TK_HdrGen,$D$8,TK_HdrCost,$D$10)</f>
        <v>1.19765481979367E-005</v>
      </c>
      <c r="K50" s="10" t="n">
        <f aca="false">SUMIFS(TK_IF_CostCache_Luna,TK_HdrGen,$D$8,TK_HdrCost,$D$10)</f>
        <v>1.19765481979367E-005</v>
      </c>
      <c r="L50" s="10" t="n">
        <f aca="false">SUMIFS(TK_IF_CostCache_Luna,TK_HdrGen,$D$8,TK_HdrCost,$D$10)</f>
        <v>1.19765481979367E-005</v>
      </c>
      <c r="M50" s="13" t="s">
        <v>5843</v>
      </c>
    </row>
    <row r="51" customFormat="false" ht="15" hidden="false" customHeight="false" outlineLevel="0" collapsed="false">
      <c r="A51" s="10" t="s">
        <v>5844</v>
      </c>
      <c r="B51" s="10" t="s">
        <v>5845</v>
      </c>
      <c r="C51" s="10" t="s">
        <v>4449</v>
      </c>
      <c r="D51" s="10" t="n">
        <f aca="false">SUMIFS(TK_IF_CostDec_Luna,TK_HdrGen,$D$8,TK_HdrCost,$D$10)</f>
        <v>0.579207004989805</v>
      </c>
      <c r="E51" s="10" t="n">
        <f aca="false">SUMIFS(TK_IF_CostDec_Luna,TK_HdrGen,$D$8,TK_HdrCost,$D$10)</f>
        <v>0.579207004989805</v>
      </c>
      <c r="F51" s="10" t="n">
        <f aca="false">SUMIFS(TK_IF_CostDec_Luna,TK_HdrGen,$D$8,TK_HdrCost,$D$10)</f>
        <v>0.579207004989805</v>
      </c>
      <c r="G51" s="10" t="n">
        <f aca="false">SUMIFS(TK_IF_CostDec_Luna,TK_HdrGen,$D$8,TK_HdrCost,$D$10)</f>
        <v>0.579207004989805</v>
      </c>
      <c r="H51" s="10" t="n">
        <f aca="false">SUMIFS(TK_IF_CostDec_Luna,TK_HdrGen,$D$8,TK_HdrCost,$D$10)</f>
        <v>0.579207004989805</v>
      </c>
      <c r="I51" s="10" t="n">
        <f aca="false">SUMIFS(TK_IF_CostDec_Luna,TK_HdrGen,$D$8,TK_HdrCost,$D$10)</f>
        <v>0.579207004989805</v>
      </c>
      <c r="K51" s="10" t="n">
        <f aca="false">SUMIFS(TK_IF_CostDec_Luna,TK_HdrGen,$D$8,TK_HdrCost,$D$10)</f>
        <v>0.579207004989805</v>
      </c>
      <c r="L51" s="10" t="n">
        <f aca="false">SUMIFS(TK_IF_CostDec_Luna,TK_HdrGen,$D$8,TK_HdrCost,$D$10)</f>
        <v>0.579207004989805</v>
      </c>
      <c r="M51" s="13" t="s">
        <v>5846</v>
      </c>
    </row>
    <row r="52" customFormat="false" ht="15" hidden="false" customHeight="false" outlineLevel="0" collapsed="false">
      <c r="A52" s="10" t="s">
        <v>5847</v>
      </c>
      <c r="B52" s="10" t="s">
        <v>5848</v>
      </c>
      <c r="C52" s="10" t="s">
        <v>5849</v>
      </c>
      <c r="D52" s="10" t="n">
        <f aca="false">SUMIFS(TK_IF_HoldEcon,TK_HdrGen,$D$8,TK_HdrCost,$D$10)</f>
        <v>9.70308728611469</v>
      </c>
      <c r="E52" s="10" t="n">
        <f aca="false">SUMIFS(TK_IF_HoldEcon,TK_HdrGen,$D$8,TK_HdrCost,$D$10)</f>
        <v>9.70308728611469</v>
      </c>
      <c r="F52" s="10" t="n">
        <f aca="false">SUMIFS(TK_IF_HoldEcon,TK_HdrGen,$D$8,TK_HdrCost,$D$10)</f>
        <v>9.70308728611469</v>
      </c>
      <c r="G52" s="10" t="n">
        <f aca="false">SUMIFS(TK_IF_HoldEcon,TK_HdrGen,$D$8,TK_HdrCost,$D$10)</f>
        <v>9.70308728611469</v>
      </c>
      <c r="H52" s="10" t="n">
        <f aca="false">SUMIFS(TK_IF_HoldEcon,TK_HdrGen,$D$8,TK_HdrCost,$D$10)</f>
        <v>9.70308728611469</v>
      </c>
      <c r="I52" s="10" t="n">
        <f aca="false">SUMIFS(TK_IF_HoldEcon,TK_HdrGen,$D$8,TK_HdrCost,$D$10)</f>
        <v>9.70308728611469</v>
      </c>
      <c r="K52" s="10" t="n">
        <f aca="false">SUMIFS(TK_IF_HoldEcon,TK_HdrGen,$D$8,TK_HdrCost,$D$10)</f>
        <v>9.70308728611469</v>
      </c>
      <c r="L52" s="10" t="n">
        <f aca="false">SUMIFS(TK_IF_HoldEcon,TK_HdrGen,$D$8,TK_HdrCost,$D$10)</f>
        <v>9.70308728611469</v>
      </c>
      <c r="M52" s="2" t="s">
        <v>5850</v>
      </c>
    </row>
    <row r="53" customFormat="false" ht="15" hidden="false" customHeight="false" outlineLevel="0" collapsed="false">
      <c r="A53" s="10" t="s">
        <v>5851</v>
      </c>
      <c r="B53" s="11" t="s">
        <v>5852</v>
      </c>
      <c r="C53" s="11" t="s">
        <v>4720</v>
      </c>
      <c r="D53" s="10" t="n">
        <f aca="false">(1-INP_029)*(1-INP_030)</f>
        <v>0.425</v>
      </c>
      <c r="E53" s="10" t="n">
        <f aca="false">(1-INP_029)*(1-INP_030)</f>
        <v>0.425</v>
      </c>
      <c r="F53" s="10" t="n">
        <f aca="false">(1-INP_029)*(1-INP_030)</f>
        <v>0.425</v>
      </c>
      <c r="G53" s="10" t="n">
        <f aca="false">(1-INP_029)*(1-INP_030)</f>
        <v>0.425</v>
      </c>
      <c r="H53" s="10" t="n">
        <f aca="false">(1-INP_029)*(1-INP_030)</f>
        <v>0.425</v>
      </c>
      <c r="I53" s="10" t="n">
        <f aca="false">(1-INP_029)*(1-INP_030)</f>
        <v>0.425</v>
      </c>
      <c r="K53" s="10" t="n">
        <f aca="false">(1-INP_029)*(1-INP_030)</f>
        <v>0.425</v>
      </c>
      <c r="L53" s="10" t="n">
        <f aca="false">(1-INP_029)*(1-INP_030)</f>
        <v>0.425</v>
      </c>
      <c r="M53" s="13" t="s">
        <v>5853</v>
      </c>
    </row>
    <row r="54" customFormat="false" ht="15" hidden="false" customHeight="false" outlineLevel="0" collapsed="false">
      <c r="A54" s="10" t="s">
        <v>5854</v>
      </c>
      <c r="B54" s="11" t="s">
        <v>5855</v>
      </c>
      <c r="C54" s="11" t="s">
        <v>4720</v>
      </c>
      <c r="D54" s="10" t="n">
        <f aca="false">(1-INP_029)*INP_030</f>
        <v>0.425</v>
      </c>
      <c r="E54" s="10" t="n">
        <f aca="false">(1-INP_029)*INP_030</f>
        <v>0.425</v>
      </c>
      <c r="F54" s="10" t="n">
        <f aca="false">(1-INP_029)*INP_030</f>
        <v>0.425</v>
      </c>
      <c r="G54" s="10" t="n">
        <f aca="false">(1-INP_029)*INP_030</f>
        <v>0.425</v>
      </c>
      <c r="H54" s="10" t="n">
        <f aca="false">(1-INP_029)*INP_030</f>
        <v>0.425</v>
      </c>
      <c r="I54" s="10" t="n">
        <f aca="false">(1-INP_029)*INP_030</f>
        <v>0.425</v>
      </c>
      <c r="K54" s="10" t="n">
        <f aca="false">(1-INP_029)*INP_030</f>
        <v>0.425</v>
      </c>
      <c r="L54" s="10" t="n">
        <f aca="false">(1-INP_029)*INP_030</f>
        <v>0.425</v>
      </c>
      <c r="M54" s="13" t="s">
        <v>5856</v>
      </c>
    </row>
    <row r="55" customFormat="false" ht="15" hidden="false" customHeight="false" outlineLevel="0" collapsed="false">
      <c r="A55" s="10" t="s">
        <v>5857</v>
      </c>
      <c r="B55" s="11" t="s">
        <v>5858</v>
      </c>
      <c r="C55" s="11" t="s">
        <v>4720</v>
      </c>
      <c r="D55" s="10" t="n">
        <f aca="false">INP_029</f>
        <v>0.15</v>
      </c>
      <c r="E55" s="10" t="n">
        <f aca="false">INP_029</f>
        <v>0.15</v>
      </c>
      <c r="F55" s="10" t="n">
        <f aca="false">INP_029</f>
        <v>0.15</v>
      </c>
      <c r="G55" s="10" t="n">
        <f aca="false">INP_029</f>
        <v>0.15</v>
      </c>
      <c r="H55" s="10" t="n">
        <f aca="false">INP_029</f>
        <v>0.15</v>
      </c>
      <c r="I55" s="10" t="n">
        <f aca="false">INP_029</f>
        <v>0.15</v>
      </c>
      <c r="K55" s="10" t="n">
        <f aca="false">INP_029</f>
        <v>0.15</v>
      </c>
      <c r="L55" s="10" t="n">
        <f aca="false">INP_029</f>
        <v>0.15</v>
      </c>
      <c r="M55" s="2" t="s">
        <v>5859</v>
      </c>
    </row>
    <row r="56" customFormat="false" ht="15" hidden="false" customHeight="false" outlineLevel="0" collapsed="false">
      <c r="A56" s="10" t="s">
        <v>5860</v>
      </c>
      <c r="B56" s="11" t="s">
        <v>5861</v>
      </c>
      <c r="C56" s="10" t="s">
        <v>4449</v>
      </c>
      <c r="D56" s="10" t="n">
        <f aca="false">D53*D46+D54*D47+D55*D48</f>
        <v>0.367403976116448</v>
      </c>
      <c r="E56" s="10" t="n">
        <f aca="false">E53*E46+E54*E47+E55*E48</f>
        <v>0.367403976116448</v>
      </c>
      <c r="F56" s="10" t="n">
        <f aca="false">F53*F46+F54*F47+F55*F48</f>
        <v>0.367403976116448</v>
      </c>
      <c r="G56" s="10" t="n">
        <f aca="false">G53*G46+G54*G47+G55*G48</f>
        <v>0.367403976116448</v>
      </c>
      <c r="H56" s="10" t="n">
        <f aca="false">H53*H46+H54*H47+H55*H48</f>
        <v>0.367403976116448</v>
      </c>
      <c r="I56" s="10" t="n">
        <f aca="false">I53*I46+I54*I47+I55*I48</f>
        <v>0.367403976116448</v>
      </c>
      <c r="K56" s="10" t="n">
        <f aca="false">K53*K46+K54*K47+K55*K48</f>
        <v>0.367403976116448</v>
      </c>
      <c r="L56" s="10" t="n">
        <f aca="false">L53*L46+L54*L47+L55*L48</f>
        <v>0.367403976116448</v>
      </c>
      <c r="M56" s="13" t="s">
        <v>5862</v>
      </c>
    </row>
    <row r="57" customFormat="false" ht="15" hidden="false" customHeight="false" outlineLevel="0" collapsed="false">
      <c r="A57" s="10" t="s">
        <v>5863</v>
      </c>
      <c r="B57" s="11" t="s">
        <v>5864</v>
      </c>
      <c r="C57" s="10" t="s">
        <v>4449</v>
      </c>
      <c r="D57" s="10" t="n">
        <f aca="false">D53*D49+D54*D50+D55*D51</f>
        <v>0.110369710774279</v>
      </c>
      <c r="E57" s="10" t="n">
        <f aca="false">E53*E49+E54*E50+E55*E51</f>
        <v>0.110369710774279</v>
      </c>
      <c r="F57" s="10" t="n">
        <f aca="false">F53*F49+F54*F50+F55*F51</f>
        <v>0.110369710774279</v>
      </c>
      <c r="G57" s="10" t="n">
        <f aca="false">G53*G49+G54*G50+G55*G51</f>
        <v>0.110369710774279</v>
      </c>
      <c r="H57" s="10" t="n">
        <f aca="false">H53*H49+H54*H50+H55*H51</f>
        <v>0.110369710774279</v>
      </c>
      <c r="I57" s="10" t="n">
        <f aca="false">I53*I49+I54*I50+I55*I51</f>
        <v>0.110369710774279</v>
      </c>
      <c r="K57" s="10" t="n">
        <f aca="false">K53*K49+K54*K50+K55*K51</f>
        <v>0.110369710774279</v>
      </c>
      <c r="L57" s="10" t="n">
        <f aca="false">L53*L49+L54*L50+L55*L51</f>
        <v>0.110369710774279</v>
      </c>
      <c r="M57" s="13" t="s">
        <v>5862</v>
      </c>
    </row>
    <row r="58" customFormat="false" ht="15" hidden="false" customHeight="false" outlineLevel="0" collapsed="false">
      <c r="A58" s="10" t="s">
        <v>5865</v>
      </c>
      <c r="B58" s="11" t="s">
        <v>5866</v>
      </c>
      <c r="C58" s="11" t="s">
        <v>4720</v>
      </c>
      <c r="D58" s="10" t="n">
        <f aca="false">(1-INP_123)*(1-INP_122)</f>
        <v>0.097</v>
      </c>
      <c r="E58" s="10" t="n">
        <f aca="false">(1-INP_123)*(1-INP_122)</f>
        <v>0.097</v>
      </c>
      <c r="F58" s="10" t="n">
        <f aca="false">(1-INP_123)*(1-INP_122)</f>
        <v>0.097</v>
      </c>
      <c r="G58" s="10" t="n">
        <f aca="false">(1-INP_123)*(1-INP_122)</f>
        <v>0.097</v>
      </c>
      <c r="H58" s="10" t="n">
        <f aca="false">(1-INP_123)*(1-INP_122)</f>
        <v>0.097</v>
      </c>
      <c r="I58" s="10" t="n">
        <f aca="false">(1-INP_123)*(1-INP_122)</f>
        <v>0.097</v>
      </c>
      <c r="K58" s="10" t="n">
        <f aca="false">(1-INP_123)*(1-INP_122)</f>
        <v>0.097</v>
      </c>
      <c r="L58" s="10" t="n">
        <f aca="false">(1-INP_123)*(1-INP_122)</f>
        <v>0.097</v>
      </c>
      <c r="M58" s="13" t="s">
        <v>5853</v>
      </c>
    </row>
    <row r="59" customFormat="false" ht="15" hidden="false" customHeight="false" outlineLevel="0" collapsed="false">
      <c r="A59" s="10" t="s">
        <v>5867</v>
      </c>
      <c r="B59" s="11" t="s">
        <v>5868</v>
      </c>
      <c r="C59" s="11" t="s">
        <v>4720</v>
      </c>
      <c r="D59" s="10" t="n">
        <f aca="false">(1-INP_123)*INP_122</f>
        <v>0.873</v>
      </c>
      <c r="E59" s="10" t="n">
        <f aca="false">(1-INP_123)*INP_122</f>
        <v>0.873</v>
      </c>
      <c r="F59" s="10" t="n">
        <f aca="false">(1-INP_123)*INP_122</f>
        <v>0.873</v>
      </c>
      <c r="G59" s="10" t="n">
        <f aca="false">(1-INP_123)*INP_122</f>
        <v>0.873</v>
      </c>
      <c r="H59" s="10" t="n">
        <f aca="false">(1-INP_123)*INP_122</f>
        <v>0.873</v>
      </c>
      <c r="I59" s="10" t="n">
        <f aca="false">(1-INP_123)*INP_122</f>
        <v>0.873</v>
      </c>
      <c r="K59" s="10" t="n">
        <f aca="false">(1-INP_123)*INP_122</f>
        <v>0.873</v>
      </c>
      <c r="L59" s="10" t="n">
        <f aca="false">(1-INP_123)*INP_122</f>
        <v>0.873</v>
      </c>
      <c r="M59" s="13" t="s">
        <v>5856</v>
      </c>
    </row>
    <row r="60" customFormat="false" ht="15" hidden="false" customHeight="false" outlineLevel="0" collapsed="false">
      <c r="A60" s="10" t="s">
        <v>5869</v>
      </c>
      <c r="B60" s="11" t="s">
        <v>5870</v>
      </c>
      <c r="C60" s="11" t="s">
        <v>4720</v>
      </c>
      <c r="D60" s="10" t="n">
        <f aca="false">INP_123</f>
        <v>0.03</v>
      </c>
      <c r="E60" s="10" t="n">
        <f aca="false">INP_123</f>
        <v>0.03</v>
      </c>
      <c r="F60" s="10" t="n">
        <f aca="false">INP_123</f>
        <v>0.03</v>
      </c>
      <c r="G60" s="10" t="n">
        <f aca="false">INP_123</f>
        <v>0.03</v>
      </c>
      <c r="H60" s="10" t="n">
        <f aca="false">INP_123</f>
        <v>0.03</v>
      </c>
      <c r="I60" s="10" t="n">
        <f aca="false">INP_123</f>
        <v>0.03</v>
      </c>
      <c r="K60" s="10" t="n">
        <f aca="false">INP_123</f>
        <v>0.03</v>
      </c>
      <c r="L60" s="10" t="n">
        <f aca="false">INP_123</f>
        <v>0.03</v>
      </c>
      <c r="M60" s="2" t="s">
        <v>5859</v>
      </c>
    </row>
    <row r="61" customFormat="false" ht="15" hidden="false" customHeight="false" outlineLevel="0" collapsed="false">
      <c r="A61" s="10" t="s">
        <v>5871</v>
      </c>
      <c r="B61" s="11" t="s">
        <v>5872</v>
      </c>
      <c r="C61" s="10" t="s">
        <v>4449</v>
      </c>
      <c r="D61" s="10" t="n">
        <f aca="false">D58*D46+D59*D47+D60*D48</f>
        <v>0.0757955455733181</v>
      </c>
      <c r="E61" s="10" t="n">
        <f aca="false">E58*E46+E59*E47+E60*E48</f>
        <v>0.0757955455733181</v>
      </c>
      <c r="F61" s="10" t="n">
        <f aca="false">F58*F46+F59*F47+F60*F48</f>
        <v>0.0757955455733181</v>
      </c>
      <c r="G61" s="10" t="n">
        <f aca="false">G58*G46+G59*G47+G60*G48</f>
        <v>0.0757955455733181</v>
      </c>
      <c r="H61" s="10" t="n">
        <f aca="false">H58*H46+H59*H47+H60*H48</f>
        <v>0.0757955455733181</v>
      </c>
      <c r="I61" s="10" t="n">
        <f aca="false">I58*I46+I59*I47+I60*I48</f>
        <v>0.0757955455733181</v>
      </c>
      <c r="K61" s="10" t="n">
        <f aca="false">K58*K46+K59*K47+K60*K48</f>
        <v>0.0757955455733181</v>
      </c>
      <c r="L61" s="10" t="n">
        <f aca="false">L58*L46+L59*L47+L60*L48</f>
        <v>0.0757955455733181</v>
      </c>
      <c r="M61" s="13" t="s">
        <v>5862</v>
      </c>
    </row>
    <row r="62" customFormat="false" ht="15" hidden="false" customHeight="false" outlineLevel="0" collapsed="false">
      <c r="A62" s="10" t="s">
        <v>5873</v>
      </c>
      <c r="B62" s="11" t="s">
        <v>5874</v>
      </c>
      <c r="C62" s="10" t="s">
        <v>4449</v>
      </c>
      <c r="D62" s="10" t="n">
        <f aca="false">D58*D49+D59*D50+D60*D51</f>
        <v>0.0227464451805154</v>
      </c>
      <c r="E62" s="10" t="n">
        <f aca="false">E58*E49+E59*E50+E60*E51</f>
        <v>0.0227464451805154</v>
      </c>
      <c r="F62" s="10" t="n">
        <f aca="false">F58*F49+F59*F50+F60*F51</f>
        <v>0.0227464451805154</v>
      </c>
      <c r="G62" s="10" t="n">
        <f aca="false">G58*G49+G59*G50+G60*G51</f>
        <v>0.0227464451805154</v>
      </c>
      <c r="H62" s="10" t="n">
        <f aca="false">H58*H49+H59*H50+H60*H51</f>
        <v>0.0227464451805154</v>
      </c>
      <c r="I62" s="10" t="n">
        <f aca="false">I58*I49+I59*I50+I60*I51</f>
        <v>0.0227464451805154</v>
      </c>
      <c r="K62" s="10" t="n">
        <f aca="false">K58*K49+K59*K50+K60*K51</f>
        <v>0.0227464451805154</v>
      </c>
      <c r="L62" s="10" t="n">
        <f aca="false">L58*L49+L59*L50+L60*L51</f>
        <v>0.0227464451805154</v>
      </c>
      <c r="M62" s="13" t="s">
        <v>5862</v>
      </c>
    </row>
    <row r="63" customFormat="false" ht="15" hidden="false" customHeight="false" outlineLevel="0" collapsed="false">
      <c r="A63" s="10" t="s">
        <v>5875</v>
      </c>
      <c r="B63" s="11" t="s">
        <v>5876</v>
      </c>
      <c r="C63" s="10" t="s">
        <v>4527</v>
      </c>
      <c r="D63" s="10" t="n">
        <f aca="false">(D28*D56+D29*D57+D30*D61+D31*D62)*INP_074/(D52*INP_078*TK_IF_Util*D26)</f>
        <v>0.021765436162013</v>
      </c>
      <c r="E63" s="10" t="n">
        <f aca="false">(K63*INP_008+L63*INP_009)/INP_007</f>
        <v>0.2198539990063</v>
      </c>
      <c r="F63" s="10" t="n">
        <f aca="false">(F28*F56+F29*F57+F30*F61+F31*F62)*INP_074/(F52*INP_078*TK_IF_Util*F26)</f>
        <v>0.402816439134181</v>
      </c>
      <c r="G63" s="10" t="n">
        <f aca="false">(G28*G56+G29*G57+G30*G61+G31*G62)*INP_074/(G52*INP_078*TK_IF_Util*G26)</f>
        <v>0.651916457483375</v>
      </c>
      <c r="H63" s="10" t="n">
        <f aca="false">(H28*H56+H29*H57+H30*H61+H31*H62)*INP_074/(H52*INP_078*TK_IF_Util*H26)</f>
        <v>1.0438998724316</v>
      </c>
      <c r="I63" s="10" t="n">
        <f aca="false">(I28*I56+I29*I57+I30*I61+I31*I62)*INP_074/(I52*INP_078*TK_IF_Util*I26)</f>
        <v>1.566648642</v>
      </c>
      <c r="K63" s="10" t="n">
        <f aca="false">(K28*K56+K29*K57+K30*K61+K31*K62)*INP_074/((K52*INP_078*TK_IF_Util*K26)*INP_008/INP_007)</f>
        <v>0.161496729597464</v>
      </c>
      <c r="L63" s="10" t="n">
        <f aca="false">(L28*L56+L29*L57+L30*L61+L31*L62)*INP_074/((L52*INP_078*TK_IF_Util*L26)*INP_009/INP_007)</f>
        <v>0.277259791196513</v>
      </c>
      <c r="M63" s="13" t="s">
        <v>5877</v>
      </c>
    </row>
    <row r="64" customFormat="false" ht="15" hidden="false" customHeight="false" outlineLevel="0" collapsed="false">
      <c r="A64" s="10" t="s">
        <v>5878</v>
      </c>
      <c r="B64" s="11" t="s">
        <v>5879</v>
      </c>
      <c r="C64" s="10" t="s">
        <v>4527</v>
      </c>
      <c r="D64" s="10" t="n">
        <f aca="false">(D32*D57+D33*D56+D34*D57)*INP_074/(D52*INP_078*TK_IF_Util*D26)</f>
        <v>0.000976752199152274</v>
      </c>
      <c r="E64" s="10" t="n">
        <f aca="false">(K64*INP_008+L64*INP_009)/INP_007</f>
        <v>0.00656447320389567</v>
      </c>
      <c r="F64" s="10" t="n">
        <f aca="false">(F32*F57+F33*F56+F34*F57)*INP_074/(F52*INP_078*TK_IF_Util*F26)</f>
        <v>0.0167988785515065</v>
      </c>
      <c r="G64" s="10" t="n">
        <f aca="false">(G32*G57+G33*G56+G34*G57)*INP_074/(G52*INP_078*TK_IF_Util*G26)</f>
        <v>0.0359082066421199</v>
      </c>
      <c r="H64" s="10" t="n">
        <f aca="false">(H32*H57+H33*H56+H34*H57)*INP_074/(H52*INP_078*TK_IF_Util*H26)</f>
        <v>0.0713304093816885</v>
      </c>
      <c r="I64" s="10" t="n">
        <f aca="false">(I32*I57+I33*I56+I34*I57)*INP_074/(I52*INP_078*TK_IF_Util*I26)</f>
        <v>0.124904069922353</v>
      </c>
      <c r="K64" s="10" t="n">
        <f aca="false">(K32*K57+K33*K56+K34*K57)*INP_074/((K52*INP_078*TK_IF_Util*K26)*INP_008/INP_007)</f>
        <v>0.00375309469858847</v>
      </c>
      <c r="L64" s="10" t="n">
        <f aca="false">(L32*L57+L33*L56+L34*L57)*INP_074/((L52*INP_078*TK_IF_Util*L26)*INP_009/INP_007)</f>
        <v>0.00933001401618155</v>
      </c>
      <c r="M64" s="13" t="s">
        <v>5877</v>
      </c>
    </row>
    <row r="65" customFormat="false" ht="15" hidden="false" customHeight="false" outlineLevel="0" collapsed="false">
      <c r="A65" s="10" t="s">
        <v>5880</v>
      </c>
      <c r="B65" s="11" t="s">
        <v>5881</v>
      </c>
      <c r="C65" s="10" t="s">
        <v>4527</v>
      </c>
      <c r="D65" s="10" t="n">
        <f aca="false">D63+D64</f>
        <v>0.0227421883611652</v>
      </c>
      <c r="E65" s="10" t="n">
        <f aca="false">E63+E64</f>
        <v>0.226418472210195</v>
      </c>
      <c r="F65" s="10" t="n">
        <f aca="false">F63+F64</f>
        <v>0.419615317685688</v>
      </c>
      <c r="G65" s="10" t="n">
        <f aca="false">G63+G64</f>
        <v>0.687824664125495</v>
      </c>
      <c r="H65" s="10" t="n">
        <f aca="false">H63+H64</f>
        <v>1.11523028181329</v>
      </c>
      <c r="I65" s="10" t="n">
        <f aca="false">I63+I64</f>
        <v>1.69155271192235</v>
      </c>
      <c r="K65" s="10" t="n">
        <f aca="false">K63+K64</f>
        <v>0.165249824296053</v>
      </c>
      <c r="L65" s="10" t="n">
        <f aca="false">L63+L64</f>
        <v>0.286589805212695</v>
      </c>
      <c r="M65" s="2"/>
    </row>
    <row r="66" customFormat="false" ht="15" hidden="false" customHeight="false" outlineLevel="0" collapsed="false">
      <c r="A66" s="10" t="s">
        <v>5882</v>
      </c>
      <c r="B66" s="11" t="s">
        <v>5883</v>
      </c>
      <c r="C66" s="10" t="s">
        <v>4527</v>
      </c>
      <c r="D66" s="10" t="n">
        <f aca="false">(D30*D61+D31*D62)*INP_074/(D52*INP_078*TK_IF_Util*D26)</f>
        <v>0.0177272967071995</v>
      </c>
      <c r="E66" s="10" t="n">
        <f aca="false">(K66*INP_008+L66*INP_009)/INP_007</f>
        <v>0.16744598117429</v>
      </c>
      <c r="F66" s="10" t="n">
        <f aca="false">(F30*F61+F31*F62)*INP_074/(F52*INP_078*TK_IF_Util*F26)</f>
        <v>0.261435684877469</v>
      </c>
      <c r="G66" s="10" t="n">
        <f aca="false">(G30*G61+G31*G62)*INP_074/(G52*INP_078*TK_IF_Util*G26)</f>
        <v>0.343660751955359</v>
      </c>
      <c r="H66" s="10" t="n">
        <f aca="false">(H30*H61+H31*H62)*INP_074/(H52*INP_078*TK_IF_Util*H26)</f>
        <v>0.425980806871849</v>
      </c>
      <c r="I66" s="10" t="n">
        <f aca="false">(I30*I61+I31*I62)*INP_074/(I52*INP_078*TK_IF_Util*I26)</f>
        <v>0.479606293930474</v>
      </c>
      <c r="K66" s="10" t="n">
        <f aca="false">(K30*K61+K31*K62)*INP_074/((K52*INP_078*TK_IF_Util*K26)*INP_008/INP_007)</f>
        <v>0.133736943388656</v>
      </c>
      <c r="L66" s="10" t="n">
        <f aca="false">(L30*L61+L31*L62)*INP_074/((L52*INP_078*TK_IF_Util*L26)*INP_009/INP_007)</f>
        <v>0.200605415082984</v>
      </c>
      <c r="M66" s="13" t="s">
        <v>5884</v>
      </c>
    </row>
    <row r="67" customFormat="false" ht="15" hidden="false" customHeight="false" outlineLevel="0" collapsed="false">
      <c r="A67" s="15" t="s">
        <v>5885</v>
      </c>
    </row>
    <row r="68" customFormat="false" ht="15" hidden="false" customHeight="false" outlineLevel="0" collapsed="false">
      <c r="A68" s="10" t="s">
        <v>5886</v>
      </c>
      <c r="B68" s="11" t="s">
        <v>5887</v>
      </c>
      <c r="C68" s="10" t="s">
        <v>5755</v>
      </c>
      <c r="D68" s="10" t="n">
        <f aca="false">TK_IF_Util/(D40/D16+D41/D17)</f>
        <v>21984806672.2328</v>
      </c>
      <c r="E68" s="10" t="n">
        <f aca="false">TK_IF_Util/(E40/E16+E41/E17)</f>
        <v>21933971293.3291</v>
      </c>
      <c r="F68" s="10" t="n">
        <f aca="false">TK_IF_Util/(F40/F16+F41/F17)</f>
        <v>22086754133.7608</v>
      </c>
      <c r="G68" s="10" t="n">
        <f aca="false">TK_IF_Util/(G40/G16+G41/G17)</f>
        <v>22301363435.0246</v>
      </c>
      <c r="H68" s="10" t="n">
        <f aca="false">TK_IF_Util/(H40/H16+H41/H17)</f>
        <v>22586739157.0756</v>
      </c>
      <c r="I68" s="10" t="n">
        <f aca="false">TK_IF_Util/(I40/I16+I41/I17)</f>
        <v>22926388263.7154</v>
      </c>
      <c r="K68" s="10" t="n">
        <f aca="false">TK_IF_Util/(K40/K16+K41/K17)</f>
        <v>21858611862.3451</v>
      </c>
      <c r="L68" s="10" t="n">
        <f aca="false">TK_IF_Util/(L40/L16+L41/L17)</f>
        <v>21981742597.3095</v>
      </c>
      <c r="M68" s="2"/>
    </row>
    <row r="69" customFormat="false" ht="15" hidden="false" customHeight="false" outlineLevel="0" collapsed="false">
      <c r="A69" s="10" t="s">
        <v>5888</v>
      </c>
      <c r="B69" s="11" t="s">
        <v>5889</v>
      </c>
      <c r="C69" s="10" t="s">
        <v>5755</v>
      </c>
      <c r="D69" s="10" t="n">
        <f aca="false">TK_IF_Util/(D40/D18+D41/D19)</f>
        <v>7474834268.55916</v>
      </c>
      <c r="E69" s="10" t="n">
        <f aca="false">TK_IF_Util/(E40/E18+E41/E19)</f>
        <v>7457550239.73189</v>
      </c>
      <c r="F69" s="10" t="n">
        <f aca="false">TK_IF_Util/(F40/F18+F41/F19)</f>
        <v>7509496405.47866</v>
      </c>
      <c r="G69" s="10" t="n">
        <f aca="false">TK_IF_Util/(G40/G18+G41/G19)</f>
        <v>7582463567.90837</v>
      </c>
      <c r="H69" s="10" t="n">
        <f aca="false">TK_IF_Util/(H40/H18+H41/H19)</f>
        <v>7679491313.40569</v>
      </c>
      <c r="I69" s="10" t="n">
        <f aca="false">TK_IF_Util/(I40/I18+I41/I19)</f>
        <v>7794972009.66323</v>
      </c>
      <c r="K69" s="10" t="n">
        <f aca="false">TK_IF_Util/(K40/K18+K41/K19)</f>
        <v>7431928033.19734</v>
      </c>
      <c r="L69" s="10" t="n">
        <f aca="false">TK_IF_Util/(L40/L18+L41/L19)</f>
        <v>7473792483.08524</v>
      </c>
      <c r="M69" s="2"/>
    </row>
    <row r="70" customFormat="false" ht="15" hidden="false" customHeight="false" outlineLevel="0" collapsed="false">
      <c r="A70" s="10" t="s">
        <v>5890</v>
      </c>
      <c r="B70" s="11" t="s">
        <v>5891</v>
      </c>
      <c r="C70" s="10" t="s">
        <v>5755</v>
      </c>
      <c r="D70" s="10" t="n">
        <f aca="false">TK_IF_Util/(D40/D20+D41/D21)</f>
        <v>13190884003.3397</v>
      </c>
      <c r="E70" s="10" t="n">
        <f aca="false">TK_IF_Util/(E40/E20+E41/E21)</f>
        <v>13160382775.9975</v>
      </c>
      <c r="F70" s="10" t="n">
        <f aca="false">TK_IF_Util/(F40/F20+F41/F21)</f>
        <v>13252052480.2565</v>
      </c>
      <c r="G70" s="10" t="n">
        <f aca="false">TK_IF_Util/(G40/G20+G41/G21)</f>
        <v>13380818061.0148</v>
      </c>
      <c r="H70" s="10" t="n">
        <f aca="false">TK_IF_Util/(H40/H20+H41/H21)</f>
        <v>13552043494.2453</v>
      </c>
      <c r="I70" s="10" t="n">
        <f aca="false">TK_IF_Util/(I40/I20+I41/I21)</f>
        <v>13755832958.2292</v>
      </c>
      <c r="K70" s="10" t="n">
        <f aca="false">TK_IF_Util/(K40/K20+K41/K21)</f>
        <v>13115167117.4071</v>
      </c>
      <c r="L70" s="10" t="n">
        <f aca="false">TK_IF_Util/(L40/L20+L41/L21)</f>
        <v>13189045558.3857</v>
      </c>
      <c r="M70" s="2"/>
    </row>
    <row r="71" customFormat="false" ht="15" hidden="false" customHeight="false" outlineLevel="0" collapsed="false">
      <c r="A71" s="10" t="s">
        <v>5892</v>
      </c>
      <c r="B71" s="11" t="s">
        <v>5893</v>
      </c>
      <c r="C71" s="10" t="s">
        <v>5755</v>
      </c>
      <c r="D71" s="10" t="n">
        <f aca="false">D25*D68+D24*D69+D23*D70</f>
        <v>16444635390.8301</v>
      </c>
      <c r="E71" s="10" t="n">
        <f aca="false">E25*E68+E24*E69+E23*E70</f>
        <v>14498355024.8905</v>
      </c>
      <c r="F71" s="10" t="n">
        <f aca="false">F25*F68+F24*F69+F23*F70</f>
        <v>14003002120.8043</v>
      </c>
      <c r="G71" s="10" t="n">
        <f aca="false">G25*G68+G24*G69+G23*G70</f>
        <v>13982954873.7604</v>
      </c>
      <c r="H71" s="10" t="n">
        <f aca="false">H25*H68+H24*H69+H23*H70</f>
        <v>13710150668.3449</v>
      </c>
      <c r="I71" s="10" t="n">
        <f aca="false">I25*I68+I24*I69+I23*I70</f>
        <v>14214360723.5035</v>
      </c>
      <c r="K71" s="10" t="n">
        <f aca="false">K25*K68+K24*K69+K23*K70</f>
        <v>14448542441.0101</v>
      </c>
      <c r="L71" s="10" t="n">
        <f aca="false">L25*L68+L24*L69+L23*L70</f>
        <v>14529931856.8216</v>
      </c>
      <c r="M71" s="13" t="s">
        <v>5894</v>
      </c>
    </row>
    <row r="72" customFormat="false" ht="15" hidden="false" customHeight="false" outlineLevel="0" collapsed="false">
      <c r="A72" s="10" t="s">
        <v>5895</v>
      </c>
      <c r="B72" s="11" t="s">
        <v>5896</v>
      </c>
      <c r="C72" s="10" t="s">
        <v>5755</v>
      </c>
      <c r="D72" s="10" t="n">
        <f aca="false">TK_IF_Util/(D43/D16+D44/D17)</f>
        <v>53934076041.654</v>
      </c>
      <c r="E72" s="10" t="n">
        <f aca="false">TK_IF_Util/(E43/E16+E44/E17)</f>
        <v>64853178782.9562</v>
      </c>
      <c r="F72" s="10" t="n">
        <f aca="false">TK_IF_Util/(F43/F16+F44/F17)</f>
        <v>66223766285.8627</v>
      </c>
      <c r="G72" s="10" t="n">
        <f aca="false">TK_IF_Util/(G43/G16+G44/G17)</f>
        <v>66757679543.3634</v>
      </c>
      <c r="H72" s="10" t="n">
        <f aca="false">TK_IF_Util/(H43/H16+H44/H17)</f>
        <v>67005604975.8519</v>
      </c>
      <c r="I72" s="10" t="n">
        <f aca="false">TK_IF_Util/(I43/I16+I44/I17)</f>
        <v>67133163369.7244</v>
      </c>
      <c r="K72" s="10" t="n">
        <f aca="false">TK_IF_Util/(K43/K16+K44/K17)</f>
        <v>62993034084.4012</v>
      </c>
      <c r="L72" s="10" t="n">
        <f aca="false">TK_IF_Util/(L43/L16+L44/L17)</f>
        <v>65589336197.872</v>
      </c>
      <c r="M72" s="2"/>
    </row>
    <row r="73" customFormat="false" ht="15" hidden="false" customHeight="false" outlineLevel="0" collapsed="false">
      <c r="A73" s="10" t="s">
        <v>5897</v>
      </c>
      <c r="B73" s="11" t="s">
        <v>5898</v>
      </c>
      <c r="C73" s="10" t="s">
        <v>5755</v>
      </c>
      <c r="D73" s="10" t="n">
        <f aca="false">TK_IF_Util/(D43/D18+D44/D19)</f>
        <v>18337585854.1624</v>
      </c>
      <c r="E73" s="10" t="n">
        <f aca="false">TK_IF_Util/(E43/E18+E44/E19)</f>
        <v>22050080786.2051</v>
      </c>
      <c r="F73" s="10" t="n">
        <f aca="false">TK_IF_Util/(F43/F18+F44/F19)</f>
        <v>22516080537.1933</v>
      </c>
      <c r="G73" s="10" t="n">
        <f aca="false">TK_IF_Util/(G43/G18+G44/G19)</f>
        <v>22697611044.7436</v>
      </c>
      <c r="H73" s="10" t="n">
        <f aca="false">TK_IF_Util/(H43/H18+H44/H19)</f>
        <v>22781905691.7896</v>
      </c>
      <c r="I73" s="10" t="n">
        <f aca="false">TK_IF_Util/(I43/I18+I44/I19)</f>
        <v>22825275545.7063</v>
      </c>
      <c r="K73" s="10" t="n">
        <f aca="false">TK_IF_Util/(K43/K18+K44/K19)</f>
        <v>21417631588.6964</v>
      </c>
      <c r="L73" s="10" t="n">
        <f aca="false">TK_IF_Util/(L43/L18+L44/L19)</f>
        <v>22300374307.2765</v>
      </c>
      <c r="M73" s="2"/>
    </row>
    <row r="74" customFormat="false" ht="15" hidden="false" customHeight="false" outlineLevel="0" collapsed="false">
      <c r="A74" s="10" t="s">
        <v>5899</v>
      </c>
      <c r="B74" s="11" t="s">
        <v>5900</v>
      </c>
      <c r="C74" s="10" t="s">
        <v>5755</v>
      </c>
      <c r="D74" s="10" t="n">
        <f aca="false">TK_IF_Util/(D43/D20+D44/D21)</f>
        <v>32360445624.9924</v>
      </c>
      <c r="E74" s="10" t="n">
        <f aca="false">TK_IF_Util/(E43/E20+E44/E21)</f>
        <v>38911907269.7737</v>
      </c>
      <c r="F74" s="10" t="n">
        <f aca="false">TK_IF_Util/(F43/F20+F44/F21)</f>
        <v>39734259771.5176</v>
      </c>
      <c r="G74" s="10" t="n">
        <f aca="false">TK_IF_Util/(G43/G20+G44/G21)</f>
        <v>40054607726.018</v>
      </c>
      <c r="H74" s="10" t="n">
        <f aca="false">TK_IF_Util/(H43/H20+H44/H21)</f>
        <v>40203362985.5111</v>
      </c>
      <c r="I74" s="10" t="n">
        <f aca="false">TK_IF_Util/(I43/I20+I44/I21)</f>
        <v>40279898021.8346</v>
      </c>
      <c r="K74" s="10" t="n">
        <f aca="false">TK_IF_Util/(K43/K20+K44/K21)</f>
        <v>37795820450.6407</v>
      </c>
      <c r="L74" s="10" t="n">
        <f aca="false">TK_IF_Util/(L43/L20+L44/L21)</f>
        <v>39353601718.7232</v>
      </c>
      <c r="M74" s="2"/>
    </row>
    <row r="75" customFormat="false" ht="15" hidden="false" customHeight="false" outlineLevel="0" collapsed="false">
      <c r="A75" s="10" t="s">
        <v>5901</v>
      </c>
      <c r="B75" s="11" t="s">
        <v>5902</v>
      </c>
      <c r="C75" s="10" t="s">
        <v>5755</v>
      </c>
      <c r="D75" s="10" t="n">
        <f aca="false">D25*D72+D24*D73+D23*D74</f>
        <v>40342688879.1572</v>
      </c>
      <c r="E75" s="10" t="n">
        <f aca="false">E25*E72+E24*E73+E23*E74</f>
        <v>42867951175.534</v>
      </c>
      <c r="F75" s="10" t="n">
        <f aca="false">F25*F72+F24*F73+F23*F74</f>
        <v>41985867825.2369</v>
      </c>
      <c r="G75" s="10" t="n">
        <f aca="false">G25*G72+G24*G73+G23*G74</f>
        <v>41857065073.6888</v>
      </c>
      <c r="H75" s="10" t="n">
        <f aca="false">H25*H72+H24*H73+H23*H74</f>
        <v>40672402220.3421</v>
      </c>
      <c r="I75" s="10" t="n">
        <f aca="false">I25*I72+I24*I73+I23*I74</f>
        <v>41622561289.2291</v>
      </c>
      <c r="K75" s="10" t="n">
        <f aca="false">K25*K72+K24*K73+K23*K74</f>
        <v>41638395529.7892</v>
      </c>
      <c r="L75" s="10" t="n">
        <f aca="false">L25*L72+L24*L73+L23*L74</f>
        <v>43354551226.7934</v>
      </c>
      <c r="M75" s="13" t="s">
        <v>5894</v>
      </c>
    </row>
    <row r="76" customFormat="false" ht="15" hidden="false" customHeight="false" outlineLevel="0" collapsed="false">
      <c r="A76" s="10" t="s">
        <v>5903</v>
      </c>
      <c r="B76" s="11" t="s">
        <v>5904</v>
      </c>
      <c r="C76" s="10" t="s">
        <v>4527</v>
      </c>
      <c r="D76" s="10" t="n">
        <f aca="false">(D39*INP_074/D71)+(D42*INP_074/D75)</f>
        <v>0.0714034105026159</v>
      </c>
      <c r="E76" s="10" t="n">
        <f aca="false">(K76*INP_008+L76*INP_009)/INP_007</f>
        <v>0.683564621469707</v>
      </c>
      <c r="F76" s="10" t="n">
        <f aca="false">(F39*INP_074/F71)+(F42*INP_074/F75)</f>
        <v>1.11913910624032</v>
      </c>
      <c r="G76" s="10" t="n">
        <f aca="false">(G39*INP_074/G71)+(G42*INP_074/G75)</f>
        <v>1.57804262054229</v>
      </c>
      <c r="H76" s="10" t="n">
        <f aca="false">(H39*INP_074/H71)+(H42*INP_074/H75)</f>
        <v>2.1621727737669</v>
      </c>
      <c r="I76" s="10" t="n">
        <f aca="false">(I39*INP_074/I71)+(I42*INP_074/I75)</f>
        <v>2.77648648592119</v>
      </c>
      <c r="K76" s="10" t="n">
        <f aca="false">(K39*INP_074/(K71*INP_008/INP_007))+(K42*INP_074/(K75*INP_008/INP_007))</f>
        <v>0.533720737088671</v>
      </c>
      <c r="L76" s="10" t="n">
        <f aca="false">(L39*INP_074/(L71*INP_009/INP_007))+(L42*INP_074/(L75*INP_009/INP_007))</f>
        <v>0.830965399040183</v>
      </c>
      <c r="M76" s="13" t="s">
        <v>5905</v>
      </c>
    </row>
    <row r="77" customFormat="false" ht="15" hidden="false" customHeight="false" outlineLevel="0" collapsed="false">
      <c r="A77" s="10" t="s">
        <v>5906</v>
      </c>
      <c r="B77" s="11" t="s">
        <v>5907</v>
      </c>
      <c r="C77" s="11" t="s">
        <v>1709</v>
      </c>
      <c r="D77" s="10" t="n">
        <f aca="false">D65/D76</f>
        <v>0.318502830622244</v>
      </c>
      <c r="E77" s="10" t="n">
        <f aca="false">E65/E76</f>
        <v>0.331231993433747</v>
      </c>
      <c r="F77" s="10" t="n">
        <f aca="false">F65/F76</f>
        <v>0.374944736848095</v>
      </c>
      <c r="G77" s="10" t="n">
        <f aca="false">G65/G76</f>
        <v>0.435872045007964</v>
      </c>
      <c r="H77" s="10" t="n">
        <f aca="false">H65/H76</f>
        <v>0.515791473902596</v>
      </c>
      <c r="I77" s="10" t="n">
        <f aca="false">I65/I76</f>
        <v>0.609242191705149</v>
      </c>
      <c r="K77" s="10" t="n">
        <f aca="false">K65/K76</f>
        <v>0.309618519223095</v>
      </c>
      <c r="L77" s="10" t="n">
        <f aca="false">L65/L76</f>
        <v>0.344887772154802</v>
      </c>
      <c r="M77" s="2" t="s">
        <v>5908</v>
      </c>
    </row>
    <row r="78" customFormat="false" ht="15" hidden="false" customHeight="false" outlineLevel="0" collapsed="false">
      <c r="A78" s="15" t="s">
        <v>5909</v>
      </c>
    </row>
    <row r="79" customFormat="false" ht="15" hidden="false" customHeight="false" outlineLevel="0" collapsed="false">
      <c r="A79" s="10" t="s">
        <v>5910</v>
      </c>
      <c r="B79" s="11" t="s">
        <v>763</v>
      </c>
      <c r="C79" s="10" t="s">
        <v>63</v>
      </c>
      <c r="D79" s="10" t="n">
        <f aca="false">SRC_ZP_197</f>
        <v>1.5438</v>
      </c>
      <c r="K79" s="10" t="n">
        <f aca="false">SRC_ZP_195</f>
        <v>6.223</v>
      </c>
      <c r="M79" s="13" t="s">
        <v>5911</v>
      </c>
    </row>
    <row r="80" customFormat="false" ht="15" hidden="false" customHeight="false" outlineLevel="0" collapsed="false">
      <c r="A80" s="10" t="s">
        <v>5912</v>
      </c>
      <c r="B80" s="11" t="s">
        <v>5913</v>
      </c>
      <c r="C80" s="10" t="s">
        <v>63</v>
      </c>
      <c r="D80" s="10" t="n">
        <f aca="false">D79*INP_102</f>
        <v>1.5438</v>
      </c>
      <c r="K80" s="10" t="n">
        <f aca="false">K79*INP_102</f>
        <v>6.223</v>
      </c>
      <c r="M80" s="13" t="s">
        <v>5914</v>
      </c>
    </row>
    <row r="81" customFormat="false" ht="15" hidden="false" customHeight="false" outlineLevel="0" collapsed="false">
      <c r="A81" s="10" t="s">
        <v>5915</v>
      </c>
      <c r="B81" s="11" t="s">
        <v>224</v>
      </c>
      <c r="C81" s="10" t="s">
        <v>63</v>
      </c>
      <c r="D81" s="10" t="n">
        <f aca="false">SRC_ZP_139</f>
        <v>31.8044</v>
      </c>
      <c r="K81" s="10" t="n">
        <f aca="false">SRC_ZP_199</f>
        <v>21.3117</v>
      </c>
      <c r="M81" s="13" t="s">
        <v>5916</v>
      </c>
    </row>
    <row r="82" customFormat="false" ht="15" hidden="false" customHeight="false" outlineLevel="0" collapsed="false">
      <c r="A82" s="10" t="s">
        <v>5917</v>
      </c>
      <c r="B82" s="11" t="s">
        <v>5918</v>
      </c>
      <c r="C82" s="10" t="s">
        <v>63</v>
      </c>
      <c r="D82" s="10" t="n">
        <f aca="false">SRC_ZP_142</f>
        <v>5.5827</v>
      </c>
      <c r="K82" s="10" t="n">
        <f aca="false">SRC_ZP_202</f>
        <v>0.8576</v>
      </c>
      <c r="M82" s="13" t="s">
        <v>5919</v>
      </c>
    </row>
    <row r="83" customFormat="false" ht="15" hidden="false" customHeight="false" outlineLevel="0" collapsed="false">
      <c r="A83" s="10" t="s">
        <v>5920</v>
      </c>
      <c r="B83" s="11" t="s">
        <v>5921</v>
      </c>
      <c r="C83" s="10" t="s">
        <v>63</v>
      </c>
      <c r="D83" s="10" t="n">
        <f aca="false">D81-D82*INP_104</f>
        <v>27.6508712</v>
      </c>
      <c r="K83" s="10" t="n">
        <f aca="false">K81-K82*INP_104</f>
        <v>20.6736456</v>
      </c>
      <c r="M83" s="2" t="s">
        <v>5922</v>
      </c>
    </row>
    <row r="84" customFormat="false" ht="15" hidden="false" customHeight="false" outlineLevel="0" collapsed="false">
      <c r="A84" s="10" t="s">
        <v>5923</v>
      </c>
      <c r="B84" s="11" t="s">
        <v>5924</v>
      </c>
      <c r="C84" s="10" t="s">
        <v>63</v>
      </c>
      <c r="D84" s="10" t="n">
        <f aca="false">D81*INP_137</f>
        <v>22.8355592</v>
      </c>
      <c r="K84" s="10" t="n">
        <f aca="false">K81*INP_137</f>
        <v>15.3018006</v>
      </c>
      <c r="M84" s="13" t="s">
        <v>5925</v>
      </c>
    </row>
    <row r="85" customFormat="false" ht="15" hidden="false" customHeight="false" outlineLevel="0" collapsed="false">
      <c r="A85" s="10" t="s">
        <v>5926</v>
      </c>
      <c r="B85" s="11" t="s">
        <v>5927</v>
      </c>
      <c r="C85" s="10" t="s">
        <v>63</v>
      </c>
      <c r="D85" s="10" t="n">
        <f aca="false">D83-(SRC_ZP_163-D82)*SRC_ZP_848/INP_014</f>
        <v>21.660704</v>
      </c>
      <c r="K85" s="10" t="n">
        <f aca="false">K83-(SRC_ZP_224-K82)*SRC_ZP_848/INP_014</f>
        <v>17.724876</v>
      </c>
      <c r="M85" s="13" t="s">
        <v>5928</v>
      </c>
    </row>
    <row r="86" customFormat="false" ht="15" hidden="false" customHeight="false" outlineLevel="0" collapsed="false">
      <c r="A86" s="10" t="s">
        <v>5929</v>
      </c>
      <c r="B86" s="11" t="s">
        <v>5930</v>
      </c>
      <c r="C86" s="11" t="s">
        <v>4720</v>
      </c>
      <c r="D86" s="10" t="n">
        <f aca="false">SRC_ZP_613/SRC_ZP_048</f>
        <v>0.707297853733192</v>
      </c>
      <c r="M86" s="13" t="s">
        <v>5931</v>
      </c>
    </row>
    <row r="87" customFormat="false" ht="15" hidden="false" customHeight="false" outlineLevel="0" collapsed="false">
      <c r="A87" s="10" t="s">
        <v>5932</v>
      </c>
      <c r="B87" s="11" t="s">
        <v>5933</v>
      </c>
      <c r="C87" s="10" t="s">
        <v>63</v>
      </c>
      <c r="D87" s="10" t="n">
        <f aca="false">D80+D84</f>
        <v>24.3793592</v>
      </c>
      <c r="K87" s="10" t="n">
        <f aca="false">K80+K84</f>
        <v>21.5248006</v>
      </c>
      <c r="M87" s="13" t="s">
        <v>5934</v>
      </c>
    </row>
    <row r="88" customFormat="false" ht="15" hidden="false" customHeight="false" outlineLevel="0" collapsed="false">
      <c r="A88" s="10" t="s">
        <v>5935</v>
      </c>
      <c r="B88" s="11" t="s">
        <v>5936</v>
      </c>
      <c r="C88" s="11" t="s">
        <v>4720</v>
      </c>
      <c r="D88" s="10" t="n">
        <f aca="false">D84/D87</f>
        <v>0.936675940194523</v>
      </c>
      <c r="K88" s="10" t="n">
        <f aca="false">K84/K87</f>
        <v>0.710891630745234</v>
      </c>
      <c r="M88" s="13" t="s">
        <v>5937</v>
      </c>
    </row>
    <row r="89" customFormat="false" ht="15" hidden="false" customHeight="false" outlineLevel="0" collapsed="false">
      <c r="A89" s="15" t="s">
        <v>5938</v>
      </c>
    </row>
    <row r="90" customFormat="false" ht="15" hidden="false" customHeight="false" outlineLevel="0" collapsed="false">
      <c r="A90" s="10" t="s">
        <v>5939</v>
      </c>
      <c r="B90" s="11" t="s">
        <v>5940</v>
      </c>
      <c r="C90" s="10" t="s">
        <v>5156</v>
      </c>
      <c r="D90" s="10" t="n">
        <f aca="false">INP_096</f>
        <v>1.393</v>
      </c>
      <c r="E90" s="10" t="n">
        <f aca="false">INP_096</f>
        <v>1.393</v>
      </c>
      <c r="F90" s="10" t="n">
        <f aca="false">INP_096</f>
        <v>1.393</v>
      </c>
      <c r="G90" s="10" t="n">
        <f aca="false">INP_096</f>
        <v>1.393</v>
      </c>
      <c r="H90" s="10" t="n">
        <f aca="false">INP_096</f>
        <v>1.393</v>
      </c>
      <c r="I90" s="10" t="n">
        <f aca="false">INP_096</f>
        <v>1.393</v>
      </c>
      <c r="K90" s="10" t="n">
        <f aca="false">INP_096</f>
        <v>1.393</v>
      </c>
      <c r="L90" s="10" t="n">
        <f aca="false">INP_096</f>
        <v>1.393</v>
      </c>
      <c r="M90" s="13" t="s">
        <v>5941</v>
      </c>
    </row>
    <row r="91" customFormat="false" ht="15" hidden="false" customHeight="false" outlineLevel="0" collapsed="false">
      <c r="A91" s="10" t="s">
        <v>5942</v>
      </c>
      <c r="B91" s="11" t="s">
        <v>5943</v>
      </c>
      <c r="C91" s="11" t="s">
        <v>5944</v>
      </c>
      <c r="D91" s="10" t="n">
        <f aca="false">INP_075/D90</f>
        <v>717875.089734386</v>
      </c>
      <c r="E91" s="10" t="n">
        <f aca="false">INP_075/E90</f>
        <v>717875.089734386</v>
      </c>
      <c r="F91" s="10" t="n">
        <f aca="false">INP_075/F90</f>
        <v>717875.089734386</v>
      </c>
      <c r="G91" s="10" t="n">
        <f aca="false">INP_075/G90</f>
        <v>717875.089734386</v>
      </c>
      <c r="H91" s="10" t="n">
        <f aca="false">INP_075/H90</f>
        <v>717875.089734386</v>
      </c>
      <c r="I91" s="10" t="n">
        <f aca="false">INP_075/I90</f>
        <v>717875.089734386</v>
      </c>
      <c r="K91" s="10" t="n">
        <f aca="false">INP_075/K90</f>
        <v>717875.089734386</v>
      </c>
      <c r="L91" s="10" t="n">
        <f aca="false">INP_075/L90</f>
        <v>717875.089734386</v>
      </c>
      <c r="M91" s="13" t="s">
        <v>5945</v>
      </c>
    </row>
    <row r="92" customFormat="false" ht="15" hidden="false" customHeight="false" outlineLevel="0" collapsed="false">
      <c r="A92" s="10" t="s">
        <v>5946</v>
      </c>
      <c r="B92" s="11" t="s">
        <v>5947</v>
      </c>
      <c r="C92" s="10" t="s">
        <v>5156</v>
      </c>
      <c r="D92" s="10" t="n">
        <f aca="false">INP_097</f>
        <v>1.09</v>
      </c>
      <c r="E92" s="10" t="n">
        <f aca="false">INP_097</f>
        <v>1.09</v>
      </c>
      <c r="F92" s="10" t="n">
        <f aca="false">INP_097</f>
        <v>1.09</v>
      </c>
      <c r="G92" s="10" t="n">
        <f aca="false">INP_097</f>
        <v>1.09</v>
      </c>
      <c r="H92" s="10" t="n">
        <f aca="false">INP_097</f>
        <v>1.09</v>
      </c>
      <c r="I92" s="10" t="n">
        <f aca="false">INP_097</f>
        <v>1.09</v>
      </c>
      <c r="K92" s="10" t="n">
        <f aca="false">INP_097</f>
        <v>1.09</v>
      </c>
      <c r="L92" s="10" t="n">
        <f aca="false">INP_097</f>
        <v>1.09</v>
      </c>
      <c r="M92" s="13" t="s">
        <v>5941</v>
      </c>
    </row>
    <row r="93" customFormat="false" ht="15" hidden="false" customHeight="false" outlineLevel="0" collapsed="false">
      <c r="A93" s="10" t="s">
        <v>5948</v>
      </c>
      <c r="B93" s="11" t="s">
        <v>5949</v>
      </c>
      <c r="C93" s="11" t="s">
        <v>5944</v>
      </c>
      <c r="D93" s="10" t="n">
        <f aca="false">INP_075/D92</f>
        <v>917431.19266055</v>
      </c>
      <c r="E93" s="10" t="n">
        <f aca="false">INP_075/E92</f>
        <v>917431.19266055</v>
      </c>
      <c r="F93" s="10" t="n">
        <f aca="false">INP_075/F92</f>
        <v>917431.19266055</v>
      </c>
      <c r="G93" s="10" t="n">
        <f aca="false">INP_075/G92</f>
        <v>917431.19266055</v>
      </c>
      <c r="H93" s="10" t="n">
        <f aca="false">INP_075/H92</f>
        <v>917431.19266055</v>
      </c>
      <c r="I93" s="10" t="n">
        <f aca="false">INP_075/I92</f>
        <v>917431.19266055</v>
      </c>
      <c r="K93" s="10" t="n">
        <f aca="false">INP_075/K92</f>
        <v>917431.19266055</v>
      </c>
      <c r="L93" s="10" t="n">
        <f aca="false">INP_075/L92</f>
        <v>917431.19266055</v>
      </c>
      <c r="M93" s="13" t="s">
        <v>5945</v>
      </c>
    </row>
    <row r="94" customFormat="false" ht="15" hidden="false" customHeight="false" outlineLevel="0" collapsed="false">
      <c r="A94" s="10" t="s">
        <v>5950</v>
      </c>
      <c r="B94" s="11" t="s">
        <v>5951</v>
      </c>
      <c r="C94" s="10" t="s">
        <v>5156</v>
      </c>
      <c r="D94" s="10" t="n">
        <f aca="false">INP_098</f>
        <v>1</v>
      </c>
      <c r="E94" s="10" t="n">
        <f aca="false">INP_098</f>
        <v>1</v>
      </c>
      <c r="F94" s="10" t="n">
        <f aca="false">INP_098</f>
        <v>1</v>
      </c>
      <c r="G94" s="10" t="n">
        <f aca="false">INP_098</f>
        <v>1</v>
      </c>
      <c r="H94" s="10" t="n">
        <f aca="false">INP_098</f>
        <v>1</v>
      </c>
      <c r="I94" s="10" t="n">
        <f aca="false">INP_098</f>
        <v>1</v>
      </c>
      <c r="K94" s="10" t="n">
        <f aca="false">INP_098</f>
        <v>1</v>
      </c>
      <c r="L94" s="10" t="n">
        <f aca="false">INP_098</f>
        <v>1</v>
      </c>
      <c r="M94" s="13" t="s">
        <v>5941</v>
      </c>
    </row>
    <row r="95" customFormat="false" ht="15" hidden="false" customHeight="false" outlineLevel="0" collapsed="false">
      <c r="A95" s="10" t="s">
        <v>5952</v>
      </c>
      <c r="B95" s="11" t="s">
        <v>5953</v>
      </c>
      <c r="C95" s="11" t="s">
        <v>5944</v>
      </c>
      <c r="D95" s="10" t="n">
        <f aca="false">INP_075/D94</f>
        <v>1000000</v>
      </c>
      <c r="E95" s="10" t="n">
        <f aca="false">INP_075/E94</f>
        <v>1000000</v>
      </c>
      <c r="F95" s="10" t="n">
        <f aca="false">INP_075/F94</f>
        <v>1000000</v>
      </c>
      <c r="G95" s="10" t="n">
        <f aca="false">INP_075/G94</f>
        <v>1000000</v>
      </c>
      <c r="H95" s="10" t="n">
        <f aca="false">INP_075/H94</f>
        <v>1000000</v>
      </c>
      <c r="I95" s="10" t="n">
        <f aca="false">INP_075/I94</f>
        <v>1000000</v>
      </c>
      <c r="K95" s="10" t="n">
        <f aca="false">INP_075/K94</f>
        <v>1000000</v>
      </c>
      <c r="L95" s="10" t="n">
        <f aca="false">INP_075/L94</f>
        <v>1000000</v>
      </c>
      <c r="M95" s="13" t="s">
        <v>5945</v>
      </c>
    </row>
    <row r="96" customFormat="false" ht="15" hidden="false" customHeight="false" outlineLevel="0" collapsed="false">
      <c r="A96" s="10" t="s">
        <v>5954</v>
      </c>
      <c r="B96" s="11" t="s">
        <v>5955</v>
      </c>
      <c r="C96" s="11" t="s">
        <v>5956</v>
      </c>
      <c r="D96" s="10" t="n">
        <f aca="false">SRC_ZP_474</f>
        <v>13.36</v>
      </c>
      <c r="E96" s="10" t="n">
        <f aca="false">(K96*INP_008+L96*INP_009)/INP_007</f>
        <v>13.0232547945205</v>
      </c>
      <c r="F96" s="10" t="n">
        <f aca="false">E96*(1+INP_100)</f>
        <v>11.7209293150685</v>
      </c>
      <c r="G96" s="10" t="n">
        <f aca="false">F96*(1+INP_100)</f>
        <v>10.5488363835616</v>
      </c>
      <c r="H96" s="10" t="n">
        <f aca="false">G96*(1+INP_100)</f>
        <v>9.49395274520548</v>
      </c>
      <c r="I96" s="10" t="n">
        <f aca="false">H96*(1+INP_100)</f>
        <v>8.54455747068493</v>
      </c>
      <c r="K96" s="10" t="n">
        <f aca="false">SRC_ZP_474</f>
        <v>13.36</v>
      </c>
      <c r="L96" s="10" t="n">
        <f aca="false">K96*(1+INP_100/INP_013)</f>
        <v>12.692</v>
      </c>
      <c r="M96" s="13" t="s">
        <v>5957</v>
      </c>
    </row>
    <row r="97" customFormat="false" ht="15" hidden="false" customHeight="false" outlineLevel="0" collapsed="false">
      <c r="A97" s="10" t="s">
        <v>5958</v>
      </c>
      <c r="B97" s="11" t="s">
        <v>5959</v>
      </c>
      <c r="C97" s="11" t="s">
        <v>5956</v>
      </c>
      <c r="D97" s="10" t="n">
        <f aca="false">SRC_ZP_462</f>
        <v>7.47</v>
      </c>
      <c r="E97" s="10" t="n">
        <f aca="false">(K97*INP_008+L97*INP_009)/INP_007</f>
        <v>7.28171506849315</v>
      </c>
      <c r="F97" s="10" t="n">
        <f aca="false">E97*(1+INP_100)</f>
        <v>6.55354356164384</v>
      </c>
      <c r="G97" s="10" t="n">
        <f aca="false">F97*(1+INP_100)</f>
        <v>5.89818920547945</v>
      </c>
      <c r="H97" s="10" t="n">
        <f aca="false">G97*(1+INP_100)</f>
        <v>5.30837028493151</v>
      </c>
      <c r="I97" s="10" t="n">
        <f aca="false">H97*(1+INP_100)</f>
        <v>4.77753325643836</v>
      </c>
      <c r="K97" s="10" t="n">
        <f aca="false">SRC_ZP_462</f>
        <v>7.47</v>
      </c>
      <c r="L97" s="10" t="n">
        <f aca="false">K97*(1+INP_100/INP_013)</f>
        <v>7.0965</v>
      </c>
      <c r="M97" s="13" t="s">
        <v>5960</v>
      </c>
    </row>
    <row r="98" customFormat="false" ht="15" hidden="false" customHeight="false" outlineLevel="0" collapsed="false">
      <c r="A98" s="10" t="s">
        <v>5961</v>
      </c>
      <c r="B98" s="11" t="s">
        <v>5962</v>
      </c>
      <c r="C98" s="11" t="s">
        <v>5956</v>
      </c>
      <c r="D98" s="10" t="n">
        <f aca="false">AVERAGE(SRC_ZP_478,SRC_ZP_479)*INP_099</f>
        <v>5.265</v>
      </c>
      <c r="E98" s="10" t="n">
        <f aca="false">(K98*INP_008+L98*INP_009)/INP_007</f>
        <v>5.13229315068493</v>
      </c>
      <c r="F98" s="10" t="n">
        <f aca="false">E98*(1+INP_100)</f>
        <v>4.61906383561644</v>
      </c>
      <c r="G98" s="10" t="n">
        <f aca="false">F98*(1+INP_100)</f>
        <v>4.1571574520548</v>
      </c>
      <c r="H98" s="10" t="n">
        <f aca="false">G98*(1+INP_100)</f>
        <v>3.74144170684932</v>
      </c>
      <c r="I98" s="10" t="n">
        <f aca="false">H98*(1+INP_100)</f>
        <v>3.36729753616438</v>
      </c>
      <c r="K98" s="10" t="n">
        <f aca="false">AVERAGE(SRC_ZP_478,SRC_ZP_479)*INP_099</f>
        <v>5.265</v>
      </c>
      <c r="L98" s="10" t="n">
        <f aca="false">K98*(1+INP_100/INP_013)</f>
        <v>5.00175</v>
      </c>
      <c r="M98" s="2" t="s">
        <v>5963</v>
      </c>
    </row>
    <row r="99" customFormat="false" ht="15" hidden="false" customHeight="false" outlineLevel="0" collapsed="false">
      <c r="A99" s="10" t="s">
        <v>5964</v>
      </c>
      <c r="B99" s="11" t="s">
        <v>5965</v>
      </c>
      <c r="C99" s="10" t="s">
        <v>5966</v>
      </c>
      <c r="D99" s="10" t="n">
        <f aca="false">D188</f>
        <v>840.155061019383</v>
      </c>
      <c r="E99" s="10" t="n">
        <f aca="false">MAX(E188,E194)</f>
        <v>818.978549892319</v>
      </c>
      <c r="F99" s="10" t="n">
        <f aca="false">MAX(F188,F194)</f>
        <v>737.080694903087</v>
      </c>
      <c r="G99" s="10" t="n">
        <f aca="false">MAX(G188,G194)</f>
        <v>663.372625412778</v>
      </c>
      <c r="H99" s="10" t="n">
        <f aca="false">MAX(H188,H194)</f>
        <v>653.978379996844</v>
      </c>
      <c r="I99" s="10" t="n">
        <f aca="false">MAX(I188,I194)</f>
        <v>653.978379996844</v>
      </c>
      <c r="K99" s="10" t="n">
        <f aca="false">K188</f>
        <v>840.155061019383</v>
      </c>
      <c r="L99" s="10" t="n">
        <f aca="false">MAX(L188,L194)</f>
        <v>798.147307968413</v>
      </c>
      <c r="M99" s="13" t="s">
        <v>5967</v>
      </c>
    </row>
    <row r="100" customFormat="false" ht="15" hidden="false" customHeight="false" outlineLevel="0" collapsed="false">
      <c r="A100" s="10" t="s">
        <v>5968</v>
      </c>
      <c r="B100" s="11" t="s">
        <v>5969</v>
      </c>
      <c r="C100" s="10" t="s">
        <v>5966</v>
      </c>
      <c r="D100" s="10" t="n">
        <f aca="false">D189</f>
        <v>600.34128440367</v>
      </c>
      <c r="E100" s="10" t="n">
        <f aca="false">MAX(E189,E195)</f>
        <v>585.209394495413</v>
      </c>
      <c r="F100" s="10" t="n">
        <f aca="false">MAX(F189,F195)</f>
        <v>526.688455045872</v>
      </c>
      <c r="G100" s="10" t="n">
        <f aca="false">MAX(G189,G195)</f>
        <v>474.019609541284</v>
      </c>
      <c r="H100" s="10" t="n">
        <f aca="false">MAX(H189,H195)</f>
        <v>426.617648587156</v>
      </c>
      <c r="I100" s="10" t="n">
        <f aca="false">MAX(I189,I195)</f>
        <v>392.387027998106</v>
      </c>
      <c r="K100" s="10" t="n">
        <f aca="false">K189</f>
        <v>600.34128440367</v>
      </c>
      <c r="L100" s="10" t="n">
        <f aca="false">MAX(L189,L195)</f>
        <v>570.324220183486</v>
      </c>
      <c r="M100" s="13" t="s">
        <v>5967</v>
      </c>
    </row>
    <row r="101" customFormat="false" ht="15" hidden="false" customHeight="false" outlineLevel="0" collapsed="false">
      <c r="A101" s="10" t="s">
        <v>5970</v>
      </c>
      <c r="B101" s="11" t="s">
        <v>5971</v>
      </c>
      <c r="C101" s="10" t="s">
        <v>5966</v>
      </c>
      <c r="D101" s="10" t="n">
        <f aca="false">D190</f>
        <v>461.214</v>
      </c>
      <c r="E101" s="10" t="n">
        <f aca="false">MAX(E190,E196)</f>
        <v>449.58888</v>
      </c>
      <c r="F101" s="10" t="n">
        <f aca="false">MAX(F190,F196)</f>
        <v>404.629992</v>
      </c>
      <c r="G101" s="10" t="n">
        <f aca="false">MAX(G190,G196)</f>
        <v>392.387027998106</v>
      </c>
      <c r="H101" s="10" t="n">
        <f aca="false">MAX(H190,H196)</f>
        <v>392.387027998106</v>
      </c>
      <c r="I101" s="10" t="n">
        <f aca="false">MAX(I190,I196)</f>
        <v>392.387027998106</v>
      </c>
      <c r="K101" s="10" t="n">
        <f aca="false">K190</f>
        <v>461.214</v>
      </c>
      <c r="L101" s="10" t="n">
        <f aca="false">MAX(L190,L196)</f>
        <v>438.1533</v>
      </c>
      <c r="M101" s="13" t="s">
        <v>5967</v>
      </c>
    </row>
    <row r="102" customFormat="false" ht="15" hidden="false" customHeight="false" outlineLevel="0" collapsed="false">
      <c r="A102" s="10" t="s">
        <v>5972</v>
      </c>
      <c r="B102" s="11" t="s">
        <v>5973</v>
      </c>
      <c r="C102" s="10" t="s">
        <v>5966</v>
      </c>
      <c r="D102" s="10" t="n">
        <f aca="false">D25*D99+D24*D100+D23*D101</f>
        <v>678.509987390425</v>
      </c>
      <c r="E102" s="10" t="n">
        <f aca="false">E25*E99+E24*E100+E23*E101</f>
        <v>562.279374647392</v>
      </c>
      <c r="F102" s="10" t="n">
        <f aca="false">F25*F99+F24*F100+F23*F101</f>
        <v>466.70344374005</v>
      </c>
      <c r="G102" s="10" t="n">
        <f aca="false">G25*G99+G24*G100+G23*G101</f>
        <v>423.567216816732</v>
      </c>
      <c r="H102" s="10" t="n">
        <f aca="false">H25*H99+H24*H100+H23*H101</f>
        <v>407.178126627496</v>
      </c>
      <c r="I102" s="10" t="n">
        <f aca="false">I25*I99+I24*I100+I23*I101</f>
        <v>405.466595598043</v>
      </c>
      <c r="K102" s="10" t="n">
        <f aca="false">K25*K99+K24*K100+K23*K101</f>
        <v>576.818357915396</v>
      </c>
      <c r="L102" s="10" t="n">
        <f aca="false">L25*L99+L24*L100+L23*L101</f>
        <v>547.977440019626</v>
      </c>
      <c r="M102" s="2" t="s">
        <v>5974</v>
      </c>
    </row>
    <row r="103" customFormat="false" ht="15" hidden="false" customHeight="false" outlineLevel="0" collapsed="false">
      <c r="A103" s="10" t="s">
        <v>5975</v>
      </c>
      <c r="B103" s="11" t="s">
        <v>5976</v>
      </c>
      <c r="C103" s="10" t="s">
        <v>5849</v>
      </c>
      <c r="D103" s="10" t="n">
        <f aca="false">D102/INP_023/INP_021</f>
        <v>10.0670631224562</v>
      </c>
      <c r="E103" s="10" t="n">
        <f aca="false">E102/INP_023/INP_021</f>
        <v>8.34254773286535</v>
      </c>
      <c r="F103" s="10" t="n">
        <f aca="false">F102/INP_023/INP_021</f>
        <v>6.92448617546329</v>
      </c>
      <c r="G103" s="10" t="n">
        <f aca="false">G102/INP_023/INP_021</f>
        <v>6.28447331290868</v>
      </c>
      <c r="H103" s="10" t="n">
        <f aca="false">H102/INP_023/INP_021</f>
        <v>6.04130812960868</v>
      </c>
      <c r="I103" s="10" t="n">
        <f aca="false">I102/INP_023/INP_021</f>
        <v>6.01591411739111</v>
      </c>
      <c r="K103" s="10" t="n">
        <f aca="false">K102/INP_023/INP_021</f>
        <v>8.55826285130931</v>
      </c>
      <c r="L103" s="10" t="n">
        <f aca="false">L102/INP_023/INP_021</f>
        <v>8.13034970874384</v>
      </c>
      <c r="M103" s="13" t="s">
        <v>5977</v>
      </c>
    </row>
    <row r="104" customFormat="false" ht="15" hidden="false" customHeight="false" outlineLevel="0" collapsed="false">
      <c r="A104" s="15" t="s">
        <v>5978</v>
      </c>
    </row>
    <row r="105" customFormat="false" ht="15" hidden="false" customHeight="false" outlineLevel="0" collapsed="false">
      <c r="A105" s="10" t="s">
        <v>5979</v>
      </c>
      <c r="B105" s="11" t="s">
        <v>5980</v>
      </c>
      <c r="C105" s="10" t="s">
        <v>4527</v>
      </c>
      <c r="D105" s="10" t="n">
        <f aca="false">D80/D102</f>
        <v>0.00227527969917954</v>
      </c>
      <c r="K105" s="10" t="n">
        <f aca="false">K80/(K102*INP_008/INP_007)</f>
        <v>0.0217557979461005</v>
      </c>
      <c r="M105" s="13" t="s">
        <v>5981</v>
      </c>
    </row>
    <row r="106" customFormat="false" ht="15" hidden="false" customHeight="false" outlineLevel="0" collapsed="false">
      <c r="A106" s="10" t="s">
        <v>5982</v>
      </c>
      <c r="B106" s="10" t="s">
        <v>5983</v>
      </c>
      <c r="C106" s="11" t="s">
        <v>1709</v>
      </c>
      <c r="D106" s="10" t="n">
        <f aca="false">IF(INP_139,D65/D105,MAX(INP_138,D65/(D119*(1-INP_109))))</f>
        <v>1</v>
      </c>
      <c r="K106" s="10" t="n">
        <f aca="false">IF(INP_139,K65/K105,MAX(INP_138,K65/(K119*(1-INP_109))))</f>
        <v>3.13710181272991</v>
      </c>
      <c r="M106" s="13" t="s">
        <v>5984</v>
      </c>
    </row>
    <row r="107" customFormat="false" ht="15" hidden="false" customHeight="false" outlineLevel="0" collapsed="false">
      <c r="A107" s="10" t="s">
        <v>5985</v>
      </c>
      <c r="B107" s="10" t="s">
        <v>5986</v>
      </c>
      <c r="C107" s="11" t="s">
        <v>1709</v>
      </c>
      <c r="D107" s="10" t="n">
        <f aca="false">D106</f>
        <v>1</v>
      </c>
      <c r="M107" s="2"/>
    </row>
    <row r="108" customFormat="false" ht="15" hidden="false" customHeight="false" outlineLevel="0" collapsed="false">
      <c r="A108" s="10" t="s">
        <v>5987</v>
      </c>
      <c r="B108" s="10" t="s">
        <v>5988</v>
      </c>
      <c r="C108" s="11" t="s">
        <v>1709</v>
      </c>
      <c r="K108" s="10" t="n">
        <f aca="false">K106</f>
        <v>3.13710181272991</v>
      </c>
      <c r="M108" s="2"/>
    </row>
    <row r="109" customFormat="false" ht="15" hidden="false" customHeight="false" outlineLevel="0" collapsed="false">
      <c r="A109" s="10" t="s">
        <v>5989</v>
      </c>
      <c r="B109" s="11" t="s">
        <v>5990</v>
      </c>
      <c r="C109" s="11" t="s">
        <v>1709</v>
      </c>
      <c r="D109" s="10" t="n">
        <f aca="false">D76/D105</f>
        <v>31.3822562247462</v>
      </c>
      <c r="K109" s="10" t="n">
        <f aca="false">K76/K105</f>
        <v>24.5323448218701</v>
      </c>
      <c r="M109" s="13" t="s">
        <v>5991</v>
      </c>
    </row>
    <row r="110" customFormat="false" ht="15" hidden="false" customHeight="false" outlineLevel="0" collapsed="false">
      <c r="A110" s="10" t="s">
        <v>5992</v>
      </c>
      <c r="B110" s="10" t="s">
        <v>5993</v>
      </c>
      <c r="C110" s="11" t="s">
        <v>1709</v>
      </c>
      <c r="D110" s="10" t="n">
        <f aca="false">D106</f>
        <v>1</v>
      </c>
      <c r="E110" s="10" t="n">
        <f aca="false">E65/E111</f>
        <v>3.13710181272991</v>
      </c>
      <c r="F110" s="10" t="n">
        <f aca="false">$K$106+IF($K$106&lt;=INP_106,INP_121,INP_105)*(INP_106-$K$106)*MIN(INP_107-INP_002,F$6-INP_002)/(INP_107-INP_002)</f>
        <v>3.13710181272991</v>
      </c>
      <c r="G110" s="10" t="n">
        <f aca="false">$K$106+IF($K$106&lt;=INP_106,INP_121,INP_105)*(INP_106-$K$106)*MIN(INP_107-INP_002,G$6-INP_002)/(INP_107-INP_002)</f>
        <v>3.13710181272991</v>
      </c>
      <c r="H110" s="10" t="n">
        <f aca="false">$K$106+IF($K$106&lt;=INP_106,INP_121,INP_105)*(INP_106-$K$106)*MIN(INP_107-INP_002,H$6-INP_002)/(INP_107-INP_002)</f>
        <v>3.13710181272991</v>
      </c>
      <c r="I110" s="10" t="n">
        <f aca="false">$K$106+IF($K$106&lt;=INP_106,INP_121,INP_105)*(INP_106-$K$106)*MIN(INP_107-INP_002,I$6-INP_002)/(INP_107-INP_002)</f>
        <v>3.13710181272991</v>
      </c>
      <c r="K110" s="10" t="n">
        <f aca="false">K106</f>
        <v>3.13710181272991</v>
      </c>
      <c r="L110" s="10" t="n">
        <f aca="false">$K$106+IF($K$106&lt;=INP_106,INP_121,INP_105)*(INP_106-$K$106)*MIN(INP_107-INP_002,INP_002-INP_002)/(INP_107-INP_002)</f>
        <v>3.13710181272991</v>
      </c>
      <c r="M110" s="13" t="s">
        <v>5994</v>
      </c>
    </row>
    <row r="111" customFormat="false" ht="15" hidden="false" customHeight="false" outlineLevel="0" collapsed="false">
      <c r="A111" s="10" t="s">
        <v>5995</v>
      </c>
      <c r="B111" s="11" t="s">
        <v>5996</v>
      </c>
      <c r="C111" s="10" t="s">
        <v>4527</v>
      </c>
      <c r="D111" s="10" t="n">
        <f aca="false">D65/D110</f>
        <v>0.0227421883611652</v>
      </c>
      <c r="E111" s="10" t="n">
        <f aca="false">(K111*INP_008+L111*INP_009)/INP_007</f>
        <v>0.072174409925563</v>
      </c>
      <c r="F111" s="10" t="n">
        <f aca="false">F65/F110</f>
        <v>0.133758909571551</v>
      </c>
      <c r="G111" s="10" t="n">
        <f aca="false">G65/G110</f>
        <v>0.219254810709171</v>
      </c>
      <c r="H111" s="10" t="n">
        <f aca="false">H65/H110</f>
        <v>0.355496999583452</v>
      </c>
      <c r="I111" s="10" t="n">
        <f aca="false">I65/I110</f>
        <v>0.539208738797789</v>
      </c>
      <c r="K111" s="10" t="n">
        <f aca="false">K65/K110</f>
        <v>0.052675951932925</v>
      </c>
      <c r="L111" s="10" t="n">
        <f aca="false">L65/L110</f>
        <v>0.0913549582770167</v>
      </c>
      <c r="M111" s="13" t="s">
        <v>5997</v>
      </c>
    </row>
    <row r="112" customFormat="false" ht="15" hidden="false" customHeight="false" outlineLevel="0" collapsed="false">
      <c r="A112" s="15" t="s">
        <v>5998</v>
      </c>
    </row>
    <row r="113" customFormat="false" ht="15" hidden="false" customHeight="false" outlineLevel="0" collapsed="false">
      <c r="A113" s="10" t="s">
        <v>5999</v>
      </c>
      <c r="B113" s="11" t="s">
        <v>6000</v>
      </c>
      <c r="C113" s="11" t="s">
        <v>4720</v>
      </c>
      <c r="D113" s="10" t="n">
        <f aca="false">IF(D219,INP_109,D127/D119)</f>
        <v>0.367054654243541</v>
      </c>
      <c r="F113" s="10" t="n">
        <f aca="false">$K$113+INP_120*(INP_110-$K$113)*MIN(INP_006-INP_002,F$6-INP_002)/(INP_006-INP_002)</f>
        <v>0.3</v>
      </c>
      <c r="G113" s="10" t="n">
        <f aca="false">$K$113+INP_120*(INP_110-$K$113)*MIN(INP_006-INP_002,G$6-INP_002)/(INP_006-INP_002)</f>
        <v>0.3</v>
      </c>
      <c r="H113" s="10" t="n">
        <f aca="false">$K$113+INP_120*(INP_110-$K$113)*MIN(INP_006-INP_002,H$6-INP_002)/(INP_006-INP_002)</f>
        <v>0.3</v>
      </c>
      <c r="I113" s="10" t="n">
        <f aca="false">$K$113+INP_120*(INP_110-$K$113)*MIN(INP_006-INP_002,I$6-INP_002)/(INP_006-INP_002)</f>
        <v>0.3</v>
      </c>
      <c r="K113" s="10" t="n">
        <f aca="false">IF(K219,INP_109,K127/K119)</f>
        <v>0.3</v>
      </c>
      <c r="L113" s="10" t="n">
        <f aca="false">$K$113+INP_120*(INP_110-$K$113)*MIN(INP_006-INP_002,INP_002-INP_002)/(INP_006-INP_002)</f>
        <v>0.3</v>
      </c>
      <c r="M113" s="13" t="s">
        <v>6001</v>
      </c>
    </row>
    <row r="114" customFormat="false" ht="15" hidden="false" customHeight="false" outlineLevel="0" collapsed="false">
      <c r="A114" s="10" t="s">
        <v>6002</v>
      </c>
      <c r="B114" s="11" t="s">
        <v>6003</v>
      </c>
      <c r="C114" s="10" t="s">
        <v>6004</v>
      </c>
      <c r="D114" s="10" t="n">
        <f aca="false">SUMIFS(TK_IF_CapexTotal,TK_HdrGen,$D$8,TK_HdrCost,$D$10)*INP_115*INP_023*INP_021</f>
        <v>1624.8637460316</v>
      </c>
      <c r="E114" s="10" t="n">
        <f aca="false">SUMIFS(TK_IF_CapexTotal,TK_HdrGen,$D$8,TK_HdrCost,$D$10)*INP_115*INP_023*INP_021</f>
        <v>1624.8637460316</v>
      </c>
      <c r="F114" s="10" t="n">
        <f aca="false">SUMIFS(TK_IF_CapexTotal,TK_HdrGen,$D$8,TK_HdrCost,$D$10)*INP_115*INP_023*INP_021</f>
        <v>1624.8637460316</v>
      </c>
      <c r="G114" s="10" t="n">
        <f aca="false">SUMIFS(TK_IF_CapexTotal,TK_HdrGen,$D$8,TK_HdrCost,$D$10)*INP_115*INP_023*INP_021</f>
        <v>1624.8637460316</v>
      </c>
      <c r="H114" s="10" t="n">
        <f aca="false">SUMIFS(TK_IF_CapexTotal,TK_HdrGen,$D$8,TK_HdrCost,$D$10)*INP_115*INP_023*INP_021</f>
        <v>1624.8637460316</v>
      </c>
      <c r="I114" s="10" t="n">
        <f aca="false">SUMIFS(TK_IF_CapexTotal,TK_HdrGen,$D$8,TK_HdrCost,$D$10)*INP_115*INP_023*INP_021</f>
        <v>1624.8637460316</v>
      </c>
      <c r="K114" s="10" t="n">
        <f aca="false">SUMIFS(TK_IF_CapexTotal,TK_HdrGen,$D$8,TK_HdrCost,$D$10)*INP_115*INP_023*INP_021</f>
        <v>1624.8637460316</v>
      </c>
      <c r="L114" s="10" t="n">
        <f aca="false">SUMIFS(TK_IF_CapexTotal,TK_HdrGen,$D$8,TK_HdrCost,$D$10)*INP_115*INP_023*INP_021</f>
        <v>1624.8637460316</v>
      </c>
      <c r="M114" s="13" t="s">
        <v>6005</v>
      </c>
    </row>
    <row r="115" customFormat="false" ht="15" hidden="false" customHeight="false" outlineLevel="0" collapsed="false">
      <c r="A115" s="10" t="s">
        <v>6006</v>
      </c>
      <c r="B115" s="11" t="s">
        <v>6007</v>
      </c>
      <c r="C115" s="10" t="s">
        <v>63</v>
      </c>
      <c r="F115" s="10" t="n">
        <f aca="false">INP_112*SRC_ZP_458/INP_101*F114*((F$6+1)=INP_113)</f>
        <v>0</v>
      </c>
      <c r="G115" s="10" t="n">
        <f aca="false">INP_112*SRC_ZP_458/INP_101*G114*((G$6+1)=INP_113)</f>
        <v>0</v>
      </c>
      <c r="H115" s="10" t="n">
        <f aca="false">INP_112*SRC_ZP_458/INP_101*H114*((H$6+1)=INP_113)</f>
        <v>0</v>
      </c>
      <c r="I115" s="10" t="n">
        <f aca="false">INP_112*SRC_ZP_458/INP_101*I114*((I$6+1)=INP_113)</f>
        <v>0</v>
      </c>
      <c r="M115" s="2" t="s">
        <v>6008</v>
      </c>
    </row>
    <row r="116" customFormat="false" ht="15" hidden="false" customHeight="false" outlineLevel="0" collapsed="false">
      <c r="A116" s="10" t="s">
        <v>6009</v>
      </c>
      <c r="B116" s="11" t="s">
        <v>6010</v>
      </c>
      <c r="C116" s="10" t="s">
        <v>63</v>
      </c>
      <c r="F116" s="10" t="n">
        <f aca="false">INP_111</f>
        <v>0</v>
      </c>
      <c r="G116" s="10" t="n">
        <f aca="false">INP_111</f>
        <v>0</v>
      </c>
      <c r="H116" s="10" t="n">
        <f aca="false">INP_111</f>
        <v>0</v>
      </c>
      <c r="I116" s="10" t="n">
        <f aca="false">INP_111</f>
        <v>0</v>
      </c>
      <c r="M116" s="13" t="s">
        <v>6011</v>
      </c>
    </row>
    <row r="117" customFormat="false" ht="15" hidden="false" customHeight="false" outlineLevel="0" collapsed="false">
      <c r="A117" s="10" t="s">
        <v>6012</v>
      </c>
      <c r="B117" s="11" t="s">
        <v>6013</v>
      </c>
      <c r="C117" s="10" t="s">
        <v>63</v>
      </c>
      <c r="F117" s="10" t="n">
        <f aca="false">F115+F116</f>
        <v>0</v>
      </c>
      <c r="G117" s="10" t="n">
        <f aca="false">G115+G116</f>
        <v>0</v>
      </c>
      <c r="H117" s="10" t="n">
        <f aca="false">H115+H116</f>
        <v>0</v>
      </c>
      <c r="I117" s="10" t="n">
        <f aca="false">I115+I116</f>
        <v>0</v>
      </c>
      <c r="M117" s="13" t="s">
        <v>6014</v>
      </c>
    </row>
    <row r="118" customFormat="false" ht="15" hidden="false" customHeight="false" outlineLevel="0" collapsed="false">
      <c r="A118" s="10" t="s">
        <v>6015</v>
      </c>
      <c r="B118" s="11" t="s">
        <v>6016</v>
      </c>
      <c r="C118" s="10" t="s">
        <v>4527</v>
      </c>
      <c r="F118" s="10" t="n">
        <f aca="false">SUMPRODUCT(($F$6:$I$6&lt;F$6)*($F$117:$I$117))/F114</f>
        <v>0</v>
      </c>
      <c r="G118" s="10" t="n">
        <f aca="false">SUMPRODUCT(($F$6:$I$6&lt;G$6)*($F$117:$I$117))/G114</f>
        <v>0</v>
      </c>
      <c r="H118" s="10" t="n">
        <f aca="false">SUMPRODUCT(($F$6:$I$6&lt;H$6)*($F$117:$I$117))/H114</f>
        <v>0</v>
      </c>
      <c r="I118" s="10" t="n">
        <f aca="false">SUMPRODUCT(($F$6:$I$6&lt;I$6)*($F$117:$I$117))/I114</f>
        <v>0</v>
      </c>
      <c r="M118" s="2" t="s">
        <v>6017</v>
      </c>
    </row>
    <row r="119" customFormat="false" ht="15" hidden="false" customHeight="false" outlineLevel="0" collapsed="false">
      <c r="A119" s="10" t="s">
        <v>6018</v>
      </c>
      <c r="B119" s="11" t="s">
        <v>6019</v>
      </c>
      <c r="C119" s="10" t="s">
        <v>4527</v>
      </c>
      <c r="D119" s="10" t="n">
        <f aca="false">D87/D102</f>
        <v>0.0359307300600894</v>
      </c>
      <c r="E119" s="10" t="n">
        <f aca="false">(K119*INP_008+L119*INP_009)/INP_007</f>
        <v>0.110416285683168</v>
      </c>
      <c r="F119" s="10" t="n">
        <f aca="false">MAX(F111/((1-INP_108)*(1-F113)),F118)</f>
        <v>0.212315729478652</v>
      </c>
      <c r="G119" s="10" t="n">
        <f aca="false">MAX(G111/((1-INP_108)*(1-G113)),G118)</f>
        <v>0.348023509062177</v>
      </c>
      <c r="H119" s="10" t="n">
        <f aca="false">MAX(H111/((1-INP_108)*(1-H113)),H118)</f>
        <v>0.564280951719765</v>
      </c>
      <c r="I119" s="10" t="n">
        <f aca="false">MAX(I111/((1-INP_108)*(1-I113)),I118)</f>
        <v>0.855886886980617</v>
      </c>
      <c r="K119" s="10" t="n">
        <f aca="false">K87/(K102*INP_008/INP_007)</f>
        <v>0.0752513599041785</v>
      </c>
      <c r="L119" s="10" t="n">
        <f aca="false">L111/((1-INP_108)*(1-L113))</f>
        <v>0.145007870280979</v>
      </c>
      <c r="M119" s="13" t="s">
        <v>6020</v>
      </c>
    </row>
    <row r="120" customFormat="false" ht="15" hidden="false" customHeight="false" outlineLevel="0" collapsed="false">
      <c r="A120" s="10" t="s">
        <v>6021</v>
      </c>
      <c r="B120" s="11" t="s">
        <v>6022</v>
      </c>
      <c r="C120" s="10" t="s">
        <v>4527</v>
      </c>
      <c r="D120" s="10" t="n">
        <f aca="false">D119</f>
        <v>0.0359307300600894</v>
      </c>
      <c r="E120" s="10" t="n">
        <f aca="false">(K120*INP_008+L120*INP_009)/INP_007</f>
        <v>0.110416285683168</v>
      </c>
      <c r="F120" s="10" t="n">
        <f aca="false">F119-F118</f>
        <v>0.212315729478652</v>
      </c>
      <c r="G120" s="10" t="n">
        <f aca="false">G119-G118</f>
        <v>0.348023509062177</v>
      </c>
      <c r="H120" s="10" t="n">
        <f aca="false">H119-H118</f>
        <v>0.564280951719765</v>
      </c>
      <c r="I120" s="10" t="n">
        <f aca="false">I119-I118</f>
        <v>0.855886886980617</v>
      </c>
      <c r="K120" s="10" t="n">
        <f aca="false">K119</f>
        <v>0.0752513599041785</v>
      </c>
      <c r="L120" s="10" t="n">
        <f aca="false">L119</f>
        <v>0.145007870280979</v>
      </c>
      <c r="M120" s="2"/>
    </row>
    <row r="121" customFormat="false" ht="15" hidden="false" customHeight="false" outlineLevel="0" collapsed="false">
      <c r="A121" s="10" t="s">
        <v>6023</v>
      </c>
      <c r="B121" s="11" t="s">
        <v>6024</v>
      </c>
      <c r="C121" s="10" t="s">
        <v>4527</v>
      </c>
      <c r="E121" s="10" t="n">
        <f aca="false">(K121*INP_008+L121*INP_009)/INP_007</f>
        <v>0.00730998578950688</v>
      </c>
      <c r="F121" s="10" t="n">
        <f aca="false">F119*INP_108</f>
        <v>0.0212315729478652</v>
      </c>
      <c r="G121" s="10" t="n">
        <f aca="false">G119*INP_108</f>
        <v>0.0348023509062177</v>
      </c>
      <c r="H121" s="10" t="n">
        <f aca="false">H119*INP_108</f>
        <v>0.0564280951719765</v>
      </c>
      <c r="I121" s="10" t="n">
        <f aca="false">I119*INP_108</f>
        <v>0.0855886886980617</v>
      </c>
      <c r="L121" s="10" t="n">
        <f aca="false">L119*INP_108</f>
        <v>0.0145007870280979</v>
      </c>
      <c r="M121" s="13" t="s">
        <v>6025</v>
      </c>
    </row>
    <row r="122" customFormat="false" ht="15" hidden="false" customHeight="false" outlineLevel="0" collapsed="false">
      <c r="A122" s="15" t="s">
        <v>6026</v>
      </c>
    </row>
    <row r="123" customFormat="false" ht="15" hidden="false" customHeight="false" outlineLevel="0" collapsed="false">
      <c r="A123" s="10" t="s">
        <v>6027</v>
      </c>
      <c r="B123" s="11" t="s">
        <v>6028</v>
      </c>
      <c r="C123" s="10" t="s">
        <v>4527</v>
      </c>
      <c r="D123" s="10" t="n">
        <f aca="false">D119*(1-INP_108)*(1-INP_109)</f>
        <v>0.0226363599378563</v>
      </c>
      <c r="E123" s="10" t="n">
        <f aca="false">(K123*INP_008+L123*INP_009)/INP_007</f>
        <v>0.069562259980396</v>
      </c>
      <c r="F123" s="10" t="n">
        <f aca="false">F119*(1-INP_108)*(1-INP_109)</f>
        <v>0.133758909571551</v>
      </c>
      <c r="G123" s="10" t="n">
        <f aca="false">G119*(1-INP_108)*(1-INP_109)</f>
        <v>0.219254810709171</v>
      </c>
      <c r="H123" s="10" t="n">
        <f aca="false">H119*(1-INP_108)*(1-INP_109)</f>
        <v>0.355496999583452</v>
      </c>
      <c r="I123" s="10" t="n">
        <f aca="false">I119*(1-INP_108)*(1-INP_109)</f>
        <v>0.539208738797788</v>
      </c>
      <c r="K123" s="10" t="n">
        <f aca="false">K119*(1-INP_108)*(1-INP_109)</f>
        <v>0.0474083567396325</v>
      </c>
      <c r="L123" s="10" t="n">
        <f aca="false">L119*(1-INP_108)*(1-INP_109)</f>
        <v>0.0913549582770167</v>
      </c>
      <c r="M123" s="2"/>
    </row>
    <row r="124" customFormat="false" ht="15" hidden="false" customHeight="false" outlineLevel="0" collapsed="false">
      <c r="A124" s="10" t="s">
        <v>6029</v>
      </c>
      <c r="B124" s="11" t="s">
        <v>6030</v>
      </c>
      <c r="C124" s="10" t="s">
        <v>4527</v>
      </c>
      <c r="D124" s="10" t="n">
        <f aca="false">D111</f>
        <v>0.0227421883611652</v>
      </c>
      <c r="E124" s="10" t="n">
        <f aca="false">(K124*INP_008+L124*INP_009)/INP_007</f>
        <v>0.072174409925563</v>
      </c>
      <c r="F124" s="10" t="n">
        <f aca="false">IF(F113&gt;=INP_109,F111,MIN(F123,F111))</f>
        <v>0.133758909571551</v>
      </c>
      <c r="G124" s="10" t="n">
        <f aca="false">IF(G113&gt;=INP_109,G111,MIN(G123,G111))</f>
        <v>0.219254810709171</v>
      </c>
      <c r="H124" s="10" t="n">
        <f aca="false">IF(H113&gt;=INP_109,H111,MIN(H123,H111))</f>
        <v>0.355496999583452</v>
      </c>
      <c r="I124" s="10" t="n">
        <f aca="false">IF(I113&gt;=INP_109,I111,MIN(I123,I111))</f>
        <v>0.539208738797789</v>
      </c>
      <c r="K124" s="10" t="n">
        <f aca="false">K111</f>
        <v>0.052675951932925</v>
      </c>
      <c r="L124" s="10" t="n">
        <f aca="false">IF(L113&gt;=INP_109,L111,MIN(L123,L111))</f>
        <v>0.0913549582770167</v>
      </c>
      <c r="M124" s="2" t="s">
        <v>6031</v>
      </c>
    </row>
    <row r="125" customFormat="false" ht="15" hidden="false" customHeight="false" outlineLevel="0" collapsed="false">
      <c r="A125" s="10" t="s">
        <v>6032</v>
      </c>
      <c r="B125" s="11" t="s">
        <v>6033</v>
      </c>
      <c r="C125" s="11" t="s">
        <v>1709</v>
      </c>
      <c r="D125" s="10" t="n">
        <f aca="false">D124/D111</f>
        <v>1</v>
      </c>
      <c r="E125" s="10" t="n">
        <f aca="false">E124/E111</f>
        <v>1</v>
      </c>
      <c r="F125" s="10" t="n">
        <f aca="false">F124/F111</f>
        <v>1</v>
      </c>
      <c r="G125" s="10" t="n">
        <f aca="false">G124/G111</f>
        <v>1</v>
      </c>
      <c r="H125" s="10" t="n">
        <f aca="false">H124/H111</f>
        <v>1</v>
      </c>
      <c r="I125" s="10" t="n">
        <f aca="false">I124/I111</f>
        <v>1</v>
      </c>
      <c r="K125" s="10" t="n">
        <f aca="false">K124/K111</f>
        <v>1</v>
      </c>
      <c r="L125" s="10" t="n">
        <f aca="false">L124/L111</f>
        <v>1</v>
      </c>
      <c r="M125" s="13" t="s">
        <v>6034</v>
      </c>
    </row>
    <row r="126" customFormat="false" ht="15" hidden="false" customHeight="false" outlineLevel="0" collapsed="false">
      <c r="A126" s="10" t="s">
        <v>6035</v>
      </c>
      <c r="B126" s="11" t="s">
        <v>6036</v>
      </c>
      <c r="C126" s="11" t="s">
        <v>6037</v>
      </c>
      <c r="D126" s="17" t="b">
        <f aca="false">(D111&gt;D124)</f>
        <v>0</v>
      </c>
      <c r="E126" s="17" t="b">
        <f aca="false">(E111&gt;E124)</f>
        <v>0</v>
      </c>
      <c r="F126" s="17" t="b">
        <f aca="false">(F111&gt;F124)</f>
        <v>0</v>
      </c>
      <c r="G126" s="17" t="b">
        <f aca="false">(G111&gt;G124)</f>
        <v>0</v>
      </c>
      <c r="H126" s="17" t="b">
        <f aca="false">(H111&gt;H124)</f>
        <v>0</v>
      </c>
      <c r="I126" s="17" t="b">
        <f aca="false">(I111&gt;I124)</f>
        <v>0</v>
      </c>
      <c r="K126" s="17" t="b">
        <f aca="false">(K111&gt;K124)</f>
        <v>0</v>
      </c>
      <c r="L126" s="17" t="b">
        <f aca="false">(L111&gt;L124)</f>
        <v>0</v>
      </c>
      <c r="M126" s="2" t="s">
        <v>6038</v>
      </c>
    </row>
    <row r="127" customFormat="false" ht="15" hidden="false" customHeight="false" outlineLevel="0" collapsed="false">
      <c r="A127" s="10" t="s">
        <v>6039</v>
      </c>
      <c r="B127" s="11" t="s">
        <v>6040</v>
      </c>
      <c r="C127" s="10" t="s">
        <v>4527</v>
      </c>
      <c r="D127" s="10" t="n">
        <f aca="false">D119-D124</f>
        <v>0.0131885416989241</v>
      </c>
      <c r="E127" s="10" t="n">
        <f aca="false">(K127*INP_008+L127*INP_009)/INP_007</f>
        <v>0.0309318899680984</v>
      </c>
      <c r="F127" s="10" t="n">
        <f aca="false">F119*(1-INP_108)-F124</f>
        <v>0.0573252469592359</v>
      </c>
      <c r="G127" s="10" t="n">
        <f aca="false">G119*(1-INP_108)-G124</f>
        <v>0.0939663474467877</v>
      </c>
      <c r="H127" s="10" t="n">
        <f aca="false">H119*(1-INP_108)-H124</f>
        <v>0.152355856964337</v>
      </c>
      <c r="I127" s="10" t="n">
        <f aca="false">I119*(1-INP_108)-I124</f>
        <v>0.231089459484766</v>
      </c>
      <c r="K127" s="10" t="n">
        <f aca="false">K119-K124</f>
        <v>0.0225754079712536</v>
      </c>
      <c r="L127" s="10" t="n">
        <f aca="false">L119*(1-INP_108)-L124</f>
        <v>0.0391521249758643</v>
      </c>
      <c r="M127" s="2" t="s">
        <v>6041</v>
      </c>
    </row>
    <row r="128" customFormat="false" ht="15" hidden="false" customHeight="false" outlineLevel="0" collapsed="false">
      <c r="A128" s="10" t="s">
        <v>6042</v>
      </c>
      <c r="B128" s="11" t="s">
        <v>6043</v>
      </c>
      <c r="C128" s="10" t="s">
        <v>4527</v>
      </c>
      <c r="D128" s="10" t="n">
        <f aca="false">D111+D127</f>
        <v>0.0359307300600894</v>
      </c>
      <c r="E128" s="10" t="n">
        <f aca="false">E111+E127</f>
        <v>0.103106299893661</v>
      </c>
      <c r="F128" s="10" t="n">
        <f aca="false">F111+F127</f>
        <v>0.191084156530786</v>
      </c>
      <c r="G128" s="10" t="n">
        <f aca="false">G111+G127</f>
        <v>0.313221158155959</v>
      </c>
      <c r="H128" s="10" t="n">
        <f aca="false">H111+H127</f>
        <v>0.507852856547789</v>
      </c>
      <c r="I128" s="10" t="n">
        <f aca="false">I111+I127</f>
        <v>0.770298198282555</v>
      </c>
      <c r="K128" s="10" t="n">
        <f aca="false">K111+K127</f>
        <v>0.0752513599041785</v>
      </c>
      <c r="L128" s="10" t="n">
        <f aca="false">L111+L127</f>
        <v>0.130507083252881</v>
      </c>
      <c r="M128" s="2"/>
    </row>
    <row r="129" customFormat="false" ht="15" hidden="false" customHeight="false" outlineLevel="0" collapsed="false">
      <c r="A129" s="10" t="s">
        <v>6044</v>
      </c>
      <c r="B129" s="11" t="s">
        <v>6045</v>
      </c>
      <c r="C129" s="10" t="s">
        <v>4527</v>
      </c>
      <c r="D129" s="10" t="n">
        <f aca="false">D124+D127+D121-D119</f>
        <v>0</v>
      </c>
      <c r="E129" s="10" t="n">
        <f aca="false">E124+E127+E121-E119</f>
        <v>0</v>
      </c>
      <c r="F129" s="10" t="n">
        <f aca="false">F124+F127+F121-F119</f>
        <v>0</v>
      </c>
      <c r="G129" s="10" t="n">
        <f aca="false">G124+G127+G121-G119</f>
        <v>0</v>
      </c>
      <c r="H129" s="10" t="n">
        <f aca="false">H124+H127+H121-H119</f>
        <v>0</v>
      </c>
      <c r="I129" s="10" t="n">
        <f aca="false">I124+I127+I121-I119</f>
        <v>0</v>
      </c>
      <c r="K129" s="10" t="n">
        <f aca="false">K124+K127+K121-K119</f>
        <v>0</v>
      </c>
      <c r="L129" s="10" t="n">
        <f aca="false">L124+L127+L121-L119</f>
        <v>0</v>
      </c>
      <c r="M129" s="2" t="s">
        <v>6046</v>
      </c>
    </row>
    <row r="130" customFormat="false" ht="15" hidden="false" customHeight="false" outlineLevel="0" collapsed="false">
      <c r="A130" s="10" t="s">
        <v>6047</v>
      </c>
      <c r="B130" s="11" t="s">
        <v>6048</v>
      </c>
      <c r="C130" s="10" t="s">
        <v>4527</v>
      </c>
      <c r="D130" s="10" t="n">
        <f aca="false">D85/D102</f>
        <v>0.031923928022501</v>
      </c>
      <c r="K130" s="10" t="n">
        <f aca="false">K85/(K102*INP_008/INP_007)</f>
        <v>0.0619667075165814</v>
      </c>
      <c r="M130" s="13" t="s">
        <v>6049</v>
      </c>
    </row>
    <row r="131" customFormat="false" ht="15" hidden="false" customHeight="false" outlineLevel="0" collapsed="false">
      <c r="A131" s="10" t="s">
        <v>6050</v>
      </c>
      <c r="B131" s="11" t="s">
        <v>6051</v>
      </c>
      <c r="C131" s="10" t="s">
        <v>4565</v>
      </c>
      <c r="D131" s="10" t="n">
        <f aca="false">TK_IF_AllocRDGW</f>
        <v>0.202980591668232</v>
      </c>
      <c r="M131" s="13" t="s">
        <v>6052</v>
      </c>
    </row>
    <row r="132" customFormat="false" ht="15" hidden="false" customHeight="false" outlineLevel="0" collapsed="false">
      <c r="A132" s="15" t="s">
        <v>6053</v>
      </c>
    </row>
    <row r="133" customFormat="false" ht="15" hidden="false" customHeight="false" outlineLevel="0" collapsed="false">
      <c r="A133" s="10" t="s">
        <v>6054</v>
      </c>
      <c r="B133" s="10" t="s">
        <v>6055</v>
      </c>
      <c r="C133" s="11" t="s">
        <v>1709</v>
      </c>
      <c r="D133" s="10" t="n">
        <f aca="false">D16/D13</f>
        <v>0.10544360110803</v>
      </c>
      <c r="E133" s="10" t="n">
        <f aca="false">E16/E13</f>
        <v>0.10544360110803</v>
      </c>
      <c r="F133" s="10" t="n">
        <f aca="false">F16/F13</f>
        <v>0.10544360110803</v>
      </c>
      <c r="G133" s="10" t="n">
        <f aca="false">G16/G13</f>
        <v>0.10544360110803</v>
      </c>
      <c r="H133" s="10" t="n">
        <f aca="false">H16/H13</f>
        <v>0.10544360110803</v>
      </c>
      <c r="I133" s="10" t="n">
        <f aca="false">I16/I13</f>
        <v>0.10544360110803</v>
      </c>
      <c r="K133" s="10" t="n">
        <f aca="false">K16/K13</f>
        <v>0.10544360110803</v>
      </c>
      <c r="L133" s="10" t="n">
        <f aca="false">L16/L13</f>
        <v>0.10544360110803</v>
      </c>
      <c r="M133" s="2"/>
    </row>
    <row r="134" customFormat="false" ht="15" hidden="false" customHeight="false" outlineLevel="0" collapsed="false">
      <c r="A134" s="10" t="s">
        <v>6056</v>
      </c>
      <c r="B134" s="10" t="s">
        <v>6057</v>
      </c>
      <c r="C134" s="11" t="s">
        <v>1709</v>
      </c>
      <c r="D134" s="10" t="n">
        <f aca="false">D18/D13</f>
        <v>0.0358508243767302</v>
      </c>
      <c r="E134" s="10" t="n">
        <f aca="false">E18/E13</f>
        <v>0.0358508243767302</v>
      </c>
      <c r="F134" s="10" t="n">
        <f aca="false">F18/F13</f>
        <v>0.0358508243767302</v>
      </c>
      <c r="G134" s="10" t="n">
        <f aca="false">G18/G13</f>
        <v>0.0358508243767302</v>
      </c>
      <c r="H134" s="10" t="n">
        <f aca="false">H18/H13</f>
        <v>0.0358508243767302</v>
      </c>
      <c r="I134" s="10" t="n">
        <f aca="false">I18/I13</f>
        <v>0.0358508243767302</v>
      </c>
      <c r="K134" s="10" t="n">
        <f aca="false">K18/K13</f>
        <v>0.0358508243767302</v>
      </c>
      <c r="L134" s="10" t="n">
        <f aca="false">L18/L13</f>
        <v>0.0358508243767302</v>
      </c>
      <c r="M134" s="2"/>
    </row>
    <row r="135" customFormat="false" ht="15" hidden="false" customHeight="false" outlineLevel="0" collapsed="false">
      <c r="A135" s="10" t="s">
        <v>6058</v>
      </c>
      <c r="B135" s="10" t="s">
        <v>6059</v>
      </c>
      <c r="C135" s="11" t="s">
        <v>1709</v>
      </c>
      <c r="D135" s="10" t="n">
        <f aca="false">D20/D13</f>
        <v>0.0632661606648179</v>
      </c>
      <c r="E135" s="10" t="n">
        <f aca="false">E20/E13</f>
        <v>0.0632661606648179</v>
      </c>
      <c r="F135" s="10" t="n">
        <f aca="false">F20/F13</f>
        <v>0.0632661606648179</v>
      </c>
      <c r="G135" s="10" t="n">
        <f aca="false">G20/G13</f>
        <v>0.0632661606648179</v>
      </c>
      <c r="H135" s="10" t="n">
        <f aca="false">H20/H13</f>
        <v>0.0632661606648179</v>
      </c>
      <c r="I135" s="10" t="n">
        <f aca="false">I20/I13</f>
        <v>0.0632661606648179</v>
      </c>
      <c r="K135" s="10" t="n">
        <f aca="false">K20/K13</f>
        <v>0.0632661606648179</v>
      </c>
      <c r="L135" s="10" t="n">
        <f aca="false">L20/L13</f>
        <v>0.0632661606648179</v>
      </c>
      <c r="M135" s="2"/>
    </row>
    <row r="136" customFormat="false" ht="15" hidden="false" customHeight="false" outlineLevel="0" collapsed="false">
      <c r="A136" s="10" t="s">
        <v>6060</v>
      </c>
      <c r="B136" s="11" t="s">
        <v>6061</v>
      </c>
      <c r="C136" s="11" t="s">
        <v>1709</v>
      </c>
      <c r="D136" s="10" t="n">
        <f aca="false">D25*D133+D24*D134+D23*D135</f>
        <v>0.0788718136288063</v>
      </c>
      <c r="E136" s="10" t="n">
        <f aca="false">E25*E133+E24*E134+E23*E135</f>
        <v>0.0696982203324078</v>
      </c>
      <c r="F136" s="10" t="n">
        <f aca="false">F25*F133+F24*F134+F23*F135</f>
        <v>0.0668512431024909</v>
      </c>
      <c r="G136" s="10" t="n">
        <f aca="false">G25*G133+G24*G134+G23*G135</f>
        <v>0.0661131378947347</v>
      </c>
      <c r="H136" s="10" t="n">
        <f aca="false">H25*H133+H24*H134+H23*H135</f>
        <v>0.0640042658725741</v>
      </c>
      <c r="I136" s="10" t="n">
        <f aca="false">I25*I133+I24*I134+I23*I135</f>
        <v>0.0653750326869785</v>
      </c>
      <c r="K136" s="10" t="n">
        <f aca="false">K25*K133+K24*K134+K23*K135</f>
        <v>0.0696982203324078</v>
      </c>
      <c r="L136" s="10" t="n">
        <f aca="false">L25*L133+L24*L134+L23*L135</f>
        <v>0.0696982203324078</v>
      </c>
      <c r="M136" s="2"/>
    </row>
    <row r="137" customFormat="false" ht="15" hidden="false" customHeight="false" outlineLevel="0" collapsed="false">
      <c r="A137" s="10" t="s">
        <v>6062</v>
      </c>
      <c r="B137" s="11" t="s">
        <v>6063</v>
      </c>
      <c r="C137" s="10" t="s">
        <v>4527</v>
      </c>
      <c r="D137" s="10" t="n">
        <f aca="false">D119*D136</f>
        <v>0.00283392184484632</v>
      </c>
      <c r="E137" s="10" t="n">
        <f aca="false">(K137*INP_008+L137*INP_009)/INP_007</f>
        <v>0.00769581860783154</v>
      </c>
      <c r="F137" s="10" t="n">
        <f aca="false">F119*F136</f>
        <v>0.01419357044586</v>
      </c>
      <c r="G137" s="10" t="n">
        <f aca="false">G119*G136</f>
        <v>0.0230089262452371</v>
      </c>
      <c r="H137" s="10" t="n">
        <f aca="false">H119*H136</f>
        <v>0.036116388060701</v>
      </c>
      <c r="I137" s="10" t="n">
        <f aca="false">I119*I136</f>
        <v>0.0559536332127141</v>
      </c>
      <c r="K137" s="10" t="n">
        <f aca="false">K119*K136</f>
        <v>0.00524488586291475</v>
      </c>
      <c r="L137" s="10" t="n">
        <f aca="false">L119*L136</f>
        <v>0.0101067904927769</v>
      </c>
      <c r="M137" s="2"/>
    </row>
    <row r="138" customFormat="false" ht="15" hidden="false" customHeight="false" outlineLevel="0" collapsed="false">
      <c r="A138" s="10" t="s">
        <v>6064</v>
      </c>
      <c r="B138" s="11" t="s">
        <v>6065</v>
      </c>
      <c r="C138" s="10" t="s">
        <v>4527</v>
      </c>
      <c r="D138" s="10" t="n">
        <f aca="false">D124*D136</f>
        <v>0.00179371764193303</v>
      </c>
      <c r="E138" s="10" t="n">
        <f aca="false">(K138*INP_008+L138*INP_009)/INP_007</f>
        <v>0.0050304279253534</v>
      </c>
      <c r="F138" s="10" t="n">
        <f aca="false">F124*F136</f>
        <v>0.00894194938089182</v>
      </c>
      <c r="G138" s="10" t="n">
        <f aca="false">G124*G136</f>
        <v>0.0144956235344994</v>
      </c>
      <c r="H138" s="10" t="n">
        <f aca="false">H124*H136</f>
        <v>0.0227533244782416</v>
      </c>
      <c r="I138" s="10" t="n">
        <f aca="false">I124*I136</f>
        <v>0.0352507889240099</v>
      </c>
      <c r="K138" s="10" t="n">
        <f aca="false">K124*K136</f>
        <v>0.00367142010404032</v>
      </c>
      <c r="L138" s="10" t="n">
        <f aca="false">L124*L136</f>
        <v>0.00636727801044942</v>
      </c>
      <c r="M138" s="2"/>
    </row>
    <row r="139" customFormat="false" ht="15" hidden="false" customHeight="false" outlineLevel="0" collapsed="false">
      <c r="A139" s="10" t="s">
        <v>6066</v>
      </c>
      <c r="B139" s="11" t="s">
        <v>6067</v>
      </c>
      <c r="C139" s="10" t="s">
        <v>4527</v>
      </c>
      <c r="D139" s="10" t="n">
        <f aca="false">D127*D136</f>
        <v>0.00104020420291328</v>
      </c>
      <c r="E139" s="10" t="n">
        <f aca="false">(K139*INP_008+L139*INP_009)/INP_007</f>
        <v>0.00215589768229432</v>
      </c>
      <c r="F139" s="10" t="n">
        <f aca="false">F127*F136</f>
        <v>0.00383226402038221</v>
      </c>
      <c r="G139" s="10" t="n">
        <f aca="false">G127*G136</f>
        <v>0.00621241008621403</v>
      </c>
      <c r="H139" s="10" t="n">
        <f aca="false">H127*H136</f>
        <v>0.00975142477638928</v>
      </c>
      <c r="I139" s="10" t="n">
        <f aca="false">I127*I136</f>
        <v>0.0151074809674328</v>
      </c>
      <c r="K139" s="10" t="n">
        <f aca="false">K127*K136</f>
        <v>0.00157346575887442</v>
      </c>
      <c r="L139" s="10" t="n">
        <f aca="false">L127*L136</f>
        <v>0.00272883343304975</v>
      </c>
      <c r="M139" s="2"/>
    </row>
    <row r="140" customFormat="false" ht="15" hidden="false" customHeight="false" outlineLevel="0" collapsed="false">
      <c r="A140" s="15" t="s">
        <v>6068</v>
      </c>
    </row>
    <row r="141" customFormat="false" ht="15" hidden="false" customHeight="false" outlineLevel="0" collapsed="false">
      <c r="A141" s="10" t="s">
        <v>6069</v>
      </c>
      <c r="B141" s="11" t="s">
        <v>6070</v>
      </c>
      <c r="C141" s="11" t="s">
        <v>6071</v>
      </c>
      <c r="L141" s="10" t="n">
        <f aca="false">SRC_ZP_452</f>
        <v>100000</v>
      </c>
      <c r="M141" s="13" t="s">
        <v>6072</v>
      </c>
    </row>
    <row r="142" customFormat="false" ht="15" hidden="false" customHeight="false" outlineLevel="0" collapsed="false">
      <c r="A142" s="10" t="s">
        <v>6073</v>
      </c>
      <c r="B142" s="11" t="s">
        <v>6074</v>
      </c>
      <c r="C142" s="10" t="s">
        <v>4527</v>
      </c>
      <c r="L142" s="10" t="n">
        <f aca="false">L141*L94/INP_075</f>
        <v>0.1</v>
      </c>
      <c r="M142" s="2" t="s">
        <v>6075</v>
      </c>
    </row>
    <row r="143" customFormat="false" ht="15" hidden="false" customHeight="false" outlineLevel="0" collapsed="false">
      <c r="A143" s="10" t="s">
        <v>6076</v>
      </c>
      <c r="B143" s="11" t="s">
        <v>6077</v>
      </c>
      <c r="C143" s="10" t="s">
        <v>4527</v>
      </c>
      <c r="L143" s="10" t="n">
        <f aca="false">L142*INP_101</f>
        <v>0.13</v>
      </c>
      <c r="M143" s="2"/>
    </row>
    <row r="144" customFormat="false" ht="15" hidden="false" customHeight="false" outlineLevel="0" collapsed="false">
      <c r="A144" s="10" t="s">
        <v>6078</v>
      </c>
      <c r="B144" s="11" t="s">
        <v>6079</v>
      </c>
      <c r="C144" s="10" t="s">
        <v>4527</v>
      </c>
      <c r="D144" s="10" t="n">
        <f aca="false">D119*D23</f>
        <v>0.0107792190180268</v>
      </c>
      <c r="E144" s="10" t="n">
        <f aca="false">E119*E23</f>
        <v>0.066249771409901</v>
      </c>
      <c r="F144" s="10" t="n">
        <f aca="false">F119*F23</f>
        <v>0.159236797108989</v>
      </c>
      <c r="G144" s="10" t="n">
        <f aca="false">G119*G23</f>
        <v>0.29581998270285</v>
      </c>
      <c r="H144" s="10" t="n">
        <f aca="false">H119*H23</f>
        <v>0.507852856547789</v>
      </c>
      <c r="I144" s="10" t="n">
        <f aca="false">I119*I23</f>
        <v>0.813092542631586</v>
      </c>
      <c r="K144" s="10" t="n">
        <f aca="false">K119*K23</f>
        <v>0.0451508159425071</v>
      </c>
      <c r="L144" s="10" t="n">
        <f aca="false">L119*L23</f>
        <v>0.0870047221685873</v>
      </c>
      <c r="M144" s="2"/>
    </row>
    <row r="145" customFormat="false" ht="15" hidden="false" customHeight="false" outlineLevel="0" collapsed="false">
      <c r="A145" s="10" t="s">
        <v>6080</v>
      </c>
      <c r="B145" s="11" t="s">
        <v>6081</v>
      </c>
      <c r="C145" s="10" t="s">
        <v>4527</v>
      </c>
      <c r="D145" s="10" t="n">
        <f aca="false">D124*D23</f>
        <v>0.00682265650834957</v>
      </c>
      <c r="E145" s="10" t="n">
        <f aca="false">E124*E23</f>
        <v>0.0433046459553378</v>
      </c>
      <c r="F145" s="10" t="n">
        <f aca="false">F124*F23</f>
        <v>0.100319182178663</v>
      </c>
      <c r="G145" s="10" t="n">
        <f aca="false">G124*G23</f>
        <v>0.186366589102796</v>
      </c>
      <c r="H145" s="10" t="n">
        <f aca="false">H124*H23</f>
        <v>0.319947299625107</v>
      </c>
      <c r="I145" s="10" t="n">
        <f aca="false">I124*I23</f>
        <v>0.512248301857899</v>
      </c>
      <c r="K145" s="10" t="n">
        <f aca="false">K124*K23</f>
        <v>0.031605571159755</v>
      </c>
      <c r="L145" s="10" t="n">
        <f aca="false">L124*L23</f>
        <v>0.05481297496621</v>
      </c>
      <c r="M145" s="2" t="s">
        <v>6082</v>
      </c>
    </row>
    <row r="146" customFormat="false" ht="15" hidden="false" customHeight="false" outlineLevel="0" collapsed="false">
      <c r="A146" s="10" t="s">
        <v>6083</v>
      </c>
      <c r="B146" s="11" t="s">
        <v>6084</v>
      </c>
      <c r="C146" s="11" t="s">
        <v>4720</v>
      </c>
      <c r="L146" s="10" t="n">
        <f aca="false">(L144-L142)/L142</f>
        <v>-0.129952778314127</v>
      </c>
      <c r="M146" s="13" t="s">
        <v>6085</v>
      </c>
    </row>
    <row r="147" customFormat="false" ht="15" hidden="false" customHeight="false" outlineLevel="0" collapsed="false">
      <c r="A147" s="10" t="s">
        <v>6086</v>
      </c>
      <c r="B147" s="11" t="s">
        <v>6087</v>
      </c>
      <c r="C147" s="11" t="s">
        <v>4720</v>
      </c>
      <c r="L147" s="10" t="n">
        <f aca="false">(L145-L142)/L142</f>
        <v>-0.4518702503379</v>
      </c>
      <c r="M147" s="2" t="s">
        <v>6088</v>
      </c>
    </row>
    <row r="148" customFormat="false" ht="15" hidden="false" customHeight="false" outlineLevel="0" collapsed="false">
      <c r="A148" s="10" t="s">
        <v>6089</v>
      </c>
      <c r="B148" s="11" t="s">
        <v>6090</v>
      </c>
      <c r="C148" s="10" t="s">
        <v>4527</v>
      </c>
      <c r="L148" s="10" t="n">
        <f aca="false">SRC_ZP_458/INP_101</f>
        <v>0.769230769230769</v>
      </c>
      <c r="M148" s="13" t="s">
        <v>6091</v>
      </c>
    </row>
    <row r="149" customFormat="false" ht="15" hidden="false" customHeight="false" outlineLevel="0" collapsed="false">
      <c r="A149" s="15" t="s">
        <v>6092</v>
      </c>
    </row>
    <row r="150" customFormat="false" ht="15" hidden="false" customHeight="false" outlineLevel="0" collapsed="false">
      <c r="A150" s="10" t="s">
        <v>6093</v>
      </c>
      <c r="B150" s="10" t="s">
        <v>6094</v>
      </c>
      <c r="C150" s="10" t="s">
        <v>4694</v>
      </c>
      <c r="D150" s="16" t="n">
        <f aca="false">Demand!D26</f>
        <v>1095.150672</v>
      </c>
      <c r="K150" s="16" t="n">
        <f aca="false">Demand!K26</f>
        <v>3620.498112</v>
      </c>
      <c r="M150" s="13" t="s">
        <v>6095</v>
      </c>
    </row>
    <row r="151" customFormat="false" ht="15" hidden="false" customHeight="false" outlineLevel="0" collapsed="false">
      <c r="A151" s="10" t="s">
        <v>6096</v>
      </c>
      <c r="B151" s="10" t="s">
        <v>6097</v>
      </c>
      <c r="C151" s="10" t="s">
        <v>4527</v>
      </c>
      <c r="D151" s="10" t="n">
        <f aca="false">D66</f>
        <v>0.0177272967071995</v>
      </c>
      <c r="K151" s="10" t="n">
        <f aca="false">K66</f>
        <v>0.133736943388656</v>
      </c>
      <c r="M151" s="2"/>
    </row>
    <row r="152" customFormat="false" ht="15" hidden="false" customHeight="false" outlineLevel="0" collapsed="false">
      <c r="A152" s="10" t="s">
        <v>6098</v>
      </c>
      <c r="B152" s="11" t="s">
        <v>6099</v>
      </c>
      <c r="C152" s="10" t="s">
        <v>4527</v>
      </c>
      <c r="D152" s="16" t="n">
        <f aca="false">Demand!D26*INP_074/D71</f>
        <v>0.0665962270352725</v>
      </c>
      <c r="K152" s="16" t="n">
        <f aca="false">Demand!K26*INP_074/(K71*INP_008/INP_007)</f>
        <v>0.505310795868042</v>
      </c>
      <c r="M152" s="13" t="s">
        <v>5905</v>
      </c>
    </row>
    <row r="153" customFormat="false" ht="15" hidden="false" customHeight="false" outlineLevel="0" collapsed="false">
      <c r="A153" s="10" t="s">
        <v>6100</v>
      </c>
      <c r="B153" s="10" t="s">
        <v>6101</v>
      </c>
      <c r="C153" s="11" t="s">
        <v>4720</v>
      </c>
      <c r="D153" s="10" t="n">
        <f aca="false">D151/D65</f>
        <v>0.779489485606003</v>
      </c>
      <c r="K153" s="10" t="n">
        <f aca="false">K151/K65</f>
        <v>0.809301576920651</v>
      </c>
      <c r="M153" s="2"/>
    </row>
    <row r="154" customFormat="false" ht="15" hidden="false" customHeight="false" outlineLevel="0" collapsed="false">
      <c r="A154" s="10" t="s">
        <v>6102</v>
      </c>
      <c r="B154" s="11" t="s">
        <v>6103</v>
      </c>
      <c r="C154" s="11" t="s">
        <v>1709</v>
      </c>
      <c r="D154" s="10" t="n">
        <f aca="false">D151/D105</f>
        <v>7.79126043870209</v>
      </c>
      <c r="K154" s="10" t="n">
        <f aca="false">K151/K105</f>
        <v>6.14718631419479</v>
      </c>
      <c r="M154" s="13" t="s">
        <v>6104</v>
      </c>
    </row>
    <row r="155" customFormat="false" ht="15" hidden="false" customHeight="false" outlineLevel="0" collapsed="false">
      <c r="A155" s="10" t="s">
        <v>6105</v>
      </c>
      <c r="B155" s="11" t="s">
        <v>6106</v>
      </c>
      <c r="C155" s="11" t="s">
        <v>4720</v>
      </c>
      <c r="D155" s="10" t="n">
        <f aca="false">INP_060*(D105-(D65-D151))/D151</f>
        <v>-0.0231813005674481</v>
      </c>
      <c r="K155" s="10" t="n">
        <f aca="false">INP_060*(K105-(K65-K151))/K151</f>
        <v>-0.010943591255418</v>
      </c>
      <c r="M155" s="2" t="s">
        <v>6107</v>
      </c>
    </row>
    <row r="156" customFormat="false" ht="15" hidden="false" customHeight="false" outlineLevel="0" collapsed="false">
      <c r="A156" s="10" t="s">
        <v>6108</v>
      </c>
      <c r="B156" s="11" t="s">
        <v>6109</v>
      </c>
      <c r="C156" s="11" t="s">
        <v>4720</v>
      </c>
      <c r="D156" s="10" t="n">
        <f aca="false">(D105-(D65-D66)-D66*D60*D48/D61)/(D66*(1-D60)/D61*(D47-D46))+D46/(D46-D47)</f>
        <v>1.37045319902401</v>
      </c>
      <c r="K156" s="10" t="n">
        <f aca="false">(K105-(K65-K66)-K66*K60*K48/K61)/(K66*(1-K60)/K61*(K47-K46))+K46/(K46-K47)</f>
        <v>1.33720902384051</v>
      </c>
      <c r="M156" s="2" t="s">
        <v>6110</v>
      </c>
    </row>
    <row r="157" customFormat="false" ht="15" hidden="false" customHeight="false" outlineLevel="0" collapsed="false">
      <c r="A157" s="15" t="s">
        <v>6111</v>
      </c>
    </row>
    <row r="158" customFormat="false" ht="15" hidden="false" customHeight="false" outlineLevel="0" collapsed="false">
      <c r="A158" s="10" t="s">
        <v>6112</v>
      </c>
      <c r="B158" s="10" t="s">
        <v>6113</v>
      </c>
      <c r="C158" s="10" t="s">
        <v>5966</v>
      </c>
      <c r="I158" s="10" t="n">
        <f aca="false">I25*I99*SRC_ZP_473/SRC_ZP_474+I24*I100*SRC_ZP_462_Lo/SRC_ZP_462+I23*I101*SRC_ZP_478/AVERAGE(SRC_ZP_478,SRC_ZP_479)</f>
        <v>319.946638772253</v>
      </c>
      <c r="K158" s="10" t="n">
        <f aca="false">K25*K99*SRC_ZP_473/SRC_ZP_474+K24*K100*SRC_ZP_462_Lo/SRC_ZP_462+K23*K101*SRC_ZP_478/AVERAGE(SRC_ZP_478,SRC_ZP_479)</f>
        <v>486.75349710018</v>
      </c>
      <c r="M158" s="2" t="s">
        <v>6114</v>
      </c>
    </row>
    <row r="159" customFormat="false" ht="15" hidden="false" customHeight="false" outlineLevel="0" collapsed="false">
      <c r="A159" s="10" t="s">
        <v>6115</v>
      </c>
      <c r="B159" s="10" t="s">
        <v>6116</v>
      </c>
      <c r="C159" s="10" t="s">
        <v>4527</v>
      </c>
      <c r="K159" s="10" t="n">
        <f aca="false">K87/(K158*INP_008/INP_007)</f>
        <v>0.0891752521747064</v>
      </c>
      <c r="M159" s="13" t="s">
        <v>6117</v>
      </c>
    </row>
    <row r="160" customFormat="false" ht="15" hidden="false" customHeight="false" outlineLevel="0" collapsed="false">
      <c r="A160" s="10" t="s">
        <v>6118</v>
      </c>
      <c r="B160" s="10" t="s">
        <v>6119</v>
      </c>
      <c r="C160" s="11" t="s">
        <v>1709</v>
      </c>
      <c r="K160" s="10" t="n">
        <f aca="false">IF(INP_139,K65/(K80/(K158*INP_008/INP_007)),MAX(INP_138,K65/(K159*(1-INP_109))))</f>
        <v>2.64727232958416</v>
      </c>
      <c r="M160" s="2" t="s">
        <v>6120</v>
      </c>
    </row>
    <row r="161" customFormat="false" ht="15" hidden="false" customHeight="false" outlineLevel="0" collapsed="false">
      <c r="A161" s="10" t="s">
        <v>6121</v>
      </c>
      <c r="B161" s="10" t="s">
        <v>6122</v>
      </c>
      <c r="C161" s="11" t="s">
        <v>4720</v>
      </c>
      <c r="I161" s="10" t="n">
        <f aca="false">K161+INP_120*(INP_110-K161)</f>
        <v>0.3</v>
      </c>
      <c r="K161" s="10" t="n">
        <f aca="false">(1-K65/K160/K159)</f>
        <v>0.3</v>
      </c>
      <c r="M161" s="13" t="s">
        <v>6123</v>
      </c>
    </row>
    <row r="162" customFormat="false" ht="15" hidden="false" customHeight="false" outlineLevel="0" collapsed="false">
      <c r="A162" s="10" t="s">
        <v>6124</v>
      </c>
      <c r="B162" s="10" t="s">
        <v>6125</v>
      </c>
      <c r="C162" s="10" t="s">
        <v>4527</v>
      </c>
      <c r="I162" s="10" t="n">
        <f aca="false">I65/$K$160/((1-INP_108)*(1-I161))</f>
        <v>1.01425315205876</v>
      </c>
      <c r="M162" s="2" t="s">
        <v>6126</v>
      </c>
    </row>
    <row r="163" customFormat="false" ht="15" hidden="false" customHeight="false" outlineLevel="0" collapsed="false">
      <c r="A163" s="10" t="s">
        <v>6127</v>
      </c>
      <c r="B163" s="10" t="s">
        <v>6128</v>
      </c>
      <c r="C163" s="10" t="s">
        <v>4527</v>
      </c>
      <c r="I163" s="10" t="n">
        <f aca="false">I162*I136</f>
        <v>0.0663068329687121</v>
      </c>
      <c r="K163" s="10" t="n">
        <f aca="false">K159*K136</f>
        <v>0.00621535637427071</v>
      </c>
      <c r="M163" s="2"/>
    </row>
    <row r="164" customFormat="false" ht="15" hidden="false" customHeight="false" outlineLevel="0" collapsed="false">
      <c r="A164" s="10" t="s">
        <v>6129</v>
      </c>
      <c r="B164" s="10" t="s">
        <v>6130</v>
      </c>
      <c r="C164" s="10" t="s">
        <v>5966</v>
      </c>
      <c r="I164" s="10" t="n">
        <f aca="false">I25*I99*SRC_ZP_472/SRC_ZP_474+I24*I100*SRC_ZP_462_Hi/SRC_ZP_462+I23*I101*SRC_ZP_479/AVERAGE(SRC_ZP_478,SRC_ZP_479)</f>
        <v>500.433994589955</v>
      </c>
      <c r="K164" s="10" t="n">
        <f aca="false">K25*K99*SRC_ZP_472/SRC_ZP_474+K24*K100*SRC_ZP_462_Hi/SRC_ZP_462+K23*K101*SRC_ZP_479/AVERAGE(SRC_ZP_478,SRC_ZP_479)</f>
        <v>730.581833034109</v>
      </c>
      <c r="M164" s="2" t="s">
        <v>6114</v>
      </c>
    </row>
    <row r="165" customFormat="false" ht="15" hidden="false" customHeight="false" outlineLevel="0" collapsed="false">
      <c r="A165" s="10" t="s">
        <v>6131</v>
      </c>
      <c r="B165" s="10" t="s">
        <v>6132</v>
      </c>
      <c r="C165" s="10" t="s">
        <v>4527</v>
      </c>
      <c r="K165" s="10" t="n">
        <f aca="false">K87/(K164*INP_008/INP_007)</f>
        <v>0.0594134207670644</v>
      </c>
      <c r="M165" s="13" t="s">
        <v>6117</v>
      </c>
    </row>
    <row r="166" customFormat="false" ht="15" hidden="false" customHeight="false" outlineLevel="0" collapsed="false">
      <c r="A166" s="10" t="s">
        <v>6133</v>
      </c>
      <c r="B166" s="10" t="s">
        <v>6134</v>
      </c>
      <c r="C166" s="11" t="s">
        <v>1709</v>
      </c>
      <c r="K166" s="10" t="n">
        <f aca="false">IF(INP_139,K65/(K80/(K164*INP_008/INP_007)),MAX(INP_138,K65/(K165*(1-INP_109))))</f>
        <v>3.97336451121587</v>
      </c>
      <c r="M166" s="2" t="s">
        <v>6120</v>
      </c>
    </row>
    <row r="167" customFormat="false" ht="15" hidden="false" customHeight="false" outlineLevel="0" collapsed="false">
      <c r="A167" s="10" t="s">
        <v>6135</v>
      </c>
      <c r="B167" s="10" t="s">
        <v>6136</v>
      </c>
      <c r="C167" s="11" t="s">
        <v>4720</v>
      </c>
      <c r="I167" s="10" t="n">
        <f aca="false">K167+INP_120*(INP_110-K167)</f>
        <v>0.3</v>
      </c>
      <c r="K167" s="10" t="n">
        <f aca="false">(1-K65/K166/K165)</f>
        <v>0.3</v>
      </c>
      <c r="M167" s="13" t="s">
        <v>6123</v>
      </c>
    </row>
    <row r="168" customFormat="false" ht="15" hidden="false" customHeight="false" outlineLevel="0" collapsed="false">
      <c r="A168" s="10" t="s">
        <v>6137</v>
      </c>
      <c r="B168" s="10" t="s">
        <v>6138</v>
      </c>
      <c r="C168" s="10" t="s">
        <v>4527</v>
      </c>
      <c r="I168" s="10" t="n">
        <f aca="false">I65/$K$166/((1-INP_108)*(1-I167))</f>
        <v>0.675750814469582</v>
      </c>
      <c r="M168" s="2" t="s">
        <v>6126</v>
      </c>
    </row>
    <row r="169" customFormat="false" ht="15" hidden="false" customHeight="false" outlineLevel="0" collapsed="false">
      <c r="A169" s="10" t="s">
        <v>6139</v>
      </c>
      <c r="B169" s="10" t="s">
        <v>6140</v>
      </c>
      <c r="C169" s="10" t="s">
        <v>4527</v>
      </c>
      <c r="I169" s="10" t="n">
        <f aca="false">I168*I136</f>
        <v>0.0441772315842013</v>
      </c>
      <c r="K169" s="10" t="n">
        <f aca="false">K165*K136</f>
        <v>0.00414100969132491</v>
      </c>
      <c r="M169" s="2"/>
    </row>
    <row r="170" customFormat="false" ht="15" hidden="false" customHeight="false" outlineLevel="0" collapsed="false">
      <c r="A170" s="10" t="s">
        <v>6141</v>
      </c>
      <c r="B170" s="10" t="s">
        <v>6142</v>
      </c>
      <c r="C170" s="10" t="s">
        <v>4527</v>
      </c>
      <c r="I170" s="10" t="n">
        <f aca="false">I65/INP_106</f>
        <v>1.69155271192235</v>
      </c>
      <c r="M170" s="13" t="s">
        <v>6143</v>
      </c>
    </row>
    <row r="171" customFormat="false" ht="15" hidden="false" customHeight="false" outlineLevel="0" collapsed="false">
      <c r="A171" s="10" t="s">
        <v>6144</v>
      </c>
      <c r="B171" s="10" t="s">
        <v>6145</v>
      </c>
      <c r="C171" s="10" t="s">
        <v>4527</v>
      </c>
      <c r="I171" s="10" t="n">
        <f aca="false">I170/((1-INP_108)*(1-I113))</f>
        <v>2.68500430463866</v>
      </c>
      <c r="M171" s="2"/>
    </row>
    <row r="172" customFormat="false" ht="15" hidden="false" customHeight="false" outlineLevel="0" collapsed="false">
      <c r="A172" s="10" t="s">
        <v>6146</v>
      </c>
      <c r="B172" s="10" t="s">
        <v>6147</v>
      </c>
      <c r="C172" s="10" t="s">
        <v>4527</v>
      </c>
      <c r="I172" s="10" t="n">
        <f aca="false">I171*I136</f>
        <v>0.17553224418043</v>
      </c>
      <c r="M172" s="2"/>
    </row>
    <row r="173" customFormat="false" ht="15" hidden="false" customHeight="false" outlineLevel="0" collapsed="false">
      <c r="A173" s="10" t="s">
        <v>6148</v>
      </c>
      <c r="B173" s="10" t="s">
        <v>6149</v>
      </c>
      <c r="C173" s="11" t="s">
        <v>1709</v>
      </c>
      <c r="I173" s="16" t="n">
        <f aca="false">Inputs!$G$86</f>
        <v>0.4</v>
      </c>
      <c r="K173" s="16" t="n">
        <f aca="false">Inputs!$G$86</f>
        <v>0.4</v>
      </c>
      <c r="M173" s="13" t="s">
        <v>6150</v>
      </c>
    </row>
    <row r="174" customFormat="false" ht="15" hidden="false" customHeight="false" outlineLevel="0" collapsed="false">
      <c r="A174" s="10" t="s">
        <v>6151</v>
      </c>
      <c r="B174" s="10" t="s">
        <v>6152</v>
      </c>
      <c r="C174" s="11" t="s">
        <v>1709</v>
      </c>
      <c r="I174" s="10" t="n">
        <f aca="false">I25+I24*I14+I23*I173</f>
        <v>0.43</v>
      </c>
      <c r="K174" s="10" t="n">
        <f aca="false">K25+K24*K14+K23*K173</f>
        <v>0.541</v>
      </c>
      <c r="M174" s="2"/>
    </row>
    <row r="175" customFormat="false" ht="15" hidden="false" customHeight="false" outlineLevel="0" collapsed="false">
      <c r="A175" s="10" t="s">
        <v>6153</v>
      </c>
      <c r="B175" s="10" t="s">
        <v>6154</v>
      </c>
      <c r="C175" s="10" t="s">
        <v>4527</v>
      </c>
      <c r="I175" s="10" t="n">
        <f aca="false">I65*I26/I174</f>
        <v>2.43898297998107</v>
      </c>
      <c r="K175" s="10" t="n">
        <f aca="false">K65*K26/K174</f>
        <v>0.201904129130667</v>
      </c>
      <c r="M175" s="2" t="s">
        <v>6155</v>
      </c>
    </row>
    <row r="176" customFormat="false" ht="15" hidden="false" customHeight="false" outlineLevel="0" collapsed="false">
      <c r="A176" s="10" t="s">
        <v>6156</v>
      </c>
      <c r="B176" s="10" t="s">
        <v>6157</v>
      </c>
      <c r="C176" s="11" t="s">
        <v>1709</v>
      </c>
      <c r="K176" s="10" t="n">
        <f aca="false">IF(INP_139,K175/K105,MAX(INP_138,K175/(K119*(1-INP_109))))</f>
        <v>3.832946946792</v>
      </c>
      <c r="M176" s="2" t="s">
        <v>6120</v>
      </c>
    </row>
    <row r="177" customFormat="false" ht="15" hidden="false" customHeight="false" outlineLevel="0" collapsed="false">
      <c r="A177" s="10" t="s">
        <v>6158</v>
      </c>
      <c r="B177" s="10" t="s">
        <v>6159</v>
      </c>
      <c r="C177" s="11" t="s">
        <v>4720</v>
      </c>
      <c r="I177" s="10" t="n">
        <f aca="false">K177+INP_120*(INP_110-K177)</f>
        <v>0.3</v>
      </c>
      <c r="K177" s="10" t="n">
        <f aca="false">(1-K175/K176/K119)</f>
        <v>0.3</v>
      </c>
      <c r="M177" s="2"/>
    </row>
    <row r="178" customFormat="false" ht="15" hidden="false" customHeight="false" outlineLevel="0" collapsed="false">
      <c r="A178" s="10" t="s">
        <v>6160</v>
      </c>
      <c r="B178" s="10" t="s">
        <v>6161</v>
      </c>
      <c r="C178" s="10" t="s">
        <v>4527</v>
      </c>
      <c r="I178" s="10" t="n">
        <f aca="false">I175/$K$176/((1-INP_108)*(1-I177))</f>
        <v>1.01003264831664</v>
      </c>
      <c r="M178" s="2"/>
    </row>
    <row r="179" customFormat="false" ht="15" hidden="false" customHeight="false" outlineLevel="0" collapsed="false">
      <c r="A179" s="10" t="s">
        <v>6162</v>
      </c>
      <c r="B179" s="10" t="s">
        <v>6163</v>
      </c>
      <c r="C179" s="10" t="s">
        <v>4527</v>
      </c>
      <c r="I179" s="10" t="n">
        <f aca="false">I178*(I25*I133+I24*I134+I23*I133*I173)</f>
        <v>0.0457956362603303</v>
      </c>
      <c r="M179" s="2"/>
    </row>
    <row r="180" customFormat="false" ht="15" hidden="false" customHeight="false" outlineLevel="0" collapsed="false">
      <c r="A180" s="10" t="s">
        <v>6164</v>
      </c>
      <c r="B180" s="10" t="s">
        <v>6165</v>
      </c>
      <c r="C180" s="11" t="s">
        <v>1709</v>
      </c>
      <c r="I180" s="16" t="n">
        <f aca="false">Inputs!$H$86</f>
        <v>0.9</v>
      </c>
      <c r="K180" s="16" t="n">
        <f aca="false">Inputs!$H$86</f>
        <v>0.9</v>
      </c>
      <c r="M180" s="13" t="s">
        <v>6166</v>
      </c>
    </row>
    <row r="181" customFormat="false" ht="15" hidden="false" customHeight="false" outlineLevel="0" collapsed="false">
      <c r="A181" s="10" t="s">
        <v>6167</v>
      </c>
      <c r="B181" s="10" t="s">
        <v>6168</v>
      </c>
      <c r="C181" s="11" t="s">
        <v>1709</v>
      </c>
      <c r="I181" s="10" t="n">
        <f aca="false">I25+I24*I14+I23*I180</f>
        <v>0.905</v>
      </c>
      <c r="K181" s="10" t="n">
        <f aca="false">K25+K24*K14+K23*K180</f>
        <v>0.841</v>
      </c>
      <c r="M181" s="2"/>
    </row>
    <row r="182" customFormat="false" ht="15" hidden="false" customHeight="false" outlineLevel="0" collapsed="false">
      <c r="A182" s="10" t="s">
        <v>6169</v>
      </c>
      <c r="B182" s="10" t="s">
        <v>6170</v>
      </c>
      <c r="C182" s="10" t="s">
        <v>4527</v>
      </c>
      <c r="I182" s="10" t="n">
        <f aca="false">I65*I26/I181</f>
        <v>1.15885379159321</v>
      </c>
      <c r="K182" s="10" t="n">
        <f aca="false">K65*K26/K181</f>
        <v>0.129881253103081</v>
      </c>
      <c r="M182" s="2" t="s">
        <v>6155</v>
      </c>
    </row>
    <row r="183" customFormat="false" ht="15" hidden="false" customHeight="false" outlineLevel="0" collapsed="false">
      <c r="A183" s="10" t="s">
        <v>6171</v>
      </c>
      <c r="B183" s="10" t="s">
        <v>6172</v>
      </c>
      <c r="C183" s="11" t="s">
        <v>1709</v>
      </c>
      <c r="K183" s="10" t="n">
        <f aca="false">IF(INP_139,K182/K105,MAX(INP_138,K182/(K119*(1-INP_109))))</f>
        <v>2.46566503949402</v>
      </c>
      <c r="M183" s="2" t="s">
        <v>6120</v>
      </c>
    </row>
    <row r="184" customFormat="false" ht="15" hidden="false" customHeight="false" outlineLevel="0" collapsed="false">
      <c r="A184" s="10" t="s">
        <v>6173</v>
      </c>
      <c r="B184" s="10" t="s">
        <v>6174</v>
      </c>
      <c r="C184" s="11" t="s">
        <v>4720</v>
      </c>
      <c r="I184" s="10" t="n">
        <f aca="false">K184+INP_120*(INP_110-K184)</f>
        <v>0.3</v>
      </c>
      <c r="K184" s="10" t="n">
        <f aca="false">(1-K182/K183/K119)</f>
        <v>0.3</v>
      </c>
      <c r="M184" s="2"/>
    </row>
    <row r="185" customFormat="false" ht="15" hidden="false" customHeight="false" outlineLevel="0" collapsed="false">
      <c r="A185" s="10" t="s">
        <v>6175</v>
      </c>
      <c r="B185" s="10" t="s">
        <v>6176</v>
      </c>
      <c r="C185" s="10" t="s">
        <v>4527</v>
      </c>
      <c r="I185" s="10" t="n">
        <f aca="false">I182/$K$183/((1-INP_108)*(1-I184))</f>
        <v>0.74602609575218</v>
      </c>
      <c r="M185" s="2"/>
    </row>
    <row r="186" customFormat="false" ht="15" hidden="false" customHeight="false" outlineLevel="0" collapsed="false">
      <c r="A186" s="10" t="s">
        <v>6177</v>
      </c>
      <c r="B186" s="10" t="s">
        <v>6178</v>
      </c>
      <c r="C186" s="10" t="s">
        <v>4527</v>
      </c>
      <c r="I186" s="10" t="n">
        <f aca="false">I185*(I25*I133+I24*I134+I23*I133*I180)</f>
        <v>0.0711906286412898</v>
      </c>
      <c r="M186" s="2"/>
    </row>
    <row r="187" customFormat="false" ht="15" hidden="false" customHeight="false" outlineLevel="0" collapsed="false">
      <c r="A187" s="15" t="s">
        <v>6179</v>
      </c>
    </row>
    <row r="188" customFormat="false" ht="15" hidden="false" customHeight="false" outlineLevel="0" collapsed="false">
      <c r="A188" s="10" t="s">
        <v>6180</v>
      </c>
      <c r="B188" s="11" t="s">
        <v>6181</v>
      </c>
      <c r="C188" s="10" t="s">
        <v>5966</v>
      </c>
      <c r="D188" s="10" t="n">
        <f aca="false">D96*D91*INP_076/INP_077</f>
        <v>840.155061019383</v>
      </c>
      <c r="E188" s="10" t="n">
        <f aca="false">E96*E91*INP_076/INP_077</f>
        <v>818.978549892319</v>
      </c>
      <c r="F188" s="10" t="n">
        <f aca="false">F96*F91*INP_076/INP_077</f>
        <v>737.080694903087</v>
      </c>
      <c r="G188" s="10" t="n">
        <f aca="false">G96*G91*INP_076/INP_077</f>
        <v>663.372625412778</v>
      </c>
      <c r="H188" s="10" t="n">
        <f aca="false">H96*H91*INP_076/INP_077</f>
        <v>597.0353628715</v>
      </c>
      <c r="I188" s="10" t="n">
        <f aca="false">I96*I91*INP_076/INP_077</f>
        <v>537.33182658435</v>
      </c>
      <c r="K188" s="10" t="n">
        <f aca="false">K96*K91*INP_076/INP_077</f>
        <v>840.155061019383</v>
      </c>
      <c r="L188" s="10" t="n">
        <f aca="false">L96*L91*INP_076/INP_077</f>
        <v>798.147307968413</v>
      </c>
      <c r="M188" s="2" t="s">
        <v>6182</v>
      </c>
    </row>
    <row r="189" customFormat="false" ht="15" hidden="false" customHeight="false" outlineLevel="0" collapsed="false">
      <c r="A189" s="10" t="s">
        <v>6183</v>
      </c>
      <c r="B189" s="11" t="s">
        <v>6184</v>
      </c>
      <c r="C189" s="10" t="s">
        <v>5966</v>
      </c>
      <c r="D189" s="10" t="n">
        <f aca="false">D97*D93*INP_076/INP_077</f>
        <v>600.34128440367</v>
      </c>
      <c r="E189" s="10" t="n">
        <f aca="false">E97*E93*INP_076/INP_077</f>
        <v>585.209394495413</v>
      </c>
      <c r="F189" s="10" t="n">
        <f aca="false">F97*F93*INP_076/INP_077</f>
        <v>526.688455045872</v>
      </c>
      <c r="G189" s="10" t="n">
        <f aca="false">G97*G93*INP_076/INP_077</f>
        <v>474.019609541284</v>
      </c>
      <c r="H189" s="10" t="n">
        <f aca="false">H97*H93*INP_076/INP_077</f>
        <v>426.617648587156</v>
      </c>
      <c r="I189" s="10" t="n">
        <f aca="false">I97*I93*INP_076/INP_077</f>
        <v>383.95588372844</v>
      </c>
      <c r="K189" s="10" t="n">
        <f aca="false">K97*K93*INP_076/INP_077</f>
        <v>600.34128440367</v>
      </c>
      <c r="L189" s="10" t="n">
        <f aca="false">L97*L93*INP_076/INP_077</f>
        <v>570.324220183486</v>
      </c>
      <c r="M189" s="2" t="s">
        <v>6182</v>
      </c>
    </row>
    <row r="190" customFormat="false" ht="15" hidden="false" customHeight="false" outlineLevel="0" collapsed="false">
      <c r="A190" s="10" t="s">
        <v>6185</v>
      </c>
      <c r="B190" s="11" t="s">
        <v>6186</v>
      </c>
      <c r="C190" s="10" t="s">
        <v>5966</v>
      </c>
      <c r="D190" s="10" t="n">
        <f aca="false">D98*D95*INP_076/INP_077</f>
        <v>461.214</v>
      </c>
      <c r="E190" s="10" t="n">
        <f aca="false">E98*E95*INP_076/INP_077</f>
        <v>449.58888</v>
      </c>
      <c r="F190" s="10" t="n">
        <f aca="false">F98*F95*INP_076/INP_077</f>
        <v>404.629992</v>
      </c>
      <c r="G190" s="10" t="n">
        <f aca="false">G98*G95*INP_076/INP_077</f>
        <v>364.1669928</v>
      </c>
      <c r="H190" s="10" t="n">
        <f aca="false">H98*H95*INP_076/INP_077</f>
        <v>327.75029352</v>
      </c>
      <c r="I190" s="10" t="n">
        <f aca="false">I98*I95*INP_076/INP_077</f>
        <v>294.975264168</v>
      </c>
      <c r="K190" s="10" t="n">
        <f aca="false">K98*K95*INP_076/INP_077</f>
        <v>461.214</v>
      </c>
      <c r="L190" s="10" t="n">
        <f aca="false">L98*L95*INP_076/INP_077</f>
        <v>438.1533</v>
      </c>
      <c r="M190" s="2" t="s">
        <v>6182</v>
      </c>
    </row>
    <row r="191" customFormat="false" ht="15" hidden="false" customHeight="false" outlineLevel="0" collapsed="false">
      <c r="A191" s="10" t="s">
        <v>6187</v>
      </c>
      <c r="B191" s="11" t="s">
        <v>6188</v>
      </c>
      <c r="C191" s="10" t="s">
        <v>5966</v>
      </c>
      <c r="D191" s="10" t="n">
        <f aca="false">SUMIFS(TK_IF_HoldEcon,TK_HdrGen,$D$8,TK_HdrCost,$D$10)*INP_023*INP_021</f>
        <v>653.978379996844</v>
      </c>
      <c r="E191" s="10" t="n">
        <f aca="false">SUMIFS(TK_IF_HoldEcon,TK_HdrGen,$D$8,TK_HdrCost,$D$10)*INP_023*INP_021</f>
        <v>653.978379996844</v>
      </c>
      <c r="F191" s="10" t="n">
        <f aca="false">SUMIFS(TK_IF_HoldEcon,TK_HdrGen,$D$8,TK_HdrCost,$D$10)*INP_023*INP_021</f>
        <v>653.978379996844</v>
      </c>
      <c r="G191" s="10" t="n">
        <f aca="false">SUMIFS(TK_IF_HoldEcon,TK_HdrGen,$D$8,TK_HdrCost,$D$10)*INP_023*INP_021</f>
        <v>653.978379996844</v>
      </c>
      <c r="H191" s="10" t="n">
        <f aca="false">SUMIFS(TK_IF_HoldEcon,TK_HdrGen,$D$8,TK_HdrCost,$D$10)*INP_023*INP_021</f>
        <v>653.978379996844</v>
      </c>
      <c r="I191" s="10" t="n">
        <f aca="false">SUMIFS(TK_IF_HoldEcon,TK_HdrGen,$D$8,TK_HdrCost,$D$10)*INP_023*INP_021</f>
        <v>653.978379996844</v>
      </c>
      <c r="K191" s="10" t="n">
        <f aca="false">SUMIFS(TK_IF_HoldEcon,TK_HdrGen,$D$8,TK_HdrCost,$D$10)*INP_023*INP_021</f>
        <v>653.978379996844</v>
      </c>
      <c r="L191" s="10" t="n">
        <f aca="false">SUMIFS(TK_IF_HoldEcon,TK_HdrGen,$D$8,TK_HdrCost,$D$10)*INP_023*INP_021</f>
        <v>653.978379996844</v>
      </c>
      <c r="M191" s="13" t="s">
        <v>6189</v>
      </c>
    </row>
    <row r="192" customFormat="false" ht="15" hidden="false" customHeight="false" outlineLevel="0" collapsed="false">
      <c r="A192" s="10" t="s">
        <v>6190</v>
      </c>
      <c r="B192" s="11" t="s">
        <v>6191</v>
      </c>
      <c r="C192" s="10" t="s">
        <v>5966</v>
      </c>
      <c r="D192" s="10" t="n">
        <f aca="false">SUMIFS(TK_IF_HoldEcon,TK_HdrGen,$D$8,TK_HdrCost,$D$10)*INP_023*INP_021*INP_114</f>
        <v>392.387027998106</v>
      </c>
      <c r="E192" s="10" t="n">
        <f aca="false">SUMIFS(TK_IF_HoldEcon,TK_HdrGen,$D$8,TK_HdrCost,$D$10)*INP_023*INP_021*INP_114</f>
        <v>392.387027998106</v>
      </c>
      <c r="F192" s="10" t="n">
        <f aca="false">SUMIFS(TK_IF_HoldEcon,TK_HdrGen,$D$8,TK_HdrCost,$D$10)*INP_023*INP_021*INP_114</f>
        <v>392.387027998106</v>
      </c>
      <c r="G192" s="10" t="n">
        <f aca="false">SUMIFS(TK_IF_HoldEcon,TK_HdrGen,$D$8,TK_HdrCost,$D$10)*INP_023*INP_021*INP_114</f>
        <v>392.387027998106</v>
      </c>
      <c r="H192" s="10" t="n">
        <f aca="false">SUMIFS(TK_IF_HoldEcon,TK_HdrGen,$D$8,TK_HdrCost,$D$10)*INP_023*INP_021*INP_114</f>
        <v>392.387027998106</v>
      </c>
      <c r="I192" s="10" t="n">
        <f aca="false">SUMIFS(TK_IF_HoldEcon,TK_HdrGen,$D$8,TK_HdrCost,$D$10)*INP_023*INP_021*INP_114</f>
        <v>392.387027998106</v>
      </c>
      <c r="K192" s="10" t="n">
        <f aca="false">SUMIFS(TK_IF_HoldEcon,TK_HdrGen,$D$8,TK_HdrCost,$D$10)*INP_023*INP_021*INP_114</f>
        <v>392.387027998106</v>
      </c>
      <c r="L192" s="10" t="n">
        <f aca="false">SUMIFS(TK_IF_HoldEcon,TK_HdrGen,$D$8,TK_HdrCost,$D$10)*INP_023*INP_021*INP_114</f>
        <v>392.387027998106</v>
      </c>
      <c r="M192" s="13" t="s">
        <v>6189</v>
      </c>
    </row>
    <row r="193" customFormat="false" ht="15" hidden="false" customHeight="false" outlineLevel="0" collapsed="false">
      <c r="A193" s="10" t="s">
        <v>6192</v>
      </c>
      <c r="B193" s="11" t="s">
        <v>6193</v>
      </c>
      <c r="C193" s="10" t="s">
        <v>5966</v>
      </c>
      <c r="D193" s="10" t="n">
        <f aca="false">SUMIFS(TK_IF_HoldEcon,TK_HdrGen,$D$8,TK_HdrCost,$D$10)*INP_023*INP_021*INP_115</f>
        <v>392.387027998106</v>
      </c>
      <c r="E193" s="10" t="n">
        <f aca="false">SUMIFS(TK_IF_HoldEcon,TK_HdrGen,$D$8,TK_HdrCost,$D$10)*INP_023*INP_021*INP_115</f>
        <v>392.387027998106</v>
      </c>
      <c r="F193" s="10" t="n">
        <f aca="false">SUMIFS(TK_IF_HoldEcon,TK_HdrGen,$D$8,TK_HdrCost,$D$10)*INP_023*INP_021*INP_115</f>
        <v>392.387027998106</v>
      </c>
      <c r="G193" s="10" t="n">
        <f aca="false">SUMIFS(TK_IF_HoldEcon,TK_HdrGen,$D$8,TK_HdrCost,$D$10)*INP_023*INP_021*INP_115</f>
        <v>392.387027998106</v>
      </c>
      <c r="H193" s="10" t="n">
        <f aca="false">SUMIFS(TK_IF_HoldEcon,TK_HdrGen,$D$8,TK_HdrCost,$D$10)*INP_023*INP_021*INP_115</f>
        <v>392.387027998106</v>
      </c>
      <c r="I193" s="10" t="n">
        <f aca="false">SUMIFS(TK_IF_HoldEcon,TK_HdrGen,$D$8,TK_HdrCost,$D$10)*INP_023*INP_021*INP_115</f>
        <v>392.387027998106</v>
      </c>
      <c r="K193" s="10" t="n">
        <f aca="false">SUMIFS(TK_IF_HoldEcon,TK_HdrGen,$D$8,TK_HdrCost,$D$10)*INP_023*INP_021*INP_115</f>
        <v>392.387027998106</v>
      </c>
      <c r="L193" s="10" t="n">
        <f aca="false">SUMIFS(TK_IF_HoldEcon,TK_HdrGen,$D$8,TK_HdrCost,$D$10)*INP_023*INP_021*INP_115</f>
        <v>392.387027998106</v>
      </c>
      <c r="M193" s="13" t="s">
        <v>6189</v>
      </c>
    </row>
    <row r="194" customFormat="false" ht="15" hidden="false" customHeight="false" outlineLevel="0" collapsed="false">
      <c r="A194" s="10" t="s">
        <v>6194</v>
      </c>
      <c r="B194" s="11" t="s">
        <v>6195</v>
      </c>
      <c r="C194" s="10" t="s">
        <v>5966</v>
      </c>
      <c r="D194" s="10" t="n">
        <f aca="false">D191*(1+INP_136)</f>
        <v>653.978379996844</v>
      </c>
      <c r="E194" s="10" t="n">
        <f aca="false">E191*(1+INP_136)</f>
        <v>653.978379996844</v>
      </c>
      <c r="F194" s="10" t="n">
        <f aca="false">F191*(1+INP_136)</f>
        <v>653.978379996844</v>
      </c>
      <c r="G194" s="10" t="n">
        <f aca="false">G191*(1+INP_136)</f>
        <v>653.978379996844</v>
      </c>
      <c r="H194" s="10" t="n">
        <f aca="false">H191*(1+INP_136)</f>
        <v>653.978379996844</v>
      </c>
      <c r="I194" s="10" t="n">
        <f aca="false">I191*(1+INP_136)</f>
        <v>653.978379996844</v>
      </c>
      <c r="K194" s="10" t="n">
        <f aca="false">K191*(1+INP_136)</f>
        <v>653.978379996844</v>
      </c>
      <c r="L194" s="10" t="n">
        <f aca="false">L191*(1+INP_136)</f>
        <v>653.978379996844</v>
      </c>
      <c r="M194" s="2" t="s">
        <v>6196</v>
      </c>
    </row>
    <row r="195" customFormat="false" ht="15" hidden="false" customHeight="false" outlineLevel="0" collapsed="false">
      <c r="A195" s="10" t="s">
        <v>6197</v>
      </c>
      <c r="B195" s="11" t="s">
        <v>6198</v>
      </c>
      <c r="C195" s="10" t="s">
        <v>5966</v>
      </c>
      <c r="D195" s="10" t="n">
        <f aca="false">D192*(1+INP_136)</f>
        <v>392.387027998106</v>
      </c>
      <c r="E195" s="10" t="n">
        <f aca="false">E192*(1+INP_136)</f>
        <v>392.387027998106</v>
      </c>
      <c r="F195" s="10" t="n">
        <f aca="false">F192*(1+INP_136)</f>
        <v>392.387027998106</v>
      </c>
      <c r="G195" s="10" t="n">
        <f aca="false">G192*(1+INP_136)</f>
        <v>392.387027998106</v>
      </c>
      <c r="H195" s="10" t="n">
        <f aca="false">H192*(1+INP_136)</f>
        <v>392.387027998106</v>
      </c>
      <c r="I195" s="10" t="n">
        <f aca="false">I192*(1+INP_136)</f>
        <v>392.387027998106</v>
      </c>
      <c r="K195" s="10" t="n">
        <f aca="false">K192*(1+INP_136)</f>
        <v>392.387027998106</v>
      </c>
      <c r="L195" s="10" t="n">
        <f aca="false">L192*(1+INP_136)</f>
        <v>392.387027998106</v>
      </c>
      <c r="M195" s="2" t="s">
        <v>6196</v>
      </c>
    </row>
    <row r="196" customFormat="false" ht="15" hidden="false" customHeight="false" outlineLevel="0" collapsed="false">
      <c r="A196" s="10" t="s">
        <v>6199</v>
      </c>
      <c r="B196" s="11" t="s">
        <v>6200</v>
      </c>
      <c r="C196" s="10" t="s">
        <v>5966</v>
      </c>
      <c r="D196" s="10" t="n">
        <f aca="false">D193*(1+INP_136)</f>
        <v>392.387027998106</v>
      </c>
      <c r="E196" s="10" t="n">
        <f aca="false">E193*(1+INP_136)</f>
        <v>392.387027998106</v>
      </c>
      <c r="F196" s="10" t="n">
        <f aca="false">F193*(1+INP_136)</f>
        <v>392.387027998106</v>
      </c>
      <c r="G196" s="10" t="n">
        <f aca="false">G193*(1+INP_136)</f>
        <v>392.387027998106</v>
      </c>
      <c r="H196" s="10" t="n">
        <f aca="false">H193*(1+INP_136)</f>
        <v>392.387027998106</v>
      </c>
      <c r="I196" s="10" t="n">
        <f aca="false">I193*(1+INP_136)</f>
        <v>392.387027998106</v>
      </c>
      <c r="K196" s="10" t="n">
        <f aca="false">K193*(1+INP_136)</f>
        <v>392.387027998106</v>
      </c>
      <c r="L196" s="10" t="n">
        <f aca="false">L193*(1+INP_136)</f>
        <v>392.387027998106</v>
      </c>
      <c r="M196" s="2" t="s">
        <v>6196</v>
      </c>
    </row>
    <row r="197" customFormat="false" ht="15" hidden="false" customHeight="false" outlineLevel="0" collapsed="false">
      <c r="A197" s="10" t="s">
        <v>6201</v>
      </c>
      <c r="B197" s="11" t="s">
        <v>6202</v>
      </c>
      <c r="C197" s="10" t="s">
        <v>5966</v>
      </c>
      <c r="D197" s="10" t="n">
        <f aca="false">D25*D188+D24*D189+D23*D190</f>
        <v>678.509987390425</v>
      </c>
      <c r="E197" s="10" t="n">
        <f aca="false">E25*E188+E24*E189+E23*E190</f>
        <v>562.279374647392</v>
      </c>
      <c r="F197" s="10" t="n">
        <f aca="false">F25*F188+F24*F189+F23*F190</f>
        <v>466.70344374005</v>
      </c>
      <c r="G197" s="10" t="n">
        <f aca="false">G25*G188+G24*G189+G23*G190</f>
        <v>399.580186898342</v>
      </c>
      <c r="H197" s="10" t="n">
        <f aca="false">H25*H188+H24*H189+H23*H190</f>
        <v>346.157914740933</v>
      </c>
      <c r="I197" s="10" t="n">
        <f aca="false">I25*I188+I24*I189+I23*I190</f>
        <v>307.093092288818</v>
      </c>
      <c r="K197" s="10" t="n">
        <f aca="false">K25*K188+K24*K189+K23*K190</f>
        <v>576.818357915396</v>
      </c>
      <c r="L197" s="10" t="n">
        <f aca="false">L25*L188+L24*L189+L23*L190</f>
        <v>547.977440019626</v>
      </c>
      <c r="M197" s="13" t="s">
        <v>6203</v>
      </c>
    </row>
    <row r="198" customFormat="false" ht="15" hidden="false" customHeight="false" outlineLevel="0" collapsed="false">
      <c r="A198" s="10" t="s">
        <v>6204</v>
      </c>
      <c r="B198" s="11" t="s">
        <v>6205</v>
      </c>
      <c r="C198" s="11" t="s">
        <v>6206</v>
      </c>
      <c r="F198" s="10" t="n">
        <f aca="false">(F194&gt;F188)+(F195&gt;F189)+(F196&gt;F190)</f>
        <v>0</v>
      </c>
      <c r="G198" s="10" t="n">
        <f aca="false">(G194&gt;G188)+(G195&gt;G189)+(G196&gt;G190)</f>
        <v>1</v>
      </c>
      <c r="H198" s="10" t="n">
        <f aca="false">(H194&gt;H188)+(H195&gt;H189)+(H196&gt;H190)</f>
        <v>2</v>
      </c>
      <c r="I198" s="10" t="n">
        <f aca="false">(I194&gt;I188)+(I195&gt;I189)+(I196&gt;I190)</f>
        <v>3</v>
      </c>
      <c r="L198" s="10" t="n">
        <f aca="false">(L194&gt;L188)+(L195&gt;L189)+(L196&gt;L190)</f>
        <v>0</v>
      </c>
      <c r="M198" s="13" t="s">
        <v>6207</v>
      </c>
    </row>
    <row r="199" customFormat="false" ht="15" hidden="false" customHeight="false" outlineLevel="0" collapsed="false">
      <c r="A199" s="10" t="s">
        <v>6208</v>
      </c>
      <c r="B199" s="11" t="s">
        <v>6209</v>
      </c>
      <c r="C199" s="10" t="s">
        <v>5966</v>
      </c>
      <c r="F199" s="10" t="n">
        <f aca="false">SUMIFS(TK_IF_OpexGW,TK_HdrGen,$D$8,TK_HdrCost,$D$10)*INP_115*INP_023*INP_021</f>
        <v>76.2148220986923</v>
      </c>
      <c r="G199" s="10" t="n">
        <f aca="false">SUMIFS(TK_IF_OpexGW,TK_HdrGen,$D$8,TK_HdrCost,$D$10)*INP_115*INP_023*INP_021</f>
        <v>76.2148220986923</v>
      </c>
      <c r="H199" s="10" t="n">
        <f aca="false">SUMIFS(TK_IF_OpexGW,TK_HdrGen,$D$8,TK_HdrCost,$D$10)*INP_115*INP_023*INP_021</f>
        <v>76.2148220986923</v>
      </c>
      <c r="I199" s="10" t="n">
        <f aca="false">SUMIFS(TK_IF_OpexGW,TK_HdrGen,$D$8,TK_HdrCost,$D$10)*INP_115*INP_023*INP_021</f>
        <v>76.2148220986923</v>
      </c>
      <c r="M199" s="13" t="s">
        <v>6210</v>
      </c>
    </row>
    <row r="200" customFormat="false" ht="15" hidden="false" customHeight="false" outlineLevel="0" collapsed="false">
      <c r="A200" s="10" t="s">
        <v>6211</v>
      </c>
      <c r="B200" s="11" t="s">
        <v>6212</v>
      </c>
      <c r="C200" s="10" t="s">
        <v>63</v>
      </c>
      <c r="F200" s="10" t="n">
        <f aca="false">F118*F199</f>
        <v>0</v>
      </c>
      <c r="G200" s="10" t="n">
        <f aca="false">G118*G199</f>
        <v>0</v>
      </c>
      <c r="H200" s="10" t="n">
        <f aca="false">H118*H199</f>
        <v>0</v>
      </c>
      <c r="I200" s="10" t="n">
        <f aca="false">I118*I199</f>
        <v>0</v>
      </c>
      <c r="M200" s="2" t="s">
        <v>6213</v>
      </c>
    </row>
    <row r="201" customFormat="false" ht="15" hidden="false" customHeight="false" outlineLevel="0" collapsed="false">
      <c r="A201" s="10" t="s">
        <v>6214</v>
      </c>
      <c r="B201" s="10" t="s">
        <v>6215</v>
      </c>
      <c r="C201" s="11" t="s">
        <v>2665</v>
      </c>
      <c r="F201" s="10" t="n">
        <f aca="false">SUMIFS(TK_IF_DeprLifeIT,TK_HdrGen,$D$8,TK_HdrCost,$D$10)</f>
        <v>6</v>
      </c>
      <c r="G201" s="10" t="n">
        <f aca="false">SUMIFS(TK_IF_DeprLifeIT,TK_HdrGen,$D$8,TK_HdrCost,$D$10)</f>
        <v>6</v>
      </c>
      <c r="H201" s="10" t="n">
        <f aca="false">SUMIFS(TK_IF_DeprLifeIT,TK_HdrGen,$D$8,TK_HdrCost,$D$10)</f>
        <v>6</v>
      </c>
      <c r="I201" s="10" t="n">
        <f aca="false">SUMIFS(TK_IF_DeprLifeIT,TK_HdrGen,$D$8,TK_HdrCost,$D$10)</f>
        <v>6</v>
      </c>
      <c r="M201" s="13" t="s">
        <v>6216</v>
      </c>
    </row>
    <row r="202" customFormat="false" ht="15" hidden="false" customHeight="false" outlineLevel="0" collapsed="false">
      <c r="A202" s="10" t="s">
        <v>6217</v>
      </c>
      <c r="B202" s="11" t="s">
        <v>6218</v>
      </c>
      <c r="C202" s="10" t="s">
        <v>63</v>
      </c>
      <c r="F202" s="10" t="n">
        <f aca="false">SUMPRODUCT(($F$6:$I$6&lt;F$6)*($F$117:$I$117))/F201</f>
        <v>0</v>
      </c>
      <c r="G202" s="10" t="n">
        <f aca="false">SUMPRODUCT(($F$6:$I$6&lt;G$6)*($F$117:$I$117))/G201</f>
        <v>0</v>
      </c>
      <c r="H202" s="10" t="n">
        <f aca="false">SUMPRODUCT(($F$6:$I$6&lt;H$6)*($F$117:$I$117))/H201</f>
        <v>0</v>
      </c>
      <c r="I202" s="10" t="n">
        <f aca="false">SUMPRODUCT(($F$6:$I$6&lt;I$6)*($F$117:$I$117))/I201</f>
        <v>0</v>
      </c>
      <c r="M202" s="2" t="s">
        <v>6219</v>
      </c>
    </row>
    <row r="203" customFormat="false" ht="15" hidden="false" customHeight="false" outlineLevel="0" collapsed="false">
      <c r="A203" s="15" t="s">
        <v>6220</v>
      </c>
    </row>
    <row r="204" customFormat="false" ht="15" hidden="false" customHeight="false" outlineLevel="0" collapsed="false">
      <c r="A204" s="10" t="s">
        <v>6221</v>
      </c>
      <c r="B204" s="11" t="s">
        <v>6222</v>
      </c>
      <c r="C204" s="10" t="s">
        <v>63</v>
      </c>
      <c r="D204" s="10" t="n">
        <f aca="false">SRC_ZP_613</f>
        <v>15.5283</v>
      </c>
      <c r="M204" s="13" t="s">
        <v>6223</v>
      </c>
    </row>
    <row r="205" customFormat="false" ht="15" hidden="false" customHeight="false" outlineLevel="0" collapsed="false">
      <c r="A205" s="10" t="s">
        <v>6224</v>
      </c>
      <c r="B205" s="11" t="s">
        <v>6225</v>
      </c>
      <c r="C205" s="10" t="s">
        <v>63</v>
      </c>
      <c r="D205" s="10" t="n">
        <f aca="false">SRC_ZP_669</f>
        <v>0.3017</v>
      </c>
      <c r="M205" s="13" t="s">
        <v>6226</v>
      </c>
    </row>
    <row r="206" customFormat="false" ht="15" hidden="false" customHeight="false" outlineLevel="0" collapsed="false">
      <c r="A206" s="10" t="s">
        <v>6227</v>
      </c>
      <c r="B206" s="11" t="s">
        <v>6228</v>
      </c>
      <c r="C206" s="10" t="s">
        <v>63</v>
      </c>
      <c r="D206" s="10" t="n">
        <f aca="false">SRC_ZP_720</f>
        <v>0.1284</v>
      </c>
      <c r="M206" s="13" t="s">
        <v>6223</v>
      </c>
    </row>
    <row r="207" customFormat="false" ht="15" hidden="false" customHeight="false" outlineLevel="0" collapsed="false">
      <c r="A207" s="10" t="s">
        <v>6229</v>
      </c>
      <c r="B207" s="11" t="s">
        <v>6230</v>
      </c>
      <c r="C207" s="10" t="s">
        <v>63</v>
      </c>
      <c r="D207" s="10" t="n">
        <f aca="false">SRC_ZP_740</f>
        <v>15.9584</v>
      </c>
      <c r="M207" s="13" t="s">
        <v>6231</v>
      </c>
    </row>
    <row r="208" customFormat="false" ht="15" hidden="false" customHeight="false" outlineLevel="0" collapsed="false">
      <c r="A208" s="10" t="s">
        <v>6232</v>
      </c>
      <c r="B208" s="11" t="s">
        <v>6233</v>
      </c>
      <c r="C208" s="11" t="s">
        <v>4720</v>
      </c>
      <c r="D208" s="10" t="n">
        <f aca="false">D205/D207</f>
        <v>0.0189054040505314</v>
      </c>
      <c r="M208" s="13" t="s">
        <v>6234</v>
      </c>
    </row>
    <row r="209" customFormat="false" ht="15" hidden="false" customHeight="false" outlineLevel="0" collapsed="false">
      <c r="A209" s="10" t="s">
        <v>6235</v>
      </c>
      <c r="B209" s="11" t="s">
        <v>6236</v>
      </c>
      <c r="C209" s="11" t="s">
        <v>4720</v>
      </c>
      <c r="D209" s="10" t="n">
        <f aca="false">SRC_ZP_638/INP_014</f>
        <v>0.707</v>
      </c>
      <c r="M209" s="13" t="s">
        <v>6237</v>
      </c>
    </row>
    <row r="210" customFormat="false" ht="15" hidden="false" customHeight="false" outlineLevel="0" collapsed="false">
      <c r="A210" s="10" t="s">
        <v>6238</v>
      </c>
      <c r="B210" s="11" t="s">
        <v>6239</v>
      </c>
      <c r="C210" s="10" t="s">
        <v>63</v>
      </c>
      <c r="D210" s="10" t="n">
        <f aca="false">SRC_ZP_615</f>
        <v>11.4512</v>
      </c>
      <c r="M210" s="13" t="s">
        <v>6223</v>
      </c>
    </row>
    <row r="211" customFormat="false" ht="15" hidden="false" customHeight="false" outlineLevel="0" collapsed="false">
      <c r="A211" s="10" t="s">
        <v>6240</v>
      </c>
      <c r="B211" s="11" t="s">
        <v>6241</v>
      </c>
      <c r="C211" s="10" t="s">
        <v>63</v>
      </c>
      <c r="D211" s="10" t="n">
        <f aca="false">SRC_ZP_671</f>
        <v>0.3584</v>
      </c>
      <c r="M211" s="13" t="s">
        <v>6226</v>
      </c>
    </row>
    <row r="212" customFormat="false" ht="15" hidden="false" customHeight="false" outlineLevel="0" collapsed="false">
      <c r="A212" s="10" t="s">
        <v>6242</v>
      </c>
      <c r="B212" s="11" t="s">
        <v>6243</v>
      </c>
      <c r="C212" s="10" t="s">
        <v>63</v>
      </c>
      <c r="D212" s="10" t="n">
        <f aca="false">SRC_ZP_722</f>
        <v>0.2056</v>
      </c>
      <c r="M212" s="13" t="s">
        <v>6223</v>
      </c>
    </row>
    <row r="213" customFormat="false" ht="15" hidden="false" customHeight="false" outlineLevel="0" collapsed="false">
      <c r="A213" s="10" t="s">
        <v>6244</v>
      </c>
      <c r="B213" s="11" t="s">
        <v>6245</v>
      </c>
      <c r="C213" s="10" t="s">
        <v>63</v>
      </c>
      <c r="D213" s="10" t="n">
        <f aca="false">SRC_ZP_742</f>
        <v>12.0153</v>
      </c>
      <c r="M213" s="13" t="s">
        <v>6231</v>
      </c>
    </row>
    <row r="214" customFormat="false" ht="15" hidden="false" customHeight="false" outlineLevel="0" collapsed="false">
      <c r="A214" s="10" t="s">
        <v>6246</v>
      </c>
      <c r="B214" s="11" t="s">
        <v>6247</v>
      </c>
      <c r="C214" s="11" t="s">
        <v>4720</v>
      </c>
      <c r="D214" s="10" t="n">
        <f aca="false">D211/D213</f>
        <v>0.0298286351568417</v>
      </c>
      <c r="M214" s="13" t="s">
        <v>6234</v>
      </c>
    </row>
    <row r="215" customFormat="false" ht="15" hidden="false" customHeight="false" outlineLevel="0" collapsed="false">
      <c r="A215" s="10" t="s">
        <v>6248</v>
      </c>
      <c r="B215" s="11" t="s">
        <v>6249</v>
      </c>
      <c r="C215" s="11" t="s">
        <v>4720</v>
      </c>
      <c r="D215" s="10" t="n">
        <f aca="false">SRC_ZP_640/INP_014</f>
        <v>0.718</v>
      </c>
      <c r="M215" s="13" t="s">
        <v>6237</v>
      </c>
    </row>
    <row r="216" customFormat="false" ht="15" hidden="false" customHeight="false" outlineLevel="0" collapsed="false">
      <c r="A216" s="10" t="s">
        <v>6250</v>
      </c>
      <c r="B216" s="11" t="s">
        <v>6251</v>
      </c>
      <c r="C216" s="10" t="s">
        <v>63</v>
      </c>
      <c r="D216" s="10" t="n">
        <f aca="false">D83*INP_103</f>
        <v>19.5491659384</v>
      </c>
      <c r="K216" s="10" t="n">
        <f aca="false">K83*INP_103</f>
        <v>14.6162674392</v>
      </c>
      <c r="M216" s="13" t="s">
        <v>6252</v>
      </c>
    </row>
    <row r="217" customFormat="false" ht="15" hidden="false" customHeight="false" outlineLevel="0" collapsed="false">
      <c r="A217" s="10" t="s">
        <v>6253</v>
      </c>
      <c r="B217" s="10" t="s">
        <v>6254</v>
      </c>
      <c r="C217" s="10" t="s">
        <v>4527</v>
      </c>
      <c r="D217" s="10" t="n">
        <f aca="false">D119-D65/INP_138</f>
        <v>0.0131885416989241</v>
      </c>
      <c r="K217" s="10" t="n">
        <f aca="false">K119-K65/INP_138</f>
        <v>-0.0899984643918742</v>
      </c>
      <c r="M217" s="2" t="s">
        <v>6255</v>
      </c>
    </row>
    <row r="218" customFormat="false" ht="15" hidden="false" customHeight="false" outlineLevel="0" collapsed="false">
      <c r="A218" s="10" t="s">
        <v>6256</v>
      </c>
      <c r="B218" s="10" t="s">
        <v>6257</v>
      </c>
      <c r="C218" s="11" t="s">
        <v>4720</v>
      </c>
      <c r="D218" s="10" t="n">
        <f aca="false">D217/D119</f>
        <v>0.367054654243541</v>
      </c>
      <c r="K218" s="10" t="n">
        <f aca="false">K217/K119</f>
        <v>-1.19597126891094</v>
      </c>
      <c r="M218" s="13" t="s">
        <v>6258</v>
      </c>
    </row>
    <row r="219" customFormat="false" ht="15" hidden="false" customHeight="false" outlineLevel="0" collapsed="false">
      <c r="A219" s="10" t="s">
        <v>6259</v>
      </c>
      <c r="B219" s="10" t="s">
        <v>6260</v>
      </c>
      <c r="C219" s="11" t="s">
        <v>6037</v>
      </c>
      <c r="D219" s="10" t="n">
        <f aca="false">(1-INP_139)*(D106&gt;INP_138)</f>
        <v>0</v>
      </c>
      <c r="K219" s="10" t="n">
        <f aca="false">(1-INP_139)*(K106&gt;INP_138)</f>
        <v>1</v>
      </c>
      <c r="M219" s="13" t="s">
        <v>6261</v>
      </c>
    </row>
    <row r="220" customFormat="false" ht="15" hidden="false" customHeight="false" outlineLevel="0" collapsed="false">
      <c r="A220" s="10" t="s">
        <v>6262</v>
      </c>
      <c r="B220" s="11" t="s">
        <v>6263</v>
      </c>
      <c r="C220" s="11" t="s">
        <v>1709</v>
      </c>
      <c r="D220" s="10" t="n">
        <f aca="false">D65/D105</f>
        <v>9.99533743889422</v>
      </c>
      <c r="K220" s="10" t="n">
        <f aca="false">K65/K105</f>
        <v>7.59566827681777</v>
      </c>
      <c r="M220" s="13" t="s">
        <v>6264</v>
      </c>
    </row>
    <row r="221" customFormat="false" ht="15" hidden="false" customHeight="false" outlineLevel="0" collapsed="false">
      <c r="A221" s="10" t="s">
        <v>6265</v>
      </c>
      <c r="B221" s="11" t="s">
        <v>6266</v>
      </c>
      <c r="C221" s="10" t="s">
        <v>4527</v>
      </c>
      <c r="D221" s="10" t="n">
        <f aca="false">D105</f>
        <v>0.00227527969917954</v>
      </c>
      <c r="K221" s="10" t="n">
        <f aca="false">K105</f>
        <v>0.0217557979461005</v>
      </c>
      <c r="M221" s="2"/>
    </row>
    <row r="222" customFormat="false" ht="15" hidden="false" customHeight="false" outlineLevel="0" collapsed="false">
      <c r="A222" s="10" t="s">
        <v>6267</v>
      </c>
      <c r="B222" s="11" t="s">
        <v>6268</v>
      </c>
      <c r="C222" s="10" t="s">
        <v>4527</v>
      </c>
      <c r="D222" s="10" t="n">
        <f aca="false">D119-D105</f>
        <v>0.0336554503609098</v>
      </c>
      <c r="K222" s="10" t="n">
        <f aca="false">K119-K105</f>
        <v>0.053495561958078</v>
      </c>
      <c r="M222" s="2" t="s">
        <v>6269</v>
      </c>
    </row>
    <row r="223" customFormat="false" ht="15" hidden="false" customHeight="false" outlineLevel="0" collapsed="false">
      <c r="A223" s="10" t="s">
        <v>6270</v>
      </c>
      <c r="B223" s="11" t="s">
        <v>6271</v>
      </c>
      <c r="C223" s="11" t="s">
        <v>4720</v>
      </c>
      <c r="D223" s="10" t="n">
        <f aca="false">D222/D119</f>
        <v>0.936675940194523</v>
      </c>
      <c r="K223" s="10" t="n">
        <f aca="false">K222/K119</f>
        <v>0.710891630745234</v>
      </c>
      <c r="M223" s="13" t="s">
        <v>6272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14"/>
    <col collapsed="false" customWidth="true" hidden="false" outlineLevel="0" max="9" min="4" style="0" width="12"/>
    <col collapsed="false" customWidth="true" hidden="false" outlineLevel="0" max="10" min="10" style="0" width="2"/>
    <col collapsed="false" customWidth="true" hidden="false" outlineLevel="0" max="12" min="11" style="0" width="12"/>
    <col collapsed="false" customWidth="true" hidden="false" outlineLevel="0" max="13" min="13" style="0" width="80"/>
  </cols>
  <sheetData>
    <row r="1" customFormat="false" ht="20.1" hidden="false" customHeight="false" outlineLevel="0" collapsed="false">
      <c r="A1" s="7" t="s">
        <v>6273</v>
      </c>
    </row>
    <row r="2" customFormat="false" ht="15" hidden="false" customHeight="false" outlineLevel="0" collapsed="false">
      <c r="A2" s="2" t="s">
        <v>6274</v>
      </c>
    </row>
    <row r="3" customFormat="false" ht="15" hidden="false" customHeight="false" outlineLevel="0" collapsed="false">
      <c r="A3" s="2" t="s">
        <v>6275</v>
      </c>
    </row>
    <row r="5" customFormat="false" ht="15" hidden="false" customHeight="false" outlineLevel="0" collapsed="false">
      <c r="A5" s="9" t="s">
        <v>5370</v>
      </c>
      <c r="B5" s="9" t="s">
        <v>39</v>
      </c>
      <c r="C5" s="9" t="s">
        <v>43</v>
      </c>
      <c r="D5" s="8" t="s">
        <v>4383</v>
      </c>
      <c r="E5" s="8" t="s">
        <v>1908</v>
      </c>
      <c r="F5" s="8" t="s">
        <v>4681</v>
      </c>
      <c r="G5" s="8" t="s">
        <v>4682</v>
      </c>
      <c r="H5" s="8" t="s">
        <v>4683</v>
      </c>
      <c r="I5" s="8" t="s">
        <v>4684</v>
      </c>
      <c r="J5" s="9"/>
      <c r="K5" s="8" t="s">
        <v>662</v>
      </c>
      <c r="L5" s="8" t="s">
        <v>4782</v>
      </c>
      <c r="M5" s="9" t="s">
        <v>4410</v>
      </c>
    </row>
    <row r="6" customFormat="false" ht="15" hidden="false" customHeight="false" outlineLevel="0" collapsed="false">
      <c r="B6" s="3" t="s">
        <v>5371</v>
      </c>
      <c r="D6" s="10" t="n">
        <f aca="false">INP_001</f>
        <v>2025</v>
      </c>
      <c r="E6" s="10" t="n">
        <f aca="false">INP_002</f>
        <v>2026</v>
      </c>
      <c r="F6" s="10" t="n">
        <f aca="false">INP_003</f>
        <v>2027</v>
      </c>
      <c r="G6" s="10" t="n">
        <f aca="false">INP_004</f>
        <v>2028</v>
      </c>
      <c r="H6" s="10" t="n">
        <f aca="false">INP_005</f>
        <v>2029</v>
      </c>
      <c r="I6" s="10" t="n">
        <f aca="false">INP_006</f>
        <v>2030</v>
      </c>
      <c r="K6" s="6" t="s">
        <v>5372</v>
      </c>
      <c r="L6" s="6" t="s">
        <v>5373</v>
      </c>
    </row>
    <row r="7" customFormat="false" ht="15" hidden="false" customHeight="false" outlineLevel="0" collapsed="false">
      <c r="A7" s="15" t="s">
        <v>6276</v>
      </c>
    </row>
    <row r="8" customFormat="false" ht="15" hidden="false" customHeight="false" outlineLevel="0" collapsed="false">
      <c r="A8" s="10" t="s">
        <v>6277</v>
      </c>
      <c r="B8" s="11" t="s">
        <v>6278</v>
      </c>
      <c r="C8" s="10" t="s">
        <v>63</v>
      </c>
      <c r="D8" s="16" t="n">
        <f aca="false">Compute!D80</f>
        <v>1.5438</v>
      </c>
      <c r="K8" s="16" t="n">
        <f aca="false">Compute!K80</f>
        <v>6.223</v>
      </c>
      <c r="M8" s="13" t="s">
        <v>6279</v>
      </c>
    </row>
    <row r="9" customFormat="false" ht="15" hidden="false" customHeight="false" outlineLevel="0" collapsed="false">
      <c r="A9" s="10" t="s">
        <v>6280</v>
      </c>
      <c r="B9" s="11" t="s">
        <v>6281</v>
      </c>
      <c r="C9" s="10" t="s">
        <v>63</v>
      </c>
      <c r="D9" s="16" t="n">
        <f aca="false">Compute!D84</f>
        <v>22.8355592</v>
      </c>
      <c r="K9" s="16" t="n">
        <f aca="false">Compute!K84</f>
        <v>15.3018006</v>
      </c>
      <c r="M9" s="13" t="s">
        <v>6282</v>
      </c>
    </row>
    <row r="10" customFormat="false" ht="15" hidden="false" customHeight="false" outlineLevel="0" collapsed="false">
      <c r="A10" s="10" t="s">
        <v>6283</v>
      </c>
      <c r="B10" s="11" t="s">
        <v>6284</v>
      </c>
      <c r="C10" s="10" t="s">
        <v>63</v>
      </c>
      <c r="D10" s="10" t="n">
        <f aca="false">D8+D9</f>
        <v>24.3793592</v>
      </c>
      <c r="E10" s="10" t="n">
        <f aca="false">K10+L10</f>
        <v>61.5818735951382</v>
      </c>
      <c r="F10" s="16" t="n">
        <f aca="false">Compute!F120*Compute!F102</f>
        <v>99.0884821078676</v>
      </c>
      <c r="G10" s="16" t="n">
        <f aca="false">Compute!G120*Compute!G102</f>
        <v>147.411349120259</v>
      </c>
      <c r="H10" s="16" t="n">
        <f aca="false">Compute!H120*Compute!H102</f>
        <v>229.762860812834</v>
      </c>
      <c r="I10" s="16" t="n">
        <f aca="false">Compute!I120*Compute!I102</f>
        <v>347.033542281038</v>
      </c>
      <c r="K10" s="10" t="n">
        <f aca="false">K8+K9</f>
        <v>21.5248006</v>
      </c>
      <c r="L10" s="16" t="n">
        <f aca="false">Compute!L120*(Compute!L102*INP_009/INP_007)</f>
        <v>40.0570729951382</v>
      </c>
      <c r="M10" s="13" t="s">
        <v>6285</v>
      </c>
    </row>
    <row r="11" customFormat="false" ht="15" hidden="false" customHeight="false" outlineLevel="0" collapsed="false">
      <c r="A11" s="10" t="s">
        <v>6286</v>
      </c>
      <c r="B11" s="11" t="s">
        <v>6287</v>
      </c>
      <c r="C11" s="10" t="s">
        <v>63</v>
      </c>
      <c r="F11" s="16" t="n">
        <f aca="false">Compute!F117</f>
        <v>0</v>
      </c>
      <c r="G11" s="16" t="n">
        <f aca="false">Compute!G117</f>
        <v>0</v>
      </c>
      <c r="H11" s="16" t="n">
        <f aca="false">Compute!H117</f>
        <v>0</v>
      </c>
      <c r="I11" s="16" t="n">
        <f aca="false">Compute!I117</f>
        <v>0</v>
      </c>
      <c r="M11" s="13" t="s">
        <v>6288</v>
      </c>
    </row>
    <row r="12" customFormat="false" ht="15" hidden="false" customHeight="false" outlineLevel="0" collapsed="false">
      <c r="A12" s="10" t="s">
        <v>6289</v>
      </c>
      <c r="B12" s="11" t="s">
        <v>6290</v>
      </c>
      <c r="C12" s="10" t="s">
        <v>63</v>
      </c>
      <c r="D12" s="10" t="n">
        <f aca="false">D10</f>
        <v>24.3793592</v>
      </c>
      <c r="E12" s="10" t="n">
        <f aca="false">K12+L12</f>
        <v>61.5818735951382</v>
      </c>
      <c r="F12" s="10" t="n">
        <f aca="false">F10+F11+F90</f>
        <v>99.0884821078676</v>
      </c>
      <c r="G12" s="10" t="n">
        <f aca="false">G10+G11+G90</f>
        <v>147.411349120259</v>
      </c>
      <c r="H12" s="10" t="n">
        <f aca="false">H10+H11+H90</f>
        <v>229.762860812834</v>
      </c>
      <c r="I12" s="10" t="n">
        <f aca="false">I10+I11+I90</f>
        <v>347.033542281038</v>
      </c>
      <c r="K12" s="10" t="n">
        <f aca="false">K10</f>
        <v>21.5248006</v>
      </c>
      <c r="L12" s="10" t="n">
        <f aca="false">L10</f>
        <v>40.0570729951382</v>
      </c>
      <c r="M12" s="2" t="s">
        <v>6291</v>
      </c>
    </row>
    <row r="13" customFormat="false" ht="15" hidden="false" customHeight="false" outlineLevel="0" collapsed="false">
      <c r="A13" s="10" t="s">
        <v>6292</v>
      </c>
      <c r="B13" s="11" t="s">
        <v>6293</v>
      </c>
      <c r="C13" s="10" t="s">
        <v>63</v>
      </c>
      <c r="D13" s="16" t="n">
        <f aca="false">IF(Compute!D119,D12*Compute!D124/Compute!D119,Compute!D119)</f>
        <v>15.4308019381649</v>
      </c>
      <c r="E13" s="10" t="n">
        <f aca="false">K13+L13</f>
        <v>40.3033164069371</v>
      </c>
      <c r="F13" s="16" t="n">
        <f aca="false">IF(Compute!F119,F12*Compute!F124/Compute!F119,Compute!F119)</f>
        <v>62.4257437279566</v>
      </c>
      <c r="G13" s="16" t="n">
        <f aca="false">IF(Compute!G119,G12*Compute!G124/Compute!G119,Compute!G119)</f>
        <v>92.8691499457631</v>
      </c>
      <c r="H13" s="16" t="n">
        <f aca="false">IF(Compute!H119,H12*Compute!H124/Compute!H119,Compute!H119)</f>
        <v>144.750602312086</v>
      </c>
      <c r="I13" s="16" t="n">
        <f aca="false">IF(Compute!I119,I12*Compute!I124/Compute!I119,Compute!I119)</f>
        <v>218.631131637054</v>
      </c>
      <c r="K13" s="16" t="n">
        <f aca="false">IF(Compute!K119,K12*Compute!K124/Compute!K119,Compute!K119)</f>
        <v>15.06736042</v>
      </c>
      <c r="L13" s="16" t="n">
        <f aca="false">IF(Compute!L119,L12*Compute!L124/Compute!L119,Compute!L119)</f>
        <v>25.2359559869371</v>
      </c>
      <c r="M13" s="2" t="s">
        <v>6294</v>
      </c>
    </row>
    <row r="14" customFormat="false" ht="15" hidden="false" customHeight="false" outlineLevel="0" collapsed="false">
      <c r="A14" s="10" t="s">
        <v>6295</v>
      </c>
      <c r="B14" s="11" t="s">
        <v>6296</v>
      </c>
      <c r="C14" s="10" t="s">
        <v>63</v>
      </c>
      <c r="D14" s="16" t="n">
        <f aca="false">IF(Compute!D119,D12*Compute!D127/Compute!D119,Compute!D119)</f>
        <v>8.9485572618351</v>
      </c>
      <c r="E14" s="10" t="n">
        <f aca="false">K14+L14</f>
        <v>17.2728498886873</v>
      </c>
      <c r="F14" s="16" t="n">
        <f aca="false">IF(Compute!F119,F12*Compute!F127/Compute!F119,Compute!F119)</f>
        <v>26.7538901691242</v>
      </c>
      <c r="G14" s="16" t="n">
        <f aca="false">IF(Compute!G119,G12*Compute!G127/Compute!G119,Compute!G119)</f>
        <v>39.8010642624699</v>
      </c>
      <c r="H14" s="16" t="n">
        <f aca="false">IF(Compute!H119,H12*Compute!H127/Compute!H119,Compute!H119)</f>
        <v>62.0359724194653</v>
      </c>
      <c r="I14" s="16" t="n">
        <f aca="false">IF(Compute!I119,I12*Compute!I127/Compute!I119,Compute!I119)</f>
        <v>93.6990564158802</v>
      </c>
      <c r="K14" s="16" t="n">
        <f aca="false">IF(Compute!K119,K12*Compute!K127/Compute!K119,Compute!K119)</f>
        <v>6.45744018</v>
      </c>
      <c r="L14" s="16" t="n">
        <f aca="false">IF(Compute!L119,L12*Compute!L127/Compute!L119,Compute!L119)</f>
        <v>10.8154097086873</v>
      </c>
      <c r="M14" s="2" t="s">
        <v>6294</v>
      </c>
    </row>
    <row r="15" customFormat="false" ht="15" hidden="false" customHeight="false" outlineLevel="0" collapsed="false">
      <c r="A15" s="10" t="s">
        <v>6297</v>
      </c>
      <c r="B15" s="11" t="s">
        <v>6298</v>
      </c>
      <c r="C15" s="10" t="s">
        <v>63</v>
      </c>
      <c r="D15" s="16" t="n">
        <f aca="false">IF(Compute!D119,D12*Compute!D121/Compute!D119,Compute!D119)</f>
        <v>0</v>
      </c>
      <c r="E15" s="10" t="n">
        <f aca="false">K15+L15</f>
        <v>4.00570729951382</v>
      </c>
      <c r="F15" s="16" t="n">
        <f aca="false">IF(Compute!F119,F12*Compute!F121/Compute!F119,Compute!F119)</f>
        <v>9.90884821078676</v>
      </c>
      <c r="G15" s="16" t="n">
        <f aca="false">IF(Compute!G119,G12*Compute!G121/Compute!G119,Compute!G119)</f>
        <v>14.7411349120259</v>
      </c>
      <c r="H15" s="16" t="n">
        <f aca="false">IF(Compute!H119,H12*Compute!H121/Compute!H119,Compute!H119)</f>
        <v>22.9762860812834</v>
      </c>
      <c r="I15" s="16" t="n">
        <f aca="false">IF(Compute!I119,I12*Compute!I121/Compute!I119,Compute!I119)</f>
        <v>34.7033542281038</v>
      </c>
      <c r="K15" s="16" t="n">
        <f aca="false">IF(Compute!K119,K12*Compute!K121/Compute!K119,Compute!K119)</f>
        <v>0</v>
      </c>
      <c r="L15" s="16" t="n">
        <f aca="false">IF(Compute!L119,L12*Compute!L121/Compute!L119,Compute!L119)</f>
        <v>4.00570729951382</v>
      </c>
      <c r="M15" s="2" t="s">
        <v>6294</v>
      </c>
    </row>
    <row r="16" customFormat="false" ht="15" hidden="false" customHeight="false" outlineLevel="0" collapsed="false">
      <c r="A16" s="10" t="s">
        <v>6299</v>
      </c>
      <c r="B16" s="11" t="s">
        <v>6300</v>
      </c>
      <c r="C16" s="10" t="s">
        <v>63</v>
      </c>
      <c r="D16" s="10" t="n">
        <f aca="false">D12-D8-D9</f>
        <v>0</v>
      </c>
      <c r="K16" s="10" t="n">
        <f aca="false">K12-K8-K9</f>
        <v>0</v>
      </c>
      <c r="M16" s="13" t="s">
        <v>6301</v>
      </c>
    </row>
    <row r="17" customFormat="false" ht="15" hidden="false" customHeight="false" outlineLevel="0" collapsed="false">
      <c r="A17" s="15" t="s">
        <v>6302</v>
      </c>
    </row>
    <row r="18" customFormat="false" ht="15" hidden="false" customHeight="false" outlineLevel="0" collapsed="false">
      <c r="A18" s="10" t="s">
        <v>6303</v>
      </c>
      <c r="B18" s="11" t="s">
        <v>6304</v>
      </c>
      <c r="C18" s="10" t="s">
        <v>5966</v>
      </c>
      <c r="D18" s="16" t="n">
        <f aca="false">Compute!D191</f>
        <v>653.978379996844</v>
      </c>
      <c r="E18" s="16" t="n">
        <f aca="false">Compute!E191</f>
        <v>653.978379996844</v>
      </c>
      <c r="F18" s="16" t="n">
        <f aca="false">Compute!F191</f>
        <v>653.978379996844</v>
      </c>
      <c r="G18" s="16" t="n">
        <f aca="false">Compute!G191</f>
        <v>653.978379996844</v>
      </c>
      <c r="H18" s="16" t="n">
        <f aca="false">Compute!H191</f>
        <v>653.978379996844</v>
      </c>
      <c r="I18" s="16" t="n">
        <f aca="false">Compute!I191</f>
        <v>653.978379996844</v>
      </c>
      <c r="K18" s="16" t="n">
        <f aca="false">Compute!K191</f>
        <v>653.978379996844</v>
      </c>
      <c r="L18" s="16" t="n">
        <f aca="false">Compute!L191</f>
        <v>653.978379996844</v>
      </c>
      <c r="M18" s="13" t="s">
        <v>6305</v>
      </c>
    </row>
    <row r="19" customFormat="false" ht="15" hidden="false" customHeight="false" outlineLevel="0" collapsed="false">
      <c r="A19" s="10" t="s">
        <v>6306</v>
      </c>
      <c r="B19" s="11" t="s">
        <v>6307</v>
      </c>
      <c r="C19" s="10" t="s">
        <v>5966</v>
      </c>
      <c r="D19" s="16" t="n">
        <f aca="false">Compute!D192</f>
        <v>392.387027998106</v>
      </c>
      <c r="E19" s="16" t="n">
        <f aca="false">Compute!E192</f>
        <v>392.387027998106</v>
      </c>
      <c r="F19" s="16" t="n">
        <f aca="false">Compute!F192</f>
        <v>392.387027998106</v>
      </c>
      <c r="G19" s="16" t="n">
        <f aca="false">Compute!G192</f>
        <v>392.387027998106</v>
      </c>
      <c r="H19" s="16" t="n">
        <f aca="false">Compute!H192</f>
        <v>392.387027998106</v>
      </c>
      <c r="I19" s="16" t="n">
        <f aca="false">Compute!I192</f>
        <v>392.387027998106</v>
      </c>
      <c r="K19" s="16" t="n">
        <f aca="false">Compute!K192</f>
        <v>392.387027998106</v>
      </c>
      <c r="L19" s="16" t="n">
        <f aca="false">Compute!L192</f>
        <v>392.387027998106</v>
      </c>
      <c r="M19" s="13" t="s">
        <v>6305</v>
      </c>
    </row>
    <row r="20" customFormat="false" ht="15" hidden="false" customHeight="false" outlineLevel="0" collapsed="false">
      <c r="A20" s="10" t="s">
        <v>6308</v>
      </c>
      <c r="B20" s="11" t="s">
        <v>6309</v>
      </c>
      <c r="C20" s="10" t="s">
        <v>5966</v>
      </c>
      <c r="D20" s="16" t="n">
        <f aca="false">Compute!D193</f>
        <v>392.387027998106</v>
      </c>
      <c r="E20" s="16" t="n">
        <f aca="false">Compute!E193</f>
        <v>392.387027998106</v>
      </c>
      <c r="F20" s="16" t="n">
        <f aca="false">Compute!F193</f>
        <v>392.387027998106</v>
      </c>
      <c r="G20" s="16" t="n">
        <f aca="false">Compute!G193</f>
        <v>392.387027998106</v>
      </c>
      <c r="H20" s="16" t="n">
        <f aca="false">Compute!H193</f>
        <v>392.387027998106</v>
      </c>
      <c r="I20" s="16" t="n">
        <f aca="false">Compute!I193</f>
        <v>392.387027998106</v>
      </c>
      <c r="K20" s="16" t="n">
        <f aca="false">Compute!K193</f>
        <v>392.387027998106</v>
      </c>
      <c r="L20" s="16" t="n">
        <f aca="false">Compute!L193</f>
        <v>392.387027998106</v>
      </c>
      <c r="M20" s="13" t="s">
        <v>6305</v>
      </c>
    </row>
    <row r="21" customFormat="false" ht="15" hidden="false" customHeight="false" outlineLevel="0" collapsed="false">
      <c r="A21" s="10" t="s">
        <v>6310</v>
      </c>
      <c r="B21" s="11" t="s">
        <v>6311</v>
      </c>
      <c r="C21" s="10" t="s">
        <v>5966</v>
      </c>
      <c r="D21" s="16" t="n">
        <f aca="false">Compute!D25*D18+Compute!D24*D19+Compute!D23*D20</f>
        <v>523.182703997475</v>
      </c>
      <c r="E21" s="16" t="n">
        <f aca="false">Compute!E25*E18+Compute!E24*E19+Compute!E23*E20</f>
        <v>457.784865997791</v>
      </c>
      <c r="F21" s="16" t="n">
        <f aca="false">Compute!F25*F18+Compute!F24*F19+Compute!F23*F20</f>
        <v>431.625730797917</v>
      </c>
      <c r="G21" s="16" t="n">
        <f aca="false">Compute!G25*G18+Compute!G24*G19+Compute!G23*G20</f>
        <v>418.54616319798</v>
      </c>
      <c r="H21" s="16" t="n">
        <f aca="false">Compute!H25*H18+Compute!H24*H19+Compute!H23*H20</f>
        <v>405.466595598043</v>
      </c>
      <c r="I21" s="16" t="n">
        <f aca="false">Compute!I25*I18+Compute!I24*I19+Compute!I23*I20</f>
        <v>405.466595598043</v>
      </c>
      <c r="K21" s="16" t="n">
        <f aca="false">Compute!K25*K18+Compute!K24*K19+Compute!K23*K20</f>
        <v>457.784865997791</v>
      </c>
      <c r="L21" s="16" t="n">
        <f aca="false">Compute!L25*L18+Compute!L24*L19+Compute!L23*L20</f>
        <v>457.784865997791</v>
      </c>
      <c r="M21" s="2"/>
    </row>
    <row r="22" customFormat="false" ht="15" hidden="false" customHeight="false" outlineLevel="0" collapsed="false">
      <c r="A22" s="10" t="s">
        <v>6312</v>
      </c>
      <c r="B22" s="11" t="s">
        <v>6313</v>
      </c>
      <c r="C22" s="10" t="s">
        <v>63</v>
      </c>
      <c r="D22" s="16" t="n">
        <f aca="false">Compute!D120*D21</f>
        <v>18.7983365094409</v>
      </c>
      <c r="E22" s="10" t="n">
        <f aca="false">K22+L22</f>
        <v>50.546904545443</v>
      </c>
      <c r="F22" s="16" t="n">
        <f aca="false">Compute!F120*F21</f>
        <v>91.6409318961158</v>
      </c>
      <c r="G22" s="16" t="n">
        <f aca="false">Compute!G120*G21</f>
        <v>145.663904420671</v>
      </c>
      <c r="H22" s="16" t="n">
        <f aca="false">Compute!H120*H21</f>
        <v>228.797076454637</v>
      </c>
      <c r="I22" s="16" t="n">
        <f aca="false">Compute!I120*I21</f>
        <v>347.033542281038</v>
      </c>
      <c r="K22" s="16" t="n">
        <f aca="false">Compute!K120*(K21*INP_008/INP_007)</f>
        <v>17.0828958944914</v>
      </c>
      <c r="L22" s="16" t="n">
        <f aca="false">Compute!L120*(L21*INP_009/INP_007)</f>
        <v>33.4640086509516</v>
      </c>
      <c r="M22" s="2"/>
    </row>
    <row r="23" customFormat="false" ht="15" hidden="false" customHeight="false" outlineLevel="0" collapsed="false">
      <c r="A23" s="10" t="s">
        <v>6314</v>
      </c>
      <c r="B23" s="11" t="s">
        <v>6315</v>
      </c>
      <c r="C23" s="10" t="s">
        <v>63</v>
      </c>
      <c r="D23" s="10" t="n">
        <f aca="false">D10-D22</f>
        <v>5.58102269055909</v>
      </c>
      <c r="E23" s="10" t="n">
        <f aca="false">E10-E22</f>
        <v>11.0349690496953</v>
      </c>
      <c r="F23" s="10" t="n">
        <f aca="false">F10-F22</f>
        <v>7.44755021175175</v>
      </c>
      <c r="G23" s="10" t="n">
        <f aca="false">G10-G22</f>
        <v>1.74744469958753</v>
      </c>
      <c r="H23" s="10" t="n">
        <f aca="false">H10-H22</f>
        <v>0.965784358197311</v>
      </c>
      <c r="I23" s="10" t="n">
        <f aca="false">I10-I22</f>
        <v>0</v>
      </c>
      <c r="K23" s="10" t="n">
        <f aca="false">K10-K22</f>
        <v>4.44190470550864</v>
      </c>
      <c r="L23" s="10" t="n">
        <f aca="false">L10-L22</f>
        <v>6.59306434418664</v>
      </c>
      <c r="M23" s="2"/>
    </row>
    <row r="24" customFormat="false" ht="15" hidden="false" customHeight="false" outlineLevel="0" collapsed="false">
      <c r="A24" s="10" t="s">
        <v>6316</v>
      </c>
      <c r="B24" s="11" t="s">
        <v>6317</v>
      </c>
      <c r="C24" s="11" t="s">
        <v>4720</v>
      </c>
      <c r="D24" s="10" t="n">
        <f aca="false">IF(D10,D23/D10,D10)</f>
        <v>0.228924092908853</v>
      </c>
      <c r="E24" s="10" t="n">
        <f aca="false">IF(E10,E23/E10,E10)</f>
        <v>0.179191836907126</v>
      </c>
      <c r="F24" s="10" t="n">
        <f aca="false">IF(F10,F23/F10,F10)</f>
        <v>0.0751606044751433</v>
      </c>
      <c r="G24" s="10" t="n">
        <f aca="false">IF(G10,G23/G10,G10)</f>
        <v>0.0118542073593123</v>
      </c>
      <c r="H24" s="10" t="n">
        <f aca="false">IF(H10,H23/H10,H10)</f>
        <v>0.00420339629642774</v>
      </c>
      <c r="I24" s="10" t="n">
        <f aca="false">IF(I10,I23/I10,I10)</f>
        <v>0</v>
      </c>
      <c r="K24" s="10" t="n">
        <f aca="false">IF(K10,K23/K10,K10)</f>
        <v>0.206362176730624</v>
      </c>
      <c r="L24" s="10" t="n">
        <f aca="false">IF(L10,L23/L10,L10)</f>
        <v>0.164591764979604</v>
      </c>
      <c r="M24" s="2" t="s">
        <v>6318</v>
      </c>
    </row>
    <row r="25" customFormat="false" ht="15" hidden="false" customHeight="false" outlineLevel="0" collapsed="false">
      <c r="A25" s="15" t="s">
        <v>6319</v>
      </c>
    </row>
    <row r="26" customFormat="false" ht="15" hidden="false" customHeight="false" outlineLevel="0" collapsed="false">
      <c r="A26" s="10" t="s">
        <v>6320</v>
      </c>
      <c r="B26" s="11" t="s">
        <v>767</v>
      </c>
      <c r="C26" s="10" t="s">
        <v>63</v>
      </c>
      <c r="D26" s="10" t="n">
        <f aca="false">SRC_ZP_198</f>
        <v>2.733</v>
      </c>
      <c r="K26" s="10" t="n">
        <f aca="false">SRC_ZP_196</f>
        <v>0.7998</v>
      </c>
      <c r="M26" s="13" t="s">
        <v>6321</v>
      </c>
    </row>
    <row r="27" customFormat="false" ht="15" hidden="false" customHeight="false" outlineLevel="0" collapsed="false">
      <c r="A27" s="10" t="s">
        <v>6322</v>
      </c>
      <c r="B27" s="11" t="s">
        <v>6323</v>
      </c>
      <c r="C27" s="11" t="s">
        <v>4720</v>
      </c>
      <c r="D27" s="16" t="n">
        <f aca="false">D26/Revenue!D52</f>
        <v>0.51184567843431</v>
      </c>
      <c r="K27" s="16" t="n">
        <f aca="false">K26/Revenue!K52</f>
        <v>0.621348663766315</v>
      </c>
      <c r="M27" s="13" t="s">
        <v>6324</v>
      </c>
    </row>
    <row r="28" customFormat="false" ht="15" hidden="false" customHeight="false" outlineLevel="0" collapsed="false">
      <c r="A28" s="10" t="s">
        <v>6325</v>
      </c>
      <c r="B28" s="11" t="s">
        <v>6326</v>
      </c>
      <c r="C28" s="10" t="s">
        <v>63</v>
      </c>
      <c r="D28" s="10" t="n">
        <f aca="false">D26</f>
        <v>2.733</v>
      </c>
      <c r="E28" s="10" t="n">
        <f aca="false">K28+L28</f>
        <v>3.11233545680547</v>
      </c>
      <c r="F28" s="16" t="n">
        <f aca="false">Revenue!F52*$K$27</f>
        <v>3.11233545680547</v>
      </c>
      <c r="G28" s="16" t="n">
        <f aca="false">Revenue!G52*$K$27</f>
        <v>3.11233545680547</v>
      </c>
      <c r="H28" s="16" t="n">
        <f aca="false">Revenue!H52*$K$27</f>
        <v>3.11233545680547</v>
      </c>
      <c r="I28" s="16" t="n">
        <f aca="false">Revenue!I52*$K$27</f>
        <v>3.11233545680547</v>
      </c>
      <c r="K28" s="10" t="n">
        <f aca="false">K26</f>
        <v>0.7998</v>
      </c>
      <c r="L28" s="16" t="n">
        <f aca="false">Revenue!L52*$K$27</f>
        <v>2.31253545680547</v>
      </c>
      <c r="M28" s="2"/>
    </row>
    <row r="29" customFormat="false" ht="15" hidden="false" customHeight="false" outlineLevel="0" collapsed="false">
      <c r="A29" s="15" t="s">
        <v>6327</v>
      </c>
    </row>
    <row r="30" customFormat="false" ht="15" hidden="false" customHeight="false" outlineLevel="0" collapsed="false">
      <c r="A30" s="10" t="s">
        <v>6328</v>
      </c>
      <c r="B30" s="11" t="s">
        <v>489</v>
      </c>
      <c r="C30" s="10" t="s">
        <v>63</v>
      </c>
      <c r="D30" s="10" t="n">
        <f aca="false">SRC_ZP_123</f>
        <v>4.2768</v>
      </c>
      <c r="K30" s="10" t="n">
        <f aca="false">SRC_ZP_182</f>
        <v>7.0228</v>
      </c>
      <c r="M30" s="13" t="s">
        <v>6329</v>
      </c>
    </row>
    <row r="31" customFormat="false" ht="15" hidden="false" customHeight="false" outlineLevel="0" collapsed="false">
      <c r="A31" s="10" t="s">
        <v>6330</v>
      </c>
      <c r="B31" s="11" t="s">
        <v>224</v>
      </c>
      <c r="C31" s="10" t="s">
        <v>63</v>
      </c>
      <c r="D31" s="10" t="n">
        <f aca="false">SRC_ZP_139</f>
        <v>31.8044</v>
      </c>
      <c r="K31" s="10" t="n">
        <f aca="false">SRC_ZP_199</f>
        <v>21.3117</v>
      </c>
      <c r="M31" s="13" t="s">
        <v>5916</v>
      </c>
    </row>
    <row r="32" customFormat="false" ht="15" hidden="false" customHeight="false" outlineLevel="0" collapsed="false">
      <c r="A32" s="10" t="s">
        <v>6331</v>
      </c>
      <c r="B32" s="11" t="s">
        <v>240</v>
      </c>
      <c r="C32" s="10" t="s">
        <v>63</v>
      </c>
      <c r="D32" s="10" t="n">
        <f aca="false">SRC_ZP_140</f>
        <v>3.9087</v>
      </c>
      <c r="K32" s="10" t="n">
        <f aca="false">SRC_ZP_200</f>
        <v>1.7767</v>
      </c>
      <c r="M32" s="13" t="s">
        <v>6332</v>
      </c>
    </row>
    <row r="33" customFormat="false" ht="15" hidden="false" customHeight="false" outlineLevel="0" collapsed="false">
      <c r="A33" s="10" t="s">
        <v>6333</v>
      </c>
      <c r="B33" s="11" t="s">
        <v>256</v>
      </c>
      <c r="C33" s="10" t="s">
        <v>63</v>
      </c>
      <c r="D33" s="10" t="n">
        <f aca="false">SRC_ZP_141</f>
        <v>5.0536</v>
      </c>
      <c r="K33" s="10" t="n">
        <f aca="false">SRC_ZP_201</f>
        <v>1.0335</v>
      </c>
      <c r="M33" s="13" t="s">
        <v>6334</v>
      </c>
    </row>
    <row r="34" customFormat="false" ht="15" hidden="false" customHeight="false" outlineLevel="0" collapsed="false">
      <c r="A34" s="10" t="s">
        <v>6335</v>
      </c>
      <c r="B34" s="11" t="s">
        <v>6336</v>
      </c>
      <c r="C34" s="10" t="s">
        <v>63</v>
      </c>
      <c r="D34" s="10" t="n">
        <f aca="false">D30+D31+D32+D33</f>
        <v>45.0435</v>
      </c>
      <c r="K34" s="10" t="n">
        <f aca="false">K30+K31+K32+K33</f>
        <v>31.1447</v>
      </c>
      <c r="M34" s="2"/>
    </row>
    <row r="35" customFormat="false" ht="15" hidden="false" customHeight="false" outlineLevel="0" collapsed="false">
      <c r="A35" s="10" t="s">
        <v>6337</v>
      </c>
      <c r="B35" s="11" t="s">
        <v>6338</v>
      </c>
      <c r="C35" s="10" t="s">
        <v>63</v>
      </c>
      <c r="D35" s="10" t="n">
        <f aca="false">SRC_ZP_142</f>
        <v>5.5827</v>
      </c>
      <c r="K35" s="10" t="n">
        <f aca="false">SRC_ZP_202</f>
        <v>0.8576</v>
      </c>
      <c r="M35" s="13" t="s">
        <v>5919</v>
      </c>
    </row>
    <row r="36" customFormat="false" ht="15" hidden="false" customHeight="false" outlineLevel="0" collapsed="false">
      <c r="A36" s="10" t="s">
        <v>6339</v>
      </c>
      <c r="B36" s="11" t="s">
        <v>6340</v>
      </c>
      <c r="C36" s="10" t="s">
        <v>63</v>
      </c>
      <c r="D36" s="10" t="n">
        <f aca="false">D34-D12-D28-D35</f>
        <v>12.3484408</v>
      </c>
      <c r="K36" s="10" t="n">
        <f aca="false">K34-K12-K28-K35</f>
        <v>7.9624994</v>
      </c>
      <c r="M36" s="2" t="s">
        <v>6341</v>
      </c>
    </row>
    <row r="37" customFormat="false" ht="15" hidden="false" customHeight="false" outlineLevel="0" collapsed="false">
      <c r="A37" s="10" t="s">
        <v>6342</v>
      </c>
      <c r="B37" s="11" t="s">
        <v>6343</v>
      </c>
      <c r="C37" s="11" t="s">
        <v>439</v>
      </c>
      <c r="D37" s="10" t="n">
        <f aca="false">AVERAGE(SRC_ZP_844,SRC_ZP_162)</f>
        <v>988.5</v>
      </c>
      <c r="E37" s="10" t="n">
        <f aca="false">(K37+L37)/INP_013</f>
        <v>1037.5</v>
      </c>
      <c r="F37" s="10" t="n">
        <f aca="false">E37*(1+INP_117)</f>
        <v>1141.25</v>
      </c>
      <c r="G37" s="10" t="n">
        <f aca="false">F37*(1+INP_117)</f>
        <v>1255.375</v>
      </c>
      <c r="H37" s="10" t="n">
        <f aca="false">G37*(1+INP_117)</f>
        <v>1380.9125</v>
      </c>
      <c r="I37" s="10" t="n">
        <f aca="false">H37*(1+INP_117)</f>
        <v>1519.00375</v>
      </c>
      <c r="K37" s="10" t="n">
        <f aca="false">AVERAGE(SRC_ZP_162,SRC_ZP_222)</f>
        <v>1037.5</v>
      </c>
      <c r="L37" s="10" t="n">
        <f aca="false">K37*(1+INP_116)</f>
        <v>1037.5</v>
      </c>
      <c r="M37" s="13" t="s">
        <v>6344</v>
      </c>
    </row>
    <row r="38" customFormat="false" ht="15" hidden="false" customHeight="false" outlineLevel="0" collapsed="false">
      <c r="A38" s="10" t="s">
        <v>6345</v>
      </c>
      <c r="B38" s="11" t="s">
        <v>6346</v>
      </c>
      <c r="C38" s="10" t="s">
        <v>6347</v>
      </c>
      <c r="D38" s="10" t="n">
        <f aca="false">D36/D37</f>
        <v>0.0124920999494183</v>
      </c>
      <c r="E38" s="10" t="n">
        <f aca="false">(K38*INP_008+L38*INP_009)/INP_007</f>
        <v>0.0155936299239513</v>
      </c>
      <c r="F38" s="10" t="n">
        <f aca="false">E38*(1+INP_118)</f>
        <v>0.0160614388216698</v>
      </c>
      <c r="G38" s="10" t="n">
        <f aca="false">F38*(1+INP_118)</f>
        <v>0.0165432819863199</v>
      </c>
      <c r="H38" s="10" t="n">
        <f aca="false">G38*(1+INP_118)</f>
        <v>0.0170395804459095</v>
      </c>
      <c r="I38" s="10" t="n">
        <f aca="false">H38*(1+INP_118)</f>
        <v>0.0175507678592868</v>
      </c>
      <c r="K38" s="10" t="n">
        <f aca="false">K36/(K37*INP_008/INP_007)</f>
        <v>0.0154766013765559</v>
      </c>
      <c r="L38" s="10" t="n">
        <f aca="false">K38*(1+INP_118/INP_013)</f>
        <v>0.0157087503972043</v>
      </c>
      <c r="M38" s="2" t="s">
        <v>6348</v>
      </c>
    </row>
    <row r="39" customFormat="false" ht="15" hidden="false" customHeight="false" outlineLevel="0" collapsed="false">
      <c r="A39" s="10" t="s">
        <v>6349</v>
      </c>
      <c r="B39" s="11" t="s">
        <v>6350</v>
      </c>
      <c r="C39" s="10" t="s">
        <v>6347</v>
      </c>
      <c r="D39" s="10" t="n">
        <f aca="false">D35/D37</f>
        <v>0.00564764795144158</v>
      </c>
      <c r="E39" s="10" t="n">
        <f aca="false">(K39*INP_008+L39*INP_009)/INP_007</f>
        <v>0.00166690541170206</v>
      </c>
      <c r="F39" s="10" t="n">
        <f aca="false">E39*(1+INP_119)</f>
        <v>0.00166690541170206</v>
      </c>
      <c r="G39" s="10" t="n">
        <f aca="false">F39*(1+INP_119)</f>
        <v>0.00166690541170206</v>
      </c>
      <c r="H39" s="10" t="n">
        <f aca="false">G39*(1+INP_119)</f>
        <v>0.00166690541170206</v>
      </c>
      <c r="I39" s="10" t="n">
        <f aca="false">H39*(1+INP_119)</f>
        <v>0.00166690541170206</v>
      </c>
      <c r="K39" s="10" t="n">
        <f aca="false">K35/(K37*INP_008/INP_007)</f>
        <v>0.00166690541170206</v>
      </c>
      <c r="L39" s="10" t="n">
        <f aca="false">K39*(1+INP_119/INP_013)</f>
        <v>0.00166690541170206</v>
      </c>
      <c r="M39" s="13" t="s">
        <v>6351</v>
      </c>
    </row>
    <row r="40" customFormat="false" ht="15" hidden="false" customHeight="false" outlineLevel="0" collapsed="false">
      <c r="A40" s="10" t="s">
        <v>6352</v>
      </c>
      <c r="B40" s="11" t="s">
        <v>6353</v>
      </c>
      <c r="C40" s="10" t="s">
        <v>63</v>
      </c>
      <c r="D40" s="10" t="n">
        <f aca="false">D36</f>
        <v>12.3484408</v>
      </c>
      <c r="E40" s="10" t="n">
        <f aca="false">K40+L40</f>
        <v>16.1783910460994</v>
      </c>
      <c r="F40" s="10" t="n">
        <f aca="false">F37*F38</f>
        <v>18.3301170552307</v>
      </c>
      <c r="G40" s="10" t="n">
        <f aca="false">G37*G38</f>
        <v>20.7680226235764</v>
      </c>
      <c r="H40" s="10" t="n">
        <f aca="false">H37*H38</f>
        <v>23.530169632512</v>
      </c>
      <c r="I40" s="10" t="n">
        <f aca="false">I37*I38</f>
        <v>26.6596821936361</v>
      </c>
      <c r="K40" s="10" t="n">
        <f aca="false">K36</f>
        <v>7.9624994</v>
      </c>
      <c r="L40" s="10" t="n">
        <f aca="false">L37*(L38*INP_009/INP_007)</f>
        <v>8.21589164609945</v>
      </c>
      <c r="M40" s="2" t="s">
        <v>6354</v>
      </c>
    </row>
    <row r="41" customFormat="false" ht="15" hidden="false" customHeight="false" outlineLevel="0" collapsed="false">
      <c r="A41" s="10" t="s">
        <v>6355</v>
      </c>
      <c r="B41" s="11" t="s">
        <v>6356</v>
      </c>
      <c r="C41" s="10" t="s">
        <v>63</v>
      </c>
      <c r="D41" s="10" t="n">
        <f aca="false">D35</f>
        <v>5.5827</v>
      </c>
      <c r="E41" s="10" t="n">
        <f aca="false">K41+L41</f>
        <v>1.72941436464088</v>
      </c>
      <c r="F41" s="10" t="n">
        <f aca="false">F37*F39</f>
        <v>1.90235580110497</v>
      </c>
      <c r="G41" s="10" t="n">
        <f aca="false">G37*G39</f>
        <v>2.09259138121547</v>
      </c>
      <c r="H41" s="10" t="n">
        <f aca="false">H37*H39</f>
        <v>2.30185051933702</v>
      </c>
      <c r="I41" s="10" t="n">
        <f aca="false">I37*I39</f>
        <v>2.53203557127072</v>
      </c>
      <c r="K41" s="10" t="n">
        <f aca="false">K35</f>
        <v>0.8576</v>
      </c>
      <c r="L41" s="10" t="n">
        <f aca="false">L37*(L39*INP_009/INP_007)</f>
        <v>0.871814364640884</v>
      </c>
      <c r="M41" s="2" t="s">
        <v>6357</v>
      </c>
    </row>
    <row r="42" customFormat="false" ht="15" hidden="false" customHeight="false" outlineLevel="0" collapsed="false">
      <c r="A42" s="15" t="s">
        <v>6358</v>
      </c>
    </row>
    <row r="43" customFormat="false" ht="15" hidden="false" customHeight="false" outlineLevel="0" collapsed="false">
      <c r="A43" s="10" t="s">
        <v>6359</v>
      </c>
      <c r="B43" s="11" t="s">
        <v>6360</v>
      </c>
      <c r="C43" s="10" t="s">
        <v>63</v>
      </c>
      <c r="D43" s="10" t="n">
        <f aca="false">D12+D28+D40+D41</f>
        <v>45.0435</v>
      </c>
      <c r="E43" s="10" t="n">
        <f aca="false">E12+E28+E40+E41</f>
        <v>82.6020144626841</v>
      </c>
      <c r="F43" s="10" t="n">
        <f aca="false">F12+F28+F40+F41</f>
        <v>122.433290421009</v>
      </c>
      <c r="G43" s="10" t="n">
        <f aca="false">G12+G28+G40+G41</f>
        <v>173.384298581856</v>
      </c>
      <c r="H43" s="10" t="n">
        <f aca="false">H12+H28+H40+H41</f>
        <v>258.707216421489</v>
      </c>
      <c r="I43" s="10" t="n">
        <f aca="false">I12+I28+I40+I41</f>
        <v>379.33759550275</v>
      </c>
      <c r="K43" s="10" t="n">
        <f aca="false">K12+K28+K40+K41</f>
        <v>31.1447</v>
      </c>
      <c r="L43" s="10" t="n">
        <f aca="false">L12+L28+L40+L41</f>
        <v>51.457314462684</v>
      </c>
      <c r="M43" s="2"/>
    </row>
    <row r="44" customFormat="false" ht="15" hidden="false" customHeight="false" outlineLevel="0" collapsed="false">
      <c r="A44" s="10" t="s">
        <v>6361</v>
      </c>
      <c r="B44" s="11" t="s">
        <v>6362</v>
      </c>
      <c r="C44" s="10" t="s">
        <v>63</v>
      </c>
      <c r="D44" s="10" t="n">
        <f aca="false">D43-D41</f>
        <v>39.4608</v>
      </c>
      <c r="E44" s="10" t="n">
        <f aca="false">E43-E41</f>
        <v>80.8726000980432</v>
      </c>
      <c r="F44" s="10" t="n">
        <f aca="false">F43-F41</f>
        <v>120.530934619904</v>
      </c>
      <c r="G44" s="10" t="n">
        <f aca="false">G43-G41</f>
        <v>171.291707200641</v>
      </c>
      <c r="H44" s="10" t="n">
        <f aca="false">H43-H41</f>
        <v>256.405365902152</v>
      </c>
      <c r="I44" s="10" t="n">
        <f aca="false">I43-I41</f>
        <v>376.805559931479</v>
      </c>
      <c r="K44" s="10" t="n">
        <f aca="false">K43-K41</f>
        <v>30.2871</v>
      </c>
      <c r="L44" s="10" t="n">
        <f aca="false">L43-L41</f>
        <v>50.5855000980432</v>
      </c>
      <c r="M44" s="2"/>
    </row>
    <row r="45" customFormat="false" ht="15" hidden="false" customHeight="false" outlineLevel="0" collapsed="false">
      <c r="A45" s="10" t="s">
        <v>6363</v>
      </c>
      <c r="B45" s="11" t="s">
        <v>6364</v>
      </c>
      <c r="C45" s="10" t="s">
        <v>63</v>
      </c>
      <c r="D45" s="10" t="n">
        <f aca="false">D43-D34</f>
        <v>0</v>
      </c>
      <c r="K45" s="10" t="n">
        <f aca="false">K43-K34</f>
        <v>0</v>
      </c>
      <c r="M45" s="2" t="s">
        <v>6365</v>
      </c>
    </row>
    <row r="46" customFormat="false" ht="15" hidden="false" customHeight="false" outlineLevel="0" collapsed="false">
      <c r="A46" s="10" t="s">
        <v>6366</v>
      </c>
      <c r="B46" s="11" t="s">
        <v>5610</v>
      </c>
      <c r="C46" s="10" t="s">
        <v>63</v>
      </c>
      <c r="D46" s="16" t="n">
        <f aca="false">Revenue!D59</f>
        <v>7.2433</v>
      </c>
      <c r="E46" s="16" t="n">
        <f aca="false">Revenue!E59</f>
        <v>40.4193747158106</v>
      </c>
      <c r="F46" s="16" t="n">
        <f aca="false">Revenue!F59</f>
        <v>80.2764384371044</v>
      </c>
      <c r="G46" s="16" t="n">
        <f aca="false">Revenue!G59</f>
        <v>131.465536042481</v>
      </c>
      <c r="H46" s="16" t="n">
        <f aca="false">Revenue!H59</f>
        <v>197.688557668085</v>
      </c>
      <c r="I46" s="16" t="n">
        <f aca="false">Revenue!I59</f>
        <v>278.419186089535</v>
      </c>
      <c r="M46" s="13" t="s">
        <v>4688</v>
      </c>
    </row>
    <row r="47" customFormat="false" ht="15" hidden="false" customHeight="false" outlineLevel="0" collapsed="false">
      <c r="A47" s="10" t="s">
        <v>6367</v>
      </c>
      <c r="B47" s="11" t="s">
        <v>6368</v>
      </c>
      <c r="C47" s="10" t="s">
        <v>63</v>
      </c>
      <c r="D47" s="16" t="n">
        <f aca="false">Revenue!D56*Revenue!D57</f>
        <v>1.9038</v>
      </c>
      <c r="E47" s="16" t="n">
        <f aca="false">Revenue!E56*Revenue!E57</f>
        <v>35.4103747158106</v>
      </c>
      <c r="F47" s="16" t="n">
        <f aca="false">Revenue!F56*Revenue!F57</f>
        <v>75.2674384371044</v>
      </c>
      <c r="G47" s="16" t="n">
        <f aca="false">Revenue!G56*Revenue!G57</f>
        <v>126.456536042481</v>
      </c>
      <c r="H47" s="16" t="n">
        <f aca="false">Revenue!H56*Revenue!H57</f>
        <v>192.679557668085</v>
      </c>
      <c r="I47" s="16" t="n">
        <f aca="false">Revenue!I56*Revenue!I57</f>
        <v>273.410186089535</v>
      </c>
      <c r="M47" s="2"/>
    </row>
    <row r="48" customFormat="false" ht="15" hidden="false" customHeight="false" outlineLevel="0" collapsed="false">
      <c r="A48" s="10" t="s">
        <v>6369</v>
      </c>
      <c r="B48" s="11" t="s">
        <v>6370</v>
      </c>
      <c r="C48" s="10" t="s">
        <v>63</v>
      </c>
      <c r="D48" s="10" t="n">
        <f aca="false">D46-D43</f>
        <v>-37.8002</v>
      </c>
      <c r="E48" s="10" t="n">
        <f aca="false">E46-E43</f>
        <v>-42.1826397468735</v>
      </c>
      <c r="F48" s="10" t="n">
        <f aca="false">F46-F43</f>
        <v>-42.1568519839043</v>
      </c>
      <c r="G48" s="10" t="n">
        <f aca="false">G46-G43</f>
        <v>-41.9187625393752</v>
      </c>
      <c r="H48" s="10" t="n">
        <f aca="false">H46-H43</f>
        <v>-61.0186587534038</v>
      </c>
      <c r="I48" s="10" t="n">
        <f aca="false">I46-I43</f>
        <v>-100.918409413216</v>
      </c>
      <c r="M48" s="2" t="s">
        <v>6371</v>
      </c>
    </row>
    <row r="49" customFormat="false" ht="15" hidden="false" customHeight="false" outlineLevel="0" collapsed="false">
      <c r="A49" s="10" t="s">
        <v>6372</v>
      </c>
      <c r="B49" s="11" t="s">
        <v>6373</v>
      </c>
      <c r="C49" s="10" t="s">
        <v>63</v>
      </c>
      <c r="D49" s="10" t="n">
        <f aca="false">-SRC_ZP_145</f>
        <v>-47.1817</v>
      </c>
      <c r="M49" s="13" t="s">
        <v>6374</v>
      </c>
    </row>
    <row r="50" customFormat="false" ht="15" hidden="false" customHeight="false" outlineLevel="0" collapsed="false">
      <c r="A50" s="15" t="s">
        <v>6375</v>
      </c>
    </row>
    <row r="51" customFormat="false" ht="15" hidden="false" customHeight="false" outlineLevel="0" collapsed="false">
      <c r="A51" s="10" t="s">
        <v>6376</v>
      </c>
      <c r="B51" s="11" t="s">
        <v>6377</v>
      </c>
      <c r="C51" s="10" t="s">
        <v>4527</v>
      </c>
      <c r="D51" s="16" t="n">
        <f aca="false">Compute!D137</f>
        <v>0.00283392184484632</v>
      </c>
      <c r="E51" s="16" t="n">
        <f aca="false">Compute!E137</f>
        <v>0.00769581860783154</v>
      </c>
      <c r="F51" s="16" t="n">
        <f aca="false">Compute!F137</f>
        <v>0.01419357044586</v>
      </c>
      <c r="G51" s="16" t="n">
        <f aca="false">Compute!G137</f>
        <v>0.0230089262452371</v>
      </c>
      <c r="H51" s="16" t="n">
        <f aca="false">Compute!H137</f>
        <v>0.036116388060701</v>
      </c>
      <c r="I51" s="16" t="n">
        <f aca="false">Compute!I137</f>
        <v>0.0559536332127141</v>
      </c>
      <c r="M51" s="13" t="s">
        <v>4698</v>
      </c>
    </row>
    <row r="52" customFormat="false" ht="15" hidden="false" customHeight="false" outlineLevel="0" collapsed="false">
      <c r="A52" s="10" t="s">
        <v>6378</v>
      </c>
      <c r="B52" s="11" t="s">
        <v>6379</v>
      </c>
      <c r="C52" s="10" t="s">
        <v>5966</v>
      </c>
      <c r="D52" s="10" t="n">
        <f aca="false">IF(D51,D46/D51,D51)</f>
        <v>2555.92793187732</v>
      </c>
      <c r="E52" s="10" t="n">
        <f aca="false">IF(E51,E46/E51,E51)</f>
        <v>5252.12154489691</v>
      </c>
      <c r="F52" s="10" t="n">
        <f aca="false">IF(F51,F46/F51,F51)</f>
        <v>5655.83119084172</v>
      </c>
      <c r="G52" s="10" t="n">
        <f aca="false">IF(G51,G46/G51,G51)</f>
        <v>5713.67540759076</v>
      </c>
      <c r="H52" s="10" t="n">
        <f aca="false">IF(H51,H46/H51,H51)</f>
        <v>5473.65249636339</v>
      </c>
      <c r="I52" s="10" t="n">
        <f aca="false">IF(I51,I46/I51,I51)</f>
        <v>4975.8911102536</v>
      </c>
      <c r="M52" s="2" t="s">
        <v>6380</v>
      </c>
    </row>
    <row r="53" customFormat="false" ht="15" hidden="false" customHeight="false" outlineLevel="0" collapsed="false">
      <c r="A53" s="10" t="s">
        <v>6381</v>
      </c>
      <c r="B53" s="11" t="s">
        <v>6382</v>
      </c>
      <c r="C53" s="10" t="s">
        <v>5966</v>
      </c>
      <c r="D53" s="10" t="n">
        <f aca="false">IF(D51,D47/D51,D51)</f>
        <v>671.789874326348</v>
      </c>
      <c r="E53" s="10" t="n">
        <f aca="false">IF(E51,E47/E51,E51)</f>
        <v>4601.24861568017</v>
      </c>
      <c r="F53" s="10" t="n">
        <f aca="false">IF(F51,F47/F51,F51)</f>
        <v>5302.9249211257</v>
      </c>
      <c r="G53" s="10" t="n">
        <f aca="false">IF(G51,G47/G51,G51)</f>
        <v>5495.97728701736</v>
      </c>
      <c r="H53" s="10" t="n">
        <f aca="false">IF(H51,H47/H51,H51)</f>
        <v>5334.96199410216</v>
      </c>
      <c r="I53" s="10" t="n">
        <f aca="false">IF(I51,I47/I51,I51)</f>
        <v>4886.37056060568</v>
      </c>
      <c r="M53" s="2" t="s">
        <v>6380</v>
      </c>
    </row>
    <row r="54" customFormat="false" ht="15" hidden="false" customHeight="false" outlineLevel="0" collapsed="false">
      <c r="A54" s="10" t="s">
        <v>6383</v>
      </c>
      <c r="B54" s="11" t="s">
        <v>6384</v>
      </c>
      <c r="C54" s="10" t="s">
        <v>5966</v>
      </c>
      <c r="D54" s="10" t="n">
        <f aca="false">IF(D51,D12/D51,D51)</f>
        <v>8602.69285278123</v>
      </c>
      <c r="E54" s="10" t="n">
        <f aca="false">IF(E51,E12/E51,E51)</f>
        <v>8001.99130635308</v>
      </c>
      <c r="F54" s="10" t="n">
        <f aca="false">IF(F51,F12/F51,F51)</f>
        <v>6981.2231168916</v>
      </c>
      <c r="G54" s="10" t="n">
        <f aca="false">IF(G51,G12/G51,G51)</f>
        <v>6406.70266613476</v>
      </c>
      <c r="H54" s="10" t="n">
        <f aca="false">IF(H51,H12/H51,H51)</f>
        <v>6361.73419187629</v>
      </c>
      <c r="I54" s="10" t="n">
        <f aca="false">IF(I51,I12/I51,I51)</f>
        <v>6202.1627972173</v>
      </c>
      <c r="M54" s="2" t="s">
        <v>6380</v>
      </c>
    </row>
    <row r="55" customFormat="false" ht="15" hidden="false" customHeight="false" outlineLevel="0" collapsed="false">
      <c r="A55" s="10" t="s">
        <v>6385</v>
      </c>
      <c r="B55" s="11" t="s">
        <v>6386</v>
      </c>
      <c r="C55" s="10" t="s">
        <v>5966</v>
      </c>
      <c r="D55" s="10" t="n">
        <f aca="false">IF(D51,D28/D51,D51)</f>
        <v>964.38792233108</v>
      </c>
      <c r="E55" s="10" t="n">
        <f aca="false">IF(E51,E28/E51,E51)</f>
        <v>404.419024850488</v>
      </c>
      <c r="F55" s="10" t="n">
        <f aca="false">IF(F51,F28/F51,F51)</f>
        <v>219.277839122803</v>
      </c>
      <c r="G55" s="10" t="n">
        <f aca="false">IF(G51,G28/G51,G51)</f>
        <v>135.266436322717</v>
      </c>
      <c r="H55" s="10" t="n">
        <f aca="false">IF(H51,H28/H51,H51)</f>
        <v>86.1751582570923</v>
      </c>
      <c r="I55" s="10" t="n">
        <f aca="false">IF(I51,I28/I51,I51)</f>
        <v>55.623473903358</v>
      </c>
      <c r="M55" s="2" t="s">
        <v>6380</v>
      </c>
    </row>
    <row r="56" customFormat="false" ht="15" hidden="false" customHeight="false" outlineLevel="0" collapsed="false">
      <c r="A56" s="10" t="s">
        <v>6387</v>
      </c>
      <c r="B56" s="11" t="s">
        <v>6388</v>
      </c>
      <c r="C56" s="10" t="s">
        <v>5966</v>
      </c>
      <c r="D56" s="10" t="n">
        <f aca="false">IF(D51,D40/D51,D51)</f>
        <v>4357.36815482632</v>
      </c>
      <c r="E56" s="10" t="n">
        <f aca="false">IF(E51,E40/E51,E51)</f>
        <v>2102.23133762999</v>
      </c>
      <c r="F56" s="10" t="n">
        <f aca="false">IF(F51,F40/F51,F51)</f>
        <v>1291.43805817916</v>
      </c>
      <c r="G56" s="10" t="n">
        <f aca="false">IF(G51,G40/G51,G51)</f>
        <v>902.607205665468</v>
      </c>
      <c r="H56" s="10" t="n">
        <f aca="false">IF(H51,H40/H51,H51)</f>
        <v>651.50949183968</v>
      </c>
      <c r="I56" s="10" t="n">
        <f aca="false">IF(I51,I40/I51,I51)</f>
        <v>476.460252228596</v>
      </c>
      <c r="M56" s="2" t="s">
        <v>6380</v>
      </c>
    </row>
    <row r="57" customFormat="false" ht="15" hidden="false" customHeight="false" outlineLevel="0" collapsed="false">
      <c r="A57" s="10" t="s">
        <v>6389</v>
      </c>
      <c r="B57" s="11" t="s">
        <v>6390</v>
      </c>
      <c r="C57" s="10" t="s">
        <v>5966</v>
      </c>
      <c r="D57" s="10" t="n">
        <f aca="false">IF(D51,D41/D51,D51)</f>
        <v>1969.95552652679</v>
      </c>
      <c r="E57" s="10" t="n">
        <f aca="false">IF(E51,E41/E51,E51)</f>
        <v>224.721300328073</v>
      </c>
      <c r="F57" s="10" t="n">
        <f aca="false">IF(F51,F41/F51,F51)</f>
        <v>134.02940495919</v>
      </c>
      <c r="G57" s="10" t="n">
        <f aca="false">IF(G51,G41/G51,G51)</f>
        <v>90.9469376759221</v>
      </c>
      <c r="H57" s="10" t="n">
        <f aca="false">IF(H51,H41/H51,H51)</f>
        <v>63.7342393006821</v>
      </c>
      <c r="I57" s="10" t="n">
        <f aca="false">IF(I51,I41/I51,I51)</f>
        <v>45.252388913601</v>
      </c>
      <c r="M57" s="2" t="s">
        <v>6380</v>
      </c>
    </row>
    <row r="58" customFormat="false" ht="15" hidden="false" customHeight="false" outlineLevel="0" collapsed="false">
      <c r="A58" s="10" t="s">
        <v>6391</v>
      </c>
      <c r="B58" s="11" t="s">
        <v>6392</v>
      </c>
      <c r="C58" s="10" t="s">
        <v>5966</v>
      </c>
      <c r="D58" s="10" t="n">
        <f aca="false">IF(D51,D43/D51,D51)</f>
        <v>15894.4044564654</v>
      </c>
      <c r="E58" s="10" t="n">
        <f aca="false">IF(E51,E43/E51,E51)</f>
        <v>10733.3629691616</v>
      </c>
      <c r="F58" s="10" t="n">
        <f aca="false">IF(F51,F43/F51,F51)</f>
        <v>8625.96841915276</v>
      </c>
      <c r="G58" s="10" t="n">
        <f aca="false">IF(G51,G43/G51,G51)</f>
        <v>7535.52324579887</v>
      </c>
      <c r="H58" s="10" t="n">
        <f aca="false">IF(H51,H43/H51,H51)</f>
        <v>7163.15308127375</v>
      </c>
      <c r="I58" s="10" t="n">
        <f aca="false">IF(I51,I43/I51,I51)</f>
        <v>6779.49891226286</v>
      </c>
      <c r="M58" s="2" t="s">
        <v>6380</v>
      </c>
    </row>
    <row r="59" customFormat="false" ht="15" hidden="false" customHeight="false" outlineLevel="0" collapsed="false">
      <c r="A59" s="10" t="s">
        <v>6393</v>
      </c>
      <c r="B59" s="11" t="s">
        <v>6394</v>
      </c>
      <c r="C59" s="10" t="s">
        <v>5966</v>
      </c>
      <c r="D59" s="10" t="n">
        <f aca="false">IF(D51,D44/D51,D51)</f>
        <v>13924.4489299386</v>
      </c>
      <c r="E59" s="10" t="n">
        <f aca="false">IF(E51,E44/E51,E51)</f>
        <v>10508.6416688336</v>
      </c>
      <c r="F59" s="10" t="n">
        <f aca="false">IF(F51,F44/F51,F51)</f>
        <v>8491.93901419357</v>
      </c>
      <c r="G59" s="10" t="n">
        <f aca="false">IF(G51,G44/G51,G51)</f>
        <v>7444.57630812295</v>
      </c>
      <c r="H59" s="10" t="n">
        <f aca="false">IF(H51,H44/H51,H51)</f>
        <v>7099.41884197306</v>
      </c>
      <c r="I59" s="10" t="n">
        <f aca="false">IF(I51,I44/I51,I51)</f>
        <v>6734.24652334925</v>
      </c>
      <c r="M59" s="2" t="s">
        <v>6380</v>
      </c>
    </row>
    <row r="60" customFormat="false" ht="15" hidden="false" customHeight="false" outlineLevel="0" collapsed="false">
      <c r="A60" s="10" t="s">
        <v>6395</v>
      </c>
      <c r="B60" s="11" t="s">
        <v>6396</v>
      </c>
      <c r="C60" s="10" t="s">
        <v>5966</v>
      </c>
      <c r="D60" s="10" t="n">
        <f aca="false">D52-D58</f>
        <v>-13338.4765245881</v>
      </c>
      <c r="E60" s="10" t="n">
        <f aca="false">E52-E58</f>
        <v>-5481.24142426472</v>
      </c>
      <c r="F60" s="10" t="n">
        <f aca="false">F52-F58</f>
        <v>-2970.13722831105</v>
      </c>
      <c r="G60" s="10" t="n">
        <f aca="false">G52-G58</f>
        <v>-1821.84783820811</v>
      </c>
      <c r="H60" s="10" t="n">
        <f aca="false">H52-H58</f>
        <v>-1689.50058491036</v>
      </c>
      <c r="I60" s="10" t="n">
        <f aca="false">I52-I58</f>
        <v>-1803.60780200926</v>
      </c>
      <c r="M60" s="2" t="s">
        <v>6397</v>
      </c>
    </row>
    <row r="61" customFormat="false" ht="15" hidden="false" customHeight="false" outlineLevel="0" collapsed="false">
      <c r="A61" s="10" t="s">
        <v>6398</v>
      </c>
      <c r="B61" s="11" t="s">
        <v>6399</v>
      </c>
      <c r="C61" s="10" t="s">
        <v>5966</v>
      </c>
      <c r="D61" s="10" t="n">
        <f aca="false">D52-D59</f>
        <v>-11368.5209980613</v>
      </c>
      <c r="E61" s="10" t="n">
        <f aca="false">E52-E59</f>
        <v>-5256.52012393665</v>
      </c>
      <c r="F61" s="10" t="n">
        <f aca="false">F52-F59</f>
        <v>-2836.10782335186</v>
      </c>
      <c r="G61" s="10" t="n">
        <f aca="false">G52-G59</f>
        <v>-1730.90090053219</v>
      </c>
      <c r="H61" s="10" t="n">
        <f aca="false">H52-H59</f>
        <v>-1625.76634560967</v>
      </c>
      <c r="I61" s="10" t="n">
        <f aca="false">I52-I59</f>
        <v>-1758.35541309566</v>
      </c>
      <c r="M61" s="2"/>
    </row>
    <row r="62" customFormat="false" ht="15" hidden="false" customHeight="false" outlineLevel="0" collapsed="false">
      <c r="A62" s="10" t="s">
        <v>6400</v>
      </c>
      <c r="B62" s="11" t="s">
        <v>6401</v>
      </c>
      <c r="C62" s="10" t="s">
        <v>5966</v>
      </c>
      <c r="D62" s="10" t="n">
        <f aca="false">D53-D58+D55</f>
        <v>-14258.226659808</v>
      </c>
      <c r="E62" s="10" t="n">
        <f aca="false">E53-E58+E55</f>
        <v>-5727.69532863097</v>
      </c>
      <c r="F62" s="10" t="n">
        <f aca="false">F53-F58+F55</f>
        <v>-3103.76565890426</v>
      </c>
      <c r="G62" s="10" t="n">
        <f aca="false">G53-G58+G55</f>
        <v>-1904.27952245879</v>
      </c>
      <c r="H62" s="10" t="n">
        <f aca="false">H53-H58+H55</f>
        <v>-1742.01592891449</v>
      </c>
      <c r="I62" s="10" t="n">
        <f aca="false">I53-I58+I55</f>
        <v>-1837.50487775382</v>
      </c>
      <c r="M62" s="13" t="s">
        <v>6402</v>
      </c>
    </row>
    <row r="63" customFormat="false" ht="15" hidden="false" customHeight="false" outlineLevel="0" collapsed="false">
      <c r="A63" s="10" t="s">
        <v>6403</v>
      </c>
      <c r="B63" s="11" t="s">
        <v>6404</v>
      </c>
      <c r="C63" s="11" t="s">
        <v>1709</v>
      </c>
      <c r="D63" s="10" t="n">
        <f aca="false">D46/D43</f>
        <v>0.160806775672406</v>
      </c>
      <c r="E63" s="10" t="n">
        <f aca="false">E46/E43</f>
        <v>0.489326743163997</v>
      </c>
      <c r="F63" s="10" t="n">
        <f aca="false">F46/F43</f>
        <v>0.655674924369504</v>
      </c>
      <c r="G63" s="10" t="n">
        <f aca="false">G46/G43</f>
        <v>0.758232072441179</v>
      </c>
      <c r="H63" s="10" t="n">
        <f aca="false">H46/H43</f>
        <v>0.764140097839438</v>
      </c>
      <c r="I63" s="10" t="n">
        <f aca="false">I46/I43</f>
        <v>0.733961488105431</v>
      </c>
      <c r="M63" s="2"/>
    </row>
    <row r="64" customFormat="false" ht="15" hidden="false" customHeight="false" outlineLevel="0" collapsed="false">
      <c r="A64" s="10" t="s">
        <v>6405</v>
      </c>
      <c r="B64" s="11" t="s">
        <v>6406</v>
      </c>
      <c r="C64" s="11" t="s">
        <v>1709</v>
      </c>
      <c r="D64" s="10" t="n">
        <f aca="false">D47/(D43-D28)</f>
        <v>0.0449959229978374</v>
      </c>
      <c r="E64" s="10" t="n">
        <f aca="false">E47/(E43-E28)</f>
        <v>0.445471351232804</v>
      </c>
      <c r="F64" s="10" t="n">
        <f aca="false">F47/(F43-F28)</f>
        <v>0.630798156616203</v>
      </c>
      <c r="G64" s="10" t="n">
        <f aca="false">G47/(G43-G28)</f>
        <v>0.742673859639529</v>
      </c>
      <c r="H64" s="10" t="n">
        <f aca="false">H47/(H43-H28)</f>
        <v>0.753847482941994</v>
      </c>
      <c r="I64" s="10" t="n">
        <f aca="false">I47/(I43-I28)</f>
        <v>0.726719375663786</v>
      </c>
      <c r="M64" s="2"/>
    </row>
    <row r="65" customFormat="false" ht="15" hidden="false" customHeight="false" outlineLevel="0" collapsed="false">
      <c r="A65" s="15" t="s">
        <v>6407</v>
      </c>
    </row>
    <row r="66" customFormat="false" ht="15" hidden="false" customHeight="false" outlineLevel="0" collapsed="false">
      <c r="A66" s="10" t="s">
        <v>6408</v>
      </c>
      <c r="B66" s="11" t="s">
        <v>6409</v>
      </c>
      <c r="C66" s="10" t="s">
        <v>5849</v>
      </c>
      <c r="D66" s="10" t="n">
        <f aca="false">D52/INP_023/INP_021</f>
        <v>37.9223420507325</v>
      </c>
      <c r="E66" s="10" t="n">
        <f aca="false">E52/INP_023/INP_021</f>
        <v>77.9258081706985</v>
      </c>
      <c r="F66" s="10" t="n">
        <f aca="false">F52/INP_023/INP_021</f>
        <v>83.9156543990522</v>
      </c>
      <c r="G66" s="10" t="n">
        <f aca="false">G52/INP_023/INP_021</f>
        <v>84.773889932948</v>
      </c>
      <c r="H66" s="10" t="n">
        <f aca="false">H52/INP_023/INP_021</f>
        <v>81.2126663060786</v>
      </c>
      <c r="I66" s="10" t="n">
        <f aca="false">I52/INP_023/INP_021</f>
        <v>73.8273729618184</v>
      </c>
      <c r="M66" s="2"/>
    </row>
    <row r="67" customFormat="false" ht="15" hidden="false" customHeight="false" outlineLevel="0" collapsed="false">
      <c r="A67" s="10" t="s">
        <v>6410</v>
      </c>
      <c r="B67" s="11" t="s">
        <v>6411</v>
      </c>
      <c r="C67" s="10" t="s">
        <v>5849</v>
      </c>
      <c r="D67" s="10" t="n">
        <f aca="false">D53/INP_023/INP_021</f>
        <v>9.96735670152892</v>
      </c>
      <c r="E67" s="10" t="n">
        <f aca="false">E53/INP_023/INP_021</f>
        <v>68.2687965055887</v>
      </c>
      <c r="F67" s="10" t="n">
        <f aca="false">F53/INP_023/INP_021</f>
        <v>78.6795786454651</v>
      </c>
      <c r="G67" s="10" t="n">
        <f aca="false">G53/INP_023/INP_021</f>
        <v>81.5438995685005</v>
      </c>
      <c r="H67" s="10" t="n">
        <f aca="false">H53/INP_023/INP_021</f>
        <v>79.1549131901388</v>
      </c>
      <c r="I67" s="10" t="n">
        <f aca="false">I53/INP_023/INP_021</f>
        <v>72.4991551893305</v>
      </c>
      <c r="M67" s="2"/>
    </row>
    <row r="68" customFormat="false" ht="15" hidden="false" customHeight="false" outlineLevel="0" collapsed="false">
      <c r="A68" s="10" t="s">
        <v>6412</v>
      </c>
      <c r="B68" s="11" t="s">
        <v>6413</v>
      </c>
      <c r="C68" s="10" t="s">
        <v>5849</v>
      </c>
      <c r="D68" s="10" t="n">
        <f aca="false">D54/INP_023/INP_021</f>
        <v>127.638286217618</v>
      </c>
      <c r="E68" s="10" t="n">
        <f aca="false">E54/INP_023/INP_021</f>
        <v>118.725668130878</v>
      </c>
      <c r="F68" s="10" t="n">
        <f aca="false">F54/INP_023/INP_021</f>
        <v>103.580514798315</v>
      </c>
      <c r="G68" s="10" t="n">
        <f aca="false">G54/INP_023/INP_021</f>
        <v>95.0563460308723</v>
      </c>
      <c r="H68" s="10" t="n">
        <f aca="false">H54/INP_023/INP_021</f>
        <v>94.3891480864151</v>
      </c>
      <c r="I68" s="10" t="n">
        <f aca="false">I54/INP_023/INP_021</f>
        <v>92.0215848486966</v>
      </c>
      <c r="M68" s="2"/>
    </row>
    <row r="69" customFormat="false" ht="15" hidden="false" customHeight="false" outlineLevel="0" collapsed="false">
      <c r="A69" s="10" t="s">
        <v>6414</v>
      </c>
      <c r="B69" s="11" t="s">
        <v>6415</v>
      </c>
      <c r="C69" s="10" t="s">
        <v>5849</v>
      </c>
      <c r="D69" s="10" t="n">
        <f aca="false">D58/INP_023/INP_021</f>
        <v>235.825523471645</v>
      </c>
      <c r="E69" s="10" t="n">
        <f aca="false">E58/INP_023/INP_021</f>
        <v>159.251071516812</v>
      </c>
      <c r="F69" s="10" t="n">
        <f aca="false">F58/INP_023/INP_021</f>
        <v>127.98362615399</v>
      </c>
      <c r="G69" s="10" t="n">
        <f aca="false">G58/INP_023/INP_021</f>
        <v>111.804674339365</v>
      </c>
      <c r="H69" s="10" t="n">
        <f aca="false">H58/INP_023/INP_021</f>
        <v>106.279812479024</v>
      </c>
      <c r="I69" s="10" t="n">
        <f aca="false">I58/INP_023/INP_021</f>
        <v>100.587529670512</v>
      </c>
      <c r="M69" s="2"/>
    </row>
    <row r="70" customFormat="false" ht="15" hidden="false" customHeight="false" outlineLevel="0" collapsed="false">
      <c r="A70" s="10" t="s">
        <v>6416</v>
      </c>
      <c r="B70" s="11" t="s">
        <v>6417</v>
      </c>
      <c r="C70" s="10" t="s">
        <v>5849</v>
      </c>
      <c r="D70" s="10" t="n">
        <f aca="false">D60/INP_023/INP_021</f>
        <v>-197.903181420913</v>
      </c>
      <c r="E70" s="10" t="n">
        <f aca="false">E60/INP_023/INP_021</f>
        <v>-81.3252633461138</v>
      </c>
      <c r="F70" s="10" t="n">
        <f aca="false">F60/INP_023/INP_021</f>
        <v>-44.0679717549377</v>
      </c>
      <c r="G70" s="10" t="n">
        <f aca="false">G60/INP_023/INP_021</f>
        <v>-27.0307844064172</v>
      </c>
      <c r="H70" s="10" t="n">
        <f aca="false">H60/INP_023/INP_021</f>
        <v>-25.0671461729455</v>
      </c>
      <c r="I70" s="10" t="n">
        <f aca="false">I60/INP_023/INP_021</f>
        <v>-26.7601567086939</v>
      </c>
      <c r="M70" s="2"/>
    </row>
    <row r="71" customFormat="false" ht="15" hidden="false" customHeight="false" outlineLevel="0" collapsed="false">
      <c r="A71" s="10" t="s">
        <v>6418</v>
      </c>
      <c r="B71" s="11" t="s">
        <v>6419</v>
      </c>
      <c r="C71" s="10" t="s">
        <v>5849</v>
      </c>
      <c r="D71" s="10" t="n">
        <f aca="false">D61/INP_023/INP_021</f>
        <v>-168.674920964129</v>
      </c>
      <c r="E71" s="10" t="n">
        <f aca="false">E61/INP_023/INP_021</f>
        <v>-77.9910699555876</v>
      </c>
      <c r="F71" s="10" t="n">
        <f aca="false">F61/INP_023/INP_021</f>
        <v>-42.0793754113838</v>
      </c>
      <c r="G71" s="10" t="n">
        <f aca="false">G61/INP_023/INP_021</f>
        <v>-25.6814032928113</v>
      </c>
      <c r="H71" s="10" t="n">
        <f aca="false">H61/INP_023/INP_021</f>
        <v>-24.1215202838273</v>
      </c>
      <c r="I71" s="10" t="n">
        <f aca="false">I61/INP_023/INP_021</f>
        <v>-26.0887463181302</v>
      </c>
      <c r="M71" s="2"/>
    </row>
    <row r="72" customFormat="false" ht="15" hidden="false" customHeight="false" outlineLevel="0" collapsed="false">
      <c r="A72" s="10" t="s">
        <v>6420</v>
      </c>
      <c r="B72" s="11" t="s">
        <v>6421</v>
      </c>
      <c r="C72" s="10" t="s">
        <v>5849</v>
      </c>
      <c r="D72" s="10" t="n">
        <f aca="false">D62/INP_023/INP_021</f>
        <v>-211.549528328432</v>
      </c>
      <c r="E72" s="10" t="n">
        <f aca="false">E62/INP_023/INP_021</f>
        <v>-84.9819037171319</v>
      </c>
      <c r="F72" s="10" t="n">
        <f aca="false">F62/INP_023/INP_021</f>
        <v>-46.0506188356543</v>
      </c>
      <c r="G72" s="10" t="n">
        <f aca="false">G62/INP_023/INP_021</f>
        <v>-28.2538245739372</v>
      </c>
      <c r="H72" s="10" t="n">
        <f aca="false">H62/INP_023/INP_021</f>
        <v>-25.8463171399352</v>
      </c>
      <c r="I72" s="10" t="n">
        <f aca="false">I62/INP_023/INP_021</f>
        <v>-27.2630881430558</v>
      </c>
      <c r="M72" s="2"/>
    </row>
    <row r="73" customFormat="false" ht="15" hidden="false" customHeight="false" outlineLevel="0" collapsed="false">
      <c r="A73" s="10" t="s">
        <v>6422</v>
      </c>
      <c r="B73" s="11" t="s">
        <v>6423</v>
      </c>
      <c r="C73" s="10" t="s">
        <v>4514</v>
      </c>
      <c r="D73" s="10" t="n">
        <f aca="false">D46/INP_023/INP_021</f>
        <v>0.107468953545305</v>
      </c>
      <c r="E73" s="10" t="n">
        <f aca="false">E46/INP_023/INP_021</f>
        <v>0.599702884550373</v>
      </c>
      <c r="F73" s="10" t="n">
        <f aca="false">F46/INP_023/INP_021</f>
        <v>1.19106275222339</v>
      </c>
      <c r="G73" s="10" t="n">
        <f aca="false">G46/INP_023/INP_021</f>
        <v>1.95055618098905</v>
      </c>
      <c r="H73" s="10" t="n">
        <f aca="false">H46/INP_023/INP_021</f>
        <v>2.93310817175455</v>
      </c>
      <c r="I73" s="10" t="n">
        <f aca="false">I46/INP_023/INP_021</f>
        <v>4.13090974776383</v>
      </c>
      <c r="M73" s="2"/>
    </row>
    <row r="74" customFormat="false" ht="15" hidden="false" customHeight="false" outlineLevel="0" collapsed="false">
      <c r="A74" s="10" t="s">
        <v>6424</v>
      </c>
      <c r="B74" s="11" t="s">
        <v>6425</v>
      </c>
      <c r="C74" s="10" t="s">
        <v>4514</v>
      </c>
      <c r="D74" s="10" t="n">
        <f aca="false">D43/INP_023/INP_021</f>
        <v>0.668311102538614</v>
      </c>
      <c r="E74" s="10" t="n">
        <f aca="false">E43/INP_023/INP_021</f>
        <v>1.2255673594962</v>
      </c>
      <c r="F74" s="10" t="n">
        <f aca="false">F43/INP_023/INP_021</f>
        <v>1.81654461373327</v>
      </c>
      <c r="G74" s="10" t="n">
        <f aca="false">G43/INP_023/INP_021</f>
        <v>2.57250550574721</v>
      </c>
      <c r="H74" s="10" t="n">
        <f aca="false">H43/INP_023/INP_021</f>
        <v>3.83844295051097</v>
      </c>
      <c r="I74" s="10" t="n">
        <f aca="false">I43/INP_023/INP_021</f>
        <v>5.62823774095684</v>
      </c>
      <c r="M74" s="2"/>
    </row>
    <row r="75" customFormat="false" ht="15" hidden="false" customHeight="false" outlineLevel="0" collapsed="false">
      <c r="A75" s="10" t="s">
        <v>6426</v>
      </c>
      <c r="B75" s="11" t="s">
        <v>6427</v>
      </c>
      <c r="C75" s="10" t="s">
        <v>4514</v>
      </c>
      <c r="D75" s="10" t="n">
        <f aca="false">D48/INP_023/INP_021</f>
        <v>-0.560842148993309</v>
      </c>
      <c r="E75" s="10" t="n">
        <f aca="false">E48/INP_023/INP_021</f>
        <v>-0.625864474945823</v>
      </c>
      <c r="F75" s="10" t="n">
        <f aca="false">F48/INP_023/INP_021</f>
        <v>-0.625481861509879</v>
      </c>
      <c r="G75" s="10" t="n">
        <f aca="false">G48/INP_023/INP_021</f>
        <v>-0.62194932475816</v>
      </c>
      <c r="H75" s="10" t="n">
        <f aca="false">H48/INP_023/INP_021</f>
        <v>-0.905334778756417</v>
      </c>
      <c r="I75" s="10" t="n">
        <f aca="false">I48/INP_023/INP_021</f>
        <v>-1.49732799319301</v>
      </c>
      <c r="M75" s="2"/>
    </row>
    <row r="76" customFormat="false" ht="15" hidden="false" customHeight="false" outlineLevel="0" collapsed="false">
      <c r="A76" s="15" t="s">
        <v>6428</v>
      </c>
    </row>
    <row r="77" customFormat="false" ht="15" hidden="false" customHeight="false" outlineLevel="0" collapsed="false">
      <c r="A77" s="10" t="s">
        <v>6429</v>
      </c>
      <c r="B77" s="10" t="s">
        <v>6430</v>
      </c>
      <c r="C77" s="10" t="s">
        <v>5966</v>
      </c>
      <c r="D77" s="16" t="n">
        <f aca="false">SUMIFS(TK_IF_FullCostDefault_Sol,TK_HdrGen,Compute!$D$9,TK_HdrCost,Compute!$D$10)*SUMIFS(TK_IF_TokGW_Sol,TK_HdrGen,Compute!$D$9,TK_HdrCost,Compute!$D$10)*TK_IF_Util/INP_078*INP_023*INP_021</f>
        <v>1462.67416701982</v>
      </c>
      <c r="E77" s="16" t="n">
        <f aca="false">SUMIFS(TK_IF_FullCostDefault_Sol,TK_HdrGen,Compute!$D$9,TK_HdrCost,Compute!$D$10)*SUMIFS(TK_IF_TokGW_Sol,TK_HdrGen,Compute!$D$9,TK_HdrCost,Compute!$D$10)*TK_IF_Util/INP_078*INP_023*INP_021</f>
        <v>1462.67416701982</v>
      </c>
      <c r="F77" s="16" t="n">
        <f aca="false">SUMIFS(TK_IF_FullCostDefault_Sol,TK_HdrGen,Compute!$D$9,TK_HdrCost,Compute!$D$10)*SUMIFS(TK_IF_TokGW_Sol,TK_HdrGen,Compute!$D$9,TK_HdrCost,Compute!$D$10)*TK_IF_Util/INP_078*INP_023*INP_021</f>
        <v>1462.67416701982</v>
      </c>
      <c r="G77" s="16" t="n">
        <f aca="false">SUMIFS(TK_IF_FullCostDefault_Sol,TK_HdrGen,Compute!$D$9,TK_HdrCost,Compute!$D$10)*SUMIFS(TK_IF_TokGW_Sol,TK_HdrGen,Compute!$D$9,TK_HdrCost,Compute!$D$10)*TK_IF_Util/INP_078*INP_023*INP_021</f>
        <v>1462.67416701982</v>
      </c>
      <c r="H77" s="16" t="n">
        <f aca="false">SUMIFS(TK_IF_FullCostDefault_Sol,TK_HdrGen,Compute!$D$9,TK_HdrCost,Compute!$D$10)*SUMIFS(TK_IF_TokGW_Sol,TK_HdrGen,Compute!$D$9,TK_HdrCost,Compute!$D$10)*TK_IF_Util/INP_078*INP_023*INP_021</f>
        <v>1462.67416701982</v>
      </c>
      <c r="I77" s="16" t="n">
        <f aca="false">SUMIFS(TK_IF_FullCostDefault_Sol,TK_HdrGen,Compute!$D$9,TK_HdrCost,Compute!$D$10)*SUMIFS(TK_IF_TokGW_Sol,TK_HdrGen,Compute!$D$9,TK_HdrCost,Compute!$D$10)*TK_IF_Util/INP_078*INP_023*INP_021</f>
        <v>1462.67416701982</v>
      </c>
      <c r="M77" s="13" t="s">
        <v>6431</v>
      </c>
    </row>
    <row r="78" customFormat="false" ht="15" hidden="false" customHeight="false" outlineLevel="0" collapsed="false">
      <c r="A78" s="10" t="s">
        <v>6432</v>
      </c>
      <c r="B78" s="10" t="s">
        <v>6433</v>
      </c>
      <c r="C78" s="10" t="s">
        <v>5966</v>
      </c>
      <c r="D78" s="16" t="n">
        <f aca="false">SUMIFS(TK_IF_FullCost_Sol,TK_HdrGen,Compute!$D$9,TK_HdrCost,Compute!$D$10)*SUMIFS(TK_IF_TokGW_Sol,TK_HdrGen,Compute!$D$9,TK_HdrCost,Compute!$D$10)*TK_IF_Util/INP_078*INP_023*INP_021</f>
        <v>891.624052816352</v>
      </c>
      <c r="E78" s="16" t="n">
        <f aca="false">SUMIFS(TK_IF_FullCost_Sol,TK_HdrGen,Compute!$D$9,TK_HdrCost,Compute!$D$10)*SUMIFS(TK_IF_TokGW_Sol,TK_HdrGen,Compute!$D$9,TK_HdrCost,Compute!$D$10)*TK_IF_Util/INP_078*INP_023*INP_021</f>
        <v>891.624052816352</v>
      </c>
      <c r="F78" s="16" t="n">
        <f aca="false">SUMIFS(TK_IF_FullCost_Sol,TK_HdrGen,Compute!$D$9,TK_HdrCost,Compute!$D$10)*SUMIFS(TK_IF_TokGW_Sol,TK_HdrGen,Compute!$D$9,TK_HdrCost,Compute!$D$10)*TK_IF_Util/INP_078*INP_023*INP_021</f>
        <v>891.624052816352</v>
      </c>
      <c r="G78" s="16" t="n">
        <f aca="false">SUMIFS(TK_IF_FullCost_Sol,TK_HdrGen,Compute!$D$9,TK_HdrCost,Compute!$D$10)*SUMIFS(TK_IF_TokGW_Sol,TK_HdrGen,Compute!$D$9,TK_HdrCost,Compute!$D$10)*TK_IF_Util/INP_078*INP_023*INP_021</f>
        <v>891.624052816352</v>
      </c>
      <c r="H78" s="16" t="n">
        <f aca="false">SUMIFS(TK_IF_FullCost_Sol,TK_HdrGen,Compute!$D$9,TK_HdrCost,Compute!$D$10)*SUMIFS(TK_IF_TokGW_Sol,TK_HdrGen,Compute!$D$9,TK_HdrCost,Compute!$D$10)*TK_IF_Util/INP_078*INP_023*INP_021</f>
        <v>891.624052816352</v>
      </c>
      <c r="I78" s="16" t="n">
        <f aca="false">SUMIFS(TK_IF_FullCost_Sol,TK_HdrGen,Compute!$D$9,TK_HdrCost,Compute!$D$10)*SUMIFS(TK_IF_TokGW_Sol,TK_HdrGen,Compute!$D$9,TK_HdrCost,Compute!$D$10)*TK_IF_Util/INP_078*INP_023*INP_021</f>
        <v>891.624052816352</v>
      </c>
      <c r="M78" s="13" t="s">
        <v>6431</v>
      </c>
    </row>
    <row r="79" customFormat="false" ht="15" hidden="false" customHeight="false" outlineLevel="0" collapsed="false">
      <c r="A79" s="10" t="s">
        <v>6434</v>
      </c>
      <c r="B79" s="11" t="s">
        <v>6435</v>
      </c>
      <c r="C79" s="10" t="s">
        <v>5966</v>
      </c>
      <c r="D79" s="10" t="n">
        <f aca="false">D54-D77</f>
        <v>7140.01868576141</v>
      </c>
      <c r="E79" s="10" t="n">
        <f aca="false">E54-E77</f>
        <v>6539.31713933326</v>
      </c>
      <c r="F79" s="10" t="n">
        <f aca="false">F54-F77</f>
        <v>5518.54894987179</v>
      </c>
      <c r="G79" s="10" t="n">
        <f aca="false">G54-G77</f>
        <v>4944.02849911495</v>
      </c>
      <c r="H79" s="10" t="n">
        <f aca="false">H54-H77</f>
        <v>4899.06002485647</v>
      </c>
      <c r="I79" s="10" t="n">
        <f aca="false">I54-I77</f>
        <v>4739.48863019748</v>
      </c>
      <c r="M79" s="2"/>
    </row>
    <row r="80" customFormat="false" ht="15" hidden="false" customHeight="false" outlineLevel="0" collapsed="false">
      <c r="A80" s="15" t="s">
        <v>6436</v>
      </c>
    </row>
    <row r="81" customFormat="false" ht="15" hidden="false" customHeight="false" outlineLevel="0" collapsed="false">
      <c r="A81" s="10" t="s">
        <v>6437</v>
      </c>
      <c r="B81" s="11" t="s">
        <v>6438</v>
      </c>
      <c r="C81" s="10" t="s">
        <v>4527</v>
      </c>
      <c r="D81" s="16" t="n">
        <f aca="false">Compute!D119</f>
        <v>0.0359307300600894</v>
      </c>
      <c r="E81" s="16" t="n">
        <f aca="false">Compute!E119</f>
        <v>0.110416285683168</v>
      </c>
      <c r="F81" s="16" t="n">
        <f aca="false">Compute!F119</f>
        <v>0.212315729478652</v>
      </c>
      <c r="G81" s="16" t="n">
        <f aca="false">Compute!G119</f>
        <v>0.348023509062177</v>
      </c>
      <c r="H81" s="16" t="n">
        <f aca="false">Compute!H119</f>
        <v>0.564280951719765</v>
      </c>
      <c r="I81" s="16" t="n">
        <f aca="false">Compute!I119</f>
        <v>0.855886886980617</v>
      </c>
      <c r="M81" s="13" t="s">
        <v>6439</v>
      </c>
    </row>
    <row r="82" customFormat="false" ht="15" hidden="false" customHeight="false" outlineLevel="0" collapsed="false">
      <c r="A82" s="10" t="s">
        <v>6440</v>
      </c>
      <c r="B82" s="11" t="s">
        <v>6441</v>
      </c>
      <c r="C82" s="11" t="s">
        <v>1709</v>
      </c>
      <c r="D82" s="10" t="n">
        <f aca="false">IF(D81,D51/D81,D81)</f>
        <v>0.0788718136288063</v>
      </c>
      <c r="E82" s="10" t="n">
        <f aca="false">IF(E81,E51/E81,E81)</f>
        <v>0.0696982203324077</v>
      </c>
      <c r="F82" s="10" t="n">
        <f aca="false">IF(F81,F51/F81,F81)</f>
        <v>0.0668512431024909</v>
      </c>
      <c r="G82" s="10" t="n">
        <f aca="false">IF(G81,G51/G81,G81)</f>
        <v>0.0661131378947347</v>
      </c>
      <c r="H82" s="10" t="n">
        <f aca="false">IF(H81,H51/H81,H81)</f>
        <v>0.0640042658725741</v>
      </c>
      <c r="I82" s="10" t="n">
        <f aca="false">IF(I81,I51/I81,I81)</f>
        <v>0.0653750326869785</v>
      </c>
      <c r="M82" s="2" t="s">
        <v>6442</v>
      </c>
    </row>
    <row r="83" customFormat="false" ht="15" hidden="false" customHeight="false" outlineLevel="0" collapsed="false">
      <c r="A83" s="10" t="s">
        <v>6443</v>
      </c>
      <c r="B83" s="11" t="s">
        <v>6444</v>
      </c>
      <c r="C83" s="10" t="s">
        <v>5966</v>
      </c>
      <c r="D83" s="10" t="n">
        <f aca="false">IF(D81,D46/D81,D81)</f>
        <v>201.590671491688</v>
      </c>
      <c r="E83" s="10" t="n">
        <f aca="false">IF(E81,E46/E81,E81)</f>
        <v>366.06352464881</v>
      </c>
      <c r="F83" s="10" t="n">
        <f aca="false">IF(F81,F46/F81,F81)</f>
        <v>378.09934588561</v>
      </c>
      <c r="G83" s="10" t="n">
        <f aca="false">IF(G81,G46/G81,G81)</f>
        <v>377.749010107803</v>
      </c>
      <c r="H83" s="10" t="n">
        <f aca="false">IF(H81,H46/H81,H81)</f>
        <v>350.337109671321</v>
      </c>
      <c r="I83" s="10" t="n">
        <f aca="false">IF(I81,I46/I81,I81)</f>
        <v>325.299043979675</v>
      </c>
      <c r="M83" s="2" t="s">
        <v>6380</v>
      </c>
    </row>
    <row r="84" customFormat="false" ht="15" hidden="false" customHeight="false" outlineLevel="0" collapsed="false">
      <c r="A84" s="10" t="s">
        <v>6445</v>
      </c>
      <c r="B84" s="11" t="s">
        <v>6446</v>
      </c>
      <c r="C84" s="10" t="s">
        <v>5966</v>
      </c>
      <c r="D84" s="10" t="n">
        <f aca="false">IF(D81,D43/D81,D81)</f>
        <v>1253.62050603121</v>
      </c>
      <c r="E84" s="10" t="n">
        <f aca="false">IF(E81,E43/E81,E81)</f>
        <v>748.096297132333</v>
      </c>
      <c r="F84" s="10" t="n">
        <f aca="false">IF(F81,F43/F81,F81)</f>
        <v>576.656711783191</v>
      </c>
      <c r="G84" s="10" t="n">
        <f aca="false">IF(G81,G43/G81,G81)</f>
        <v>498.19708745848</v>
      </c>
      <c r="H84" s="10" t="n">
        <f aca="false">IF(H81,H43/H81,H81)</f>
        <v>458.472354299793</v>
      </c>
      <c r="I84" s="10" t="n">
        <f aca="false">IF(I81,I43/I81,I81)</f>
        <v>443.20996299052</v>
      </c>
      <c r="M84" s="2" t="s">
        <v>6380</v>
      </c>
    </row>
    <row r="85" customFormat="false" ht="15" hidden="false" customHeight="false" outlineLevel="0" collapsed="false">
      <c r="A85" s="10" t="s">
        <v>6447</v>
      </c>
      <c r="B85" s="11" t="s">
        <v>6448</v>
      </c>
      <c r="C85" s="10" t="s">
        <v>5966</v>
      </c>
      <c r="D85" s="10" t="n">
        <f aca="false">D83-D84</f>
        <v>-1052.02983453952</v>
      </c>
      <c r="E85" s="10" t="n">
        <f aca="false">E83-E84</f>
        <v>-382.032772483523</v>
      </c>
      <c r="F85" s="10" t="n">
        <f aca="false">F83-F84</f>
        <v>-198.55736589758</v>
      </c>
      <c r="G85" s="10" t="n">
        <f aca="false">G83-G84</f>
        <v>-120.448077350677</v>
      </c>
      <c r="H85" s="10" t="n">
        <f aca="false">H83-H84</f>
        <v>-108.135244628472</v>
      </c>
      <c r="I85" s="10" t="n">
        <f aca="false">I83-I84</f>
        <v>-117.910919010845</v>
      </c>
      <c r="M85" s="2" t="s">
        <v>6449</v>
      </c>
    </row>
    <row r="86" customFormat="false" ht="15" hidden="false" customHeight="false" outlineLevel="0" collapsed="false">
      <c r="A86" s="10" t="s">
        <v>6450</v>
      </c>
      <c r="B86" s="11" t="s">
        <v>6451</v>
      </c>
      <c r="C86" s="10" t="s">
        <v>5849</v>
      </c>
      <c r="D86" s="10" t="n">
        <f aca="false">D83/INP_023/INP_021</f>
        <v>2.99100389459322</v>
      </c>
      <c r="E86" s="10" t="n">
        <f aca="false">E83/INP_023/INP_021</f>
        <v>5.43129014746228</v>
      </c>
      <c r="F86" s="10" t="n">
        <f aca="false">F83/INP_023/INP_021</f>
        <v>5.60986581233565</v>
      </c>
      <c r="G86" s="10" t="n">
        <f aca="false">G83/INP_023/INP_021</f>
        <v>5.60466787501005</v>
      </c>
      <c r="H86" s="10" t="n">
        <f aca="false">H83/INP_023/INP_021</f>
        <v>5.1979570864749</v>
      </c>
      <c r="I86" s="10" t="n">
        <f aca="false">I83/INP_023/INP_021</f>
        <v>4.82646692057263</v>
      </c>
      <c r="M86" s="2"/>
    </row>
    <row r="87" customFormat="false" ht="15" hidden="false" customHeight="false" outlineLevel="0" collapsed="false">
      <c r="A87" s="10" t="s">
        <v>6452</v>
      </c>
      <c r="B87" s="11" t="s">
        <v>6453</v>
      </c>
      <c r="C87" s="10" t="s">
        <v>5849</v>
      </c>
      <c r="D87" s="10" t="n">
        <f aca="false">D84/INP_023/INP_021</f>
        <v>18.5999867361713</v>
      </c>
      <c r="E87" s="10" t="n">
        <f aca="false">E84/INP_023/INP_021</f>
        <v>11.0995162707508</v>
      </c>
      <c r="F87" s="10" t="n">
        <f aca="false">F84/INP_023/INP_021</f>
        <v>8.55586450515869</v>
      </c>
      <c r="G87" s="10" t="n">
        <f aca="false">G84/INP_023/INP_021</f>
        <v>7.39175785187436</v>
      </c>
      <c r="H87" s="10" t="n">
        <f aca="false">H84/INP_023/INP_021</f>
        <v>6.80236137479478</v>
      </c>
      <c r="I87" s="10" t="n">
        <f aca="false">I84/INP_023/INP_021</f>
        <v>6.57591304011216</v>
      </c>
      <c r="M87" s="2"/>
    </row>
    <row r="88" customFormat="false" ht="15" hidden="false" customHeight="false" outlineLevel="0" collapsed="false">
      <c r="A88" s="10" t="s">
        <v>6454</v>
      </c>
      <c r="B88" s="11" t="s">
        <v>6455</v>
      </c>
      <c r="C88" s="10" t="s">
        <v>5849</v>
      </c>
      <c r="D88" s="10" t="n">
        <f aca="false">D85/INP_023/INP_021</f>
        <v>-15.6089828415781</v>
      </c>
      <c r="E88" s="10" t="n">
        <f aca="false">E85/INP_023/INP_021</f>
        <v>-5.66822612328852</v>
      </c>
      <c r="F88" s="10" t="n">
        <f aca="false">F85/INP_023/INP_021</f>
        <v>-2.94599869282304</v>
      </c>
      <c r="G88" s="10" t="n">
        <f aca="false">G85/INP_023/INP_021</f>
        <v>-1.78708997686431</v>
      </c>
      <c r="H88" s="10" t="n">
        <f aca="false">H85/INP_023/INP_021</f>
        <v>-1.60440428831989</v>
      </c>
      <c r="I88" s="10" t="n">
        <f aca="false">I85/INP_023/INP_021</f>
        <v>-1.74944611953953</v>
      </c>
      <c r="M88" s="2"/>
    </row>
    <row r="89" customFormat="false" ht="15" hidden="false" customHeight="false" outlineLevel="0" collapsed="false">
      <c r="A89" s="15" t="s">
        <v>6456</v>
      </c>
    </row>
    <row r="90" customFormat="false" ht="15" hidden="false" customHeight="false" outlineLevel="0" collapsed="false">
      <c r="A90" s="10" t="s">
        <v>6457</v>
      </c>
      <c r="B90" s="11" t="s">
        <v>6458</v>
      </c>
      <c r="C90" s="10" t="s">
        <v>63</v>
      </c>
      <c r="F90" s="16" t="n">
        <f aca="false">Compute!F200</f>
        <v>0</v>
      </c>
      <c r="G90" s="16" t="n">
        <f aca="false">Compute!G200</f>
        <v>0</v>
      </c>
      <c r="H90" s="16" t="n">
        <f aca="false">Compute!H200</f>
        <v>0</v>
      </c>
      <c r="I90" s="16" t="n">
        <f aca="false">Compute!I200</f>
        <v>0</v>
      </c>
      <c r="M90" s="13" t="s">
        <v>6459</v>
      </c>
    </row>
    <row r="91" customFormat="false" ht="15" hidden="false" customHeight="false" outlineLevel="0" collapsed="false">
      <c r="A91" s="10" t="s">
        <v>6460</v>
      </c>
      <c r="B91" s="11" t="s">
        <v>6461</v>
      </c>
      <c r="C91" s="10" t="s">
        <v>63</v>
      </c>
      <c r="F91" s="16" t="n">
        <f aca="false">Compute!F202</f>
        <v>0</v>
      </c>
      <c r="G91" s="16" t="n">
        <f aca="false">Compute!G202</f>
        <v>0</v>
      </c>
      <c r="H91" s="16" t="n">
        <f aca="false">Compute!H202</f>
        <v>0</v>
      </c>
      <c r="I91" s="16" t="n">
        <f aca="false">Compute!I202</f>
        <v>0</v>
      </c>
      <c r="M91" s="13" t="s">
        <v>6462</v>
      </c>
    </row>
    <row r="92" customFormat="false" ht="15" hidden="false" customHeight="false" outlineLevel="0" collapsed="false">
      <c r="A92" s="10" t="s">
        <v>6463</v>
      </c>
      <c r="B92" s="11" t="s">
        <v>6464</v>
      </c>
      <c r="C92" s="10" t="s">
        <v>63</v>
      </c>
      <c r="D92" s="10" t="n">
        <f aca="false">D12</f>
        <v>24.3793592</v>
      </c>
      <c r="E92" s="10" t="n">
        <f aca="false">E12</f>
        <v>61.5818735951382</v>
      </c>
      <c r="F92" s="10" t="n">
        <f aca="false">F10+F90+F91</f>
        <v>99.0884821078676</v>
      </c>
      <c r="G92" s="10" t="n">
        <f aca="false">G10+G90+G91</f>
        <v>147.411349120259</v>
      </c>
      <c r="H92" s="10" t="n">
        <f aca="false">H10+H90+H91</f>
        <v>229.762860812834</v>
      </c>
      <c r="I92" s="10" t="n">
        <f aca="false">I10+I90+I91</f>
        <v>347.033542281038</v>
      </c>
      <c r="K92" s="10" t="n">
        <f aca="false">K12</f>
        <v>21.5248006</v>
      </c>
      <c r="L92" s="10" t="n">
        <f aca="false">L12</f>
        <v>40.0570729951382</v>
      </c>
      <c r="M92" s="13" t="s">
        <v>6465</v>
      </c>
    </row>
    <row r="93" customFormat="false" ht="15" hidden="false" customHeight="false" outlineLevel="0" collapsed="false">
      <c r="A93" s="10" t="s">
        <v>6466</v>
      </c>
      <c r="B93" s="11" t="s">
        <v>6467</v>
      </c>
      <c r="C93" s="10" t="s">
        <v>63</v>
      </c>
      <c r="D93" s="10" t="n">
        <f aca="false">D43-D12+D92</f>
        <v>45.0435</v>
      </c>
      <c r="E93" s="10" t="n">
        <f aca="false">E43-E12+E92</f>
        <v>82.6020144626841</v>
      </c>
      <c r="F93" s="10" t="n">
        <f aca="false">F43-F12+F92</f>
        <v>122.433290421009</v>
      </c>
      <c r="G93" s="10" t="n">
        <f aca="false">G43-G12+G92</f>
        <v>173.384298581856</v>
      </c>
      <c r="H93" s="10" t="n">
        <f aca="false">H43-H12+H92</f>
        <v>258.707216421489</v>
      </c>
      <c r="I93" s="10" t="n">
        <f aca="false">I43-I12+I92</f>
        <v>379.33759550275</v>
      </c>
      <c r="M93" s="2"/>
    </row>
    <row r="94" customFormat="false" ht="15" hidden="false" customHeight="false" outlineLevel="0" collapsed="false">
      <c r="A94" s="10" t="s">
        <v>6468</v>
      </c>
      <c r="B94" s="11" t="s">
        <v>6469</v>
      </c>
      <c r="C94" s="10" t="s">
        <v>5966</v>
      </c>
      <c r="D94" s="10" t="n">
        <f aca="false">IF(D51,(D46-D93)/D51,D51)</f>
        <v>-13338.4765245881</v>
      </c>
      <c r="E94" s="10" t="n">
        <f aca="false">IF(E51,(E46-E93)/E51,E51)</f>
        <v>-5481.24142426472</v>
      </c>
      <c r="F94" s="10" t="n">
        <f aca="false">IF(F51,(F46-F93)/F51,F51)</f>
        <v>-2970.13722831105</v>
      </c>
      <c r="G94" s="10" t="n">
        <f aca="false">IF(G51,(G46-G93)/G51,G51)</f>
        <v>-1821.84783820811</v>
      </c>
      <c r="H94" s="10" t="n">
        <f aca="false">IF(H51,(H46-H93)/H51,H51)</f>
        <v>-1689.50058491036</v>
      </c>
      <c r="I94" s="10" t="n">
        <f aca="false">IF(I51,(I46-I93)/I51,I51)</f>
        <v>-1803.60780200926</v>
      </c>
      <c r="M94" s="13" t="s">
        <v>6470</v>
      </c>
    </row>
    <row r="95" customFormat="false" ht="15" hidden="false" customHeight="false" outlineLevel="0" collapsed="false">
      <c r="A95" s="10" t="s">
        <v>6471</v>
      </c>
      <c r="B95" s="11" t="s">
        <v>6472</v>
      </c>
      <c r="C95" s="11" t="s">
        <v>1709</v>
      </c>
      <c r="D95" s="10" t="n">
        <f aca="false">D46/D93</f>
        <v>0.160806775672406</v>
      </c>
      <c r="E95" s="10" t="n">
        <f aca="false">E46/E93</f>
        <v>0.489326743163997</v>
      </c>
      <c r="F95" s="10" t="n">
        <f aca="false">F46/F93</f>
        <v>0.655674924369504</v>
      </c>
      <c r="G95" s="10" t="n">
        <f aca="false">G46/G93</f>
        <v>0.758232072441179</v>
      </c>
      <c r="H95" s="10" t="n">
        <f aca="false">H46/H93</f>
        <v>0.764140097839438</v>
      </c>
      <c r="I95" s="10" t="n">
        <f aca="false">I46/I93</f>
        <v>0.733961488105431</v>
      </c>
      <c r="M9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6"/>
    <col collapsed="false" customWidth="true" hidden="false" outlineLevel="0" max="3" min="3" style="0" width="10"/>
    <col collapsed="false" customWidth="true" hidden="false" outlineLevel="0" max="9" min="4" style="0" width="12"/>
    <col collapsed="false" customWidth="true" hidden="false" outlineLevel="0" max="10" min="10" style="0" width="2"/>
    <col collapsed="false" customWidth="true" hidden="false" outlineLevel="0" max="12" min="11" style="0" width="12"/>
    <col collapsed="false" customWidth="true" hidden="false" outlineLevel="0" max="13" min="13" style="0" width="80"/>
  </cols>
  <sheetData>
    <row r="1" customFormat="false" ht="20.1" hidden="false" customHeight="false" outlineLevel="0" collapsed="false">
      <c r="A1" s="7" t="s">
        <v>6473</v>
      </c>
    </row>
    <row r="2" customFormat="false" ht="15" hidden="false" customHeight="false" outlineLevel="0" collapsed="false">
      <c r="A2" s="2" t="s">
        <v>6474</v>
      </c>
    </row>
    <row r="3" customFormat="false" ht="15" hidden="false" customHeight="false" outlineLevel="0" collapsed="false">
      <c r="A3" s="2" t="s">
        <v>6475</v>
      </c>
    </row>
    <row r="5" customFormat="false" ht="15" hidden="false" customHeight="false" outlineLevel="0" collapsed="false">
      <c r="A5" s="9" t="s">
        <v>5370</v>
      </c>
      <c r="B5" s="9" t="s">
        <v>39</v>
      </c>
      <c r="C5" s="9" t="s">
        <v>43</v>
      </c>
      <c r="D5" s="8" t="s">
        <v>4383</v>
      </c>
      <c r="E5" s="8" t="s">
        <v>1908</v>
      </c>
      <c r="F5" s="8" t="s">
        <v>4681</v>
      </c>
      <c r="G5" s="8" t="s">
        <v>4682</v>
      </c>
      <c r="H5" s="8" t="s">
        <v>4683</v>
      </c>
      <c r="I5" s="8" t="s">
        <v>4684</v>
      </c>
      <c r="J5" s="9"/>
      <c r="K5" s="8" t="s">
        <v>662</v>
      </c>
      <c r="L5" s="8" t="s">
        <v>4782</v>
      </c>
      <c r="M5" s="9" t="s">
        <v>4410</v>
      </c>
    </row>
    <row r="6" customFormat="false" ht="15" hidden="false" customHeight="false" outlineLevel="0" collapsed="false">
      <c r="B6" s="3" t="s">
        <v>5371</v>
      </c>
      <c r="D6" s="10" t="n">
        <f aca="false">INP_001</f>
        <v>2025</v>
      </c>
      <c r="E6" s="10" t="n">
        <f aca="false">INP_002</f>
        <v>2026</v>
      </c>
      <c r="F6" s="10" t="n">
        <f aca="false">INP_003</f>
        <v>2027</v>
      </c>
      <c r="G6" s="10" t="n">
        <f aca="false">INP_004</f>
        <v>2028</v>
      </c>
      <c r="H6" s="10" t="n">
        <f aca="false">INP_005</f>
        <v>2029</v>
      </c>
      <c r="I6" s="10" t="n">
        <f aca="false">INP_006</f>
        <v>2030</v>
      </c>
      <c r="K6" s="6" t="s">
        <v>5372</v>
      </c>
      <c r="L6" s="6" t="s">
        <v>5373</v>
      </c>
    </row>
    <row r="7" customFormat="false" ht="15" hidden="false" customHeight="false" outlineLevel="0" collapsed="false">
      <c r="A7" s="15" t="s">
        <v>6476</v>
      </c>
    </row>
    <row r="8" customFormat="false" ht="15" hidden="false" customHeight="false" outlineLevel="0" collapsed="false">
      <c r="A8" s="10" t="s">
        <v>6477</v>
      </c>
      <c r="B8" s="11" t="s">
        <v>5610</v>
      </c>
      <c r="C8" s="10" t="s">
        <v>63</v>
      </c>
      <c r="D8" s="16" t="n">
        <f aca="false">Revenue!D59</f>
        <v>7.2433</v>
      </c>
      <c r="E8" s="10" t="n">
        <f aca="false">K8+L8</f>
        <v>40.4193747158106</v>
      </c>
      <c r="F8" s="16" t="n">
        <f aca="false">Revenue!F59</f>
        <v>80.2764384371044</v>
      </c>
      <c r="G8" s="16" t="n">
        <f aca="false">Revenue!G59</f>
        <v>131.465536042481</v>
      </c>
      <c r="H8" s="16" t="n">
        <f aca="false">Revenue!H59</f>
        <v>197.688557668085</v>
      </c>
      <c r="I8" s="16" t="n">
        <f aca="false">Revenue!I59</f>
        <v>278.419186089535</v>
      </c>
      <c r="K8" s="16" t="n">
        <f aca="false">Revenue!K54</f>
        <v>9.539</v>
      </c>
      <c r="L8" s="16" t="n">
        <f aca="false">Revenue!L56*Compute!L125+Revenue!L52+Revenue!L53</f>
        <v>30.8803747158106</v>
      </c>
      <c r="M8" s="13" t="s">
        <v>6478</v>
      </c>
    </row>
    <row r="9" customFormat="false" ht="15" hidden="false" customHeight="false" outlineLevel="0" collapsed="false">
      <c r="A9" s="10" t="s">
        <v>6479</v>
      </c>
      <c r="B9" s="11" t="s">
        <v>6480</v>
      </c>
      <c r="C9" s="10" t="s">
        <v>63</v>
      </c>
      <c r="D9" s="16" t="n">
        <f aca="false">Cost!D12</f>
        <v>24.3793592</v>
      </c>
      <c r="E9" s="16" t="n">
        <f aca="false">Cost!E12</f>
        <v>61.5818735951382</v>
      </c>
      <c r="F9" s="16" t="n">
        <f aca="false">Cost!F12</f>
        <v>99.0884821078676</v>
      </c>
      <c r="G9" s="16" t="n">
        <f aca="false">Cost!G12</f>
        <v>147.411349120259</v>
      </c>
      <c r="H9" s="16" t="n">
        <f aca="false">Cost!H12</f>
        <v>229.762860812834</v>
      </c>
      <c r="I9" s="16" t="n">
        <f aca="false">Cost!I12</f>
        <v>347.033542281038</v>
      </c>
      <c r="K9" s="16" t="n">
        <f aca="false">Cost!K12</f>
        <v>21.5248006</v>
      </c>
      <c r="L9" s="16" t="n">
        <f aca="false">Cost!L12</f>
        <v>40.0570729951382</v>
      </c>
      <c r="M9" s="13" t="s">
        <v>4701</v>
      </c>
    </row>
    <row r="10" customFormat="false" ht="15" hidden="false" customHeight="false" outlineLevel="0" collapsed="false">
      <c r="A10" s="10" t="s">
        <v>6481</v>
      </c>
      <c r="B10" s="11" t="s">
        <v>6326</v>
      </c>
      <c r="C10" s="10" t="s">
        <v>63</v>
      </c>
      <c r="D10" s="16" t="n">
        <f aca="false">Cost!D28</f>
        <v>2.733</v>
      </c>
      <c r="E10" s="16" t="n">
        <f aca="false">Cost!E28</f>
        <v>3.11233545680547</v>
      </c>
      <c r="F10" s="16" t="n">
        <f aca="false">Cost!F28</f>
        <v>3.11233545680547</v>
      </c>
      <c r="G10" s="16" t="n">
        <f aca="false">Cost!G28</f>
        <v>3.11233545680547</v>
      </c>
      <c r="H10" s="16" t="n">
        <f aca="false">Cost!H28</f>
        <v>3.11233545680547</v>
      </c>
      <c r="I10" s="16" t="n">
        <f aca="false">Cost!I28</f>
        <v>3.11233545680547</v>
      </c>
      <c r="K10" s="16" t="n">
        <f aca="false">Cost!K28</f>
        <v>0.7998</v>
      </c>
      <c r="L10" s="16" t="n">
        <f aca="false">Cost!L28</f>
        <v>2.31253545680547</v>
      </c>
      <c r="M10" s="13" t="s">
        <v>6482</v>
      </c>
    </row>
    <row r="11" customFormat="false" ht="15" hidden="false" customHeight="false" outlineLevel="0" collapsed="false">
      <c r="A11" s="10" t="s">
        <v>6483</v>
      </c>
      <c r="B11" s="11" t="s">
        <v>6353</v>
      </c>
      <c r="C11" s="10" t="s">
        <v>63</v>
      </c>
      <c r="D11" s="16" t="n">
        <f aca="false">Cost!D40</f>
        <v>12.3484408</v>
      </c>
      <c r="E11" s="16" t="n">
        <f aca="false">Cost!E40</f>
        <v>16.1783910460994</v>
      </c>
      <c r="F11" s="16" t="n">
        <f aca="false">Cost!F40</f>
        <v>18.3301170552307</v>
      </c>
      <c r="G11" s="16" t="n">
        <f aca="false">Cost!G40</f>
        <v>20.7680226235764</v>
      </c>
      <c r="H11" s="16" t="n">
        <f aca="false">Cost!H40</f>
        <v>23.530169632512</v>
      </c>
      <c r="I11" s="16" t="n">
        <f aca="false">Cost!I40</f>
        <v>26.6596821936361</v>
      </c>
      <c r="K11" s="16" t="n">
        <f aca="false">Cost!K40</f>
        <v>7.9624994</v>
      </c>
      <c r="L11" s="16" t="n">
        <f aca="false">Cost!L40</f>
        <v>8.21589164609945</v>
      </c>
      <c r="M11" s="13" t="s">
        <v>6484</v>
      </c>
    </row>
    <row r="12" customFormat="false" ht="15" hidden="false" customHeight="false" outlineLevel="0" collapsed="false">
      <c r="A12" s="10" t="s">
        <v>6485</v>
      </c>
      <c r="B12" s="11" t="s">
        <v>6486</v>
      </c>
      <c r="C12" s="10" t="s">
        <v>63</v>
      </c>
      <c r="D12" s="16" t="n">
        <f aca="false">Cost!D41</f>
        <v>5.5827</v>
      </c>
      <c r="E12" s="16" t="n">
        <f aca="false">Cost!E41</f>
        <v>1.72941436464088</v>
      </c>
      <c r="F12" s="16" t="n">
        <f aca="false">Cost!F41</f>
        <v>1.90235580110497</v>
      </c>
      <c r="G12" s="16" t="n">
        <f aca="false">Cost!G41</f>
        <v>2.09259138121547</v>
      </c>
      <c r="H12" s="16" t="n">
        <f aca="false">Cost!H41</f>
        <v>2.30185051933702</v>
      </c>
      <c r="I12" s="16" t="n">
        <f aca="false">Cost!I41</f>
        <v>2.53203557127072</v>
      </c>
      <c r="K12" s="16" t="n">
        <f aca="false">Cost!K41</f>
        <v>0.8576</v>
      </c>
      <c r="L12" s="16" t="n">
        <f aca="false">Cost!L41</f>
        <v>0.871814364640884</v>
      </c>
      <c r="M12" s="13" t="s">
        <v>6487</v>
      </c>
    </row>
    <row r="13" customFormat="false" ht="15" hidden="false" customHeight="false" outlineLevel="0" collapsed="false">
      <c r="A13" s="10" t="s">
        <v>6488</v>
      </c>
      <c r="B13" s="11" t="s">
        <v>6489</v>
      </c>
      <c r="C13" s="10" t="s">
        <v>63</v>
      </c>
      <c r="D13" s="10" t="n">
        <f aca="false">D8-D9-D10-D11-D12</f>
        <v>-37.8002</v>
      </c>
      <c r="E13" s="10" t="n">
        <f aca="false">E8-E9-E10-E11-E12</f>
        <v>-42.1826397468735</v>
      </c>
      <c r="F13" s="10" t="n">
        <f aca="false">F8-F9-F10-F11-F12</f>
        <v>-42.1568519839043</v>
      </c>
      <c r="G13" s="10" t="n">
        <f aca="false">G8-G9-G10-G11-G12</f>
        <v>-41.9187625393752</v>
      </c>
      <c r="H13" s="10" t="n">
        <f aca="false">H8-H9-H10-H11-H12</f>
        <v>-61.0186587534038</v>
      </c>
      <c r="I13" s="10" t="n">
        <f aca="false">I8-I9-I10-I11-I12</f>
        <v>-100.918409413216</v>
      </c>
      <c r="K13" s="10" t="n">
        <f aca="false">K8-K9-K10-K11-K12</f>
        <v>-21.6057</v>
      </c>
      <c r="L13" s="10" t="n">
        <f aca="false">L8-L9-L10-L11-L12</f>
        <v>-20.5769397468735</v>
      </c>
      <c r="M13" s="2" t="s">
        <v>6490</v>
      </c>
    </row>
    <row r="14" customFormat="false" ht="15" hidden="false" customHeight="false" outlineLevel="0" collapsed="false">
      <c r="A14" s="10" t="s">
        <v>6491</v>
      </c>
      <c r="B14" s="11" t="s">
        <v>6492</v>
      </c>
      <c r="C14" s="10" t="s">
        <v>63</v>
      </c>
      <c r="D14" s="10" t="n">
        <f aca="false">SRC_ZP_143</f>
        <v>0.1484</v>
      </c>
      <c r="E14" s="10" t="n">
        <f aca="false">K14+L14</f>
        <v>0.4144</v>
      </c>
      <c r="F14" s="10" t="n">
        <f aca="false">INP_125</f>
        <v>0</v>
      </c>
      <c r="G14" s="10" t="n">
        <f aca="false">INP_125</f>
        <v>0</v>
      </c>
      <c r="H14" s="10" t="n">
        <f aca="false">INP_125</f>
        <v>0</v>
      </c>
      <c r="I14" s="10" t="n">
        <f aca="false">INP_125</f>
        <v>0</v>
      </c>
      <c r="K14" s="10" t="n">
        <f aca="false">SRC_ZP_203</f>
        <v>0.4144</v>
      </c>
      <c r="L14" s="10" t="n">
        <f aca="false">INP_125*INP_009/INP_007</f>
        <v>0</v>
      </c>
      <c r="M14" s="13" t="s">
        <v>6493</v>
      </c>
    </row>
    <row r="15" customFormat="false" ht="15" hidden="false" customHeight="false" outlineLevel="0" collapsed="false">
      <c r="A15" s="10" t="s">
        <v>6494</v>
      </c>
      <c r="B15" s="11" t="s">
        <v>6495</v>
      </c>
      <c r="C15" s="10" t="s">
        <v>63</v>
      </c>
      <c r="D15" s="10" t="n">
        <f aca="false">SRC_ZP_144</f>
        <v>0.7431</v>
      </c>
      <c r="E15" s="10" t="n">
        <f aca="false">K15+L15</f>
        <v>1.29576139178082</v>
      </c>
      <c r="F15" s="10" t="n">
        <f aca="false">E29*INP_126</f>
        <v>0.667437</v>
      </c>
      <c r="G15" s="10" t="n">
        <f aca="false">F29*INP_126</f>
        <v>0.667437</v>
      </c>
      <c r="H15" s="10" t="n">
        <f aca="false">G29*INP_126</f>
        <v>0.667437</v>
      </c>
      <c r="I15" s="10" t="n">
        <f aca="false">H29*INP_126</f>
        <v>0.667437</v>
      </c>
      <c r="K15" s="10" t="n">
        <f aca="false">SRC_ZP_204</f>
        <v>0.9593</v>
      </c>
      <c r="L15" s="10" t="n">
        <f aca="false">K29*INP_126*INP_009/INP_007</f>
        <v>0.336461391780822</v>
      </c>
      <c r="M15" s="2" t="s">
        <v>6496</v>
      </c>
    </row>
    <row r="16" customFormat="false" ht="15" hidden="false" customHeight="false" outlineLevel="0" collapsed="false">
      <c r="A16" s="10" t="s">
        <v>6497</v>
      </c>
      <c r="B16" s="11" t="s">
        <v>6498</v>
      </c>
      <c r="C16" s="10" t="s">
        <v>63</v>
      </c>
      <c r="D16" s="10" t="n">
        <f aca="false">D13+D12+D14-D15</f>
        <v>-32.8122</v>
      </c>
      <c r="E16" s="10" t="n">
        <f aca="false">E13+E12+E14-E15</f>
        <v>-41.3345867740134</v>
      </c>
      <c r="F16" s="10" t="n">
        <f aca="false">F13+F12+F14-F15</f>
        <v>-40.9219331827993</v>
      </c>
      <c r="G16" s="10" t="n">
        <f aca="false">G13+G12+G14-G15</f>
        <v>-40.4936081581597</v>
      </c>
      <c r="H16" s="10" t="n">
        <f aca="false">H13+H12+H14-H15</f>
        <v>-59.3842452340668</v>
      </c>
      <c r="I16" s="10" t="n">
        <f aca="false">I13+I12+I14-I15</f>
        <v>-99.0538108419448</v>
      </c>
      <c r="K16" s="10" t="n">
        <f aca="false">K13+K12+K14-K15</f>
        <v>-21.293</v>
      </c>
      <c r="L16" s="10" t="n">
        <f aca="false">L13+L12+L14-L15</f>
        <v>-20.0415867740134</v>
      </c>
      <c r="M16" s="2" t="s">
        <v>6499</v>
      </c>
    </row>
    <row r="17" customFormat="false" ht="15" hidden="false" customHeight="false" outlineLevel="0" collapsed="false">
      <c r="A17" s="15" t="s">
        <v>6500</v>
      </c>
    </row>
    <row r="18" customFormat="false" ht="15" hidden="false" customHeight="false" outlineLevel="0" collapsed="false">
      <c r="A18" s="10" t="s">
        <v>6501</v>
      </c>
      <c r="B18" s="11" t="s">
        <v>6502</v>
      </c>
      <c r="C18" s="10" t="s">
        <v>63</v>
      </c>
      <c r="D18" s="10" t="n">
        <f aca="false">SRC_ZP_149</f>
        <v>0.747</v>
      </c>
      <c r="E18" s="10" t="n">
        <f aca="false">K18+L18</f>
        <v>4.28408219178082</v>
      </c>
      <c r="F18" s="10" t="n">
        <f aca="false">INP_131</f>
        <v>0.75</v>
      </c>
      <c r="G18" s="10" t="n">
        <f aca="false">INP_131</f>
        <v>0.75</v>
      </c>
      <c r="H18" s="10" t="n">
        <f aca="false">INP_131</f>
        <v>0.75</v>
      </c>
      <c r="I18" s="10" t="n">
        <f aca="false">INP_131</f>
        <v>0.75</v>
      </c>
      <c r="K18" s="10" t="n">
        <f aca="false">SRC_ZP_209</f>
        <v>3.906</v>
      </c>
      <c r="L18" s="10" t="n">
        <f aca="false">INP_131*INP_009/INP_007</f>
        <v>0.378082191780822</v>
      </c>
      <c r="M18" s="13" t="s">
        <v>6503</v>
      </c>
    </row>
    <row r="19" customFormat="false" ht="15" hidden="false" customHeight="false" outlineLevel="0" collapsed="false">
      <c r="A19" s="10" t="s">
        <v>6504</v>
      </c>
      <c r="B19" s="11" t="s">
        <v>6505</v>
      </c>
      <c r="C19" s="10" t="s">
        <v>63</v>
      </c>
      <c r="K19" s="10" t="n">
        <f aca="false">SRC_ZP_555/INP_020</f>
        <v>3.6052</v>
      </c>
      <c r="M19" s="13" t="s">
        <v>6506</v>
      </c>
    </row>
    <row r="20" customFormat="false" ht="15" hidden="false" customHeight="false" outlineLevel="0" collapsed="false">
      <c r="A20" s="10" t="s">
        <v>6507</v>
      </c>
      <c r="B20" s="11" t="s">
        <v>6508</v>
      </c>
      <c r="C20" s="10" t="s">
        <v>63</v>
      </c>
      <c r="E20" s="10" t="n">
        <f aca="false">L20</f>
        <v>3</v>
      </c>
      <c r="L20" s="10" t="n">
        <f aca="false">INP_132</f>
        <v>3</v>
      </c>
      <c r="M20" s="13" t="s">
        <v>6509</v>
      </c>
    </row>
    <row r="21" customFormat="false" ht="15" hidden="false" customHeight="false" outlineLevel="0" collapsed="false">
      <c r="A21" s="10" t="s">
        <v>6510</v>
      </c>
      <c r="B21" s="11" t="s">
        <v>6511</v>
      </c>
      <c r="C21" s="10" t="s">
        <v>63</v>
      </c>
      <c r="D21" s="10" t="n">
        <f aca="false">D16-D18</f>
        <v>-33.5592</v>
      </c>
      <c r="E21" s="10" t="n">
        <f aca="false">E16-E18-E20</f>
        <v>-48.6186689657942</v>
      </c>
      <c r="F21" s="10" t="n">
        <f aca="false">F16-F18</f>
        <v>-41.6719331827993</v>
      </c>
      <c r="G21" s="10" t="n">
        <f aca="false">G16-G18</f>
        <v>-41.2436081581597</v>
      </c>
      <c r="H21" s="10" t="n">
        <f aca="false">H16-H18</f>
        <v>-60.1342452340668</v>
      </c>
      <c r="I21" s="10" t="n">
        <f aca="false">I16-I18</f>
        <v>-99.8038108419448</v>
      </c>
      <c r="K21" s="10" t="n">
        <f aca="false">K16-K18</f>
        <v>-25.199</v>
      </c>
      <c r="L21" s="10" t="n">
        <f aca="false">L16-L18-L20</f>
        <v>-23.4196689657942</v>
      </c>
      <c r="M21" s="2"/>
    </row>
    <row r="22" customFormat="false" ht="15" hidden="false" customHeight="false" outlineLevel="0" collapsed="false">
      <c r="A22" s="15" t="s">
        <v>6512</v>
      </c>
    </row>
    <row r="23" customFormat="false" ht="15" hidden="false" customHeight="false" outlineLevel="0" collapsed="false">
      <c r="A23" s="10" t="s">
        <v>6513</v>
      </c>
      <c r="B23" s="10" t="s">
        <v>6514</v>
      </c>
      <c r="C23" s="10" t="s">
        <v>63</v>
      </c>
      <c r="E23" s="10" t="n">
        <f aca="false">K23</f>
        <v>42.06961926</v>
      </c>
      <c r="K23" s="10" t="n">
        <f aca="false">SRC_ZP_522*INP_024/INP_020</f>
        <v>42.06961926</v>
      </c>
      <c r="M23" s="13" t="s">
        <v>6515</v>
      </c>
    </row>
    <row r="24" customFormat="false" ht="15" hidden="false" customHeight="false" outlineLevel="0" collapsed="false">
      <c r="A24" s="10" t="s">
        <v>6516</v>
      </c>
      <c r="B24" s="10" t="s">
        <v>6517</v>
      </c>
      <c r="C24" s="10" t="s">
        <v>63</v>
      </c>
      <c r="E24" s="10" t="n">
        <f aca="false">L24</f>
        <v>269.582982885</v>
      </c>
      <c r="L24" s="10" t="n">
        <f aca="false">SRC_ZP_536*INP_024/INP_020</f>
        <v>269.582982885</v>
      </c>
      <c r="M24" s="13" t="s">
        <v>6518</v>
      </c>
    </row>
    <row r="25" customFormat="false" ht="15" hidden="false" customHeight="false" outlineLevel="0" collapsed="false">
      <c r="A25" s="10" t="s">
        <v>6519</v>
      </c>
      <c r="B25" s="10" t="s">
        <v>6520</v>
      </c>
      <c r="C25" s="10" t="s">
        <v>63</v>
      </c>
      <c r="E25" s="10" t="n">
        <f aca="false">L25</f>
        <v>134.590904199</v>
      </c>
      <c r="L25" s="10" t="n">
        <f aca="false">SRC_ZP_544*INP_024/INP_020</f>
        <v>134.590904199</v>
      </c>
      <c r="M25" s="13" t="s">
        <v>6521</v>
      </c>
    </row>
    <row r="26" customFormat="false" ht="15" hidden="false" customHeight="false" outlineLevel="0" collapsed="false">
      <c r="A26" s="10" t="s">
        <v>6522</v>
      </c>
      <c r="B26" s="11" t="s">
        <v>6523</v>
      </c>
      <c r="C26" s="10" t="s">
        <v>63</v>
      </c>
      <c r="E26" s="10" t="n">
        <f aca="false">K26+L26</f>
        <v>446.243506344</v>
      </c>
      <c r="K26" s="10" t="n">
        <f aca="false">K23</f>
        <v>42.06961926</v>
      </c>
      <c r="L26" s="10" t="n">
        <f aca="false">L24+L25</f>
        <v>404.173887084</v>
      </c>
      <c r="M26" s="2"/>
    </row>
    <row r="27" customFormat="false" ht="15" hidden="false" customHeight="false" outlineLevel="0" collapsed="false">
      <c r="A27" s="10" t="s">
        <v>6524</v>
      </c>
      <c r="B27" s="10" t="s">
        <v>6525</v>
      </c>
      <c r="C27" s="10" t="s">
        <v>63</v>
      </c>
      <c r="E27" s="10" t="n">
        <f aca="false">L27</f>
        <v>202.92288723</v>
      </c>
      <c r="L27" s="10" t="n">
        <f aca="false">SRC_ZP_547*INP_023/INP_020</f>
        <v>202.92288723</v>
      </c>
      <c r="M27" s="13" t="s">
        <v>6526</v>
      </c>
    </row>
    <row r="28" customFormat="false" ht="15" hidden="false" customHeight="false" outlineLevel="0" collapsed="false">
      <c r="A28" s="10" t="s">
        <v>6527</v>
      </c>
      <c r="B28" s="11" t="s">
        <v>6528</v>
      </c>
      <c r="C28" s="10" t="s">
        <v>63</v>
      </c>
      <c r="F28" s="10" t="n">
        <f aca="false">INP_127*SRC_ZP_214</f>
        <v>0</v>
      </c>
      <c r="G28" s="10" t="n">
        <f aca="false">INP_127*SRC_ZP_215</f>
        <v>0</v>
      </c>
      <c r="M28" s="2" t="s">
        <v>6529</v>
      </c>
    </row>
    <row r="29" customFormat="false" ht="15" hidden="false" customHeight="false" outlineLevel="0" collapsed="false">
      <c r="A29" s="10" t="s">
        <v>6530</v>
      </c>
      <c r="B29" s="11" t="s">
        <v>6531</v>
      </c>
      <c r="C29" s="10" t="s">
        <v>63</v>
      </c>
      <c r="D29" s="10" t="n">
        <f aca="false">SRC_ZP_155</f>
        <v>6.8945</v>
      </c>
      <c r="E29" s="10" t="n">
        <f aca="false">L29</f>
        <v>22.2479</v>
      </c>
      <c r="F29" s="10" t="n">
        <f aca="false">E29-F28</f>
        <v>22.2479</v>
      </c>
      <c r="G29" s="10" t="n">
        <f aca="false">F29-G28</f>
        <v>22.2479</v>
      </c>
      <c r="H29" s="10" t="n">
        <f aca="false">G29</f>
        <v>22.2479</v>
      </c>
      <c r="I29" s="10" t="n">
        <f aca="false">H29</f>
        <v>22.2479</v>
      </c>
      <c r="K29" s="10" t="n">
        <f aca="false">SRC_ZP_213</f>
        <v>22.2479</v>
      </c>
      <c r="L29" s="10" t="n">
        <f aca="false">K29</f>
        <v>22.2479</v>
      </c>
      <c r="M29" s="13" t="s">
        <v>6532</v>
      </c>
    </row>
    <row r="30" customFormat="false" ht="15" hidden="false" customHeight="false" outlineLevel="0" collapsed="false">
      <c r="A30" s="10" t="s">
        <v>6533</v>
      </c>
      <c r="B30" s="11" t="s">
        <v>6534</v>
      </c>
      <c r="C30" s="10" t="s">
        <v>63</v>
      </c>
      <c r="D30" s="10" t="n">
        <f aca="false">D29-SRC_ZP_980</f>
        <v>5.522</v>
      </c>
      <c r="E30" s="10" t="n">
        <f aca="false">E29-D29</f>
        <v>15.3534</v>
      </c>
      <c r="F30" s="10" t="n">
        <f aca="false">F29-E29</f>
        <v>0</v>
      </c>
      <c r="G30" s="10" t="n">
        <f aca="false">G29-F29</f>
        <v>0</v>
      </c>
      <c r="H30" s="10" t="n">
        <f aca="false">H29-G29</f>
        <v>0</v>
      </c>
      <c r="I30" s="10" t="n">
        <f aca="false">I29-H29</f>
        <v>0</v>
      </c>
      <c r="K30" s="10" t="n">
        <f aca="false">K29-D29</f>
        <v>15.3534</v>
      </c>
      <c r="L30" s="10" t="n">
        <f aca="false">L29-K29</f>
        <v>0</v>
      </c>
      <c r="M30" s="13" t="s">
        <v>6535</v>
      </c>
    </row>
    <row r="31" customFormat="false" ht="15" hidden="false" customHeight="false" outlineLevel="0" collapsed="false">
      <c r="A31" s="10" t="s">
        <v>6536</v>
      </c>
      <c r="B31" s="11" t="s">
        <v>6537</v>
      </c>
      <c r="C31" s="10" t="s">
        <v>63</v>
      </c>
      <c r="E31" s="10" t="n">
        <f aca="false">K31+L31</f>
        <v>664.519793574</v>
      </c>
      <c r="F31" s="10" t="n">
        <f aca="false">F30</f>
        <v>0</v>
      </c>
      <c r="G31" s="10" t="n">
        <f aca="false">G30</f>
        <v>0</v>
      </c>
      <c r="H31" s="10" t="n">
        <f aca="false">H30</f>
        <v>0</v>
      </c>
      <c r="I31" s="10" t="n">
        <f aca="false">I30</f>
        <v>0</v>
      </c>
      <c r="K31" s="10" t="n">
        <f aca="false">K26+K30</f>
        <v>57.42301926</v>
      </c>
      <c r="L31" s="10" t="n">
        <f aca="false">L26+L27+L30</f>
        <v>607.096774314</v>
      </c>
      <c r="M31" s="2" t="s">
        <v>6538</v>
      </c>
    </row>
    <row r="32" customFormat="false" ht="15" hidden="false" customHeight="false" outlineLevel="0" collapsed="false">
      <c r="A32" s="10" t="s">
        <v>6539</v>
      </c>
      <c r="B32" s="11" t="s">
        <v>6540</v>
      </c>
      <c r="C32" s="10" t="s">
        <v>63</v>
      </c>
      <c r="F32" s="10" t="n">
        <f aca="false">SRC_ZP_545*INP_129*(1-INP_128)*(F$6=INP_130)</f>
        <v>201.4</v>
      </c>
      <c r="G32" s="10" t="n">
        <f aca="false">SRC_ZP_545*INP_129*(1-INP_128)*(G$6=INP_130)</f>
        <v>0</v>
      </c>
      <c r="H32" s="10" t="n">
        <f aca="false">SRC_ZP_545*INP_129*(1-INP_128)*(H$6=INP_130)</f>
        <v>0</v>
      </c>
      <c r="I32" s="10" t="n">
        <f aca="false">SRC_ZP_545*INP_129*(1-INP_128)*(I$6=INP_130)</f>
        <v>0</v>
      </c>
      <c r="M32" s="13" t="s">
        <v>6541</v>
      </c>
    </row>
    <row r="33" customFormat="false" ht="15" hidden="false" customHeight="false" outlineLevel="0" collapsed="false">
      <c r="A33" s="15" t="s">
        <v>6542</v>
      </c>
    </row>
    <row r="34" customFormat="false" ht="15" hidden="false" customHeight="false" outlineLevel="0" collapsed="false">
      <c r="A34" s="10" t="s">
        <v>6543</v>
      </c>
      <c r="B34" s="11" t="s">
        <v>6544</v>
      </c>
      <c r="C34" s="10" t="s">
        <v>63</v>
      </c>
      <c r="D34" s="16" t="n">
        <f aca="false">(Cost!E12+Cost!E40)*INP_124/INP_010</f>
        <v>38.8801323206188</v>
      </c>
      <c r="E34" s="16" t="n">
        <f aca="false">(Cost!F12+Cost!F40)*INP_124/INP_010</f>
        <v>58.7092995815491</v>
      </c>
      <c r="F34" s="16" t="n">
        <f aca="false">(Cost!G12+Cost!G40)*INP_124/INP_010</f>
        <v>84.0896858719176</v>
      </c>
      <c r="G34" s="16" t="n">
        <f aca="false">(Cost!H12+Cost!H40)*INP_124/INP_010</f>
        <v>126.646515222673</v>
      </c>
      <c r="H34" s="16" t="n">
        <f aca="false">(Cost!I12+Cost!I40)*INP_124/INP_010</f>
        <v>186.846612237337</v>
      </c>
      <c r="I34" s="16" t="n">
        <f aca="false">(Cost!I12+Cost!I40)*INP_124/INP_010</f>
        <v>186.846612237337</v>
      </c>
      <c r="M34" s="13" t="s">
        <v>6545</v>
      </c>
    </row>
    <row r="35" customFormat="false" ht="15" hidden="false" customHeight="false" outlineLevel="0" collapsed="false">
      <c r="A35" s="10" t="s">
        <v>6546</v>
      </c>
      <c r="B35" s="11" t="s">
        <v>6547</v>
      </c>
      <c r="C35" s="10" t="s">
        <v>63</v>
      </c>
      <c r="E35" s="10" t="n">
        <f aca="false">D39</f>
        <v>22.5915</v>
      </c>
      <c r="F35" s="10" t="n">
        <f aca="false">E39</f>
        <v>623.614305348206</v>
      </c>
      <c r="G35" s="10" t="n">
        <f aca="false">F39</f>
        <v>380.542372165407</v>
      </c>
      <c r="H35" s="10" t="n">
        <f aca="false">G39</f>
        <v>339.298764007247</v>
      </c>
      <c r="I35" s="10" t="n">
        <f aca="false">H39</f>
        <v>279.16451877318</v>
      </c>
      <c r="K35" s="10" t="n">
        <f aca="false">D39</f>
        <v>22.5915</v>
      </c>
      <c r="L35" s="10" t="n">
        <f aca="false">K39</f>
        <v>39.9372</v>
      </c>
      <c r="M35" s="13" t="s">
        <v>6548</v>
      </c>
    </row>
    <row r="36" customFormat="false" ht="15" hidden="false" customHeight="false" outlineLevel="0" collapsed="false">
      <c r="A36" s="10" t="s">
        <v>6549</v>
      </c>
      <c r="B36" s="10" t="s">
        <v>6550</v>
      </c>
      <c r="C36" s="10" t="s">
        <v>63</v>
      </c>
      <c r="E36" s="10" t="n">
        <f aca="false">K36</f>
        <v>-14.87831926</v>
      </c>
      <c r="K36" s="10" t="n">
        <f aca="false">SRC_ZP_211-(K35+K21+K31)</f>
        <v>-14.87831926</v>
      </c>
      <c r="M36" s="2" t="s">
        <v>6551</v>
      </c>
    </row>
    <row r="37" customFormat="false" ht="15" hidden="false" customHeight="false" outlineLevel="0" collapsed="false">
      <c r="A37" s="10" t="s">
        <v>6552</v>
      </c>
      <c r="B37" s="11" t="s">
        <v>6553</v>
      </c>
      <c r="C37" s="10" t="s">
        <v>63</v>
      </c>
      <c r="E37" s="10" t="n">
        <f aca="false">L37</f>
        <v>623.614305348206</v>
      </c>
      <c r="F37" s="10" t="n">
        <f aca="false">F35+F21+F31-F32</f>
        <v>380.542372165407</v>
      </c>
      <c r="G37" s="10" t="n">
        <f aca="false">G35+G21+G31-G32</f>
        <v>339.298764007247</v>
      </c>
      <c r="H37" s="10" t="n">
        <f aca="false">H35+H21+H31-H32</f>
        <v>279.16451877318</v>
      </c>
      <c r="I37" s="10" t="n">
        <f aca="false">I35+I21+I31-I32</f>
        <v>179.360707931235</v>
      </c>
      <c r="K37" s="10" t="n">
        <f aca="false">K35+K21+K31+K36</f>
        <v>39.9372</v>
      </c>
      <c r="L37" s="10" t="n">
        <f aca="false">L35+L21+L31</f>
        <v>623.614305348206</v>
      </c>
      <c r="M37" s="13" t="s">
        <v>6554</v>
      </c>
    </row>
    <row r="38" customFormat="false" ht="15" hidden="false" customHeight="false" outlineLevel="0" collapsed="false">
      <c r="A38" s="10" t="s">
        <v>6555</v>
      </c>
      <c r="B38" s="11" t="s">
        <v>6556</v>
      </c>
      <c r="C38" s="10" t="s">
        <v>63</v>
      </c>
      <c r="E38" s="10" t="n">
        <f aca="false">(E34-E37)*(E34&gt;E37)</f>
        <v>-0</v>
      </c>
      <c r="F38" s="10" t="n">
        <f aca="false">(F34-F37)*(F34&gt;F37)</f>
        <v>-0</v>
      </c>
      <c r="G38" s="10" t="n">
        <f aca="false">(G34-G37)*(G34&gt;G37)</f>
        <v>-0</v>
      </c>
      <c r="H38" s="10" t="n">
        <f aca="false">(H34-H37)*(H34&gt;H37)</f>
        <v>-0</v>
      </c>
      <c r="I38" s="10" t="n">
        <f aca="false">(I34-I37)*(I34&gt;I37)</f>
        <v>7.48590430610167</v>
      </c>
      <c r="M38" s="2" t="s">
        <v>6557</v>
      </c>
    </row>
    <row r="39" customFormat="false" ht="15" hidden="false" customHeight="false" outlineLevel="0" collapsed="false">
      <c r="A39" s="10" t="s">
        <v>6558</v>
      </c>
      <c r="B39" s="11" t="s">
        <v>6559</v>
      </c>
      <c r="C39" s="10" t="s">
        <v>63</v>
      </c>
      <c r="D39" s="10" t="n">
        <f aca="false">SRC_ZP_151</f>
        <v>22.5915</v>
      </c>
      <c r="E39" s="10" t="n">
        <f aca="false">L39</f>
        <v>623.614305348206</v>
      </c>
      <c r="F39" s="10" t="n">
        <f aca="false">F37+F38</f>
        <v>380.542372165407</v>
      </c>
      <c r="G39" s="10" t="n">
        <f aca="false">G37+G38</f>
        <v>339.298764007247</v>
      </c>
      <c r="H39" s="10" t="n">
        <f aca="false">H37+H38</f>
        <v>279.16451877318</v>
      </c>
      <c r="I39" s="10" t="n">
        <f aca="false">I37+I38</f>
        <v>186.846612237337</v>
      </c>
      <c r="K39" s="10" t="n">
        <f aca="false">K37</f>
        <v>39.9372</v>
      </c>
      <c r="L39" s="10" t="n">
        <f aca="false">L37+E38</f>
        <v>623.614305348206</v>
      </c>
      <c r="M39" s="13" t="s">
        <v>6560</v>
      </c>
    </row>
    <row r="40" customFormat="false" ht="15" hidden="false" customHeight="false" outlineLevel="0" collapsed="false">
      <c r="A40" s="10" t="s">
        <v>6561</v>
      </c>
      <c r="B40" s="11" t="s">
        <v>6562</v>
      </c>
      <c r="C40" s="10" t="s">
        <v>63</v>
      </c>
      <c r="E40" s="10" t="n">
        <f aca="false">E38</f>
        <v>-0</v>
      </c>
      <c r="F40" s="10" t="n">
        <f aca="false">E40+F38</f>
        <v>-0</v>
      </c>
      <c r="G40" s="10" t="n">
        <f aca="false">F40+G38</f>
        <v>-0</v>
      </c>
      <c r="H40" s="10" t="n">
        <f aca="false">G40+H38</f>
        <v>-0</v>
      </c>
      <c r="I40" s="10" t="n">
        <f aca="false">H40+I38</f>
        <v>7.48590430610167</v>
      </c>
      <c r="M40" s="2" t="s">
        <v>6563</v>
      </c>
    </row>
    <row r="41" customFormat="false" ht="15" hidden="false" customHeight="false" outlineLevel="0" collapsed="false">
      <c r="A41" s="10" t="s">
        <v>6564</v>
      </c>
      <c r="B41" s="11" t="s">
        <v>6565</v>
      </c>
      <c r="C41" s="11" t="s">
        <v>6037</v>
      </c>
      <c r="E41" s="10" t="n">
        <f aca="false">SIGN(E38)</f>
        <v>0</v>
      </c>
      <c r="F41" s="10" t="n">
        <f aca="false">SIGN(F38)</f>
        <v>0</v>
      </c>
      <c r="G41" s="10" t="n">
        <f aca="false">SIGN(G38)</f>
        <v>0</v>
      </c>
      <c r="H41" s="10" t="n">
        <f aca="false">SIGN(H38)</f>
        <v>0</v>
      </c>
      <c r="I41" s="10" t="n">
        <f aca="false">SIGN(I38)</f>
        <v>1</v>
      </c>
      <c r="M41" s="2"/>
    </row>
    <row r="42" customFormat="false" ht="15" hidden="false" customHeight="false" outlineLevel="0" collapsed="false">
      <c r="A42" s="10" t="s">
        <v>6566</v>
      </c>
      <c r="B42" s="11" t="s">
        <v>6567</v>
      </c>
      <c r="C42" s="11" t="s">
        <v>2665</v>
      </c>
      <c r="E42" s="10" t="str">
        <f aca="false">IF(E41,E$6,"")</f>
        <v/>
      </c>
      <c r="F42" s="10" t="str">
        <f aca="false">IF(F41,F$6,"")</f>
        <v/>
      </c>
      <c r="G42" s="10" t="str">
        <f aca="false">IF(G41,G$6,"")</f>
        <v/>
      </c>
      <c r="H42" s="10" t="str">
        <f aca="false">IF(H41,H$6,"")</f>
        <v/>
      </c>
      <c r="I42" s="10" t="n">
        <f aca="false">IF(I41,I$6,"")</f>
        <v>2030</v>
      </c>
      <c r="M42" s="2"/>
    </row>
    <row r="43" customFormat="false" ht="15" hidden="false" customHeight="false" outlineLevel="0" collapsed="false">
      <c r="A43" s="10" t="s">
        <v>6568</v>
      </c>
      <c r="B43" s="11" t="s">
        <v>6569</v>
      </c>
      <c r="C43" s="11" t="s">
        <v>2665</v>
      </c>
      <c r="E43" s="10" t="str">
        <f aca="false">IF(AND(E41,E38=MAX($E$38:$I$38)),E$6,"")</f>
        <v/>
      </c>
      <c r="F43" s="10" t="str">
        <f aca="false">IF(AND(F41,F38=MAX($E$38:$I$38)),F$6,"")</f>
        <v/>
      </c>
      <c r="G43" s="10" t="str">
        <f aca="false">IF(AND(G41,G38=MAX($E$38:$I$38)),G$6,"")</f>
        <v/>
      </c>
      <c r="H43" s="10" t="str">
        <f aca="false">IF(AND(H41,H38=MAX($E$38:$I$38)),H$6,"")</f>
        <v/>
      </c>
      <c r="I43" s="10" t="n">
        <f aca="false">IF(AND(I41,I38=MAX($E$38:$I$38)),I$6,"")</f>
        <v>2030</v>
      </c>
      <c r="M43" s="2"/>
    </row>
    <row r="44" customFormat="false" ht="15" hidden="false" customHeight="false" outlineLevel="0" collapsed="false">
      <c r="A44" s="10" t="s">
        <v>6570</v>
      </c>
      <c r="B44" s="11" t="s">
        <v>6571</v>
      </c>
      <c r="C44" s="10" t="s">
        <v>63</v>
      </c>
      <c r="E44" s="10" t="n">
        <f aca="false">L37</f>
        <v>623.614305348206</v>
      </c>
      <c r="F44" s="10" t="n">
        <f aca="false">E44+F21+F31-F32</f>
        <v>380.542372165407</v>
      </c>
      <c r="G44" s="10" t="n">
        <f aca="false">F44+G21+G31-G32</f>
        <v>339.298764007247</v>
      </c>
      <c r="H44" s="10" t="n">
        <f aca="false">G44+H21+H31-H32</f>
        <v>279.16451877318</v>
      </c>
      <c r="I44" s="10" t="n">
        <f aca="false">H44+I21+I31-I32</f>
        <v>179.360707931235</v>
      </c>
      <c r="M44" s="2" t="s">
        <v>6572</v>
      </c>
    </row>
    <row r="45" customFormat="false" ht="15" hidden="false" customHeight="false" outlineLevel="0" collapsed="false">
      <c r="A45" s="10" t="s">
        <v>6573</v>
      </c>
      <c r="B45" s="11" t="s">
        <v>6574</v>
      </c>
      <c r="C45" s="11" t="s">
        <v>2665</v>
      </c>
      <c r="E45" s="10" t="str">
        <f aca="false">IF(E44&lt;E34,E$6,"")</f>
        <v/>
      </c>
      <c r="F45" s="10" t="str">
        <f aca="false">IF(F44&lt;F34,F$6,"")</f>
        <v/>
      </c>
      <c r="G45" s="10" t="str">
        <f aca="false">IF(G44&lt;G34,G$6,"")</f>
        <v/>
      </c>
      <c r="H45" s="10" t="str">
        <f aca="false">IF(H44&lt;H34,H$6,"")</f>
        <v/>
      </c>
      <c r="I45" s="10" t="n">
        <f aca="false">IF(I44&lt;I34,I$6,"")</f>
        <v>2030</v>
      </c>
      <c r="M45" s="2"/>
    </row>
    <row r="46" customFormat="false" ht="15" hidden="false" customHeight="false" outlineLevel="0" collapsed="false">
      <c r="A46" s="10" t="s">
        <v>6575</v>
      </c>
      <c r="B46" s="11" t="s">
        <v>6576</v>
      </c>
      <c r="C46" s="11" t="s">
        <v>2665</v>
      </c>
      <c r="D46" s="10" t="n">
        <f aca="false">IF(COUNT($E$42:$I$42),MIN($E$42:$I$42),"期間內無")</f>
        <v>2030</v>
      </c>
      <c r="M46" s="2"/>
    </row>
    <row r="47" customFormat="false" ht="15" hidden="false" customHeight="false" outlineLevel="0" collapsed="false">
      <c r="A47" s="10" t="s">
        <v>6577</v>
      </c>
      <c r="B47" s="11" t="s">
        <v>6578</v>
      </c>
      <c r="C47" s="11" t="s">
        <v>2665</v>
      </c>
      <c r="D47" s="10" t="n">
        <f aca="false">IF(COUNT($E$43:$I$43),MIN($E$43:$I$43),"期間內無")</f>
        <v>2030</v>
      </c>
      <c r="M47" s="2"/>
    </row>
    <row r="48" customFormat="false" ht="15" hidden="false" customHeight="false" outlineLevel="0" collapsed="false">
      <c r="A48" s="10" t="s">
        <v>6579</v>
      </c>
      <c r="B48" s="11" t="s">
        <v>6580</v>
      </c>
      <c r="C48" s="10" t="s">
        <v>63</v>
      </c>
      <c r="D48" s="10" t="n">
        <f aca="false">MAX($E$38:$I$38)</f>
        <v>7.48590430610167</v>
      </c>
      <c r="M48" s="2"/>
    </row>
    <row r="49" customFormat="false" ht="15" hidden="false" customHeight="false" outlineLevel="0" collapsed="false">
      <c r="A49" s="10" t="s">
        <v>6581</v>
      </c>
      <c r="B49" s="11" t="s">
        <v>6582</v>
      </c>
      <c r="C49" s="11" t="s">
        <v>2665</v>
      </c>
      <c r="D49" s="10" t="n">
        <f aca="false">IF(COUNT($E$45:$I$45),MIN($E$45:$I$45),"期間內無")</f>
        <v>2030</v>
      </c>
      <c r="M49" s="2"/>
    </row>
    <row r="50" customFormat="false" ht="15" hidden="false" customHeight="false" outlineLevel="0" collapsed="false">
      <c r="A50" s="10" t="s">
        <v>6583</v>
      </c>
      <c r="B50" s="11" t="s">
        <v>6584</v>
      </c>
      <c r="C50" s="11" t="s">
        <v>2665</v>
      </c>
      <c r="D50" s="10" t="n">
        <f aca="false">IF(I21&lt;ABS(I21),I39/(-I21),"融資前現金流為正")</f>
        <v>1.8721390562254</v>
      </c>
      <c r="M50" s="2" t="s">
        <v>6585</v>
      </c>
    </row>
    <row r="51" customFormat="false" ht="15" hidden="false" customHeight="false" outlineLevel="0" collapsed="false">
      <c r="A51" s="15" t="s">
        <v>6586</v>
      </c>
    </row>
    <row r="52" customFormat="false" ht="15" hidden="false" customHeight="false" outlineLevel="0" collapsed="false">
      <c r="A52" s="10" t="s">
        <v>6587</v>
      </c>
      <c r="B52" s="11" t="s">
        <v>6588</v>
      </c>
      <c r="C52" s="10" t="s">
        <v>63</v>
      </c>
      <c r="E52" s="10" t="n">
        <f aca="false">E37</f>
        <v>623.614305348206</v>
      </c>
      <c r="F52" s="10" t="n">
        <f aca="false">E54+F21+F31</f>
        <v>581.942372165407</v>
      </c>
      <c r="G52" s="10" t="n">
        <f aca="false">F54+G21+G31</f>
        <v>540.698764007247</v>
      </c>
      <c r="H52" s="10" t="n">
        <f aca="false">G54+H21+H31</f>
        <v>480.56451877318</v>
      </c>
      <c r="I52" s="10" t="n">
        <f aca="false">H54+I21+I31</f>
        <v>380.760707931235</v>
      </c>
      <c r="M52" s="2"/>
    </row>
    <row r="53" customFormat="false" ht="15" hidden="false" customHeight="false" outlineLevel="0" collapsed="false">
      <c r="A53" s="10" t="s">
        <v>6589</v>
      </c>
      <c r="B53" s="11" t="s">
        <v>6590</v>
      </c>
      <c r="C53" s="10" t="s">
        <v>63</v>
      </c>
      <c r="E53" s="10" t="n">
        <f aca="false">(E34-E52)*(E34&gt;E52)</f>
        <v>-0</v>
      </c>
      <c r="F53" s="10" t="n">
        <f aca="false">(F34-F52)*(F34&gt;F52)</f>
        <v>-0</v>
      </c>
      <c r="G53" s="10" t="n">
        <f aca="false">(G34-G52)*(G34&gt;G52)</f>
        <v>-0</v>
      </c>
      <c r="H53" s="10" t="n">
        <f aca="false">(H34-H52)*(H34&gt;H52)</f>
        <v>-0</v>
      </c>
      <c r="I53" s="10" t="n">
        <f aca="false">(I34-I52)*(I34&gt;I52)</f>
        <v>-0</v>
      </c>
      <c r="M53" s="2"/>
    </row>
    <row r="54" customFormat="false" ht="15" hidden="false" customHeight="false" outlineLevel="0" collapsed="false">
      <c r="A54" s="10" t="s">
        <v>6591</v>
      </c>
      <c r="B54" s="11" t="s">
        <v>6592</v>
      </c>
      <c r="C54" s="10" t="s">
        <v>63</v>
      </c>
      <c r="E54" s="10" t="n">
        <f aca="false">E52+E53</f>
        <v>623.614305348206</v>
      </c>
      <c r="F54" s="10" t="n">
        <f aca="false">F52+F53</f>
        <v>581.942372165407</v>
      </c>
      <c r="G54" s="10" t="n">
        <f aca="false">G52+G53</f>
        <v>540.698764007247</v>
      </c>
      <c r="H54" s="10" t="n">
        <f aca="false">H52+H53</f>
        <v>480.56451877318</v>
      </c>
      <c r="I54" s="10" t="n">
        <f aca="false">I52+I53</f>
        <v>380.760707931235</v>
      </c>
      <c r="M54" s="2"/>
    </row>
    <row r="55" customFormat="false" ht="15" hidden="false" customHeight="false" outlineLevel="0" collapsed="false">
      <c r="A55" s="10" t="s">
        <v>6593</v>
      </c>
      <c r="B55" s="11" t="s">
        <v>6594</v>
      </c>
      <c r="C55" s="10" t="s">
        <v>63</v>
      </c>
      <c r="E55" s="10" t="n">
        <f aca="false">E53</f>
        <v>-0</v>
      </c>
      <c r="F55" s="10" t="n">
        <f aca="false">E55+F53</f>
        <v>-0</v>
      </c>
      <c r="G55" s="10" t="n">
        <f aca="false">F55+G53</f>
        <v>-0</v>
      </c>
      <c r="H55" s="10" t="n">
        <f aca="false">G55+H53</f>
        <v>-0</v>
      </c>
      <c r="I55" s="10" t="n">
        <f aca="false">H55+I53</f>
        <v>-0</v>
      </c>
      <c r="M55" s="2"/>
    </row>
    <row r="56" customFormat="false" ht="15" hidden="false" customHeight="false" outlineLevel="0" collapsed="false">
      <c r="A56" s="10" t="s">
        <v>6595</v>
      </c>
      <c r="B56" s="11" t="s">
        <v>6596</v>
      </c>
      <c r="C56" s="11" t="s">
        <v>4720</v>
      </c>
      <c r="D56" s="10" t="n">
        <f aca="false">SRC_ZP_549/(SRC_ZP_563+SRC_ZP_549)</f>
        <v>0.0512985040448709</v>
      </c>
      <c r="M56" s="13" t="s">
        <v>6597</v>
      </c>
    </row>
    <row r="57" customFormat="false" ht="15" hidden="false" customHeight="false" outlineLevel="0" collapsed="false">
      <c r="A57" s="15" t="s">
        <v>6598</v>
      </c>
    </row>
    <row r="58" customFormat="false" ht="15" hidden="false" customHeight="false" outlineLevel="0" collapsed="false">
      <c r="A58" s="10" t="s">
        <v>6599</v>
      </c>
      <c r="B58" s="11" t="s">
        <v>6600</v>
      </c>
      <c r="C58" s="10" t="s">
        <v>63</v>
      </c>
      <c r="D58" s="10" t="n">
        <f aca="false">SRC_ZP_545*INP_129</f>
        <v>201.4</v>
      </c>
      <c r="M58" s="2" t="s">
        <v>6601</v>
      </c>
    </row>
    <row r="59" customFormat="false" ht="15" hidden="false" customHeight="false" outlineLevel="0" collapsed="false">
      <c r="A59" s="10" t="s">
        <v>6602</v>
      </c>
      <c r="B59" s="11" t="s">
        <v>6603</v>
      </c>
      <c r="C59" s="11" t="s">
        <v>1709</v>
      </c>
      <c r="D59" s="10" t="n">
        <f aca="false">SRC_ZP_569/SRC_ZP_548</f>
        <v>0.779831932773109</v>
      </c>
      <c r="M59" s="13" t="s">
        <v>6604</v>
      </c>
    </row>
    <row r="60" customFormat="false" ht="15" hidden="false" customHeight="false" outlineLevel="0" collapsed="false">
      <c r="A60" s="10" t="s">
        <v>6605</v>
      </c>
      <c r="B60" s="11" t="s">
        <v>6606</v>
      </c>
      <c r="C60" s="10" t="s">
        <v>63</v>
      </c>
      <c r="D60" s="10" t="n">
        <f aca="false">SRC_ZP_110</f>
        <v>89.431</v>
      </c>
      <c r="M60" s="13" t="s">
        <v>6607</v>
      </c>
    </row>
    <row r="61" customFormat="false" ht="15" hidden="false" customHeight="false" outlineLevel="0" collapsed="false">
      <c r="A61" s="10" t="s">
        <v>6608</v>
      </c>
      <c r="B61" s="11" t="s">
        <v>6609</v>
      </c>
      <c r="C61" s="10" t="s">
        <v>2121</v>
      </c>
      <c r="M61" s="2" t="s">
        <v>6610</v>
      </c>
    </row>
    <row r="62" customFormat="false" ht="15" hidden="false" customHeight="false" outlineLevel="0" collapsed="false">
      <c r="A62" s="10" t="s">
        <v>6611</v>
      </c>
      <c r="B62" s="11" t="s">
        <v>6612</v>
      </c>
      <c r="C62" s="10" t="s">
        <v>401</v>
      </c>
      <c r="D62" s="10" t="n">
        <f aca="false">SRC_ZP_568_Lo</f>
        <v>40</v>
      </c>
      <c r="M62" s="13" t="s">
        <v>6613</v>
      </c>
    </row>
    <row r="63" customFormat="false" ht="15" hidden="false" customHeight="false" outlineLevel="0" collapsed="false">
      <c r="A63" s="15" t="s">
        <v>6614</v>
      </c>
    </row>
    <row r="64" customFormat="false" ht="15" hidden="false" customHeight="false" outlineLevel="0" collapsed="false">
      <c r="A64" s="10" t="s">
        <v>6615</v>
      </c>
      <c r="B64" s="10" t="s">
        <v>6616</v>
      </c>
      <c r="C64" s="10" t="s">
        <v>63</v>
      </c>
      <c r="L64" s="10" t="n">
        <f aca="false">L24*SRC_ZP_539/INP_014</f>
        <v>148.27064058675</v>
      </c>
      <c r="M64" s="13" t="s">
        <v>6617</v>
      </c>
    </row>
    <row r="65" customFormat="false" ht="15" hidden="false" customHeight="false" outlineLevel="0" collapsed="false">
      <c r="A65" s="10" t="s">
        <v>6618</v>
      </c>
      <c r="B65" s="10" t="s">
        <v>6619</v>
      </c>
      <c r="C65" s="10" t="s">
        <v>63</v>
      </c>
      <c r="L65" s="10" t="n">
        <f aca="false">SRC_ZP_540*INP_024/INP_020</f>
        <v>94.12692804</v>
      </c>
      <c r="M65" s="13" t="s">
        <v>6620</v>
      </c>
    </row>
    <row r="66" customFormat="false" ht="15" hidden="false" customHeight="false" outlineLevel="0" collapsed="false">
      <c r="A66" s="10" t="s">
        <v>6621</v>
      </c>
      <c r="B66" s="11" t="s">
        <v>6622</v>
      </c>
      <c r="C66" s="10" t="s">
        <v>63</v>
      </c>
      <c r="L66" s="10" t="n">
        <f aca="false">-L21*INP_133/INP_009</f>
        <v>7.89141019499589</v>
      </c>
      <c r="M66" s="2" t="s">
        <v>6623</v>
      </c>
    </row>
    <row r="67" customFormat="false" ht="15" hidden="false" customHeight="false" outlineLevel="0" collapsed="false">
      <c r="A67" s="10" t="s">
        <v>6624</v>
      </c>
      <c r="B67" s="11" t="s">
        <v>6625</v>
      </c>
      <c r="C67" s="11" t="s">
        <v>1709</v>
      </c>
      <c r="L67" s="10" t="n">
        <f aca="false">L65/L66</f>
        <v>11.9277702861889</v>
      </c>
      <c r="M67" s="13" t="s">
        <v>6626</v>
      </c>
    </row>
    <row r="68" customFormat="false" ht="15" hidden="false" customHeight="false" outlineLevel="0" collapsed="false">
      <c r="A68" s="10" t="s">
        <v>6627</v>
      </c>
      <c r="B68" s="10" t="s">
        <v>6628</v>
      </c>
      <c r="C68" s="10" t="s">
        <v>63</v>
      </c>
      <c r="L68" s="10" t="n">
        <f aca="false">(L25+L27)*SRC_ZP_550/INP_014</f>
        <v>202.5082748574</v>
      </c>
      <c r="M68" s="13" t="s">
        <v>6629</v>
      </c>
    </row>
    <row r="69" customFormat="false" ht="15" hidden="false" customHeight="false" outlineLevel="0" collapsed="false">
      <c r="A69" s="10" t="s">
        <v>6630</v>
      </c>
      <c r="B69" s="11" t="s">
        <v>6631</v>
      </c>
      <c r="C69" s="10" t="s">
        <v>63</v>
      </c>
      <c r="L69" s="10" t="n">
        <f aca="false">L9+L11+F9+F11+G9+G11</f>
        <v>333.870935548171</v>
      </c>
      <c r="M69" s="2" t="s">
        <v>6632</v>
      </c>
    </row>
    <row r="70" customFormat="false" ht="15" hidden="false" customHeight="false" outlineLevel="0" collapsed="false">
      <c r="A70" s="10" t="s">
        <v>6633</v>
      </c>
      <c r="B70" s="11" t="s">
        <v>6634</v>
      </c>
      <c r="C70" s="11" t="s">
        <v>1709</v>
      </c>
      <c r="L70" s="10" t="n">
        <f aca="false">(L64+L68)/L69</f>
        <v>1.05064226350886</v>
      </c>
      <c r="M70" s="2"/>
    </row>
    <row r="71" customFormat="false" ht="15" hidden="false" customHeight="false" outlineLevel="0" collapsed="false">
      <c r="A71" s="15" t="s">
        <v>6635</v>
      </c>
    </row>
    <row r="72" customFormat="false" ht="15" hidden="false" customHeight="false" outlineLevel="0" collapsed="false">
      <c r="A72" s="10" t="s">
        <v>6636</v>
      </c>
      <c r="B72" s="11" t="s">
        <v>6637</v>
      </c>
      <c r="C72" s="10" t="s">
        <v>63</v>
      </c>
      <c r="D72" s="10" t="n">
        <f aca="false">SRC_ZP_785</f>
        <v>0.242</v>
      </c>
      <c r="M72" s="13" t="s">
        <v>6638</v>
      </c>
    </row>
    <row r="73" customFormat="false" ht="15" hidden="false" customHeight="false" outlineLevel="0" collapsed="false">
      <c r="A73" s="10" t="s">
        <v>6639</v>
      </c>
      <c r="B73" s="11" t="s">
        <v>6640</v>
      </c>
      <c r="C73" s="10" t="s">
        <v>63</v>
      </c>
      <c r="D73" s="10" t="n">
        <f aca="false">SRC_ZP_786</f>
        <v>0.247</v>
      </c>
      <c r="M73" s="13" t="s">
        <v>6641</v>
      </c>
    </row>
    <row r="74" customFormat="false" ht="15" hidden="false" customHeight="false" outlineLevel="0" collapsed="false">
      <c r="A74" s="10" t="s">
        <v>6642</v>
      </c>
      <c r="B74" s="11" t="s">
        <v>6643</v>
      </c>
      <c r="C74" s="11" t="s">
        <v>1709</v>
      </c>
      <c r="D74" s="10" t="n">
        <f aca="false">D73/D72</f>
        <v>1.02066115702479</v>
      </c>
      <c r="M74" s="13" t="s">
        <v>6644</v>
      </c>
    </row>
    <row r="75" customFormat="false" ht="15" hidden="false" customHeight="false" outlineLevel="0" collapsed="false">
      <c r="A75" s="10" t="s">
        <v>6645</v>
      </c>
      <c r="B75" s="10" t="s">
        <v>6646</v>
      </c>
      <c r="C75" s="10" t="s">
        <v>63</v>
      </c>
      <c r="D75" s="10" t="n">
        <f aca="false">SRC_ZP_510_Lo+SRC_ZP_511+SRC_ZP_512+SRC_ZP_513</f>
        <v>28</v>
      </c>
      <c r="M75" s="13" t="s">
        <v>6647</v>
      </c>
    </row>
    <row r="76" customFormat="false" ht="15" hidden="false" customHeight="false" outlineLevel="0" collapsed="false">
      <c r="A76" s="15" t="s">
        <v>6648</v>
      </c>
    </row>
    <row r="77" customFormat="false" ht="15" hidden="false" customHeight="false" outlineLevel="0" collapsed="false">
      <c r="A77" s="10" t="s">
        <v>6649</v>
      </c>
      <c r="B77" s="11" t="s">
        <v>6650</v>
      </c>
      <c r="C77" s="10" t="s">
        <v>63</v>
      </c>
      <c r="D77" s="10" t="n">
        <f aca="false">SRC_ZP_151-SRC_ZP_152</f>
        <v>-0.1007</v>
      </c>
      <c r="K77" s="10" t="n">
        <f aca="false">SRC_ZP_211-SRC_ZP_151</f>
        <v>17.3457</v>
      </c>
      <c r="M77" s="13" t="s">
        <v>6651</v>
      </c>
    </row>
    <row r="78" customFormat="false" ht="15" hidden="false" customHeight="false" outlineLevel="0" collapsed="false">
      <c r="A78" s="10" t="s">
        <v>6652</v>
      </c>
      <c r="B78" s="11" t="s">
        <v>6653</v>
      </c>
      <c r="C78" s="10" t="s">
        <v>63</v>
      </c>
      <c r="D78" s="10" t="n">
        <f aca="false">D75+D30</f>
        <v>33.522</v>
      </c>
      <c r="K78" s="10" t="n">
        <f aca="false">K31</f>
        <v>57.42301926</v>
      </c>
      <c r="M78" s="13" t="s">
        <v>6654</v>
      </c>
    </row>
    <row r="79" customFormat="false" ht="15" hidden="false" customHeight="false" outlineLevel="0" collapsed="false">
      <c r="A79" s="10" t="s">
        <v>6655</v>
      </c>
      <c r="B79" s="11" t="s">
        <v>6656</v>
      </c>
      <c r="C79" s="10" t="s">
        <v>63</v>
      </c>
      <c r="D79" s="10" t="n">
        <f aca="false">D77-D78</f>
        <v>-33.6227</v>
      </c>
      <c r="K79" s="10" t="n">
        <f aca="false">K77-K78</f>
        <v>-40.07731926</v>
      </c>
      <c r="M79" s="2"/>
    </row>
    <row r="80" customFormat="false" ht="15" hidden="false" customHeight="false" outlineLevel="0" collapsed="false">
      <c r="A80" s="10" t="s">
        <v>6657</v>
      </c>
      <c r="B80" s="11" t="s">
        <v>6658</v>
      </c>
      <c r="C80" s="10" t="s">
        <v>63</v>
      </c>
      <c r="D80" s="10" t="n">
        <f aca="false">D21</f>
        <v>-33.5592</v>
      </c>
      <c r="K80" s="10" t="n">
        <f aca="false">K21</f>
        <v>-25.199</v>
      </c>
      <c r="M80" s="2"/>
    </row>
    <row r="81" customFormat="false" ht="15" hidden="false" customHeight="false" outlineLevel="0" collapsed="false">
      <c r="A81" s="10" t="s">
        <v>6659</v>
      </c>
      <c r="B81" s="11" t="s">
        <v>6660</v>
      </c>
      <c r="C81" s="10" t="s">
        <v>63</v>
      </c>
      <c r="D81" s="10" t="n">
        <f aca="false">D79-D80</f>
        <v>-0.0634999999999906</v>
      </c>
      <c r="K81" s="10" t="n">
        <f aca="false">K79-K80</f>
        <v>-14.87831926</v>
      </c>
      <c r="M81" s="13" t="s">
        <v>6661</v>
      </c>
    </row>
    <row r="82" customFormat="false" ht="15" hidden="false" customHeight="false" outlineLevel="0" collapsed="false">
      <c r="A82" s="10" t="s">
        <v>6662</v>
      </c>
      <c r="B82" s="11" t="s">
        <v>6663</v>
      </c>
      <c r="C82" s="10" t="s">
        <v>63</v>
      </c>
      <c r="D82" s="10" t="n">
        <f aca="false">-SRC_ZP_146</f>
        <v>-31.8197</v>
      </c>
      <c r="K82" s="10" t="n">
        <f aca="false">-SRC_ZP_206</f>
        <v>-19.6414</v>
      </c>
      <c r="M82" s="13" t="s">
        <v>6664</v>
      </c>
    </row>
    <row r="83" customFormat="false" ht="15" hidden="false" customHeight="false" outlineLevel="0" collapsed="false">
      <c r="A83" s="15" t="s">
        <v>6665</v>
      </c>
    </row>
    <row r="84" customFormat="false" ht="15" hidden="false" customHeight="false" outlineLevel="0" collapsed="false">
      <c r="A84" s="10" t="s">
        <v>6666</v>
      </c>
      <c r="B84" s="11" t="s">
        <v>6667</v>
      </c>
      <c r="C84" s="10" t="s">
        <v>4514</v>
      </c>
      <c r="D84" s="10" t="n">
        <f aca="false">D16/INP_023/INP_021</f>
        <v>-0.486835116248016</v>
      </c>
      <c r="E84" s="10" t="n">
        <f aca="false">E16/INP_023/INP_021</f>
        <v>-0.613281899939367</v>
      </c>
      <c r="F84" s="10" t="n">
        <f aca="false">F16/INP_023/INP_021</f>
        <v>-0.607159352257442</v>
      </c>
      <c r="G84" s="10" t="n">
        <f aca="false">G16/INP_023/INP_021</f>
        <v>-0.600804287276662</v>
      </c>
      <c r="H84" s="10" t="n">
        <f aca="false">H16/INP_023/INP_021</f>
        <v>-0.881084960222953</v>
      </c>
      <c r="I84" s="10" t="n">
        <f aca="false">I16/INP_023/INP_021</f>
        <v>-1.46966291550238</v>
      </c>
      <c r="M84" s="2"/>
    </row>
    <row r="85" customFormat="false" ht="15" hidden="false" customHeight="false" outlineLevel="0" collapsed="false">
      <c r="A85" s="10" t="s">
        <v>6668</v>
      </c>
      <c r="B85" s="11" t="s">
        <v>6669</v>
      </c>
      <c r="C85" s="10" t="s">
        <v>4514</v>
      </c>
      <c r="E85" s="10" t="n">
        <f aca="false">E31/INP_023/INP_021</f>
        <v>9.85949040154899</v>
      </c>
      <c r="F85" s="10" t="n">
        <f aca="false">F31/INP_023/INP_021</f>
        <v>0</v>
      </c>
      <c r="G85" s="10" t="n">
        <f aca="false">G31/INP_023/INP_021</f>
        <v>0</v>
      </c>
      <c r="H85" s="10" t="n">
        <f aca="false">H31/INP_023/INP_021</f>
        <v>0</v>
      </c>
      <c r="I85" s="10" t="n">
        <f aca="false">I31/INP_023/INP_021</f>
        <v>0</v>
      </c>
      <c r="M85" s="2"/>
    </row>
    <row r="86" customFormat="false" ht="15" hidden="false" customHeight="false" outlineLevel="0" collapsed="false">
      <c r="A86" s="10" t="s">
        <v>6670</v>
      </c>
      <c r="B86" s="11" t="s">
        <v>6671</v>
      </c>
      <c r="C86" s="10" t="s">
        <v>4514</v>
      </c>
      <c r="E86" s="10" t="n">
        <f aca="false">E38/INP_023/INP_021</f>
        <v>-0</v>
      </c>
      <c r="F86" s="10" t="n">
        <f aca="false">F38/INP_023/INP_021</f>
        <v>-0</v>
      </c>
      <c r="G86" s="10" t="n">
        <f aca="false">G38/INP_023/INP_021</f>
        <v>-0</v>
      </c>
      <c r="H86" s="10" t="n">
        <f aca="false">H38/INP_023/INP_021</f>
        <v>-0</v>
      </c>
      <c r="I86" s="10" t="n">
        <f aca="false">I38/INP_023/INP_021</f>
        <v>0.111068477367642</v>
      </c>
      <c r="M86" s="2"/>
    </row>
    <row r="87" customFormat="false" ht="15" hidden="false" customHeight="false" outlineLevel="0" collapsed="false">
      <c r="A87" s="10" t="s">
        <v>6672</v>
      </c>
      <c r="B87" s="11" t="s">
        <v>6673</v>
      </c>
      <c r="C87" s="10" t="s">
        <v>4514</v>
      </c>
      <c r="E87" s="10" t="n">
        <f aca="false">E40/INP_023/INP_021</f>
        <v>-0</v>
      </c>
      <c r="F87" s="10" t="n">
        <f aca="false">F40/INP_023/INP_021</f>
        <v>-0</v>
      </c>
      <c r="G87" s="10" t="n">
        <f aca="false">G40/INP_023/INP_021</f>
        <v>-0</v>
      </c>
      <c r="H87" s="10" t="n">
        <f aca="false">H40/INP_023/INP_021</f>
        <v>-0</v>
      </c>
      <c r="I87" s="10" t="n">
        <f aca="false">I40/INP_023/INP_021</f>
        <v>0.111068477367642</v>
      </c>
      <c r="M87" s="2"/>
    </row>
    <row r="88" customFormat="false" ht="15" hidden="false" customHeight="false" outlineLevel="0" collapsed="false">
      <c r="A88" s="10" t="s">
        <v>6674</v>
      </c>
      <c r="B88" s="11" t="s">
        <v>6675</v>
      </c>
      <c r="C88" s="10" t="s">
        <v>4514</v>
      </c>
      <c r="D88" s="10" t="n">
        <f aca="false">D39/INP_023/INP_021</f>
        <v>0.335190433092479</v>
      </c>
      <c r="E88" s="10" t="n">
        <f aca="false">E39/INP_023/INP_021</f>
        <v>9.25257504337165</v>
      </c>
      <c r="F88" s="10" t="n">
        <f aca="false">F39/INP_023/INP_021</f>
        <v>5.64611303083735</v>
      </c>
      <c r="G88" s="10" t="n">
        <f aca="false">G39/INP_023/INP_021</f>
        <v>5.0341809820212</v>
      </c>
      <c r="H88" s="10" t="n">
        <f aca="false">H39/INP_023/INP_021</f>
        <v>4.14196826025876</v>
      </c>
      <c r="I88" s="10" t="n">
        <f aca="false">I39/INP_023/INP_021</f>
        <v>2.77224606058453</v>
      </c>
      <c r="M88" s="2"/>
    </row>
    <row r="89" customFormat="false" ht="15" hidden="false" customHeight="false" outlineLevel="0" collapsed="false">
      <c r="A89" s="10" t="s">
        <v>6676</v>
      </c>
      <c r="B89" s="11" t="s">
        <v>6677</v>
      </c>
      <c r="C89" s="10" t="s">
        <v>4514</v>
      </c>
      <c r="E89" s="10" t="n">
        <f aca="false">E55/INP_023/INP_021</f>
        <v>-0</v>
      </c>
      <c r="F89" s="10" t="n">
        <f aca="false">F55/INP_023/INP_021</f>
        <v>-0</v>
      </c>
      <c r="G89" s="10" t="n">
        <f aca="false">G55/INP_023/INP_021</f>
        <v>-0</v>
      </c>
      <c r="H89" s="10" t="n">
        <f aca="false">H55/INP_023/INP_021</f>
        <v>-0</v>
      </c>
      <c r="I89" s="10" t="n">
        <f aca="false">I55/INP_023/INP_021</f>
        <v>-0</v>
      </c>
      <c r="M89" s="2"/>
    </row>
    <row r="90" customFormat="false" ht="15" hidden="false" customHeight="false" outlineLevel="0" collapsed="false">
      <c r="A90" s="10" t="s">
        <v>6678</v>
      </c>
      <c r="B90" s="11" t="s">
        <v>6679</v>
      </c>
      <c r="C90" s="10" t="s">
        <v>4514</v>
      </c>
      <c r="E90" s="10" t="n">
        <f aca="false">E54/INP_023/INP_021</f>
        <v>9.25257504337165</v>
      </c>
      <c r="F90" s="10" t="n">
        <f aca="false">F54/INP_023/INP_021</f>
        <v>8.63428792957472</v>
      </c>
      <c r="G90" s="10" t="n">
        <f aca="false">G54/INP_023/INP_021</f>
        <v>8.02235588075857</v>
      </c>
      <c r="H90" s="10" t="n">
        <f aca="false">H54/INP_023/INP_021</f>
        <v>7.13014315899613</v>
      </c>
      <c r="I90" s="10" t="n">
        <f aca="false">I54/INP_023/INP_021</f>
        <v>5.64935248195426</v>
      </c>
      <c r="M90" s="2"/>
    </row>
    <row r="91" customFormat="false" ht="15" hidden="false" customHeight="false" outlineLevel="0" collapsed="false">
      <c r="A91" s="15" t="s">
        <v>6680</v>
      </c>
    </row>
    <row r="92" customFormat="false" ht="15" hidden="false" customHeight="false" outlineLevel="0" collapsed="false">
      <c r="A92" s="10" t="s">
        <v>6681</v>
      </c>
      <c r="B92" s="10" t="s">
        <v>6682</v>
      </c>
      <c r="C92" s="10" t="s">
        <v>63</v>
      </c>
      <c r="D92" s="10" t="n">
        <f aca="false">SRC_ZP_150</f>
        <v>4.623</v>
      </c>
      <c r="M92" s="13" t="s">
        <v>6683</v>
      </c>
    </row>
    <row r="93" customFormat="false" ht="15" hidden="false" customHeight="false" outlineLevel="0" collapsed="false">
      <c r="A93" s="10" t="s">
        <v>6684</v>
      </c>
      <c r="B93" s="10" t="s">
        <v>6685</v>
      </c>
      <c r="C93" s="10" t="s">
        <v>63</v>
      </c>
      <c r="D93" s="10" t="n">
        <f aca="false">SRC_ZP_210</f>
        <v>0.537</v>
      </c>
      <c r="M93" s="13" t="s">
        <v>6686</v>
      </c>
    </row>
    <row r="94" customFormat="false" ht="15" hidden="false" customHeight="false" outlineLevel="0" collapsed="false">
      <c r="A94" s="10" t="s">
        <v>6687</v>
      </c>
      <c r="B94" s="10" t="s">
        <v>6688</v>
      </c>
      <c r="C94" s="10" t="s">
        <v>63</v>
      </c>
      <c r="D94" s="10" t="n">
        <f aca="false">SRC_ZP_889</f>
        <v>1.3276</v>
      </c>
      <c r="M94" s="13" t="s">
        <v>6689</v>
      </c>
    </row>
    <row r="95" customFormat="false" ht="15" hidden="false" customHeight="false" outlineLevel="0" collapsed="false">
      <c r="A95" s="10" t="s">
        <v>6690</v>
      </c>
      <c r="B95" s="10" t="s">
        <v>6691</v>
      </c>
      <c r="C95" s="10" t="s">
        <v>63</v>
      </c>
      <c r="D95" s="10" t="n">
        <f aca="false">SRC_ZP_898</f>
        <v>3.3709</v>
      </c>
      <c r="M95" s="13" t="s">
        <v>6692</v>
      </c>
    </row>
    <row r="96" customFormat="false" ht="15" hidden="false" customHeight="false" outlineLevel="0" collapsed="false">
      <c r="A96" s="10" t="s">
        <v>6693</v>
      </c>
      <c r="B96" s="10" t="s">
        <v>6694</v>
      </c>
      <c r="C96" s="10" t="s">
        <v>63</v>
      </c>
      <c r="D96" s="10" t="n">
        <f aca="false">D92-D94</f>
        <v>3.2954</v>
      </c>
      <c r="M96" s="2" t="s">
        <v>6695</v>
      </c>
    </row>
    <row r="97" customFormat="false" ht="15" hidden="false" customHeight="false" outlineLevel="0" collapsed="false">
      <c r="A97" s="10" t="s">
        <v>6696</v>
      </c>
      <c r="B97" s="10" t="s">
        <v>6697</v>
      </c>
      <c r="C97" s="10" t="s">
        <v>63</v>
      </c>
      <c r="D97" s="10" t="n">
        <f aca="false">SRC_ZP_891</f>
        <v>0.2391</v>
      </c>
      <c r="M97" s="13" t="s">
        <v>6689</v>
      </c>
    </row>
    <row r="98" customFormat="false" ht="15" hidden="false" customHeight="false" outlineLevel="0" collapsed="false">
      <c r="A98" s="10" t="s">
        <v>6698</v>
      </c>
      <c r="B98" s="10" t="s">
        <v>6699</v>
      </c>
      <c r="C98" s="10" t="s">
        <v>63</v>
      </c>
      <c r="D98" s="10" t="n">
        <f aca="false">SRC_ZP_899</f>
        <v>0.344</v>
      </c>
      <c r="M98" s="13" t="s">
        <v>6692</v>
      </c>
    </row>
    <row r="99" customFormat="false" ht="15" hidden="false" customHeight="false" outlineLevel="0" collapsed="false">
      <c r="A99" s="10" t="s">
        <v>6700</v>
      </c>
      <c r="B99" s="10" t="s">
        <v>6701</v>
      </c>
      <c r="C99" s="10" t="s">
        <v>63</v>
      </c>
      <c r="D99" s="10" t="n">
        <f aca="false">D93-D97</f>
        <v>0.2979</v>
      </c>
      <c r="M99" s="2" t="s">
        <v>6695</v>
      </c>
    </row>
    <row r="100" customFormat="false" ht="15" hidden="false" customHeight="false" outlineLevel="0" collapsed="false">
      <c r="A100" s="10" t="s">
        <v>6702</v>
      </c>
      <c r="B100" s="10" t="s">
        <v>6703</v>
      </c>
      <c r="C100" s="10" t="s">
        <v>63</v>
      </c>
      <c r="D100" s="10" t="n">
        <f aca="false">SRC_ZP_925</f>
        <v>4.0377</v>
      </c>
      <c r="M100" s="13" t="s">
        <v>6704</v>
      </c>
    </row>
    <row r="101" customFormat="false" ht="15" hidden="false" customHeight="false" outlineLevel="0" collapsed="false">
      <c r="A101" s="10" t="s">
        <v>6705</v>
      </c>
      <c r="B101" s="10" t="s">
        <v>6706</v>
      </c>
      <c r="C101" s="10" t="s">
        <v>63</v>
      </c>
      <c r="D101" s="10" t="n">
        <f aca="false">SRC_ZP_157</f>
        <v>5.4514</v>
      </c>
      <c r="M101" s="13" t="s">
        <v>6707</v>
      </c>
    </row>
    <row r="102" customFormat="false" ht="15" hidden="false" customHeight="false" outlineLevel="0" collapsed="false">
      <c r="A102" s="10" t="s">
        <v>6708</v>
      </c>
      <c r="B102" s="10" t="s">
        <v>6709</v>
      </c>
      <c r="C102" s="10" t="s">
        <v>63</v>
      </c>
      <c r="D102" s="10" t="n">
        <f aca="false">SRC_ZP_819</f>
        <v>2.1346</v>
      </c>
      <c r="M102" s="13" t="s">
        <v>3561</v>
      </c>
    </row>
    <row r="103" customFormat="false" ht="15" hidden="false" customHeight="false" outlineLevel="0" collapsed="false">
      <c r="A103" s="10" t="s">
        <v>6710</v>
      </c>
      <c r="B103" s="10" t="s">
        <v>6711</v>
      </c>
      <c r="C103" s="10" t="s">
        <v>63</v>
      </c>
      <c r="D103" s="10" t="n">
        <f aca="false">SRC_ZP_823</f>
        <v>1.7484</v>
      </c>
      <c r="M103" s="13" t="s">
        <v>3574</v>
      </c>
    </row>
    <row r="104" customFormat="false" ht="15" hidden="false" customHeight="false" outlineLevel="0" collapsed="false">
      <c r="A104" s="10" t="s">
        <v>6712</v>
      </c>
      <c r="B104" s="10" t="s">
        <v>6713</v>
      </c>
      <c r="C104" s="10" t="s">
        <v>63</v>
      </c>
      <c r="D104" s="10" t="n">
        <f aca="false">SRC_ZP_827</f>
        <v>2.113</v>
      </c>
      <c r="M104" s="13" t="s">
        <v>3587</v>
      </c>
    </row>
    <row r="105" customFormat="false" ht="15" hidden="false" customHeight="false" outlineLevel="0" collapsed="false">
      <c r="A105" s="10" t="s">
        <v>6714</v>
      </c>
      <c r="B105" s="10" t="s">
        <v>6715</v>
      </c>
      <c r="C105" s="11" t="s">
        <v>4720</v>
      </c>
      <c r="D105" s="10" t="n">
        <f aca="false">SRC_ZP_828/INP_014</f>
        <v>0.0475</v>
      </c>
      <c r="M105" s="13" t="s">
        <v>6716</v>
      </c>
    </row>
    <row r="106" customFormat="false" ht="15" hidden="false" customHeight="false" outlineLevel="0" collapsed="false">
      <c r="A106" s="10" t="s">
        <v>6717</v>
      </c>
      <c r="B106" s="10" t="s">
        <v>6718</v>
      </c>
      <c r="C106" s="10" t="s">
        <v>63</v>
      </c>
      <c r="D106" s="10" t="n">
        <f aca="false">SRC_ZP_904</f>
        <v>2.2464</v>
      </c>
      <c r="M106" s="13" t="s">
        <v>6719</v>
      </c>
    </row>
    <row r="107" customFormat="false" ht="15" hidden="false" customHeight="false" outlineLevel="0" collapsed="false">
      <c r="A107" s="10" t="s">
        <v>6720</v>
      </c>
      <c r="B107" s="10" t="s">
        <v>6721</v>
      </c>
      <c r="C107" s="10" t="s">
        <v>63</v>
      </c>
      <c r="D107" s="10" t="n">
        <f aca="false">SRC_ZP_831</f>
        <v>1.8739</v>
      </c>
      <c r="M107" s="13" t="s">
        <v>6722</v>
      </c>
    </row>
    <row r="108" customFormat="false" ht="15" hidden="false" customHeight="false" outlineLevel="0" collapsed="false">
      <c r="A108" s="10" t="s">
        <v>6723</v>
      </c>
      <c r="B108" s="10" t="s">
        <v>6724</v>
      </c>
      <c r="C108" s="10" t="s">
        <v>63</v>
      </c>
      <c r="D108" s="10" t="n">
        <f aca="false">SRC_ZP_937</f>
        <v>1.3344</v>
      </c>
      <c r="M108" s="13" t="s">
        <v>6725</v>
      </c>
    </row>
    <row r="109" customFormat="false" ht="15" hidden="false" customHeight="false" outlineLevel="0" collapsed="false">
      <c r="A109" s="10" t="s">
        <v>6726</v>
      </c>
      <c r="B109" s="10" t="s">
        <v>6727</v>
      </c>
      <c r="C109" s="10" t="s">
        <v>63</v>
      </c>
      <c r="D109" s="10" t="n">
        <f aca="false">SRC_ZP_833</f>
        <v>1.2997</v>
      </c>
      <c r="M109" s="13" t="s">
        <v>6722</v>
      </c>
    </row>
    <row r="110" customFormat="false" ht="15" hidden="false" customHeight="false" outlineLevel="0" collapsed="false">
      <c r="A110" s="10" t="s">
        <v>6728</v>
      </c>
      <c r="B110" s="10" t="s">
        <v>6729</v>
      </c>
      <c r="C110" s="10" t="s">
        <v>63</v>
      </c>
      <c r="D110" s="10" t="n">
        <f aca="false">SRC_ZP_939</f>
        <v>0.7997</v>
      </c>
      <c r="M110" s="13" t="s">
        <v>6725</v>
      </c>
    </row>
    <row r="111" customFormat="false" ht="15" hidden="false" customHeight="false" outlineLevel="0" collapsed="false">
      <c r="A111" s="10" t="s">
        <v>6730</v>
      </c>
      <c r="B111" s="10" t="s">
        <v>6731</v>
      </c>
      <c r="C111" s="10" t="s">
        <v>2121</v>
      </c>
      <c r="M111" s="2" t="s">
        <v>6732</v>
      </c>
    </row>
    <row r="112" customFormat="false" ht="15" hidden="false" customHeight="false" outlineLevel="0" collapsed="false">
      <c r="A112" s="10" t="s">
        <v>6733</v>
      </c>
      <c r="B112" s="10" t="s">
        <v>6734</v>
      </c>
      <c r="C112" s="10" t="s">
        <v>63</v>
      </c>
      <c r="D112" s="10" t="n">
        <f aca="false">SRC_ZP_1035</f>
        <v>0.363</v>
      </c>
      <c r="M112" s="13" t="s">
        <v>6735</v>
      </c>
    </row>
    <row r="113" customFormat="false" ht="15" hidden="false" customHeight="false" outlineLevel="0" collapsed="false">
      <c r="A113" s="10" t="s">
        <v>6736</v>
      </c>
      <c r="B113" s="10" t="s">
        <v>6737</v>
      </c>
      <c r="C113" s="10" t="s">
        <v>63</v>
      </c>
      <c r="D113" s="10" t="n">
        <f aca="false">SRC_ZP_1043</f>
        <v>0.413</v>
      </c>
      <c r="M113" s="13" t="s">
        <v>6738</v>
      </c>
    </row>
    <row r="114" customFormat="false" ht="15" hidden="false" customHeight="false" outlineLevel="0" collapsed="false">
      <c r="A114" s="10" t="s">
        <v>6739</v>
      </c>
      <c r="B114" s="10" t="s">
        <v>6740</v>
      </c>
      <c r="C114" s="10" t="s">
        <v>63</v>
      </c>
      <c r="D114" s="10" t="n">
        <f aca="false">SRC_ZP_1036</f>
        <v>0.057</v>
      </c>
      <c r="M114" s="13" t="s">
        <v>6735</v>
      </c>
    </row>
    <row r="115" customFormat="false" ht="15" hidden="false" customHeight="false" outlineLevel="0" collapsed="false">
      <c r="A115" s="10" t="s">
        <v>6741</v>
      </c>
      <c r="B115" s="10" t="s">
        <v>6742</v>
      </c>
      <c r="C115" s="10" t="s">
        <v>63</v>
      </c>
      <c r="D115" s="10" t="n">
        <f aca="false">SRC_ZP_1044</f>
        <v>0.072</v>
      </c>
      <c r="M115" s="13" t="s">
        <v>6738</v>
      </c>
    </row>
    <row r="116" customFormat="false" ht="15" hidden="false" customHeight="false" outlineLevel="0" collapsed="false">
      <c r="A116" s="10" t="s">
        <v>6743</v>
      </c>
      <c r="B116" s="10" t="s">
        <v>6744</v>
      </c>
      <c r="C116" s="11" t="s">
        <v>4720</v>
      </c>
      <c r="D116" s="10" t="n">
        <f aca="false">D112/SRC_ZP_048</f>
        <v>0.0165342710345079</v>
      </c>
      <c r="M116" s="13" t="s">
        <v>6745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6"/>
    <col collapsed="false" customWidth="true" hidden="false" outlineLevel="0" max="3" min="3" style="0" width="10"/>
    <col collapsed="false" customWidth="true" hidden="false" outlineLevel="0" max="9" min="4" style="0" width="12"/>
    <col collapsed="false" customWidth="true" hidden="false" outlineLevel="0" max="10" min="10" style="0" width="2"/>
    <col collapsed="false" customWidth="true" hidden="false" outlineLevel="0" max="12" min="11" style="0" width="12"/>
    <col collapsed="false" customWidth="true" hidden="false" outlineLevel="0" max="13" min="13" style="0" width="80"/>
  </cols>
  <sheetData>
    <row r="1" customFormat="false" ht="20.1" hidden="false" customHeight="false" outlineLevel="0" collapsed="false">
      <c r="A1" s="7" t="s">
        <v>6746</v>
      </c>
    </row>
    <row r="2" customFormat="false" ht="15" hidden="false" customHeight="false" outlineLevel="0" collapsed="false">
      <c r="A2" s="2" t="s">
        <v>6747</v>
      </c>
    </row>
    <row r="3" customFormat="false" ht="15" hidden="false" customHeight="false" outlineLevel="0" collapsed="false">
      <c r="A3" s="2" t="s">
        <v>6748</v>
      </c>
    </row>
    <row r="5" customFormat="false" ht="15" hidden="false" customHeight="false" outlineLevel="0" collapsed="false">
      <c r="A5" s="9" t="s">
        <v>5370</v>
      </c>
      <c r="B5" s="9" t="s">
        <v>39</v>
      </c>
      <c r="C5" s="9" t="s">
        <v>43</v>
      </c>
      <c r="D5" s="8" t="s">
        <v>4383</v>
      </c>
      <c r="E5" s="8" t="s">
        <v>1908</v>
      </c>
      <c r="F5" s="8" t="s">
        <v>4681</v>
      </c>
      <c r="G5" s="8" t="s">
        <v>4682</v>
      </c>
      <c r="H5" s="8" t="s">
        <v>4683</v>
      </c>
      <c r="I5" s="8" t="s">
        <v>4684</v>
      </c>
      <c r="J5" s="9"/>
      <c r="K5" s="8" t="s">
        <v>662</v>
      </c>
      <c r="L5" s="8" t="s">
        <v>4782</v>
      </c>
      <c r="M5" s="9" t="s">
        <v>4410</v>
      </c>
    </row>
    <row r="6" customFormat="false" ht="15" hidden="false" customHeight="false" outlineLevel="0" collapsed="false">
      <c r="B6" s="3" t="s">
        <v>5371</v>
      </c>
      <c r="D6" s="10" t="n">
        <f aca="false">INP_001</f>
        <v>2025</v>
      </c>
      <c r="E6" s="10" t="n">
        <f aca="false">INP_002</f>
        <v>2026</v>
      </c>
      <c r="F6" s="10" t="n">
        <f aca="false">INP_003</f>
        <v>2027</v>
      </c>
      <c r="G6" s="10" t="n">
        <f aca="false">INP_004</f>
        <v>2028</v>
      </c>
      <c r="H6" s="10" t="n">
        <f aca="false">INP_005</f>
        <v>2029</v>
      </c>
      <c r="I6" s="10" t="n">
        <f aca="false">INP_006</f>
        <v>2030</v>
      </c>
      <c r="K6" s="6" t="s">
        <v>5372</v>
      </c>
      <c r="L6" s="6" t="s">
        <v>5373</v>
      </c>
    </row>
    <row r="7" customFormat="false" ht="15" hidden="false" customHeight="false" outlineLevel="0" collapsed="false">
      <c r="A7" s="15" t="s">
        <v>6749</v>
      </c>
    </row>
    <row r="8" customFormat="false" ht="15" hidden="false" customHeight="false" outlineLevel="0" collapsed="false">
      <c r="A8" s="10" t="s">
        <v>6750</v>
      </c>
      <c r="B8" s="11" t="s">
        <v>6751</v>
      </c>
      <c r="C8" s="10" t="s">
        <v>2121</v>
      </c>
      <c r="M8" s="2" t="s">
        <v>6752</v>
      </c>
    </row>
    <row r="9" customFormat="false" ht="15" hidden="false" customHeight="false" outlineLevel="0" collapsed="false">
      <c r="A9" s="10" t="s">
        <v>6753</v>
      </c>
      <c r="B9" s="10" t="s">
        <v>6754</v>
      </c>
      <c r="C9" s="10" t="s">
        <v>63</v>
      </c>
      <c r="L9" s="10" t="n">
        <f aca="false">SRC_ZP_576*INP_023*INP_021</f>
        <v>202.197</v>
      </c>
      <c r="M9" s="13" t="s">
        <v>6755</v>
      </c>
    </row>
    <row r="10" customFormat="false" ht="15" hidden="false" customHeight="false" outlineLevel="0" collapsed="false">
      <c r="A10" s="10" t="s">
        <v>6756</v>
      </c>
      <c r="B10" s="11" t="s">
        <v>6757</v>
      </c>
      <c r="C10" s="10" t="s">
        <v>63</v>
      </c>
      <c r="L10" s="16" t="n">
        <f aca="false">Funding!L8*INP_013</f>
        <v>61.7607494316211</v>
      </c>
      <c r="M10" s="2"/>
    </row>
    <row r="11" customFormat="false" ht="15" hidden="false" customHeight="false" outlineLevel="0" collapsed="false">
      <c r="A11" s="10" t="s">
        <v>6758</v>
      </c>
      <c r="B11" s="11" t="s">
        <v>6759</v>
      </c>
      <c r="C11" s="11" t="s">
        <v>4720</v>
      </c>
      <c r="L11" s="10" t="n">
        <f aca="false">(L10-L9)/L9</f>
        <v>-0.694551603477692</v>
      </c>
      <c r="M11" s="2" t="s">
        <v>6760</v>
      </c>
    </row>
    <row r="12" customFormat="false" ht="15" hidden="false" customHeight="false" outlineLevel="0" collapsed="false">
      <c r="A12" s="15" t="s">
        <v>6761</v>
      </c>
    </row>
    <row r="13" customFormat="false" ht="15" hidden="false" customHeight="false" outlineLevel="0" collapsed="false">
      <c r="A13" s="10" t="s">
        <v>6762</v>
      </c>
      <c r="B13" s="10" t="s">
        <v>6763</v>
      </c>
      <c r="C13" s="10" t="s">
        <v>63</v>
      </c>
      <c r="E13" s="10" t="n">
        <f aca="false">SRC_ZP_582/INP_020</f>
        <v>60.48</v>
      </c>
      <c r="F13" s="10" t="n">
        <f aca="false">SRC_ZP_583/INP_020</f>
        <v>180.13</v>
      </c>
      <c r="G13" s="10" t="n">
        <f aca="false">SRC_ZP_584/INP_020</f>
        <v>379</v>
      </c>
      <c r="M13" s="13" t="s">
        <v>6764</v>
      </c>
    </row>
    <row r="14" customFormat="false" ht="15" hidden="false" customHeight="false" outlineLevel="0" collapsed="false">
      <c r="A14" s="10" t="s">
        <v>6765</v>
      </c>
      <c r="B14" s="11" t="s">
        <v>6766</v>
      </c>
      <c r="C14" s="10" t="s">
        <v>63</v>
      </c>
      <c r="E14" s="10" t="n">
        <f aca="false">SRC_ZP_591</f>
        <v>62</v>
      </c>
      <c r="F14" s="10" t="n">
        <f aca="false">SRC_ZP_606</f>
        <v>155</v>
      </c>
      <c r="G14" s="10" t="n">
        <f aca="false">SRC_ZP_607</f>
        <v>344</v>
      </c>
      <c r="M14" s="13" t="s">
        <v>6767</v>
      </c>
    </row>
    <row r="15" customFormat="false" ht="15" hidden="false" customHeight="false" outlineLevel="0" collapsed="false">
      <c r="A15" s="10" t="s">
        <v>6768</v>
      </c>
      <c r="B15" s="11" t="s">
        <v>6769</v>
      </c>
      <c r="C15" s="10" t="s">
        <v>63</v>
      </c>
      <c r="E15" s="10" t="n">
        <f aca="false">SRC_ZP_592</f>
        <v>42</v>
      </c>
      <c r="F15" s="10" t="n">
        <f aca="false">SRC_ZP_608</f>
        <v>114</v>
      </c>
      <c r="G15" s="10" t="n">
        <f aca="false">SRC_ZP_609</f>
        <v>251</v>
      </c>
      <c r="M15" s="13" t="s">
        <v>6770</v>
      </c>
    </row>
    <row r="16" customFormat="false" ht="15" hidden="false" customHeight="false" outlineLevel="0" collapsed="false">
      <c r="A16" s="10" t="s">
        <v>6771</v>
      </c>
      <c r="B16" s="11" t="s">
        <v>6772</v>
      </c>
      <c r="C16" s="10" t="s">
        <v>63</v>
      </c>
      <c r="H16" s="10" t="n">
        <f aca="false">SRC_ZP_610</f>
        <v>475</v>
      </c>
      <c r="M16" s="13" t="s">
        <v>6773</v>
      </c>
    </row>
    <row r="17" customFormat="false" ht="15" hidden="false" customHeight="false" outlineLevel="0" collapsed="false">
      <c r="A17" s="10" t="s">
        <v>6774</v>
      </c>
      <c r="B17" s="11" t="s">
        <v>6775</v>
      </c>
      <c r="C17" s="11" t="s">
        <v>6776</v>
      </c>
      <c r="E17" s="10" t="n">
        <f aca="false">COUNT(E13,E14,E15)</f>
        <v>3</v>
      </c>
      <c r="F17" s="10" t="n">
        <f aca="false">COUNT(F13,F14,F15)</f>
        <v>3</v>
      </c>
      <c r="G17" s="10" t="n">
        <f aca="false">COUNT(G13,G14,G15)</f>
        <v>3</v>
      </c>
      <c r="M17" s="2" t="s">
        <v>6777</v>
      </c>
    </row>
    <row r="18" customFormat="false" ht="15" hidden="false" customHeight="false" outlineLevel="0" collapsed="false">
      <c r="A18" s="10" t="s">
        <v>6778</v>
      </c>
      <c r="B18" s="11" t="s">
        <v>6779</v>
      </c>
      <c r="C18" s="10" t="s">
        <v>63</v>
      </c>
      <c r="E18" s="10" t="n">
        <f aca="false">AVERAGE(E13,E14,E15)</f>
        <v>54.8266666666667</v>
      </c>
      <c r="F18" s="10" t="n">
        <f aca="false">AVERAGE(F13,F14,F15)</f>
        <v>149.71</v>
      </c>
      <c r="G18" s="10" t="n">
        <f aca="false">AVERAGE(G13,G14,G15)</f>
        <v>324.666666666667</v>
      </c>
      <c r="M18" s="2" t="s">
        <v>6780</v>
      </c>
    </row>
    <row r="19" customFormat="false" ht="15" hidden="false" customHeight="false" outlineLevel="0" collapsed="false">
      <c r="A19" s="10" t="s">
        <v>6781</v>
      </c>
      <c r="B19" s="11" t="s">
        <v>6782</v>
      </c>
      <c r="C19" s="10" t="s">
        <v>63</v>
      </c>
      <c r="E19" s="10" t="n">
        <f aca="false">MIN(E13,E14,E15)</f>
        <v>42</v>
      </c>
      <c r="F19" s="10" t="n">
        <f aca="false">MIN(F13,F14,F15)</f>
        <v>114</v>
      </c>
      <c r="G19" s="10" t="n">
        <f aca="false">MIN(G13,G14,G15)</f>
        <v>251</v>
      </c>
      <c r="M19" s="2"/>
    </row>
    <row r="20" customFormat="false" ht="15" hidden="false" customHeight="false" outlineLevel="0" collapsed="false">
      <c r="A20" s="10" t="s">
        <v>6783</v>
      </c>
      <c r="B20" s="11" t="s">
        <v>6784</v>
      </c>
      <c r="C20" s="10" t="s">
        <v>63</v>
      </c>
      <c r="E20" s="10" t="n">
        <f aca="false">MAX(E13,E14,E15)</f>
        <v>62</v>
      </c>
      <c r="F20" s="10" t="n">
        <f aca="false">MAX(F13,F14,F15)</f>
        <v>180.13</v>
      </c>
      <c r="G20" s="10" t="n">
        <f aca="false">MAX(G13,G14,G15)</f>
        <v>379</v>
      </c>
      <c r="M20" s="2"/>
    </row>
    <row r="21" customFormat="false" ht="15" hidden="false" customHeight="false" outlineLevel="0" collapsed="false">
      <c r="A21" s="10" t="s">
        <v>6785</v>
      </c>
      <c r="B21" s="11" t="s">
        <v>6786</v>
      </c>
      <c r="C21" s="10" t="s">
        <v>63</v>
      </c>
      <c r="D21" s="16" t="n">
        <f aca="false">Revenue!D54</f>
        <v>7.2433</v>
      </c>
      <c r="E21" s="10" t="n">
        <f aca="false">E18</f>
        <v>54.8266666666667</v>
      </c>
      <c r="F21" s="10" t="n">
        <f aca="false">F18</f>
        <v>149.71</v>
      </c>
      <c r="G21" s="10" t="n">
        <f aca="false">G18</f>
        <v>324.666666666667</v>
      </c>
      <c r="H21" s="10" t="n">
        <f aca="false">G21*(1+INP_134)</f>
        <v>324.666666666667</v>
      </c>
      <c r="I21" s="10" t="n">
        <f aca="false">H21*(1+INP_134)</f>
        <v>324.666666666667</v>
      </c>
      <c r="M21" s="2"/>
    </row>
    <row r="22" customFormat="false" ht="15" hidden="false" customHeight="false" outlineLevel="0" collapsed="false">
      <c r="A22" s="10" t="s">
        <v>6787</v>
      </c>
      <c r="B22" s="11" t="s">
        <v>6788</v>
      </c>
      <c r="C22" s="10" t="s">
        <v>63</v>
      </c>
      <c r="D22" s="16" t="n">
        <f aca="false">Revenue!D54</f>
        <v>7.2433</v>
      </c>
      <c r="E22" s="10" t="n">
        <f aca="false">E19</f>
        <v>42</v>
      </c>
      <c r="F22" s="10" t="n">
        <f aca="false">F19</f>
        <v>114</v>
      </c>
      <c r="G22" s="10" t="n">
        <f aca="false">G19</f>
        <v>251</v>
      </c>
      <c r="H22" s="10" t="n">
        <f aca="false">G22*(1+INP_134)</f>
        <v>251</v>
      </c>
      <c r="I22" s="10" t="n">
        <f aca="false">H22*(1+INP_134)</f>
        <v>251</v>
      </c>
      <c r="M22" s="2"/>
    </row>
    <row r="23" customFormat="false" ht="15" hidden="false" customHeight="false" outlineLevel="0" collapsed="false">
      <c r="A23" s="10" t="s">
        <v>6789</v>
      </c>
      <c r="B23" s="11" t="s">
        <v>6790</v>
      </c>
      <c r="C23" s="10" t="s">
        <v>63</v>
      </c>
      <c r="D23" s="16" t="n">
        <f aca="false">Revenue!D54</f>
        <v>7.2433</v>
      </c>
      <c r="E23" s="10" t="n">
        <f aca="false">E20</f>
        <v>62</v>
      </c>
      <c r="F23" s="10" t="n">
        <f aca="false">F20</f>
        <v>180.13</v>
      </c>
      <c r="G23" s="10" t="n">
        <f aca="false">G20</f>
        <v>379</v>
      </c>
      <c r="H23" s="10" t="n">
        <f aca="false">G23*(1+INP_134)</f>
        <v>379</v>
      </c>
      <c r="I23" s="10" t="n">
        <f aca="false">H23*(1+INP_134)</f>
        <v>379</v>
      </c>
      <c r="M23" s="2"/>
    </row>
    <row r="24" customFormat="false" ht="15" hidden="false" customHeight="false" outlineLevel="0" collapsed="false">
      <c r="A24" s="15" t="s">
        <v>6791</v>
      </c>
    </row>
    <row r="25" customFormat="false" ht="15" hidden="false" customHeight="false" outlineLevel="0" collapsed="false">
      <c r="A25" s="10" t="s">
        <v>6792</v>
      </c>
      <c r="B25" s="11" t="s">
        <v>6793</v>
      </c>
      <c r="C25" s="10" t="s">
        <v>63</v>
      </c>
      <c r="D25" s="16" t="n">
        <f aca="false">Funding!D8</f>
        <v>7.2433</v>
      </c>
      <c r="E25" s="16" t="n">
        <f aca="false">Funding!E8</f>
        <v>40.4193747158106</v>
      </c>
      <c r="F25" s="16" t="n">
        <f aca="false">Funding!F8</f>
        <v>80.2764384371044</v>
      </c>
      <c r="G25" s="16" t="n">
        <f aca="false">Funding!G8</f>
        <v>131.465536042481</v>
      </c>
      <c r="H25" s="16" t="n">
        <f aca="false">Funding!H8</f>
        <v>197.688557668085</v>
      </c>
      <c r="I25" s="16" t="n">
        <f aca="false">Funding!I8</f>
        <v>278.419186089535</v>
      </c>
      <c r="M25" s="13" t="s">
        <v>6794</v>
      </c>
    </row>
    <row r="26" customFormat="false" ht="15" hidden="false" customHeight="false" outlineLevel="0" collapsed="false">
      <c r="A26" s="10" t="s">
        <v>6795</v>
      </c>
      <c r="B26" s="11" t="s">
        <v>6796</v>
      </c>
      <c r="C26" s="10" t="s">
        <v>63</v>
      </c>
      <c r="D26" s="16" t="n">
        <f aca="false">Revenue!D47*Revenue!D57</f>
        <v>1.55208902747077</v>
      </c>
      <c r="E26" s="16" t="n">
        <f aca="false">Revenue!E47*Revenue!E57</f>
        <v>30.7053100592986</v>
      </c>
      <c r="F26" s="16" t="n">
        <f aca="false">Revenue!F47*Revenue!F57</f>
        <v>67.3149789982244</v>
      </c>
      <c r="G26" s="16" t="n">
        <f aca="false">Revenue!G47*Revenue!G57</f>
        <v>116.118338771937</v>
      </c>
      <c r="H26" s="16" t="n">
        <f aca="false">Revenue!H47*Revenue!H57</f>
        <v>180.273720943432</v>
      </c>
      <c r="I26" s="16" t="n">
        <f aca="false">Revenue!I47*Revenue!I57</f>
        <v>259.143473856184</v>
      </c>
      <c r="M26" s="2"/>
    </row>
    <row r="27" customFormat="false" ht="15" hidden="false" customHeight="false" outlineLevel="0" collapsed="false">
      <c r="A27" s="10" t="s">
        <v>6797</v>
      </c>
      <c r="B27" s="11" t="s">
        <v>6798</v>
      </c>
      <c r="C27" s="10" t="s">
        <v>63</v>
      </c>
      <c r="D27" s="16" t="n">
        <f aca="false">Revenue!D43*Revenue!D57</f>
        <v>0.351710972529231</v>
      </c>
      <c r="E27" s="16" t="n">
        <f aca="false">Revenue!E43*Revenue!E57</f>
        <v>4.705064656512</v>
      </c>
      <c r="F27" s="16" t="n">
        <f aca="false">Revenue!F43*Revenue!F57</f>
        <v>7.95245943888</v>
      </c>
      <c r="G27" s="16" t="n">
        <f aca="false">Revenue!G43*Revenue!G57</f>
        <v>10.338197270544</v>
      </c>
      <c r="H27" s="16" t="n">
        <f aca="false">Revenue!H43*Revenue!H57</f>
        <v>12.4058367246528</v>
      </c>
      <c r="I27" s="16" t="n">
        <f aca="false">Revenue!I43*Revenue!I57</f>
        <v>14.2667122333507</v>
      </c>
      <c r="M27" s="2"/>
    </row>
    <row r="28" customFormat="false" ht="15" hidden="false" customHeight="false" outlineLevel="0" collapsed="false">
      <c r="A28" s="10" t="s">
        <v>6799</v>
      </c>
      <c r="B28" s="11" t="s">
        <v>6800</v>
      </c>
      <c r="C28" s="10" t="s">
        <v>63</v>
      </c>
      <c r="D28" s="16" t="n">
        <f aca="false">Revenue!D52+Revenue!D53</f>
        <v>5.3395</v>
      </c>
      <c r="E28" s="16" t="n">
        <f aca="false">Revenue!E52+Revenue!E53</f>
        <v>5.009</v>
      </c>
      <c r="F28" s="16" t="n">
        <f aca="false">Revenue!F52+Revenue!F53</f>
        <v>5.009</v>
      </c>
      <c r="G28" s="16" t="n">
        <f aca="false">Revenue!G52+Revenue!G53</f>
        <v>5.009</v>
      </c>
      <c r="H28" s="16" t="n">
        <f aca="false">Revenue!H52+Revenue!H53</f>
        <v>5.009</v>
      </c>
      <c r="I28" s="16" t="n">
        <f aca="false">Revenue!I52+Revenue!I53</f>
        <v>5.009</v>
      </c>
      <c r="M28" s="2"/>
    </row>
    <row r="29" customFormat="false" ht="15" hidden="false" customHeight="false" outlineLevel="0" collapsed="false">
      <c r="A29" s="10" t="s">
        <v>6801</v>
      </c>
      <c r="B29" s="11" t="s">
        <v>6802</v>
      </c>
      <c r="C29" s="10" t="s">
        <v>63</v>
      </c>
      <c r="D29" s="10" t="n">
        <f aca="false">D21-D25</f>
        <v>0</v>
      </c>
      <c r="E29" s="10" t="n">
        <f aca="false">E21-E25</f>
        <v>14.4072919508561</v>
      </c>
      <c r="F29" s="10" t="n">
        <f aca="false">F21-F25</f>
        <v>69.4335615628956</v>
      </c>
      <c r="G29" s="10" t="n">
        <f aca="false">G21-G25</f>
        <v>193.201130624186</v>
      </c>
      <c r="H29" s="10" t="n">
        <f aca="false">H21-H25</f>
        <v>126.978108998582</v>
      </c>
      <c r="I29" s="10" t="n">
        <f aca="false">I21-I25</f>
        <v>46.2474805771321</v>
      </c>
      <c r="M29" s="2"/>
    </row>
    <row r="30" customFormat="false" ht="15" hidden="false" customHeight="false" outlineLevel="0" collapsed="false">
      <c r="A30" s="10" t="s">
        <v>6803</v>
      </c>
      <c r="B30" s="11" t="s">
        <v>6804</v>
      </c>
      <c r="C30" s="11" t="s">
        <v>1709</v>
      </c>
      <c r="D30" s="10" t="n">
        <f aca="false">D21/D25</f>
        <v>1</v>
      </c>
      <c r="E30" s="10" t="n">
        <f aca="false">E21/E25</f>
        <v>1.35644519619994</v>
      </c>
      <c r="F30" s="10" t="n">
        <f aca="false">F21/F25</f>
        <v>1.86493076816426</v>
      </c>
      <c r="G30" s="10" t="n">
        <f aca="false">G21/G25</f>
        <v>2.46959527523438</v>
      </c>
      <c r="H30" s="10" t="n">
        <f aca="false">H21/H25</f>
        <v>1.64231390271851</v>
      </c>
      <c r="I30" s="10" t="n">
        <f aca="false">I21/I25</f>
        <v>1.16610737653065</v>
      </c>
      <c r="M30" s="2"/>
    </row>
    <row r="31" customFormat="false" ht="15" hidden="false" customHeight="false" outlineLevel="0" collapsed="false">
      <c r="A31" s="10" t="s">
        <v>6805</v>
      </c>
      <c r="B31" s="11" t="s">
        <v>6806</v>
      </c>
      <c r="C31" s="11" t="s">
        <v>1709</v>
      </c>
      <c r="D31" s="10" t="n">
        <f aca="false">D22/D25</f>
        <v>1</v>
      </c>
      <c r="E31" s="10" t="n">
        <f aca="false">E22/E25</f>
        <v>1.0391056342485</v>
      </c>
      <c r="F31" s="10" t="n">
        <f aca="false">F22/F25</f>
        <v>1.42009289673853</v>
      </c>
      <c r="G31" s="10" t="n">
        <f aca="false">G22/G25</f>
        <v>1.90924562859496</v>
      </c>
      <c r="H31" s="10" t="n">
        <f aca="false">H22/H25</f>
        <v>1.26967388988403</v>
      </c>
      <c r="I31" s="10" t="n">
        <f aca="false">I22/I25</f>
        <v>0.901518331137147</v>
      </c>
      <c r="M31" s="2"/>
    </row>
    <row r="32" customFormat="false" ht="15" hidden="false" customHeight="false" outlineLevel="0" collapsed="false">
      <c r="A32" s="10" t="s">
        <v>6807</v>
      </c>
      <c r="B32" s="11" t="s">
        <v>6808</v>
      </c>
      <c r="C32" s="11" t="s">
        <v>1709</v>
      </c>
      <c r="D32" s="10" t="n">
        <f aca="false">D23/D25</f>
        <v>1</v>
      </c>
      <c r="E32" s="10" t="n">
        <f aca="false">E23/E25</f>
        <v>1.5339178410335</v>
      </c>
      <c r="F32" s="10" t="n">
        <f aca="false">F23/F25</f>
        <v>2.24387134639923</v>
      </c>
      <c r="G32" s="10" t="n">
        <f aca="false">G23/G25</f>
        <v>2.8828848336155</v>
      </c>
      <c r="H32" s="10" t="n">
        <f aca="false">H23/H25</f>
        <v>1.91715698910775</v>
      </c>
      <c r="I32" s="10" t="n">
        <f aca="false">I23/I25</f>
        <v>1.36125676295211</v>
      </c>
      <c r="M32" s="2"/>
    </row>
    <row r="33" customFormat="false" ht="15" hidden="false" customHeight="false" outlineLevel="0" collapsed="false">
      <c r="A33" s="15" t="s">
        <v>6809</v>
      </c>
    </row>
    <row r="34" customFormat="false" ht="15" hidden="false" customHeight="false" outlineLevel="0" collapsed="false">
      <c r="A34" s="10" t="s">
        <v>6810</v>
      </c>
      <c r="B34" s="11" t="s">
        <v>6811</v>
      </c>
      <c r="C34" s="11" t="s">
        <v>1709</v>
      </c>
      <c r="D34" s="10" t="n">
        <f aca="false">(D21-D28-D27)/D26</f>
        <v>1</v>
      </c>
      <c r="E34" s="10" t="n">
        <f aca="false">(E21-E28-E27)/E26</f>
        <v>1.4692117396969</v>
      </c>
      <c r="F34" s="10" t="n">
        <f aca="false">(F21-F28-F27)/F26</f>
        <v>2.03147267660482</v>
      </c>
      <c r="G34" s="10" t="n">
        <f aca="false">(G21-G28-G27)/G26</f>
        <v>2.66382961268197</v>
      </c>
      <c r="H34" s="10" t="n">
        <f aca="false">(H21-H28-H27)/H26</f>
        <v>1.70436283410617</v>
      </c>
      <c r="I34" s="10" t="n">
        <f aca="false">(I21-I28-I27)/I26</f>
        <v>1.17846284102373</v>
      </c>
      <c r="M34" s="2"/>
    </row>
    <row r="35" customFormat="false" ht="15" hidden="false" customHeight="false" outlineLevel="0" collapsed="false">
      <c r="A35" s="10" t="s">
        <v>6812</v>
      </c>
      <c r="B35" s="11" t="s">
        <v>6813</v>
      </c>
      <c r="C35" s="11" t="s">
        <v>1709</v>
      </c>
      <c r="D35" s="10" t="n">
        <f aca="false">(D21-D28-D26)/D27</f>
        <v>0.999999999999999</v>
      </c>
      <c r="E35" s="10" t="n">
        <f aca="false">(E21-E28-E26)/E27</f>
        <v>4.06208160836129</v>
      </c>
      <c r="F35" s="10" t="n">
        <f aca="false">(F21-F28-F26)/F27</f>
        <v>9.73108025215838</v>
      </c>
      <c r="G35" s="10" t="n">
        <f aca="false">(G21-G28-G26)/G27</f>
        <v>19.6880870589171</v>
      </c>
      <c r="H35" s="10" t="n">
        <f aca="false">(H21-H28-H26)/H27</f>
        <v>11.2353522633626</v>
      </c>
      <c r="I35" s="10" t="n">
        <f aca="false">(I21-I28-I26)/I27</f>
        <v>4.24163548130039</v>
      </c>
      <c r="M35" s="2"/>
    </row>
    <row r="36" customFormat="false" ht="15" hidden="false" customHeight="false" outlineLevel="0" collapsed="false">
      <c r="A36" s="10" t="s">
        <v>6814</v>
      </c>
      <c r="B36" s="11" t="s">
        <v>6815</v>
      </c>
      <c r="C36" s="11" t="s">
        <v>1709</v>
      </c>
      <c r="D36" s="10" t="n">
        <f aca="false">(D21-D28)/(D26+D27)</f>
        <v>1</v>
      </c>
      <c r="E36" s="10" t="n">
        <f aca="false">(E21-E28)/(E26+E27)</f>
        <v>1.40686640755663</v>
      </c>
      <c r="F36" s="10" t="n">
        <f aca="false">(F21-F28)/(F26+F27)</f>
        <v>1.92249135887514</v>
      </c>
      <c r="G36" s="10" t="n">
        <f aca="false">(G21-G28)/(G26+G27)</f>
        <v>2.52780660194015</v>
      </c>
      <c r="H36" s="10" t="n">
        <f aca="false">(H21-H28)/(H26+H27)</f>
        <v>1.65901183568896</v>
      </c>
      <c r="I36" s="10" t="n">
        <f aca="false">(I21-I28)/(I26+I27)</f>
        <v>1.16915053984853</v>
      </c>
      <c r="M36" s="2"/>
    </row>
    <row r="37" customFormat="false" ht="15" hidden="false" customHeight="false" outlineLevel="0" collapsed="false">
      <c r="A37" s="10" t="s">
        <v>6816</v>
      </c>
      <c r="B37" s="10" t="s">
        <v>6817</v>
      </c>
      <c r="C37" s="10" t="s">
        <v>4694</v>
      </c>
      <c r="G37" s="16" t="n">
        <f aca="false">(G21-G28-G27)*INP_015/Revenue!G24</f>
        <v>10325.442915334</v>
      </c>
      <c r="M37" s="13" t="s">
        <v>6818</v>
      </c>
    </row>
    <row r="38" customFormat="false" ht="15" hidden="false" customHeight="false" outlineLevel="0" collapsed="false">
      <c r="A38" s="10" t="s">
        <v>6819</v>
      </c>
      <c r="B38" s="10" t="s">
        <v>6820</v>
      </c>
      <c r="C38" s="10" t="s">
        <v>4694</v>
      </c>
      <c r="G38" s="16" t="n">
        <f aca="false">Demand!G11</f>
        <v>3876.16492668172</v>
      </c>
      <c r="M38" s="13" t="s">
        <v>6821</v>
      </c>
    </row>
    <row r="39" customFormat="false" ht="15" hidden="false" customHeight="false" outlineLevel="0" collapsed="false">
      <c r="A39" s="10" t="s">
        <v>6822</v>
      </c>
      <c r="B39" s="10" t="s">
        <v>6823</v>
      </c>
      <c r="C39" s="11" t="s">
        <v>5399</v>
      </c>
      <c r="G39" s="16" t="n">
        <f aca="false">Demand!G16*G35</f>
        <v>1161.35103538787</v>
      </c>
      <c r="M39" s="13" t="s">
        <v>6824</v>
      </c>
    </row>
    <row r="40" customFormat="false" ht="15" hidden="false" customHeight="false" outlineLevel="0" collapsed="false">
      <c r="A40" s="10" t="s">
        <v>6825</v>
      </c>
      <c r="B40" s="10" t="s">
        <v>6826</v>
      </c>
      <c r="C40" s="10" t="s">
        <v>4527</v>
      </c>
      <c r="G40" s="16" t="n">
        <f aca="false">Compute!G111*G36</f>
        <v>0.554233758017782</v>
      </c>
      <c r="M40" s="2" t="s">
        <v>6827</v>
      </c>
    </row>
    <row r="41" customFormat="false" ht="15" hidden="false" customHeight="false" outlineLevel="0" collapsed="false">
      <c r="A41" s="10" t="s">
        <v>6828</v>
      </c>
      <c r="B41" s="11" t="s">
        <v>6829</v>
      </c>
      <c r="C41" s="11" t="s">
        <v>1709</v>
      </c>
      <c r="D41" s="16" t="n">
        <f aca="false">D21/Cost!D43</f>
        <v>0.160806775672406</v>
      </c>
      <c r="E41" s="16" t="n">
        <f aca="false">E21/Cost!E43</f>
        <v>0.663744910136967</v>
      </c>
      <c r="F41" s="16" t="n">
        <f aca="false">F21/Cost!F43</f>
        <v>1.22278834037046</v>
      </c>
      <c r="G41" s="16" t="n">
        <f aca="false">G21/Cost!G43</f>
        <v>1.87252634363191</v>
      </c>
      <c r="H41" s="16" t="n">
        <f aca="false">H21/Cost!H43</f>
        <v>1.25495790630639</v>
      </c>
      <c r="I41" s="16" t="n">
        <f aca="false">I21/Cost!I43</f>
        <v>0.855877905369158</v>
      </c>
      <c r="M41" s="2" t="s">
        <v>6830</v>
      </c>
    </row>
    <row r="42" customFormat="false" ht="15" hidden="false" customHeight="false" outlineLevel="0" collapsed="false">
      <c r="A42" s="15" t="s">
        <v>6831</v>
      </c>
    </row>
    <row r="43" customFormat="false" ht="15" hidden="false" customHeight="false" outlineLevel="0" collapsed="false">
      <c r="A43" s="10" t="s">
        <v>6832</v>
      </c>
      <c r="B43" s="11" t="s">
        <v>6833</v>
      </c>
      <c r="C43" s="10" t="s">
        <v>63</v>
      </c>
      <c r="E43" s="16" t="n">
        <f aca="false">Funding!E16+E29</f>
        <v>-26.9272948231573</v>
      </c>
      <c r="F43" s="16" t="n">
        <f aca="false">Funding!F16+F29</f>
        <v>28.5116283800963</v>
      </c>
      <c r="G43" s="16" t="n">
        <f aca="false">Funding!G16+G29</f>
        <v>152.707522466026</v>
      </c>
      <c r="H43" s="16" t="n">
        <f aca="false">Funding!H16+H29</f>
        <v>67.5938637645149</v>
      </c>
      <c r="I43" s="16" t="n">
        <f aca="false">Funding!I16+I29</f>
        <v>-52.8063302648127</v>
      </c>
      <c r="M43" s="2"/>
    </row>
    <row r="44" customFormat="false" ht="15" hidden="false" customHeight="false" outlineLevel="0" collapsed="false">
      <c r="A44" s="10" t="s">
        <v>6834</v>
      </c>
      <c r="B44" s="11" t="s">
        <v>6835</v>
      </c>
      <c r="C44" s="10" t="s">
        <v>63</v>
      </c>
      <c r="E44" s="16" t="n">
        <f aca="false">Funding!D39</f>
        <v>22.5915</v>
      </c>
      <c r="F44" s="10" t="n">
        <f aca="false">E47</f>
        <v>638.021597299062</v>
      </c>
      <c r="G44" s="10" t="n">
        <f aca="false">F47</f>
        <v>464.383225679158</v>
      </c>
      <c r="H44" s="10" t="n">
        <f aca="false">G47</f>
        <v>616.340748145184</v>
      </c>
      <c r="I44" s="10" t="n">
        <f aca="false">H47</f>
        <v>683.184611909699</v>
      </c>
      <c r="M44" s="2"/>
    </row>
    <row r="45" customFormat="false" ht="15" hidden="false" customHeight="false" outlineLevel="0" collapsed="false">
      <c r="A45" s="10" t="s">
        <v>6836</v>
      </c>
      <c r="B45" s="11" t="s">
        <v>6837</v>
      </c>
      <c r="C45" s="10" t="s">
        <v>63</v>
      </c>
      <c r="E45" s="16" t="n">
        <f aca="false">Funding!E37+E29</f>
        <v>638.021597299062</v>
      </c>
      <c r="F45" s="16" t="n">
        <f aca="false">F44+Funding!F21+F29+Funding!F31-Funding!F32</f>
        <v>464.383225679158</v>
      </c>
      <c r="G45" s="16" t="n">
        <f aca="false">G44+Funding!G21+G29+Funding!G31-Funding!G32</f>
        <v>616.340748145184</v>
      </c>
      <c r="H45" s="16" t="n">
        <f aca="false">H44+Funding!H21+H29+Funding!H31-Funding!H32</f>
        <v>683.184611909699</v>
      </c>
      <c r="I45" s="16" t="n">
        <f aca="false">I44+Funding!I21+I29+Funding!I31-Funding!I32</f>
        <v>629.628281644886</v>
      </c>
      <c r="M45" s="13" t="s">
        <v>6838</v>
      </c>
    </row>
    <row r="46" customFormat="false" ht="15" hidden="false" customHeight="false" outlineLevel="0" collapsed="false">
      <c r="A46" s="10" t="s">
        <v>6839</v>
      </c>
      <c r="B46" s="11" t="s">
        <v>6840</v>
      </c>
      <c r="C46" s="10" t="s">
        <v>63</v>
      </c>
      <c r="E46" s="16" t="n">
        <f aca="false">(Funding!E34-E45)*(Funding!E34&gt;E45)</f>
        <v>-0</v>
      </c>
      <c r="F46" s="16" t="n">
        <f aca="false">(Funding!F34-F45)*(Funding!F34&gt;F45)</f>
        <v>-0</v>
      </c>
      <c r="G46" s="16" t="n">
        <f aca="false">(Funding!G34-G45)*(Funding!G34&gt;G45)</f>
        <v>-0</v>
      </c>
      <c r="H46" s="16" t="n">
        <f aca="false">(Funding!H34-H45)*(Funding!H34&gt;H45)</f>
        <v>-0</v>
      </c>
      <c r="I46" s="16" t="n">
        <f aca="false">(Funding!I34-I45)*(Funding!I34&gt;I45)</f>
        <v>-0</v>
      </c>
      <c r="M46" s="2"/>
    </row>
    <row r="47" customFormat="false" ht="15" hidden="false" customHeight="false" outlineLevel="0" collapsed="false">
      <c r="A47" s="10" t="s">
        <v>6841</v>
      </c>
      <c r="B47" s="11" t="s">
        <v>6559</v>
      </c>
      <c r="C47" s="10" t="s">
        <v>63</v>
      </c>
      <c r="E47" s="10" t="n">
        <f aca="false">E45+E46</f>
        <v>638.021597299062</v>
      </c>
      <c r="F47" s="10" t="n">
        <f aca="false">F45+F46</f>
        <v>464.383225679158</v>
      </c>
      <c r="G47" s="10" t="n">
        <f aca="false">G45+G46</f>
        <v>616.340748145184</v>
      </c>
      <c r="H47" s="10" t="n">
        <f aca="false">H45+H46</f>
        <v>683.184611909699</v>
      </c>
      <c r="I47" s="10" t="n">
        <f aca="false">I45+I46</f>
        <v>629.628281644886</v>
      </c>
      <c r="M47" s="2"/>
    </row>
    <row r="48" customFormat="false" ht="15" hidden="false" customHeight="false" outlineLevel="0" collapsed="false">
      <c r="A48" s="10" t="s">
        <v>6842</v>
      </c>
      <c r="B48" s="11" t="s">
        <v>6843</v>
      </c>
      <c r="C48" s="10" t="s">
        <v>63</v>
      </c>
      <c r="E48" s="10" t="n">
        <f aca="false">E46</f>
        <v>-0</v>
      </c>
      <c r="F48" s="10" t="n">
        <f aca="false">E48+F46</f>
        <v>-0</v>
      </c>
      <c r="G48" s="10" t="n">
        <f aca="false">F48+G46</f>
        <v>-0</v>
      </c>
      <c r="H48" s="10" t="n">
        <f aca="false">G48+H46</f>
        <v>-0</v>
      </c>
      <c r="I48" s="10" t="n">
        <f aca="false">H48+I46</f>
        <v>-0</v>
      </c>
      <c r="M48" s="2"/>
    </row>
    <row r="49" customFormat="false" ht="15" hidden="false" customHeight="false" outlineLevel="0" collapsed="false">
      <c r="A49" s="15" t="s">
        <v>6844</v>
      </c>
    </row>
    <row r="50" customFormat="false" ht="15" hidden="false" customHeight="false" outlineLevel="0" collapsed="false">
      <c r="A50" s="10" t="s">
        <v>6845</v>
      </c>
      <c r="B50" s="11" t="s">
        <v>6846</v>
      </c>
      <c r="C50" s="10" t="s">
        <v>2297</v>
      </c>
      <c r="D50" s="10" t="n">
        <f aca="false">SRC_ZP_569</f>
        <v>696</v>
      </c>
      <c r="M50" s="13" t="s">
        <v>2593</v>
      </c>
    </row>
    <row r="51" customFormat="false" ht="15" hidden="false" customHeight="false" outlineLevel="0" collapsed="false">
      <c r="A51" s="10" t="s">
        <v>6847</v>
      </c>
      <c r="B51" s="11" t="s">
        <v>6848</v>
      </c>
      <c r="C51" s="11" t="s">
        <v>2306</v>
      </c>
      <c r="D51" s="10" t="n">
        <f aca="false">SRC_ZP_563</f>
        <v>487588090</v>
      </c>
      <c r="M51" s="13" t="s">
        <v>6849</v>
      </c>
    </row>
    <row r="52" customFormat="false" ht="15" hidden="false" customHeight="false" outlineLevel="0" collapsed="false">
      <c r="A52" s="10" t="s">
        <v>6850</v>
      </c>
      <c r="B52" s="11" t="s">
        <v>6851</v>
      </c>
      <c r="C52" s="10" t="s">
        <v>2346</v>
      </c>
      <c r="D52" s="10" t="n">
        <f aca="false">D50*D51/INP_077</f>
        <v>3393.6131064</v>
      </c>
      <c r="M52" s="2" t="s">
        <v>6852</v>
      </c>
    </row>
    <row r="53" customFormat="false" ht="15" hidden="false" customHeight="false" outlineLevel="0" collapsed="false">
      <c r="A53" s="10" t="s">
        <v>6853</v>
      </c>
      <c r="B53" s="11" t="s">
        <v>6854</v>
      </c>
      <c r="C53" s="10" t="s">
        <v>63</v>
      </c>
      <c r="D53" s="10" t="n">
        <f aca="false">D52*INP_024</f>
        <v>2915.89418941207</v>
      </c>
      <c r="M53" s="13" t="s">
        <v>6855</v>
      </c>
    </row>
    <row r="54" customFormat="false" ht="15" hidden="false" customHeight="false" outlineLevel="0" collapsed="false">
      <c r="A54" s="10" t="s">
        <v>6856</v>
      </c>
      <c r="B54" s="11" t="s">
        <v>6857</v>
      </c>
      <c r="C54" s="10" t="s">
        <v>63</v>
      </c>
      <c r="D54" s="16" t="n">
        <f aca="false">SRC_ZP_211+Funding!L24+Funding!L25+Funding!L27-Funding!L65-SRC_ZP_213-SRC_ZP_545*INP_129</f>
        <v>329.259146274</v>
      </c>
      <c r="M54" s="13" t="s">
        <v>6858</v>
      </c>
    </row>
    <row r="55" customFormat="false" ht="15" hidden="false" customHeight="false" outlineLevel="0" collapsed="false">
      <c r="A55" s="10" t="s">
        <v>6859</v>
      </c>
      <c r="B55" s="11" t="s">
        <v>6860</v>
      </c>
      <c r="C55" s="10" t="s">
        <v>63</v>
      </c>
      <c r="D55" s="16" t="n">
        <f aca="false">Funding!E39-Funding!E29-SRC_ZP_545*INP_129</f>
        <v>399.966405348206</v>
      </c>
      <c r="M55" s="2" t="s">
        <v>6861</v>
      </c>
    </row>
    <row r="56" customFormat="false" ht="15" hidden="false" customHeight="false" outlineLevel="0" collapsed="false">
      <c r="A56" s="10" t="s">
        <v>6862</v>
      </c>
      <c r="B56" s="11" t="s">
        <v>6863</v>
      </c>
      <c r="C56" s="10" t="s">
        <v>63</v>
      </c>
      <c r="D56" s="10" t="n">
        <f aca="false">D53-D54</f>
        <v>2586.63504313807</v>
      </c>
      <c r="M56" s="2"/>
    </row>
    <row r="57" customFormat="false" ht="15" hidden="false" customHeight="false" outlineLevel="0" collapsed="false">
      <c r="A57" s="10" t="s">
        <v>6864</v>
      </c>
      <c r="B57" s="10" t="s">
        <v>6865</v>
      </c>
      <c r="C57" s="10" t="s">
        <v>1739</v>
      </c>
      <c r="D57" s="10" t="n">
        <f aca="false">SRC_ZP_596*INP_024/INP_023</f>
        <v>105.903581002686</v>
      </c>
      <c r="M57" s="13" t="s">
        <v>6866</v>
      </c>
    </row>
    <row r="58" customFormat="false" ht="15" hidden="false" customHeight="false" outlineLevel="0" collapsed="false">
      <c r="A58" s="10" t="s">
        <v>6867</v>
      </c>
      <c r="B58" s="10" t="s">
        <v>2814</v>
      </c>
      <c r="C58" s="10" t="s">
        <v>1739</v>
      </c>
      <c r="D58" s="10" t="n">
        <f aca="false">SRC_ZP_603/INP_020</f>
        <v>13.2</v>
      </c>
      <c r="M58" s="13" t="s">
        <v>6868</v>
      </c>
    </row>
    <row r="59" customFormat="false" ht="15" hidden="false" customHeight="false" outlineLevel="0" collapsed="false">
      <c r="A59" s="10" t="s">
        <v>6869</v>
      </c>
      <c r="B59" s="10" t="s">
        <v>6870</v>
      </c>
      <c r="C59" s="10" t="s">
        <v>1739</v>
      </c>
      <c r="D59" s="10" t="n">
        <f aca="false">D57-D58</f>
        <v>92.7035810026855</v>
      </c>
      <c r="M59" s="2"/>
    </row>
    <row r="60" customFormat="false" ht="15" hidden="false" customHeight="false" outlineLevel="0" collapsed="false">
      <c r="A60" s="10" t="s">
        <v>6871</v>
      </c>
      <c r="B60" s="10" t="s">
        <v>6872</v>
      </c>
      <c r="C60" s="10" t="s">
        <v>1739</v>
      </c>
      <c r="D60" s="10" t="n">
        <f aca="false">SRC_ZP_601*INP_013/INP_020</f>
        <v>2.3314</v>
      </c>
      <c r="M60" s="13" t="s">
        <v>2800</v>
      </c>
    </row>
    <row r="61" customFormat="false" ht="15" hidden="false" customHeight="false" outlineLevel="0" collapsed="false">
      <c r="A61" s="10" t="s">
        <v>6873</v>
      </c>
      <c r="B61" s="10" t="s">
        <v>6874</v>
      </c>
      <c r="C61" s="11" t="s">
        <v>1709</v>
      </c>
      <c r="D61" s="10" t="n">
        <f aca="false">D59/D60</f>
        <v>39.763052673366</v>
      </c>
      <c r="M61" s="13" t="s">
        <v>6875</v>
      </c>
    </row>
    <row r="62" customFormat="false" ht="15" hidden="false" customHeight="false" outlineLevel="0" collapsed="false">
      <c r="A62" s="10" t="s">
        <v>6876</v>
      </c>
      <c r="B62" s="11" t="s">
        <v>6877</v>
      </c>
      <c r="C62" s="11" t="s">
        <v>1709</v>
      </c>
      <c r="D62" s="10" t="n">
        <f aca="false">D61*INP_135</f>
        <v>39.763052673366</v>
      </c>
      <c r="M62" s="13" t="s">
        <v>6878</v>
      </c>
    </row>
    <row r="63" customFormat="false" ht="15" hidden="false" customHeight="false" outlineLevel="0" collapsed="false">
      <c r="A63" s="10" t="s">
        <v>6879</v>
      </c>
      <c r="B63" s="11" t="s">
        <v>6880</v>
      </c>
      <c r="C63" s="11" t="s">
        <v>1709</v>
      </c>
      <c r="D63" s="16" t="n">
        <f aca="false">D61*Inputs!$G$138</f>
        <v>19.881526336683</v>
      </c>
      <c r="M63" s="13" t="s">
        <v>6881</v>
      </c>
    </row>
    <row r="64" customFormat="false" ht="15" hidden="false" customHeight="false" outlineLevel="0" collapsed="false">
      <c r="A64" s="10" t="s">
        <v>6882</v>
      </c>
      <c r="B64" s="11" t="s">
        <v>6883</v>
      </c>
      <c r="C64" s="11" t="s">
        <v>1709</v>
      </c>
      <c r="D64" s="16" t="n">
        <f aca="false">D61*Inputs!$H$138</f>
        <v>79.526105346732</v>
      </c>
      <c r="M64" s="13" t="s">
        <v>6884</v>
      </c>
    </row>
    <row r="65" customFormat="false" ht="15" hidden="false" customHeight="false" outlineLevel="0" collapsed="false">
      <c r="A65" s="10" t="s">
        <v>6885</v>
      </c>
      <c r="B65" s="11" t="s">
        <v>6886</v>
      </c>
      <c r="C65" s="10" t="s">
        <v>63</v>
      </c>
      <c r="D65" s="10" t="n">
        <f aca="false">D56/D62</f>
        <v>65.0512188887008</v>
      </c>
      <c r="M65" s="2" t="s">
        <v>6887</v>
      </c>
    </row>
    <row r="66" customFormat="false" ht="15" hidden="false" customHeight="false" outlineLevel="0" collapsed="false">
      <c r="A66" s="10" t="s">
        <v>6888</v>
      </c>
      <c r="B66" s="11" t="s">
        <v>6889</v>
      </c>
      <c r="C66" s="10" t="s">
        <v>63</v>
      </c>
      <c r="D66" s="10" t="n">
        <f aca="false">D56/D63</f>
        <v>130.102437777402</v>
      </c>
      <c r="M66" s="2"/>
    </row>
    <row r="67" customFormat="false" ht="15" hidden="false" customHeight="false" outlineLevel="0" collapsed="false">
      <c r="A67" s="10" t="s">
        <v>6890</v>
      </c>
      <c r="B67" s="11" t="s">
        <v>6891</v>
      </c>
      <c r="C67" s="10" t="s">
        <v>63</v>
      </c>
      <c r="D67" s="10" t="n">
        <f aca="false">D56/D64</f>
        <v>32.5256094443504</v>
      </c>
      <c r="M67" s="2"/>
    </row>
    <row r="68" customFormat="false" ht="15" hidden="false" customHeight="false" outlineLevel="0" collapsed="false">
      <c r="A68" s="10" t="s">
        <v>6892</v>
      </c>
      <c r="B68" s="11" t="s">
        <v>6893</v>
      </c>
      <c r="C68" s="10" t="s">
        <v>4514</v>
      </c>
      <c r="D68" s="10" t="n">
        <f aca="false">D65/INP_023/INP_021</f>
        <v>0.965165935528729</v>
      </c>
      <c r="M68" s="13" t="s">
        <v>6894</v>
      </c>
    </row>
    <row r="69" customFormat="false" ht="15" hidden="false" customHeight="false" outlineLevel="0" collapsed="false">
      <c r="A69" s="10" t="s">
        <v>6895</v>
      </c>
      <c r="B69" s="11" t="s">
        <v>6896</v>
      </c>
      <c r="C69" s="11" t="s">
        <v>1709</v>
      </c>
      <c r="D69" s="16" t="n">
        <f aca="false">D56/(Revenue!K54*INP_013)</f>
        <v>135.582086337041</v>
      </c>
      <c r="M69" s="2"/>
    </row>
    <row r="70" customFormat="false" ht="15" hidden="false" customHeight="false" outlineLevel="0" collapsed="false">
      <c r="A70" s="10" t="s">
        <v>6897</v>
      </c>
      <c r="B70" s="11" t="s">
        <v>6898</v>
      </c>
      <c r="C70" s="11" t="s">
        <v>1709</v>
      </c>
      <c r="D70" s="10" t="n">
        <f aca="false">D56/L10</f>
        <v>41.8815358774408</v>
      </c>
      <c r="M70" s="2"/>
    </row>
    <row r="71" customFormat="false" ht="15" hidden="false" customHeight="false" outlineLevel="0" collapsed="false">
      <c r="A71" s="10" t="s">
        <v>6899</v>
      </c>
      <c r="B71" s="11" t="s">
        <v>6900</v>
      </c>
      <c r="C71" s="11" t="s">
        <v>1709</v>
      </c>
      <c r="D71" s="10" t="n">
        <f aca="false">D25/$D$65</f>
        <v>0.11134764457516</v>
      </c>
      <c r="E71" s="10" t="n">
        <f aca="false">E25/$D$65</f>
        <v>0.621346923336916</v>
      </c>
      <c r="F71" s="10" t="n">
        <f aca="false">F25/$D$65</f>
        <v>1.2340497197209</v>
      </c>
      <c r="G71" s="10" t="n">
        <f aca="false">G25/$D$65</f>
        <v>2.02095423096394</v>
      </c>
      <c r="H71" s="10" t="n">
        <f aca="false">H25/$D$65</f>
        <v>3.03896777101625</v>
      </c>
      <c r="I71" s="10" t="n">
        <f aca="false">I25/$D$65</f>
        <v>4.27999952723246</v>
      </c>
      <c r="M71" s="13" t="s">
        <v>6901</v>
      </c>
    </row>
    <row r="72" customFormat="false" ht="15" hidden="false" customHeight="false" outlineLevel="0" collapsed="false">
      <c r="A72" s="10" t="s">
        <v>6902</v>
      </c>
      <c r="B72" s="11" t="s">
        <v>6903</v>
      </c>
      <c r="C72" s="11" t="s">
        <v>2665</v>
      </c>
      <c r="D72" s="10" t="str">
        <f aca="false">IF(D25&gt;=$D$65,D$6,"")</f>
        <v/>
      </c>
      <c r="E72" s="10" t="str">
        <f aca="false">IF(E25&gt;=$D$65,E$6,"")</f>
        <v/>
      </c>
      <c r="F72" s="10" t="n">
        <f aca="false">IF(F25&gt;=$D$65,F$6,"")</f>
        <v>2027</v>
      </c>
      <c r="G72" s="10" t="n">
        <f aca="false">IF(G25&gt;=$D$65,G$6,"")</f>
        <v>2028</v>
      </c>
      <c r="H72" s="10" t="n">
        <f aca="false">IF(H25&gt;=$D$65,H$6,"")</f>
        <v>2029</v>
      </c>
      <c r="I72" s="10" t="n">
        <f aca="false">IF(I25&gt;=$D$65,I$6,"")</f>
        <v>2030</v>
      </c>
      <c r="M72" s="2"/>
    </row>
    <row r="73" customFormat="false" ht="15" hidden="false" customHeight="false" outlineLevel="0" collapsed="false">
      <c r="A73" s="10" t="s">
        <v>6904</v>
      </c>
      <c r="B73" s="11" t="s">
        <v>6905</v>
      </c>
      <c r="C73" s="11" t="s">
        <v>2665</v>
      </c>
      <c r="D73" s="10" t="n">
        <f aca="false">IF(COUNT($D$72:$I$72),MIN($D$72:$I$72),"期間內未達")</f>
        <v>2027</v>
      </c>
      <c r="M73" s="2"/>
    </row>
    <row r="74" customFormat="false" ht="15" hidden="false" customHeight="false" outlineLevel="0" collapsed="false">
      <c r="A74" s="10" t="s">
        <v>6906</v>
      </c>
      <c r="B74" s="11" t="s">
        <v>6907</v>
      </c>
      <c r="C74" s="11" t="s">
        <v>1709</v>
      </c>
      <c r="G74" s="10" t="n">
        <f aca="false">G21/$D$65</f>
        <v>4.99093902025347</v>
      </c>
      <c r="M74"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62"/>
    <col collapsed="false" customWidth="true" hidden="false" outlineLevel="0" max="3" min="3" style="0" width="14"/>
    <col collapsed="false" customWidth="true" hidden="false" outlineLevel="0" max="6" min="6" style="0" width="70"/>
  </cols>
  <sheetData>
    <row r="1" customFormat="false" ht="20.1" hidden="false" customHeight="false" outlineLevel="0" collapsed="false">
      <c r="A1" s="7" t="s">
        <v>6908</v>
      </c>
    </row>
    <row r="2" customFormat="false" ht="15" hidden="false" customHeight="false" outlineLevel="0" collapsed="false">
      <c r="A2" s="13" t="s">
        <v>6909</v>
      </c>
    </row>
    <row r="4" customFormat="false" ht="15" hidden="false" customHeight="false" outlineLevel="0" collapsed="false">
      <c r="A4" s="9" t="s">
        <v>5370</v>
      </c>
      <c r="B4" s="9" t="s">
        <v>6910</v>
      </c>
      <c r="C4" s="9" t="s">
        <v>6911</v>
      </c>
      <c r="D4" s="9" t="s">
        <v>6912</v>
      </c>
      <c r="E4" s="9" t="s">
        <v>6913</v>
      </c>
      <c r="F4" s="9" t="s">
        <v>4410</v>
      </c>
    </row>
    <row r="5" customFormat="false" ht="15" hidden="false" customHeight="false" outlineLevel="0" collapsed="false">
      <c r="A5" s="10" t="s">
        <v>6914</v>
      </c>
      <c r="B5" s="10" t="s">
        <v>6915</v>
      </c>
      <c r="C5" s="10" t="n">
        <f aca="false">SUMPRODUCT(--(LEN(SRC_ZP!$A$5:$A$2000)&gt;0))</f>
        <v>1054</v>
      </c>
      <c r="D5" s="10" t="n">
        <v>1054</v>
      </c>
      <c r="E5" s="10" t="str">
        <f aca="false">IF(C5=D5,"OK","ERR")</f>
        <v>OK</v>
      </c>
      <c r="F5" s="13" t="s">
        <v>6916</v>
      </c>
    </row>
    <row r="6" customFormat="false" ht="15" hidden="false" customHeight="false" outlineLevel="0" collapsed="false">
      <c r="A6" s="10" t="s">
        <v>6917</v>
      </c>
      <c r="B6" s="10" t="s">
        <v>6918</v>
      </c>
      <c r="C6" s="10" t="n">
        <f aca="false">SUM(SRC_ZP!$U$5:$U$2000)</f>
        <v>29</v>
      </c>
      <c r="D6" s="10" t="n">
        <v>29</v>
      </c>
      <c r="E6" s="10" t="str">
        <f aca="false">IF(C6=D6,"OK","ERR")</f>
        <v>OK</v>
      </c>
      <c r="F6" s="2" t="s">
        <v>6919</v>
      </c>
    </row>
    <row r="7" customFormat="false" ht="15" hidden="false" customHeight="false" outlineLevel="0" collapsed="false">
      <c r="A7" s="10" t="s">
        <v>6920</v>
      </c>
      <c r="B7" s="10" t="s">
        <v>6921</v>
      </c>
      <c r="C7" s="10" t="n">
        <f aca="false">SUM(SRC_ZP!$V$5:$V$2000)</f>
        <v>0</v>
      </c>
      <c r="D7" s="10" t="n">
        <v>0</v>
      </c>
      <c r="E7" s="10" t="str">
        <f aca="false">IF(C7=D7,"OK","ERR")</f>
        <v>OK</v>
      </c>
      <c r="F7" s="2"/>
    </row>
    <row r="8" customFormat="false" ht="15" hidden="false" customHeight="false" outlineLevel="0" collapsed="false">
      <c r="A8" s="10" t="s">
        <v>6922</v>
      </c>
      <c r="B8" s="10" t="s">
        <v>6923</v>
      </c>
      <c r="C8" s="10" t="n">
        <f aca="false">SUM(SRC_ZP!$W$5:$W$2000)</f>
        <v>0</v>
      </c>
      <c r="D8" s="10" t="n">
        <v>0</v>
      </c>
      <c r="E8" s="10" t="str">
        <f aca="false">IF(C8=D8,"OK","ERR")</f>
        <v>OK</v>
      </c>
      <c r="F8" s="2"/>
    </row>
    <row r="9" customFormat="false" ht="15" hidden="false" customHeight="false" outlineLevel="0" collapsed="false">
      <c r="A9" s="10" t="s">
        <v>6924</v>
      </c>
      <c r="B9" s="10" t="s">
        <v>6925</v>
      </c>
      <c r="C9" s="10" t="n">
        <f aca="false">SUMPRODUCT(--(LEN(Inputs!$A$5:$A$600)&gt;0))</f>
        <v>140</v>
      </c>
      <c r="D9" s="10" t="n">
        <v>140</v>
      </c>
      <c r="E9" s="10" t="str">
        <f aca="false">IF(C9=D9,"OK","ERR")</f>
        <v>OK</v>
      </c>
      <c r="F9" s="13" t="s">
        <v>6926</v>
      </c>
    </row>
    <row r="10" customFormat="false" ht="15" hidden="false" customHeight="false" outlineLevel="0" collapsed="false">
      <c r="A10" s="10" t="s">
        <v>6927</v>
      </c>
      <c r="B10" s="10" t="s">
        <v>6928</v>
      </c>
      <c r="C10" s="10" t="n">
        <f aca="false">SUM(Inputs!$L$5:$L$600)</f>
        <v>0</v>
      </c>
      <c r="D10" s="10" t="n">
        <v>0</v>
      </c>
      <c r="E10" s="10" t="str">
        <f aca="false">IF(C10=D10,"OK","ERR")</f>
        <v>OK</v>
      </c>
      <c r="F10" s="2" t="s">
        <v>6929</v>
      </c>
    </row>
    <row r="11" customFormat="false" ht="15" hidden="false" customHeight="false" outlineLevel="0" collapsed="false">
      <c r="A11" s="10" t="s">
        <v>6930</v>
      </c>
      <c r="B11" s="10" t="s">
        <v>6931</v>
      </c>
      <c r="C11" s="10" t="n">
        <f aca="false">SUM(Inputs!$M$5:$M$600)</f>
        <v>0</v>
      </c>
      <c r="D11" s="10" t="n">
        <v>0</v>
      </c>
      <c r="E11" s="10" t="str">
        <f aca="false">IF(C11=D11,"OK","ERR")</f>
        <v>OK</v>
      </c>
      <c r="F11" s="2" t="s">
        <v>6932</v>
      </c>
    </row>
    <row r="12" customFormat="false" ht="15" hidden="false" customHeight="false" outlineLevel="0" collapsed="false">
      <c r="A12" s="10" t="s">
        <v>6933</v>
      </c>
      <c r="B12" s="10" t="s">
        <v>6934</v>
      </c>
      <c r="C12" s="10" t="n">
        <f aca="false">COUNTIF(TK_Link!$F$10:$F$200,"讀表（非具名）")</f>
        <v>7</v>
      </c>
      <c r="D12" s="10" t="n">
        <v>7</v>
      </c>
      <c r="E12" s="10" t="str">
        <f aca="false">IF(C12=D12,"OK","ERR")</f>
        <v>OK</v>
      </c>
      <c r="F12" s="2" t="s">
        <v>6935</v>
      </c>
    </row>
    <row r="13" customFormat="false" ht="15" hidden="false" customHeight="false" outlineLevel="0" collapsed="false">
      <c r="A13" s="10" t="s">
        <v>6936</v>
      </c>
      <c r="B13" s="10" t="s">
        <v>6937</v>
      </c>
      <c r="C13" s="10" t="n">
        <f aca="false">SUMPRODUCT(--ISERROR(TK_Link!$J$10:$X$200))</f>
        <v>0</v>
      </c>
      <c r="D13" s="10" t="n">
        <v>0</v>
      </c>
      <c r="E13" s="10" t="str">
        <f aca="false">IF(C13=D13,"OK","ERR")</f>
        <v>OK</v>
      </c>
      <c r="F13" s="2"/>
    </row>
    <row r="14" customFormat="false" ht="15" hidden="false" customHeight="false" outlineLevel="0" collapsed="false">
      <c r="A14" s="10" t="s">
        <v>6938</v>
      </c>
      <c r="B14" s="10" t="s">
        <v>6939</v>
      </c>
      <c r="C14" s="10" t="str">
        <f aca="false">TK_Version</f>
        <v>v19.0</v>
      </c>
      <c r="D14" s="10" t="s">
        <v>4393</v>
      </c>
      <c r="E14" s="10" t="str">
        <f aca="false">IF(C14=D14,"OK","ERR")</f>
        <v>OK</v>
      </c>
      <c r="F14" s="2" t="s">
        <v>6940</v>
      </c>
    </row>
    <row r="15" customFormat="false" ht="15" hidden="false" customHeight="false" outlineLevel="0" collapsed="false">
      <c r="A15" s="10" t="s">
        <v>6941</v>
      </c>
      <c r="B15" s="10" t="s">
        <v>6942</v>
      </c>
      <c r="C15" s="10" t="n">
        <f aca="false">COUNTIF(OAI_Link!$E$10:$E$60,"OK")</f>
        <v>17</v>
      </c>
      <c r="D15" s="10" t="n">
        <v>17</v>
      </c>
      <c r="E15" s="10" t="str">
        <f aca="false">IF(C15=D15,"OK","ERR")</f>
        <v>OK</v>
      </c>
      <c r="F15" s="13" t="s">
        <v>6943</v>
      </c>
    </row>
    <row r="16" customFormat="false" ht="15" hidden="false" customHeight="false" outlineLevel="0" collapsed="false">
      <c r="A16" s="10" t="s">
        <v>6944</v>
      </c>
      <c r="B16" s="10" t="s">
        <v>6945</v>
      </c>
      <c r="C16" s="10" t="n">
        <v>0</v>
      </c>
      <c r="D16" s="10" t="n">
        <v>0</v>
      </c>
      <c r="E16" s="10" t="str">
        <f aca="false">IF(C16=D16,"OK","ERR")</f>
        <v>OK</v>
      </c>
      <c r="F16" s="2" t="s">
        <v>6946</v>
      </c>
    </row>
    <row r="17" customFormat="false" ht="15" hidden="false" customHeight="false" outlineLevel="0" collapsed="false">
      <c r="A17" s="10" t="s">
        <v>6947</v>
      </c>
      <c r="B17" s="10" t="s">
        <v>6948</v>
      </c>
      <c r="C17" s="10" t="n">
        <v>0</v>
      </c>
      <c r="D17" s="10" t="n">
        <v>0</v>
      </c>
      <c r="E17" s="10" t="str">
        <f aca="false">IF(C17=D17,"OK","ERR")</f>
        <v>OK</v>
      </c>
      <c r="F17" s="13" t="s">
        <v>6949</v>
      </c>
    </row>
    <row r="18" customFormat="false" ht="15" hidden="false" customHeight="false" outlineLevel="0" collapsed="false">
      <c r="A18" s="10" t="s">
        <v>6950</v>
      </c>
      <c r="B18" s="10" t="s">
        <v>6951</v>
      </c>
      <c r="C18" s="10" t="n">
        <f aca="false">ABS(Revenue!$D$66)+ABS(Revenue!$D$68)+ABS(Revenue!$D$70)+ABS(Revenue!$D$72)</f>
        <v>0</v>
      </c>
      <c r="D18" s="10" t="n">
        <v>0</v>
      </c>
      <c r="E18" s="10" t="str">
        <f aca="false">IF(ISNUMBER(C18),IF(ABS(C18-D18)&lt;0.000000001,"OK","ERR"),"ERR")</f>
        <v>OK</v>
      </c>
      <c r="F18" s="13" t="s">
        <v>6952</v>
      </c>
    </row>
    <row r="19" customFormat="false" ht="15" hidden="false" customHeight="false" outlineLevel="0" collapsed="false">
      <c r="A19" s="10" t="s">
        <v>6953</v>
      </c>
      <c r="B19" s="10" t="s">
        <v>6954</v>
      </c>
      <c r="C19" s="10" t="n">
        <f aca="false">ABS(Revenue!$K$67)+ABS(Revenue!$K$69)+ABS(Revenue!$K$71)+ABS(Revenue!$K$73)</f>
        <v>0</v>
      </c>
      <c r="D19" s="10" t="n">
        <v>0</v>
      </c>
      <c r="E19" s="10" t="str">
        <f aca="false">IF(ISNUMBER(C19),IF(ABS(C19-D19)&lt;0.000000001,"OK","ERR"),"ERR")</f>
        <v>OK</v>
      </c>
      <c r="F19" s="2" t="s">
        <v>6955</v>
      </c>
    </row>
    <row r="20" customFormat="false" ht="15" hidden="false" customHeight="false" outlineLevel="0" collapsed="false">
      <c r="A20" s="10" t="s">
        <v>6956</v>
      </c>
      <c r="B20" s="10" t="s">
        <v>6957</v>
      </c>
      <c r="C20" s="10" t="n">
        <f aca="false">REV_Gap2025</f>
        <v>0</v>
      </c>
      <c r="D20" s="10" t="n">
        <v>0</v>
      </c>
      <c r="E20" s="10" t="str">
        <f aca="false">IF(ISNUMBER(C20),IF(ABS(C20-D20)&lt;0.000000001,"OK","ERR"),"ERR")</f>
        <v>OK</v>
      </c>
      <c r="F20" s="2" t="s">
        <v>6958</v>
      </c>
    </row>
    <row r="21" customFormat="false" ht="15" hidden="false" customHeight="false" outlineLevel="0" collapsed="false">
      <c r="A21" s="10" t="s">
        <v>6959</v>
      </c>
      <c r="B21" s="10" t="s">
        <v>6960</v>
      </c>
      <c r="C21" s="10" t="n">
        <f aca="false">REV_Gap1H26</f>
        <v>9.99999999979906E-005</v>
      </c>
      <c r="D21" s="10" t="n">
        <v>0</v>
      </c>
      <c r="E21" s="10" t="str">
        <f aca="false">IF(ISNUMBER(C21),IF(ABS(C21-D21)&lt;=0.0005,"OK","ERR"),"ERR")</f>
        <v>OK</v>
      </c>
      <c r="F21" s="2" t="s">
        <v>6961</v>
      </c>
    </row>
    <row r="22" customFormat="false" ht="15" hidden="false" customHeight="false" outlineLevel="0" collapsed="false">
      <c r="A22" s="10" t="s">
        <v>6962</v>
      </c>
      <c r="B22" s="11" t="s">
        <v>6963</v>
      </c>
      <c r="C22" s="10" t="n">
        <f aca="false">ABS(Revenue!D48+Revenue!D52+Revenue!D53-Revenue!D54)+ABS(Revenue!E48+Revenue!E52+Revenue!E53-Revenue!E54)+ABS(Revenue!F48+Revenue!F52+Revenue!F53-Revenue!F54)+ABS(Revenue!G48+Revenue!G52+Revenue!G53-Revenue!G54)+ABS(Revenue!H48+Revenue!H52+Revenue!H53-Revenue!H54)+ABS(Revenue!I48+Revenue!I52+Revenue!I53-Revenue!I54)+ABS(Revenue!K48+Revenue!K52+Revenue!K53-Revenue!K54)+ABS(Revenue!L48+Revenue!L52+Revenue!L53-Revenue!L54)</f>
        <v>0</v>
      </c>
      <c r="D22" s="10" t="n">
        <v>0</v>
      </c>
      <c r="E22" s="10" t="str">
        <f aca="false">IF(ISNUMBER(C22),IF(ABS(C22-D22)&lt;0.000000001,"OK","ERR"),"ERR")</f>
        <v>OK</v>
      </c>
      <c r="F22" s="13" t="s">
        <v>6964</v>
      </c>
    </row>
    <row r="23" customFormat="false" ht="15" hidden="false" customHeight="false" outlineLevel="0" collapsed="false">
      <c r="A23" s="10" t="s">
        <v>6965</v>
      </c>
      <c r="B23" s="11" t="s">
        <v>6966</v>
      </c>
      <c r="C23" s="10" t="n">
        <f aca="false">ABS(Revenue!D62)+ABS(Revenue!E62)+ABS(Revenue!F62)+ABS(Revenue!G62)+ABS(Revenue!H62)+ABS(Revenue!I62)+ABS(Revenue!K62)+ABS(Revenue!L62)</f>
        <v>0</v>
      </c>
      <c r="D23" s="10" t="n">
        <v>0</v>
      </c>
      <c r="E23" s="10" t="str">
        <f aca="false">IF(ISNUMBER(C23),IF(ABS(C23-D23)&lt;0.000000001,"OK","ERR"),"ERR")</f>
        <v>OK</v>
      </c>
      <c r="F23" s="13" t="s">
        <v>6967</v>
      </c>
    </row>
    <row r="24" customFormat="false" ht="15" hidden="false" customHeight="false" outlineLevel="0" collapsed="false">
      <c r="A24" s="10" t="s">
        <v>6968</v>
      </c>
      <c r="B24" s="11" t="s">
        <v>6969</v>
      </c>
      <c r="C24" s="10" t="n">
        <f aca="false">(Revenue!D44&lt;=0)+(Revenue!K44&lt;=0)</f>
        <v>0</v>
      </c>
      <c r="D24" s="10" t="n">
        <v>0</v>
      </c>
      <c r="E24" s="10" t="str">
        <f aca="false">IF(C24=D24,"OK","ERR")</f>
        <v>OK</v>
      </c>
      <c r="F24" s="13" t="s">
        <v>6970</v>
      </c>
    </row>
    <row r="25" customFormat="false" ht="15" hidden="false" customHeight="false" outlineLevel="0" collapsed="false">
      <c r="A25" s="10" t="s">
        <v>6971</v>
      </c>
      <c r="B25" s="10" t="s">
        <v>6972</v>
      </c>
      <c r="C25" s="10" t="n">
        <f aca="false">SUMPRODUCT(--(ABS(Demand!$D$11:$I$11+Demand!$D$26:$I$26+Demand!$D$31:$I$31+Demand!$D$14:$I$14-Demand!$D$41:$I$41)&gt;0.000000001*Demand!$D$41:$I$41))</f>
        <v>0</v>
      </c>
      <c r="D25" s="10" t="n">
        <v>0</v>
      </c>
      <c r="E25" s="10" t="str">
        <f aca="false">IF(C25=D25,"OK","ERR")</f>
        <v>OK</v>
      </c>
      <c r="F25" s="13" t="s">
        <v>6973</v>
      </c>
    </row>
    <row r="26" customFormat="false" ht="15" hidden="false" customHeight="false" outlineLevel="0" collapsed="false">
      <c r="A26" s="10" t="s">
        <v>6974</v>
      </c>
      <c r="B26" s="10" t="s">
        <v>6975</v>
      </c>
      <c r="C26" s="10" t="n">
        <f aca="false">(Revenue!D37&lt;0)+(Revenue!D37&gt;1)+(Revenue!E37&lt;0)+(Revenue!E37&gt;1)+(Revenue!F37&lt;0)+(Revenue!F37&gt;1)+(Revenue!G37&lt;0)+(Revenue!G37&gt;1)+(Revenue!H37&lt;0)+(Revenue!H37&gt;1)+(Revenue!I37&lt;0)+(Revenue!I37&gt;1)+(Revenue!K37&lt;0)+(Revenue!K37&gt;1)+(Revenue!L37&lt;0)+(Revenue!L37&gt;1)</f>
        <v>0</v>
      </c>
      <c r="D26" s="10" t="n">
        <v>0</v>
      </c>
      <c r="E26" s="10" t="str">
        <f aca="false">IF(C26=D26,"OK","ERR")</f>
        <v>OK</v>
      </c>
      <c r="F26" s="13" t="s">
        <v>6976</v>
      </c>
    </row>
    <row r="27" customFormat="false" ht="15" hidden="false" customHeight="false" outlineLevel="0" collapsed="false">
      <c r="A27" s="10" t="s">
        <v>6977</v>
      </c>
      <c r="B27" s="10" t="s">
        <v>6978</v>
      </c>
      <c r="C27" s="10" t="n">
        <f aca="false">(Revenue!D22&lt;0)+(Revenue!D22&gt;1)+(Revenue!E22&lt;0)+(Revenue!E22&gt;1)+(Revenue!F22&lt;0)+(Revenue!F22&gt;1)+(Revenue!G22&lt;0)+(Revenue!G22&gt;1)+(Revenue!H22&lt;0)+(Revenue!H22&gt;1)+(Revenue!I22&lt;0)+(Revenue!I22&gt;1)+(Revenue!K22&lt;0)+(Revenue!K22&gt;1)+(Revenue!L22&lt;0)+(Revenue!L22&gt;1)</f>
        <v>0</v>
      </c>
      <c r="D27" s="10" t="n">
        <v>0</v>
      </c>
      <c r="E27" s="10" t="str">
        <f aca="false">IF(C27=D27,"OK","ERR")</f>
        <v>OK</v>
      </c>
      <c r="F27" s="2"/>
    </row>
    <row r="28" customFormat="false" ht="15" hidden="false" customHeight="false" outlineLevel="0" collapsed="false">
      <c r="A28" s="10" t="s">
        <v>6979</v>
      </c>
      <c r="B28" s="10" t="s">
        <v>6980</v>
      </c>
      <c r="C28" s="10" t="n">
        <f aca="false">IF(Revenue!K10&lt;0,1,0)</f>
        <v>0</v>
      </c>
      <c r="D28" s="10" t="n">
        <v>0</v>
      </c>
      <c r="E28" s="10" t="str">
        <f aca="false">IF(C28=D28,"OK","ERR")</f>
        <v>OK</v>
      </c>
      <c r="F28" s="13" t="s">
        <v>6981</v>
      </c>
    </row>
    <row r="29" customFormat="false" ht="15" hidden="false" customHeight="false" outlineLevel="0" collapsed="false">
      <c r="A29" s="10" t="s">
        <v>6982</v>
      </c>
      <c r="B29" s="11" t="s">
        <v>6983</v>
      </c>
      <c r="C29" s="10" t="n">
        <f aca="false">IF(OR(INP_069&lt;0,INP_069&gt;1),1,0)</f>
        <v>0</v>
      </c>
      <c r="D29" s="10" t="n">
        <v>0</v>
      </c>
      <c r="E29" s="10" t="str">
        <f aca="false">IF(C29=D29,"OK","ERR")</f>
        <v>OK</v>
      </c>
      <c r="F29" s="2" t="s">
        <v>6984</v>
      </c>
    </row>
    <row r="30" customFormat="false" ht="15" hidden="false" customHeight="false" outlineLevel="0" collapsed="false">
      <c r="A30" s="10" t="s">
        <v>6985</v>
      </c>
      <c r="B30" s="10" t="s">
        <v>6986</v>
      </c>
      <c r="C30" s="10" t="n">
        <f aca="false">SUMPRODUCT(--(Demand!$D$10:$I$10&lt;=0))+SUMPRODUCT(--(Demand!$D$9:$I$9&lt;=0))</f>
        <v>0</v>
      </c>
      <c r="D30" s="10" t="n">
        <v>0</v>
      </c>
      <c r="E30" s="10" t="str">
        <f aca="false">IF(C30=D30,"OK","ERR")</f>
        <v>OK</v>
      </c>
      <c r="F30" s="2"/>
    </row>
    <row r="31" customFormat="false" ht="15" hidden="false" customHeight="false" outlineLevel="0" collapsed="false">
      <c r="A31" s="10" t="s">
        <v>6987</v>
      </c>
      <c r="B31" s="10" t="s">
        <v>6988</v>
      </c>
      <c r="C31" s="10" t="n">
        <f aca="false">REV_ARRGapMaaS</f>
        <v>-0.496309761350121</v>
      </c>
      <c r="E31" s="10" t="str">
        <f aca="false">IF(ISNUMBER(C31),IF(ABS(C31)&gt;INP_073,"WARN","OK"),"WARN")</f>
        <v>WARN</v>
      </c>
      <c r="F31" s="2" t="s">
        <v>6989</v>
      </c>
    </row>
    <row r="32" customFormat="false" ht="15" hidden="false" customHeight="false" outlineLevel="0" collapsed="false">
      <c r="A32" s="10" t="s">
        <v>6990</v>
      </c>
      <c r="B32" s="10" t="s">
        <v>6991</v>
      </c>
      <c r="C32" s="10" t="n">
        <f aca="false">REV_ARRGapTotal</f>
        <v>-0.490919339129487</v>
      </c>
      <c r="E32" s="10" t="str">
        <f aca="false">IF(ISNUMBER(C32),IF(ABS(C32)&gt;INP_073,"WARN","OK"),"WARN")</f>
        <v>WARN</v>
      </c>
      <c r="F32" s="2" t="s">
        <v>1095</v>
      </c>
    </row>
    <row r="33" customFormat="false" ht="15" hidden="false" customHeight="false" outlineLevel="0" collapsed="false">
      <c r="A33" s="10" t="s">
        <v>6992</v>
      </c>
      <c r="B33" s="11" t="s">
        <v>6993</v>
      </c>
      <c r="C33" s="10" t="n">
        <f aca="false">Revenue!K78</f>
        <v>0.578681729516549</v>
      </c>
      <c r="E33" s="10" t="s">
        <v>6994</v>
      </c>
      <c r="F33" s="2" t="s">
        <v>6995</v>
      </c>
    </row>
    <row r="34" customFormat="false" ht="15" hidden="false" customHeight="false" outlineLevel="0" collapsed="false">
      <c r="A34" s="10" t="s">
        <v>6996</v>
      </c>
      <c r="B34" s="11" t="s">
        <v>6997</v>
      </c>
      <c r="C34" s="10" t="n">
        <f aca="false">Revenue!L79</f>
        <v>1.00434369296006</v>
      </c>
      <c r="E34" s="10" t="s">
        <v>6994</v>
      </c>
      <c r="F34" s="2" t="s">
        <v>6998</v>
      </c>
    </row>
    <row r="35" customFormat="false" ht="15" hidden="false" customHeight="false" outlineLevel="0" collapsed="false">
      <c r="A35" s="10" t="s">
        <v>6999</v>
      </c>
      <c r="B35" s="11" t="s">
        <v>7000</v>
      </c>
      <c r="C35" s="10" t="n">
        <f aca="false">Demand!L44</f>
        <v>2.80711422085888</v>
      </c>
      <c r="E35" s="10" t="s">
        <v>6994</v>
      </c>
      <c r="F35" s="2" t="s">
        <v>7001</v>
      </c>
    </row>
    <row r="36" customFormat="false" ht="15" hidden="false" customHeight="false" outlineLevel="0" collapsed="false">
      <c r="A36" s="10" t="s">
        <v>7002</v>
      </c>
      <c r="B36" s="11" t="s">
        <v>7003</v>
      </c>
      <c r="C36" s="10" t="n">
        <f aca="false">DEM_ImpliedVolGrowth</f>
        <v>3.24095943895404</v>
      </c>
      <c r="E36" s="10" t="s">
        <v>6994</v>
      </c>
      <c r="F36" s="13" t="s">
        <v>7004</v>
      </c>
    </row>
    <row r="37" customFormat="false" ht="15" hidden="false" customHeight="false" outlineLevel="0" collapsed="false">
      <c r="A37" s="10" t="s">
        <v>7005</v>
      </c>
      <c r="B37" s="11" t="s">
        <v>7006</v>
      </c>
      <c r="C37" s="10" t="n">
        <f aca="false">REV_GapUncal2025</f>
        <v>34.2483665725292</v>
      </c>
      <c r="E37" s="10" t="s">
        <v>6994</v>
      </c>
      <c r="F37" s="2" t="s">
        <v>7007</v>
      </c>
    </row>
    <row r="38" customFormat="false" ht="15" hidden="false" customHeight="false" outlineLevel="0" collapsed="false">
      <c r="A38" s="10" t="s">
        <v>7008</v>
      </c>
      <c r="B38" s="11" t="s">
        <v>7009</v>
      </c>
      <c r="C38" s="10" t="n">
        <f aca="false">DEM_ApiBilledRatio2025</f>
        <v>0.0433538903753719</v>
      </c>
      <c r="E38" s="10" t="s">
        <v>6994</v>
      </c>
      <c r="F38" s="2"/>
    </row>
    <row r="39" customFormat="false" ht="15" hidden="false" customHeight="false" outlineLevel="0" collapsed="false">
      <c r="A39" s="10" t="s">
        <v>7010</v>
      </c>
      <c r="B39" s="11" t="s">
        <v>7011</v>
      </c>
      <c r="C39" s="10" t="n">
        <f aca="false">Revenue!E89</f>
        <v>-20.0606252841894</v>
      </c>
      <c r="E39" s="10" t="s">
        <v>6994</v>
      </c>
      <c r="F39" s="2" t="s">
        <v>7012</v>
      </c>
    </row>
    <row r="40" customFormat="false" ht="15" hidden="false" customHeight="false" outlineLevel="0" collapsed="false">
      <c r="A40" s="10" t="s">
        <v>7013</v>
      </c>
      <c r="B40" s="11" t="s">
        <v>7014</v>
      </c>
      <c r="C40" s="10" t="n">
        <f aca="false">Revenue!L94</f>
        <v>0.799571301094215</v>
      </c>
      <c r="E40" s="10" t="s">
        <v>6994</v>
      </c>
      <c r="F40" s="13" t="s">
        <v>7015</v>
      </c>
    </row>
    <row r="41" customFormat="false" ht="15" hidden="false" customHeight="false" outlineLevel="0" collapsed="false">
      <c r="A41" s="10" t="s">
        <v>7016</v>
      </c>
      <c r="B41" s="11" t="s">
        <v>7017</v>
      </c>
      <c r="C41" s="10" t="n">
        <f aca="false">Revenue!L95</f>
        <v>0.928708215926929</v>
      </c>
      <c r="E41" s="10" t="s">
        <v>6994</v>
      </c>
      <c r="F41" s="13" t="s">
        <v>7015</v>
      </c>
    </row>
    <row r="42" customFormat="false" ht="15" hidden="false" customHeight="false" outlineLevel="0" collapsed="false">
      <c r="A42" s="10" t="s">
        <v>7018</v>
      </c>
      <c r="B42" s="11" t="s">
        <v>7019</v>
      </c>
      <c r="C42" s="10" t="n">
        <f aca="false">INDEX(OAI_COST_PropGap_VR,1,6)</f>
        <v>-10.027662357318</v>
      </c>
      <c r="E42" s="10" t="s">
        <v>6994</v>
      </c>
      <c r="F42" s="13" t="s">
        <v>7020</v>
      </c>
    </row>
    <row r="43" customFormat="false" ht="15" hidden="false" customHeight="false" outlineLevel="0" collapsed="false">
      <c r="A43" s="10" t="s">
        <v>7021</v>
      </c>
      <c r="B43" s="11" t="s">
        <v>7022</v>
      </c>
      <c r="C43" s="10" t="n">
        <f aca="false">INDEX(REV_GrossCapped,1,6)</f>
        <v>278.419186089535</v>
      </c>
      <c r="E43" s="10" t="s">
        <v>6994</v>
      </c>
      <c r="F43" s="2"/>
    </row>
    <row r="44" customFormat="false" ht="15" hidden="false" customHeight="false" outlineLevel="0" collapsed="false">
      <c r="A44" s="10" t="s">
        <v>7023</v>
      </c>
      <c r="B44" s="11" t="s">
        <v>7024</v>
      </c>
      <c r="C44" s="10" t="n">
        <f aca="false">INDEX(DEM_Tok_Total,1,6)</f>
        <v>42147.7372298162</v>
      </c>
      <c r="E44" s="10" t="s">
        <v>6994</v>
      </c>
      <c r="F44" s="2" t="s">
        <v>7025</v>
      </c>
    </row>
    <row r="45" customFormat="false" ht="15" hidden="false" customHeight="false" outlineLevel="0" collapsed="false">
      <c r="A45" s="10" t="s">
        <v>7026</v>
      </c>
      <c r="B45" s="10" t="s">
        <v>7027</v>
      </c>
      <c r="C45" s="10" t="n">
        <f aca="false">(Compute!D25&lt;0)+(Compute!D25&gt;1)+(Compute!D24&lt;0)+(Compute!D24&gt;1)+(Compute!D23&lt;0)+(Compute!D23&gt;1)+(Compute!E25&lt;0)+(Compute!E25&gt;1)+(Compute!E24&lt;0)+(Compute!E24&gt;1)+(Compute!E23&lt;0)+(Compute!E23&gt;1)+(Compute!F25&lt;0)+(Compute!F25&gt;1)+(Compute!F24&lt;0)+(Compute!F24&gt;1)+(Compute!F23&lt;0)+(Compute!F23&gt;1)+(Compute!G25&lt;0)+(Compute!G25&gt;1)+(Compute!G24&lt;0)+(Compute!G24&gt;1)+(Compute!G23&lt;0)+(Compute!G23&gt;1)+(Compute!H25&lt;0)+(Compute!H25&gt;1)+(Compute!H24&lt;0)+(Compute!H24&gt;1)+(Compute!H23&lt;0)+(Compute!H23&gt;1)+(Compute!I25&lt;0)+(Compute!I25&gt;1)+(Compute!I24&lt;0)+(Compute!I24&gt;1)+(Compute!I23&lt;0)+(Compute!I23&gt;1)+(Compute!K25&lt;0)+(Compute!K25&gt;1)+(Compute!K24&lt;0)+(Compute!K24&gt;1)+(Compute!K23&lt;0)+(Compute!K23&gt;1)+(Compute!L25&lt;0)+(Compute!L25&gt;1)+(Compute!L24&lt;0)+(Compute!L24&gt;1)+(Compute!L23&lt;0)+(Compute!L23&gt;1)</f>
        <v>0</v>
      </c>
      <c r="D45" s="10" t="n">
        <v>0</v>
      </c>
      <c r="E45" s="10" t="str">
        <f aca="false">IF(C45=D45,"OK","ERR")</f>
        <v>OK</v>
      </c>
      <c r="F45" s="13" t="s">
        <v>7028</v>
      </c>
    </row>
    <row r="46" customFormat="false" ht="15" hidden="false" customHeight="false" outlineLevel="0" collapsed="false">
      <c r="A46" s="10" t="s">
        <v>7029</v>
      </c>
      <c r="B46" s="10" t="s">
        <v>7030</v>
      </c>
      <c r="C46" s="10" t="n">
        <f aca="false">(Compute!D119&lt;Compute!D124)+(Compute!E119&lt;Compute!E124)+(Compute!F119&lt;Compute!F124)+(Compute!G119&lt;Compute!G124)+(Compute!H119&lt;Compute!H124)+(Compute!I119&lt;Compute!I124)+(Compute!K119&lt;Compute!K124)+(Compute!L119&lt;Compute!L124)</f>
        <v>0</v>
      </c>
      <c r="D46" s="10" t="n">
        <v>0</v>
      </c>
      <c r="E46" s="10" t="str">
        <f aca="false">IF(C46=D46,"OK","ERR")</f>
        <v>OK</v>
      </c>
      <c r="F46" s="2" t="s">
        <v>7031</v>
      </c>
    </row>
    <row r="47" customFormat="false" ht="15" hidden="false" customHeight="false" outlineLevel="0" collapsed="false">
      <c r="A47" s="10" t="s">
        <v>7032</v>
      </c>
      <c r="B47" s="10" t="s">
        <v>7033</v>
      </c>
      <c r="C47" s="10" t="n">
        <f aca="false">(Compute!D127&lt;0)+(Compute!E127&lt;0)+(Compute!F127&lt;0)+(Compute!G127&lt;0)+(Compute!H127&lt;0)+(Compute!I127&lt;0)+(Compute!K127&lt;0)+(Compute!L127&lt;0)</f>
        <v>0</v>
      </c>
      <c r="D47" s="10" t="n">
        <v>0</v>
      </c>
      <c r="E47" s="10" t="str">
        <f aca="false">IF(C47=D47,"OK","ERR")</f>
        <v>OK</v>
      </c>
      <c r="F47" s="2" t="s">
        <v>7034</v>
      </c>
    </row>
    <row r="48" customFormat="false" ht="15" hidden="false" customHeight="false" outlineLevel="0" collapsed="false">
      <c r="A48" s="10" t="s">
        <v>7035</v>
      </c>
      <c r="B48" s="10" t="s">
        <v>7036</v>
      </c>
      <c r="C48" s="10" t="n">
        <f aca="false">MAX(ABS(Compute!D129),ABS(Compute!E129),ABS(Compute!F129),ABS(Compute!G129),ABS(Compute!H129),ABS(Compute!I129),ABS(Compute!K129),ABS(Compute!L129))</f>
        <v>0</v>
      </c>
      <c r="D48" s="10" t="n">
        <v>0</v>
      </c>
      <c r="E48" s="10" t="str">
        <f aca="false">IF(ISNUMBER(C48),IF(ABS(C48-D48)&lt;0.000000001,"OK","ERR"),"ERR")</f>
        <v>OK</v>
      </c>
      <c r="F48" s="2" t="s">
        <v>7037</v>
      </c>
    </row>
    <row r="49" customFormat="false" ht="15" hidden="false" customHeight="false" outlineLevel="0" collapsed="false">
      <c r="A49" s="10" t="s">
        <v>7038</v>
      </c>
      <c r="B49" s="10" t="s">
        <v>7039</v>
      </c>
      <c r="C49" s="10" t="n">
        <f aca="false">(Compute!D125&lt;=0)+(Compute!D125&gt;1)+(Compute!E125&lt;=0)+(Compute!E125&gt;1)+(Compute!F125&lt;=0)+(Compute!F125&gt;1)+(Compute!G125&lt;=0)+(Compute!G125&gt;1)+(Compute!H125&lt;=0)+(Compute!H125&gt;1)+(Compute!I125&lt;=0)+(Compute!I125&gt;1)+(Compute!K125&lt;=0)+(Compute!K125&gt;1)+(Compute!L125&lt;=0)+(Compute!L125&gt;1)</f>
        <v>0</v>
      </c>
      <c r="D49" s="10" t="n">
        <v>0</v>
      </c>
      <c r="E49" s="10" t="str">
        <f aca="false">IF(C49=D49,"OK","ERR")</f>
        <v>OK</v>
      </c>
      <c r="F49" s="2"/>
    </row>
    <row r="50" customFormat="false" ht="15" hidden="false" customHeight="false" outlineLevel="0" collapsed="false">
      <c r="A50" s="10" t="s">
        <v>7040</v>
      </c>
      <c r="B50" s="10" t="s">
        <v>7041</v>
      </c>
      <c r="C50" s="10" t="n">
        <f aca="false">(Revenue!D58&gt;Revenue!D54)+(Revenue!E58&gt;Revenue!E54)+(Revenue!F58&gt;Revenue!F54)+(Revenue!G58&gt;Revenue!G54)+(Revenue!H58&gt;Revenue!H54)+(Revenue!I58&gt;Revenue!I54)</f>
        <v>0</v>
      </c>
      <c r="D50" s="10" t="n">
        <v>0</v>
      </c>
      <c r="E50" s="10" t="str">
        <f aca="false">IF(C50=D50,"OK","ERR")</f>
        <v>OK</v>
      </c>
      <c r="F50" s="2" t="s">
        <v>7042</v>
      </c>
    </row>
    <row r="51" customFormat="false" ht="15" hidden="false" customHeight="false" outlineLevel="0" collapsed="false">
      <c r="A51" s="10" t="s">
        <v>7043</v>
      </c>
      <c r="B51" s="10" t="s">
        <v>7044</v>
      </c>
      <c r="C51" s="10" t="n">
        <f aca="false">Cost!D16</f>
        <v>0</v>
      </c>
      <c r="D51" s="10" t="n">
        <v>0</v>
      </c>
      <c r="E51" s="10" t="str">
        <f aca="false">IF(ISNUMBER(C51),IF(ABS(C51-D51)&lt;0.000000001,"OK","ERR"),"ERR")</f>
        <v>OK</v>
      </c>
      <c r="F51" s="2" t="s">
        <v>7045</v>
      </c>
    </row>
    <row r="52" customFormat="false" ht="15" hidden="false" customHeight="false" outlineLevel="0" collapsed="false">
      <c r="A52" s="10" t="s">
        <v>7046</v>
      </c>
      <c r="B52" s="10" t="s">
        <v>7047</v>
      </c>
      <c r="C52" s="10" t="n">
        <f aca="false">Cost!K16</f>
        <v>0</v>
      </c>
      <c r="D52" s="10" t="n">
        <v>0</v>
      </c>
      <c r="E52" s="10" t="str">
        <f aca="false">IF(ISNUMBER(C52),IF(ABS(C52-D52)&lt;0.000000001,"OK","ERR"),"ERR")</f>
        <v>OK</v>
      </c>
      <c r="F52" s="2" t="s">
        <v>7048</v>
      </c>
    </row>
    <row r="53" customFormat="false" ht="15" hidden="false" customHeight="false" outlineLevel="0" collapsed="false">
      <c r="A53" s="10" t="s">
        <v>7049</v>
      </c>
      <c r="B53" s="10" t="s">
        <v>7050</v>
      </c>
      <c r="C53" s="10" t="n">
        <f aca="false">Cost!D45</f>
        <v>0</v>
      </c>
      <c r="D53" s="10" t="n">
        <v>0</v>
      </c>
      <c r="E53" s="10" t="str">
        <f aca="false">IF(ISNUMBER(C53),IF(ABS(C53-D53)&lt;0.000000001,"OK","ERR"),"ERR")</f>
        <v>OK</v>
      </c>
      <c r="F53" s="2" t="s">
        <v>7051</v>
      </c>
    </row>
    <row r="54" customFormat="false" ht="15" hidden="false" customHeight="false" outlineLevel="0" collapsed="false">
      <c r="A54" s="10" t="s">
        <v>7052</v>
      </c>
      <c r="B54" s="10" t="s">
        <v>7053</v>
      </c>
      <c r="C54" s="10" t="n">
        <f aca="false">Cost!K45</f>
        <v>0</v>
      </c>
      <c r="D54" s="10" t="n">
        <v>0</v>
      </c>
      <c r="E54" s="10" t="str">
        <f aca="false">IF(ISNUMBER(C54),IF(ABS(C54-D54)&lt;0.000000001,"OK","ERR"),"ERR")</f>
        <v>OK</v>
      </c>
      <c r="F54" s="2"/>
    </row>
    <row r="55" customFormat="false" ht="15" hidden="false" customHeight="false" outlineLevel="0" collapsed="false">
      <c r="A55" s="10" t="s">
        <v>7054</v>
      </c>
      <c r="B55" s="10" t="s">
        <v>7055</v>
      </c>
      <c r="C55" s="10" t="n">
        <f aca="false">(Cost!D36&lt;0)+(Cost!K36&lt;0)</f>
        <v>0</v>
      </c>
      <c r="D55" s="10" t="n">
        <v>0</v>
      </c>
      <c r="E55" s="10" t="str">
        <f aca="false">IF(C55=D55,"OK","ERR")</f>
        <v>OK</v>
      </c>
      <c r="F55" s="2" t="s">
        <v>7056</v>
      </c>
    </row>
    <row r="56" customFormat="false" ht="15" hidden="false" customHeight="false" outlineLevel="0" collapsed="false">
      <c r="A56" s="10" t="s">
        <v>7057</v>
      </c>
      <c r="B56" s="10" t="s">
        <v>7058</v>
      </c>
      <c r="C56" s="10" t="n">
        <f aca="false">CMP_Eta2025</f>
        <v>1</v>
      </c>
      <c r="D56" s="10" t="s">
        <v>7059</v>
      </c>
      <c r="E56" s="10" t="str">
        <f aca="false">IF(ISNUMBER(C56),IF(AND(C56&gt;=INP_079,C56&lt;=INP_080),"OK","WARN"),"WARN")</f>
        <v>OK</v>
      </c>
      <c r="F56" s="13" t="s">
        <v>7060</v>
      </c>
    </row>
    <row r="57" customFormat="false" ht="15" hidden="false" customHeight="false" outlineLevel="0" collapsed="false">
      <c r="A57" s="10" t="s">
        <v>7061</v>
      </c>
      <c r="B57" s="10" t="s">
        <v>7062</v>
      </c>
      <c r="C57" s="10" t="n">
        <f aca="false">CMP_Eta1H26</f>
        <v>3.13710181272991</v>
      </c>
      <c r="D57" s="10" t="s">
        <v>7059</v>
      </c>
      <c r="E57" s="10" t="str">
        <f aca="false">IF(ISNUMBER(C57),IF(AND(C57&gt;=INP_079,C57&lt;=INP_080),"OK","WARN"),"WARN")</f>
        <v>WARN</v>
      </c>
      <c r="F57" s="2" t="s">
        <v>1095</v>
      </c>
    </row>
    <row r="58" customFormat="false" ht="15" hidden="false" customHeight="false" outlineLevel="0" collapsed="false">
      <c r="A58" s="10" t="s">
        <v>7063</v>
      </c>
      <c r="B58" s="11" t="s">
        <v>7064</v>
      </c>
      <c r="C58" s="10" t="n">
        <f aca="false">CMP_ChipGWGap</f>
        <v>-0.129952778314127</v>
      </c>
      <c r="D58" s="10" t="n">
        <f aca="false">INP_081</f>
        <v>0.5</v>
      </c>
      <c r="E58" s="10" t="str">
        <f aca="false">IF(ISNUMBER(C58),IF(ABS(C58)&gt;INP_081,"WARN","OK"),"WARN")</f>
        <v>OK</v>
      </c>
      <c r="F58" s="2" t="s">
        <v>7065</v>
      </c>
    </row>
    <row r="59" customFormat="false" ht="15" hidden="false" customHeight="false" outlineLevel="0" collapsed="false">
      <c r="A59" s="10" t="s">
        <v>7066</v>
      </c>
      <c r="B59" s="11" t="s">
        <v>7067</v>
      </c>
      <c r="C59" s="10" t="n">
        <f aca="false">Compute!D154</f>
        <v>7.79126043870209</v>
      </c>
      <c r="E59" s="10" t="s">
        <v>6994</v>
      </c>
      <c r="F59" s="13" t="s">
        <v>7068</v>
      </c>
    </row>
    <row r="60" customFormat="false" ht="15" hidden="false" customHeight="false" outlineLevel="0" collapsed="false">
      <c r="A60" s="10" t="s">
        <v>7069</v>
      </c>
      <c r="B60" s="11" t="s">
        <v>7070</v>
      </c>
      <c r="C60" s="10" t="n">
        <f aca="false">Compute!K154</f>
        <v>6.14718631419479</v>
      </c>
      <c r="E60" s="10" t="s">
        <v>6994</v>
      </c>
      <c r="F60" s="13" t="s">
        <v>7068</v>
      </c>
    </row>
    <row r="61" customFormat="false" ht="15" hidden="false" customHeight="false" outlineLevel="0" collapsed="false">
      <c r="A61" s="10" t="s">
        <v>7071</v>
      </c>
      <c r="B61" s="11" t="s">
        <v>7072</v>
      </c>
      <c r="C61" s="10" t="n">
        <f aca="false">Compute!K102</f>
        <v>576.818357915396</v>
      </c>
      <c r="E61" s="10" t="s">
        <v>6994</v>
      </c>
      <c r="F61" s="13" t="s">
        <v>7073</v>
      </c>
    </row>
    <row r="62" customFormat="false" ht="15" hidden="false" customHeight="false" outlineLevel="0" collapsed="false">
      <c r="A62" s="10" t="s">
        <v>7074</v>
      </c>
      <c r="B62" s="11" t="s">
        <v>7075</v>
      </c>
      <c r="C62" s="10" t="n">
        <f aca="false">Compute!K127/Compute!K130</f>
        <v>0.364315111710796</v>
      </c>
      <c r="E62" s="10" t="s">
        <v>6994</v>
      </c>
      <c r="F62" s="13" t="s">
        <v>7076</v>
      </c>
    </row>
    <row r="63" customFormat="false" ht="15" hidden="false" customHeight="false" outlineLevel="0" collapsed="false">
      <c r="A63" s="10" t="s">
        <v>7077</v>
      </c>
      <c r="B63" s="11" t="s">
        <v>7078</v>
      </c>
      <c r="C63" s="10" t="n">
        <f aca="false">Cost!D24</f>
        <v>0.228924092908853</v>
      </c>
      <c r="E63" s="10" t="s">
        <v>6994</v>
      </c>
      <c r="F63" s="13" t="s">
        <v>7079</v>
      </c>
    </row>
    <row r="64" customFormat="false" ht="15" hidden="false" customHeight="false" outlineLevel="0" collapsed="false">
      <c r="A64" s="10" t="s">
        <v>7080</v>
      </c>
      <c r="B64" s="11" t="s">
        <v>7081</v>
      </c>
      <c r="C64" s="10" t="n">
        <f aca="false">INDEX(CMP_SupplyGW,1,2)</f>
        <v>0.110416285683168</v>
      </c>
      <c r="E64" s="10" t="s">
        <v>6994</v>
      </c>
      <c r="F64" s="2"/>
    </row>
    <row r="65" customFormat="false" ht="15" hidden="false" customHeight="false" outlineLevel="0" collapsed="false">
      <c r="A65" s="10" t="s">
        <v>7082</v>
      </c>
      <c r="B65" s="11" t="s">
        <v>7083</v>
      </c>
      <c r="C65" s="10" t="n">
        <f aca="false">INDEX(CMP_SupplyGW,1,6)</f>
        <v>0.855886886980617</v>
      </c>
      <c r="E65" s="10" t="s">
        <v>6994</v>
      </c>
      <c r="F65" s="2"/>
    </row>
    <row r="66" customFormat="false" ht="15" hidden="false" customHeight="false" outlineLevel="0" collapsed="false">
      <c r="A66" s="10" t="s">
        <v>7084</v>
      </c>
      <c r="B66" s="11" t="s">
        <v>7085</v>
      </c>
      <c r="C66" s="10" t="n">
        <f aca="false">INDEX(COST_PropGap_VR,1,6)</f>
        <v>-1803.60780200926</v>
      </c>
      <c r="E66" s="10" t="s">
        <v>6994</v>
      </c>
      <c r="F66" s="2" t="s">
        <v>7086</v>
      </c>
    </row>
    <row r="67" customFormat="false" ht="15" hidden="false" customHeight="false" outlineLevel="0" collapsed="false">
      <c r="A67" s="10" t="s">
        <v>7087</v>
      </c>
      <c r="B67" s="11" t="s">
        <v>7088</v>
      </c>
      <c r="C67" s="10" t="n">
        <f aca="false">INDEX(COST_PropGap_VR_Cloud,1,6)</f>
        <v>-1837.50487775382</v>
      </c>
      <c r="E67" s="10" t="s">
        <v>6994</v>
      </c>
      <c r="F67" s="2"/>
    </row>
    <row r="68" customFormat="false" ht="15" hidden="false" customHeight="false" outlineLevel="0" collapsed="false">
      <c r="A68" s="10" t="s">
        <v>7089</v>
      </c>
      <c r="B68" s="11" t="s">
        <v>7090</v>
      </c>
      <c r="C68" s="10" t="n">
        <f aca="false">INDEX(COST_Coverage,1,6)</f>
        <v>0.733961488105431</v>
      </c>
      <c r="E68" s="10" t="s">
        <v>6994</v>
      </c>
      <c r="F68" s="2"/>
    </row>
    <row r="69" customFormat="false" ht="15" hidden="false" customHeight="false" outlineLevel="0" collapsed="false">
      <c r="A69" s="10" t="s">
        <v>7091</v>
      </c>
      <c r="B69" s="11" t="s">
        <v>7092</v>
      </c>
      <c r="C69" s="10" t="n">
        <f aca="false">INDEX(COST_PropGap_VR_USD,1,6)-INDEX(OAI_COST_PropGap_VR,1,6)</f>
        <v>-16.7324943513759</v>
      </c>
      <c r="E69" s="10" t="s">
        <v>6994</v>
      </c>
      <c r="F69" s="13" t="s">
        <v>7093</v>
      </c>
    </row>
    <row r="70" customFormat="false" ht="15" hidden="false" customHeight="false" outlineLevel="0" collapsed="false">
      <c r="A70" s="10" t="s">
        <v>7094</v>
      </c>
      <c r="B70" s="10" t="s">
        <v>7095</v>
      </c>
      <c r="C70" s="10" t="n">
        <f aca="false">MAX(ABS(Funding!D16-(Funding!D8-Funding!D9-Funding!D10-Funding!D11+Funding!D14-Funding!D15)),ABS(Funding!K16-(Funding!K8-Funding!K9-Funding!K10-Funding!K11+Funding!K14-Funding!K15)),ABS(Funding!L16-(Funding!L8-Funding!L9-Funding!L10-Funding!L11+Funding!L14-Funding!L15)),ABS(Funding!E16-(Funding!E8-Funding!E9-Funding!E10-Funding!E11+Funding!E14-Funding!E15)),ABS(Funding!F16-(Funding!F8-Funding!F9-Funding!F10-Funding!F11+Funding!F14-Funding!F15)),ABS(Funding!G16-(Funding!G8-Funding!G9-Funding!G10-Funding!G11+Funding!G14-Funding!G15)),ABS(Funding!H16-(Funding!H8-Funding!H9-Funding!H10-Funding!H11+Funding!H14-Funding!H15)),ABS(Funding!I16-(Funding!I8-Funding!I9-Funding!I10-Funding!I11+Funding!I14-Funding!I15)))</f>
        <v>0</v>
      </c>
      <c r="D70" s="10" t="n">
        <v>0</v>
      </c>
      <c r="E70" s="10" t="str">
        <f aca="false">IF(ISNUMBER(C70),IF(ABS(C70-D70)&lt;0.000000001,"OK","ERR"),"ERR")</f>
        <v>OK</v>
      </c>
      <c r="F70" s="2" t="s">
        <v>7096</v>
      </c>
    </row>
    <row r="71" customFormat="false" ht="15" hidden="false" customHeight="false" outlineLevel="0" collapsed="false">
      <c r="A71" s="10" t="s">
        <v>7097</v>
      </c>
      <c r="B71" s="10" t="s">
        <v>7098</v>
      </c>
      <c r="C71" s="10" t="n">
        <f aca="false">MAX(ABS(Funding!D13-Cost!D48),ABS(Funding!E13-Cost!E48),ABS(Funding!F13-Cost!F48),ABS(Funding!G13-Cost!G48),ABS(Funding!H13-Cost!H48),ABS(Funding!I13-Cost!I48))</f>
        <v>0</v>
      </c>
      <c r="D71" s="10" t="n">
        <v>0</v>
      </c>
      <c r="E71" s="10" t="str">
        <f aca="false">IF(ISNUMBER(C71),IF(ABS(C71-D71)&lt;0.000000001,"OK","ERR"),"ERR")</f>
        <v>OK</v>
      </c>
      <c r="F71" s="2" t="s">
        <v>7099</v>
      </c>
    </row>
    <row r="72" customFormat="false" ht="15" hidden="false" customHeight="false" outlineLevel="0" collapsed="false">
      <c r="A72" s="10" t="s">
        <v>7100</v>
      </c>
      <c r="B72" s="10" t="s">
        <v>7101</v>
      </c>
      <c r="C72" s="10" t="n">
        <f aca="false">ABS(Funding!E8-Revenue!E59)</f>
        <v>0</v>
      </c>
      <c r="D72" s="10" t="n">
        <v>0</v>
      </c>
      <c r="E72" s="10" t="str">
        <f aca="false">IF(ISNUMBER(C72),IF(ABS(C72-D72)&lt;0.000000001,"OK","ERR"),"ERR")</f>
        <v>OK</v>
      </c>
      <c r="F72" s="2"/>
    </row>
    <row r="73" customFormat="false" ht="15" hidden="false" customHeight="false" outlineLevel="0" collapsed="false">
      <c r="A73" s="10" t="s">
        <v>7102</v>
      </c>
      <c r="B73" s="10" t="s">
        <v>7103</v>
      </c>
      <c r="C73" s="10" t="n">
        <f aca="false">MAX(ABS(Funding!E8-Funding!K8-Funding!L8),ABS(Funding!E9-Funding!K9-Funding!L9),ABS(Funding!E10-Funding!K10-Funding!L10),ABS(Funding!E11-Funding!K11-Funding!L11),ABS(Funding!E12-Funding!K12-Funding!L12),ABS(Funding!E14-Funding!K14-Funding!L14),ABS(Funding!E15-Funding!K15-Funding!L15),ABS(Funding!E16-Funding!K16-Funding!L16),ABS(Funding!E18-Funding!K18-Funding!L18),ABS(Funding!E21-Funding!K21-Funding!L21),ABS(Funding!E26-Funding!K26-Funding!L26),ABS(Funding!E31-Funding!K31-Funding!L31))</f>
        <v>0</v>
      </c>
      <c r="D73" s="10" t="n">
        <v>0</v>
      </c>
      <c r="E73" s="10" t="str">
        <f aca="false">IF(ISNUMBER(C73),IF(ABS(C73-D73)&lt;0.000000001,"OK","ERR"),"ERR")</f>
        <v>OK</v>
      </c>
      <c r="F73" s="2"/>
    </row>
    <row r="74" customFormat="false" ht="15" hidden="false" customHeight="false" outlineLevel="0" collapsed="false">
      <c r="A74" s="10" t="s">
        <v>7104</v>
      </c>
      <c r="B74" s="10" t="s">
        <v>7105</v>
      </c>
      <c r="C74" s="10" t="n">
        <f aca="false">Funding!K39-SRC_ZP_211</f>
        <v>0</v>
      </c>
      <c r="D74" s="10" t="n">
        <v>0</v>
      </c>
      <c r="E74" s="10" t="str">
        <f aca="false">IF(ISNUMBER(C74),IF(ABS(C74-D74)&lt;0.000000001,"OK","ERR"),"ERR")</f>
        <v>OK</v>
      </c>
      <c r="F74" s="13" t="s">
        <v>7106</v>
      </c>
    </row>
    <row r="75" customFormat="false" ht="15" hidden="false" customHeight="false" outlineLevel="0" collapsed="false">
      <c r="A75" s="10" t="s">
        <v>7107</v>
      </c>
      <c r="B75" s="10" t="s">
        <v>7108</v>
      </c>
      <c r="C75" s="10" t="n">
        <f aca="false">(Funding!E38&lt;0)+(Funding!F38&lt;0)+(Funding!G38&lt;0)+(Funding!H38&lt;0)+(Funding!I38&lt;0)</f>
        <v>0</v>
      </c>
      <c r="D75" s="10" t="n">
        <v>0</v>
      </c>
      <c r="E75" s="10" t="str">
        <f aca="false">IF(C75=D75,"OK","ERR")</f>
        <v>OK</v>
      </c>
      <c r="F75" s="2"/>
    </row>
    <row r="76" customFormat="false" ht="15" hidden="false" customHeight="false" outlineLevel="0" collapsed="false">
      <c r="A76" s="10" t="s">
        <v>7109</v>
      </c>
      <c r="B76" s="10" t="s">
        <v>7110</v>
      </c>
      <c r="C76" s="10" t="n">
        <f aca="false">(Funding!E39&lt;Funding!E34-0.00000001)+(Funding!F39&lt;Funding!F34-0.00000001)+(Funding!G39&lt;Funding!G34-0.00000001)+(Funding!H39&lt;Funding!H34-0.00000001)+(Funding!I39&lt;Funding!I34-0.00000001)</f>
        <v>0</v>
      </c>
      <c r="D76" s="10" t="n">
        <v>0</v>
      </c>
      <c r="E76" s="10" t="str">
        <f aca="false">IF(C76=D76,"OK","ERR")</f>
        <v>OK</v>
      </c>
      <c r="F76" s="2" t="s">
        <v>7111</v>
      </c>
    </row>
    <row r="77" customFormat="false" ht="15" hidden="false" customHeight="false" outlineLevel="0" collapsed="false">
      <c r="A77" s="10" t="s">
        <v>7112</v>
      </c>
      <c r="B77" s="10" t="s">
        <v>7113</v>
      </c>
      <c r="C77" s="10" t="n">
        <f aca="false">(Funding!E55&gt;Funding!E40)+(Funding!F55&gt;Funding!F40)+(Funding!G55&gt;Funding!G40)+(Funding!H55&gt;Funding!H40)+(Funding!I55&gt;Funding!I40)</f>
        <v>0</v>
      </c>
      <c r="D77" s="10" t="n">
        <v>0</v>
      </c>
      <c r="E77" s="10" t="str">
        <f aca="false">IF(C77=D77,"OK","ERR")</f>
        <v>OK</v>
      </c>
      <c r="F77" s="2" t="s">
        <v>7114</v>
      </c>
    </row>
    <row r="78" customFormat="false" ht="15" hidden="false" customHeight="false" outlineLevel="0" collapsed="false">
      <c r="A78" s="10" t="s">
        <v>7115</v>
      </c>
      <c r="B78" s="10" t="s">
        <v>7116</v>
      </c>
      <c r="C78" s="10" t="n">
        <f aca="false">Funding!E39-Funding!L39</f>
        <v>0</v>
      </c>
      <c r="D78" s="10" t="n">
        <v>0</v>
      </c>
      <c r="E78" s="10" t="str">
        <f aca="false">IF(ISNUMBER(C78),IF(ABS(C78-D78)&lt;0.000000001,"OK","ERR"),"ERR")</f>
        <v>OK</v>
      </c>
      <c r="F78" s="2"/>
    </row>
    <row r="79" customFormat="false" ht="15" hidden="false" customHeight="false" outlineLevel="0" collapsed="false">
      <c r="A79" s="10" t="s">
        <v>7117</v>
      </c>
      <c r="B79" s="10" t="s">
        <v>7118</v>
      </c>
      <c r="C79" s="10" t="n">
        <f aca="false">Reverse!D21-Reverse!D25</f>
        <v>0</v>
      </c>
      <c r="D79" s="10" t="n">
        <v>0</v>
      </c>
      <c r="E79" s="10" t="str">
        <f aca="false">IF(ISNUMBER(C79),IF(ABS(C79-D79)&lt;0.000000001,"OK","ERR"),"ERR")</f>
        <v>OK</v>
      </c>
      <c r="F79" s="2"/>
    </row>
    <row r="80" customFormat="false" ht="15" hidden="false" customHeight="false" outlineLevel="0" collapsed="false">
      <c r="A80" s="10" t="s">
        <v>7119</v>
      </c>
      <c r="B80" s="10" t="s">
        <v>7120</v>
      </c>
      <c r="C80" s="10" t="n">
        <f aca="false">(Reverse!E17&lt;1)+(Reverse!F17&lt;1)+(Reverse!G17&lt;1)</f>
        <v>0</v>
      </c>
      <c r="D80" s="10" t="n">
        <v>0</v>
      </c>
      <c r="E80" s="10" t="str">
        <f aca="false">IF(C80=D80,"OK","ERR")</f>
        <v>OK</v>
      </c>
      <c r="F80" s="2" t="s">
        <v>6777</v>
      </c>
    </row>
    <row r="81" customFormat="false" ht="15" hidden="false" customHeight="false" outlineLevel="0" collapsed="false">
      <c r="A81" s="10" t="s">
        <v>7121</v>
      </c>
      <c r="B81" s="10" t="s">
        <v>7122</v>
      </c>
      <c r="C81" s="10" t="n">
        <f aca="false">(Reverse!E19&gt;Reverse!E18)+(Reverse!E18&gt;Reverse!E20)+(Reverse!F19&gt;Reverse!F18)+(Reverse!F18&gt;Reverse!F20)+(Reverse!G19&gt;Reverse!G18)+(Reverse!G18&gt;Reverse!G20)</f>
        <v>0</v>
      </c>
      <c r="D81" s="10" t="n">
        <v>0</v>
      </c>
      <c r="E81" s="10" t="str">
        <f aca="false">IF(C81=D81,"OK","ERR")</f>
        <v>OK</v>
      </c>
      <c r="F81" s="2"/>
    </row>
    <row r="82" customFormat="false" ht="15" hidden="false" customHeight="false" outlineLevel="0" collapsed="false">
      <c r="A82" s="10" t="s">
        <v>7123</v>
      </c>
      <c r="B82" s="11" t="s">
        <v>7124</v>
      </c>
      <c r="C82" s="10" t="n">
        <f aca="false">Funding!K36</f>
        <v>-14.87831926</v>
      </c>
      <c r="E82" s="10" t="s">
        <v>6994</v>
      </c>
      <c r="F82" s="2" t="s">
        <v>7125</v>
      </c>
    </row>
    <row r="83" customFormat="false" ht="15" hidden="false" customHeight="false" outlineLevel="0" collapsed="false">
      <c r="A83" s="10" t="s">
        <v>7126</v>
      </c>
      <c r="B83" s="11" t="s">
        <v>7127</v>
      </c>
      <c r="C83" s="10" t="n">
        <f aca="false">INDEX(FND_CashRecon,1,1)</f>
        <v>-0.0634999999999906</v>
      </c>
      <c r="E83" s="10" t="s">
        <v>6994</v>
      </c>
      <c r="F83" s="2" t="s">
        <v>7128</v>
      </c>
    </row>
    <row r="84" customFormat="false" ht="15" hidden="false" customHeight="false" outlineLevel="0" collapsed="false">
      <c r="A84" s="10" t="s">
        <v>7129</v>
      </c>
      <c r="B84" s="11" t="s">
        <v>7130</v>
      </c>
      <c r="C84" s="10" t="n">
        <f aca="false">FND_UseVsModel</f>
        <v>11.9277702861889</v>
      </c>
      <c r="E84" s="10" t="s">
        <v>6994</v>
      </c>
      <c r="F84" s="2" t="s">
        <v>7131</v>
      </c>
    </row>
    <row r="85" customFormat="false" ht="15" hidden="false" customHeight="false" outlineLevel="0" collapsed="false">
      <c r="A85" s="10" t="s">
        <v>7132</v>
      </c>
      <c r="B85" s="11" t="s">
        <v>7133</v>
      </c>
      <c r="C85" s="10" t="n">
        <f aca="false">INDEX(FND_ExtNeedCum,1,6)</f>
        <v>7.48590430610167</v>
      </c>
      <c r="E85" s="10" t="s">
        <v>6994</v>
      </c>
      <c r="F85" s="2" t="s">
        <v>6563</v>
      </c>
    </row>
    <row r="86" customFormat="false" ht="15" hidden="false" customHeight="false" outlineLevel="0" collapsed="false">
      <c r="A86" s="10" t="s">
        <v>7134</v>
      </c>
      <c r="B86" s="11" t="s">
        <v>7135</v>
      </c>
      <c r="C86" s="10" t="n">
        <f aca="false">INDEX(FND_ExtNeedCumConv,1,6)</f>
        <v>-0</v>
      </c>
      <c r="E86" s="10" t="s">
        <v>6994</v>
      </c>
      <c r="F86" s="2"/>
    </row>
    <row r="87" customFormat="false" ht="15" hidden="false" customHeight="false" outlineLevel="0" collapsed="false">
      <c r="A87" s="10" t="s">
        <v>7136</v>
      </c>
      <c r="B87" s="11" t="s">
        <v>7137</v>
      </c>
      <c r="C87" s="10" t="n">
        <f aca="false">FND_FirstGapYear</f>
        <v>2030</v>
      </c>
      <c r="E87" s="10" t="s">
        <v>6994</v>
      </c>
      <c r="F87" s="2"/>
    </row>
    <row r="88" customFormat="false" ht="15" hidden="false" customHeight="false" outlineLevel="0" collapsed="false">
      <c r="A88" s="10" t="s">
        <v>7138</v>
      </c>
      <c r="B88" s="11" t="s">
        <v>7139</v>
      </c>
      <c r="C88" s="10" t="n">
        <f aca="false">INDEX(FND_CashEnd,1,6)</f>
        <v>186.846612237337</v>
      </c>
      <c r="E88" s="10" t="s">
        <v>6994</v>
      </c>
      <c r="F88" s="2"/>
    </row>
    <row r="89" customFormat="false" ht="15" hidden="false" customHeight="false" outlineLevel="0" collapsed="false">
      <c r="A89" s="10" t="s">
        <v>7140</v>
      </c>
      <c r="B89" s="11" t="s">
        <v>7141</v>
      </c>
      <c r="C89" s="10" t="n">
        <f aca="false">FND_NoExtFailYear</f>
        <v>2030</v>
      </c>
      <c r="E89" s="10" t="s">
        <v>6994</v>
      </c>
      <c r="F89" s="2"/>
    </row>
    <row r="90" customFormat="false" ht="15" hidden="false" customHeight="false" outlineLevel="0" collapsed="false">
      <c r="A90" s="10" t="s">
        <v>7142</v>
      </c>
      <c r="B90" s="11" t="s">
        <v>7143</v>
      </c>
      <c r="C90" s="10" t="n">
        <f aca="false">INDEX(RVS_ExtNeedCum,1,6)</f>
        <v>-0</v>
      </c>
      <c r="E90" s="10" t="s">
        <v>6994</v>
      </c>
      <c r="F90" s="2" t="s">
        <v>7144</v>
      </c>
    </row>
    <row r="91" customFormat="false" ht="15" hidden="false" customHeight="false" outlineLevel="0" collapsed="false">
      <c r="A91" s="10" t="s">
        <v>7145</v>
      </c>
      <c r="B91" s="11" t="s">
        <v>7146</v>
      </c>
      <c r="C91" s="10" t="n">
        <f aca="false">RVS_MktImpliedRev</f>
        <v>65.0512188887008</v>
      </c>
      <c r="E91" s="10" t="s">
        <v>6994</v>
      </c>
      <c r="F91" s="13" t="s">
        <v>7147</v>
      </c>
    </row>
    <row r="92" customFormat="false" ht="15" hidden="false" customHeight="false" outlineLevel="0" collapsed="false">
      <c r="A92" s="10" t="s">
        <v>7148</v>
      </c>
      <c r="B92" s="11" t="s">
        <v>7149</v>
      </c>
      <c r="C92" s="10" t="n">
        <f aca="false">RVS_MktImpliedYear</f>
        <v>2027</v>
      </c>
      <c r="E92" s="10" t="s">
        <v>6994</v>
      </c>
      <c r="F92" s="2"/>
    </row>
    <row r="93" customFormat="false" ht="15" hidden="false" customHeight="false" outlineLevel="0" collapsed="false">
      <c r="A93" s="10" t="s">
        <v>7150</v>
      </c>
      <c r="B93" s="11" t="s">
        <v>7151</v>
      </c>
      <c r="C93" s="10" t="n">
        <f aca="false">RVS_PeerMult</f>
        <v>39.763052673366</v>
      </c>
      <c r="E93" s="10" t="s">
        <v>6994</v>
      </c>
      <c r="F93" s="2"/>
    </row>
    <row r="94" customFormat="false" ht="15" hidden="false" customHeight="false" outlineLevel="0" collapsed="false">
      <c r="A94" s="10" t="s">
        <v>7152</v>
      </c>
      <c r="B94" s="11" t="s">
        <v>7153</v>
      </c>
      <c r="C94" s="10" t="n">
        <f aca="false">INDEX(FND_ExtNeedCum,1,6)/INP_023/INP_021-INDEX(OAI_FND_ExtNeedCum,1,6)</f>
        <v>-442.73374317616</v>
      </c>
      <c r="E94" s="10" t="s">
        <v>6994</v>
      </c>
      <c r="F94" s="13" t="s">
        <v>7093</v>
      </c>
    </row>
    <row r="95" customFormat="false" ht="15" hidden="false" customHeight="false" outlineLevel="0" collapsed="false">
      <c r="A95" s="10" t="s">
        <v>7154</v>
      </c>
      <c r="B95" s="10" t="s">
        <v>7155</v>
      </c>
      <c r="C95" s="10" t="n">
        <f aca="false">(Cost!L23&lt;-0.00000001)+(Cost!F23&lt;-0.00000001)+(Cost!G23&lt;-0.00000001)+(Cost!H23&lt;-0.00000001)+(Cost!I23&lt;-0.00000001)</f>
        <v>0</v>
      </c>
      <c r="D95" s="10" t="n">
        <v>0</v>
      </c>
      <c r="E95" s="10" t="str">
        <f aca="false">IF(C95=D95,"OK","ERR")</f>
        <v>OK</v>
      </c>
      <c r="F95" s="2" t="s">
        <v>7156</v>
      </c>
    </row>
    <row r="96" customFormat="false" ht="15" hidden="false" customHeight="false" outlineLevel="0" collapsed="false">
      <c r="A96" s="10" t="s">
        <v>7157</v>
      </c>
      <c r="B96" s="10" t="s">
        <v>7158</v>
      </c>
      <c r="C96" s="10" t="n">
        <f aca="false">Compute!D219+Compute!K219</f>
        <v>1</v>
      </c>
      <c r="D96" s="10" t="n">
        <f aca="false">INP_140</f>
        <v>0</v>
      </c>
      <c r="E96" s="10" t="str">
        <f aca="false">IF(ISNUMBER(C96),IF(ABS(C96)&gt;INP_140,"WARN","OK"),"WARN")</f>
        <v>WARN</v>
      </c>
      <c r="F96" s="2" t="s">
        <v>7159</v>
      </c>
    </row>
    <row r="97" customFormat="false" ht="15" hidden="false" customHeight="false" outlineLevel="0" collapsed="false">
      <c r="A97" s="10" t="s">
        <v>7160</v>
      </c>
      <c r="B97" s="11" t="s">
        <v>7161</v>
      </c>
      <c r="C97" s="10" t="n">
        <f aca="false">Compute!K127/(Compute!K84/(Compute!K102*INP_008/INP_007))</f>
        <v>0.422005249499853</v>
      </c>
      <c r="E97" s="10" t="s">
        <v>6994</v>
      </c>
      <c r="F97" s="13" t="s">
        <v>7162</v>
      </c>
    </row>
    <row r="98" customFormat="false" ht="15" hidden="false" customHeight="false" outlineLevel="0" collapsed="false">
      <c r="A98" s="10" t="s">
        <v>7163</v>
      </c>
      <c r="B98" s="10" t="s">
        <v>7164</v>
      </c>
      <c r="C98" s="10" t="n">
        <f aca="false">COUNTIF(TK_Link!$F$10:$F$200,"OK")</f>
        <v>77</v>
      </c>
      <c r="D98" s="10" t="n">
        <v>77</v>
      </c>
      <c r="E98" s="10" t="str">
        <f aca="false">IF(C98=D98,"OK","ERR")</f>
        <v>OK</v>
      </c>
      <c r="F98" s="2" t="s">
        <v>7165</v>
      </c>
    </row>
    <row r="99" customFormat="false" ht="15" hidden="false" customHeight="false" outlineLevel="0" collapsed="false">
      <c r="A99" s="10" t="s">
        <v>7166</v>
      </c>
      <c r="B99" s="10" t="s">
        <v>7167</v>
      </c>
      <c r="C99" s="10" t="n">
        <f aca="false">TK_RNG_IF_AllocRDGW_Lo</f>
        <v>0.162638888560071</v>
      </c>
      <c r="E99" s="10" t="s">
        <v>6994</v>
      </c>
      <c r="F99" s="13" t="s">
        <v>7168</v>
      </c>
    </row>
    <row r="100" customFormat="false" ht="15" hidden="false" customHeight="false" outlineLevel="0" collapsed="false">
      <c r="A100" s="10" t="s">
        <v>7169</v>
      </c>
      <c r="B100" s="10" t="s">
        <v>7170</v>
      </c>
      <c r="C100" s="10" t="n">
        <f aca="false">TK_RNG_IF_AllocRDGW_Hi</f>
        <v>0.211627622575658</v>
      </c>
      <c r="E100" s="10" t="s">
        <v>6994</v>
      </c>
      <c r="F100" s="2" t="s">
        <v>1095</v>
      </c>
    </row>
    <row r="101" customFormat="false" ht="15" hidden="false" customHeight="false" outlineLevel="0" collapsed="false">
      <c r="A101" s="10" t="s">
        <v>7171</v>
      </c>
      <c r="B101" s="10" t="s">
        <v>7172</v>
      </c>
      <c r="C101" s="10" t="n">
        <f aca="false">IF(TK_RNG_StaleFlag="一致",1,0)</f>
        <v>1</v>
      </c>
      <c r="D101" s="10" t="n">
        <v>1</v>
      </c>
      <c r="E101" s="10" t="str">
        <f aca="false">IF(C101=D101,"OK","ERR")</f>
        <v>OK</v>
      </c>
      <c r="F101" s="2" t="s">
        <v>7173</v>
      </c>
    </row>
    <row r="102" customFormat="false" ht="15" hidden="false" customHeight="false" outlineLevel="0" collapsed="false">
      <c r="A102" s="10" t="s">
        <v>7174</v>
      </c>
      <c r="B102" s="10" t="s">
        <v>7175</v>
      </c>
      <c r="C102" s="10" t="n">
        <f aca="false">REV_SegGap_OnPrem2025</f>
        <v>-9.99999999997669E-005</v>
      </c>
      <c r="D102" s="10" t="n">
        <v>0</v>
      </c>
      <c r="E102" s="10" t="str">
        <f aca="false">IF(ISNUMBER(C102),IF(ABS(C102-D102)&lt;=INP_141,"OK","ERR"),"ERR")</f>
        <v>OK</v>
      </c>
      <c r="F102" s="13" t="s">
        <v>7176</v>
      </c>
    </row>
    <row r="103" customFormat="false" ht="15" hidden="false" customHeight="false" outlineLevel="0" collapsed="false">
      <c r="A103" s="10" t="s">
        <v>7177</v>
      </c>
      <c r="B103" s="10" t="s">
        <v>7178</v>
      </c>
      <c r="C103" s="10" t="n">
        <f aca="false">REV_SegGap_Cloud2025</f>
        <v>0</v>
      </c>
      <c r="D103" s="10" t="n">
        <v>0</v>
      </c>
      <c r="E103" s="10" t="str">
        <f aca="false">IF(ISNUMBER(C103),IF(ABS(C103-D103)&lt;=INP_141,"OK","ERR"),"ERR")</f>
        <v>OK</v>
      </c>
      <c r="F103" s="2" t="s">
        <v>1095</v>
      </c>
    </row>
    <row r="104" customFormat="false" ht="15" hidden="false" customHeight="false" outlineLevel="0" collapsed="false">
      <c r="A104" s="10" t="s">
        <v>7179</v>
      </c>
      <c r="B104" s="10" t="s">
        <v>7180</v>
      </c>
      <c r="C104" s="10" t="n">
        <f aca="false">REV_SegGap_OnPrem1H26</f>
        <v>0</v>
      </c>
      <c r="D104" s="10" t="n">
        <v>0</v>
      </c>
      <c r="E104" s="10" t="str">
        <f aca="false">IF(ISNUMBER(C104),IF(ABS(C104-D104)&lt;=INP_141,"OK","ERR"),"ERR")</f>
        <v>OK</v>
      </c>
      <c r="F104" s="2" t="s">
        <v>7181</v>
      </c>
    </row>
    <row r="105" customFormat="false" ht="15" hidden="false" customHeight="false" outlineLevel="0" collapsed="false">
      <c r="A105" s="10" t="s">
        <v>7182</v>
      </c>
      <c r="B105" s="10" t="s">
        <v>7183</v>
      </c>
      <c r="C105" s="10" t="n">
        <f aca="false">REV_SegGap_Cloud1H26</f>
        <v>0</v>
      </c>
      <c r="D105" s="10" t="n">
        <v>0</v>
      </c>
      <c r="E105" s="10" t="str">
        <f aca="false">IF(ISNUMBER(C105),IF(ABS(C105-D105)&lt;=INP_141,"OK","ERR"),"ERR")</f>
        <v>OK</v>
      </c>
      <c r="F105" s="2" t="s">
        <v>7184</v>
      </c>
    </row>
    <row r="107" customFormat="false" ht="15" hidden="false" customHeight="false" outlineLevel="0" collapsed="false">
      <c r="A107" s="6" t="s">
        <v>7185</v>
      </c>
      <c r="C107" s="10" t="n">
        <f aca="false">COUNTIF($E$5:$E$105,"ERR")</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15" hidden="false" customHeight="false" outlineLevel="0" collapsed="false">
      <c r="A1" s="0" t="s">
        <v>7186</v>
      </c>
      <c r="B1" s="0" t="s">
        <v>7187</v>
      </c>
      <c r="C1" s="0" t="s">
        <v>7188</v>
      </c>
      <c r="D1" s="0" t="s">
        <v>7189</v>
      </c>
    </row>
    <row r="2" customFormat="false" ht="15" hidden="false" customHeight="false" outlineLevel="0" collapsed="false">
      <c r="A2" s="0" t="s">
        <v>8</v>
      </c>
      <c r="B2" s="0" t="s">
        <v>60</v>
      </c>
      <c r="C2" s="0" t="s">
        <v>7190</v>
      </c>
      <c r="D2" s="0" t="n">
        <v>0.5741</v>
      </c>
    </row>
    <row r="3" customFormat="false" ht="15" hidden="false" customHeight="false" outlineLevel="0" collapsed="false">
      <c r="A3" s="0" t="s">
        <v>8</v>
      </c>
      <c r="B3" s="0" t="s">
        <v>60</v>
      </c>
      <c r="C3" s="0" t="s">
        <v>7191</v>
      </c>
    </row>
    <row r="4" customFormat="false" ht="15" hidden="false" customHeight="false" outlineLevel="0" collapsed="false">
      <c r="A4" s="0" t="s">
        <v>8</v>
      </c>
      <c r="B4" s="0" t="s">
        <v>60</v>
      </c>
      <c r="C4" s="0" t="s">
        <v>7192</v>
      </c>
    </row>
    <row r="5" customFormat="false" ht="15" hidden="false" customHeight="false" outlineLevel="0" collapsed="false">
      <c r="A5" s="0" t="s">
        <v>8</v>
      </c>
      <c r="B5" s="0" t="s">
        <v>77</v>
      </c>
      <c r="C5" s="0" t="s">
        <v>7190</v>
      </c>
      <c r="D5" s="0" t="n">
        <v>1.2454</v>
      </c>
    </row>
    <row r="6" customFormat="false" ht="15" hidden="false" customHeight="false" outlineLevel="0" collapsed="false">
      <c r="A6" s="0" t="s">
        <v>8</v>
      </c>
      <c r="B6" s="0" t="s">
        <v>77</v>
      </c>
      <c r="C6" s="0" t="s">
        <v>7191</v>
      </c>
    </row>
    <row r="7" customFormat="false" ht="15" hidden="false" customHeight="false" outlineLevel="0" collapsed="false">
      <c r="A7" s="0" t="s">
        <v>8</v>
      </c>
      <c r="B7" s="0" t="s">
        <v>77</v>
      </c>
      <c r="C7" s="0" t="s">
        <v>7192</v>
      </c>
    </row>
    <row r="8" customFormat="false" ht="15" hidden="false" customHeight="false" outlineLevel="0" collapsed="false">
      <c r="A8" s="0" t="s">
        <v>8</v>
      </c>
      <c r="B8" s="0" t="s">
        <v>81</v>
      </c>
      <c r="C8" s="0" t="s">
        <v>7190</v>
      </c>
      <c r="D8" s="0" t="n">
        <v>3.1241</v>
      </c>
    </row>
    <row r="9" customFormat="false" ht="15" hidden="false" customHeight="false" outlineLevel="0" collapsed="false">
      <c r="A9" s="0" t="s">
        <v>8</v>
      </c>
      <c r="B9" s="0" t="s">
        <v>81</v>
      </c>
      <c r="C9" s="0" t="s">
        <v>7191</v>
      </c>
    </row>
    <row r="10" customFormat="false" ht="15" hidden="false" customHeight="false" outlineLevel="0" collapsed="false">
      <c r="A10" s="0" t="s">
        <v>8</v>
      </c>
      <c r="B10" s="0" t="s">
        <v>81</v>
      </c>
      <c r="C10" s="0" t="s">
        <v>7192</v>
      </c>
    </row>
    <row r="11" customFormat="false" ht="15" hidden="false" customHeight="false" outlineLevel="0" collapsed="false">
      <c r="A11" s="0" t="s">
        <v>8</v>
      </c>
      <c r="B11" s="0" t="s">
        <v>85</v>
      </c>
      <c r="C11" s="0" t="s">
        <v>7190</v>
      </c>
      <c r="D11" s="0" t="n">
        <v>0.4491</v>
      </c>
    </row>
    <row r="12" customFormat="false" ht="15" hidden="false" customHeight="false" outlineLevel="0" collapsed="false">
      <c r="A12" s="0" t="s">
        <v>8</v>
      </c>
      <c r="B12" s="0" t="s">
        <v>85</v>
      </c>
      <c r="C12" s="0" t="s">
        <v>7191</v>
      </c>
    </row>
    <row r="13" customFormat="false" ht="15" hidden="false" customHeight="false" outlineLevel="0" collapsed="false">
      <c r="A13" s="0" t="s">
        <v>8</v>
      </c>
      <c r="B13" s="0" t="s">
        <v>85</v>
      </c>
      <c r="C13" s="0" t="s">
        <v>7192</v>
      </c>
    </row>
    <row r="14" customFormat="false" ht="15" hidden="false" customHeight="false" outlineLevel="0" collapsed="false">
      <c r="A14" s="0" t="s">
        <v>8</v>
      </c>
      <c r="B14" s="0" t="s">
        <v>90</v>
      </c>
      <c r="C14" s="0" t="s">
        <v>7190</v>
      </c>
      <c r="D14" s="0" t="n">
        <v>1.9088</v>
      </c>
    </row>
    <row r="15" customFormat="false" ht="15" hidden="false" customHeight="false" outlineLevel="0" collapsed="false">
      <c r="A15" s="0" t="s">
        <v>8</v>
      </c>
      <c r="B15" s="0" t="s">
        <v>90</v>
      </c>
      <c r="C15" s="0" t="s">
        <v>7191</v>
      </c>
    </row>
    <row r="16" customFormat="false" ht="15" hidden="false" customHeight="false" outlineLevel="0" collapsed="false">
      <c r="A16" s="0" t="s">
        <v>8</v>
      </c>
      <c r="B16" s="0" t="s">
        <v>90</v>
      </c>
      <c r="C16" s="0" t="s">
        <v>7192</v>
      </c>
    </row>
    <row r="17" customFormat="false" ht="15" hidden="false" customHeight="false" outlineLevel="0" collapsed="false">
      <c r="A17" s="0" t="s">
        <v>8</v>
      </c>
      <c r="B17" s="0" t="s">
        <v>94</v>
      </c>
      <c r="C17" s="0" t="s">
        <v>7190</v>
      </c>
      <c r="D17" s="0" t="n">
        <v>0.5482</v>
      </c>
    </row>
    <row r="18" customFormat="false" ht="15" hidden="false" customHeight="false" outlineLevel="0" collapsed="false">
      <c r="A18" s="0" t="s">
        <v>8</v>
      </c>
      <c r="B18" s="0" t="s">
        <v>94</v>
      </c>
      <c r="C18" s="0" t="s">
        <v>7191</v>
      </c>
    </row>
    <row r="19" customFormat="false" ht="15" hidden="false" customHeight="false" outlineLevel="0" collapsed="false">
      <c r="A19" s="0" t="s">
        <v>8</v>
      </c>
      <c r="B19" s="0" t="s">
        <v>94</v>
      </c>
      <c r="C19" s="0" t="s">
        <v>7192</v>
      </c>
    </row>
    <row r="20" customFormat="false" ht="15" hidden="false" customHeight="false" outlineLevel="0" collapsed="false">
      <c r="A20" s="0" t="s">
        <v>8</v>
      </c>
      <c r="B20" s="0" t="s">
        <v>98</v>
      </c>
      <c r="C20" s="0" t="s">
        <v>7190</v>
      </c>
      <c r="D20" s="0" t="n">
        <v>1.1261</v>
      </c>
    </row>
    <row r="21" customFormat="false" ht="15" hidden="false" customHeight="false" outlineLevel="0" collapsed="false">
      <c r="A21" s="0" t="s">
        <v>8</v>
      </c>
      <c r="B21" s="0" t="s">
        <v>98</v>
      </c>
      <c r="C21" s="0" t="s">
        <v>7191</v>
      </c>
    </row>
    <row r="22" customFormat="false" ht="15" hidden="false" customHeight="false" outlineLevel="0" collapsed="false">
      <c r="A22" s="0" t="s">
        <v>8</v>
      </c>
      <c r="B22" s="0" t="s">
        <v>98</v>
      </c>
      <c r="C22" s="0" t="s">
        <v>7192</v>
      </c>
    </row>
    <row r="23" customFormat="false" ht="15" hidden="false" customHeight="false" outlineLevel="0" collapsed="false">
      <c r="A23" s="0" t="s">
        <v>8</v>
      </c>
      <c r="B23" s="0" t="s">
        <v>101</v>
      </c>
      <c r="C23" s="0" t="s">
        <v>7190</v>
      </c>
      <c r="D23" s="0" t="n">
        <v>2.6393</v>
      </c>
    </row>
    <row r="24" customFormat="false" ht="15" hidden="false" customHeight="false" outlineLevel="0" collapsed="false">
      <c r="A24" s="0" t="s">
        <v>8</v>
      </c>
      <c r="B24" s="0" t="s">
        <v>101</v>
      </c>
      <c r="C24" s="0" t="s">
        <v>7191</v>
      </c>
    </row>
    <row r="25" customFormat="false" ht="15" hidden="false" customHeight="false" outlineLevel="0" collapsed="false">
      <c r="A25" s="0" t="s">
        <v>8</v>
      </c>
      <c r="B25" s="0" t="s">
        <v>101</v>
      </c>
      <c r="C25" s="0" t="s">
        <v>7192</v>
      </c>
    </row>
    <row r="26" customFormat="false" ht="15" hidden="false" customHeight="false" outlineLevel="0" collapsed="false">
      <c r="A26" s="0" t="s">
        <v>8</v>
      </c>
      <c r="B26" s="0" t="s">
        <v>104</v>
      </c>
      <c r="C26" s="0" t="s">
        <v>7190</v>
      </c>
      <c r="D26" s="0" t="n">
        <v>0.2681</v>
      </c>
    </row>
    <row r="27" customFormat="false" ht="15" hidden="false" customHeight="false" outlineLevel="0" collapsed="false">
      <c r="A27" s="0" t="s">
        <v>8</v>
      </c>
      <c r="B27" s="0" t="s">
        <v>104</v>
      </c>
      <c r="C27" s="0" t="s">
        <v>7191</v>
      </c>
    </row>
    <row r="28" customFormat="false" ht="15" hidden="false" customHeight="false" outlineLevel="0" collapsed="false">
      <c r="A28" s="0" t="s">
        <v>8</v>
      </c>
      <c r="B28" s="0" t="s">
        <v>104</v>
      </c>
      <c r="C28" s="0" t="s">
        <v>7192</v>
      </c>
    </row>
    <row r="29" customFormat="false" ht="15" hidden="false" customHeight="false" outlineLevel="0" collapsed="false">
      <c r="A29" s="0" t="s">
        <v>8</v>
      </c>
      <c r="B29" s="0" t="s">
        <v>107</v>
      </c>
      <c r="C29" s="0" t="s">
        <v>7190</v>
      </c>
      <c r="D29" s="0" t="n">
        <v>1.6178</v>
      </c>
    </row>
    <row r="30" customFormat="false" ht="15" hidden="false" customHeight="false" outlineLevel="0" collapsed="false">
      <c r="A30" s="0" t="s">
        <v>8</v>
      </c>
      <c r="B30" s="0" t="s">
        <v>107</v>
      </c>
      <c r="C30" s="0" t="s">
        <v>7191</v>
      </c>
    </row>
    <row r="31" customFormat="false" ht="15" hidden="false" customHeight="false" outlineLevel="0" collapsed="false">
      <c r="A31" s="0" t="s">
        <v>8</v>
      </c>
      <c r="B31" s="0" t="s">
        <v>107</v>
      </c>
      <c r="C31" s="0" t="s">
        <v>7192</v>
      </c>
    </row>
    <row r="32" customFormat="false" ht="15" hidden="false" customHeight="false" outlineLevel="0" collapsed="false">
      <c r="A32" s="0" t="s">
        <v>8</v>
      </c>
      <c r="B32" s="0" t="s">
        <v>110</v>
      </c>
      <c r="C32" s="0" t="s">
        <v>7190</v>
      </c>
      <c r="D32" s="0" t="n">
        <v>0.0259</v>
      </c>
    </row>
    <row r="33" customFormat="false" ht="15" hidden="false" customHeight="false" outlineLevel="0" collapsed="false">
      <c r="A33" s="0" t="s">
        <v>8</v>
      </c>
      <c r="B33" s="0" t="s">
        <v>110</v>
      </c>
      <c r="C33" s="0" t="s">
        <v>7191</v>
      </c>
    </row>
    <row r="34" customFormat="false" ht="15" hidden="false" customHeight="false" outlineLevel="0" collapsed="false">
      <c r="A34" s="0" t="s">
        <v>8</v>
      </c>
      <c r="B34" s="0" t="s">
        <v>110</v>
      </c>
      <c r="C34" s="0" t="s">
        <v>7192</v>
      </c>
    </row>
    <row r="35" customFormat="false" ht="15" hidden="false" customHeight="false" outlineLevel="0" collapsed="false">
      <c r="A35" s="0" t="s">
        <v>8</v>
      </c>
      <c r="B35" s="0" t="s">
        <v>114</v>
      </c>
      <c r="C35" s="0" t="s">
        <v>7190</v>
      </c>
      <c r="D35" s="0" t="n">
        <v>0.1192</v>
      </c>
    </row>
    <row r="36" customFormat="false" ht="15" hidden="false" customHeight="false" outlineLevel="0" collapsed="false">
      <c r="A36" s="0" t="s">
        <v>8</v>
      </c>
      <c r="B36" s="0" t="s">
        <v>114</v>
      </c>
      <c r="C36" s="0" t="s">
        <v>7191</v>
      </c>
    </row>
    <row r="37" customFormat="false" ht="15" hidden="false" customHeight="false" outlineLevel="0" collapsed="false">
      <c r="A37" s="0" t="s">
        <v>8</v>
      </c>
      <c r="B37" s="0" t="s">
        <v>114</v>
      </c>
      <c r="C37" s="0" t="s">
        <v>7192</v>
      </c>
    </row>
    <row r="38" customFormat="false" ht="15" hidden="false" customHeight="false" outlineLevel="0" collapsed="false">
      <c r="A38" s="0" t="s">
        <v>8</v>
      </c>
      <c r="B38" s="0" t="s">
        <v>117</v>
      </c>
      <c r="C38" s="0" t="s">
        <v>7190</v>
      </c>
      <c r="D38" s="0" t="n">
        <v>0.4848</v>
      </c>
    </row>
    <row r="39" customFormat="false" ht="15" hidden="false" customHeight="false" outlineLevel="0" collapsed="false">
      <c r="A39" s="0" t="s">
        <v>8</v>
      </c>
      <c r="B39" s="0" t="s">
        <v>117</v>
      </c>
      <c r="C39" s="0" t="s">
        <v>7191</v>
      </c>
    </row>
    <row r="40" customFormat="false" ht="15" hidden="false" customHeight="false" outlineLevel="0" collapsed="false">
      <c r="A40" s="0" t="s">
        <v>8</v>
      </c>
      <c r="B40" s="0" t="s">
        <v>117</v>
      </c>
      <c r="C40" s="0" t="s">
        <v>7192</v>
      </c>
    </row>
    <row r="41" customFormat="false" ht="15" hidden="false" customHeight="false" outlineLevel="0" collapsed="false">
      <c r="A41" s="0" t="s">
        <v>8</v>
      </c>
      <c r="B41" s="0" t="s">
        <v>120</v>
      </c>
      <c r="C41" s="0" t="s">
        <v>7190</v>
      </c>
      <c r="D41" s="0" t="n">
        <v>0.181</v>
      </c>
    </row>
    <row r="42" customFormat="false" ht="15" hidden="false" customHeight="false" outlineLevel="0" collapsed="false">
      <c r="A42" s="0" t="s">
        <v>8</v>
      </c>
      <c r="B42" s="0" t="s">
        <v>120</v>
      </c>
      <c r="C42" s="0" t="s">
        <v>7191</v>
      </c>
    </row>
    <row r="43" customFormat="false" ht="15" hidden="false" customHeight="false" outlineLevel="0" collapsed="false">
      <c r="A43" s="0" t="s">
        <v>8</v>
      </c>
      <c r="B43" s="0" t="s">
        <v>120</v>
      </c>
      <c r="C43" s="0" t="s">
        <v>7192</v>
      </c>
    </row>
    <row r="44" customFormat="false" ht="15" hidden="false" customHeight="false" outlineLevel="0" collapsed="false">
      <c r="A44" s="0" t="s">
        <v>8</v>
      </c>
      <c r="B44" s="0" t="s">
        <v>123</v>
      </c>
      <c r="C44" s="0" t="s">
        <v>7190</v>
      </c>
      <c r="D44" s="0" t="n">
        <v>0.291</v>
      </c>
    </row>
    <row r="45" customFormat="false" ht="15" hidden="false" customHeight="false" outlineLevel="0" collapsed="false">
      <c r="A45" s="0" t="s">
        <v>8</v>
      </c>
      <c r="B45" s="0" t="s">
        <v>123</v>
      </c>
      <c r="C45" s="0" t="s">
        <v>7191</v>
      </c>
    </row>
    <row r="46" customFormat="false" ht="15" hidden="false" customHeight="false" outlineLevel="0" collapsed="false">
      <c r="A46" s="0" t="s">
        <v>8</v>
      </c>
      <c r="B46" s="0" t="s">
        <v>123</v>
      </c>
      <c r="C46" s="0" t="s">
        <v>7192</v>
      </c>
    </row>
    <row r="47" customFormat="false" ht="15" hidden="false" customHeight="false" outlineLevel="0" collapsed="false">
      <c r="A47" s="0" t="s">
        <v>8</v>
      </c>
      <c r="B47" s="0" t="s">
        <v>126</v>
      </c>
      <c r="C47" s="0" t="s">
        <v>7190</v>
      </c>
      <c r="D47" s="0" t="n">
        <v>0.2605</v>
      </c>
    </row>
    <row r="48" customFormat="false" ht="15" hidden="false" customHeight="false" outlineLevel="0" collapsed="false">
      <c r="A48" s="0" t="s">
        <v>8</v>
      </c>
      <c r="B48" s="0" t="s">
        <v>126</v>
      </c>
      <c r="C48" s="0" t="s">
        <v>7191</v>
      </c>
    </row>
    <row r="49" customFormat="false" ht="15" hidden="false" customHeight="false" outlineLevel="0" collapsed="false">
      <c r="A49" s="0" t="s">
        <v>8</v>
      </c>
      <c r="B49" s="0" t="s">
        <v>126</v>
      </c>
      <c r="C49" s="0" t="s">
        <v>7192</v>
      </c>
    </row>
    <row r="50" customFormat="false" ht="15" hidden="false" customHeight="false" outlineLevel="0" collapsed="false">
      <c r="A50" s="0" t="s">
        <v>8</v>
      </c>
      <c r="B50" s="0" t="s">
        <v>130</v>
      </c>
      <c r="C50" s="0" t="s">
        <v>7190</v>
      </c>
      <c r="D50" s="0" t="n">
        <v>0.4406</v>
      </c>
    </row>
    <row r="51" customFormat="false" ht="15" hidden="false" customHeight="false" outlineLevel="0" collapsed="false">
      <c r="A51" s="0" t="s">
        <v>8</v>
      </c>
      <c r="B51" s="0" t="s">
        <v>130</v>
      </c>
      <c r="C51" s="0" t="s">
        <v>7191</v>
      </c>
    </row>
    <row r="52" customFormat="false" ht="15" hidden="false" customHeight="false" outlineLevel="0" collapsed="false">
      <c r="A52" s="0" t="s">
        <v>8</v>
      </c>
      <c r="B52" s="0" t="s">
        <v>130</v>
      </c>
      <c r="C52" s="0" t="s">
        <v>7192</v>
      </c>
    </row>
    <row r="53" customFormat="false" ht="15" hidden="false" customHeight="false" outlineLevel="0" collapsed="false">
      <c r="A53" s="0" t="s">
        <v>8</v>
      </c>
      <c r="B53" s="0" t="s">
        <v>133</v>
      </c>
      <c r="C53" s="0" t="s">
        <v>7190</v>
      </c>
      <c r="D53" s="0" t="n">
        <v>1.3653</v>
      </c>
    </row>
    <row r="54" customFormat="false" ht="15" hidden="false" customHeight="false" outlineLevel="0" collapsed="false">
      <c r="A54" s="0" t="s">
        <v>8</v>
      </c>
      <c r="B54" s="0" t="s">
        <v>133</v>
      </c>
      <c r="C54" s="0" t="s">
        <v>7191</v>
      </c>
    </row>
    <row r="55" customFormat="false" ht="15" hidden="false" customHeight="false" outlineLevel="0" collapsed="false">
      <c r="A55" s="0" t="s">
        <v>8</v>
      </c>
      <c r="B55" s="0" t="s">
        <v>133</v>
      </c>
      <c r="C55" s="0" t="s">
        <v>7192</v>
      </c>
    </row>
    <row r="56" customFormat="false" ht="15" hidden="false" customHeight="false" outlineLevel="0" collapsed="false">
      <c r="A56" s="0" t="s">
        <v>8</v>
      </c>
      <c r="B56" s="0" t="s">
        <v>136</v>
      </c>
      <c r="C56" s="0" t="s">
        <v>7190</v>
      </c>
      <c r="D56" s="0" t="n">
        <v>0.2295</v>
      </c>
    </row>
    <row r="57" customFormat="false" ht="15" hidden="false" customHeight="false" outlineLevel="0" collapsed="false">
      <c r="A57" s="0" t="s">
        <v>8</v>
      </c>
      <c r="B57" s="0" t="s">
        <v>136</v>
      </c>
      <c r="C57" s="0" t="s">
        <v>7191</v>
      </c>
    </row>
    <row r="58" customFormat="false" ht="15" hidden="false" customHeight="false" outlineLevel="0" collapsed="false">
      <c r="A58" s="0" t="s">
        <v>8</v>
      </c>
      <c r="B58" s="0" t="s">
        <v>136</v>
      </c>
      <c r="C58" s="0" t="s">
        <v>7192</v>
      </c>
    </row>
    <row r="59" customFormat="false" ht="15" hidden="false" customHeight="false" outlineLevel="0" collapsed="false">
      <c r="A59" s="0" t="s">
        <v>8</v>
      </c>
      <c r="B59" s="0" t="s">
        <v>139</v>
      </c>
      <c r="C59" s="0" t="s">
        <v>7190</v>
      </c>
      <c r="D59" s="0" t="n">
        <v>0.9545</v>
      </c>
    </row>
    <row r="60" customFormat="false" ht="15" hidden="false" customHeight="false" outlineLevel="0" collapsed="false">
      <c r="A60" s="0" t="s">
        <v>8</v>
      </c>
      <c r="B60" s="0" t="s">
        <v>139</v>
      </c>
      <c r="C60" s="0" t="s">
        <v>7191</v>
      </c>
    </row>
    <row r="61" customFormat="false" ht="15" hidden="false" customHeight="false" outlineLevel="0" collapsed="false">
      <c r="A61" s="0" t="s">
        <v>8</v>
      </c>
      <c r="B61" s="0" t="s">
        <v>139</v>
      </c>
      <c r="C61" s="0" t="s">
        <v>7192</v>
      </c>
    </row>
    <row r="62" customFormat="false" ht="15" hidden="false" customHeight="false" outlineLevel="0" collapsed="false">
      <c r="A62" s="0" t="s">
        <v>8</v>
      </c>
      <c r="B62" s="0" t="s">
        <v>142</v>
      </c>
      <c r="C62" s="0" t="s">
        <v>7190</v>
      </c>
      <c r="D62" s="0" t="n">
        <v>0</v>
      </c>
    </row>
    <row r="63" customFormat="false" ht="15" hidden="false" customHeight="false" outlineLevel="0" collapsed="false">
      <c r="A63" s="0" t="s">
        <v>8</v>
      </c>
      <c r="B63" s="0" t="s">
        <v>142</v>
      </c>
      <c r="C63" s="0" t="s">
        <v>7191</v>
      </c>
    </row>
    <row r="64" customFormat="false" ht="15" hidden="false" customHeight="false" outlineLevel="0" collapsed="false">
      <c r="A64" s="0" t="s">
        <v>8</v>
      </c>
      <c r="B64" s="0" t="s">
        <v>142</v>
      </c>
      <c r="C64" s="0" t="s">
        <v>7192</v>
      </c>
    </row>
    <row r="65" customFormat="false" ht="15" hidden="false" customHeight="false" outlineLevel="0" collapsed="false">
      <c r="A65" s="0" t="s">
        <v>8</v>
      </c>
      <c r="B65" s="0" t="s">
        <v>146</v>
      </c>
      <c r="C65" s="0" t="s">
        <v>7190</v>
      </c>
      <c r="D65" s="0" t="n">
        <v>0.12</v>
      </c>
    </row>
    <row r="66" customFormat="false" ht="15" hidden="false" customHeight="false" outlineLevel="0" collapsed="false">
      <c r="A66" s="0" t="s">
        <v>8</v>
      </c>
      <c r="B66" s="0" t="s">
        <v>146</v>
      </c>
      <c r="C66" s="0" t="s">
        <v>7191</v>
      </c>
    </row>
    <row r="67" customFormat="false" ht="15" hidden="false" customHeight="false" outlineLevel="0" collapsed="false">
      <c r="A67" s="0" t="s">
        <v>8</v>
      </c>
      <c r="B67" s="0" t="s">
        <v>146</v>
      </c>
      <c r="C67" s="0" t="s">
        <v>7192</v>
      </c>
    </row>
    <row r="68" customFormat="false" ht="15" hidden="false" customHeight="false" outlineLevel="0" collapsed="false">
      <c r="A68" s="0" t="s">
        <v>8</v>
      </c>
      <c r="B68" s="0" t="s">
        <v>149</v>
      </c>
      <c r="C68" s="0" t="s">
        <v>7190</v>
      </c>
      <c r="D68" s="0" t="n">
        <v>0.3017</v>
      </c>
    </row>
    <row r="69" customFormat="false" ht="15" hidden="false" customHeight="false" outlineLevel="0" collapsed="false">
      <c r="A69" s="0" t="s">
        <v>8</v>
      </c>
      <c r="B69" s="0" t="s">
        <v>149</v>
      </c>
      <c r="C69" s="0" t="s">
        <v>7191</v>
      </c>
    </row>
    <row r="70" customFormat="false" ht="15" hidden="false" customHeight="false" outlineLevel="0" collapsed="false">
      <c r="A70" s="0" t="s">
        <v>8</v>
      </c>
      <c r="B70" s="0" t="s">
        <v>149</v>
      </c>
      <c r="C70" s="0" t="s">
        <v>7192</v>
      </c>
    </row>
    <row r="71" customFormat="false" ht="15" hidden="false" customHeight="false" outlineLevel="0" collapsed="false">
      <c r="A71" s="0" t="s">
        <v>8</v>
      </c>
      <c r="B71" s="0" t="s">
        <v>152</v>
      </c>
      <c r="C71" s="0" t="s">
        <v>7190</v>
      </c>
      <c r="D71" s="0" t="n">
        <v>0.0845</v>
      </c>
    </row>
    <row r="72" customFormat="false" ht="15" hidden="false" customHeight="false" outlineLevel="0" collapsed="false">
      <c r="A72" s="0" t="s">
        <v>8</v>
      </c>
      <c r="B72" s="0" t="s">
        <v>152</v>
      </c>
      <c r="C72" s="0" t="s">
        <v>7191</v>
      </c>
    </row>
    <row r="73" customFormat="false" ht="15" hidden="false" customHeight="false" outlineLevel="0" collapsed="false">
      <c r="A73" s="0" t="s">
        <v>8</v>
      </c>
      <c r="B73" s="0" t="s">
        <v>152</v>
      </c>
      <c r="C73" s="0" t="s">
        <v>7192</v>
      </c>
    </row>
    <row r="74" customFormat="false" ht="15" hidden="false" customHeight="false" outlineLevel="0" collapsed="false">
      <c r="A74" s="0" t="s">
        <v>8</v>
      </c>
      <c r="B74" s="0" t="s">
        <v>155</v>
      </c>
      <c r="C74" s="0" t="s">
        <v>7190</v>
      </c>
      <c r="D74" s="0" t="n">
        <v>0.3584</v>
      </c>
    </row>
    <row r="75" customFormat="false" ht="15" hidden="false" customHeight="false" outlineLevel="0" collapsed="false">
      <c r="A75" s="0" t="s">
        <v>8</v>
      </c>
      <c r="B75" s="0" t="s">
        <v>155</v>
      </c>
      <c r="C75" s="0" t="s">
        <v>7191</v>
      </c>
    </row>
    <row r="76" customFormat="false" ht="15" hidden="false" customHeight="false" outlineLevel="0" collapsed="false">
      <c r="A76" s="0" t="s">
        <v>8</v>
      </c>
      <c r="B76" s="0" t="s">
        <v>155</v>
      </c>
      <c r="C76" s="0" t="s">
        <v>7192</v>
      </c>
    </row>
    <row r="77" customFormat="false" ht="15" hidden="false" customHeight="false" outlineLevel="0" collapsed="false">
      <c r="A77" s="0" t="s">
        <v>8</v>
      </c>
      <c r="B77" s="0" t="s">
        <v>158</v>
      </c>
      <c r="C77" s="0" t="s">
        <v>7190</v>
      </c>
      <c r="D77" s="0" t="n">
        <v>0.1643</v>
      </c>
    </row>
    <row r="78" customFormat="false" ht="15" hidden="false" customHeight="false" outlineLevel="0" collapsed="false">
      <c r="A78" s="0" t="s">
        <v>8</v>
      </c>
      <c r="B78" s="0" t="s">
        <v>158</v>
      </c>
      <c r="C78" s="0" t="s">
        <v>7191</v>
      </c>
    </row>
    <row r="79" customFormat="false" ht="15" hidden="false" customHeight="false" outlineLevel="0" collapsed="false">
      <c r="A79" s="0" t="s">
        <v>8</v>
      </c>
      <c r="B79" s="0" t="s">
        <v>158</v>
      </c>
      <c r="C79" s="0" t="s">
        <v>7192</v>
      </c>
    </row>
    <row r="80" customFormat="false" ht="15" hidden="false" customHeight="false" outlineLevel="0" collapsed="false">
      <c r="A80" s="0" t="s">
        <v>8</v>
      </c>
      <c r="B80" s="0" t="s">
        <v>162</v>
      </c>
      <c r="C80" s="0" t="s">
        <v>7190</v>
      </c>
      <c r="D80" s="0" t="n">
        <v>0.1537</v>
      </c>
    </row>
    <row r="81" customFormat="false" ht="15" hidden="false" customHeight="false" outlineLevel="0" collapsed="false">
      <c r="A81" s="0" t="s">
        <v>8</v>
      </c>
      <c r="B81" s="0" t="s">
        <v>162</v>
      </c>
      <c r="C81" s="0" t="s">
        <v>7191</v>
      </c>
    </row>
    <row r="82" customFormat="false" ht="15" hidden="false" customHeight="false" outlineLevel="0" collapsed="false">
      <c r="A82" s="0" t="s">
        <v>8</v>
      </c>
      <c r="B82" s="0" t="s">
        <v>162</v>
      </c>
      <c r="C82" s="0" t="s">
        <v>7192</v>
      </c>
    </row>
    <row r="83" customFormat="false" ht="15" hidden="false" customHeight="false" outlineLevel="0" collapsed="false">
      <c r="A83" s="0" t="s">
        <v>8</v>
      </c>
      <c r="B83" s="0" t="s">
        <v>165</v>
      </c>
      <c r="C83" s="0" t="s">
        <v>7190</v>
      </c>
      <c r="D83" s="0" t="n">
        <v>0.7426</v>
      </c>
    </row>
    <row r="84" customFormat="false" ht="15" hidden="false" customHeight="false" outlineLevel="0" collapsed="false">
      <c r="A84" s="0" t="s">
        <v>8</v>
      </c>
      <c r="B84" s="0" t="s">
        <v>165</v>
      </c>
      <c r="C84" s="0" t="s">
        <v>7191</v>
      </c>
    </row>
    <row r="85" customFormat="false" ht="15" hidden="false" customHeight="false" outlineLevel="0" collapsed="false">
      <c r="A85" s="0" t="s">
        <v>8</v>
      </c>
      <c r="B85" s="0" t="s">
        <v>165</v>
      </c>
      <c r="C85" s="0" t="s">
        <v>7192</v>
      </c>
    </row>
    <row r="86" customFormat="false" ht="15" hidden="false" customHeight="false" outlineLevel="0" collapsed="false">
      <c r="A86" s="0" t="s">
        <v>8</v>
      </c>
      <c r="B86" s="0" t="s">
        <v>168</v>
      </c>
      <c r="C86" s="0" t="s">
        <v>7190</v>
      </c>
      <c r="D86" s="0" t="n">
        <v>0.1083</v>
      </c>
    </row>
    <row r="87" customFormat="false" ht="15" hidden="false" customHeight="false" outlineLevel="0" collapsed="false">
      <c r="A87" s="0" t="s">
        <v>8</v>
      </c>
      <c r="B87" s="0" t="s">
        <v>168</v>
      </c>
      <c r="C87" s="0" t="s">
        <v>7191</v>
      </c>
    </row>
    <row r="88" customFormat="false" ht="15" hidden="false" customHeight="false" outlineLevel="0" collapsed="false">
      <c r="A88" s="0" t="s">
        <v>8</v>
      </c>
      <c r="B88" s="0" t="s">
        <v>168</v>
      </c>
      <c r="C88" s="0" t="s">
        <v>7192</v>
      </c>
    </row>
    <row r="89" customFormat="false" ht="15" hidden="false" customHeight="false" outlineLevel="0" collapsed="false">
      <c r="A89" s="0" t="s">
        <v>8</v>
      </c>
      <c r="B89" s="0" t="s">
        <v>171</v>
      </c>
      <c r="C89" s="0" t="s">
        <v>7190</v>
      </c>
      <c r="D89" s="0" t="n">
        <v>0.3763</v>
      </c>
    </row>
    <row r="90" customFormat="false" ht="15" hidden="false" customHeight="false" outlineLevel="0" collapsed="false">
      <c r="A90" s="0" t="s">
        <v>8</v>
      </c>
      <c r="B90" s="0" t="s">
        <v>171</v>
      </c>
      <c r="C90" s="0" t="s">
        <v>7191</v>
      </c>
    </row>
    <row r="91" customFormat="false" ht="15" hidden="false" customHeight="false" outlineLevel="0" collapsed="false">
      <c r="A91" s="0" t="s">
        <v>8</v>
      </c>
      <c r="B91" s="0" t="s">
        <v>171</v>
      </c>
      <c r="C91" s="0" t="s">
        <v>7192</v>
      </c>
    </row>
    <row r="92" customFormat="false" ht="15" hidden="false" customHeight="false" outlineLevel="0" collapsed="false">
      <c r="A92" s="0" t="s">
        <v>8</v>
      </c>
      <c r="B92" s="0" t="s">
        <v>174</v>
      </c>
      <c r="C92" s="0" t="s">
        <v>7190</v>
      </c>
      <c r="D92" s="0" t="n">
        <v>0.3136</v>
      </c>
    </row>
    <row r="93" customFormat="false" ht="15" hidden="false" customHeight="false" outlineLevel="0" collapsed="false">
      <c r="A93" s="0" t="s">
        <v>8</v>
      </c>
      <c r="B93" s="0" t="s">
        <v>174</v>
      </c>
      <c r="C93" s="0" t="s">
        <v>7191</v>
      </c>
    </row>
    <row r="94" customFormat="false" ht="15" hidden="false" customHeight="false" outlineLevel="0" collapsed="false">
      <c r="A94" s="0" t="s">
        <v>8</v>
      </c>
      <c r="B94" s="0" t="s">
        <v>174</v>
      </c>
      <c r="C94" s="0" t="s">
        <v>7192</v>
      </c>
    </row>
    <row r="95" customFormat="false" ht="15" hidden="false" customHeight="false" outlineLevel="0" collapsed="false">
      <c r="A95" s="0" t="s">
        <v>8</v>
      </c>
      <c r="B95" s="0" t="s">
        <v>178</v>
      </c>
      <c r="C95" s="0" t="s">
        <v>7190</v>
      </c>
      <c r="D95" s="0" t="n">
        <v>0.8048</v>
      </c>
    </row>
    <row r="96" customFormat="false" ht="15" hidden="false" customHeight="false" outlineLevel="0" collapsed="false">
      <c r="A96" s="0" t="s">
        <v>8</v>
      </c>
      <c r="B96" s="0" t="s">
        <v>178</v>
      </c>
      <c r="C96" s="0" t="s">
        <v>7191</v>
      </c>
    </row>
    <row r="97" customFormat="false" ht="15" hidden="false" customHeight="false" outlineLevel="0" collapsed="false">
      <c r="A97" s="0" t="s">
        <v>8</v>
      </c>
      <c r="B97" s="0" t="s">
        <v>178</v>
      </c>
      <c r="C97" s="0" t="s">
        <v>7192</v>
      </c>
    </row>
    <row r="98" customFormat="false" ht="15" hidden="false" customHeight="false" outlineLevel="0" collapsed="false">
      <c r="A98" s="0" t="s">
        <v>8</v>
      </c>
      <c r="B98" s="0" t="s">
        <v>181</v>
      </c>
      <c r="C98" s="0" t="s">
        <v>7190</v>
      </c>
      <c r="D98" s="0" t="n">
        <v>1.7589</v>
      </c>
    </row>
    <row r="99" customFormat="false" ht="15" hidden="false" customHeight="false" outlineLevel="0" collapsed="false">
      <c r="A99" s="0" t="s">
        <v>8</v>
      </c>
      <c r="B99" s="0" t="s">
        <v>181</v>
      </c>
      <c r="C99" s="0" t="s">
        <v>7191</v>
      </c>
    </row>
    <row r="100" customFormat="false" ht="15" hidden="false" customHeight="false" outlineLevel="0" collapsed="false">
      <c r="A100" s="0" t="s">
        <v>8</v>
      </c>
      <c r="B100" s="0" t="s">
        <v>181</v>
      </c>
      <c r="C100" s="0" t="s">
        <v>7192</v>
      </c>
    </row>
    <row r="101" customFormat="false" ht="15" hidden="false" customHeight="false" outlineLevel="0" collapsed="false">
      <c r="A101" s="0" t="s">
        <v>8</v>
      </c>
      <c r="B101" s="0" t="s">
        <v>184</v>
      </c>
      <c r="C101" s="0" t="s">
        <v>7190</v>
      </c>
      <c r="D101" s="0" t="n">
        <v>0.2196</v>
      </c>
    </row>
    <row r="102" customFormat="false" ht="15" hidden="false" customHeight="false" outlineLevel="0" collapsed="false">
      <c r="A102" s="0" t="s">
        <v>8</v>
      </c>
      <c r="B102" s="0" t="s">
        <v>184</v>
      </c>
      <c r="C102" s="0" t="s">
        <v>7191</v>
      </c>
    </row>
    <row r="103" customFormat="false" ht="15" hidden="false" customHeight="false" outlineLevel="0" collapsed="false">
      <c r="A103" s="0" t="s">
        <v>8</v>
      </c>
      <c r="B103" s="0" t="s">
        <v>184</v>
      </c>
      <c r="C103" s="0" t="s">
        <v>7192</v>
      </c>
    </row>
    <row r="104" customFormat="false" ht="15" hidden="false" customHeight="false" outlineLevel="0" collapsed="false">
      <c r="A104" s="0" t="s">
        <v>8</v>
      </c>
      <c r="B104" s="0" t="s">
        <v>187</v>
      </c>
      <c r="C104" s="0" t="s">
        <v>7190</v>
      </c>
      <c r="D104" s="0" t="n">
        <v>0.9542</v>
      </c>
    </row>
    <row r="105" customFormat="false" ht="15" hidden="false" customHeight="false" outlineLevel="0" collapsed="false">
      <c r="A105" s="0" t="s">
        <v>8</v>
      </c>
      <c r="B105" s="0" t="s">
        <v>187</v>
      </c>
      <c r="C105" s="0" t="s">
        <v>7191</v>
      </c>
    </row>
    <row r="106" customFormat="false" ht="15" hidden="false" customHeight="false" outlineLevel="0" collapsed="false">
      <c r="A106" s="0" t="s">
        <v>8</v>
      </c>
      <c r="B106" s="0" t="s">
        <v>187</v>
      </c>
      <c r="C106" s="0" t="s">
        <v>7192</v>
      </c>
    </row>
    <row r="107" customFormat="false" ht="15" hidden="false" customHeight="false" outlineLevel="0" collapsed="false">
      <c r="A107" s="0" t="s">
        <v>8</v>
      </c>
      <c r="B107" s="0" t="s">
        <v>190</v>
      </c>
      <c r="C107" s="0" t="s">
        <v>7190</v>
      </c>
      <c r="D107" s="0" t="n">
        <v>0.2939</v>
      </c>
    </row>
    <row r="108" customFormat="false" ht="15" hidden="false" customHeight="false" outlineLevel="0" collapsed="false">
      <c r="A108" s="0" t="s">
        <v>8</v>
      </c>
      <c r="B108" s="0" t="s">
        <v>190</v>
      </c>
      <c r="C108" s="0" t="s">
        <v>7191</v>
      </c>
    </row>
    <row r="109" customFormat="false" ht="15" hidden="false" customHeight="false" outlineLevel="0" collapsed="false">
      <c r="A109" s="0" t="s">
        <v>8</v>
      </c>
      <c r="B109" s="0" t="s">
        <v>190</v>
      </c>
      <c r="C109" s="0" t="s">
        <v>7192</v>
      </c>
    </row>
    <row r="110" customFormat="false" ht="15" hidden="false" customHeight="false" outlineLevel="0" collapsed="false">
      <c r="A110" s="0" t="s">
        <v>8</v>
      </c>
      <c r="B110" s="0" t="s">
        <v>194</v>
      </c>
      <c r="C110" s="0" t="s">
        <v>7190</v>
      </c>
      <c r="D110" s="0" t="n">
        <v>0.7678</v>
      </c>
    </row>
    <row r="111" customFormat="false" ht="15" hidden="false" customHeight="false" outlineLevel="0" collapsed="false">
      <c r="A111" s="0" t="s">
        <v>8</v>
      </c>
      <c r="B111" s="0" t="s">
        <v>194</v>
      </c>
      <c r="C111" s="0" t="s">
        <v>7191</v>
      </c>
    </row>
    <row r="112" customFormat="false" ht="15" hidden="false" customHeight="false" outlineLevel="0" collapsed="false">
      <c r="A112" s="0" t="s">
        <v>8</v>
      </c>
      <c r="B112" s="0" t="s">
        <v>194</v>
      </c>
      <c r="C112" s="0" t="s">
        <v>7192</v>
      </c>
    </row>
    <row r="113" customFormat="false" ht="15" hidden="false" customHeight="false" outlineLevel="0" collapsed="false">
      <c r="A113" s="0" t="s">
        <v>8</v>
      </c>
      <c r="B113" s="0" t="s">
        <v>197</v>
      </c>
      <c r="C113" s="0" t="s">
        <v>7190</v>
      </c>
      <c r="D113" s="0" t="n">
        <v>1.7426</v>
      </c>
    </row>
    <row r="114" customFormat="false" ht="15" hidden="false" customHeight="false" outlineLevel="0" collapsed="false">
      <c r="A114" s="0" t="s">
        <v>8</v>
      </c>
      <c r="B114" s="0" t="s">
        <v>197</v>
      </c>
      <c r="C114" s="0" t="s">
        <v>7191</v>
      </c>
    </row>
    <row r="115" customFormat="false" ht="15" hidden="false" customHeight="false" outlineLevel="0" collapsed="false">
      <c r="A115" s="0" t="s">
        <v>8</v>
      </c>
      <c r="B115" s="0" t="s">
        <v>197</v>
      </c>
      <c r="C115" s="0" t="s">
        <v>7192</v>
      </c>
    </row>
    <row r="116" customFormat="false" ht="15" hidden="false" customHeight="false" outlineLevel="0" collapsed="false">
      <c r="A116" s="0" t="s">
        <v>8</v>
      </c>
      <c r="B116" s="0" t="s">
        <v>200</v>
      </c>
      <c r="C116" s="0" t="s">
        <v>7190</v>
      </c>
      <c r="D116" s="0" t="n">
        <v>0.1678</v>
      </c>
    </row>
    <row r="117" customFormat="false" ht="15" hidden="false" customHeight="false" outlineLevel="0" collapsed="false">
      <c r="A117" s="0" t="s">
        <v>8</v>
      </c>
      <c r="B117" s="0" t="s">
        <v>200</v>
      </c>
      <c r="C117" s="0" t="s">
        <v>7191</v>
      </c>
    </row>
    <row r="118" customFormat="false" ht="15" hidden="false" customHeight="false" outlineLevel="0" collapsed="false">
      <c r="A118" s="0" t="s">
        <v>8</v>
      </c>
      <c r="B118" s="0" t="s">
        <v>200</v>
      </c>
      <c r="C118" s="0" t="s">
        <v>7192</v>
      </c>
    </row>
    <row r="119" customFormat="false" ht="15" hidden="false" customHeight="false" outlineLevel="0" collapsed="false">
      <c r="A119" s="0" t="s">
        <v>8</v>
      </c>
      <c r="B119" s="0" t="s">
        <v>203</v>
      </c>
      <c r="C119" s="0" t="s">
        <v>7190</v>
      </c>
      <c r="D119" s="0" t="n">
        <v>0.9554</v>
      </c>
    </row>
    <row r="120" customFormat="false" ht="15" hidden="false" customHeight="false" outlineLevel="0" collapsed="false">
      <c r="A120" s="0" t="s">
        <v>8</v>
      </c>
      <c r="B120" s="0" t="s">
        <v>203</v>
      </c>
      <c r="C120" s="0" t="s">
        <v>7191</v>
      </c>
    </row>
    <row r="121" customFormat="false" ht="15" hidden="false" customHeight="false" outlineLevel="0" collapsed="false">
      <c r="A121" s="0" t="s">
        <v>8</v>
      </c>
      <c r="B121" s="0" t="s">
        <v>203</v>
      </c>
      <c r="C121" s="0" t="s">
        <v>7192</v>
      </c>
    </row>
    <row r="122" customFormat="false" ht="15" hidden="false" customHeight="false" outlineLevel="0" collapsed="false">
      <c r="A122" s="0" t="s">
        <v>8</v>
      </c>
      <c r="B122" s="0" t="s">
        <v>206</v>
      </c>
      <c r="C122" s="0" t="s">
        <v>7190</v>
      </c>
      <c r="D122" s="0" t="n">
        <v>0.0197</v>
      </c>
    </row>
    <row r="123" customFormat="false" ht="15" hidden="false" customHeight="false" outlineLevel="0" collapsed="false">
      <c r="A123" s="0" t="s">
        <v>8</v>
      </c>
      <c r="B123" s="0" t="s">
        <v>206</v>
      </c>
      <c r="C123" s="0" t="s">
        <v>7191</v>
      </c>
    </row>
    <row r="124" customFormat="false" ht="15" hidden="false" customHeight="false" outlineLevel="0" collapsed="false">
      <c r="A124" s="0" t="s">
        <v>8</v>
      </c>
      <c r="B124" s="0" t="s">
        <v>206</v>
      </c>
      <c r="C124" s="0" t="s">
        <v>7192</v>
      </c>
    </row>
    <row r="125" customFormat="false" ht="15" hidden="false" customHeight="false" outlineLevel="0" collapsed="false">
      <c r="A125" s="0" t="s">
        <v>8</v>
      </c>
      <c r="B125" s="0" t="s">
        <v>210</v>
      </c>
      <c r="C125" s="0" t="s">
        <v>7190</v>
      </c>
      <c r="D125" s="0" t="n">
        <v>0.037</v>
      </c>
    </row>
    <row r="126" customFormat="false" ht="15" hidden="false" customHeight="false" outlineLevel="0" collapsed="false">
      <c r="A126" s="0" t="s">
        <v>8</v>
      </c>
      <c r="B126" s="0" t="s">
        <v>210</v>
      </c>
      <c r="C126" s="0" t="s">
        <v>7191</v>
      </c>
    </row>
    <row r="127" customFormat="false" ht="15" hidden="false" customHeight="false" outlineLevel="0" collapsed="false">
      <c r="A127" s="0" t="s">
        <v>8</v>
      </c>
      <c r="B127" s="0" t="s">
        <v>210</v>
      </c>
      <c r="C127" s="0" t="s">
        <v>7192</v>
      </c>
    </row>
    <row r="128" customFormat="false" ht="15" hidden="false" customHeight="false" outlineLevel="0" collapsed="false">
      <c r="A128" s="0" t="s">
        <v>8</v>
      </c>
      <c r="B128" s="0" t="s">
        <v>213</v>
      </c>
      <c r="C128" s="0" t="s">
        <v>7190</v>
      </c>
      <c r="D128" s="0" t="n">
        <v>0.0163</v>
      </c>
    </row>
    <row r="129" customFormat="false" ht="15" hidden="false" customHeight="false" outlineLevel="0" collapsed="false">
      <c r="A129" s="0" t="s">
        <v>8</v>
      </c>
      <c r="B129" s="0" t="s">
        <v>213</v>
      </c>
      <c r="C129" s="0" t="s">
        <v>7191</v>
      </c>
    </row>
    <row r="130" customFormat="false" ht="15" hidden="false" customHeight="false" outlineLevel="0" collapsed="false">
      <c r="A130" s="0" t="s">
        <v>8</v>
      </c>
      <c r="B130" s="0" t="s">
        <v>213</v>
      </c>
      <c r="C130" s="0" t="s">
        <v>7192</v>
      </c>
    </row>
    <row r="131" customFormat="false" ht="15" hidden="false" customHeight="false" outlineLevel="0" collapsed="false">
      <c r="A131" s="0" t="s">
        <v>8</v>
      </c>
      <c r="B131" s="0" t="s">
        <v>216</v>
      </c>
      <c r="C131" s="0" t="s">
        <v>7190</v>
      </c>
      <c r="D131" s="0" t="n">
        <v>0.0518</v>
      </c>
    </row>
    <row r="132" customFormat="false" ht="15" hidden="false" customHeight="false" outlineLevel="0" collapsed="false">
      <c r="A132" s="0" t="s">
        <v>8</v>
      </c>
      <c r="B132" s="0" t="s">
        <v>216</v>
      </c>
      <c r="C132" s="0" t="s">
        <v>7191</v>
      </c>
    </row>
    <row r="133" customFormat="false" ht="15" hidden="false" customHeight="false" outlineLevel="0" collapsed="false">
      <c r="A133" s="0" t="s">
        <v>8</v>
      </c>
      <c r="B133" s="0" t="s">
        <v>216</v>
      </c>
      <c r="C133" s="0" t="s">
        <v>7192</v>
      </c>
    </row>
    <row r="134" customFormat="false" ht="15" hidden="false" customHeight="false" outlineLevel="0" collapsed="false">
      <c r="A134" s="0" t="s">
        <v>8</v>
      </c>
      <c r="B134" s="0" t="s">
        <v>219</v>
      </c>
      <c r="C134" s="0" t="s">
        <v>7190</v>
      </c>
      <c r="D134" s="0" t="n">
        <v>-0.0012</v>
      </c>
    </row>
    <row r="135" customFormat="false" ht="15" hidden="false" customHeight="false" outlineLevel="0" collapsed="false">
      <c r="A135" s="0" t="s">
        <v>8</v>
      </c>
      <c r="B135" s="0" t="s">
        <v>219</v>
      </c>
      <c r="C135" s="0" t="s">
        <v>7191</v>
      </c>
    </row>
    <row r="136" customFormat="false" ht="15" hidden="false" customHeight="false" outlineLevel="0" collapsed="false">
      <c r="A136" s="0" t="s">
        <v>8</v>
      </c>
      <c r="B136" s="0" t="s">
        <v>219</v>
      </c>
      <c r="C136" s="0" t="s">
        <v>7192</v>
      </c>
    </row>
    <row r="137" customFormat="false" ht="15" hidden="false" customHeight="false" outlineLevel="0" collapsed="false">
      <c r="A137" s="0" t="s">
        <v>8</v>
      </c>
      <c r="B137" s="0" t="s">
        <v>222</v>
      </c>
      <c r="C137" s="0" t="s">
        <v>7190</v>
      </c>
      <c r="D137" s="0" t="n">
        <v>0.8438</v>
      </c>
    </row>
    <row r="138" customFormat="false" ht="15" hidden="false" customHeight="false" outlineLevel="0" collapsed="false">
      <c r="A138" s="0" t="s">
        <v>8</v>
      </c>
      <c r="B138" s="0" t="s">
        <v>222</v>
      </c>
      <c r="C138" s="0" t="s">
        <v>7191</v>
      </c>
    </row>
    <row r="139" customFormat="false" ht="15" hidden="false" customHeight="false" outlineLevel="0" collapsed="false">
      <c r="A139" s="0" t="s">
        <v>8</v>
      </c>
      <c r="B139" s="0" t="s">
        <v>222</v>
      </c>
      <c r="C139" s="0" t="s">
        <v>7192</v>
      </c>
    </row>
    <row r="140" customFormat="false" ht="15" hidden="false" customHeight="false" outlineLevel="0" collapsed="false">
      <c r="A140" s="0" t="s">
        <v>8</v>
      </c>
      <c r="B140" s="0" t="s">
        <v>226</v>
      </c>
      <c r="C140" s="0" t="s">
        <v>7190</v>
      </c>
      <c r="D140" s="0" t="n">
        <v>5.2888</v>
      </c>
    </row>
    <row r="141" customFormat="false" ht="15" hidden="false" customHeight="false" outlineLevel="0" collapsed="false">
      <c r="A141" s="0" t="s">
        <v>8</v>
      </c>
      <c r="B141" s="0" t="s">
        <v>226</v>
      </c>
      <c r="C141" s="0" t="s">
        <v>7191</v>
      </c>
    </row>
    <row r="142" customFormat="false" ht="15" hidden="false" customHeight="false" outlineLevel="0" collapsed="false">
      <c r="A142" s="0" t="s">
        <v>8</v>
      </c>
      <c r="B142" s="0" t="s">
        <v>226</v>
      </c>
      <c r="C142" s="0" t="s">
        <v>7192</v>
      </c>
    </row>
    <row r="143" customFormat="false" ht="15" hidden="false" customHeight="false" outlineLevel="0" collapsed="false">
      <c r="A143" s="0" t="s">
        <v>8</v>
      </c>
      <c r="B143" s="0" t="s">
        <v>229</v>
      </c>
      <c r="C143" s="0" t="s">
        <v>7190</v>
      </c>
      <c r="D143" s="0" t="n">
        <v>21.9544</v>
      </c>
    </row>
    <row r="144" customFormat="false" ht="15" hidden="false" customHeight="false" outlineLevel="0" collapsed="false">
      <c r="A144" s="0" t="s">
        <v>8</v>
      </c>
      <c r="B144" s="0" t="s">
        <v>229</v>
      </c>
      <c r="C144" s="0" t="s">
        <v>7191</v>
      </c>
    </row>
    <row r="145" customFormat="false" ht="15" hidden="false" customHeight="false" outlineLevel="0" collapsed="false">
      <c r="A145" s="0" t="s">
        <v>8</v>
      </c>
      <c r="B145" s="0" t="s">
        <v>229</v>
      </c>
      <c r="C145" s="0" t="s">
        <v>7192</v>
      </c>
    </row>
    <row r="146" customFormat="false" ht="15" hidden="false" customHeight="false" outlineLevel="0" collapsed="false">
      <c r="A146" s="0" t="s">
        <v>8</v>
      </c>
      <c r="B146" s="0" t="s">
        <v>232</v>
      </c>
      <c r="C146" s="0" t="s">
        <v>7190</v>
      </c>
      <c r="D146" s="0" t="n">
        <v>8.5922</v>
      </c>
    </row>
    <row r="147" customFormat="false" ht="15" hidden="false" customHeight="false" outlineLevel="0" collapsed="false">
      <c r="A147" s="0" t="s">
        <v>8</v>
      </c>
      <c r="B147" s="0" t="s">
        <v>232</v>
      </c>
      <c r="C147" s="0" t="s">
        <v>7191</v>
      </c>
    </row>
    <row r="148" customFormat="false" ht="15" hidden="false" customHeight="false" outlineLevel="0" collapsed="false">
      <c r="A148" s="0" t="s">
        <v>8</v>
      </c>
      <c r="B148" s="0" t="s">
        <v>232</v>
      </c>
      <c r="C148" s="0" t="s">
        <v>7192</v>
      </c>
    </row>
    <row r="149" customFormat="false" ht="15" hidden="false" customHeight="false" outlineLevel="0" collapsed="false">
      <c r="A149" s="0" t="s">
        <v>8</v>
      </c>
      <c r="B149" s="0" t="s">
        <v>235</v>
      </c>
      <c r="C149" s="0" t="s">
        <v>7190</v>
      </c>
      <c r="D149" s="0" t="n">
        <v>15.9466</v>
      </c>
    </row>
    <row r="150" customFormat="false" ht="15" hidden="false" customHeight="false" outlineLevel="0" collapsed="false">
      <c r="A150" s="0" t="s">
        <v>8</v>
      </c>
      <c r="B150" s="0" t="s">
        <v>235</v>
      </c>
      <c r="C150" s="0" t="s">
        <v>7191</v>
      </c>
    </row>
    <row r="151" customFormat="false" ht="15" hidden="false" customHeight="false" outlineLevel="0" collapsed="false">
      <c r="A151" s="0" t="s">
        <v>8</v>
      </c>
      <c r="B151" s="0" t="s">
        <v>235</v>
      </c>
      <c r="C151" s="0" t="s">
        <v>7192</v>
      </c>
    </row>
    <row r="152" customFormat="false" ht="15" hidden="false" customHeight="false" outlineLevel="0" collapsed="false">
      <c r="A152" s="0" t="s">
        <v>8</v>
      </c>
      <c r="B152" s="0" t="s">
        <v>238</v>
      </c>
      <c r="C152" s="0" t="s">
        <v>7190</v>
      </c>
      <c r="D152" s="0" t="n">
        <v>0.1514</v>
      </c>
    </row>
    <row r="153" customFormat="false" ht="15" hidden="false" customHeight="false" outlineLevel="0" collapsed="false">
      <c r="A153" s="0" t="s">
        <v>8</v>
      </c>
      <c r="B153" s="0" t="s">
        <v>238</v>
      </c>
      <c r="C153" s="0" t="s">
        <v>7191</v>
      </c>
    </row>
    <row r="154" customFormat="false" ht="15" hidden="false" customHeight="false" outlineLevel="0" collapsed="false">
      <c r="A154" s="0" t="s">
        <v>8</v>
      </c>
      <c r="B154" s="0" t="s">
        <v>238</v>
      </c>
      <c r="C154" s="0" t="s">
        <v>7192</v>
      </c>
    </row>
    <row r="155" customFormat="false" ht="15" hidden="false" customHeight="false" outlineLevel="0" collapsed="false">
      <c r="A155" s="0" t="s">
        <v>8</v>
      </c>
      <c r="B155" s="0" t="s">
        <v>242</v>
      </c>
      <c r="C155" s="0" t="s">
        <v>7190</v>
      </c>
      <c r="D155" s="0" t="n">
        <v>1.012</v>
      </c>
    </row>
    <row r="156" customFormat="false" ht="15" hidden="false" customHeight="false" outlineLevel="0" collapsed="false">
      <c r="A156" s="0" t="s">
        <v>8</v>
      </c>
      <c r="B156" s="0" t="s">
        <v>242</v>
      </c>
      <c r="C156" s="0" t="s">
        <v>7191</v>
      </c>
    </row>
    <row r="157" customFormat="false" ht="15" hidden="false" customHeight="false" outlineLevel="0" collapsed="false">
      <c r="A157" s="0" t="s">
        <v>8</v>
      </c>
      <c r="B157" s="0" t="s">
        <v>242</v>
      </c>
      <c r="C157" s="0" t="s">
        <v>7192</v>
      </c>
    </row>
    <row r="158" customFormat="false" ht="15" hidden="false" customHeight="false" outlineLevel="0" collapsed="false">
      <c r="A158" s="0" t="s">
        <v>8</v>
      </c>
      <c r="B158" s="0" t="s">
        <v>245</v>
      </c>
      <c r="C158" s="0" t="s">
        <v>7190</v>
      </c>
      <c r="D158" s="0" t="n">
        <v>3.8748</v>
      </c>
    </row>
    <row r="159" customFormat="false" ht="15" hidden="false" customHeight="false" outlineLevel="0" collapsed="false">
      <c r="A159" s="0" t="s">
        <v>8</v>
      </c>
      <c r="B159" s="0" t="s">
        <v>245</v>
      </c>
      <c r="C159" s="0" t="s">
        <v>7191</v>
      </c>
    </row>
    <row r="160" customFormat="false" ht="15" hidden="false" customHeight="false" outlineLevel="0" collapsed="false">
      <c r="A160" s="0" t="s">
        <v>8</v>
      </c>
      <c r="B160" s="0" t="s">
        <v>245</v>
      </c>
      <c r="C160" s="0" t="s">
        <v>7192</v>
      </c>
    </row>
    <row r="161" customFormat="false" ht="15" hidden="false" customHeight="false" outlineLevel="0" collapsed="false">
      <c r="A161" s="0" t="s">
        <v>8</v>
      </c>
      <c r="B161" s="0" t="s">
        <v>248</v>
      </c>
      <c r="C161" s="0" t="s">
        <v>7190</v>
      </c>
      <c r="D161" s="0" t="n">
        <v>1.4419</v>
      </c>
    </row>
    <row r="162" customFormat="false" ht="15" hidden="false" customHeight="false" outlineLevel="0" collapsed="false">
      <c r="A162" s="0" t="s">
        <v>8</v>
      </c>
      <c r="B162" s="0" t="s">
        <v>248</v>
      </c>
      <c r="C162" s="0" t="s">
        <v>7191</v>
      </c>
    </row>
    <row r="163" customFormat="false" ht="15" hidden="false" customHeight="false" outlineLevel="0" collapsed="false">
      <c r="A163" s="0" t="s">
        <v>8</v>
      </c>
      <c r="B163" s="0" t="s">
        <v>248</v>
      </c>
      <c r="C163" s="0" t="s">
        <v>7192</v>
      </c>
    </row>
    <row r="164" customFormat="false" ht="15" hidden="false" customHeight="false" outlineLevel="0" collapsed="false">
      <c r="A164" s="0" t="s">
        <v>8</v>
      </c>
      <c r="B164" s="0" t="s">
        <v>251</v>
      </c>
      <c r="C164" s="0" t="s">
        <v>7190</v>
      </c>
      <c r="D164" s="0" t="n">
        <v>2.0857</v>
      </c>
    </row>
    <row r="165" customFormat="false" ht="15" hidden="false" customHeight="false" outlineLevel="0" collapsed="false">
      <c r="A165" s="0" t="s">
        <v>8</v>
      </c>
      <c r="B165" s="0" t="s">
        <v>251</v>
      </c>
      <c r="C165" s="0" t="s">
        <v>7191</v>
      </c>
    </row>
    <row r="166" customFormat="false" ht="15" hidden="false" customHeight="false" outlineLevel="0" collapsed="false">
      <c r="A166" s="0" t="s">
        <v>8</v>
      </c>
      <c r="B166" s="0" t="s">
        <v>251</v>
      </c>
      <c r="C166" s="0" t="s">
        <v>7192</v>
      </c>
    </row>
    <row r="167" customFormat="false" ht="15" hidden="false" customHeight="false" outlineLevel="0" collapsed="false">
      <c r="A167" s="0" t="s">
        <v>8</v>
      </c>
      <c r="B167" s="0" t="s">
        <v>254</v>
      </c>
      <c r="C167" s="0" t="s">
        <v>7190</v>
      </c>
      <c r="D167" s="0" t="n">
        <v>0.3232</v>
      </c>
    </row>
    <row r="168" customFormat="false" ht="15" hidden="false" customHeight="false" outlineLevel="0" collapsed="false">
      <c r="A168" s="0" t="s">
        <v>8</v>
      </c>
      <c r="B168" s="0" t="s">
        <v>254</v>
      </c>
      <c r="C168" s="0" t="s">
        <v>7191</v>
      </c>
    </row>
    <row r="169" customFormat="false" ht="15" hidden="false" customHeight="false" outlineLevel="0" collapsed="false">
      <c r="A169" s="0" t="s">
        <v>8</v>
      </c>
      <c r="B169" s="0" t="s">
        <v>254</v>
      </c>
      <c r="C169" s="0" t="s">
        <v>7192</v>
      </c>
    </row>
    <row r="170" customFormat="false" ht="15" hidden="false" customHeight="false" outlineLevel="0" collapsed="false">
      <c r="A170" s="0" t="s">
        <v>8</v>
      </c>
      <c r="B170" s="0" t="s">
        <v>258</v>
      </c>
      <c r="C170" s="0" t="s">
        <v>7190</v>
      </c>
      <c r="D170" s="0" t="n">
        <v>0.663</v>
      </c>
    </row>
    <row r="171" customFormat="false" ht="15" hidden="false" customHeight="false" outlineLevel="0" collapsed="false">
      <c r="A171" s="0" t="s">
        <v>8</v>
      </c>
      <c r="B171" s="0" t="s">
        <v>258</v>
      </c>
      <c r="C171" s="0" t="s">
        <v>7191</v>
      </c>
    </row>
    <row r="172" customFormat="false" ht="15" hidden="false" customHeight="false" outlineLevel="0" collapsed="false">
      <c r="A172" s="0" t="s">
        <v>8</v>
      </c>
      <c r="B172" s="0" t="s">
        <v>258</v>
      </c>
      <c r="C172" s="0" t="s">
        <v>7192</v>
      </c>
    </row>
    <row r="173" customFormat="false" ht="15" hidden="false" customHeight="false" outlineLevel="0" collapsed="false">
      <c r="A173" s="0" t="s">
        <v>8</v>
      </c>
      <c r="B173" s="0" t="s">
        <v>261</v>
      </c>
      <c r="C173" s="0" t="s">
        <v>7190</v>
      </c>
      <c r="D173" s="0" t="n">
        <v>1.336</v>
      </c>
    </row>
    <row r="174" customFormat="false" ht="15" hidden="false" customHeight="false" outlineLevel="0" collapsed="false">
      <c r="A174" s="0" t="s">
        <v>8</v>
      </c>
      <c r="B174" s="0" t="s">
        <v>261</v>
      </c>
      <c r="C174" s="0" t="s">
        <v>7191</v>
      </c>
    </row>
    <row r="175" customFormat="false" ht="15" hidden="false" customHeight="false" outlineLevel="0" collapsed="false">
      <c r="A175" s="0" t="s">
        <v>8</v>
      </c>
      <c r="B175" s="0" t="s">
        <v>261</v>
      </c>
      <c r="C175" s="0" t="s">
        <v>7192</v>
      </c>
    </row>
    <row r="176" customFormat="false" ht="15" hidden="false" customHeight="false" outlineLevel="0" collapsed="false">
      <c r="A176" s="0" t="s">
        <v>8</v>
      </c>
      <c r="B176" s="0" t="s">
        <v>264</v>
      </c>
      <c r="C176" s="0" t="s">
        <v>7190</v>
      </c>
      <c r="D176" s="0" t="n">
        <v>0.5145</v>
      </c>
    </row>
    <row r="177" customFormat="false" ht="15" hidden="false" customHeight="false" outlineLevel="0" collapsed="false">
      <c r="A177" s="0" t="s">
        <v>8</v>
      </c>
      <c r="B177" s="0" t="s">
        <v>264</v>
      </c>
      <c r="C177" s="0" t="s">
        <v>7191</v>
      </c>
    </row>
    <row r="178" customFormat="false" ht="15" hidden="false" customHeight="false" outlineLevel="0" collapsed="false">
      <c r="A178" s="0" t="s">
        <v>8</v>
      </c>
      <c r="B178" s="0" t="s">
        <v>264</v>
      </c>
      <c r="C178" s="0" t="s">
        <v>7192</v>
      </c>
    </row>
    <row r="179" customFormat="false" ht="15" hidden="false" customHeight="false" outlineLevel="0" collapsed="false">
      <c r="A179" s="0" t="s">
        <v>8</v>
      </c>
      <c r="B179" s="0" t="s">
        <v>267</v>
      </c>
      <c r="C179" s="0" t="s">
        <v>7190</v>
      </c>
      <c r="D179" s="0" t="n">
        <v>1.8517</v>
      </c>
    </row>
    <row r="180" customFormat="false" ht="15" hidden="false" customHeight="false" outlineLevel="0" collapsed="false">
      <c r="A180" s="0" t="s">
        <v>8</v>
      </c>
      <c r="B180" s="0" t="s">
        <v>267</v>
      </c>
      <c r="C180" s="0" t="s">
        <v>7191</v>
      </c>
    </row>
    <row r="181" customFormat="false" ht="15" hidden="false" customHeight="false" outlineLevel="0" collapsed="false">
      <c r="A181" s="0" t="s">
        <v>8</v>
      </c>
      <c r="B181" s="0" t="s">
        <v>267</v>
      </c>
      <c r="C181" s="0" t="s">
        <v>7192</v>
      </c>
    </row>
    <row r="182" customFormat="false" ht="15" hidden="false" customHeight="false" outlineLevel="0" collapsed="false">
      <c r="A182" s="0" t="s">
        <v>8</v>
      </c>
      <c r="B182" s="0" t="s">
        <v>270</v>
      </c>
      <c r="C182" s="0" t="s">
        <v>7190</v>
      </c>
      <c r="D182" s="0" t="n">
        <v>0.0178</v>
      </c>
    </row>
    <row r="183" customFormat="false" ht="15" hidden="false" customHeight="false" outlineLevel="0" collapsed="false">
      <c r="A183" s="0" t="s">
        <v>8</v>
      </c>
      <c r="B183" s="0" t="s">
        <v>270</v>
      </c>
      <c r="C183" s="0" t="s">
        <v>7191</v>
      </c>
    </row>
    <row r="184" customFormat="false" ht="15" hidden="false" customHeight="false" outlineLevel="0" collapsed="false">
      <c r="A184" s="0" t="s">
        <v>8</v>
      </c>
      <c r="B184" s="0" t="s">
        <v>270</v>
      </c>
      <c r="C184" s="0" t="s">
        <v>7192</v>
      </c>
    </row>
    <row r="185" customFormat="false" ht="15" hidden="false" customHeight="false" outlineLevel="0" collapsed="false">
      <c r="A185" s="0" t="s">
        <v>8</v>
      </c>
      <c r="B185" s="0" t="s">
        <v>274</v>
      </c>
      <c r="C185" s="0" t="s">
        <v>7190</v>
      </c>
      <c r="D185" s="0" t="n">
        <v>0.0997</v>
      </c>
    </row>
    <row r="186" customFormat="false" ht="15" hidden="false" customHeight="false" outlineLevel="0" collapsed="false">
      <c r="A186" s="0" t="s">
        <v>8</v>
      </c>
      <c r="B186" s="0" t="s">
        <v>274</v>
      </c>
      <c r="C186" s="0" t="s">
        <v>7191</v>
      </c>
    </row>
    <row r="187" customFormat="false" ht="15" hidden="false" customHeight="false" outlineLevel="0" collapsed="false">
      <c r="A187" s="0" t="s">
        <v>8</v>
      </c>
      <c r="B187" s="0" t="s">
        <v>274</v>
      </c>
      <c r="C187" s="0" t="s">
        <v>7192</v>
      </c>
    </row>
    <row r="188" customFormat="false" ht="15" hidden="false" customHeight="false" outlineLevel="0" collapsed="false">
      <c r="A188" s="0" t="s">
        <v>8</v>
      </c>
      <c r="B188" s="0" t="s">
        <v>277</v>
      </c>
      <c r="C188" s="0" t="s">
        <v>7190</v>
      </c>
      <c r="D188" s="0" t="n">
        <v>0.1928</v>
      </c>
    </row>
    <row r="189" customFormat="false" ht="15" hidden="false" customHeight="false" outlineLevel="0" collapsed="false">
      <c r="A189" s="0" t="s">
        <v>8</v>
      </c>
      <c r="B189" s="0" t="s">
        <v>277</v>
      </c>
      <c r="C189" s="0" t="s">
        <v>7191</v>
      </c>
    </row>
    <row r="190" customFormat="false" ht="15" hidden="false" customHeight="false" outlineLevel="0" collapsed="false">
      <c r="A190" s="0" t="s">
        <v>8</v>
      </c>
      <c r="B190" s="0" t="s">
        <v>277</v>
      </c>
      <c r="C190" s="0" t="s">
        <v>7192</v>
      </c>
    </row>
    <row r="191" customFormat="false" ht="15" hidden="false" customHeight="false" outlineLevel="0" collapsed="false">
      <c r="A191" s="0" t="s">
        <v>8</v>
      </c>
      <c r="B191" s="0" t="s">
        <v>280</v>
      </c>
      <c r="C191" s="0" t="s">
        <v>7190</v>
      </c>
      <c r="D191" s="0" t="n">
        <v>0.0417</v>
      </c>
    </row>
    <row r="192" customFormat="false" ht="15" hidden="false" customHeight="false" outlineLevel="0" collapsed="false">
      <c r="A192" s="0" t="s">
        <v>8</v>
      </c>
      <c r="B192" s="0" t="s">
        <v>280</v>
      </c>
      <c r="C192" s="0" t="s">
        <v>7191</v>
      </c>
    </row>
    <row r="193" customFormat="false" ht="15" hidden="false" customHeight="false" outlineLevel="0" collapsed="false">
      <c r="A193" s="0" t="s">
        <v>8</v>
      </c>
      <c r="B193" s="0" t="s">
        <v>280</v>
      </c>
      <c r="C193" s="0" t="s">
        <v>7192</v>
      </c>
    </row>
    <row r="194" customFormat="false" ht="15" hidden="false" customHeight="false" outlineLevel="0" collapsed="false">
      <c r="A194" s="0" t="s">
        <v>8</v>
      </c>
      <c r="B194" s="0" t="s">
        <v>283</v>
      </c>
      <c r="C194" s="0" t="s">
        <v>7190</v>
      </c>
      <c r="D194" s="0" t="n">
        <v>0.0461</v>
      </c>
    </row>
    <row r="195" customFormat="false" ht="15" hidden="false" customHeight="false" outlineLevel="0" collapsed="false">
      <c r="A195" s="0" t="s">
        <v>8</v>
      </c>
      <c r="B195" s="0" t="s">
        <v>283</v>
      </c>
      <c r="C195" s="0" t="s">
        <v>7191</v>
      </c>
    </row>
    <row r="196" customFormat="false" ht="15" hidden="false" customHeight="false" outlineLevel="0" collapsed="false">
      <c r="A196" s="0" t="s">
        <v>8</v>
      </c>
      <c r="B196" s="0" t="s">
        <v>283</v>
      </c>
      <c r="C196" s="0" t="s">
        <v>7192</v>
      </c>
    </row>
    <row r="197" customFormat="false" ht="15" hidden="false" customHeight="false" outlineLevel="0" collapsed="false">
      <c r="A197" s="0" t="s">
        <v>8</v>
      </c>
      <c r="B197" s="0" t="s">
        <v>286</v>
      </c>
      <c r="C197" s="0" t="s">
        <v>7190</v>
      </c>
      <c r="D197" s="0" t="n">
        <v>0.0569</v>
      </c>
    </row>
    <row r="198" customFormat="false" ht="15" hidden="false" customHeight="false" outlineLevel="0" collapsed="false">
      <c r="A198" s="0" t="s">
        <v>8</v>
      </c>
      <c r="B198" s="0" t="s">
        <v>286</v>
      </c>
      <c r="C198" s="0" t="s">
        <v>7191</v>
      </c>
    </row>
    <row r="199" customFormat="false" ht="15" hidden="false" customHeight="false" outlineLevel="0" collapsed="false">
      <c r="A199" s="0" t="s">
        <v>8</v>
      </c>
      <c r="B199" s="0" t="s">
        <v>286</v>
      </c>
      <c r="C199" s="0" t="s">
        <v>7192</v>
      </c>
    </row>
    <row r="200" customFormat="false" ht="15" hidden="false" customHeight="false" outlineLevel="0" collapsed="false">
      <c r="A200" s="0" t="s">
        <v>8</v>
      </c>
      <c r="B200" s="0" t="s">
        <v>290</v>
      </c>
      <c r="C200" s="0" t="s">
        <v>7190</v>
      </c>
      <c r="D200" s="0" t="n">
        <v>0.2633</v>
      </c>
    </row>
    <row r="201" customFormat="false" ht="15" hidden="false" customHeight="false" outlineLevel="0" collapsed="false">
      <c r="A201" s="0" t="s">
        <v>8</v>
      </c>
      <c r="B201" s="0" t="s">
        <v>290</v>
      </c>
      <c r="C201" s="0" t="s">
        <v>7191</v>
      </c>
    </row>
    <row r="202" customFormat="false" ht="15" hidden="false" customHeight="false" outlineLevel="0" collapsed="false">
      <c r="A202" s="0" t="s">
        <v>8</v>
      </c>
      <c r="B202" s="0" t="s">
        <v>290</v>
      </c>
      <c r="C202" s="0" t="s">
        <v>7192</v>
      </c>
    </row>
    <row r="203" customFormat="false" ht="15" hidden="false" customHeight="false" outlineLevel="0" collapsed="false">
      <c r="A203" s="0" t="s">
        <v>8</v>
      </c>
      <c r="B203" s="0" t="s">
        <v>293</v>
      </c>
      <c r="C203" s="0" t="s">
        <v>7190</v>
      </c>
      <c r="D203" s="0" t="n">
        <v>0.3832</v>
      </c>
    </row>
    <row r="204" customFormat="false" ht="15" hidden="false" customHeight="false" outlineLevel="0" collapsed="false">
      <c r="A204" s="0" t="s">
        <v>8</v>
      </c>
      <c r="B204" s="0" t="s">
        <v>293</v>
      </c>
      <c r="C204" s="0" t="s">
        <v>7191</v>
      </c>
    </row>
    <row r="205" customFormat="false" ht="15" hidden="false" customHeight="false" outlineLevel="0" collapsed="false">
      <c r="A205" s="0" t="s">
        <v>8</v>
      </c>
      <c r="B205" s="0" t="s">
        <v>293</v>
      </c>
      <c r="C205" s="0" t="s">
        <v>7192</v>
      </c>
    </row>
    <row r="206" customFormat="false" ht="15" hidden="false" customHeight="false" outlineLevel="0" collapsed="false">
      <c r="A206" s="0" t="s">
        <v>8</v>
      </c>
      <c r="B206" s="0" t="s">
        <v>296</v>
      </c>
      <c r="C206" s="0" t="s">
        <v>7190</v>
      </c>
      <c r="D206" s="0" t="n">
        <v>0.1221</v>
      </c>
    </row>
    <row r="207" customFormat="false" ht="15" hidden="false" customHeight="false" outlineLevel="0" collapsed="false">
      <c r="A207" s="0" t="s">
        <v>8</v>
      </c>
      <c r="B207" s="0" t="s">
        <v>296</v>
      </c>
      <c r="C207" s="0" t="s">
        <v>7191</v>
      </c>
    </row>
    <row r="208" customFormat="false" ht="15" hidden="false" customHeight="false" outlineLevel="0" collapsed="false">
      <c r="A208" s="0" t="s">
        <v>8</v>
      </c>
      <c r="B208" s="0" t="s">
        <v>296</v>
      </c>
      <c r="C208" s="0" t="s">
        <v>7192</v>
      </c>
    </row>
    <row r="209" customFormat="false" ht="15" hidden="false" customHeight="false" outlineLevel="0" collapsed="false">
      <c r="A209" s="0" t="s">
        <v>8</v>
      </c>
      <c r="B209" s="0" t="s">
        <v>299</v>
      </c>
      <c r="C209" s="0" t="s">
        <v>7190</v>
      </c>
      <c r="D209" s="0" t="n">
        <v>0.5327</v>
      </c>
    </row>
    <row r="210" customFormat="false" ht="15" hidden="false" customHeight="false" outlineLevel="0" collapsed="false">
      <c r="A210" s="0" t="s">
        <v>8</v>
      </c>
      <c r="B210" s="0" t="s">
        <v>299</v>
      </c>
      <c r="C210" s="0" t="s">
        <v>7191</v>
      </c>
    </row>
    <row r="211" customFormat="false" ht="15" hidden="false" customHeight="false" outlineLevel="0" collapsed="false">
      <c r="A211" s="0" t="s">
        <v>8</v>
      </c>
      <c r="B211" s="0" t="s">
        <v>299</v>
      </c>
      <c r="C211" s="0" t="s">
        <v>7192</v>
      </c>
    </row>
    <row r="212" customFormat="false" ht="15" hidden="false" customHeight="false" outlineLevel="0" collapsed="false">
      <c r="A212" s="0" t="s">
        <v>8</v>
      </c>
      <c r="B212" s="0" t="s">
        <v>302</v>
      </c>
      <c r="C212" s="0" t="s">
        <v>7190</v>
      </c>
      <c r="D212" s="0" t="n">
        <v>0.0102</v>
      </c>
    </row>
    <row r="213" customFormat="false" ht="15" hidden="false" customHeight="false" outlineLevel="0" collapsed="false">
      <c r="A213" s="0" t="s">
        <v>8</v>
      </c>
      <c r="B213" s="0" t="s">
        <v>302</v>
      </c>
      <c r="C213" s="0" t="s">
        <v>7191</v>
      </c>
    </row>
    <row r="214" customFormat="false" ht="15" hidden="false" customHeight="false" outlineLevel="0" collapsed="false">
      <c r="A214" s="0" t="s">
        <v>8</v>
      </c>
      <c r="B214" s="0" t="s">
        <v>302</v>
      </c>
      <c r="C214" s="0" t="s">
        <v>7192</v>
      </c>
    </row>
    <row r="215" customFormat="false" ht="15" hidden="false" customHeight="false" outlineLevel="0" collapsed="false">
      <c r="A215" s="0" t="s">
        <v>8</v>
      </c>
      <c r="B215" s="0" t="s">
        <v>306</v>
      </c>
      <c r="C215" s="0" t="s">
        <v>7190</v>
      </c>
      <c r="D215" s="0" t="n">
        <v>0.055</v>
      </c>
    </row>
    <row r="216" customFormat="false" ht="15" hidden="false" customHeight="false" outlineLevel="0" collapsed="false">
      <c r="A216" s="0" t="s">
        <v>8</v>
      </c>
      <c r="B216" s="0" t="s">
        <v>306</v>
      </c>
      <c r="C216" s="0" t="s">
        <v>7191</v>
      </c>
    </row>
    <row r="217" customFormat="false" ht="15" hidden="false" customHeight="false" outlineLevel="0" collapsed="false">
      <c r="A217" s="0" t="s">
        <v>8</v>
      </c>
      <c r="B217" s="0" t="s">
        <v>306</v>
      </c>
      <c r="C217" s="0" t="s">
        <v>7192</v>
      </c>
    </row>
    <row r="218" customFormat="false" ht="15" hidden="false" customHeight="false" outlineLevel="0" collapsed="false">
      <c r="A218" s="0" t="s">
        <v>8</v>
      </c>
      <c r="B218" s="0" t="s">
        <v>309</v>
      </c>
      <c r="C218" s="0" t="s">
        <v>7190</v>
      </c>
      <c r="D218" s="0" t="n">
        <v>0.2358</v>
      </c>
    </row>
    <row r="219" customFormat="false" ht="15" hidden="false" customHeight="false" outlineLevel="0" collapsed="false">
      <c r="A219" s="0" t="s">
        <v>8</v>
      </c>
      <c r="B219" s="0" t="s">
        <v>309</v>
      </c>
      <c r="C219" s="0" t="s">
        <v>7191</v>
      </c>
    </row>
    <row r="220" customFormat="false" ht="15" hidden="false" customHeight="false" outlineLevel="0" collapsed="false">
      <c r="A220" s="0" t="s">
        <v>8</v>
      </c>
      <c r="B220" s="0" t="s">
        <v>309</v>
      </c>
      <c r="C220" s="0" t="s">
        <v>7192</v>
      </c>
    </row>
    <row r="221" customFormat="false" ht="15" hidden="false" customHeight="false" outlineLevel="0" collapsed="false">
      <c r="A221" s="0" t="s">
        <v>8</v>
      </c>
      <c r="B221" s="0" t="s">
        <v>312</v>
      </c>
      <c r="C221" s="0" t="s">
        <v>7190</v>
      </c>
      <c r="D221" s="0" t="n">
        <v>0.0422</v>
      </c>
    </row>
    <row r="222" customFormat="false" ht="15" hidden="false" customHeight="false" outlineLevel="0" collapsed="false">
      <c r="A222" s="0" t="s">
        <v>8</v>
      </c>
      <c r="B222" s="0" t="s">
        <v>312</v>
      </c>
      <c r="C222" s="0" t="s">
        <v>7191</v>
      </c>
    </row>
    <row r="223" customFormat="false" ht="15" hidden="false" customHeight="false" outlineLevel="0" collapsed="false">
      <c r="A223" s="0" t="s">
        <v>8</v>
      </c>
      <c r="B223" s="0" t="s">
        <v>312</v>
      </c>
      <c r="C223" s="0" t="s">
        <v>7192</v>
      </c>
    </row>
    <row r="224" customFormat="false" ht="15" hidden="false" customHeight="false" outlineLevel="0" collapsed="false">
      <c r="A224" s="0" t="s">
        <v>8</v>
      </c>
      <c r="B224" s="0" t="s">
        <v>315</v>
      </c>
      <c r="C224" s="0" t="s">
        <v>7190</v>
      </c>
      <c r="D224" s="0" t="n">
        <v>1.5885</v>
      </c>
    </row>
    <row r="225" customFormat="false" ht="15" hidden="false" customHeight="false" outlineLevel="0" collapsed="false">
      <c r="A225" s="0" t="s">
        <v>8</v>
      </c>
      <c r="B225" s="0" t="s">
        <v>315</v>
      </c>
      <c r="C225" s="0" t="s">
        <v>7191</v>
      </c>
    </row>
    <row r="226" customFormat="false" ht="15" hidden="false" customHeight="false" outlineLevel="0" collapsed="false">
      <c r="A226" s="0" t="s">
        <v>8</v>
      </c>
      <c r="B226" s="0" t="s">
        <v>315</v>
      </c>
      <c r="C226" s="0" t="s">
        <v>7192</v>
      </c>
    </row>
    <row r="227" customFormat="false" ht="15" hidden="false" customHeight="false" outlineLevel="0" collapsed="false">
      <c r="A227" s="0" t="s">
        <v>8</v>
      </c>
      <c r="B227" s="0" t="s">
        <v>318</v>
      </c>
      <c r="C227" s="0" t="s">
        <v>7190</v>
      </c>
      <c r="D227" s="0" t="n">
        <v>1.4365</v>
      </c>
    </row>
    <row r="228" customFormat="false" ht="15" hidden="false" customHeight="false" outlineLevel="0" collapsed="false">
      <c r="A228" s="0" t="s">
        <v>8</v>
      </c>
      <c r="B228" s="0" t="s">
        <v>318</v>
      </c>
      <c r="C228" s="0" t="s">
        <v>7191</v>
      </c>
    </row>
    <row r="229" customFormat="false" ht="15" hidden="false" customHeight="false" outlineLevel="0" collapsed="false">
      <c r="A229" s="0" t="s">
        <v>8</v>
      </c>
      <c r="B229" s="0" t="s">
        <v>318</v>
      </c>
      <c r="C229" s="0" t="s">
        <v>7192</v>
      </c>
    </row>
    <row r="230" customFormat="false" ht="15" hidden="false" customHeight="false" outlineLevel="0" collapsed="false">
      <c r="A230" s="0" t="s">
        <v>8</v>
      </c>
      <c r="B230" s="0" t="s">
        <v>322</v>
      </c>
      <c r="C230" s="0" t="s">
        <v>7190</v>
      </c>
      <c r="D230" s="0" t="n">
        <v>7.8796</v>
      </c>
    </row>
    <row r="231" customFormat="false" ht="15" hidden="false" customHeight="false" outlineLevel="0" collapsed="false">
      <c r="A231" s="0" t="s">
        <v>8</v>
      </c>
      <c r="B231" s="0" t="s">
        <v>322</v>
      </c>
      <c r="C231" s="0" t="s">
        <v>7191</v>
      </c>
    </row>
    <row r="232" customFormat="false" ht="15" hidden="false" customHeight="false" outlineLevel="0" collapsed="false">
      <c r="A232" s="0" t="s">
        <v>8</v>
      </c>
      <c r="B232" s="0" t="s">
        <v>322</v>
      </c>
      <c r="C232" s="0" t="s">
        <v>7192</v>
      </c>
    </row>
    <row r="233" customFormat="false" ht="15" hidden="false" customHeight="false" outlineLevel="0" collapsed="false">
      <c r="A233" s="0" t="s">
        <v>8</v>
      </c>
      <c r="B233" s="0" t="s">
        <v>325</v>
      </c>
      <c r="C233" s="0" t="s">
        <v>7190</v>
      </c>
      <c r="D233" s="0" t="n">
        <v>29.5801</v>
      </c>
    </row>
    <row r="234" customFormat="false" ht="15" hidden="false" customHeight="false" outlineLevel="0" collapsed="false">
      <c r="A234" s="0" t="s">
        <v>8</v>
      </c>
      <c r="B234" s="0" t="s">
        <v>325</v>
      </c>
      <c r="C234" s="0" t="s">
        <v>7191</v>
      </c>
    </row>
    <row r="235" customFormat="false" ht="15" hidden="false" customHeight="false" outlineLevel="0" collapsed="false">
      <c r="A235" s="0" t="s">
        <v>8</v>
      </c>
      <c r="B235" s="0" t="s">
        <v>325</v>
      </c>
      <c r="C235" s="0" t="s">
        <v>7192</v>
      </c>
    </row>
    <row r="236" customFormat="false" ht="15" hidden="false" customHeight="false" outlineLevel="0" collapsed="false">
      <c r="A236" s="0" t="s">
        <v>8</v>
      </c>
      <c r="B236" s="0" t="s">
        <v>328</v>
      </c>
      <c r="C236" s="0" t="s">
        <v>7190</v>
      </c>
      <c r="D236" s="0" t="n">
        <v>12.3555</v>
      </c>
    </row>
    <row r="237" customFormat="false" ht="15" hidden="false" customHeight="false" outlineLevel="0" collapsed="false">
      <c r="A237" s="0" t="s">
        <v>8</v>
      </c>
      <c r="B237" s="0" t="s">
        <v>328</v>
      </c>
      <c r="C237" s="0" t="s">
        <v>7191</v>
      </c>
    </row>
    <row r="238" customFormat="false" ht="15" hidden="false" customHeight="false" outlineLevel="0" collapsed="false">
      <c r="A238" s="0" t="s">
        <v>8</v>
      </c>
      <c r="B238" s="0" t="s">
        <v>328</v>
      </c>
      <c r="C238" s="0" t="s">
        <v>7192</v>
      </c>
    </row>
    <row r="239" customFormat="false" ht="15" hidden="false" customHeight="false" outlineLevel="0" collapsed="false">
      <c r="A239" s="0" t="s">
        <v>8</v>
      </c>
      <c r="B239" s="0" t="s">
        <v>331</v>
      </c>
      <c r="C239" s="0" t="s">
        <v>7190</v>
      </c>
      <c r="D239" s="0" t="n">
        <v>23.5785</v>
      </c>
    </row>
    <row r="240" customFormat="false" ht="15" hidden="false" customHeight="false" outlineLevel="0" collapsed="false">
      <c r="A240" s="0" t="s">
        <v>8</v>
      </c>
      <c r="B240" s="0" t="s">
        <v>331</v>
      </c>
      <c r="C240" s="0" t="s">
        <v>7191</v>
      </c>
    </row>
    <row r="241" customFormat="false" ht="15" hidden="false" customHeight="false" outlineLevel="0" collapsed="false">
      <c r="A241" s="0" t="s">
        <v>8</v>
      </c>
      <c r="B241" s="0" t="s">
        <v>331</v>
      </c>
      <c r="C241" s="0" t="s">
        <v>7192</v>
      </c>
    </row>
    <row r="242" customFormat="false" ht="15" hidden="false" customHeight="false" outlineLevel="0" collapsed="false">
      <c r="A242" s="0" t="s">
        <v>8</v>
      </c>
      <c r="B242" s="0" t="s">
        <v>334</v>
      </c>
      <c r="C242" s="0" t="s">
        <v>7190</v>
      </c>
      <c r="D242" s="0" t="n">
        <v>0.9742</v>
      </c>
    </row>
    <row r="243" customFormat="false" ht="15" hidden="false" customHeight="false" outlineLevel="0" collapsed="false">
      <c r="A243" s="0" t="s">
        <v>8</v>
      </c>
      <c r="B243" s="0" t="s">
        <v>334</v>
      </c>
      <c r="C243" s="0" t="s">
        <v>7191</v>
      </c>
    </row>
    <row r="244" customFormat="false" ht="15" hidden="false" customHeight="false" outlineLevel="0" collapsed="false">
      <c r="A244" s="0" t="s">
        <v>8</v>
      </c>
      <c r="B244" s="0" t="s">
        <v>334</v>
      </c>
      <c r="C244" s="0" t="s">
        <v>7192</v>
      </c>
    </row>
    <row r="245" customFormat="false" ht="15" hidden="false" customHeight="false" outlineLevel="0" collapsed="false">
      <c r="A245" s="0" t="s">
        <v>8</v>
      </c>
      <c r="B245" s="0" t="s">
        <v>338</v>
      </c>
      <c r="C245" s="0" t="s">
        <v>7190</v>
      </c>
      <c r="D245" s="0" t="n">
        <v>6.2098</v>
      </c>
    </row>
    <row r="246" customFormat="false" ht="15" hidden="false" customHeight="false" outlineLevel="0" collapsed="false">
      <c r="A246" s="0" t="s">
        <v>8</v>
      </c>
      <c r="B246" s="0" t="s">
        <v>338</v>
      </c>
      <c r="C246" s="0" t="s">
        <v>7191</v>
      </c>
    </row>
    <row r="247" customFormat="false" ht="15" hidden="false" customHeight="false" outlineLevel="0" collapsed="false">
      <c r="A247" s="0" t="s">
        <v>8</v>
      </c>
      <c r="B247" s="0" t="s">
        <v>338</v>
      </c>
      <c r="C247" s="0" t="s">
        <v>7192</v>
      </c>
    </row>
    <row r="248" customFormat="false" ht="15" hidden="false" customHeight="false" outlineLevel="0" collapsed="false">
      <c r="A248" s="0" t="s">
        <v>8</v>
      </c>
      <c r="B248" s="0" t="s">
        <v>341</v>
      </c>
      <c r="C248" s="0" t="s">
        <v>7190</v>
      </c>
      <c r="D248" s="0" t="n">
        <v>24.6557</v>
      </c>
    </row>
    <row r="249" customFormat="false" ht="15" hidden="false" customHeight="false" outlineLevel="0" collapsed="false">
      <c r="A249" s="0" t="s">
        <v>8</v>
      </c>
      <c r="B249" s="0" t="s">
        <v>341</v>
      </c>
      <c r="C249" s="0" t="s">
        <v>7191</v>
      </c>
    </row>
    <row r="250" customFormat="false" ht="15" hidden="false" customHeight="false" outlineLevel="0" collapsed="false">
      <c r="A250" s="0" t="s">
        <v>8</v>
      </c>
      <c r="B250" s="0" t="s">
        <v>341</v>
      </c>
      <c r="C250" s="0" t="s">
        <v>7192</v>
      </c>
    </row>
    <row r="251" customFormat="false" ht="15" hidden="false" customHeight="false" outlineLevel="0" collapsed="false">
      <c r="A251" s="0" t="s">
        <v>8</v>
      </c>
      <c r="B251" s="0" t="s">
        <v>344</v>
      </c>
      <c r="C251" s="0" t="s">
        <v>7190</v>
      </c>
      <c r="D251" s="0" t="n">
        <v>10.3016</v>
      </c>
    </row>
    <row r="252" customFormat="false" ht="15" hidden="false" customHeight="false" outlineLevel="0" collapsed="false">
      <c r="A252" s="0" t="s">
        <v>8</v>
      </c>
      <c r="B252" s="0" t="s">
        <v>344</v>
      </c>
      <c r="C252" s="0" t="s">
        <v>7191</v>
      </c>
    </row>
    <row r="253" customFormat="false" ht="15" hidden="false" customHeight="false" outlineLevel="0" collapsed="false">
      <c r="A253" s="0" t="s">
        <v>8</v>
      </c>
      <c r="B253" s="0" t="s">
        <v>344</v>
      </c>
      <c r="C253" s="0" t="s">
        <v>7192</v>
      </c>
    </row>
    <row r="254" customFormat="false" ht="15" hidden="false" customHeight="false" outlineLevel="0" collapsed="false">
      <c r="A254" s="0" t="s">
        <v>8</v>
      </c>
      <c r="B254" s="0" t="s">
        <v>347</v>
      </c>
      <c r="C254" s="0" t="s">
        <v>7190</v>
      </c>
      <c r="D254" s="0" t="n">
        <v>17.5197</v>
      </c>
    </row>
    <row r="255" customFormat="false" ht="15" hidden="false" customHeight="false" outlineLevel="0" collapsed="false">
      <c r="A255" s="0" t="s">
        <v>8</v>
      </c>
      <c r="B255" s="0" t="s">
        <v>347</v>
      </c>
      <c r="C255" s="0" t="s">
        <v>7191</v>
      </c>
    </row>
    <row r="256" customFormat="false" ht="15" hidden="false" customHeight="false" outlineLevel="0" collapsed="false">
      <c r="A256" s="0" t="s">
        <v>8</v>
      </c>
      <c r="B256" s="0" t="s">
        <v>347</v>
      </c>
      <c r="C256" s="0" t="s">
        <v>7192</v>
      </c>
    </row>
    <row r="257" customFormat="false" ht="15" hidden="false" customHeight="false" outlineLevel="0" collapsed="false">
      <c r="A257" s="0" t="s">
        <v>8</v>
      </c>
      <c r="B257" s="0" t="s">
        <v>350</v>
      </c>
      <c r="C257" s="0" t="s">
        <v>7190</v>
      </c>
      <c r="D257" s="0" t="n">
        <v>-0.6825</v>
      </c>
    </row>
    <row r="258" customFormat="false" ht="15" hidden="false" customHeight="false" outlineLevel="0" collapsed="false">
      <c r="A258" s="0" t="s">
        <v>8</v>
      </c>
      <c r="B258" s="0" t="s">
        <v>350</v>
      </c>
      <c r="C258" s="0" t="s">
        <v>7191</v>
      </c>
    </row>
    <row r="259" customFormat="false" ht="15" hidden="false" customHeight="false" outlineLevel="0" collapsed="false">
      <c r="A259" s="0" t="s">
        <v>8</v>
      </c>
      <c r="B259" s="0" t="s">
        <v>350</v>
      </c>
      <c r="C259" s="0" t="s">
        <v>7192</v>
      </c>
    </row>
    <row r="260" customFormat="false" ht="15" hidden="false" customHeight="false" outlineLevel="0" collapsed="false">
      <c r="A260" s="0" t="s">
        <v>8</v>
      </c>
      <c r="B260" s="0" t="s">
        <v>354</v>
      </c>
      <c r="C260" s="0" t="s">
        <v>7190</v>
      </c>
      <c r="D260" s="0" t="n">
        <v>-6.4802</v>
      </c>
    </row>
    <row r="261" customFormat="false" ht="15" hidden="false" customHeight="false" outlineLevel="0" collapsed="false">
      <c r="A261" s="0" t="s">
        <v>8</v>
      </c>
      <c r="B261" s="0" t="s">
        <v>354</v>
      </c>
      <c r="C261" s="0" t="s">
        <v>7191</v>
      </c>
    </row>
    <row r="262" customFormat="false" ht="15" hidden="false" customHeight="false" outlineLevel="0" collapsed="false">
      <c r="A262" s="0" t="s">
        <v>8</v>
      </c>
      <c r="B262" s="0" t="s">
        <v>354</v>
      </c>
      <c r="C262" s="0" t="s">
        <v>7192</v>
      </c>
    </row>
    <row r="263" customFormat="false" ht="15" hidden="false" customHeight="false" outlineLevel="0" collapsed="false">
      <c r="A263" s="0" t="s">
        <v>8</v>
      </c>
      <c r="B263" s="0" t="s">
        <v>357</v>
      </c>
      <c r="C263" s="0" t="s">
        <v>7190</v>
      </c>
      <c r="D263" s="0" t="n">
        <v>-22.4492</v>
      </c>
    </row>
    <row r="264" customFormat="false" ht="15" hidden="false" customHeight="false" outlineLevel="0" collapsed="false">
      <c r="A264" s="0" t="s">
        <v>8</v>
      </c>
      <c r="B264" s="0" t="s">
        <v>357</v>
      </c>
      <c r="C264" s="0" t="s">
        <v>7191</v>
      </c>
    </row>
    <row r="265" customFormat="false" ht="15" hidden="false" customHeight="false" outlineLevel="0" collapsed="false">
      <c r="A265" s="0" t="s">
        <v>8</v>
      </c>
      <c r="B265" s="0" t="s">
        <v>357</v>
      </c>
      <c r="C265" s="0" t="s">
        <v>7192</v>
      </c>
    </row>
    <row r="266" customFormat="false" ht="15" hidden="false" customHeight="false" outlineLevel="0" collapsed="false">
      <c r="A266" s="0" t="s">
        <v>8</v>
      </c>
      <c r="B266" s="0" t="s">
        <v>360</v>
      </c>
      <c r="C266" s="0" t="s">
        <v>7190</v>
      </c>
      <c r="D266" s="0" t="n">
        <v>-9.9468</v>
      </c>
    </row>
    <row r="267" customFormat="false" ht="15" hidden="false" customHeight="false" outlineLevel="0" collapsed="false">
      <c r="A267" s="0" t="s">
        <v>8</v>
      </c>
      <c r="B267" s="0" t="s">
        <v>360</v>
      </c>
      <c r="C267" s="0" t="s">
        <v>7191</v>
      </c>
    </row>
    <row r="268" customFormat="false" ht="15" hidden="false" customHeight="false" outlineLevel="0" collapsed="false">
      <c r="A268" s="0" t="s">
        <v>8</v>
      </c>
      <c r="B268" s="0" t="s">
        <v>360</v>
      </c>
      <c r="C268" s="0" t="s">
        <v>7192</v>
      </c>
    </row>
    <row r="269" customFormat="false" ht="15" hidden="false" customHeight="false" outlineLevel="0" collapsed="false">
      <c r="A269" s="0" t="s">
        <v>8</v>
      </c>
      <c r="B269" s="0" t="s">
        <v>363</v>
      </c>
      <c r="C269" s="0" t="s">
        <v>7190</v>
      </c>
      <c r="D269" s="0" t="n">
        <v>-13.2715</v>
      </c>
    </row>
    <row r="270" customFormat="false" ht="15" hidden="false" customHeight="false" outlineLevel="0" collapsed="false">
      <c r="A270" s="0" t="s">
        <v>8</v>
      </c>
      <c r="B270" s="0" t="s">
        <v>363</v>
      </c>
      <c r="C270" s="0" t="s">
        <v>7191</v>
      </c>
    </row>
    <row r="271" customFormat="false" ht="15" hidden="false" customHeight="false" outlineLevel="0" collapsed="false">
      <c r="A271" s="0" t="s">
        <v>8</v>
      </c>
      <c r="B271" s="0" t="s">
        <v>363</v>
      </c>
      <c r="C271" s="0" t="s">
        <v>7192</v>
      </c>
    </row>
    <row r="272" customFormat="false" ht="15" hidden="false" customHeight="false" outlineLevel="0" collapsed="false">
      <c r="A272" s="0" t="s">
        <v>8</v>
      </c>
      <c r="B272" s="0" t="s">
        <v>366</v>
      </c>
      <c r="C272" s="0" t="s">
        <v>7190</v>
      </c>
      <c r="D272" s="0" t="n">
        <v>0.3292</v>
      </c>
    </row>
    <row r="273" customFormat="false" ht="15" hidden="false" customHeight="false" outlineLevel="0" collapsed="false">
      <c r="A273" s="0" t="s">
        <v>8</v>
      </c>
      <c r="B273" s="0" t="s">
        <v>366</v>
      </c>
      <c r="C273" s="0" t="s">
        <v>7191</v>
      </c>
    </row>
    <row r="274" customFormat="false" ht="15" hidden="false" customHeight="false" outlineLevel="0" collapsed="false">
      <c r="A274" s="0" t="s">
        <v>8</v>
      </c>
      <c r="B274" s="0" t="s">
        <v>366</v>
      </c>
      <c r="C274" s="0" t="s">
        <v>7192</v>
      </c>
    </row>
    <row r="275" customFormat="false" ht="15" hidden="false" customHeight="false" outlineLevel="0" collapsed="false">
      <c r="A275" s="0" t="s">
        <v>8</v>
      </c>
      <c r="B275" s="0" t="s">
        <v>370</v>
      </c>
      <c r="C275" s="0" t="s">
        <v>7190</v>
      </c>
      <c r="D275" s="0" t="n">
        <v>-7.8496</v>
      </c>
    </row>
    <row r="276" customFormat="false" ht="15" hidden="false" customHeight="false" outlineLevel="0" collapsed="false">
      <c r="A276" s="0" t="s">
        <v>8</v>
      </c>
      <c r="B276" s="0" t="s">
        <v>370</v>
      </c>
      <c r="C276" s="0" t="s">
        <v>7191</v>
      </c>
    </row>
    <row r="277" customFormat="false" ht="15" hidden="false" customHeight="false" outlineLevel="0" collapsed="false">
      <c r="A277" s="0" t="s">
        <v>8</v>
      </c>
      <c r="B277" s="0" t="s">
        <v>370</v>
      </c>
      <c r="C277" s="0" t="s">
        <v>7192</v>
      </c>
    </row>
    <row r="278" customFormat="false" ht="15" hidden="false" customHeight="false" outlineLevel="0" collapsed="false">
      <c r="A278" s="0" t="s">
        <v>8</v>
      </c>
      <c r="B278" s="0" t="s">
        <v>373</v>
      </c>
      <c r="C278" s="0" t="s">
        <v>7190</v>
      </c>
      <c r="D278" s="0" t="n">
        <v>-0.4856</v>
      </c>
    </row>
    <row r="279" customFormat="false" ht="15" hidden="false" customHeight="false" outlineLevel="0" collapsed="false">
      <c r="A279" s="0" t="s">
        <v>8</v>
      </c>
      <c r="B279" s="0" t="s">
        <v>373</v>
      </c>
      <c r="C279" s="0" t="s">
        <v>7191</v>
      </c>
    </row>
    <row r="280" customFormat="false" ht="15" hidden="false" customHeight="false" outlineLevel="0" collapsed="false">
      <c r="A280" s="0" t="s">
        <v>8</v>
      </c>
      <c r="B280" s="0" t="s">
        <v>373</v>
      </c>
      <c r="C280" s="0" t="s">
        <v>7192</v>
      </c>
    </row>
    <row r="281" customFormat="false" ht="15" hidden="false" customHeight="false" outlineLevel="0" collapsed="false">
      <c r="A281" s="0" t="s">
        <v>8</v>
      </c>
      <c r="B281" s="0" t="s">
        <v>376</v>
      </c>
      <c r="C281" s="0" t="s">
        <v>7190</v>
      </c>
      <c r="D281" s="0" t="n">
        <v>-1.3878</v>
      </c>
    </row>
    <row r="282" customFormat="false" ht="15" hidden="false" customHeight="false" outlineLevel="0" collapsed="false">
      <c r="A282" s="0" t="s">
        <v>8</v>
      </c>
      <c r="B282" s="0" t="s">
        <v>376</v>
      </c>
      <c r="C282" s="0" t="s">
        <v>7191</v>
      </c>
    </row>
    <row r="283" customFormat="false" ht="15" hidden="false" customHeight="false" outlineLevel="0" collapsed="false">
      <c r="A283" s="0" t="s">
        <v>8</v>
      </c>
      <c r="B283" s="0" t="s">
        <v>376</v>
      </c>
      <c r="C283" s="0" t="s">
        <v>7192</v>
      </c>
    </row>
    <row r="284" customFormat="false" ht="15" hidden="false" customHeight="false" outlineLevel="0" collapsed="false">
      <c r="A284" s="0" t="s">
        <v>8</v>
      </c>
      <c r="B284" s="0" t="s">
        <v>379</v>
      </c>
      <c r="C284" s="0" t="s">
        <v>7190</v>
      </c>
      <c r="D284" s="0" t="n">
        <v>-5.5637</v>
      </c>
    </row>
    <row r="285" customFormat="false" ht="15" hidden="false" customHeight="false" outlineLevel="0" collapsed="false">
      <c r="A285" s="0" t="s">
        <v>8</v>
      </c>
      <c r="B285" s="0" t="s">
        <v>379</v>
      </c>
      <c r="C285" s="0" t="s">
        <v>7191</v>
      </c>
    </row>
    <row r="286" customFormat="false" ht="15" hidden="false" customHeight="false" outlineLevel="0" collapsed="false">
      <c r="A286" s="0" t="s">
        <v>8</v>
      </c>
      <c r="B286" s="0" t="s">
        <v>379</v>
      </c>
      <c r="C286" s="0" t="s">
        <v>7192</v>
      </c>
    </row>
    <row r="287" customFormat="false" ht="15" hidden="false" customHeight="false" outlineLevel="0" collapsed="false">
      <c r="A287" s="0" t="s">
        <v>8</v>
      </c>
      <c r="B287" s="0" t="s">
        <v>382</v>
      </c>
      <c r="C287" s="0" t="s">
        <v>7190</v>
      </c>
      <c r="D287" s="0" t="n">
        <v>2.1893</v>
      </c>
    </row>
    <row r="288" customFormat="false" ht="15" hidden="false" customHeight="false" outlineLevel="0" collapsed="false">
      <c r="A288" s="0" t="s">
        <v>8</v>
      </c>
      <c r="B288" s="0" t="s">
        <v>382</v>
      </c>
      <c r="C288" s="0" t="s">
        <v>7191</v>
      </c>
    </row>
    <row r="289" customFormat="false" ht="15" hidden="false" customHeight="false" outlineLevel="0" collapsed="false">
      <c r="A289" s="0" t="s">
        <v>8</v>
      </c>
      <c r="B289" s="0" t="s">
        <v>382</v>
      </c>
      <c r="C289" s="0" t="s">
        <v>7192</v>
      </c>
    </row>
    <row r="290" customFormat="false" ht="15" hidden="false" customHeight="false" outlineLevel="0" collapsed="false">
      <c r="A290" s="0" t="s">
        <v>8</v>
      </c>
      <c r="B290" s="0" t="s">
        <v>386</v>
      </c>
      <c r="C290" s="0" t="s">
        <v>7190</v>
      </c>
      <c r="D290" s="0" t="n">
        <v>12.4917</v>
      </c>
    </row>
    <row r="291" customFormat="false" ht="15" hidden="false" customHeight="false" outlineLevel="0" collapsed="false">
      <c r="A291" s="0" t="s">
        <v>8</v>
      </c>
      <c r="B291" s="0" t="s">
        <v>386</v>
      </c>
      <c r="C291" s="0" t="s">
        <v>7191</v>
      </c>
    </row>
    <row r="292" customFormat="false" ht="15" hidden="false" customHeight="false" outlineLevel="0" collapsed="false">
      <c r="A292" s="0" t="s">
        <v>8</v>
      </c>
      <c r="B292" s="0" t="s">
        <v>386</v>
      </c>
      <c r="C292" s="0" t="s">
        <v>7192</v>
      </c>
    </row>
    <row r="293" customFormat="false" ht="15" hidden="false" customHeight="false" outlineLevel="0" collapsed="false">
      <c r="A293" s="0" t="s">
        <v>8</v>
      </c>
      <c r="B293" s="0" t="s">
        <v>389</v>
      </c>
      <c r="C293" s="0" t="s">
        <v>7190</v>
      </c>
      <c r="D293" s="0" t="n">
        <v>22.6816</v>
      </c>
    </row>
    <row r="294" customFormat="false" ht="15" hidden="false" customHeight="false" outlineLevel="0" collapsed="false">
      <c r="A294" s="0" t="s">
        <v>8</v>
      </c>
      <c r="B294" s="0" t="s">
        <v>389</v>
      </c>
      <c r="C294" s="0" t="s">
        <v>7191</v>
      </c>
    </row>
    <row r="295" customFormat="false" ht="15" hidden="false" customHeight="false" outlineLevel="0" collapsed="false">
      <c r="A295" s="0" t="s">
        <v>8</v>
      </c>
      <c r="B295" s="0" t="s">
        <v>389</v>
      </c>
      <c r="C295" s="0" t="s">
        <v>7192</v>
      </c>
    </row>
    <row r="296" customFormat="false" ht="15" hidden="false" customHeight="false" outlineLevel="0" collapsed="false">
      <c r="A296" s="0" t="s">
        <v>8</v>
      </c>
      <c r="B296" s="0" t="s">
        <v>392</v>
      </c>
      <c r="C296" s="0" t="s">
        <v>7190</v>
      </c>
      <c r="D296" s="0" t="n">
        <v>9.3207</v>
      </c>
    </row>
    <row r="297" customFormat="false" ht="15" hidden="false" customHeight="false" outlineLevel="0" collapsed="false">
      <c r="A297" s="0" t="s">
        <v>8</v>
      </c>
      <c r="B297" s="0" t="s">
        <v>392</v>
      </c>
      <c r="C297" s="0" t="s">
        <v>7191</v>
      </c>
    </row>
    <row r="298" customFormat="false" ht="15" hidden="false" customHeight="false" outlineLevel="0" collapsed="false">
      <c r="A298" s="0" t="s">
        <v>8</v>
      </c>
      <c r="B298" s="0" t="s">
        <v>392</v>
      </c>
      <c r="C298" s="0" t="s">
        <v>7192</v>
      </c>
    </row>
    <row r="299" customFormat="false" ht="15" hidden="false" customHeight="false" outlineLevel="0" collapsed="false">
      <c r="A299" s="0" t="s">
        <v>8</v>
      </c>
      <c r="B299" s="0" t="s">
        <v>395</v>
      </c>
      <c r="C299" s="0" t="s">
        <v>7190</v>
      </c>
      <c r="D299" s="0" t="n">
        <v>25.5197</v>
      </c>
    </row>
    <row r="300" customFormat="false" ht="15" hidden="false" customHeight="false" outlineLevel="0" collapsed="false">
      <c r="A300" s="0" t="s">
        <v>8</v>
      </c>
      <c r="B300" s="0" t="s">
        <v>395</v>
      </c>
      <c r="C300" s="0" t="s">
        <v>7191</v>
      </c>
    </row>
    <row r="301" customFormat="false" ht="15" hidden="false" customHeight="false" outlineLevel="0" collapsed="false">
      <c r="A301" s="0" t="s">
        <v>8</v>
      </c>
      <c r="B301" s="0" t="s">
        <v>395</v>
      </c>
      <c r="C301" s="0" t="s">
        <v>7192</v>
      </c>
    </row>
    <row r="302" customFormat="false" ht="15" hidden="false" customHeight="false" outlineLevel="0" collapsed="false">
      <c r="A302" s="0" t="s">
        <v>8</v>
      </c>
      <c r="B302" s="0" t="s">
        <v>398</v>
      </c>
      <c r="C302" s="0" t="s">
        <v>7190</v>
      </c>
      <c r="D302" s="0" t="n">
        <v>54.6</v>
      </c>
    </row>
    <row r="303" customFormat="false" ht="15" hidden="false" customHeight="false" outlineLevel="0" collapsed="false">
      <c r="A303" s="0" t="s">
        <v>8</v>
      </c>
      <c r="B303" s="0" t="s">
        <v>398</v>
      </c>
      <c r="C303" s="0" t="s">
        <v>7191</v>
      </c>
    </row>
    <row r="304" customFormat="false" ht="15" hidden="false" customHeight="false" outlineLevel="0" collapsed="false">
      <c r="A304" s="0" t="s">
        <v>8</v>
      </c>
      <c r="B304" s="0" t="s">
        <v>398</v>
      </c>
      <c r="C304" s="0" t="s">
        <v>7192</v>
      </c>
    </row>
    <row r="305" customFormat="false" ht="15" hidden="false" customHeight="false" outlineLevel="0" collapsed="false">
      <c r="A305" s="0" t="s">
        <v>8</v>
      </c>
      <c r="B305" s="0" t="s">
        <v>403</v>
      </c>
      <c r="C305" s="0" t="s">
        <v>7190</v>
      </c>
      <c r="D305" s="0" t="n">
        <v>64.6</v>
      </c>
    </row>
    <row r="306" customFormat="false" ht="15" hidden="false" customHeight="false" outlineLevel="0" collapsed="false">
      <c r="A306" s="0" t="s">
        <v>8</v>
      </c>
      <c r="B306" s="0" t="s">
        <v>403</v>
      </c>
      <c r="C306" s="0" t="s">
        <v>7191</v>
      </c>
    </row>
    <row r="307" customFormat="false" ht="15" hidden="false" customHeight="false" outlineLevel="0" collapsed="false">
      <c r="A307" s="0" t="s">
        <v>8</v>
      </c>
      <c r="B307" s="0" t="s">
        <v>403</v>
      </c>
      <c r="C307" s="0" t="s">
        <v>7192</v>
      </c>
    </row>
    <row r="308" customFormat="false" ht="15" hidden="false" customHeight="false" outlineLevel="0" collapsed="false">
      <c r="A308" s="0" t="s">
        <v>8</v>
      </c>
      <c r="B308" s="0" t="s">
        <v>405</v>
      </c>
      <c r="C308" s="0" t="s">
        <v>7190</v>
      </c>
      <c r="D308" s="0" t="n">
        <v>56.3</v>
      </c>
    </row>
    <row r="309" customFormat="false" ht="15" hidden="false" customHeight="false" outlineLevel="0" collapsed="false">
      <c r="A309" s="0" t="s">
        <v>8</v>
      </c>
      <c r="B309" s="0" t="s">
        <v>405</v>
      </c>
      <c r="C309" s="0" t="s">
        <v>7191</v>
      </c>
    </row>
    <row r="310" customFormat="false" ht="15" hidden="false" customHeight="false" outlineLevel="0" collapsed="false">
      <c r="A310" s="0" t="s">
        <v>8</v>
      </c>
      <c r="B310" s="0" t="s">
        <v>405</v>
      </c>
      <c r="C310" s="0" t="s">
        <v>7192</v>
      </c>
    </row>
    <row r="311" customFormat="false" ht="15" hidden="false" customHeight="false" outlineLevel="0" collapsed="false">
      <c r="A311" s="0" t="s">
        <v>8</v>
      </c>
      <c r="B311" s="0" t="s">
        <v>407</v>
      </c>
      <c r="C311" s="0" t="s">
        <v>7190</v>
      </c>
      <c r="D311" s="0" t="n">
        <v>48.9</v>
      </c>
    </row>
    <row r="312" customFormat="false" ht="15" hidden="false" customHeight="false" outlineLevel="0" collapsed="false">
      <c r="A312" s="0" t="s">
        <v>8</v>
      </c>
      <c r="B312" s="0" t="s">
        <v>407</v>
      </c>
      <c r="C312" s="0" t="s">
        <v>7191</v>
      </c>
    </row>
    <row r="313" customFormat="false" ht="15" hidden="false" customHeight="false" outlineLevel="0" collapsed="false">
      <c r="A313" s="0" t="s">
        <v>8</v>
      </c>
      <c r="B313" s="0" t="s">
        <v>407</v>
      </c>
      <c r="C313" s="0" t="s">
        <v>7192</v>
      </c>
    </row>
    <row r="314" customFormat="false" ht="15" hidden="false" customHeight="false" outlineLevel="0" collapsed="false">
      <c r="A314" s="0" t="s">
        <v>8</v>
      </c>
      <c r="B314" s="0" t="s">
        <v>409</v>
      </c>
      <c r="C314" s="0" t="s">
        <v>7190</v>
      </c>
      <c r="D314" s="0" t="n">
        <v>50</v>
      </c>
    </row>
    <row r="315" customFormat="false" ht="15" hidden="false" customHeight="false" outlineLevel="0" collapsed="false">
      <c r="A315" s="0" t="s">
        <v>8</v>
      </c>
      <c r="B315" s="0" t="s">
        <v>409</v>
      </c>
      <c r="C315" s="0" t="s">
        <v>7191</v>
      </c>
    </row>
    <row r="316" customFormat="false" ht="15" hidden="false" customHeight="false" outlineLevel="0" collapsed="false">
      <c r="A316" s="0" t="s">
        <v>8</v>
      </c>
      <c r="B316" s="0" t="s">
        <v>409</v>
      </c>
      <c r="C316" s="0" t="s">
        <v>7192</v>
      </c>
    </row>
    <row r="317" customFormat="false" ht="15" hidden="false" customHeight="false" outlineLevel="0" collapsed="false">
      <c r="A317" s="0" t="s">
        <v>8</v>
      </c>
      <c r="B317" s="0" t="s">
        <v>411</v>
      </c>
      <c r="C317" s="0" t="s">
        <v>7190</v>
      </c>
      <c r="D317" s="0" t="n">
        <v>0.03</v>
      </c>
    </row>
    <row r="318" customFormat="false" ht="15" hidden="false" customHeight="false" outlineLevel="0" collapsed="false">
      <c r="A318" s="0" t="s">
        <v>8</v>
      </c>
      <c r="B318" s="0" t="s">
        <v>411</v>
      </c>
      <c r="C318" s="0" t="s">
        <v>7191</v>
      </c>
    </row>
    <row r="319" customFormat="false" ht="15" hidden="false" customHeight="false" outlineLevel="0" collapsed="false">
      <c r="A319" s="0" t="s">
        <v>8</v>
      </c>
      <c r="B319" s="0" t="s">
        <v>411</v>
      </c>
      <c r="C319" s="0" t="s">
        <v>7192</v>
      </c>
    </row>
    <row r="320" customFormat="false" ht="15" hidden="false" customHeight="false" outlineLevel="0" collapsed="false">
      <c r="A320" s="0" t="s">
        <v>8</v>
      </c>
      <c r="B320" s="0" t="s">
        <v>420</v>
      </c>
      <c r="C320" s="0" t="s">
        <v>7190</v>
      </c>
      <c r="D320" s="0" t="n">
        <v>1.059</v>
      </c>
    </row>
    <row r="321" customFormat="false" ht="15" hidden="false" customHeight="false" outlineLevel="0" collapsed="false">
      <c r="A321" s="0" t="s">
        <v>8</v>
      </c>
      <c r="B321" s="0" t="s">
        <v>420</v>
      </c>
      <c r="C321" s="0" t="s">
        <v>7191</v>
      </c>
    </row>
    <row r="322" customFormat="false" ht="15" hidden="false" customHeight="false" outlineLevel="0" collapsed="false">
      <c r="A322" s="0" t="s">
        <v>8</v>
      </c>
      <c r="B322" s="0" t="s">
        <v>420</v>
      </c>
      <c r="C322" s="0" t="s">
        <v>7192</v>
      </c>
    </row>
    <row r="323" customFormat="false" ht="15" hidden="false" customHeight="false" outlineLevel="0" collapsed="false">
      <c r="A323" s="0" t="s">
        <v>8</v>
      </c>
      <c r="B323" s="0" t="s">
        <v>423</v>
      </c>
      <c r="C323" s="0" t="s">
        <v>7190</v>
      </c>
      <c r="D323" s="0" t="n">
        <v>1.945</v>
      </c>
    </row>
    <row r="324" customFormat="false" ht="15" hidden="false" customHeight="false" outlineLevel="0" collapsed="false">
      <c r="A324" s="0" t="s">
        <v>8</v>
      </c>
      <c r="B324" s="0" t="s">
        <v>423</v>
      </c>
      <c r="C324" s="0" t="s">
        <v>7191</v>
      </c>
    </row>
    <row r="325" customFormat="false" ht="15" hidden="false" customHeight="false" outlineLevel="0" collapsed="false">
      <c r="A325" s="0" t="s">
        <v>8</v>
      </c>
      <c r="B325" s="0" t="s">
        <v>423</v>
      </c>
      <c r="C325" s="0" t="s">
        <v>7192</v>
      </c>
    </row>
    <row r="326" customFormat="false" ht="15" hidden="false" customHeight="false" outlineLevel="0" collapsed="false">
      <c r="A326" s="0" t="s">
        <v>8</v>
      </c>
      <c r="B326" s="0" t="s">
        <v>426</v>
      </c>
      <c r="C326" s="0" t="s">
        <v>7190</v>
      </c>
      <c r="D326" s="0" t="n">
        <v>3.273</v>
      </c>
    </row>
    <row r="327" customFormat="false" ht="15" hidden="false" customHeight="false" outlineLevel="0" collapsed="false">
      <c r="A327" s="0" t="s">
        <v>8</v>
      </c>
      <c r="B327" s="0" t="s">
        <v>426</v>
      </c>
      <c r="C327" s="0" t="s">
        <v>7191</v>
      </c>
    </row>
    <row r="328" customFormat="false" ht="15" hidden="false" customHeight="false" outlineLevel="0" collapsed="false">
      <c r="A328" s="0" t="s">
        <v>8</v>
      </c>
      <c r="B328" s="0" t="s">
        <v>426</v>
      </c>
      <c r="C328" s="0" t="s">
        <v>7192</v>
      </c>
    </row>
    <row r="329" customFormat="false" ht="15" hidden="false" customHeight="false" outlineLevel="0" collapsed="false">
      <c r="A329" s="0" t="s">
        <v>8</v>
      </c>
      <c r="B329" s="0" t="s">
        <v>429</v>
      </c>
      <c r="C329" s="0" t="s">
        <v>7190</v>
      </c>
      <c r="D329" s="0" t="n">
        <v>89.431</v>
      </c>
    </row>
    <row r="330" customFormat="false" ht="15" hidden="false" customHeight="false" outlineLevel="0" collapsed="false">
      <c r="A330" s="0" t="s">
        <v>8</v>
      </c>
      <c r="B330" s="0" t="s">
        <v>429</v>
      </c>
      <c r="C330" s="0" t="s">
        <v>7191</v>
      </c>
    </row>
    <row r="331" customFormat="false" ht="15" hidden="false" customHeight="false" outlineLevel="0" collapsed="false">
      <c r="A331" s="0" t="s">
        <v>8</v>
      </c>
      <c r="B331" s="0" t="s">
        <v>429</v>
      </c>
      <c r="C331" s="0" t="s">
        <v>7192</v>
      </c>
    </row>
    <row r="332" customFormat="false" ht="15" hidden="false" customHeight="false" outlineLevel="0" collapsed="false">
      <c r="A332" s="0" t="s">
        <v>8</v>
      </c>
      <c r="B332" s="0" t="s">
        <v>436</v>
      </c>
      <c r="C332" s="0" t="s">
        <v>7190</v>
      </c>
      <c r="D332" s="0" t="n">
        <v>657</v>
      </c>
    </row>
    <row r="333" customFormat="false" ht="15" hidden="false" customHeight="false" outlineLevel="0" collapsed="false">
      <c r="A333" s="0" t="s">
        <v>8</v>
      </c>
      <c r="B333" s="0" t="s">
        <v>436</v>
      </c>
      <c r="C333" s="0" t="s">
        <v>7191</v>
      </c>
    </row>
    <row r="334" customFormat="false" ht="15" hidden="false" customHeight="false" outlineLevel="0" collapsed="false">
      <c r="A334" s="0" t="s">
        <v>8</v>
      </c>
      <c r="B334" s="0" t="s">
        <v>436</v>
      </c>
      <c r="C334" s="0" t="s">
        <v>7192</v>
      </c>
    </row>
    <row r="335" customFormat="false" ht="15" hidden="false" customHeight="false" outlineLevel="0" collapsed="false">
      <c r="A335" s="0" t="s">
        <v>8</v>
      </c>
      <c r="B335" s="0" t="s">
        <v>443</v>
      </c>
      <c r="C335" s="0" t="s">
        <v>7190</v>
      </c>
      <c r="D335" s="0" t="n">
        <v>1.9038</v>
      </c>
    </row>
    <row r="336" customFormat="false" ht="15" hidden="false" customHeight="false" outlineLevel="0" collapsed="false">
      <c r="A336" s="0" t="s">
        <v>8</v>
      </c>
      <c r="B336" s="0" t="s">
        <v>443</v>
      </c>
      <c r="C336" s="0" t="s">
        <v>7191</v>
      </c>
    </row>
    <row r="337" customFormat="false" ht="15" hidden="false" customHeight="false" outlineLevel="0" collapsed="false">
      <c r="A337" s="0" t="s">
        <v>8</v>
      </c>
      <c r="B337" s="0" t="s">
        <v>443</v>
      </c>
      <c r="C337" s="0" t="s">
        <v>7192</v>
      </c>
    </row>
    <row r="338" customFormat="false" ht="15" hidden="false" customHeight="false" outlineLevel="0" collapsed="false">
      <c r="A338" s="0" t="s">
        <v>8</v>
      </c>
      <c r="B338" s="0" t="s">
        <v>452</v>
      </c>
      <c r="C338" s="0" t="s">
        <v>7190</v>
      </c>
      <c r="D338" s="0" t="n">
        <v>0.4848</v>
      </c>
    </row>
    <row r="339" customFormat="false" ht="15" hidden="false" customHeight="false" outlineLevel="0" collapsed="false">
      <c r="A339" s="0" t="s">
        <v>8</v>
      </c>
      <c r="B339" s="0" t="s">
        <v>452</v>
      </c>
      <c r="C339" s="0" t="s">
        <v>7191</v>
      </c>
    </row>
    <row r="340" customFormat="false" ht="15" hidden="false" customHeight="false" outlineLevel="0" collapsed="false">
      <c r="A340" s="0" t="s">
        <v>8</v>
      </c>
      <c r="B340" s="0" t="s">
        <v>452</v>
      </c>
      <c r="C340" s="0" t="s">
        <v>7192</v>
      </c>
    </row>
    <row r="341" customFormat="false" ht="15" hidden="false" customHeight="false" outlineLevel="0" collapsed="false">
      <c r="A341" s="0" t="s">
        <v>8</v>
      </c>
      <c r="B341" s="0" t="s">
        <v>455</v>
      </c>
      <c r="C341" s="0" t="s">
        <v>7190</v>
      </c>
      <c r="D341" s="0" t="n">
        <v>1.6569</v>
      </c>
    </row>
    <row r="342" customFormat="false" ht="15" hidden="false" customHeight="false" outlineLevel="0" collapsed="false">
      <c r="A342" s="0" t="s">
        <v>8</v>
      </c>
      <c r="B342" s="0" t="s">
        <v>455</v>
      </c>
      <c r="C342" s="0" t="s">
        <v>7191</v>
      </c>
    </row>
    <row r="343" customFormat="false" ht="15" hidden="false" customHeight="false" outlineLevel="0" collapsed="false">
      <c r="A343" s="0" t="s">
        <v>8</v>
      </c>
      <c r="B343" s="0" t="s">
        <v>455</v>
      </c>
      <c r="C343" s="0" t="s">
        <v>7192</v>
      </c>
    </row>
    <row r="344" customFormat="false" ht="15" hidden="false" customHeight="false" outlineLevel="0" collapsed="false">
      <c r="A344" s="0" t="s">
        <v>8</v>
      </c>
      <c r="B344" s="0" t="s">
        <v>459</v>
      </c>
      <c r="C344" s="0" t="s">
        <v>7190</v>
      </c>
      <c r="D344" s="0" t="n">
        <v>0.4749</v>
      </c>
    </row>
    <row r="345" customFormat="false" ht="15" hidden="false" customHeight="false" outlineLevel="0" collapsed="false">
      <c r="A345" s="0" t="s">
        <v>8</v>
      </c>
      <c r="B345" s="0" t="s">
        <v>459</v>
      </c>
      <c r="C345" s="0" t="s">
        <v>7191</v>
      </c>
    </row>
    <row r="346" customFormat="false" ht="15" hidden="false" customHeight="false" outlineLevel="0" collapsed="false">
      <c r="A346" s="0" t="s">
        <v>8</v>
      </c>
      <c r="B346" s="0" t="s">
        <v>459</v>
      </c>
      <c r="C346" s="0" t="s">
        <v>7192</v>
      </c>
    </row>
    <row r="347" customFormat="false" ht="15" hidden="false" customHeight="false" outlineLevel="0" collapsed="false">
      <c r="A347" s="0" t="s">
        <v>8</v>
      </c>
      <c r="B347" s="0" t="s">
        <v>462</v>
      </c>
      <c r="C347" s="0" t="s">
        <v>7190</v>
      </c>
      <c r="D347" s="0" t="n">
        <v>3.6572</v>
      </c>
    </row>
    <row r="348" customFormat="false" ht="15" hidden="false" customHeight="false" outlineLevel="0" collapsed="false">
      <c r="A348" s="0" t="s">
        <v>8</v>
      </c>
      <c r="B348" s="0" t="s">
        <v>462</v>
      </c>
      <c r="C348" s="0" t="s">
        <v>7191</v>
      </c>
    </row>
    <row r="349" customFormat="false" ht="15" hidden="false" customHeight="false" outlineLevel="0" collapsed="false">
      <c r="A349" s="0" t="s">
        <v>8</v>
      </c>
      <c r="B349" s="0" t="s">
        <v>462</v>
      </c>
      <c r="C349" s="0" t="s">
        <v>7192</v>
      </c>
    </row>
    <row r="350" customFormat="false" ht="15" hidden="false" customHeight="false" outlineLevel="0" collapsed="false">
      <c r="A350" s="0" t="s">
        <v>8</v>
      </c>
      <c r="B350" s="0" t="s">
        <v>466</v>
      </c>
      <c r="C350" s="0" t="s">
        <v>7190</v>
      </c>
      <c r="D350" s="0" t="n">
        <v>2.145</v>
      </c>
    </row>
    <row r="351" customFormat="false" ht="15" hidden="false" customHeight="false" outlineLevel="0" collapsed="false">
      <c r="A351" s="0" t="s">
        <v>8</v>
      </c>
      <c r="B351" s="0" t="s">
        <v>466</v>
      </c>
      <c r="C351" s="0" t="s">
        <v>7191</v>
      </c>
    </row>
    <row r="352" customFormat="false" ht="15" hidden="false" customHeight="false" outlineLevel="0" collapsed="false">
      <c r="A352" s="0" t="s">
        <v>8</v>
      </c>
      <c r="B352" s="0" t="s">
        <v>466</v>
      </c>
      <c r="C352" s="0" t="s">
        <v>7192</v>
      </c>
    </row>
    <row r="353" customFormat="false" ht="15" hidden="false" customHeight="false" outlineLevel="0" collapsed="false">
      <c r="A353" s="0" t="s">
        <v>8</v>
      </c>
      <c r="B353" s="0" t="s">
        <v>469</v>
      </c>
      <c r="C353" s="0" t="s">
        <v>7190</v>
      </c>
      <c r="D353" s="0" t="n">
        <v>0.0254</v>
      </c>
    </row>
    <row r="354" customFormat="false" ht="15" hidden="false" customHeight="false" outlineLevel="0" collapsed="false">
      <c r="A354" s="0" t="s">
        <v>8</v>
      </c>
      <c r="B354" s="0" t="s">
        <v>469</v>
      </c>
      <c r="C354" s="0" t="s">
        <v>7191</v>
      </c>
    </row>
    <row r="355" customFormat="false" ht="15" hidden="false" customHeight="false" outlineLevel="0" collapsed="false">
      <c r="A355" s="0" t="s">
        <v>8</v>
      </c>
      <c r="B355" s="0" t="s">
        <v>469</v>
      </c>
      <c r="C355" s="0" t="s">
        <v>7192</v>
      </c>
    </row>
    <row r="356" customFormat="false" ht="15" hidden="false" customHeight="false" outlineLevel="0" collapsed="false">
      <c r="A356" s="0" t="s">
        <v>8</v>
      </c>
      <c r="B356" s="0" t="s">
        <v>473</v>
      </c>
      <c r="C356" s="0" t="s">
        <v>7190</v>
      </c>
      <c r="D356" s="0" t="n">
        <v>0.0194</v>
      </c>
    </row>
    <row r="357" customFormat="false" ht="15" hidden="false" customHeight="false" outlineLevel="0" collapsed="false">
      <c r="A357" s="0" t="s">
        <v>8</v>
      </c>
      <c r="B357" s="0" t="s">
        <v>473</v>
      </c>
      <c r="C357" s="0" t="s">
        <v>7191</v>
      </c>
    </row>
    <row r="358" customFormat="false" ht="15" hidden="false" customHeight="false" outlineLevel="0" collapsed="false">
      <c r="A358" s="0" t="s">
        <v>8</v>
      </c>
      <c r="B358" s="0" t="s">
        <v>473</v>
      </c>
      <c r="C358" s="0" t="s">
        <v>7192</v>
      </c>
    </row>
    <row r="359" customFormat="false" ht="15" hidden="false" customHeight="false" outlineLevel="0" collapsed="false">
      <c r="A359" s="0" t="s">
        <v>8</v>
      </c>
      <c r="B359" s="0" t="s">
        <v>476</v>
      </c>
      <c r="C359" s="0" t="s">
        <v>7190</v>
      </c>
      <c r="D359" s="0" t="n">
        <v>7.2433</v>
      </c>
    </row>
    <row r="360" customFormat="false" ht="15" hidden="false" customHeight="false" outlineLevel="0" collapsed="false">
      <c r="A360" s="0" t="s">
        <v>8</v>
      </c>
      <c r="B360" s="0" t="s">
        <v>476</v>
      </c>
      <c r="C360" s="0" t="s">
        <v>7191</v>
      </c>
    </row>
    <row r="361" customFormat="false" ht="15" hidden="false" customHeight="false" outlineLevel="0" collapsed="false">
      <c r="A361" s="0" t="s">
        <v>8</v>
      </c>
      <c r="B361" s="0" t="s">
        <v>476</v>
      </c>
      <c r="C361" s="0" t="s">
        <v>7192</v>
      </c>
    </row>
    <row r="362" customFormat="false" ht="15" hidden="false" customHeight="false" outlineLevel="0" collapsed="false">
      <c r="A362" s="0" t="s">
        <v>8</v>
      </c>
      <c r="B362" s="0" t="s">
        <v>479</v>
      </c>
      <c r="C362" s="0" t="s">
        <v>7190</v>
      </c>
      <c r="D362" s="0" t="n">
        <v>5.3396</v>
      </c>
    </row>
    <row r="363" customFormat="false" ht="15" hidden="false" customHeight="false" outlineLevel="0" collapsed="false">
      <c r="A363" s="0" t="s">
        <v>8</v>
      </c>
      <c r="B363" s="0" t="s">
        <v>479</v>
      </c>
      <c r="C363" s="0" t="s">
        <v>7191</v>
      </c>
    </row>
    <row r="364" customFormat="false" ht="15" hidden="false" customHeight="false" outlineLevel="0" collapsed="false">
      <c r="A364" s="0" t="s">
        <v>8</v>
      </c>
      <c r="B364" s="0" t="s">
        <v>479</v>
      </c>
      <c r="C364" s="0" t="s">
        <v>7192</v>
      </c>
    </row>
    <row r="365" customFormat="false" ht="15" hidden="false" customHeight="false" outlineLevel="0" collapsed="false">
      <c r="A365" s="0" t="s">
        <v>8</v>
      </c>
      <c r="B365" s="0" t="s">
        <v>483</v>
      </c>
      <c r="C365" s="0" t="s">
        <v>7190</v>
      </c>
      <c r="D365" s="0" t="n">
        <v>1.9038</v>
      </c>
    </row>
    <row r="366" customFormat="false" ht="15" hidden="false" customHeight="false" outlineLevel="0" collapsed="false">
      <c r="A366" s="0" t="s">
        <v>8</v>
      </c>
      <c r="B366" s="0" t="s">
        <v>483</v>
      </c>
      <c r="C366" s="0" t="s">
        <v>7191</v>
      </c>
    </row>
    <row r="367" customFormat="false" ht="15" hidden="false" customHeight="false" outlineLevel="0" collapsed="false">
      <c r="A367" s="0" t="s">
        <v>8</v>
      </c>
      <c r="B367" s="0" t="s">
        <v>483</v>
      </c>
      <c r="C367" s="0" t="s">
        <v>7192</v>
      </c>
    </row>
    <row r="368" customFormat="false" ht="15" hidden="false" customHeight="false" outlineLevel="0" collapsed="false">
      <c r="A368" s="0" t="s">
        <v>8</v>
      </c>
      <c r="B368" s="0" t="s">
        <v>487</v>
      </c>
      <c r="C368" s="0" t="s">
        <v>7190</v>
      </c>
      <c r="D368" s="0" t="n">
        <v>4.2768</v>
      </c>
    </row>
    <row r="369" customFormat="false" ht="15" hidden="false" customHeight="false" outlineLevel="0" collapsed="false">
      <c r="A369" s="0" t="s">
        <v>8</v>
      </c>
      <c r="B369" s="0" t="s">
        <v>487</v>
      </c>
      <c r="C369" s="0" t="s">
        <v>7191</v>
      </c>
    </row>
    <row r="370" customFormat="false" ht="15" hidden="false" customHeight="false" outlineLevel="0" collapsed="false">
      <c r="A370" s="0" t="s">
        <v>8</v>
      </c>
      <c r="B370" s="0" t="s">
        <v>487</v>
      </c>
      <c r="C370" s="0" t="s">
        <v>7192</v>
      </c>
    </row>
    <row r="371" customFormat="false" ht="15" hidden="false" customHeight="false" outlineLevel="0" collapsed="false">
      <c r="A371" s="0" t="s">
        <v>8</v>
      </c>
      <c r="B371" s="0" t="s">
        <v>491</v>
      </c>
      <c r="C371" s="0" t="s">
        <v>7190</v>
      </c>
      <c r="D371" s="0" t="n">
        <v>2.9666</v>
      </c>
    </row>
    <row r="372" customFormat="false" ht="15" hidden="false" customHeight="false" outlineLevel="0" collapsed="false">
      <c r="A372" s="0" t="s">
        <v>8</v>
      </c>
      <c r="B372" s="0" t="s">
        <v>491</v>
      </c>
      <c r="C372" s="0" t="s">
        <v>7191</v>
      </c>
    </row>
    <row r="373" customFormat="false" ht="15" hidden="false" customHeight="false" outlineLevel="0" collapsed="false">
      <c r="A373" s="0" t="s">
        <v>8</v>
      </c>
      <c r="B373" s="0" t="s">
        <v>491</v>
      </c>
      <c r="C373" s="0" t="s">
        <v>7192</v>
      </c>
    </row>
    <row r="374" customFormat="false" ht="15" hidden="false" customHeight="false" outlineLevel="0" collapsed="false">
      <c r="A374" s="0" t="s">
        <v>8</v>
      </c>
      <c r="B374" s="0" t="s">
        <v>494</v>
      </c>
      <c r="C374" s="0" t="s">
        <v>7190</v>
      </c>
      <c r="D374" s="0" t="n">
        <v>41</v>
      </c>
    </row>
    <row r="375" customFormat="false" ht="15" hidden="false" customHeight="false" outlineLevel="0" collapsed="false">
      <c r="A375" s="0" t="s">
        <v>8</v>
      </c>
      <c r="B375" s="0" t="s">
        <v>494</v>
      </c>
      <c r="C375" s="0" t="s">
        <v>7191</v>
      </c>
    </row>
    <row r="376" customFormat="false" ht="15" hidden="false" customHeight="false" outlineLevel="0" collapsed="false">
      <c r="A376" s="0" t="s">
        <v>8</v>
      </c>
      <c r="B376" s="0" t="s">
        <v>494</v>
      </c>
      <c r="C376" s="0" t="s">
        <v>7192</v>
      </c>
    </row>
    <row r="377" customFormat="false" ht="15" hidden="false" customHeight="false" outlineLevel="0" collapsed="false">
      <c r="A377" s="0" t="s">
        <v>8</v>
      </c>
      <c r="B377" s="0" t="s">
        <v>497</v>
      </c>
      <c r="C377" s="0" t="s">
        <v>7190</v>
      </c>
      <c r="D377" s="0" t="n">
        <v>2.6066</v>
      </c>
    </row>
    <row r="378" customFormat="false" ht="15" hidden="false" customHeight="false" outlineLevel="0" collapsed="false">
      <c r="A378" s="0" t="s">
        <v>8</v>
      </c>
      <c r="B378" s="0" t="s">
        <v>497</v>
      </c>
      <c r="C378" s="0" t="s">
        <v>7191</v>
      </c>
    </row>
    <row r="379" customFormat="false" ht="15" hidden="false" customHeight="false" outlineLevel="0" collapsed="false">
      <c r="A379" s="0" t="s">
        <v>8</v>
      </c>
      <c r="B379" s="0" t="s">
        <v>497</v>
      </c>
      <c r="C379" s="0" t="s">
        <v>7192</v>
      </c>
    </row>
    <row r="380" customFormat="false" ht="15" hidden="false" customHeight="false" outlineLevel="0" collapsed="false">
      <c r="A380" s="0" t="s">
        <v>8</v>
      </c>
      <c r="B380" s="0" t="s">
        <v>501</v>
      </c>
      <c r="C380" s="0" t="s">
        <v>7190</v>
      </c>
      <c r="D380" s="0" t="n">
        <v>1.7426</v>
      </c>
    </row>
    <row r="381" customFormat="false" ht="15" hidden="false" customHeight="false" outlineLevel="0" collapsed="false">
      <c r="A381" s="0" t="s">
        <v>8</v>
      </c>
      <c r="B381" s="0" t="s">
        <v>501</v>
      </c>
      <c r="C381" s="0" t="s">
        <v>7191</v>
      </c>
    </row>
    <row r="382" customFormat="false" ht="15" hidden="false" customHeight="false" outlineLevel="0" collapsed="false">
      <c r="A382" s="0" t="s">
        <v>8</v>
      </c>
      <c r="B382" s="0" t="s">
        <v>501</v>
      </c>
      <c r="C382" s="0" t="s">
        <v>7192</v>
      </c>
    </row>
    <row r="383" customFormat="false" ht="15" hidden="false" customHeight="false" outlineLevel="0" collapsed="false">
      <c r="A383" s="0" t="s">
        <v>8</v>
      </c>
      <c r="B383" s="0" t="s">
        <v>504</v>
      </c>
      <c r="C383" s="0" t="s">
        <v>7190</v>
      </c>
      <c r="D383" s="0" t="n">
        <v>0.36</v>
      </c>
    </row>
    <row r="384" customFormat="false" ht="15" hidden="false" customHeight="false" outlineLevel="0" collapsed="false">
      <c r="A384" s="0" t="s">
        <v>8</v>
      </c>
      <c r="B384" s="0" t="s">
        <v>504</v>
      </c>
      <c r="C384" s="0" t="s">
        <v>7191</v>
      </c>
    </row>
    <row r="385" customFormat="false" ht="15" hidden="false" customHeight="false" outlineLevel="0" collapsed="false">
      <c r="A385" s="0" t="s">
        <v>8</v>
      </c>
      <c r="B385" s="0" t="s">
        <v>504</v>
      </c>
      <c r="C385" s="0" t="s">
        <v>7192</v>
      </c>
    </row>
    <row r="386" customFormat="false" ht="15" hidden="false" customHeight="false" outlineLevel="0" collapsed="false">
      <c r="A386" s="0" t="s">
        <v>8</v>
      </c>
      <c r="B386" s="0" t="s">
        <v>508</v>
      </c>
      <c r="C386" s="0" t="s">
        <v>7190</v>
      </c>
      <c r="D386" s="0" t="n">
        <v>0.0163</v>
      </c>
    </row>
    <row r="387" customFormat="false" ht="15" hidden="false" customHeight="false" outlineLevel="0" collapsed="false">
      <c r="A387" s="0" t="s">
        <v>8</v>
      </c>
      <c r="B387" s="0" t="s">
        <v>508</v>
      </c>
      <c r="C387" s="0" t="s">
        <v>7191</v>
      </c>
    </row>
    <row r="388" customFormat="false" ht="15" hidden="false" customHeight="false" outlineLevel="0" collapsed="false">
      <c r="A388" s="0" t="s">
        <v>8</v>
      </c>
      <c r="B388" s="0" t="s">
        <v>508</v>
      </c>
      <c r="C388" s="0" t="s">
        <v>7192</v>
      </c>
    </row>
    <row r="389" customFormat="false" ht="15" hidden="false" customHeight="false" outlineLevel="0" collapsed="false">
      <c r="A389" s="0" t="s">
        <v>8</v>
      </c>
      <c r="B389" s="0" t="s">
        <v>511</v>
      </c>
      <c r="C389" s="0" t="s">
        <v>7190</v>
      </c>
      <c r="D389" s="0" t="n">
        <v>0.36</v>
      </c>
    </row>
    <row r="390" customFormat="false" ht="15" hidden="false" customHeight="false" outlineLevel="0" collapsed="false">
      <c r="A390" s="0" t="s">
        <v>8</v>
      </c>
      <c r="B390" s="0" t="s">
        <v>511</v>
      </c>
      <c r="C390" s="0" t="s">
        <v>7191</v>
      </c>
    </row>
    <row r="391" customFormat="false" ht="15" hidden="false" customHeight="false" outlineLevel="0" collapsed="false">
      <c r="A391" s="0" t="s">
        <v>8</v>
      </c>
      <c r="B391" s="0" t="s">
        <v>511</v>
      </c>
      <c r="C391" s="0" t="s">
        <v>7192</v>
      </c>
    </row>
    <row r="392" customFormat="false" ht="15" hidden="false" customHeight="false" outlineLevel="0" collapsed="false">
      <c r="A392" s="0" t="s">
        <v>8</v>
      </c>
      <c r="B392" s="0" t="s">
        <v>515</v>
      </c>
      <c r="C392" s="0" t="s">
        <v>7190</v>
      </c>
      <c r="D392" s="0" t="n">
        <v>0.016</v>
      </c>
    </row>
    <row r="393" customFormat="false" ht="15" hidden="false" customHeight="false" outlineLevel="0" collapsed="false">
      <c r="A393" s="0" t="s">
        <v>8</v>
      </c>
      <c r="B393" s="0" t="s">
        <v>515</v>
      </c>
      <c r="C393" s="0" t="s">
        <v>7191</v>
      </c>
    </row>
    <row r="394" customFormat="false" ht="15" hidden="false" customHeight="false" outlineLevel="0" collapsed="false">
      <c r="A394" s="0" t="s">
        <v>8</v>
      </c>
      <c r="B394" s="0" t="s">
        <v>515</v>
      </c>
      <c r="C394" s="0" t="s">
        <v>7192</v>
      </c>
    </row>
    <row r="395" customFormat="false" ht="15" hidden="false" customHeight="false" outlineLevel="0" collapsed="false">
      <c r="A395" s="0" t="s">
        <v>8</v>
      </c>
      <c r="B395" s="0" t="s">
        <v>518</v>
      </c>
      <c r="C395" s="0" t="s">
        <v>7190</v>
      </c>
      <c r="D395" s="0" t="n">
        <v>0.867</v>
      </c>
    </row>
    <row r="396" customFormat="false" ht="15" hidden="false" customHeight="false" outlineLevel="0" collapsed="false">
      <c r="A396" s="0" t="s">
        <v>8</v>
      </c>
      <c r="B396" s="0" t="s">
        <v>518</v>
      </c>
      <c r="C396" s="0" t="s">
        <v>7191</v>
      </c>
    </row>
    <row r="397" customFormat="false" ht="15" hidden="false" customHeight="false" outlineLevel="0" collapsed="false">
      <c r="A397" s="0" t="s">
        <v>8</v>
      </c>
      <c r="B397" s="0" t="s">
        <v>518</v>
      </c>
      <c r="C397" s="0" t="s">
        <v>7192</v>
      </c>
    </row>
    <row r="398" customFormat="false" ht="15" hidden="false" customHeight="false" outlineLevel="0" collapsed="false">
      <c r="A398" s="0" t="s">
        <v>8</v>
      </c>
      <c r="B398" s="0" t="s">
        <v>522</v>
      </c>
      <c r="C398" s="0" t="s">
        <v>7190</v>
      </c>
      <c r="D398" s="0" t="n">
        <v>0.234</v>
      </c>
    </row>
    <row r="399" customFormat="false" ht="15" hidden="false" customHeight="false" outlineLevel="0" collapsed="false">
      <c r="A399" s="0" t="s">
        <v>8</v>
      </c>
      <c r="B399" s="0" t="s">
        <v>522</v>
      </c>
      <c r="C399" s="0" t="s">
        <v>7191</v>
      </c>
    </row>
    <row r="400" customFormat="false" ht="15" hidden="false" customHeight="false" outlineLevel="0" collapsed="false">
      <c r="A400" s="0" t="s">
        <v>8</v>
      </c>
      <c r="B400" s="0" t="s">
        <v>522</v>
      </c>
      <c r="C400" s="0" t="s">
        <v>7192</v>
      </c>
    </row>
    <row r="401" customFormat="false" ht="15" hidden="false" customHeight="false" outlineLevel="0" collapsed="false">
      <c r="A401" s="0" t="s">
        <v>8</v>
      </c>
      <c r="B401" s="0" t="s">
        <v>525</v>
      </c>
      <c r="C401" s="0" t="s">
        <v>7190</v>
      </c>
      <c r="D401" s="0" t="n">
        <v>1.717</v>
      </c>
    </row>
    <row r="402" customFormat="false" ht="15" hidden="false" customHeight="false" outlineLevel="0" collapsed="false">
      <c r="A402" s="0" t="s">
        <v>8</v>
      </c>
      <c r="B402" s="0" t="s">
        <v>525</v>
      </c>
      <c r="C402" s="0" t="s">
        <v>7191</v>
      </c>
    </row>
    <row r="403" customFormat="false" ht="15" hidden="false" customHeight="false" outlineLevel="0" collapsed="false">
      <c r="A403" s="0" t="s">
        <v>8</v>
      </c>
      <c r="B403" s="0" t="s">
        <v>525</v>
      </c>
      <c r="C403" s="0" t="s">
        <v>7192</v>
      </c>
    </row>
    <row r="404" customFormat="false" ht="15" hidden="false" customHeight="false" outlineLevel="0" collapsed="false">
      <c r="A404" s="0" t="s">
        <v>8</v>
      </c>
      <c r="B404" s="0" t="s">
        <v>529</v>
      </c>
      <c r="C404" s="0" t="s">
        <v>7190</v>
      </c>
      <c r="D404" s="0" t="n">
        <v>1.492</v>
      </c>
    </row>
    <row r="405" customFormat="false" ht="15" hidden="false" customHeight="false" outlineLevel="0" collapsed="false">
      <c r="A405" s="0" t="s">
        <v>8</v>
      </c>
      <c r="B405" s="0" t="s">
        <v>529</v>
      </c>
      <c r="C405" s="0" t="s">
        <v>7191</v>
      </c>
    </row>
    <row r="406" customFormat="false" ht="15" hidden="false" customHeight="false" outlineLevel="0" collapsed="false">
      <c r="A406" s="0" t="s">
        <v>8</v>
      </c>
      <c r="B406" s="0" t="s">
        <v>529</v>
      </c>
      <c r="C406" s="0" t="s">
        <v>7192</v>
      </c>
    </row>
    <row r="407" customFormat="false" ht="15" hidden="false" customHeight="false" outlineLevel="0" collapsed="false">
      <c r="A407" s="0" t="s">
        <v>8</v>
      </c>
      <c r="B407" s="0" t="s">
        <v>532</v>
      </c>
      <c r="C407" s="0" t="s">
        <v>7190</v>
      </c>
      <c r="D407" s="0" t="n">
        <v>0.023</v>
      </c>
    </row>
    <row r="408" customFormat="false" ht="15" hidden="false" customHeight="false" outlineLevel="0" collapsed="false">
      <c r="A408" s="0" t="s">
        <v>8</v>
      </c>
      <c r="B408" s="0" t="s">
        <v>532</v>
      </c>
      <c r="C408" s="0" t="s">
        <v>7191</v>
      </c>
    </row>
    <row r="409" customFormat="false" ht="15" hidden="false" customHeight="false" outlineLevel="0" collapsed="false">
      <c r="A409" s="0" t="s">
        <v>8</v>
      </c>
      <c r="B409" s="0" t="s">
        <v>532</v>
      </c>
      <c r="C409" s="0" t="s">
        <v>7192</v>
      </c>
    </row>
    <row r="410" customFormat="false" ht="15" hidden="false" customHeight="false" outlineLevel="0" collapsed="false">
      <c r="A410" s="0" t="s">
        <v>8</v>
      </c>
      <c r="B410" s="0" t="s">
        <v>536</v>
      </c>
      <c r="C410" s="0" t="s">
        <v>7190</v>
      </c>
      <c r="D410" s="0" t="n">
        <v>0.017</v>
      </c>
    </row>
    <row r="411" customFormat="false" ht="15" hidden="false" customHeight="false" outlineLevel="0" collapsed="false">
      <c r="A411" s="0" t="s">
        <v>8</v>
      </c>
      <c r="B411" s="0" t="s">
        <v>536</v>
      </c>
      <c r="C411" s="0" t="s">
        <v>7191</v>
      </c>
    </row>
    <row r="412" customFormat="false" ht="15" hidden="false" customHeight="false" outlineLevel="0" collapsed="false">
      <c r="A412" s="0" t="s">
        <v>8</v>
      </c>
      <c r="B412" s="0" t="s">
        <v>536</v>
      </c>
      <c r="C412" s="0" t="s">
        <v>7192</v>
      </c>
    </row>
    <row r="413" customFormat="false" ht="15" hidden="false" customHeight="false" outlineLevel="0" collapsed="false">
      <c r="A413" s="0" t="s">
        <v>8</v>
      </c>
      <c r="B413" s="0" t="s">
        <v>539</v>
      </c>
      <c r="C413" s="0" t="s">
        <v>7190</v>
      </c>
      <c r="D413" s="0" t="n">
        <v>3.3</v>
      </c>
    </row>
    <row r="414" customFormat="false" ht="15" hidden="false" customHeight="false" outlineLevel="0" collapsed="false">
      <c r="A414" s="0" t="s">
        <v>8</v>
      </c>
      <c r="B414" s="0" t="s">
        <v>539</v>
      </c>
      <c r="C414" s="0" t="s">
        <v>7191</v>
      </c>
    </row>
    <row r="415" customFormat="false" ht="15" hidden="false" customHeight="false" outlineLevel="0" collapsed="false">
      <c r="A415" s="0" t="s">
        <v>8</v>
      </c>
      <c r="B415" s="0" t="s">
        <v>539</v>
      </c>
      <c r="C415" s="0" t="s">
        <v>7192</v>
      </c>
    </row>
    <row r="416" customFormat="false" ht="15" hidden="false" customHeight="false" outlineLevel="0" collapsed="false">
      <c r="A416" s="0" t="s">
        <v>8</v>
      </c>
      <c r="B416" s="0" t="s">
        <v>543</v>
      </c>
      <c r="C416" s="0" t="s">
        <v>7190</v>
      </c>
      <c r="D416" s="0" t="n">
        <v>31.8044</v>
      </c>
    </row>
    <row r="417" customFormat="false" ht="15" hidden="false" customHeight="false" outlineLevel="0" collapsed="false">
      <c r="A417" s="0" t="s">
        <v>8</v>
      </c>
      <c r="B417" s="0" t="s">
        <v>543</v>
      </c>
      <c r="C417" s="0" t="s">
        <v>7191</v>
      </c>
    </row>
    <row r="418" customFormat="false" ht="15" hidden="false" customHeight="false" outlineLevel="0" collapsed="false">
      <c r="A418" s="0" t="s">
        <v>8</v>
      </c>
      <c r="B418" s="0" t="s">
        <v>543</v>
      </c>
      <c r="C418" s="0" t="s">
        <v>7192</v>
      </c>
    </row>
    <row r="419" customFormat="false" ht="15" hidden="false" customHeight="false" outlineLevel="0" collapsed="false">
      <c r="A419" s="0" t="s">
        <v>8</v>
      </c>
      <c r="B419" s="0" t="s">
        <v>546</v>
      </c>
      <c r="C419" s="0" t="s">
        <v>7190</v>
      </c>
      <c r="D419" s="0" t="n">
        <v>3.9087</v>
      </c>
    </row>
    <row r="420" customFormat="false" ht="15" hidden="false" customHeight="false" outlineLevel="0" collapsed="false">
      <c r="A420" s="0" t="s">
        <v>8</v>
      </c>
      <c r="B420" s="0" t="s">
        <v>546</v>
      </c>
      <c r="C420" s="0" t="s">
        <v>7191</v>
      </c>
    </row>
    <row r="421" customFormat="false" ht="15" hidden="false" customHeight="false" outlineLevel="0" collapsed="false">
      <c r="A421" s="0" t="s">
        <v>8</v>
      </c>
      <c r="B421" s="0" t="s">
        <v>546</v>
      </c>
      <c r="C421" s="0" t="s">
        <v>7192</v>
      </c>
    </row>
    <row r="422" customFormat="false" ht="15" hidden="false" customHeight="false" outlineLevel="0" collapsed="false">
      <c r="A422" s="0" t="s">
        <v>8</v>
      </c>
      <c r="B422" s="0" t="s">
        <v>549</v>
      </c>
      <c r="C422" s="0" t="s">
        <v>7190</v>
      </c>
      <c r="D422" s="0" t="n">
        <v>5.0536</v>
      </c>
    </row>
    <row r="423" customFormat="false" ht="15" hidden="false" customHeight="false" outlineLevel="0" collapsed="false">
      <c r="A423" s="0" t="s">
        <v>8</v>
      </c>
      <c r="B423" s="0" t="s">
        <v>549</v>
      </c>
      <c r="C423" s="0" t="s">
        <v>7191</v>
      </c>
    </row>
    <row r="424" customFormat="false" ht="15" hidden="false" customHeight="false" outlineLevel="0" collapsed="false">
      <c r="A424" s="0" t="s">
        <v>8</v>
      </c>
      <c r="B424" s="0" t="s">
        <v>549</v>
      </c>
      <c r="C424" s="0" t="s">
        <v>7192</v>
      </c>
    </row>
    <row r="425" customFormat="false" ht="15" hidden="false" customHeight="false" outlineLevel="0" collapsed="false">
      <c r="A425" s="0" t="s">
        <v>8</v>
      </c>
      <c r="B425" s="0" t="s">
        <v>552</v>
      </c>
      <c r="C425" s="0" t="s">
        <v>7190</v>
      </c>
      <c r="D425" s="0" t="n">
        <v>5.5827</v>
      </c>
    </row>
    <row r="426" customFormat="false" ht="15" hidden="false" customHeight="false" outlineLevel="0" collapsed="false">
      <c r="A426" s="0" t="s">
        <v>8</v>
      </c>
      <c r="B426" s="0" t="s">
        <v>552</v>
      </c>
      <c r="C426" s="0" t="s">
        <v>7191</v>
      </c>
    </row>
    <row r="427" customFormat="false" ht="15" hidden="false" customHeight="false" outlineLevel="0" collapsed="false">
      <c r="A427" s="0" t="s">
        <v>8</v>
      </c>
      <c r="B427" s="0" t="s">
        <v>552</v>
      </c>
      <c r="C427" s="0" t="s">
        <v>7192</v>
      </c>
    </row>
    <row r="428" customFormat="false" ht="15" hidden="false" customHeight="false" outlineLevel="0" collapsed="false">
      <c r="A428" s="0" t="s">
        <v>8</v>
      </c>
      <c r="B428" s="0" t="s">
        <v>555</v>
      </c>
      <c r="C428" s="0" t="s">
        <v>7190</v>
      </c>
      <c r="D428" s="0" t="n">
        <v>0.1484</v>
      </c>
    </row>
    <row r="429" customFormat="false" ht="15" hidden="false" customHeight="false" outlineLevel="0" collapsed="false">
      <c r="A429" s="0" t="s">
        <v>8</v>
      </c>
      <c r="B429" s="0" t="s">
        <v>555</v>
      </c>
      <c r="C429" s="0" t="s">
        <v>7191</v>
      </c>
    </row>
    <row r="430" customFormat="false" ht="15" hidden="false" customHeight="false" outlineLevel="0" collapsed="false">
      <c r="A430" s="0" t="s">
        <v>8</v>
      </c>
      <c r="B430" s="0" t="s">
        <v>555</v>
      </c>
      <c r="C430" s="0" t="s">
        <v>7192</v>
      </c>
    </row>
    <row r="431" customFormat="false" ht="15" hidden="false" customHeight="false" outlineLevel="0" collapsed="false">
      <c r="A431" s="0" t="s">
        <v>8</v>
      </c>
      <c r="B431" s="0" t="s">
        <v>558</v>
      </c>
      <c r="C431" s="0" t="s">
        <v>7190</v>
      </c>
      <c r="D431" s="0" t="n">
        <v>0.7431</v>
      </c>
    </row>
    <row r="432" customFormat="false" ht="15" hidden="false" customHeight="false" outlineLevel="0" collapsed="false">
      <c r="A432" s="0" t="s">
        <v>8</v>
      </c>
      <c r="B432" s="0" t="s">
        <v>558</v>
      </c>
      <c r="C432" s="0" t="s">
        <v>7191</v>
      </c>
    </row>
    <row r="433" customFormat="false" ht="15" hidden="false" customHeight="false" outlineLevel="0" collapsed="false">
      <c r="A433" s="0" t="s">
        <v>8</v>
      </c>
      <c r="B433" s="0" t="s">
        <v>558</v>
      </c>
      <c r="C433" s="0" t="s">
        <v>7192</v>
      </c>
    </row>
    <row r="434" customFormat="false" ht="15" hidden="false" customHeight="false" outlineLevel="0" collapsed="false">
      <c r="A434" s="0" t="s">
        <v>8</v>
      </c>
      <c r="B434" s="0" t="s">
        <v>562</v>
      </c>
      <c r="C434" s="0" t="s">
        <v>7190</v>
      </c>
      <c r="D434" s="0" t="n">
        <v>47.1817</v>
      </c>
    </row>
    <row r="435" customFormat="false" ht="15" hidden="false" customHeight="false" outlineLevel="0" collapsed="false">
      <c r="A435" s="0" t="s">
        <v>8</v>
      </c>
      <c r="B435" s="0" t="s">
        <v>562</v>
      </c>
      <c r="C435" s="0" t="s">
        <v>7191</v>
      </c>
    </row>
    <row r="436" customFormat="false" ht="15" hidden="false" customHeight="false" outlineLevel="0" collapsed="false">
      <c r="A436" s="0" t="s">
        <v>8</v>
      </c>
      <c r="B436" s="0" t="s">
        <v>562</v>
      </c>
      <c r="C436" s="0" t="s">
        <v>7192</v>
      </c>
    </row>
    <row r="437" customFormat="false" ht="15" hidden="false" customHeight="false" outlineLevel="0" collapsed="false">
      <c r="A437" s="0" t="s">
        <v>8</v>
      </c>
      <c r="B437" s="0" t="s">
        <v>566</v>
      </c>
      <c r="C437" s="0" t="s">
        <v>7190</v>
      </c>
      <c r="D437" s="0" t="n">
        <v>31.8197</v>
      </c>
    </row>
    <row r="438" customFormat="false" ht="15" hidden="false" customHeight="false" outlineLevel="0" collapsed="false">
      <c r="A438" s="0" t="s">
        <v>8</v>
      </c>
      <c r="B438" s="0" t="s">
        <v>566</v>
      </c>
      <c r="C438" s="0" t="s">
        <v>7191</v>
      </c>
    </row>
    <row r="439" customFormat="false" ht="15" hidden="false" customHeight="false" outlineLevel="0" collapsed="false">
      <c r="A439" s="0" t="s">
        <v>8</v>
      </c>
      <c r="B439" s="0" t="s">
        <v>566</v>
      </c>
      <c r="C439" s="0" t="s">
        <v>7192</v>
      </c>
    </row>
    <row r="440" customFormat="false" ht="15" hidden="false" customHeight="false" outlineLevel="0" collapsed="false">
      <c r="A440" s="0" t="s">
        <v>8</v>
      </c>
      <c r="B440" s="0" t="s">
        <v>569</v>
      </c>
      <c r="C440" s="0" t="s">
        <v>7190</v>
      </c>
      <c r="D440" s="0" t="n">
        <v>9.3736</v>
      </c>
    </row>
    <row r="441" customFormat="false" ht="15" hidden="false" customHeight="false" outlineLevel="0" collapsed="false">
      <c r="A441" s="0" t="s">
        <v>8</v>
      </c>
      <c r="B441" s="0" t="s">
        <v>569</v>
      </c>
      <c r="C441" s="0" t="s">
        <v>7191</v>
      </c>
    </row>
    <row r="442" customFormat="false" ht="15" hidden="false" customHeight="false" outlineLevel="0" collapsed="false">
      <c r="A442" s="0" t="s">
        <v>8</v>
      </c>
      <c r="B442" s="0" t="s">
        <v>569</v>
      </c>
      <c r="C442" s="0" t="s">
        <v>7192</v>
      </c>
    </row>
    <row r="443" customFormat="false" ht="15" hidden="false" customHeight="false" outlineLevel="0" collapsed="false">
      <c r="A443" s="0" t="s">
        <v>8</v>
      </c>
      <c r="B443" s="0" t="s">
        <v>573</v>
      </c>
      <c r="C443" s="0" t="s">
        <v>7190</v>
      </c>
      <c r="D443" s="0" t="n">
        <v>4.6886</v>
      </c>
    </row>
    <row r="444" customFormat="false" ht="15" hidden="false" customHeight="false" outlineLevel="0" collapsed="false">
      <c r="A444" s="0" t="s">
        <v>8</v>
      </c>
      <c r="B444" s="0" t="s">
        <v>573</v>
      </c>
      <c r="C444" s="0" t="s">
        <v>7191</v>
      </c>
    </row>
    <row r="445" customFormat="false" ht="15" hidden="false" customHeight="false" outlineLevel="0" collapsed="false">
      <c r="A445" s="0" t="s">
        <v>8</v>
      </c>
      <c r="B445" s="0" t="s">
        <v>573</v>
      </c>
      <c r="C445" s="0" t="s">
        <v>7192</v>
      </c>
    </row>
    <row r="446" customFormat="false" ht="15" hidden="false" customHeight="false" outlineLevel="0" collapsed="false">
      <c r="A446" s="0" t="s">
        <v>8</v>
      </c>
      <c r="B446" s="0" t="s">
        <v>576</v>
      </c>
      <c r="C446" s="0" t="s">
        <v>7190</v>
      </c>
      <c r="D446" s="0" t="n">
        <v>0.747</v>
      </c>
    </row>
    <row r="447" customFormat="false" ht="15" hidden="false" customHeight="false" outlineLevel="0" collapsed="false">
      <c r="A447" s="0" t="s">
        <v>8</v>
      </c>
      <c r="B447" s="0" t="s">
        <v>576</v>
      </c>
      <c r="C447" s="0" t="s">
        <v>7191</v>
      </c>
    </row>
    <row r="448" customFormat="false" ht="15" hidden="false" customHeight="false" outlineLevel="0" collapsed="false">
      <c r="A448" s="0" t="s">
        <v>8</v>
      </c>
      <c r="B448" s="0" t="s">
        <v>576</v>
      </c>
      <c r="C448" s="0" t="s">
        <v>7192</v>
      </c>
    </row>
    <row r="449" customFormat="false" ht="15" hidden="false" customHeight="false" outlineLevel="0" collapsed="false">
      <c r="A449" s="0" t="s">
        <v>8</v>
      </c>
      <c r="B449" s="0" t="s">
        <v>580</v>
      </c>
      <c r="C449" s="0" t="s">
        <v>7190</v>
      </c>
      <c r="D449" s="0" t="n">
        <v>4.623</v>
      </c>
    </row>
    <row r="450" customFormat="false" ht="15" hidden="false" customHeight="false" outlineLevel="0" collapsed="false">
      <c r="A450" s="0" t="s">
        <v>8</v>
      </c>
      <c r="B450" s="0" t="s">
        <v>580</v>
      </c>
      <c r="C450" s="0" t="s">
        <v>7191</v>
      </c>
    </row>
    <row r="451" customFormat="false" ht="15" hidden="false" customHeight="false" outlineLevel="0" collapsed="false">
      <c r="A451" s="0" t="s">
        <v>8</v>
      </c>
      <c r="B451" s="0" t="s">
        <v>580</v>
      </c>
      <c r="C451" s="0" t="s">
        <v>7192</v>
      </c>
    </row>
    <row r="452" customFormat="false" ht="15" hidden="false" customHeight="false" outlineLevel="0" collapsed="false">
      <c r="A452" s="0" t="s">
        <v>8</v>
      </c>
      <c r="B452" s="0" t="s">
        <v>583</v>
      </c>
      <c r="C452" s="0" t="s">
        <v>7190</v>
      </c>
      <c r="D452" s="0" t="n">
        <v>22.5915</v>
      </c>
    </row>
    <row r="453" customFormat="false" ht="15" hidden="false" customHeight="false" outlineLevel="0" collapsed="false">
      <c r="A453" s="0" t="s">
        <v>8</v>
      </c>
      <c r="B453" s="0" t="s">
        <v>583</v>
      </c>
      <c r="C453" s="0" t="s">
        <v>7191</v>
      </c>
    </row>
    <row r="454" customFormat="false" ht="15" hidden="false" customHeight="false" outlineLevel="0" collapsed="false">
      <c r="A454" s="0" t="s">
        <v>8</v>
      </c>
      <c r="B454" s="0" t="s">
        <v>583</v>
      </c>
      <c r="C454" s="0" t="s">
        <v>7192</v>
      </c>
    </row>
    <row r="455" customFormat="false" ht="15" hidden="false" customHeight="false" outlineLevel="0" collapsed="false">
      <c r="A455" s="0" t="s">
        <v>8</v>
      </c>
      <c r="B455" s="0" t="s">
        <v>587</v>
      </c>
      <c r="C455" s="0" t="s">
        <v>7190</v>
      </c>
      <c r="D455" s="0" t="n">
        <v>22.6922</v>
      </c>
    </row>
    <row r="456" customFormat="false" ht="15" hidden="false" customHeight="false" outlineLevel="0" collapsed="false">
      <c r="A456" s="0" t="s">
        <v>8</v>
      </c>
      <c r="B456" s="0" t="s">
        <v>587</v>
      </c>
      <c r="C456" s="0" t="s">
        <v>7191</v>
      </c>
    </row>
    <row r="457" customFormat="false" ht="15" hidden="false" customHeight="false" outlineLevel="0" collapsed="false">
      <c r="A457" s="0" t="s">
        <v>8</v>
      </c>
      <c r="B457" s="0" t="s">
        <v>587</v>
      </c>
      <c r="C457" s="0" t="s">
        <v>7192</v>
      </c>
    </row>
    <row r="458" customFormat="false" ht="15" hidden="false" customHeight="false" outlineLevel="0" collapsed="false">
      <c r="A458" s="0" t="s">
        <v>8</v>
      </c>
      <c r="B458" s="0" t="s">
        <v>590</v>
      </c>
      <c r="C458" s="0" t="s">
        <v>7190</v>
      </c>
      <c r="D458" s="0" t="n">
        <v>1.0859</v>
      </c>
    </row>
    <row r="459" customFormat="false" ht="15" hidden="false" customHeight="false" outlineLevel="0" collapsed="false">
      <c r="A459" s="0" t="s">
        <v>8</v>
      </c>
      <c r="B459" s="0" t="s">
        <v>590</v>
      </c>
      <c r="C459" s="0" t="s">
        <v>7191</v>
      </c>
    </row>
    <row r="460" customFormat="false" ht="15" hidden="false" customHeight="false" outlineLevel="0" collapsed="false">
      <c r="A460" s="0" t="s">
        <v>8</v>
      </c>
      <c r="B460" s="0" t="s">
        <v>590</v>
      </c>
      <c r="C460" s="0" t="s">
        <v>7192</v>
      </c>
    </row>
    <row r="461" customFormat="false" ht="15" hidden="false" customHeight="false" outlineLevel="0" collapsed="false">
      <c r="A461" s="0" t="s">
        <v>8</v>
      </c>
      <c r="B461" s="0" t="s">
        <v>594</v>
      </c>
      <c r="C461" s="0" t="s">
        <v>7190</v>
      </c>
      <c r="D461" s="0" t="n">
        <v>1.0534</v>
      </c>
    </row>
    <row r="462" customFormat="false" ht="15" hidden="false" customHeight="false" outlineLevel="0" collapsed="false">
      <c r="A462" s="0" t="s">
        <v>8</v>
      </c>
      <c r="B462" s="0" t="s">
        <v>594</v>
      </c>
      <c r="C462" s="0" t="s">
        <v>7191</v>
      </c>
    </row>
    <row r="463" customFormat="false" ht="15" hidden="false" customHeight="false" outlineLevel="0" collapsed="false">
      <c r="A463" s="0" t="s">
        <v>8</v>
      </c>
      <c r="B463" s="0" t="s">
        <v>594</v>
      </c>
      <c r="C463" s="0" t="s">
        <v>7192</v>
      </c>
    </row>
    <row r="464" customFormat="false" ht="15" hidden="false" customHeight="false" outlineLevel="0" collapsed="false">
      <c r="A464" s="0" t="s">
        <v>8</v>
      </c>
      <c r="B464" s="0" t="s">
        <v>598</v>
      </c>
      <c r="C464" s="0" t="s">
        <v>7190</v>
      </c>
      <c r="D464" s="0" t="n">
        <v>6.8945</v>
      </c>
    </row>
    <row r="465" customFormat="false" ht="15" hidden="false" customHeight="false" outlineLevel="0" collapsed="false">
      <c r="A465" s="0" t="s">
        <v>8</v>
      </c>
      <c r="B465" s="0" t="s">
        <v>598</v>
      </c>
      <c r="C465" s="0" t="s">
        <v>7191</v>
      </c>
    </row>
    <row r="466" customFormat="false" ht="15" hidden="false" customHeight="false" outlineLevel="0" collapsed="false">
      <c r="A466" s="0" t="s">
        <v>8</v>
      </c>
      <c r="B466" s="0" t="s">
        <v>598</v>
      </c>
      <c r="C466" s="0" t="s">
        <v>7192</v>
      </c>
    </row>
    <row r="467" customFormat="false" ht="15" hidden="false" customHeight="false" outlineLevel="0" collapsed="false">
      <c r="A467" s="0" t="s">
        <v>8</v>
      </c>
      <c r="B467" s="0" t="s">
        <v>602</v>
      </c>
      <c r="C467" s="0" t="s">
        <v>7190</v>
      </c>
      <c r="D467" s="0" t="n">
        <v>1.3725</v>
      </c>
    </row>
    <row r="468" customFormat="false" ht="15" hidden="false" customHeight="false" outlineLevel="0" collapsed="false">
      <c r="A468" s="0" t="s">
        <v>8</v>
      </c>
      <c r="B468" s="0" t="s">
        <v>602</v>
      </c>
      <c r="C468" s="0" t="s">
        <v>7191</v>
      </c>
    </row>
    <row r="469" customFormat="false" ht="15" hidden="false" customHeight="false" outlineLevel="0" collapsed="false">
      <c r="A469" s="0" t="s">
        <v>8</v>
      </c>
      <c r="B469" s="0" t="s">
        <v>602</v>
      </c>
      <c r="C469" s="0" t="s">
        <v>7192</v>
      </c>
    </row>
    <row r="470" customFormat="false" ht="15" hidden="false" customHeight="false" outlineLevel="0" collapsed="false">
      <c r="A470" s="0" t="s">
        <v>8</v>
      </c>
      <c r="B470" s="0" t="s">
        <v>605</v>
      </c>
      <c r="C470" s="0" t="s">
        <v>7190</v>
      </c>
      <c r="D470" s="0" t="n">
        <v>5.4514</v>
      </c>
    </row>
    <row r="471" customFormat="false" ht="15" hidden="false" customHeight="false" outlineLevel="0" collapsed="false">
      <c r="A471" s="0" t="s">
        <v>8</v>
      </c>
      <c r="B471" s="0" t="s">
        <v>605</v>
      </c>
      <c r="C471" s="0" t="s">
        <v>7191</v>
      </c>
    </row>
    <row r="472" customFormat="false" ht="15" hidden="false" customHeight="false" outlineLevel="0" collapsed="false">
      <c r="A472" s="0" t="s">
        <v>8</v>
      </c>
      <c r="B472" s="0" t="s">
        <v>605</v>
      </c>
      <c r="C472" s="0" t="s">
        <v>7192</v>
      </c>
    </row>
    <row r="473" customFormat="false" ht="15" hidden="false" customHeight="false" outlineLevel="0" collapsed="false">
      <c r="A473" s="0" t="s">
        <v>8</v>
      </c>
      <c r="B473" s="0" t="s">
        <v>609</v>
      </c>
      <c r="C473" s="0" t="s">
        <v>7190</v>
      </c>
      <c r="D473" s="0" t="n">
        <v>6.7127</v>
      </c>
    </row>
    <row r="474" customFormat="false" ht="15" hidden="false" customHeight="false" outlineLevel="0" collapsed="false">
      <c r="A474" s="0" t="s">
        <v>8</v>
      </c>
      <c r="B474" s="0" t="s">
        <v>609</v>
      </c>
      <c r="C474" s="0" t="s">
        <v>7191</v>
      </c>
    </row>
    <row r="475" customFormat="false" ht="15" hidden="false" customHeight="false" outlineLevel="0" collapsed="false">
      <c r="A475" s="0" t="s">
        <v>8</v>
      </c>
      <c r="B475" s="0" t="s">
        <v>609</v>
      </c>
      <c r="C475" s="0" t="s">
        <v>7192</v>
      </c>
    </row>
    <row r="476" customFormat="false" ht="15" hidden="false" customHeight="false" outlineLevel="0" collapsed="false">
      <c r="A476" s="0" t="s">
        <v>8</v>
      </c>
      <c r="B476" s="0" t="s">
        <v>612</v>
      </c>
      <c r="C476" s="0" t="s">
        <v>7190</v>
      </c>
      <c r="D476" s="0" t="n">
        <v>1.3216</v>
      </c>
    </row>
    <row r="477" customFormat="false" ht="15" hidden="false" customHeight="false" outlineLevel="0" collapsed="false">
      <c r="A477" s="0" t="s">
        <v>8</v>
      </c>
      <c r="B477" s="0" t="s">
        <v>612</v>
      </c>
      <c r="C477" s="0" t="s">
        <v>7191</v>
      </c>
    </row>
    <row r="478" customFormat="false" ht="15" hidden="false" customHeight="false" outlineLevel="0" collapsed="false">
      <c r="A478" s="0" t="s">
        <v>8</v>
      </c>
      <c r="B478" s="0" t="s">
        <v>612</v>
      </c>
      <c r="C478" s="0" t="s">
        <v>7192</v>
      </c>
    </row>
    <row r="479" customFormat="false" ht="15" hidden="false" customHeight="false" outlineLevel="0" collapsed="false">
      <c r="A479" s="0" t="s">
        <v>8</v>
      </c>
      <c r="B479" s="0" t="s">
        <v>616</v>
      </c>
      <c r="C479" s="0" t="s">
        <v>7190</v>
      </c>
      <c r="D479" s="0" t="n">
        <v>7.2735</v>
      </c>
    </row>
    <row r="480" customFormat="false" ht="15" hidden="false" customHeight="false" outlineLevel="0" collapsed="false">
      <c r="A480" s="0" t="s">
        <v>8</v>
      </c>
      <c r="B480" s="0" t="s">
        <v>616</v>
      </c>
      <c r="C480" s="0" t="s">
        <v>7191</v>
      </c>
    </row>
    <row r="481" customFormat="false" ht="15" hidden="false" customHeight="false" outlineLevel="0" collapsed="false">
      <c r="A481" s="0" t="s">
        <v>8</v>
      </c>
      <c r="B481" s="0" t="s">
        <v>616</v>
      </c>
      <c r="C481" s="0" t="s">
        <v>7192</v>
      </c>
    </row>
    <row r="482" customFormat="false" ht="15" hidden="false" customHeight="false" outlineLevel="0" collapsed="false">
      <c r="A482" s="0" t="s">
        <v>8</v>
      </c>
      <c r="B482" s="0" t="s">
        <v>620</v>
      </c>
      <c r="C482" s="0" t="s">
        <v>7190</v>
      </c>
      <c r="D482" s="0" t="n">
        <v>2.6947</v>
      </c>
    </row>
    <row r="483" customFormat="false" ht="15" hidden="false" customHeight="false" outlineLevel="0" collapsed="false">
      <c r="A483" s="0" t="s">
        <v>8</v>
      </c>
      <c r="B483" s="0" t="s">
        <v>620</v>
      </c>
      <c r="C483" s="0" t="s">
        <v>7191</v>
      </c>
    </row>
    <row r="484" customFormat="false" ht="15" hidden="false" customHeight="false" outlineLevel="0" collapsed="false">
      <c r="A484" s="0" t="s">
        <v>8</v>
      </c>
      <c r="B484" s="0" t="s">
        <v>620</v>
      </c>
      <c r="C484" s="0" t="s">
        <v>7192</v>
      </c>
    </row>
    <row r="485" customFormat="false" ht="15" hidden="false" customHeight="false" outlineLevel="0" collapsed="false">
      <c r="A485" s="0" t="s">
        <v>8</v>
      </c>
      <c r="B485" s="0" t="s">
        <v>623</v>
      </c>
      <c r="C485" s="0" t="s">
        <v>7190</v>
      </c>
      <c r="D485" s="0" t="n">
        <v>1094</v>
      </c>
    </row>
    <row r="486" customFormat="false" ht="15" hidden="false" customHeight="false" outlineLevel="0" collapsed="false">
      <c r="A486" s="0" t="s">
        <v>8</v>
      </c>
      <c r="B486" s="0" t="s">
        <v>623</v>
      </c>
      <c r="C486" s="0" t="s">
        <v>7191</v>
      </c>
    </row>
    <row r="487" customFormat="false" ht="15" hidden="false" customHeight="false" outlineLevel="0" collapsed="false">
      <c r="A487" s="0" t="s">
        <v>8</v>
      </c>
      <c r="B487" s="0" t="s">
        <v>623</v>
      </c>
      <c r="C487" s="0" t="s">
        <v>7192</v>
      </c>
    </row>
    <row r="488" customFormat="false" ht="15" hidden="false" customHeight="false" outlineLevel="0" collapsed="false">
      <c r="A488" s="0" t="s">
        <v>8</v>
      </c>
      <c r="B488" s="0" t="s">
        <v>628</v>
      </c>
      <c r="C488" s="0" t="s">
        <v>7190</v>
      </c>
      <c r="D488" s="0" t="n">
        <v>13.634</v>
      </c>
    </row>
    <row r="489" customFormat="false" ht="15" hidden="false" customHeight="false" outlineLevel="0" collapsed="false">
      <c r="A489" s="0" t="s">
        <v>8</v>
      </c>
      <c r="B489" s="0" t="s">
        <v>628</v>
      </c>
      <c r="C489" s="0" t="s">
        <v>7191</v>
      </c>
    </row>
    <row r="490" customFormat="false" ht="15" hidden="false" customHeight="false" outlineLevel="0" collapsed="false">
      <c r="A490" s="0" t="s">
        <v>8</v>
      </c>
      <c r="B490" s="0" t="s">
        <v>628</v>
      </c>
      <c r="C490" s="0" t="s">
        <v>7192</v>
      </c>
    </row>
    <row r="491" customFormat="false" ht="15" hidden="false" customHeight="false" outlineLevel="0" collapsed="false">
      <c r="A491" s="0" t="s">
        <v>8</v>
      </c>
      <c r="B491" s="0" t="s">
        <v>632</v>
      </c>
      <c r="C491" s="0" t="s">
        <v>7190</v>
      </c>
      <c r="D491" s="0" t="n">
        <v>0.01246</v>
      </c>
    </row>
    <row r="492" customFormat="false" ht="15" hidden="false" customHeight="false" outlineLevel="0" collapsed="false">
      <c r="A492" s="0" t="s">
        <v>8</v>
      </c>
      <c r="B492" s="0" t="s">
        <v>632</v>
      </c>
      <c r="C492" s="0" t="s">
        <v>7191</v>
      </c>
    </row>
    <row r="493" customFormat="false" ht="15" hidden="false" customHeight="false" outlineLevel="0" collapsed="false">
      <c r="A493" s="0" t="s">
        <v>8</v>
      </c>
      <c r="B493" s="0" t="s">
        <v>632</v>
      </c>
      <c r="C493" s="0" t="s">
        <v>7192</v>
      </c>
    </row>
    <row r="494" customFormat="false" ht="15" hidden="false" customHeight="false" outlineLevel="0" collapsed="false">
      <c r="A494" s="0" t="s">
        <v>8</v>
      </c>
      <c r="B494" s="0" t="s">
        <v>641</v>
      </c>
      <c r="C494" s="0" t="s">
        <v>7190</v>
      </c>
    </row>
    <row r="495" customFormat="false" ht="15" hidden="false" customHeight="false" outlineLevel="0" collapsed="false">
      <c r="A495" s="0" t="s">
        <v>8</v>
      </c>
      <c r="B495" s="0" t="s">
        <v>641</v>
      </c>
      <c r="C495" s="0" t="s">
        <v>7191</v>
      </c>
    </row>
    <row r="496" customFormat="false" ht="15" hidden="false" customHeight="false" outlineLevel="0" collapsed="false">
      <c r="A496" s="0" t="s">
        <v>8</v>
      </c>
      <c r="B496" s="0" t="s">
        <v>641</v>
      </c>
      <c r="C496" s="0" t="s">
        <v>7192</v>
      </c>
    </row>
    <row r="497" customFormat="false" ht="15" hidden="false" customHeight="false" outlineLevel="0" collapsed="false">
      <c r="A497" s="0" t="s">
        <v>8</v>
      </c>
      <c r="B497" s="0" t="s">
        <v>645</v>
      </c>
      <c r="C497" s="0" t="s">
        <v>7190</v>
      </c>
      <c r="D497" s="0" t="n">
        <v>83</v>
      </c>
    </row>
    <row r="498" customFormat="false" ht="15" hidden="false" customHeight="false" outlineLevel="0" collapsed="false">
      <c r="A498" s="0" t="s">
        <v>8</v>
      </c>
      <c r="B498" s="0" t="s">
        <v>645</v>
      </c>
      <c r="C498" s="0" t="s">
        <v>7191</v>
      </c>
    </row>
    <row r="499" customFormat="false" ht="15" hidden="false" customHeight="false" outlineLevel="0" collapsed="false">
      <c r="A499" s="0" t="s">
        <v>8</v>
      </c>
      <c r="B499" s="0" t="s">
        <v>645</v>
      </c>
      <c r="C499" s="0" t="s">
        <v>7192</v>
      </c>
    </row>
    <row r="500" customFormat="false" ht="15" hidden="false" customHeight="false" outlineLevel="0" collapsed="false">
      <c r="A500" s="0" t="s">
        <v>8</v>
      </c>
      <c r="B500" s="0" t="s">
        <v>651</v>
      </c>
      <c r="C500" s="0" t="s">
        <v>7190</v>
      </c>
    </row>
    <row r="501" customFormat="false" ht="15" hidden="false" customHeight="false" outlineLevel="0" collapsed="false">
      <c r="A501" s="0" t="s">
        <v>8</v>
      </c>
      <c r="B501" s="0" t="s">
        <v>651</v>
      </c>
      <c r="C501" s="0" t="s">
        <v>7191</v>
      </c>
    </row>
    <row r="502" customFormat="false" ht="15" hidden="false" customHeight="false" outlineLevel="0" collapsed="false">
      <c r="A502" s="0" t="s">
        <v>8</v>
      </c>
      <c r="B502" s="0" t="s">
        <v>651</v>
      </c>
      <c r="C502" s="0" t="s">
        <v>7192</v>
      </c>
    </row>
    <row r="503" customFormat="false" ht="15" hidden="false" customHeight="false" outlineLevel="0" collapsed="false">
      <c r="A503" s="0" t="s">
        <v>8</v>
      </c>
      <c r="B503" s="0" t="s">
        <v>655</v>
      </c>
      <c r="C503" s="0" t="s">
        <v>7190</v>
      </c>
      <c r="D503" s="0" t="n">
        <v>242000</v>
      </c>
    </row>
    <row r="504" customFormat="false" ht="15" hidden="false" customHeight="false" outlineLevel="0" collapsed="false">
      <c r="A504" s="0" t="s">
        <v>8</v>
      </c>
      <c r="B504" s="0" t="s">
        <v>655</v>
      </c>
      <c r="C504" s="0" t="s">
        <v>7191</v>
      </c>
      <c r="D504" s="0" t="n">
        <v>242000</v>
      </c>
    </row>
    <row r="505" customFormat="false" ht="15" hidden="false" customHeight="false" outlineLevel="0" collapsed="false">
      <c r="A505" s="0" t="s">
        <v>8</v>
      </c>
      <c r="B505" s="0" t="s">
        <v>655</v>
      </c>
      <c r="C505" s="0" t="s">
        <v>7192</v>
      </c>
    </row>
    <row r="506" customFormat="false" ht="15" hidden="false" customHeight="false" outlineLevel="0" collapsed="false">
      <c r="A506" s="0" t="s">
        <v>8</v>
      </c>
      <c r="B506" s="0" t="s">
        <v>659</v>
      </c>
      <c r="C506" s="0" t="s">
        <v>7190</v>
      </c>
      <c r="D506" s="0" t="n">
        <v>8.2518</v>
      </c>
    </row>
    <row r="507" customFormat="false" ht="15" hidden="false" customHeight="false" outlineLevel="0" collapsed="false">
      <c r="A507" s="0" t="s">
        <v>8</v>
      </c>
      <c r="B507" s="0" t="s">
        <v>659</v>
      </c>
      <c r="C507" s="0" t="s">
        <v>7191</v>
      </c>
    </row>
    <row r="508" customFormat="false" ht="15" hidden="false" customHeight="false" outlineLevel="0" collapsed="false">
      <c r="A508" s="0" t="s">
        <v>8</v>
      </c>
      <c r="B508" s="0" t="s">
        <v>659</v>
      </c>
      <c r="C508" s="0" t="s">
        <v>7192</v>
      </c>
    </row>
    <row r="509" customFormat="false" ht="15" hidden="false" customHeight="false" outlineLevel="0" collapsed="false">
      <c r="A509" s="0" t="s">
        <v>8</v>
      </c>
      <c r="B509" s="0" t="s">
        <v>668</v>
      </c>
      <c r="C509" s="0" t="s">
        <v>7190</v>
      </c>
      <c r="D509" s="0" t="n">
        <v>0.291</v>
      </c>
    </row>
    <row r="510" customFormat="false" ht="15" hidden="false" customHeight="false" outlineLevel="0" collapsed="false">
      <c r="A510" s="0" t="s">
        <v>8</v>
      </c>
      <c r="B510" s="0" t="s">
        <v>668</v>
      </c>
      <c r="C510" s="0" t="s">
        <v>7191</v>
      </c>
    </row>
    <row r="511" customFormat="false" ht="15" hidden="false" customHeight="false" outlineLevel="0" collapsed="false">
      <c r="A511" s="0" t="s">
        <v>8</v>
      </c>
      <c r="B511" s="0" t="s">
        <v>668</v>
      </c>
      <c r="C511" s="0" t="s">
        <v>7192</v>
      </c>
    </row>
    <row r="512" customFormat="false" ht="15" hidden="false" customHeight="false" outlineLevel="0" collapsed="false">
      <c r="A512" s="0" t="s">
        <v>8</v>
      </c>
      <c r="B512" s="0" t="s">
        <v>671</v>
      </c>
      <c r="C512" s="0" t="s">
        <v>7190</v>
      </c>
      <c r="D512" s="0" t="n">
        <v>0.5556</v>
      </c>
    </row>
    <row r="513" customFormat="false" ht="15" hidden="false" customHeight="false" outlineLevel="0" collapsed="false">
      <c r="A513" s="0" t="s">
        <v>8</v>
      </c>
      <c r="B513" s="0" t="s">
        <v>671</v>
      </c>
      <c r="C513" s="0" t="s">
        <v>7191</v>
      </c>
    </row>
    <row r="514" customFormat="false" ht="15" hidden="false" customHeight="false" outlineLevel="0" collapsed="false">
      <c r="A514" s="0" t="s">
        <v>8</v>
      </c>
      <c r="B514" s="0" t="s">
        <v>671</v>
      </c>
      <c r="C514" s="0" t="s">
        <v>7192</v>
      </c>
    </row>
    <row r="515" customFormat="false" ht="15" hidden="false" customHeight="false" outlineLevel="0" collapsed="false">
      <c r="A515" s="0" t="s">
        <v>8</v>
      </c>
      <c r="B515" s="0" t="s">
        <v>675</v>
      </c>
      <c r="C515" s="0" t="s">
        <v>7190</v>
      </c>
      <c r="D515" s="0" t="n">
        <v>0.1374</v>
      </c>
    </row>
    <row r="516" customFormat="false" ht="15" hidden="false" customHeight="false" outlineLevel="0" collapsed="false">
      <c r="A516" s="0" t="s">
        <v>8</v>
      </c>
      <c r="B516" s="0" t="s">
        <v>675</v>
      </c>
      <c r="C516" s="0" t="s">
        <v>7191</v>
      </c>
    </row>
    <row r="517" customFormat="false" ht="15" hidden="false" customHeight="false" outlineLevel="0" collapsed="false">
      <c r="A517" s="0" t="s">
        <v>8</v>
      </c>
      <c r="B517" s="0" t="s">
        <v>675</v>
      </c>
      <c r="C517" s="0" t="s">
        <v>7192</v>
      </c>
    </row>
    <row r="518" customFormat="false" ht="15" hidden="false" customHeight="false" outlineLevel="0" collapsed="false">
      <c r="A518" s="0" t="s">
        <v>8</v>
      </c>
      <c r="B518" s="0" t="s">
        <v>678</v>
      </c>
      <c r="C518" s="0" t="s">
        <v>7190</v>
      </c>
      <c r="D518" s="0" t="n">
        <v>0.6704</v>
      </c>
    </row>
    <row r="519" customFormat="false" ht="15" hidden="false" customHeight="false" outlineLevel="0" collapsed="false">
      <c r="A519" s="0" t="s">
        <v>8</v>
      </c>
      <c r="B519" s="0" t="s">
        <v>678</v>
      </c>
      <c r="C519" s="0" t="s">
        <v>7191</v>
      </c>
    </row>
    <row r="520" customFormat="false" ht="15" hidden="false" customHeight="false" outlineLevel="0" collapsed="false">
      <c r="A520" s="0" t="s">
        <v>8</v>
      </c>
      <c r="B520" s="0" t="s">
        <v>678</v>
      </c>
      <c r="C520" s="0" t="s">
        <v>7192</v>
      </c>
    </row>
    <row r="521" customFormat="false" ht="15" hidden="false" customHeight="false" outlineLevel="0" collapsed="false">
      <c r="A521" s="0" t="s">
        <v>8</v>
      </c>
      <c r="B521" s="0" t="s">
        <v>682</v>
      </c>
      <c r="C521" s="0" t="s">
        <v>7190</v>
      </c>
      <c r="D521" s="0" t="n">
        <v>1.4755</v>
      </c>
    </row>
    <row r="522" customFormat="false" ht="15" hidden="false" customHeight="false" outlineLevel="0" collapsed="false">
      <c r="A522" s="0" t="s">
        <v>8</v>
      </c>
      <c r="B522" s="0" t="s">
        <v>682</v>
      </c>
      <c r="C522" s="0" t="s">
        <v>7191</v>
      </c>
    </row>
    <row r="523" customFormat="false" ht="15" hidden="false" customHeight="false" outlineLevel="0" collapsed="false">
      <c r="A523" s="0" t="s">
        <v>8</v>
      </c>
      <c r="B523" s="0" t="s">
        <v>682</v>
      </c>
      <c r="C523" s="0" t="s">
        <v>7192</v>
      </c>
    </row>
    <row r="524" customFormat="false" ht="15" hidden="false" customHeight="false" outlineLevel="0" collapsed="false">
      <c r="A524" s="0" t="s">
        <v>8</v>
      </c>
      <c r="B524" s="0" t="s">
        <v>685</v>
      </c>
      <c r="C524" s="0" t="s">
        <v>7190</v>
      </c>
      <c r="D524" s="0" t="n">
        <v>0.0612</v>
      </c>
    </row>
    <row r="525" customFormat="false" ht="15" hidden="false" customHeight="false" outlineLevel="0" collapsed="false">
      <c r="A525" s="0" t="s">
        <v>8</v>
      </c>
      <c r="B525" s="0" t="s">
        <v>685</v>
      </c>
      <c r="C525" s="0" t="s">
        <v>7191</v>
      </c>
    </row>
    <row r="526" customFormat="false" ht="15" hidden="false" customHeight="false" outlineLevel="0" collapsed="false">
      <c r="A526" s="0" t="s">
        <v>8</v>
      </c>
      <c r="B526" s="0" t="s">
        <v>685</v>
      </c>
      <c r="C526" s="0" t="s">
        <v>7192</v>
      </c>
    </row>
    <row r="527" customFormat="false" ht="15" hidden="false" customHeight="false" outlineLevel="0" collapsed="false">
      <c r="A527" s="0" t="s">
        <v>8</v>
      </c>
      <c r="B527" s="0" t="s">
        <v>689</v>
      </c>
      <c r="C527" s="0" t="s">
        <v>7190</v>
      </c>
      <c r="D527" s="0" t="n">
        <v>0.0048</v>
      </c>
    </row>
    <row r="528" customFormat="false" ht="15" hidden="false" customHeight="false" outlineLevel="0" collapsed="false">
      <c r="A528" s="0" t="s">
        <v>8</v>
      </c>
      <c r="B528" s="0" t="s">
        <v>689</v>
      </c>
      <c r="C528" s="0" t="s">
        <v>7191</v>
      </c>
    </row>
    <row r="529" customFormat="false" ht="15" hidden="false" customHeight="false" outlineLevel="0" collapsed="false">
      <c r="A529" s="0" t="s">
        <v>8</v>
      </c>
      <c r="B529" s="0" t="s">
        <v>689</v>
      </c>
      <c r="C529" s="0" t="s">
        <v>7192</v>
      </c>
    </row>
    <row r="530" customFormat="false" ht="15" hidden="false" customHeight="false" outlineLevel="0" collapsed="false">
      <c r="A530" s="0" t="s">
        <v>8</v>
      </c>
      <c r="B530" s="0" t="s">
        <v>692</v>
      </c>
      <c r="C530" s="0" t="s">
        <v>7190</v>
      </c>
      <c r="D530" s="0" t="n">
        <v>9.5389</v>
      </c>
    </row>
    <row r="531" customFormat="false" ht="15" hidden="false" customHeight="false" outlineLevel="0" collapsed="false">
      <c r="A531" s="0" t="s">
        <v>8</v>
      </c>
      <c r="B531" s="0" t="s">
        <v>692</v>
      </c>
      <c r="C531" s="0" t="s">
        <v>7191</v>
      </c>
    </row>
    <row r="532" customFormat="false" ht="15" hidden="false" customHeight="false" outlineLevel="0" collapsed="false">
      <c r="A532" s="0" t="s">
        <v>8</v>
      </c>
      <c r="B532" s="0" t="s">
        <v>692</v>
      </c>
      <c r="C532" s="0" t="s">
        <v>7192</v>
      </c>
    </row>
    <row r="533" customFormat="false" ht="15" hidden="false" customHeight="false" outlineLevel="0" collapsed="false">
      <c r="A533" s="0" t="s">
        <v>8</v>
      </c>
      <c r="B533" s="0" t="s">
        <v>695</v>
      </c>
      <c r="C533" s="0" t="s">
        <v>7190</v>
      </c>
      <c r="D533" s="0" t="n">
        <v>1.2872</v>
      </c>
    </row>
    <row r="534" customFormat="false" ht="15" hidden="false" customHeight="false" outlineLevel="0" collapsed="false">
      <c r="A534" s="0" t="s">
        <v>8</v>
      </c>
      <c r="B534" s="0" t="s">
        <v>695</v>
      </c>
      <c r="C534" s="0" t="s">
        <v>7191</v>
      </c>
    </row>
    <row r="535" customFormat="false" ht="15" hidden="false" customHeight="false" outlineLevel="0" collapsed="false">
      <c r="A535" s="0" t="s">
        <v>8</v>
      </c>
      <c r="B535" s="0" t="s">
        <v>695</v>
      </c>
      <c r="C535" s="0" t="s">
        <v>7192</v>
      </c>
    </row>
    <row r="536" customFormat="false" ht="15" hidden="false" customHeight="false" outlineLevel="0" collapsed="false">
      <c r="A536" s="0" t="s">
        <v>8</v>
      </c>
      <c r="B536" s="0" t="s">
        <v>699</v>
      </c>
      <c r="C536" s="0" t="s">
        <v>7190</v>
      </c>
      <c r="D536" s="0" t="n">
        <v>8.2518</v>
      </c>
    </row>
    <row r="537" customFormat="false" ht="15" hidden="false" customHeight="false" outlineLevel="0" collapsed="false">
      <c r="A537" s="0" t="s">
        <v>8</v>
      </c>
      <c r="B537" s="0" t="s">
        <v>699</v>
      </c>
      <c r="C537" s="0" t="s">
        <v>7191</v>
      </c>
    </row>
    <row r="538" customFormat="false" ht="15" hidden="false" customHeight="false" outlineLevel="0" collapsed="false">
      <c r="A538" s="0" t="s">
        <v>8</v>
      </c>
      <c r="B538" s="0" t="s">
        <v>699</v>
      </c>
      <c r="C538" s="0" t="s">
        <v>7192</v>
      </c>
    </row>
    <row r="539" customFormat="false" ht="15" hidden="false" customHeight="false" outlineLevel="0" collapsed="false">
      <c r="A539" s="0" t="s">
        <v>8</v>
      </c>
      <c r="B539" s="0" t="s">
        <v>702</v>
      </c>
      <c r="C539" s="0" t="s">
        <v>7190</v>
      </c>
      <c r="D539" s="0" t="n">
        <v>0.6704</v>
      </c>
    </row>
    <row r="540" customFormat="false" ht="15" hidden="false" customHeight="false" outlineLevel="0" collapsed="false">
      <c r="A540" s="0" t="s">
        <v>8</v>
      </c>
      <c r="B540" s="0" t="s">
        <v>702</v>
      </c>
      <c r="C540" s="0" t="s">
        <v>7191</v>
      </c>
    </row>
    <row r="541" customFormat="false" ht="15" hidden="false" customHeight="false" outlineLevel="0" collapsed="false">
      <c r="A541" s="0" t="s">
        <v>8</v>
      </c>
      <c r="B541" s="0" t="s">
        <v>702</v>
      </c>
      <c r="C541" s="0" t="s">
        <v>7192</v>
      </c>
    </row>
    <row r="542" customFormat="false" ht="15" hidden="false" customHeight="false" outlineLevel="0" collapsed="false">
      <c r="A542" s="0" t="s">
        <v>8</v>
      </c>
      <c r="B542" s="0" t="s">
        <v>712</v>
      </c>
      <c r="C542" s="0" t="s">
        <v>7190</v>
      </c>
      <c r="D542" s="0" t="n">
        <v>1.3</v>
      </c>
    </row>
    <row r="543" customFormat="false" ht="15" hidden="false" customHeight="false" outlineLevel="0" collapsed="false">
      <c r="A543" s="0" t="s">
        <v>8</v>
      </c>
      <c r="B543" s="0" t="s">
        <v>712</v>
      </c>
      <c r="C543" s="0" t="s">
        <v>7191</v>
      </c>
    </row>
    <row r="544" customFormat="false" ht="15" hidden="false" customHeight="false" outlineLevel="0" collapsed="false">
      <c r="A544" s="0" t="s">
        <v>8</v>
      </c>
      <c r="B544" s="0" t="s">
        <v>712</v>
      </c>
      <c r="C544" s="0" t="s">
        <v>7192</v>
      </c>
    </row>
    <row r="545" customFormat="false" ht="15" hidden="false" customHeight="false" outlineLevel="0" collapsed="false">
      <c r="A545" s="0" t="s">
        <v>8</v>
      </c>
      <c r="B545" s="0" t="s">
        <v>721</v>
      </c>
      <c r="C545" s="0" t="s">
        <v>7190</v>
      </c>
      <c r="D545" s="0" t="n">
        <v>7.0228</v>
      </c>
    </row>
    <row r="546" customFormat="false" ht="15" hidden="false" customHeight="false" outlineLevel="0" collapsed="false">
      <c r="A546" s="0" t="s">
        <v>8</v>
      </c>
      <c r="B546" s="0" t="s">
        <v>721</v>
      </c>
      <c r="C546" s="0" t="s">
        <v>7191</v>
      </c>
    </row>
    <row r="547" customFormat="false" ht="15" hidden="false" customHeight="false" outlineLevel="0" collapsed="false">
      <c r="A547" s="0" t="s">
        <v>8</v>
      </c>
      <c r="B547" s="0" t="s">
        <v>721</v>
      </c>
      <c r="C547" s="0" t="s">
        <v>7192</v>
      </c>
    </row>
    <row r="548" customFormat="false" ht="15" hidden="false" customHeight="false" outlineLevel="0" collapsed="false">
      <c r="A548" s="0" t="s">
        <v>8</v>
      </c>
      <c r="B548" s="0" t="s">
        <v>724</v>
      </c>
      <c r="C548" s="0" t="s">
        <v>7190</v>
      </c>
      <c r="D548" s="0" t="n">
        <v>0.9545</v>
      </c>
    </row>
    <row r="549" customFormat="false" ht="15" hidden="false" customHeight="false" outlineLevel="0" collapsed="false">
      <c r="A549" s="0" t="s">
        <v>8</v>
      </c>
      <c r="B549" s="0" t="s">
        <v>724</v>
      </c>
      <c r="C549" s="0" t="s">
        <v>7191</v>
      </c>
    </row>
    <row r="550" customFormat="false" ht="15" hidden="false" customHeight="false" outlineLevel="0" collapsed="false">
      <c r="A550" s="0" t="s">
        <v>8</v>
      </c>
      <c r="B550" s="0" t="s">
        <v>724</v>
      </c>
      <c r="C550" s="0" t="s">
        <v>7192</v>
      </c>
    </row>
    <row r="551" customFormat="false" ht="15" hidden="false" customHeight="false" outlineLevel="0" collapsed="false">
      <c r="A551" s="0" t="s">
        <v>8</v>
      </c>
      <c r="B551" s="0" t="s">
        <v>728</v>
      </c>
      <c r="C551" s="0" t="s">
        <v>7190</v>
      </c>
      <c r="D551" s="0" t="n">
        <v>2.5161</v>
      </c>
    </row>
    <row r="552" customFormat="false" ht="15" hidden="false" customHeight="false" outlineLevel="0" collapsed="false">
      <c r="A552" s="0" t="s">
        <v>8</v>
      </c>
      <c r="B552" s="0" t="s">
        <v>728</v>
      </c>
      <c r="C552" s="0" t="s">
        <v>7191</v>
      </c>
    </row>
    <row r="553" customFormat="false" ht="15" hidden="false" customHeight="false" outlineLevel="0" collapsed="false">
      <c r="A553" s="0" t="s">
        <v>8</v>
      </c>
      <c r="B553" s="0" t="s">
        <v>728</v>
      </c>
      <c r="C553" s="0" t="s">
        <v>7192</v>
      </c>
    </row>
    <row r="554" customFormat="false" ht="15" hidden="false" customHeight="false" outlineLevel="0" collapsed="false">
      <c r="A554" s="0" t="s">
        <v>8</v>
      </c>
      <c r="B554" s="0" t="s">
        <v>731</v>
      </c>
      <c r="C554" s="0" t="s">
        <v>7190</v>
      </c>
      <c r="D554" s="0" t="n">
        <v>26.4</v>
      </c>
    </row>
    <row r="555" customFormat="false" ht="15" hidden="false" customHeight="false" outlineLevel="0" collapsed="false">
      <c r="A555" s="0" t="s">
        <v>8</v>
      </c>
      <c r="B555" s="0" t="s">
        <v>731</v>
      </c>
      <c r="C555" s="0" t="s">
        <v>7191</v>
      </c>
    </row>
    <row r="556" customFormat="false" ht="15" hidden="false" customHeight="false" outlineLevel="0" collapsed="false">
      <c r="A556" s="0" t="s">
        <v>8</v>
      </c>
      <c r="B556" s="0" t="s">
        <v>731</v>
      </c>
      <c r="C556" s="0" t="s">
        <v>7192</v>
      </c>
    </row>
    <row r="557" customFormat="false" ht="15" hidden="false" customHeight="false" outlineLevel="0" collapsed="false">
      <c r="A557" s="0" t="s">
        <v>8</v>
      </c>
      <c r="B557" s="0" t="s">
        <v>734</v>
      </c>
      <c r="C557" s="0" t="s">
        <v>7190</v>
      </c>
      <c r="D557" s="0" t="n">
        <v>2.0287</v>
      </c>
    </row>
    <row r="558" customFormat="false" ht="15" hidden="false" customHeight="false" outlineLevel="0" collapsed="false">
      <c r="A558" s="0" t="s">
        <v>8</v>
      </c>
      <c r="B558" s="0" t="s">
        <v>734</v>
      </c>
      <c r="C558" s="0" t="s">
        <v>7191</v>
      </c>
    </row>
    <row r="559" customFormat="false" ht="15" hidden="false" customHeight="false" outlineLevel="0" collapsed="false">
      <c r="A559" s="0" t="s">
        <v>8</v>
      </c>
      <c r="B559" s="0" t="s">
        <v>734</v>
      </c>
      <c r="C559" s="0" t="s">
        <v>7192</v>
      </c>
    </row>
    <row r="560" customFormat="false" ht="15" hidden="false" customHeight="false" outlineLevel="0" collapsed="false">
      <c r="A560" s="0" t="s">
        <v>8</v>
      </c>
      <c r="B560" s="0" t="s">
        <v>737</v>
      </c>
      <c r="C560" s="0" t="s">
        <v>7190</v>
      </c>
      <c r="D560" s="0" t="n">
        <v>-0.0012</v>
      </c>
    </row>
    <row r="561" customFormat="false" ht="15" hidden="false" customHeight="false" outlineLevel="0" collapsed="false">
      <c r="A561" s="0" t="s">
        <v>8</v>
      </c>
      <c r="B561" s="0" t="s">
        <v>737</v>
      </c>
      <c r="C561" s="0" t="s">
        <v>7191</v>
      </c>
    </row>
    <row r="562" customFormat="false" ht="15" hidden="false" customHeight="false" outlineLevel="0" collapsed="false">
      <c r="A562" s="0" t="s">
        <v>8</v>
      </c>
      <c r="B562" s="0" t="s">
        <v>737</v>
      </c>
      <c r="C562" s="0" t="s">
        <v>7192</v>
      </c>
    </row>
    <row r="563" customFormat="false" ht="15" hidden="false" customHeight="false" outlineLevel="0" collapsed="false">
      <c r="A563" s="0" t="s">
        <v>8</v>
      </c>
      <c r="B563" s="0" t="s">
        <v>740</v>
      </c>
      <c r="C563" s="0" t="s">
        <v>7190</v>
      </c>
      <c r="D563" s="0" t="n">
        <v>0.198</v>
      </c>
    </row>
    <row r="564" customFormat="false" ht="15" hidden="false" customHeight="false" outlineLevel="0" collapsed="false">
      <c r="A564" s="0" t="s">
        <v>8</v>
      </c>
      <c r="B564" s="0" t="s">
        <v>740</v>
      </c>
      <c r="C564" s="0" t="s">
        <v>7191</v>
      </c>
    </row>
    <row r="565" customFormat="false" ht="15" hidden="false" customHeight="false" outlineLevel="0" collapsed="false">
      <c r="A565" s="0" t="s">
        <v>8</v>
      </c>
      <c r="B565" s="0" t="s">
        <v>740</v>
      </c>
      <c r="C565" s="0" t="s">
        <v>7192</v>
      </c>
    </row>
    <row r="566" customFormat="false" ht="15" hidden="false" customHeight="false" outlineLevel="0" collapsed="false">
      <c r="A566" s="0" t="s">
        <v>8</v>
      </c>
      <c r="B566" s="0" t="s">
        <v>743</v>
      </c>
      <c r="C566" s="0" t="s">
        <v>7190</v>
      </c>
      <c r="D566" s="0" t="n">
        <v>0.0888</v>
      </c>
    </row>
    <row r="567" customFormat="false" ht="15" hidden="false" customHeight="false" outlineLevel="0" collapsed="false">
      <c r="A567" s="0" t="s">
        <v>8</v>
      </c>
      <c r="B567" s="0" t="s">
        <v>743</v>
      </c>
      <c r="C567" s="0" t="s">
        <v>7191</v>
      </c>
    </row>
    <row r="568" customFormat="false" ht="15" hidden="false" customHeight="false" outlineLevel="0" collapsed="false">
      <c r="A568" s="0" t="s">
        <v>8</v>
      </c>
      <c r="B568" s="0" t="s">
        <v>743</v>
      </c>
      <c r="C568" s="0" t="s">
        <v>7192</v>
      </c>
    </row>
    <row r="569" customFormat="false" ht="15" hidden="false" customHeight="false" outlineLevel="0" collapsed="false">
      <c r="A569" s="0" t="s">
        <v>8</v>
      </c>
      <c r="B569" s="0" t="s">
        <v>746</v>
      </c>
      <c r="C569" s="0" t="s">
        <v>7190</v>
      </c>
      <c r="D569" s="0" t="n">
        <v>0.2837</v>
      </c>
    </row>
    <row r="570" customFormat="false" ht="15" hidden="false" customHeight="false" outlineLevel="0" collapsed="false">
      <c r="A570" s="0" t="s">
        <v>8</v>
      </c>
      <c r="B570" s="0" t="s">
        <v>746</v>
      </c>
      <c r="C570" s="0" t="s">
        <v>7191</v>
      </c>
    </row>
    <row r="571" customFormat="false" ht="15" hidden="false" customHeight="false" outlineLevel="0" collapsed="false">
      <c r="A571" s="0" t="s">
        <v>8</v>
      </c>
      <c r="B571" s="0" t="s">
        <v>746</v>
      </c>
      <c r="C571" s="0" t="s">
        <v>7192</v>
      </c>
    </row>
    <row r="572" customFormat="false" ht="15" hidden="false" customHeight="false" outlineLevel="0" collapsed="false">
      <c r="A572" s="0" t="s">
        <v>8</v>
      </c>
      <c r="B572" s="0" t="s">
        <v>749</v>
      </c>
      <c r="C572" s="0" t="s">
        <v>7190</v>
      </c>
      <c r="D572" s="0" t="n">
        <v>0.8634</v>
      </c>
    </row>
    <row r="573" customFormat="false" ht="15" hidden="false" customHeight="false" outlineLevel="0" collapsed="false">
      <c r="A573" s="0" t="s">
        <v>8</v>
      </c>
      <c r="B573" s="0" t="s">
        <v>749</v>
      </c>
      <c r="C573" s="0" t="s">
        <v>7191</v>
      </c>
    </row>
    <row r="574" customFormat="false" ht="15" hidden="false" customHeight="false" outlineLevel="0" collapsed="false">
      <c r="A574" s="0" t="s">
        <v>8</v>
      </c>
      <c r="B574" s="0" t="s">
        <v>749</v>
      </c>
      <c r="C574" s="0" t="s">
        <v>7192</v>
      </c>
    </row>
    <row r="575" customFormat="false" ht="15" hidden="false" customHeight="false" outlineLevel="0" collapsed="false">
      <c r="A575" s="0" t="s">
        <v>8</v>
      </c>
      <c r="B575" s="0" t="s">
        <v>752</v>
      </c>
      <c r="C575" s="0" t="s">
        <v>7190</v>
      </c>
      <c r="D575" s="0" t="n">
        <v>0.0058</v>
      </c>
    </row>
    <row r="576" customFormat="false" ht="15" hidden="false" customHeight="false" outlineLevel="0" collapsed="false">
      <c r="A576" s="0" t="s">
        <v>8</v>
      </c>
      <c r="B576" s="0" t="s">
        <v>752</v>
      </c>
      <c r="C576" s="0" t="s">
        <v>7191</v>
      </c>
    </row>
    <row r="577" customFormat="false" ht="15" hidden="false" customHeight="false" outlineLevel="0" collapsed="false">
      <c r="A577" s="0" t="s">
        <v>8</v>
      </c>
      <c r="B577" s="0" t="s">
        <v>752</v>
      </c>
      <c r="C577" s="0" t="s">
        <v>7192</v>
      </c>
    </row>
    <row r="578" customFormat="false" ht="15" hidden="false" customHeight="false" outlineLevel="0" collapsed="false">
      <c r="A578" s="0" t="s">
        <v>8</v>
      </c>
      <c r="B578" s="0" t="s">
        <v>755</v>
      </c>
      <c r="C578" s="0" t="s">
        <v>7190</v>
      </c>
      <c r="D578" s="0" t="n">
        <v>0.0032</v>
      </c>
    </row>
    <row r="579" customFormat="false" ht="15" hidden="false" customHeight="false" outlineLevel="0" collapsed="false">
      <c r="A579" s="0" t="s">
        <v>8</v>
      </c>
      <c r="B579" s="0" t="s">
        <v>755</v>
      </c>
      <c r="C579" s="0" t="s">
        <v>7191</v>
      </c>
    </row>
    <row r="580" customFormat="false" ht="15" hidden="false" customHeight="false" outlineLevel="0" collapsed="false">
      <c r="A580" s="0" t="s">
        <v>8</v>
      </c>
      <c r="B580" s="0" t="s">
        <v>755</v>
      </c>
      <c r="C580" s="0" t="s">
        <v>7192</v>
      </c>
    </row>
    <row r="581" customFormat="false" ht="15" hidden="false" customHeight="false" outlineLevel="0" collapsed="false">
      <c r="A581" s="0" t="s">
        <v>8</v>
      </c>
      <c r="B581" s="0" t="s">
        <v>758</v>
      </c>
      <c r="C581" s="0" t="s">
        <v>7190</v>
      </c>
      <c r="D581" s="0" t="n">
        <v>0.4874</v>
      </c>
    </row>
    <row r="582" customFormat="false" ht="15" hidden="false" customHeight="false" outlineLevel="0" collapsed="false">
      <c r="A582" s="0" t="s">
        <v>8</v>
      </c>
      <c r="B582" s="0" t="s">
        <v>758</v>
      </c>
      <c r="C582" s="0" t="s">
        <v>7191</v>
      </c>
    </row>
    <row r="583" customFormat="false" ht="15" hidden="false" customHeight="false" outlineLevel="0" collapsed="false">
      <c r="A583" s="0" t="s">
        <v>8</v>
      </c>
      <c r="B583" s="0" t="s">
        <v>758</v>
      </c>
      <c r="C583" s="0" t="s">
        <v>7192</v>
      </c>
    </row>
    <row r="584" customFormat="false" ht="15" hidden="false" customHeight="false" outlineLevel="0" collapsed="false">
      <c r="A584" s="0" t="s">
        <v>8</v>
      </c>
      <c r="B584" s="0" t="s">
        <v>761</v>
      </c>
      <c r="C584" s="0" t="s">
        <v>7190</v>
      </c>
      <c r="D584" s="0" t="n">
        <v>6.223</v>
      </c>
    </row>
    <row r="585" customFormat="false" ht="15" hidden="false" customHeight="false" outlineLevel="0" collapsed="false">
      <c r="A585" s="0" t="s">
        <v>8</v>
      </c>
      <c r="B585" s="0" t="s">
        <v>761</v>
      </c>
      <c r="C585" s="0" t="s">
        <v>7191</v>
      </c>
    </row>
    <row r="586" customFormat="false" ht="15" hidden="false" customHeight="false" outlineLevel="0" collapsed="false">
      <c r="A586" s="0" t="s">
        <v>8</v>
      </c>
      <c r="B586" s="0" t="s">
        <v>761</v>
      </c>
      <c r="C586" s="0" t="s">
        <v>7192</v>
      </c>
    </row>
    <row r="587" customFormat="false" ht="15" hidden="false" customHeight="false" outlineLevel="0" collapsed="false">
      <c r="A587" s="0" t="s">
        <v>8</v>
      </c>
      <c r="B587" s="0" t="s">
        <v>765</v>
      </c>
      <c r="C587" s="0" t="s">
        <v>7190</v>
      </c>
      <c r="D587" s="0" t="n">
        <v>0.7998</v>
      </c>
    </row>
    <row r="588" customFormat="false" ht="15" hidden="false" customHeight="false" outlineLevel="0" collapsed="false">
      <c r="A588" s="0" t="s">
        <v>8</v>
      </c>
      <c r="B588" s="0" t="s">
        <v>765</v>
      </c>
      <c r="C588" s="0" t="s">
        <v>7191</v>
      </c>
    </row>
    <row r="589" customFormat="false" ht="15" hidden="false" customHeight="false" outlineLevel="0" collapsed="false">
      <c r="A589" s="0" t="s">
        <v>8</v>
      </c>
      <c r="B589" s="0" t="s">
        <v>765</v>
      </c>
      <c r="C589" s="0" t="s">
        <v>7192</v>
      </c>
    </row>
    <row r="590" customFormat="false" ht="15" hidden="false" customHeight="false" outlineLevel="0" collapsed="false">
      <c r="A590" s="0" t="s">
        <v>8</v>
      </c>
      <c r="B590" s="0" t="s">
        <v>769</v>
      </c>
      <c r="C590" s="0" t="s">
        <v>7190</v>
      </c>
      <c r="D590" s="0" t="n">
        <v>1.5438</v>
      </c>
    </row>
    <row r="591" customFormat="false" ht="15" hidden="false" customHeight="false" outlineLevel="0" collapsed="false">
      <c r="A591" s="0" t="s">
        <v>8</v>
      </c>
      <c r="B591" s="0" t="s">
        <v>769</v>
      </c>
      <c r="C591" s="0" t="s">
        <v>7191</v>
      </c>
    </row>
    <row r="592" customFormat="false" ht="15" hidden="false" customHeight="false" outlineLevel="0" collapsed="false">
      <c r="A592" s="0" t="s">
        <v>8</v>
      </c>
      <c r="B592" s="0" t="s">
        <v>769</v>
      </c>
      <c r="C592" s="0" t="s">
        <v>7192</v>
      </c>
    </row>
    <row r="593" customFormat="false" ht="15" hidden="false" customHeight="false" outlineLevel="0" collapsed="false">
      <c r="A593" s="0" t="s">
        <v>8</v>
      </c>
      <c r="B593" s="0" t="s">
        <v>772</v>
      </c>
      <c r="C593" s="0" t="s">
        <v>7190</v>
      </c>
      <c r="D593" s="0" t="n">
        <v>2.733</v>
      </c>
    </row>
    <row r="594" customFormat="false" ht="15" hidden="false" customHeight="false" outlineLevel="0" collapsed="false">
      <c r="A594" s="0" t="s">
        <v>8</v>
      </c>
      <c r="B594" s="0" t="s">
        <v>772</v>
      </c>
      <c r="C594" s="0" t="s">
        <v>7191</v>
      </c>
    </row>
    <row r="595" customFormat="false" ht="15" hidden="false" customHeight="false" outlineLevel="0" collapsed="false">
      <c r="A595" s="0" t="s">
        <v>8</v>
      </c>
      <c r="B595" s="0" t="s">
        <v>772</v>
      </c>
      <c r="C595" s="0" t="s">
        <v>7192</v>
      </c>
    </row>
    <row r="596" customFormat="false" ht="15" hidden="false" customHeight="false" outlineLevel="0" collapsed="false">
      <c r="A596" s="0" t="s">
        <v>8</v>
      </c>
      <c r="B596" s="0" t="s">
        <v>775</v>
      </c>
      <c r="C596" s="0" t="s">
        <v>7190</v>
      </c>
      <c r="D596" s="0" t="n">
        <v>21.3117</v>
      </c>
    </row>
    <row r="597" customFormat="false" ht="15" hidden="false" customHeight="false" outlineLevel="0" collapsed="false">
      <c r="A597" s="0" t="s">
        <v>8</v>
      </c>
      <c r="B597" s="0" t="s">
        <v>775</v>
      </c>
      <c r="C597" s="0" t="s">
        <v>7191</v>
      </c>
    </row>
    <row r="598" customFormat="false" ht="15" hidden="false" customHeight="false" outlineLevel="0" collapsed="false">
      <c r="A598" s="0" t="s">
        <v>8</v>
      </c>
      <c r="B598" s="0" t="s">
        <v>775</v>
      </c>
      <c r="C598" s="0" t="s">
        <v>7192</v>
      </c>
    </row>
    <row r="599" customFormat="false" ht="15" hidden="false" customHeight="false" outlineLevel="0" collapsed="false">
      <c r="A599" s="0" t="s">
        <v>8</v>
      </c>
      <c r="B599" s="0" t="s">
        <v>778</v>
      </c>
      <c r="C599" s="0" t="s">
        <v>7190</v>
      </c>
      <c r="D599" s="0" t="n">
        <v>1.7767</v>
      </c>
    </row>
    <row r="600" customFormat="false" ht="15" hidden="false" customHeight="false" outlineLevel="0" collapsed="false">
      <c r="A600" s="0" t="s">
        <v>8</v>
      </c>
      <c r="B600" s="0" t="s">
        <v>778</v>
      </c>
      <c r="C600" s="0" t="s">
        <v>7191</v>
      </c>
    </row>
    <row r="601" customFormat="false" ht="15" hidden="false" customHeight="false" outlineLevel="0" collapsed="false">
      <c r="A601" s="0" t="s">
        <v>8</v>
      </c>
      <c r="B601" s="0" t="s">
        <v>778</v>
      </c>
      <c r="C601" s="0" t="s">
        <v>7192</v>
      </c>
    </row>
    <row r="602" customFormat="false" ht="15" hidden="false" customHeight="false" outlineLevel="0" collapsed="false">
      <c r="A602" s="0" t="s">
        <v>8</v>
      </c>
      <c r="B602" s="0" t="s">
        <v>781</v>
      </c>
      <c r="C602" s="0" t="s">
        <v>7190</v>
      </c>
      <c r="D602" s="0" t="n">
        <v>1.0335</v>
      </c>
    </row>
    <row r="603" customFormat="false" ht="15" hidden="false" customHeight="false" outlineLevel="0" collapsed="false">
      <c r="A603" s="0" t="s">
        <v>8</v>
      </c>
      <c r="B603" s="0" t="s">
        <v>781</v>
      </c>
      <c r="C603" s="0" t="s">
        <v>7191</v>
      </c>
    </row>
    <row r="604" customFormat="false" ht="15" hidden="false" customHeight="false" outlineLevel="0" collapsed="false">
      <c r="A604" s="0" t="s">
        <v>8</v>
      </c>
      <c r="B604" s="0" t="s">
        <v>781</v>
      </c>
      <c r="C604" s="0" t="s">
        <v>7192</v>
      </c>
    </row>
    <row r="605" customFormat="false" ht="15" hidden="false" customHeight="false" outlineLevel="0" collapsed="false">
      <c r="A605" s="0" t="s">
        <v>8</v>
      </c>
      <c r="B605" s="0" t="s">
        <v>784</v>
      </c>
      <c r="C605" s="0" t="s">
        <v>7190</v>
      </c>
      <c r="D605" s="0" t="n">
        <v>0.8576</v>
      </c>
    </row>
    <row r="606" customFormat="false" ht="15" hidden="false" customHeight="false" outlineLevel="0" collapsed="false">
      <c r="A606" s="0" t="s">
        <v>8</v>
      </c>
      <c r="B606" s="0" t="s">
        <v>784</v>
      </c>
      <c r="C606" s="0" t="s">
        <v>7191</v>
      </c>
    </row>
    <row r="607" customFormat="false" ht="15" hidden="false" customHeight="false" outlineLevel="0" collapsed="false">
      <c r="A607" s="0" t="s">
        <v>8</v>
      </c>
      <c r="B607" s="0" t="s">
        <v>784</v>
      </c>
      <c r="C607" s="0" t="s">
        <v>7192</v>
      </c>
    </row>
    <row r="608" customFormat="false" ht="15" hidden="false" customHeight="false" outlineLevel="0" collapsed="false">
      <c r="A608" s="0" t="s">
        <v>8</v>
      </c>
      <c r="B608" s="0" t="s">
        <v>788</v>
      </c>
      <c r="C608" s="0" t="s">
        <v>7190</v>
      </c>
      <c r="D608" s="0" t="n">
        <v>0.4144</v>
      </c>
    </row>
    <row r="609" customFormat="false" ht="15" hidden="false" customHeight="false" outlineLevel="0" collapsed="false">
      <c r="A609" s="0" t="s">
        <v>8</v>
      </c>
      <c r="B609" s="0" t="s">
        <v>788</v>
      </c>
      <c r="C609" s="0" t="s">
        <v>7191</v>
      </c>
    </row>
    <row r="610" customFormat="false" ht="15" hidden="false" customHeight="false" outlineLevel="0" collapsed="false">
      <c r="A610" s="0" t="s">
        <v>8</v>
      </c>
      <c r="B610" s="0" t="s">
        <v>788</v>
      </c>
      <c r="C610" s="0" t="s">
        <v>7192</v>
      </c>
    </row>
    <row r="611" customFormat="false" ht="15" hidden="false" customHeight="false" outlineLevel="0" collapsed="false">
      <c r="A611" s="0" t="s">
        <v>8</v>
      </c>
      <c r="B611" s="0" t="s">
        <v>791</v>
      </c>
      <c r="C611" s="0" t="s">
        <v>7190</v>
      </c>
      <c r="D611" s="0" t="n">
        <v>0.9593</v>
      </c>
    </row>
    <row r="612" customFormat="false" ht="15" hidden="false" customHeight="false" outlineLevel="0" collapsed="false">
      <c r="A612" s="0" t="s">
        <v>8</v>
      </c>
      <c r="B612" s="0" t="s">
        <v>791</v>
      </c>
      <c r="C612" s="0" t="s">
        <v>7191</v>
      </c>
    </row>
    <row r="613" customFormat="false" ht="15" hidden="false" customHeight="false" outlineLevel="0" collapsed="false">
      <c r="A613" s="0" t="s">
        <v>8</v>
      </c>
      <c r="B613" s="0" t="s">
        <v>791</v>
      </c>
      <c r="C613" s="0" t="s">
        <v>7192</v>
      </c>
    </row>
    <row r="614" customFormat="false" ht="15" hidden="false" customHeight="false" outlineLevel="0" collapsed="false">
      <c r="A614" s="0" t="s">
        <v>8</v>
      </c>
      <c r="B614" s="0" t="s">
        <v>794</v>
      </c>
      <c r="C614" s="0" t="s">
        <v>7190</v>
      </c>
      <c r="D614" s="0" t="n">
        <v>20.7199</v>
      </c>
    </row>
    <row r="615" customFormat="false" ht="15" hidden="false" customHeight="false" outlineLevel="0" collapsed="false">
      <c r="A615" s="0" t="s">
        <v>8</v>
      </c>
      <c r="B615" s="0" t="s">
        <v>794</v>
      </c>
      <c r="C615" s="0" t="s">
        <v>7191</v>
      </c>
    </row>
    <row r="616" customFormat="false" ht="15" hidden="false" customHeight="false" outlineLevel="0" collapsed="false">
      <c r="A616" s="0" t="s">
        <v>8</v>
      </c>
      <c r="B616" s="0" t="s">
        <v>794</v>
      </c>
      <c r="C616" s="0" t="s">
        <v>7192</v>
      </c>
    </row>
    <row r="617" customFormat="false" ht="15" hidden="false" customHeight="false" outlineLevel="0" collapsed="false">
      <c r="A617" s="0" t="s">
        <v>8</v>
      </c>
      <c r="B617" s="0" t="s">
        <v>798</v>
      </c>
      <c r="C617" s="0" t="s">
        <v>7190</v>
      </c>
      <c r="D617" s="0" t="n">
        <v>19.6414</v>
      </c>
    </row>
    <row r="618" customFormat="false" ht="15" hidden="false" customHeight="false" outlineLevel="0" collapsed="false">
      <c r="A618" s="0" t="s">
        <v>8</v>
      </c>
      <c r="B618" s="0" t="s">
        <v>798</v>
      </c>
      <c r="C618" s="0" t="s">
        <v>7191</v>
      </c>
    </row>
    <row r="619" customFormat="false" ht="15" hidden="false" customHeight="false" outlineLevel="0" collapsed="false">
      <c r="A619" s="0" t="s">
        <v>8</v>
      </c>
      <c r="B619" s="0" t="s">
        <v>798</v>
      </c>
      <c r="C619" s="0" t="s">
        <v>7192</v>
      </c>
    </row>
    <row r="620" customFormat="false" ht="15" hidden="false" customHeight="false" outlineLevel="0" collapsed="false">
      <c r="A620" s="0" t="s">
        <v>8</v>
      </c>
      <c r="B620" s="0" t="s">
        <v>801</v>
      </c>
      <c r="C620" s="0" t="s">
        <v>7190</v>
      </c>
      <c r="D620" s="0" t="n">
        <v>17.51</v>
      </c>
    </row>
    <row r="621" customFormat="false" ht="15" hidden="false" customHeight="false" outlineLevel="0" collapsed="false">
      <c r="A621" s="0" t="s">
        <v>8</v>
      </c>
      <c r="B621" s="0" t="s">
        <v>801</v>
      </c>
      <c r="C621" s="0" t="s">
        <v>7191</v>
      </c>
    </row>
    <row r="622" customFormat="false" ht="15" hidden="false" customHeight="false" outlineLevel="0" collapsed="false">
      <c r="A622" s="0" t="s">
        <v>8</v>
      </c>
      <c r="B622" s="0" t="s">
        <v>801</v>
      </c>
      <c r="C622" s="0" t="s">
        <v>7192</v>
      </c>
    </row>
    <row r="623" customFormat="false" ht="15" hidden="false" customHeight="false" outlineLevel="0" collapsed="false">
      <c r="A623" s="0" t="s">
        <v>8</v>
      </c>
      <c r="B623" s="0" t="s">
        <v>808</v>
      </c>
      <c r="C623" s="0" t="s">
        <v>7190</v>
      </c>
      <c r="D623" s="0" t="n">
        <v>-23.51</v>
      </c>
    </row>
    <row r="624" customFormat="false" ht="15" hidden="false" customHeight="false" outlineLevel="0" collapsed="false">
      <c r="A624" s="0" t="s">
        <v>8</v>
      </c>
      <c r="B624" s="0" t="s">
        <v>808</v>
      </c>
      <c r="C624" s="0" t="s">
        <v>7191</v>
      </c>
    </row>
    <row r="625" customFormat="false" ht="15" hidden="false" customHeight="false" outlineLevel="0" collapsed="false">
      <c r="A625" s="0" t="s">
        <v>8</v>
      </c>
      <c r="B625" s="0" t="s">
        <v>808</v>
      </c>
      <c r="C625" s="0" t="s">
        <v>7192</v>
      </c>
    </row>
    <row r="626" customFormat="false" ht="15" hidden="false" customHeight="false" outlineLevel="0" collapsed="false">
      <c r="A626" s="0" t="s">
        <v>8</v>
      </c>
      <c r="B626" s="0" t="s">
        <v>815</v>
      </c>
      <c r="C626" s="0" t="s">
        <v>7190</v>
      </c>
      <c r="D626" s="0" t="n">
        <v>3.906</v>
      </c>
    </row>
    <row r="627" customFormat="false" ht="15" hidden="false" customHeight="false" outlineLevel="0" collapsed="false">
      <c r="A627" s="0" t="s">
        <v>8</v>
      </c>
      <c r="B627" s="0" t="s">
        <v>815</v>
      </c>
      <c r="C627" s="0" t="s">
        <v>7191</v>
      </c>
    </row>
    <row r="628" customFormat="false" ht="15" hidden="false" customHeight="false" outlineLevel="0" collapsed="false">
      <c r="A628" s="0" t="s">
        <v>8</v>
      </c>
      <c r="B628" s="0" t="s">
        <v>815</v>
      </c>
      <c r="C628" s="0" t="s">
        <v>7192</v>
      </c>
    </row>
    <row r="629" customFormat="false" ht="15" hidden="false" customHeight="false" outlineLevel="0" collapsed="false">
      <c r="A629" s="0" t="s">
        <v>8</v>
      </c>
      <c r="B629" s="0" t="s">
        <v>818</v>
      </c>
      <c r="C629" s="0" t="s">
        <v>7190</v>
      </c>
      <c r="D629" s="0" t="n">
        <v>0.537</v>
      </c>
    </row>
    <row r="630" customFormat="false" ht="15" hidden="false" customHeight="false" outlineLevel="0" collapsed="false">
      <c r="A630" s="0" t="s">
        <v>8</v>
      </c>
      <c r="B630" s="0" t="s">
        <v>818</v>
      </c>
      <c r="C630" s="0" t="s">
        <v>7191</v>
      </c>
    </row>
    <row r="631" customFormat="false" ht="15" hidden="false" customHeight="false" outlineLevel="0" collapsed="false">
      <c r="A631" s="0" t="s">
        <v>8</v>
      </c>
      <c r="B631" s="0" t="s">
        <v>818</v>
      </c>
      <c r="C631" s="0" t="s">
        <v>7192</v>
      </c>
    </row>
    <row r="632" customFormat="false" ht="15" hidden="false" customHeight="false" outlineLevel="0" collapsed="false">
      <c r="A632" s="0" t="s">
        <v>8</v>
      </c>
      <c r="B632" s="0" t="s">
        <v>821</v>
      </c>
      <c r="C632" s="0" t="s">
        <v>7190</v>
      </c>
      <c r="D632" s="0" t="n">
        <v>39.9372</v>
      </c>
    </row>
    <row r="633" customFormat="false" ht="15" hidden="false" customHeight="false" outlineLevel="0" collapsed="false">
      <c r="A633" s="0" t="s">
        <v>8</v>
      </c>
      <c r="B633" s="0" t="s">
        <v>821</v>
      </c>
      <c r="C633" s="0" t="s">
        <v>7191</v>
      </c>
    </row>
    <row r="634" customFormat="false" ht="15" hidden="false" customHeight="false" outlineLevel="0" collapsed="false">
      <c r="A634" s="0" t="s">
        <v>8</v>
      </c>
      <c r="B634" s="0" t="s">
        <v>821</v>
      </c>
      <c r="C634" s="0" t="s">
        <v>7192</v>
      </c>
    </row>
    <row r="635" customFormat="false" ht="15" hidden="false" customHeight="false" outlineLevel="0" collapsed="false">
      <c r="A635" s="0" t="s">
        <v>8</v>
      </c>
      <c r="B635" s="0" t="s">
        <v>826</v>
      </c>
      <c r="C635" s="0" t="s">
        <v>7190</v>
      </c>
      <c r="D635" s="0" t="n">
        <v>0</v>
      </c>
    </row>
    <row r="636" customFormat="false" ht="15" hidden="false" customHeight="false" outlineLevel="0" collapsed="false">
      <c r="A636" s="0" t="s">
        <v>8</v>
      </c>
      <c r="B636" s="0" t="s">
        <v>826</v>
      </c>
      <c r="C636" s="0" t="s">
        <v>7191</v>
      </c>
    </row>
    <row r="637" customFormat="false" ht="15" hidden="false" customHeight="false" outlineLevel="0" collapsed="false">
      <c r="A637" s="0" t="s">
        <v>8</v>
      </c>
      <c r="B637" s="0" t="s">
        <v>826</v>
      </c>
      <c r="C637" s="0" t="s">
        <v>7192</v>
      </c>
    </row>
    <row r="638" customFormat="false" ht="15" hidden="false" customHeight="false" outlineLevel="0" collapsed="false">
      <c r="A638" s="0" t="s">
        <v>8</v>
      </c>
      <c r="B638" s="0" t="s">
        <v>830</v>
      </c>
      <c r="C638" s="0" t="s">
        <v>7190</v>
      </c>
      <c r="D638" s="0" t="n">
        <v>22.2479</v>
      </c>
    </row>
    <row r="639" customFormat="false" ht="15" hidden="false" customHeight="false" outlineLevel="0" collapsed="false">
      <c r="A639" s="0" t="s">
        <v>8</v>
      </c>
      <c r="B639" s="0" t="s">
        <v>830</v>
      </c>
      <c r="C639" s="0" t="s">
        <v>7191</v>
      </c>
    </row>
    <row r="640" customFormat="false" ht="15" hidden="false" customHeight="false" outlineLevel="0" collapsed="false">
      <c r="A640" s="0" t="s">
        <v>8</v>
      </c>
      <c r="B640" s="0" t="s">
        <v>830</v>
      </c>
      <c r="C640" s="0" t="s">
        <v>7192</v>
      </c>
    </row>
    <row r="641" customFormat="false" ht="15" hidden="false" customHeight="false" outlineLevel="0" collapsed="false">
      <c r="A641" s="0" t="s">
        <v>8</v>
      </c>
      <c r="B641" s="0" t="s">
        <v>833</v>
      </c>
      <c r="C641" s="0" t="s">
        <v>7190</v>
      </c>
      <c r="D641" s="0" t="n">
        <v>7.8983</v>
      </c>
    </row>
    <row r="642" customFormat="false" ht="15" hidden="false" customHeight="false" outlineLevel="0" collapsed="false">
      <c r="A642" s="0" t="s">
        <v>8</v>
      </c>
      <c r="B642" s="0" t="s">
        <v>833</v>
      </c>
      <c r="C642" s="0" t="s">
        <v>7191</v>
      </c>
    </row>
    <row r="643" customFormat="false" ht="15" hidden="false" customHeight="false" outlineLevel="0" collapsed="false">
      <c r="A643" s="0" t="s">
        <v>8</v>
      </c>
      <c r="B643" s="0" t="s">
        <v>833</v>
      </c>
      <c r="C643" s="0" t="s">
        <v>7192</v>
      </c>
    </row>
    <row r="644" customFormat="false" ht="15" hidden="false" customHeight="false" outlineLevel="0" collapsed="false">
      <c r="A644" s="0" t="s">
        <v>8</v>
      </c>
      <c r="B644" s="0" t="s">
        <v>837</v>
      </c>
      <c r="C644" s="0" t="s">
        <v>7190</v>
      </c>
      <c r="D644" s="0" t="n">
        <v>14.3496</v>
      </c>
    </row>
    <row r="645" customFormat="false" ht="15" hidden="false" customHeight="false" outlineLevel="0" collapsed="false">
      <c r="A645" s="0" t="s">
        <v>8</v>
      </c>
      <c r="B645" s="0" t="s">
        <v>837</v>
      </c>
      <c r="C645" s="0" t="s">
        <v>7191</v>
      </c>
    </row>
    <row r="646" customFormat="false" ht="15" hidden="false" customHeight="false" outlineLevel="0" collapsed="false">
      <c r="A646" s="0" t="s">
        <v>8</v>
      </c>
      <c r="B646" s="0" t="s">
        <v>837</v>
      </c>
      <c r="C646" s="0" t="s">
        <v>7192</v>
      </c>
    </row>
    <row r="647" customFormat="false" ht="15" hidden="false" customHeight="false" outlineLevel="0" collapsed="false">
      <c r="A647" s="0" t="s">
        <v>8</v>
      </c>
      <c r="B647" s="0" t="s">
        <v>841</v>
      </c>
      <c r="C647" s="0" t="s">
        <v>7190</v>
      </c>
      <c r="D647" s="0" t="n">
        <v>6.0484</v>
      </c>
    </row>
    <row r="648" customFormat="false" ht="15" hidden="false" customHeight="false" outlineLevel="0" collapsed="false">
      <c r="A648" s="0" t="s">
        <v>8</v>
      </c>
      <c r="B648" s="0" t="s">
        <v>841</v>
      </c>
      <c r="C648" s="0" t="s">
        <v>7191</v>
      </c>
    </row>
    <row r="649" customFormat="false" ht="15" hidden="false" customHeight="false" outlineLevel="0" collapsed="false">
      <c r="A649" s="0" t="s">
        <v>8</v>
      </c>
      <c r="B649" s="0" t="s">
        <v>841</v>
      </c>
      <c r="C649" s="0" t="s">
        <v>7192</v>
      </c>
    </row>
    <row r="650" customFormat="false" ht="15" hidden="false" customHeight="false" outlineLevel="0" collapsed="false">
      <c r="A650" s="0" t="s">
        <v>8</v>
      </c>
      <c r="B650" s="0" t="s">
        <v>845</v>
      </c>
      <c r="C650" s="0" t="s">
        <v>7190</v>
      </c>
      <c r="D650" s="0" t="n">
        <v>0.8462</v>
      </c>
    </row>
    <row r="651" customFormat="false" ht="15" hidden="false" customHeight="false" outlineLevel="0" collapsed="false">
      <c r="A651" s="0" t="s">
        <v>8</v>
      </c>
      <c r="B651" s="0" t="s">
        <v>845</v>
      </c>
      <c r="C651" s="0" t="s">
        <v>7191</v>
      </c>
    </row>
    <row r="652" customFormat="false" ht="15" hidden="false" customHeight="false" outlineLevel="0" collapsed="false">
      <c r="A652" s="0" t="s">
        <v>8</v>
      </c>
      <c r="B652" s="0" t="s">
        <v>845</v>
      </c>
      <c r="C652" s="0" t="s">
        <v>7192</v>
      </c>
    </row>
    <row r="653" customFormat="false" ht="15" hidden="false" customHeight="false" outlineLevel="0" collapsed="false">
      <c r="A653" s="0" t="s">
        <v>8</v>
      </c>
      <c r="B653" s="0" t="s">
        <v>848</v>
      </c>
      <c r="C653" s="0" t="s">
        <v>7190</v>
      </c>
      <c r="D653" s="0" t="n">
        <v>14.2742</v>
      </c>
    </row>
    <row r="654" customFormat="false" ht="15" hidden="false" customHeight="false" outlineLevel="0" collapsed="false">
      <c r="A654" s="0" t="s">
        <v>8</v>
      </c>
      <c r="B654" s="0" t="s">
        <v>848</v>
      </c>
      <c r="C654" s="0" t="s">
        <v>7191</v>
      </c>
    </row>
    <row r="655" customFormat="false" ht="15" hidden="false" customHeight="false" outlineLevel="0" collapsed="false">
      <c r="A655" s="0" t="s">
        <v>8</v>
      </c>
      <c r="B655" s="0" t="s">
        <v>848</v>
      </c>
      <c r="C655" s="0" t="s">
        <v>7192</v>
      </c>
    </row>
    <row r="656" customFormat="false" ht="15" hidden="false" customHeight="false" outlineLevel="0" collapsed="false">
      <c r="A656" s="0" t="s">
        <v>8</v>
      </c>
      <c r="B656" s="0" t="s">
        <v>852</v>
      </c>
      <c r="C656" s="0" t="s">
        <v>7190</v>
      </c>
      <c r="D656" s="0" t="n">
        <v>12.4374</v>
      </c>
    </row>
    <row r="657" customFormat="false" ht="15" hidden="false" customHeight="false" outlineLevel="0" collapsed="false">
      <c r="A657" s="0" t="s">
        <v>8</v>
      </c>
      <c r="B657" s="0" t="s">
        <v>852</v>
      </c>
      <c r="C657" s="0" t="s">
        <v>7191</v>
      </c>
    </row>
    <row r="658" customFormat="false" ht="15" hidden="false" customHeight="false" outlineLevel="0" collapsed="false">
      <c r="A658" s="0" t="s">
        <v>8</v>
      </c>
      <c r="B658" s="0" t="s">
        <v>852</v>
      </c>
      <c r="C658" s="0" t="s">
        <v>7192</v>
      </c>
    </row>
    <row r="659" customFormat="false" ht="15" hidden="false" customHeight="false" outlineLevel="0" collapsed="false">
      <c r="A659" s="0" t="s">
        <v>8</v>
      </c>
      <c r="B659" s="0" t="s">
        <v>856</v>
      </c>
      <c r="C659" s="0" t="s">
        <v>7190</v>
      </c>
      <c r="D659" s="0" t="n">
        <v>1.1629</v>
      </c>
    </row>
    <row r="660" customFormat="false" ht="15" hidden="false" customHeight="false" outlineLevel="0" collapsed="false">
      <c r="A660" s="0" t="s">
        <v>8</v>
      </c>
      <c r="B660" s="0" t="s">
        <v>856</v>
      </c>
      <c r="C660" s="0" t="s">
        <v>7191</v>
      </c>
    </row>
    <row r="661" customFormat="false" ht="15" hidden="false" customHeight="false" outlineLevel="0" collapsed="false">
      <c r="A661" s="0" t="s">
        <v>8</v>
      </c>
      <c r="B661" s="0" t="s">
        <v>856</v>
      </c>
      <c r="C661" s="0" t="s">
        <v>7192</v>
      </c>
    </row>
    <row r="662" customFormat="false" ht="15" hidden="false" customHeight="false" outlineLevel="0" collapsed="false">
      <c r="A662" s="0" t="s">
        <v>8</v>
      </c>
      <c r="B662" s="0" t="s">
        <v>859</v>
      </c>
      <c r="C662" s="0" t="s">
        <v>7190</v>
      </c>
      <c r="D662" s="0" t="n">
        <v>1.7299</v>
      </c>
    </row>
    <row r="663" customFormat="false" ht="15" hidden="false" customHeight="false" outlineLevel="0" collapsed="false">
      <c r="A663" s="0" t="s">
        <v>8</v>
      </c>
      <c r="B663" s="0" t="s">
        <v>859</v>
      </c>
      <c r="C663" s="0" t="s">
        <v>7191</v>
      </c>
    </row>
    <row r="664" customFormat="false" ht="15" hidden="false" customHeight="false" outlineLevel="0" collapsed="false">
      <c r="A664" s="0" t="s">
        <v>8</v>
      </c>
      <c r="B664" s="0" t="s">
        <v>859</v>
      </c>
      <c r="C664" s="0" t="s">
        <v>7192</v>
      </c>
    </row>
    <row r="665" customFormat="false" ht="15" hidden="false" customHeight="false" outlineLevel="0" collapsed="false">
      <c r="A665" s="0" t="s">
        <v>8</v>
      </c>
      <c r="B665" s="0" t="s">
        <v>863</v>
      </c>
      <c r="C665" s="0" t="s">
        <v>7190</v>
      </c>
      <c r="D665" s="0" t="n">
        <v>981</v>
      </c>
    </row>
    <row r="666" customFormat="false" ht="15" hidden="false" customHeight="false" outlineLevel="0" collapsed="false">
      <c r="A666" s="0" t="s">
        <v>8</v>
      </c>
      <c r="B666" s="0" t="s">
        <v>863</v>
      </c>
      <c r="C666" s="0" t="s">
        <v>7191</v>
      </c>
    </row>
    <row r="667" customFormat="false" ht="15" hidden="false" customHeight="false" outlineLevel="0" collapsed="false">
      <c r="A667" s="0" t="s">
        <v>8</v>
      </c>
      <c r="B667" s="0" t="s">
        <v>863</v>
      </c>
      <c r="C667" s="0" t="s">
        <v>7192</v>
      </c>
    </row>
    <row r="668" customFormat="false" ht="15" hidden="false" customHeight="false" outlineLevel="0" collapsed="false">
      <c r="A668" s="0" t="s">
        <v>8</v>
      </c>
      <c r="B668" s="0" t="s">
        <v>866</v>
      </c>
      <c r="C668" s="0" t="s">
        <v>7190</v>
      </c>
      <c r="D668" s="0" t="n">
        <v>883</v>
      </c>
    </row>
    <row r="669" customFormat="false" ht="15" hidden="false" customHeight="false" outlineLevel="0" collapsed="false">
      <c r="A669" s="0" t="s">
        <v>8</v>
      </c>
      <c r="B669" s="0" t="s">
        <v>866</v>
      </c>
      <c r="C669" s="0" t="s">
        <v>7191</v>
      </c>
    </row>
    <row r="670" customFormat="false" ht="15" hidden="false" customHeight="false" outlineLevel="0" collapsed="false">
      <c r="A670" s="0" t="s">
        <v>8</v>
      </c>
      <c r="B670" s="0" t="s">
        <v>866</v>
      </c>
      <c r="C670" s="0" t="s">
        <v>7192</v>
      </c>
    </row>
    <row r="671" customFormat="false" ht="15" hidden="false" customHeight="false" outlineLevel="0" collapsed="false">
      <c r="A671" s="0" t="s">
        <v>8</v>
      </c>
      <c r="B671" s="0" t="s">
        <v>869</v>
      </c>
      <c r="C671" s="0" t="s">
        <v>7190</v>
      </c>
      <c r="D671" s="0" t="n">
        <v>4.821</v>
      </c>
    </row>
    <row r="672" customFormat="false" ht="15" hidden="false" customHeight="false" outlineLevel="0" collapsed="false">
      <c r="A672" s="0" t="s">
        <v>8</v>
      </c>
      <c r="B672" s="0" t="s">
        <v>869</v>
      </c>
      <c r="C672" s="0" t="s">
        <v>7191</v>
      </c>
    </row>
    <row r="673" customFormat="false" ht="15" hidden="false" customHeight="false" outlineLevel="0" collapsed="false">
      <c r="A673" s="0" t="s">
        <v>8</v>
      </c>
      <c r="B673" s="0" t="s">
        <v>869</v>
      </c>
      <c r="C673" s="0" t="s">
        <v>7192</v>
      </c>
    </row>
    <row r="674" customFormat="false" ht="15" hidden="false" customHeight="false" outlineLevel="0" collapsed="false">
      <c r="A674" s="0" t="s">
        <v>8</v>
      </c>
      <c r="B674" s="0" t="s">
        <v>872</v>
      </c>
      <c r="C674" s="0" t="s">
        <v>7190</v>
      </c>
      <c r="D674" s="0" t="n">
        <v>4.996</v>
      </c>
    </row>
    <row r="675" customFormat="false" ht="15" hidden="false" customHeight="false" outlineLevel="0" collapsed="false">
      <c r="A675" s="0" t="s">
        <v>8</v>
      </c>
      <c r="B675" s="0" t="s">
        <v>872</v>
      </c>
      <c r="C675" s="0" t="s">
        <v>7191</v>
      </c>
    </row>
    <row r="676" customFormat="false" ht="15" hidden="false" customHeight="false" outlineLevel="0" collapsed="false">
      <c r="A676" s="0" t="s">
        <v>8</v>
      </c>
      <c r="B676" s="0" t="s">
        <v>872</v>
      </c>
      <c r="C676" s="0" t="s">
        <v>7192</v>
      </c>
    </row>
    <row r="677" customFormat="false" ht="15" hidden="false" customHeight="false" outlineLevel="0" collapsed="false">
      <c r="A677" s="0" t="s">
        <v>8</v>
      </c>
      <c r="B677" s="0" t="s">
        <v>875</v>
      </c>
      <c r="C677" s="0" t="s">
        <v>7190</v>
      </c>
      <c r="D677" s="0" t="n">
        <v>0.00491</v>
      </c>
    </row>
    <row r="678" customFormat="false" ht="15" hidden="false" customHeight="false" outlineLevel="0" collapsed="false">
      <c r="A678" s="0" t="s">
        <v>8</v>
      </c>
      <c r="B678" s="0" t="s">
        <v>875</v>
      </c>
      <c r="C678" s="0" t="s">
        <v>7191</v>
      </c>
    </row>
    <row r="679" customFormat="false" ht="15" hidden="false" customHeight="false" outlineLevel="0" collapsed="false">
      <c r="A679" s="0" t="s">
        <v>8</v>
      </c>
      <c r="B679" s="0" t="s">
        <v>875</v>
      </c>
      <c r="C679" s="0" t="s">
        <v>7192</v>
      </c>
    </row>
    <row r="680" customFormat="false" ht="15" hidden="false" customHeight="false" outlineLevel="0" collapsed="false">
      <c r="A680" s="0" t="s">
        <v>8</v>
      </c>
      <c r="B680" s="0" t="s">
        <v>880</v>
      </c>
      <c r="C680" s="0" t="s">
        <v>7190</v>
      </c>
      <c r="D680" s="0" t="n">
        <v>101</v>
      </c>
    </row>
    <row r="681" customFormat="false" ht="15" hidden="false" customHeight="false" outlineLevel="0" collapsed="false">
      <c r="A681" s="0" t="s">
        <v>8</v>
      </c>
      <c r="B681" s="0" t="s">
        <v>880</v>
      </c>
      <c r="C681" s="0" t="s">
        <v>7191</v>
      </c>
    </row>
    <row r="682" customFormat="false" ht="15" hidden="false" customHeight="false" outlineLevel="0" collapsed="false">
      <c r="A682" s="0" t="s">
        <v>8</v>
      </c>
      <c r="B682" s="0" t="s">
        <v>880</v>
      </c>
      <c r="C682" s="0" t="s">
        <v>7192</v>
      </c>
    </row>
    <row r="683" customFormat="false" ht="15" hidden="false" customHeight="false" outlineLevel="0" collapsed="false">
      <c r="A683" s="0" t="s">
        <v>8</v>
      </c>
      <c r="B683" s="0" t="s">
        <v>884</v>
      </c>
      <c r="C683" s="0" t="s">
        <v>7190</v>
      </c>
    </row>
    <row r="684" customFormat="false" ht="15" hidden="false" customHeight="false" outlineLevel="0" collapsed="false">
      <c r="A684" s="0" t="s">
        <v>8</v>
      </c>
      <c r="B684" s="0" t="s">
        <v>884</v>
      </c>
      <c r="C684" s="0" t="s">
        <v>7191</v>
      </c>
    </row>
    <row r="685" customFormat="false" ht="15" hidden="false" customHeight="false" outlineLevel="0" collapsed="false">
      <c r="A685" s="0" t="s">
        <v>8</v>
      </c>
      <c r="B685" s="0" t="s">
        <v>884</v>
      </c>
      <c r="C685" s="0" t="s">
        <v>7192</v>
      </c>
    </row>
    <row r="686" customFormat="false" ht="15" hidden="false" customHeight="false" outlineLevel="0" collapsed="false">
      <c r="A686" s="0" t="s">
        <v>8</v>
      </c>
      <c r="B686" s="0" t="s">
        <v>887</v>
      </c>
      <c r="C686" s="0" t="s">
        <v>7190</v>
      </c>
      <c r="D686" s="0" t="n">
        <v>100000</v>
      </c>
    </row>
    <row r="687" customFormat="false" ht="15" hidden="false" customHeight="false" outlineLevel="0" collapsed="false">
      <c r="A687" s="0" t="s">
        <v>8</v>
      </c>
      <c r="B687" s="0" t="s">
        <v>887</v>
      </c>
      <c r="C687" s="0" t="s">
        <v>7191</v>
      </c>
      <c r="D687" s="0" t="n">
        <v>100000</v>
      </c>
    </row>
    <row r="688" customFormat="false" ht="15" hidden="false" customHeight="false" outlineLevel="0" collapsed="false">
      <c r="A688" s="0" t="s">
        <v>8</v>
      </c>
      <c r="B688" s="0" t="s">
        <v>887</v>
      </c>
      <c r="C688" s="0" t="s">
        <v>7192</v>
      </c>
    </row>
    <row r="689" customFormat="false" ht="15" hidden="false" customHeight="false" outlineLevel="0" collapsed="false">
      <c r="A689" s="0" t="s">
        <v>8</v>
      </c>
      <c r="B689" s="0" t="s">
        <v>892</v>
      </c>
      <c r="C689" s="0" t="s">
        <v>7190</v>
      </c>
      <c r="D689" s="0" t="n">
        <v>0.15</v>
      </c>
    </row>
    <row r="690" customFormat="false" ht="15" hidden="false" customHeight="false" outlineLevel="0" collapsed="false">
      <c r="A690" s="0" t="s">
        <v>8</v>
      </c>
      <c r="B690" s="0" t="s">
        <v>892</v>
      </c>
      <c r="C690" s="0" t="s">
        <v>7191</v>
      </c>
    </row>
    <row r="691" customFormat="false" ht="15" hidden="false" customHeight="false" outlineLevel="0" collapsed="false">
      <c r="A691" s="0" t="s">
        <v>8</v>
      </c>
      <c r="B691" s="0" t="s">
        <v>892</v>
      </c>
      <c r="C691" s="0" t="s">
        <v>7192</v>
      </c>
    </row>
    <row r="692" customFormat="false" ht="15" hidden="false" customHeight="false" outlineLevel="0" collapsed="false">
      <c r="A692" s="0" t="s">
        <v>8</v>
      </c>
      <c r="B692" s="0" t="s">
        <v>898</v>
      </c>
      <c r="C692" s="0" t="s">
        <v>7190</v>
      </c>
      <c r="D692" s="0" t="n">
        <v>11.45</v>
      </c>
    </row>
    <row r="693" customFormat="false" ht="15" hidden="false" customHeight="false" outlineLevel="0" collapsed="false">
      <c r="A693" s="0" t="s">
        <v>8</v>
      </c>
      <c r="B693" s="0" t="s">
        <v>898</v>
      </c>
      <c r="C693" s="0" t="s">
        <v>7191</v>
      </c>
    </row>
    <row r="694" customFormat="false" ht="15" hidden="false" customHeight="false" outlineLevel="0" collapsed="false">
      <c r="A694" s="0" t="s">
        <v>8</v>
      </c>
      <c r="B694" s="0" t="s">
        <v>898</v>
      </c>
      <c r="C694" s="0" t="s">
        <v>7192</v>
      </c>
    </row>
    <row r="695" customFormat="false" ht="15" hidden="false" customHeight="false" outlineLevel="0" collapsed="false">
      <c r="A695" s="0" t="s">
        <v>8</v>
      </c>
      <c r="B695" s="0" t="s">
        <v>901</v>
      </c>
      <c r="C695" s="0" t="s">
        <v>7190</v>
      </c>
      <c r="D695" s="0" t="n">
        <v>15.52</v>
      </c>
    </row>
    <row r="696" customFormat="false" ht="15" hidden="false" customHeight="false" outlineLevel="0" collapsed="false">
      <c r="A696" s="0" t="s">
        <v>8</v>
      </c>
      <c r="B696" s="0" t="s">
        <v>901</v>
      </c>
      <c r="C696" s="0" t="s">
        <v>7191</v>
      </c>
    </row>
    <row r="697" customFormat="false" ht="15" hidden="false" customHeight="false" outlineLevel="0" collapsed="false">
      <c r="A697" s="0" t="s">
        <v>8</v>
      </c>
      <c r="B697" s="0" t="s">
        <v>901</v>
      </c>
      <c r="C697" s="0" t="s">
        <v>7192</v>
      </c>
    </row>
    <row r="698" customFormat="false" ht="15" hidden="false" customHeight="false" outlineLevel="0" collapsed="false">
      <c r="A698" s="0" t="s">
        <v>8</v>
      </c>
      <c r="B698" s="0" t="s">
        <v>908</v>
      </c>
      <c r="C698" s="0" t="s">
        <v>7190</v>
      </c>
      <c r="D698" s="0" t="n">
        <v>15.53</v>
      </c>
    </row>
    <row r="699" customFormat="false" ht="15" hidden="false" customHeight="false" outlineLevel="0" collapsed="false">
      <c r="A699" s="0" t="s">
        <v>8</v>
      </c>
      <c r="B699" s="0" t="s">
        <v>908</v>
      </c>
      <c r="C699" s="0" t="s">
        <v>7191</v>
      </c>
    </row>
    <row r="700" customFormat="false" ht="15" hidden="false" customHeight="false" outlineLevel="0" collapsed="false">
      <c r="A700" s="0" t="s">
        <v>8</v>
      </c>
      <c r="B700" s="0" t="s">
        <v>908</v>
      </c>
      <c r="C700" s="0" t="s">
        <v>7192</v>
      </c>
    </row>
    <row r="701" customFormat="false" ht="15" hidden="false" customHeight="false" outlineLevel="0" collapsed="false">
      <c r="A701" s="0" t="s">
        <v>8</v>
      </c>
      <c r="B701" s="0" t="s">
        <v>914</v>
      </c>
      <c r="C701" s="0" t="s">
        <v>7190</v>
      </c>
      <c r="D701" s="0" t="n">
        <v>70</v>
      </c>
    </row>
    <row r="702" customFormat="false" ht="15" hidden="false" customHeight="false" outlineLevel="0" collapsed="false">
      <c r="A702" s="0" t="s">
        <v>8</v>
      </c>
      <c r="B702" s="0" t="s">
        <v>914</v>
      </c>
      <c r="C702" s="0" t="s">
        <v>7191</v>
      </c>
      <c r="D702" s="0" t="n">
        <v>70</v>
      </c>
    </row>
    <row r="703" customFormat="false" ht="15" hidden="false" customHeight="false" outlineLevel="0" collapsed="false">
      <c r="A703" s="0" t="s">
        <v>8</v>
      </c>
      <c r="B703" s="0" t="s">
        <v>914</v>
      </c>
      <c r="C703" s="0" t="s">
        <v>7192</v>
      </c>
    </row>
    <row r="704" customFormat="false" ht="15" hidden="false" customHeight="false" outlineLevel="0" collapsed="false">
      <c r="A704" s="0" t="s">
        <v>8</v>
      </c>
      <c r="B704" s="0" t="s">
        <v>919</v>
      </c>
      <c r="C704" s="0" t="s">
        <v>7190</v>
      </c>
      <c r="D704" s="0" t="n">
        <v>0.42</v>
      </c>
    </row>
    <row r="705" customFormat="false" ht="15" hidden="false" customHeight="false" outlineLevel="0" collapsed="false">
      <c r="A705" s="0" t="s">
        <v>8</v>
      </c>
      <c r="B705" s="0" t="s">
        <v>919</v>
      </c>
      <c r="C705" s="0" t="s">
        <v>7191</v>
      </c>
    </row>
    <row r="706" customFormat="false" ht="15" hidden="false" customHeight="false" outlineLevel="0" collapsed="false">
      <c r="A706" s="0" t="s">
        <v>8</v>
      </c>
      <c r="B706" s="0" t="s">
        <v>919</v>
      </c>
      <c r="C706" s="0" t="s">
        <v>7192</v>
      </c>
    </row>
    <row r="707" customFormat="false" ht="15" hidden="false" customHeight="false" outlineLevel="0" collapsed="false">
      <c r="A707" s="0" t="s">
        <v>8</v>
      </c>
      <c r="B707" s="0" t="s">
        <v>923</v>
      </c>
      <c r="C707" s="0" t="s">
        <v>7190</v>
      </c>
      <c r="D707" s="0" t="n">
        <v>1.37</v>
      </c>
    </row>
    <row r="708" customFormat="false" ht="15" hidden="false" customHeight="false" outlineLevel="0" collapsed="false">
      <c r="A708" s="0" t="s">
        <v>8</v>
      </c>
      <c r="B708" s="0" t="s">
        <v>923</v>
      </c>
      <c r="C708" s="0" t="s">
        <v>7191</v>
      </c>
    </row>
    <row r="709" customFormat="false" ht="15" hidden="false" customHeight="false" outlineLevel="0" collapsed="false">
      <c r="A709" s="0" t="s">
        <v>8</v>
      </c>
      <c r="B709" s="0" t="s">
        <v>923</v>
      </c>
      <c r="C709" s="0" t="s">
        <v>7192</v>
      </c>
    </row>
    <row r="710" customFormat="false" ht="15" hidden="false" customHeight="false" outlineLevel="0" collapsed="false">
      <c r="A710" s="0" t="s">
        <v>8</v>
      </c>
      <c r="B710" s="0" t="s">
        <v>925</v>
      </c>
      <c r="C710" s="0" t="s">
        <v>7190</v>
      </c>
      <c r="D710" s="0" t="n">
        <v>3.24</v>
      </c>
    </row>
    <row r="711" customFormat="false" ht="15" hidden="false" customHeight="false" outlineLevel="0" collapsed="false">
      <c r="A711" s="0" t="s">
        <v>8</v>
      </c>
      <c r="B711" s="0" t="s">
        <v>925</v>
      </c>
      <c r="C711" s="0" t="s">
        <v>7191</v>
      </c>
    </row>
    <row r="712" customFormat="false" ht="15" hidden="false" customHeight="false" outlineLevel="0" collapsed="false">
      <c r="A712" s="0" t="s">
        <v>8</v>
      </c>
      <c r="B712" s="0" t="s">
        <v>925</v>
      </c>
      <c r="C712" s="0" t="s">
        <v>7192</v>
      </c>
    </row>
    <row r="713" customFormat="false" ht="15" hidden="false" customHeight="false" outlineLevel="0" collapsed="false">
      <c r="A713" s="0" t="s">
        <v>8</v>
      </c>
      <c r="B713" s="0" t="s">
        <v>927</v>
      </c>
      <c r="C713" s="0" t="s">
        <v>7190</v>
      </c>
      <c r="D713" s="0" t="n">
        <v>2.66</v>
      </c>
    </row>
    <row r="714" customFormat="false" ht="15" hidden="false" customHeight="false" outlineLevel="0" collapsed="false">
      <c r="A714" s="0" t="s">
        <v>8</v>
      </c>
      <c r="B714" s="0" t="s">
        <v>927</v>
      </c>
      <c r="C714" s="0" t="s">
        <v>7191</v>
      </c>
    </row>
    <row r="715" customFormat="false" ht="15" hidden="false" customHeight="false" outlineLevel="0" collapsed="false">
      <c r="A715" s="0" t="s">
        <v>8</v>
      </c>
      <c r="B715" s="0" t="s">
        <v>927</v>
      </c>
      <c r="C715" s="0" t="s">
        <v>7192</v>
      </c>
    </row>
    <row r="716" customFormat="false" ht="15" hidden="false" customHeight="false" outlineLevel="0" collapsed="false">
      <c r="A716" s="0" t="s">
        <v>8</v>
      </c>
      <c r="B716" s="0" t="s">
        <v>929</v>
      </c>
      <c r="C716" s="0" t="s">
        <v>7190</v>
      </c>
      <c r="D716" s="0" t="n">
        <v>14.8</v>
      </c>
    </row>
    <row r="717" customFormat="false" ht="15" hidden="false" customHeight="false" outlineLevel="0" collapsed="false">
      <c r="A717" s="0" t="s">
        <v>8</v>
      </c>
      <c r="B717" s="0" t="s">
        <v>929</v>
      </c>
      <c r="C717" s="0" t="s">
        <v>7191</v>
      </c>
    </row>
    <row r="718" customFormat="false" ht="15" hidden="false" customHeight="false" outlineLevel="0" collapsed="false">
      <c r="A718" s="0" t="s">
        <v>8</v>
      </c>
      <c r="B718" s="0" t="s">
        <v>929</v>
      </c>
      <c r="C718" s="0" t="s">
        <v>7192</v>
      </c>
    </row>
    <row r="719" customFormat="false" ht="15" hidden="false" customHeight="false" outlineLevel="0" collapsed="false">
      <c r="A719" s="0" t="s">
        <v>8</v>
      </c>
      <c r="B719" s="0" t="s">
        <v>935</v>
      </c>
      <c r="C719" s="0" t="s">
        <v>7190</v>
      </c>
      <c r="D719" s="0" t="n">
        <v>74.4</v>
      </c>
    </row>
    <row r="720" customFormat="false" ht="15" hidden="false" customHeight="false" outlineLevel="0" collapsed="false">
      <c r="A720" s="0" t="s">
        <v>8</v>
      </c>
      <c r="B720" s="0" t="s">
        <v>935</v>
      </c>
      <c r="C720" s="0" t="s">
        <v>7191</v>
      </c>
    </row>
    <row r="721" customFormat="false" ht="15" hidden="false" customHeight="false" outlineLevel="0" collapsed="false">
      <c r="A721" s="0" t="s">
        <v>8</v>
      </c>
      <c r="B721" s="0" t="s">
        <v>935</v>
      </c>
      <c r="C721" s="0" t="s">
        <v>7192</v>
      </c>
    </row>
    <row r="722" customFormat="false" ht="15" hidden="false" customHeight="false" outlineLevel="0" collapsed="false">
      <c r="A722" s="0" t="s">
        <v>8</v>
      </c>
      <c r="B722" s="0" t="s">
        <v>939</v>
      </c>
      <c r="C722" s="0" t="s">
        <v>7190</v>
      </c>
      <c r="D722" s="0" t="n">
        <v>1.4</v>
      </c>
    </row>
    <row r="723" customFormat="false" ht="15" hidden="false" customHeight="false" outlineLevel="0" collapsed="false">
      <c r="A723" s="0" t="s">
        <v>8</v>
      </c>
      <c r="B723" s="0" t="s">
        <v>939</v>
      </c>
      <c r="C723" s="0" t="s">
        <v>7191</v>
      </c>
    </row>
    <row r="724" customFormat="false" ht="15" hidden="false" customHeight="false" outlineLevel="0" collapsed="false">
      <c r="A724" s="0" t="s">
        <v>8</v>
      </c>
      <c r="B724" s="0" t="s">
        <v>939</v>
      </c>
      <c r="C724" s="0" t="s">
        <v>7192</v>
      </c>
    </row>
    <row r="725" customFormat="false" ht="15" hidden="false" customHeight="false" outlineLevel="0" collapsed="false">
      <c r="A725" s="0" t="s">
        <v>8</v>
      </c>
      <c r="B725" s="0" t="s">
        <v>948</v>
      </c>
      <c r="C725" s="0" t="s">
        <v>7190</v>
      </c>
      <c r="D725" s="0" t="n">
        <v>0.26</v>
      </c>
    </row>
    <row r="726" customFormat="false" ht="15" hidden="false" customHeight="false" outlineLevel="0" collapsed="false">
      <c r="A726" s="0" t="s">
        <v>8</v>
      </c>
      <c r="B726" s="0" t="s">
        <v>948</v>
      </c>
      <c r="C726" s="0" t="s">
        <v>7191</v>
      </c>
    </row>
    <row r="727" customFormat="false" ht="15" hidden="false" customHeight="false" outlineLevel="0" collapsed="false">
      <c r="A727" s="0" t="s">
        <v>8</v>
      </c>
      <c r="B727" s="0" t="s">
        <v>948</v>
      </c>
      <c r="C727" s="0" t="s">
        <v>7192</v>
      </c>
    </row>
    <row r="728" customFormat="false" ht="15" hidden="false" customHeight="false" outlineLevel="0" collapsed="false">
      <c r="A728" s="0" t="s">
        <v>8</v>
      </c>
      <c r="B728" s="0" t="s">
        <v>951</v>
      </c>
      <c r="C728" s="0" t="s">
        <v>7190</v>
      </c>
      <c r="D728" s="0" t="n">
        <v>4.4</v>
      </c>
    </row>
    <row r="729" customFormat="false" ht="15" hidden="false" customHeight="false" outlineLevel="0" collapsed="false">
      <c r="A729" s="0" t="s">
        <v>8</v>
      </c>
      <c r="B729" s="0" t="s">
        <v>951</v>
      </c>
      <c r="C729" s="0" t="s">
        <v>7191</v>
      </c>
    </row>
    <row r="730" customFormat="false" ht="15" hidden="false" customHeight="false" outlineLevel="0" collapsed="false">
      <c r="A730" s="0" t="s">
        <v>8</v>
      </c>
      <c r="B730" s="0" t="s">
        <v>951</v>
      </c>
      <c r="C730" s="0" t="s">
        <v>7192</v>
      </c>
    </row>
    <row r="731" customFormat="false" ht="15" hidden="false" customHeight="false" outlineLevel="0" collapsed="false">
      <c r="A731" s="0" t="s">
        <v>8</v>
      </c>
      <c r="B731" s="0" t="s">
        <v>954</v>
      </c>
      <c r="C731" s="0" t="s">
        <v>7190</v>
      </c>
      <c r="D731" s="0" t="n">
        <v>1.4</v>
      </c>
    </row>
    <row r="732" customFormat="false" ht="15" hidden="false" customHeight="false" outlineLevel="0" collapsed="false">
      <c r="A732" s="0" t="s">
        <v>8</v>
      </c>
      <c r="B732" s="0" t="s">
        <v>954</v>
      </c>
      <c r="C732" s="0" t="s">
        <v>7191</v>
      </c>
    </row>
    <row r="733" customFormat="false" ht="15" hidden="false" customHeight="false" outlineLevel="0" collapsed="false">
      <c r="A733" s="0" t="s">
        <v>8</v>
      </c>
      <c r="B733" s="0" t="s">
        <v>954</v>
      </c>
      <c r="C733" s="0" t="s">
        <v>7192</v>
      </c>
    </row>
    <row r="734" customFormat="false" ht="15" hidden="false" customHeight="false" outlineLevel="0" collapsed="false">
      <c r="A734" s="0" t="s">
        <v>8</v>
      </c>
      <c r="B734" s="0" t="s">
        <v>958</v>
      </c>
      <c r="C734" s="0" t="s">
        <v>7190</v>
      </c>
      <c r="D734" s="0" t="n">
        <v>0.26</v>
      </c>
    </row>
    <row r="735" customFormat="false" ht="15" hidden="false" customHeight="false" outlineLevel="0" collapsed="false">
      <c r="A735" s="0" t="s">
        <v>8</v>
      </c>
      <c r="B735" s="0" t="s">
        <v>958</v>
      </c>
      <c r="C735" s="0" t="s">
        <v>7191</v>
      </c>
    </row>
    <row r="736" customFormat="false" ht="15" hidden="false" customHeight="false" outlineLevel="0" collapsed="false">
      <c r="A736" s="0" t="s">
        <v>8</v>
      </c>
      <c r="B736" s="0" t="s">
        <v>958</v>
      </c>
      <c r="C736" s="0" t="s">
        <v>7192</v>
      </c>
    </row>
    <row r="737" customFormat="false" ht="15" hidden="false" customHeight="false" outlineLevel="0" collapsed="false">
      <c r="A737" s="0" t="s">
        <v>8</v>
      </c>
      <c r="B737" s="0" t="s">
        <v>961</v>
      </c>
      <c r="C737" s="0" t="s">
        <v>7190</v>
      </c>
      <c r="D737" s="0" t="n">
        <v>4.4</v>
      </c>
    </row>
    <row r="738" customFormat="false" ht="15" hidden="false" customHeight="false" outlineLevel="0" collapsed="false">
      <c r="A738" s="0" t="s">
        <v>8</v>
      </c>
      <c r="B738" s="0" t="s">
        <v>961</v>
      </c>
      <c r="C738" s="0" t="s">
        <v>7191</v>
      </c>
    </row>
    <row r="739" customFormat="false" ht="15" hidden="false" customHeight="false" outlineLevel="0" collapsed="false">
      <c r="A739" s="0" t="s">
        <v>8</v>
      </c>
      <c r="B739" s="0" t="s">
        <v>961</v>
      </c>
      <c r="C739" s="0" t="s">
        <v>7192</v>
      </c>
    </row>
    <row r="740" customFormat="false" ht="15" hidden="false" customHeight="false" outlineLevel="0" collapsed="false">
      <c r="A740" s="0" t="s">
        <v>8</v>
      </c>
      <c r="B740" s="0" t="s">
        <v>964</v>
      </c>
      <c r="C740" s="0" t="s">
        <v>7190</v>
      </c>
      <c r="D740" s="0" t="n">
        <v>1.4</v>
      </c>
    </row>
    <row r="741" customFormat="false" ht="15" hidden="false" customHeight="false" outlineLevel="0" collapsed="false">
      <c r="A741" s="0" t="s">
        <v>8</v>
      </c>
      <c r="B741" s="0" t="s">
        <v>964</v>
      </c>
      <c r="C741" s="0" t="s">
        <v>7191</v>
      </c>
    </row>
    <row r="742" customFormat="false" ht="15" hidden="false" customHeight="false" outlineLevel="0" collapsed="false">
      <c r="A742" s="0" t="s">
        <v>8</v>
      </c>
      <c r="B742" s="0" t="s">
        <v>964</v>
      </c>
      <c r="C742" s="0" t="s">
        <v>7192</v>
      </c>
    </row>
    <row r="743" customFormat="false" ht="15" hidden="false" customHeight="false" outlineLevel="0" collapsed="false">
      <c r="A743" s="0" t="s">
        <v>8</v>
      </c>
      <c r="B743" s="0" t="s">
        <v>968</v>
      </c>
      <c r="C743" s="0" t="s">
        <v>7190</v>
      </c>
      <c r="D743" s="0" t="n">
        <v>0.26</v>
      </c>
    </row>
    <row r="744" customFormat="false" ht="15" hidden="false" customHeight="false" outlineLevel="0" collapsed="false">
      <c r="A744" s="0" t="s">
        <v>8</v>
      </c>
      <c r="B744" s="0" t="s">
        <v>968</v>
      </c>
      <c r="C744" s="0" t="s">
        <v>7191</v>
      </c>
    </row>
    <row r="745" customFormat="false" ht="15" hidden="false" customHeight="false" outlineLevel="0" collapsed="false">
      <c r="A745" s="0" t="s">
        <v>8</v>
      </c>
      <c r="B745" s="0" t="s">
        <v>968</v>
      </c>
      <c r="C745" s="0" t="s">
        <v>7192</v>
      </c>
    </row>
    <row r="746" customFormat="false" ht="15" hidden="false" customHeight="false" outlineLevel="0" collapsed="false">
      <c r="A746" s="0" t="s">
        <v>8</v>
      </c>
      <c r="B746" s="0" t="s">
        <v>971</v>
      </c>
      <c r="C746" s="0" t="s">
        <v>7190</v>
      </c>
      <c r="D746" s="0" t="n">
        <v>4.4</v>
      </c>
    </row>
    <row r="747" customFormat="false" ht="15" hidden="false" customHeight="false" outlineLevel="0" collapsed="false">
      <c r="A747" s="0" t="s">
        <v>8</v>
      </c>
      <c r="B747" s="0" t="s">
        <v>971</v>
      </c>
      <c r="C747" s="0" t="s">
        <v>7191</v>
      </c>
    </row>
    <row r="748" customFormat="false" ht="15" hidden="false" customHeight="false" outlineLevel="0" collapsed="false">
      <c r="A748" s="0" t="s">
        <v>8</v>
      </c>
      <c r="B748" s="0" t="s">
        <v>971</v>
      </c>
      <c r="C748" s="0" t="s">
        <v>7192</v>
      </c>
    </row>
    <row r="749" customFormat="false" ht="15" hidden="false" customHeight="false" outlineLevel="0" collapsed="false">
      <c r="A749" s="0" t="s">
        <v>8</v>
      </c>
      <c r="B749" s="0" t="s">
        <v>974</v>
      </c>
      <c r="C749" s="0" t="s">
        <v>7190</v>
      </c>
      <c r="D749" s="0" t="n">
        <v>1</v>
      </c>
    </row>
    <row r="750" customFormat="false" ht="15" hidden="false" customHeight="false" outlineLevel="0" collapsed="false">
      <c r="A750" s="0" t="s">
        <v>8</v>
      </c>
      <c r="B750" s="0" t="s">
        <v>974</v>
      </c>
      <c r="C750" s="0" t="s">
        <v>7191</v>
      </c>
    </row>
    <row r="751" customFormat="false" ht="15" hidden="false" customHeight="false" outlineLevel="0" collapsed="false">
      <c r="A751" s="0" t="s">
        <v>8</v>
      </c>
      <c r="B751" s="0" t="s">
        <v>974</v>
      </c>
      <c r="C751" s="0" t="s">
        <v>7192</v>
      </c>
    </row>
    <row r="752" customFormat="false" ht="15" hidden="false" customHeight="false" outlineLevel="0" collapsed="false">
      <c r="A752" s="0" t="s">
        <v>8</v>
      </c>
      <c r="B752" s="0" t="s">
        <v>978</v>
      </c>
      <c r="C752" s="0" t="s">
        <v>7190</v>
      </c>
      <c r="D752" s="0" t="n">
        <v>0.2</v>
      </c>
    </row>
    <row r="753" customFormat="false" ht="15" hidden="false" customHeight="false" outlineLevel="0" collapsed="false">
      <c r="A753" s="0" t="s">
        <v>8</v>
      </c>
      <c r="B753" s="0" t="s">
        <v>978</v>
      </c>
      <c r="C753" s="0" t="s">
        <v>7191</v>
      </c>
    </row>
    <row r="754" customFormat="false" ht="15" hidden="false" customHeight="false" outlineLevel="0" collapsed="false">
      <c r="A754" s="0" t="s">
        <v>8</v>
      </c>
      <c r="B754" s="0" t="s">
        <v>978</v>
      </c>
      <c r="C754" s="0" t="s">
        <v>7192</v>
      </c>
    </row>
    <row r="755" customFormat="false" ht="15" hidden="false" customHeight="false" outlineLevel="0" collapsed="false">
      <c r="A755" s="0" t="s">
        <v>8</v>
      </c>
      <c r="B755" s="0" t="s">
        <v>981</v>
      </c>
      <c r="C755" s="0" t="s">
        <v>7190</v>
      </c>
      <c r="D755" s="0" t="n">
        <v>3.2</v>
      </c>
    </row>
    <row r="756" customFormat="false" ht="15" hidden="false" customHeight="false" outlineLevel="0" collapsed="false">
      <c r="A756" s="0" t="s">
        <v>8</v>
      </c>
      <c r="B756" s="0" t="s">
        <v>981</v>
      </c>
      <c r="C756" s="0" t="s">
        <v>7191</v>
      </c>
    </row>
    <row r="757" customFormat="false" ht="15" hidden="false" customHeight="false" outlineLevel="0" collapsed="false">
      <c r="A757" s="0" t="s">
        <v>8</v>
      </c>
      <c r="B757" s="0" t="s">
        <v>981</v>
      </c>
      <c r="C757" s="0" t="s">
        <v>7192</v>
      </c>
    </row>
    <row r="758" customFormat="false" ht="15" hidden="false" customHeight="false" outlineLevel="0" collapsed="false">
      <c r="A758" s="0" t="s">
        <v>8</v>
      </c>
      <c r="B758" s="0" t="s">
        <v>984</v>
      </c>
      <c r="C758" s="0" t="s">
        <v>7190</v>
      </c>
      <c r="D758" s="0" t="n">
        <v>0.6</v>
      </c>
    </row>
    <row r="759" customFormat="false" ht="15" hidden="false" customHeight="false" outlineLevel="0" collapsed="false">
      <c r="A759" s="0" t="s">
        <v>8</v>
      </c>
      <c r="B759" s="0" t="s">
        <v>984</v>
      </c>
      <c r="C759" s="0" t="s">
        <v>7191</v>
      </c>
    </row>
    <row r="760" customFormat="false" ht="15" hidden="false" customHeight="false" outlineLevel="0" collapsed="false">
      <c r="A760" s="0" t="s">
        <v>8</v>
      </c>
      <c r="B760" s="0" t="s">
        <v>984</v>
      </c>
      <c r="C760" s="0" t="s">
        <v>7192</v>
      </c>
    </row>
    <row r="761" customFormat="false" ht="15" hidden="false" customHeight="false" outlineLevel="0" collapsed="false">
      <c r="A761" s="0" t="s">
        <v>8</v>
      </c>
      <c r="B761" s="0" t="s">
        <v>988</v>
      </c>
      <c r="C761" s="0" t="s">
        <v>7190</v>
      </c>
      <c r="D761" s="0" t="n">
        <v>0.11</v>
      </c>
    </row>
    <row r="762" customFormat="false" ht="15" hidden="false" customHeight="false" outlineLevel="0" collapsed="false">
      <c r="A762" s="0" t="s">
        <v>8</v>
      </c>
      <c r="B762" s="0" t="s">
        <v>988</v>
      </c>
      <c r="C762" s="0" t="s">
        <v>7191</v>
      </c>
    </row>
    <row r="763" customFormat="false" ht="15" hidden="false" customHeight="false" outlineLevel="0" collapsed="false">
      <c r="A763" s="0" t="s">
        <v>8</v>
      </c>
      <c r="B763" s="0" t="s">
        <v>988</v>
      </c>
      <c r="C763" s="0" t="s">
        <v>7192</v>
      </c>
    </row>
    <row r="764" customFormat="false" ht="15" hidden="false" customHeight="false" outlineLevel="0" collapsed="false">
      <c r="A764" s="0" t="s">
        <v>8</v>
      </c>
      <c r="B764" s="0" t="s">
        <v>991</v>
      </c>
      <c r="C764" s="0" t="s">
        <v>7190</v>
      </c>
      <c r="D764" s="0" t="n">
        <v>2.2</v>
      </c>
    </row>
    <row r="765" customFormat="false" ht="15" hidden="false" customHeight="false" outlineLevel="0" collapsed="false">
      <c r="A765" s="0" t="s">
        <v>8</v>
      </c>
      <c r="B765" s="0" t="s">
        <v>991</v>
      </c>
      <c r="C765" s="0" t="s">
        <v>7191</v>
      </c>
    </row>
    <row r="766" customFormat="false" ht="15" hidden="false" customHeight="false" outlineLevel="0" collapsed="false">
      <c r="A766" s="0" t="s">
        <v>8</v>
      </c>
      <c r="B766" s="0" t="s">
        <v>991</v>
      </c>
      <c r="C766" s="0" t="s">
        <v>7192</v>
      </c>
    </row>
    <row r="767" customFormat="false" ht="15" hidden="false" customHeight="false" outlineLevel="0" collapsed="false">
      <c r="A767" s="0" t="s">
        <v>8</v>
      </c>
      <c r="B767" s="0" t="s">
        <v>994</v>
      </c>
      <c r="C767" s="0" t="s">
        <v>7190</v>
      </c>
      <c r="D767" s="0" t="n">
        <v>0.6</v>
      </c>
    </row>
    <row r="768" customFormat="false" ht="15" hidden="false" customHeight="false" outlineLevel="0" collapsed="false">
      <c r="A768" s="0" t="s">
        <v>8</v>
      </c>
      <c r="B768" s="0" t="s">
        <v>994</v>
      </c>
      <c r="C768" s="0" t="s">
        <v>7191</v>
      </c>
    </row>
    <row r="769" customFormat="false" ht="15" hidden="false" customHeight="false" outlineLevel="0" collapsed="false">
      <c r="A769" s="0" t="s">
        <v>8</v>
      </c>
      <c r="B769" s="0" t="s">
        <v>994</v>
      </c>
      <c r="C769" s="0" t="s">
        <v>7192</v>
      </c>
    </row>
    <row r="770" customFormat="false" ht="15" hidden="false" customHeight="false" outlineLevel="0" collapsed="false">
      <c r="A770" s="0" t="s">
        <v>8</v>
      </c>
      <c r="B770" s="0" t="s">
        <v>998</v>
      </c>
      <c r="C770" s="0" t="s">
        <v>7190</v>
      </c>
      <c r="D770" s="0" t="n">
        <v>0.11</v>
      </c>
    </row>
    <row r="771" customFormat="false" ht="15" hidden="false" customHeight="false" outlineLevel="0" collapsed="false">
      <c r="A771" s="0" t="s">
        <v>8</v>
      </c>
      <c r="B771" s="0" t="s">
        <v>998</v>
      </c>
      <c r="C771" s="0" t="s">
        <v>7191</v>
      </c>
    </row>
    <row r="772" customFormat="false" ht="15" hidden="false" customHeight="false" outlineLevel="0" collapsed="false">
      <c r="A772" s="0" t="s">
        <v>8</v>
      </c>
      <c r="B772" s="0" t="s">
        <v>998</v>
      </c>
      <c r="C772" s="0" t="s">
        <v>7192</v>
      </c>
    </row>
    <row r="773" customFormat="false" ht="15" hidden="false" customHeight="false" outlineLevel="0" collapsed="false">
      <c r="A773" s="0" t="s">
        <v>8</v>
      </c>
      <c r="B773" s="0" t="s">
        <v>1001</v>
      </c>
      <c r="C773" s="0" t="s">
        <v>7190</v>
      </c>
      <c r="D773" s="0" t="n">
        <v>2.2</v>
      </c>
    </row>
    <row r="774" customFormat="false" ht="15" hidden="false" customHeight="false" outlineLevel="0" collapsed="false">
      <c r="A774" s="0" t="s">
        <v>8</v>
      </c>
      <c r="B774" s="0" t="s">
        <v>1001</v>
      </c>
      <c r="C774" s="0" t="s">
        <v>7191</v>
      </c>
    </row>
    <row r="775" customFormat="false" ht="15" hidden="false" customHeight="false" outlineLevel="0" collapsed="false">
      <c r="A775" s="0" t="s">
        <v>8</v>
      </c>
      <c r="B775" s="0" t="s">
        <v>1001</v>
      </c>
      <c r="C775" s="0" t="s">
        <v>7192</v>
      </c>
    </row>
    <row r="776" customFormat="false" ht="15" hidden="false" customHeight="false" outlineLevel="0" collapsed="false">
      <c r="A776" s="0" t="s">
        <v>8</v>
      </c>
      <c r="B776" s="0" t="s">
        <v>1004</v>
      </c>
      <c r="C776" s="0" t="s">
        <v>7190</v>
      </c>
      <c r="D776" s="0" t="n">
        <v>0.6</v>
      </c>
    </row>
    <row r="777" customFormat="false" ht="15" hidden="false" customHeight="false" outlineLevel="0" collapsed="false">
      <c r="A777" s="0" t="s">
        <v>8</v>
      </c>
      <c r="B777" s="0" t="s">
        <v>1004</v>
      </c>
      <c r="C777" s="0" t="s">
        <v>7191</v>
      </c>
    </row>
    <row r="778" customFormat="false" ht="15" hidden="false" customHeight="false" outlineLevel="0" collapsed="false">
      <c r="A778" s="0" t="s">
        <v>8</v>
      </c>
      <c r="B778" s="0" t="s">
        <v>1004</v>
      </c>
      <c r="C778" s="0" t="s">
        <v>7192</v>
      </c>
    </row>
    <row r="779" customFormat="false" ht="15" hidden="false" customHeight="false" outlineLevel="0" collapsed="false">
      <c r="A779" s="0" t="s">
        <v>8</v>
      </c>
      <c r="B779" s="0" t="s">
        <v>1008</v>
      </c>
      <c r="C779" s="0" t="s">
        <v>7190</v>
      </c>
      <c r="D779" s="0" t="n">
        <v>0.11</v>
      </c>
    </row>
    <row r="780" customFormat="false" ht="15" hidden="false" customHeight="false" outlineLevel="0" collapsed="false">
      <c r="A780" s="0" t="s">
        <v>8</v>
      </c>
      <c r="B780" s="0" t="s">
        <v>1008</v>
      </c>
      <c r="C780" s="0" t="s">
        <v>7191</v>
      </c>
    </row>
    <row r="781" customFormat="false" ht="15" hidden="false" customHeight="false" outlineLevel="0" collapsed="false">
      <c r="A781" s="0" t="s">
        <v>8</v>
      </c>
      <c r="B781" s="0" t="s">
        <v>1008</v>
      </c>
      <c r="C781" s="0" t="s">
        <v>7192</v>
      </c>
    </row>
    <row r="782" customFormat="false" ht="15" hidden="false" customHeight="false" outlineLevel="0" collapsed="false">
      <c r="A782" s="0" t="s">
        <v>8</v>
      </c>
      <c r="B782" s="0" t="s">
        <v>1011</v>
      </c>
      <c r="C782" s="0" t="s">
        <v>7190</v>
      </c>
      <c r="D782" s="0" t="n">
        <v>2.2</v>
      </c>
    </row>
    <row r="783" customFormat="false" ht="15" hidden="false" customHeight="false" outlineLevel="0" collapsed="false">
      <c r="A783" s="0" t="s">
        <v>8</v>
      </c>
      <c r="B783" s="0" t="s">
        <v>1011</v>
      </c>
      <c r="C783" s="0" t="s">
        <v>7191</v>
      </c>
    </row>
    <row r="784" customFormat="false" ht="15" hidden="false" customHeight="false" outlineLevel="0" collapsed="false">
      <c r="A784" s="0" t="s">
        <v>8</v>
      </c>
      <c r="B784" s="0" t="s">
        <v>1011</v>
      </c>
      <c r="C784" s="0" t="s">
        <v>7192</v>
      </c>
    </row>
    <row r="785" customFormat="false" ht="15" hidden="false" customHeight="false" outlineLevel="0" collapsed="false">
      <c r="A785" s="0" t="s">
        <v>8</v>
      </c>
      <c r="B785" s="0" t="s">
        <v>1014</v>
      </c>
      <c r="C785" s="0" t="s">
        <v>7190</v>
      </c>
      <c r="D785" s="0" t="n">
        <v>2.2</v>
      </c>
    </row>
    <row r="786" customFormat="false" ht="15" hidden="false" customHeight="false" outlineLevel="0" collapsed="false">
      <c r="A786" s="0" t="s">
        <v>8</v>
      </c>
      <c r="B786" s="0" t="s">
        <v>1014</v>
      </c>
      <c r="C786" s="0" t="s">
        <v>7191</v>
      </c>
    </row>
    <row r="787" customFormat="false" ht="15" hidden="false" customHeight="false" outlineLevel="0" collapsed="false">
      <c r="A787" s="0" t="s">
        <v>8</v>
      </c>
      <c r="B787" s="0" t="s">
        <v>1014</v>
      </c>
      <c r="C787" s="0" t="s">
        <v>7192</v>
      </c>
    </row>
    <row r="788" customFormat="false" ht="15" hidden="false" customHeight="false" outlineLevel="0" collapsed="false">
      <c r="A788" s="0" t="s">
        <v>8</v>
      </c>
      <c r="B788" s="0" t="s">
        <v>1018</v>
      </c>
      <c r="C788" s="0" t="s">
        <v>7190</v>
      </c>
      <c r="D788" s="0" t="n">
        <v>0.45</v>
      </c>
    </row>
    <row r="789" customFormat="false" ht="15" hidden="false" customHeight="false" outlineLevel="0" collapsed="false">
      <c r="A789" s="0" t="s">
        <v>8</v>
      </c>
      <c r="B789" s="0" t="s">
        <v>1018</v>
      </c>
      <c r="C789" s="0" t="s">
        <v>7191</v>
      </c>
    </row>
    <row r="790" customFormat="false" ht="15" hidden="false" customHeight="false" outlineLevel="0" collapsed="false">
      <c r="A790" s="0" t="s">
        <v>8</v>
      </c>
      <c r="B790" s="0" t="s">
        <v>1018</v>
      </c>
      <c r="C790" s="0" t="s">
        <v>7192</v>
      </c>
    </row>
    <row r="791" customFormat="false" ht="15" hidden="false" customHeight="false" outlineLevel="0" collapsed="false">
      <c r="A791" s="0" t="s">
        <v>8</v>
      </c>
      <c r="B791" s="0" t="s">
        <v>1021</v>
      </c>
      <c r="C791" s="0" t="s">
        <v>7190</v>
      </c>
      <c r="D791" s="0" t="n">
        <v>8.9</v>
      </c>
    </row>
    <row r="792" customFormat="false" ht="15" hidden="false" customHeight="false" outlineLevel="0" collapsed="false">
      <c r="A792" s="0" t="s">
        <v>8</v>
      </c>
      <c r="B792" s="0" t="s">
        <v>1021</v>
      </c>
      <c r="C792" s="0" t="s">
        <v>7191</v>
      </c>
    </row>
    <row r="793" customFormat="false" ht="15" hidden="false" customHeight="false" outlineLevel="0" collapsed="false">
      <c r="A793" s="0" t="s">
        <v>8</v>
      </c>
      <c r="B793" s="0" t="s">
        <v>1021</v>
      </c>
      <c r="C793" s="0" t="s">
        <v>7192</v>
      </c>
    </row>
    <row r="794" customFormat="false" ht="15" hidden="false" customHeight="false" outlineLevel="0" collapsed="false">
      <c r="A794" s="0" t="s">
        <v>8</v>
      </c>
      <c r="B794" s="0" t="s">
        <v>1024</v>
      </c>
      <c r="C794" s="0" t="s">
        <v>7190</v>
      </c>
      <c r="D794" s="0" t="n">
        <v>0.2</v>
      </c>
    </row>
    <row r="795" customFormat="false" ht="15" hidden="false" customHeight="false" outlineLevel="0" collapsed="false">
      <c r="A795" s="0" t="s">
        <v>8</v>
      </c>
      <c r="B795" s="0" t="s">
        <v>1024</v>
      </c>
      <c r="C795" s="0" t="s">
        <v>7191</v>
      </c>
    </row>
    <row r="796" customFormat="false" ht="15" hidden="false" customHeight="false" outlineLevel="0" collapsed="false">
      <c r="A796" s="0" t="s">
        <v>8</v>
      </c>
      <c r="B796" s="0" t="s">
        <v>1024</v>
      </c>
      <c r="C796" s="0" t="s">
        <v>7192</v>
      </c>
    </row>
    <row r="797" customFormat="false" ht="15" hidden="false" customHeight="false" outlineLevel="0" collapsed="false">
      <c r="A797" s="0" t="s">
        <v>8</v>
      </c>
      <c r="B797" s="0" t="s">
        <v>1028</v>
      </c>
      <c r="C797" s="0" t="s">
        <v>7190</v>
      </c>
      <c r="D797" s="0" t="n">
        <v>0.03</v>
      </c>
    </row>
    <row r="798" customFormat="false" ht="15" hidden="false" customHeight="false" outlineLevel="0" collapsed="false">
      <c r="A798" s="0" t="s">
        <v>8</v>
      </c>
      <c r="B798" s="0" t="s">
        <v>1028</v>
      </c>
      <c r="C798" s="0" t="s">
        <v>7191</v>
      </c>
    </row>
    <row r="799" customFormat="false" ht="15" hidden="false" customHeight="false" outlineLevel="0" collapsed="false">
      <c r="A799" s="0" t="s">
        <v>8</v>
      </c>
      <c r="B799" s="0" t="s">
        <v>1028</v>
      </c>
      <c r="C799" s="0" t="s">
        <v>7192</v>
      </c>
    </row>
    <row r="800" customFormat="false" ht="15" hidden="false" customHeight="false" outlineLevel="0" collapsed="false">
      <c r="A800" s="0" t="s">
        <v>8</v>
      </c>
      <c r="B800" s="0" t="s">
        <v>1031</v>
      </c>
      <c r="C800" s="0" t="s">
        <v>7190</v>
      </c>
      <c r="D800" s="0" t="n">
        <v>1.1</v>
      </c>
    </row>
    <row r="801" customFormat="false" ht="15" hidden="false" customHeight="false" outlineLevel="0" collapsed="false">
      <c r="A801" s="0" t="s">
        <v>8</v>
      </c>
      <c r="B801" s="0" t="s">
        <v>1031</v>
      </c>
      <c r="C801" s="0" t="s">
        <v>7191</v>
      </c>
    </row>
    <row r="802" customFormat="false" ht="15" hidden="false" customHeight="false" outlineLevel="0" collapsed="false">
      <c r="A802" s="0" t="s">
        <v>8</v>
      </c>
      <c r="B802" s="0" t="s">
        <v>1031</v>
      </c>
      <c r="C802" s="0" t="s">
        <v>7192</v>
      </c>
    </row>
    <row r="803" customFormat="false" ht="15" hidden="false" customHeight="false" outlineLevel="0" collapsed="false">
      <c r="A803" s="0" t="s">
        <v>8</v>
      </c>
      <c r="B803" s="0" t="s">
        <v>1034</v>
      </c>
      <c r="C803" s="0" t="s">
        <v>7190</v>
      </c>
      <c r="D803" s="0" t="n">
        <v>1.1</v>
      </c>
    </row>
    <row r="804" customFormat="false" ht="15" hidden="false" customHeight="false" outlineLevel="0" collapsed="false">
      <c r="A804" s="0" t="s">
        <v>8</v>
      </c>
      <c r="B804" s="0" t="s">
        <v>1034</v>
      </c>
      <c r="C804" s="0" t="s">
        <v>7191</v>
      </c>
    </row>
    <row r="805" customFormat="false" ht="15" hidden="false" customHeight="false" outlineLevel="0" collapsed="false">
      <c r="A805" s="0" t="s">
        <v>8</v>
      </c>
      <c r="B805" s="0" t="s">
        <v>1034</v>
      </c>
      <c r="C805" s="0" t="s">
        <v>7192</v>
      </c>
    </row>
    <row r="806" customFormat="false" ht="15" hidden="false" customHeight="false" outlineLevel="0" collapsed="false">
      <c r="A806" s="0" t="s">
        <v>8</v>
      </c>
      <c r="B806" s="0" t="s">
        <v>1038</v>
      </c>
      <c r="C806" s="0" t="s">
        <v>7190</v>
      </c>
      <c r="D806" s="0" t="n">
        <v>0.22</v>
      </c>
    </row>
    <row r="807" customFormat="false" ht="15" hidden="false" customHeight="false" outlineLevel="0" collapsed="false">
      <c r="A807" s="0" t="s">
        <v>8</v>
      </c>
      <c r="B807" s="0" t="s">
        <v>1038</v>
      </c>
      <c r="C807" s="0" t="s">
        <v>7191</v>
      </c>
    </row>
    <row r="808" customFormat="false" ht="15" hidden="false" customHeight="false" outlineLevel="0" collapsed="false">
      <c r="A808" s="0" t="s">
        <v>8</v>
      </c>
      <c r="B808" s="0" t="s">
        <v>1038</v>
      </c>
      <c r="C808" s="0" t="s">
        <v>7192</v>
      </c>
    </row>
    <row r="809" customFormat="false" ht="15" hidden="false" customHeight="false" outlineLevel="0" collapsed="false">
      <c r="A809" s="0" t="s">
        <v>8</v>
      </c>
      <c r="B809" s="0" t="s">
        <v>1041</v>
      </c>
      <c r="C809" s="0" t="s">
        <v>7190</v>
      </c>
      <c r="D809" s="0" t="n">
        <v>4.5</v>
      </c>
    </row>
    <row r="810" customFormat="false" ht="15" hidden="false" customHeight="false" outlineLevel="0" collapsed="false">
      <c r="A810" s="0" t="s">
        <v>8</v>
      </c>
      <c r="B810" s="0" t="s">
        <v>1041</v>
      </c>
      <c r="C810" s="0" t="s">
        <v>7191</v>
      </c>
    </row>
    <row r="811" customFormat="false" ht="15" hidden="false" customHeight="false" outlineLevel="0" collapsed="false">
      <c r="A811" s="0" t="s">
        <v>8</v>
      </c>
      <c r="B811" s="0" t="s">
        <v>1041</v>
      </c>
      <c r="C811" s="0" t="s">
        <v>7192</v>
      </c>
    </row>
    <row r="812" customFormat="false" ht="15" hidden="false" customHeight="false" outlineLevel="0" collapsed="false">
      <c r="A812" s="0" t="s">
        <v>8</v>
      </c>
      <c r="B812" s="0" t="s">
        <v>1044</v>
      </c>
      <c r="C812" s="0" t="s">
        <v>7190</v>
      </c>
      <c r="D812" s="0" t="n">
        <v>0.15</v>
      </c>
    </row>
    <row r="813" customFormat="false" ht="15" hidden="false" customHeight="false" outlineLevel="0" collapsed="false">
      <c r="A813" s="0" t="s">
        <v>8</v>
      </c>
      <c r="B813" s="0" t="s">
        <v>1044</v>
      </c>
      <c r="C813" s="0" t="s">
        <v>7191</v>
      </c>
    </row>
    <row r="814" customFormat="false" ht="15" hidden="false" customHeight="false" outlineLevel="0" collapsed="false">
      <c r="A814" s="0" t="s">
        <v>8</v>
      </c>
      <c r="B814" s="0" t="s">
        <v>1044</v>
      </c>
      <c r="C814" s="0" t="s">
        <v>7192</v>
      </c>
    </row>
    <row r="815" customFormat="false" ht="15" hidden="false" customHeight="false" outlineLevel="0" collapsed="false">
      <c r="A815" s="0" t="s">
        <v>8</v>
      </c>
      <c r="B815" s="0" t="s">
        <v>1048</v>
      </c>
      <c r="C815" s="0" t="s">
        <v>7190</v>
      </c>
      <c r="D815" s="0" t="n">
        <v>0.03</v>
      </c>
    </row>
    <row r="816" customFormat="false" ht="15" hidden="false" customHeight="false" outlineLevel="0" collapsed="false">
      <c r="A816" s="0" t="s">
        <v>8</v>
      </c>
      <c r="B816" s="0" t="s">
        <v>1048</v>
      </c>
      <c r="C816" s="0" t="s">
        <v>7191</v>
      </c>
    </row>
    <row r="817" customFormat="false" ht="15" hidden="false" customHeight="false" outlineLevel="0" collapsed="false">
      <c r="A817" s="0" t="s">
        <v>8</v>
      </c>
      <c r="B817" s="0" t="s">
        <v>1048</v>
      </c>
      <c r="C817" s="0" t="s">
        <v>7192</v>
      </c>
    </row>
    <row r="818" customFormat="false" ht="15" hidden="false" customHeight="false" outlineLevel="0" collapsed="false">
      <c r="A818" s="0" t="s">
        <v>8</v>
      </c>
      <c r="B818" s="0" t="s">
        <v>1051</v>
      </c>
      <c r="C818" s="0" t="s">
        <v>7190</v>
      </c>
      <c r="D818" s="0" t="n">
        <v>0.5</v>
      </c>
    </row>
    <row r="819" customFormat="false" ht="15" hidden="false" customHeight="false" outlineLevel="0" collapsed="false">
      <c r="A819" s="0" t="s">
        <v>8</v>
      </c>
      <c r="B819" s="0" t="s">
        <v>1051</v>
      </c>
      <c r="C819" s="0" t="s">
        <v>7191</v>
      </c>
    </row>
    <row r="820" customFormat="false" ht="15" hidden="false" customHeight="false" outlineLevel="0" collapsed="false">
      <c r="A820" s="0" t="s">
        <v>8</v>
      </c>
      <c r="B820" s="0" t="s">
        <v>1051</v>
      </c>
      <c r="C820" s="0" t="s">
        <v>7192</v>
      </c>
    </row>
    <row r="821" customFormat="false" ht="15" hidden="false" customHeight="false" outlineLevel="0" collapsed="false">
      <c r="A821" s="0" t="s">
        <v>8</v>
      </c>
      <c r="B821" s="0" t="s">
        <v>1054</v>
      </c>
      <c r="C821" s="0" t="s">
        <v>7190</v>
      </c>
      <c r="D821" s="0" t="n">
        <v>0.37</v>
      </c>
    </row>
    <row r="822" customFormat="false" ht="15" hidden="false" customHeight="false" outlineLevel="0" collapsed="false">
      <c r="A822" s="0" t="s">
        <v>8</v>
      </c>
      <c r="B822" s="0" t="s">
        <v>1054</v>
      </c>
      <c r="C822" s="0" t="s">
        <v>7191</v>
      </c>
    </row>
    <row r="823" customFormat="false" ht="15" hidden="false" customHeight="false" outlineLevel="0" collapsed="false">
      <c r="A823" s="0" t="s">
        <v>8</v>
      </c>
      <c r="B823" s="0" t="s">
        <v>1054</v>
      </c>
      <c r="C823" s="0" t="s">
        <v>7192</v>
      </c>
    </row>
    <row r="824" customFormat="false" ht="15" hidden="false" customHeight="false" outlineLevel="0" collapsed="false">
      <c r="A824" s="0" t="s">
        <v>8</v>
      </c>
      <c r="B824" s="0" t="s">
        <v>1058</v>
      </c>
      <c r="C824" s="0" t="s">
        <v>7190</v>
      </c>
      <c r="D824" s="0" t="n">
        <v>0.075</v>
      </c>
    </row>
    <row r="825" customFormat="false" ht="15" hidden="false" customHeight="false" outlineLevel="0" collapsed="false">
      <c r="A825" s="0" t="s">
        <v>8</v>
      </c>
      <c r="B825" s="0" t="s">
        <v>1058</v>
      </c>
      <c r="C825" s="0" t="s">
        <v>7191</v>
      </c>
    </row>
    <row r="826" customFormat="false" ht="15" hidden="false" customHeight="false" outlineLevel="0" collapsed="false">
      <c r="A826" s="0" t="s">
        <v>8</v>
      </c>
      <c r="B826" s="0" t="s">
        <v>1058</v>
      </c>
      <c r="C826" s="0" t="s">
        <v>7192</v>
      </c>
    </row>
    <row r="827" customFormat="false" ht="15" hidden="false" customHeight="false" outlineLevel="0" collapsed="false">
      <c r="A827" s="0" t="s">
        <v>8</v>
      </c>
      <c r="B827" s="0" t="s">
        <v>1061</v>
      </c>
      <c r="C827" s="0" t="s">
        <v>7190</v>
      </c>
      <c r="D827" s="0" t="n">
        <v>1.25</v>
      </c>
    </row>
    <row r="828" customFormat="false" ht="15" hidden="false" customHeight="false" outlineLevel="0" collapsed="false">
      <c r="A828" s="0" t="s">
        <v>8</v>
      </c>
      <c r="B828" s="0" t="s">
        <v>1061</v>
      </c>
      <c r="C828" s="0" t="s">
        <v>7191</v>
      </c>
    </row>
    <row r="829" customFormat="false" ht="15" hidden="false" customHeight="false" outlineLevel="0" collapsed="false">
      <c r="A829" s="0" t="s">
        <v>8</v>
      </c>
      <c r="B829" s="0" t="s">
        <v>1061</v>
      </c>
      <c r="C829" s="0" t="s">
        <v>7192</v>
      </c>
    </row>
    <row r="830" customFormat="false" ht="15" hidden="false" customHeight="false" outlineLevel="0" collapsed="false">
      <c r="A830" s="0" t="s">
        <v>8</v>
      </c>
      <c r="B830" s="0" t="s">
        <v>1064</v>
      </c>
      <c r="C830" s="0" t="s">
        <v>7190</v>
      </c>
      <c r="D830" s="0" t="n">
        <v>0.07</v>
      </c>
    </row>
    <row r="831" customFormat="false" ht="15" hidden="false" customHeight="false" outlineLevel="0" collapsed="false">
      <c r="A831" s="0" t="s">
        <v>8</v>
      </c>
      <c r="B831" s="0" t="s">
        <v>1064</v>
      </c>
      <c r="C831" s="0" t="s">
        <v>7191</v>
      </c>
    </row>
    <row r="832" customFormat="false" ht="15" hidden="false" customHeight="false" outlineLevel="0" collapsed="false">
      <c r="A832" s="0" t="s">
        <v>8</v>
      </c>
      <c r="B832" s="0" t="s">
        <v>1064</v>
      </c>
      <c r="C832" s="0" t="s">
        <v>7192</v>
      </c>
    </row>
    <row r="833" customFormat="false" ht="15" hidden="false" customHeight="false" outlineLevel="0" collapsed="false">
      <c r="A833" s="0" t="s">
        <v>8</v>
      </c>
      <c r="B833" s="0" t="s">
        <v>1068</v>
      </c>
      <c r="C833" s="0" t="s">
        <v>7190</v>
      </c>
      <c r="D833" s="0" t="n">
        <v>0.01</v>
      </c>
    </row>
    <row r="834" customFormat="false" ht="15" hidden="false" customHeight="false" outlineLevel="0" collapsed="false">
      <c r="A834" s="0" t="s">
        <v>8</v>
      </c>
      <c r="B834" s="0" t="s">
        <v>1068</v>
      </c>
      <c r="C834" s="0" t="s">
        <v>7191</v>
      </c>
    </row>
    <row r="835" customFormat="false" ht="15" hidden="false" customHeight="false" outlineLevel="0" collapsed="false">
      <c r="A835" s="0" t="s">
        <v>8</v>
      </c>
      <c r="B835" s="0" t="s">
        <v>1068</v>
      </c>
      <c r="C835" s="0" t="s">
        <v>7192</v>
      </c>
    </row>
    <row r="836" customFormat="false" ht="15" hidden="false" customHeight="false" outlineLevel="0" collapsed="false">
      <c r="A836" s="0" t="s">
        <v>8</v>
      </c>
      <c r="B836" s="0" t="s">
        <v>1071</v>
      </c>
      <c r="C836" s="0" t="s">
        <v>7190</v>
      </c>
      <c r="D836" s="0" t="n">
        <v>0.4</v>
      </c>
    </row>
    <row r="837" customFormat="false" ht="15" hidden="false" customHeight="false" outlineLevel="0" collapsed="false">
      <c r="A837" s="0" t="s">
        <v>8</v>
      </c>
      <c r="B837" s="0" t="s">
        <v>1071</v>
      </c>
      <c r="C837" s="0" t="s">
        <v>7191</v>
      </c>
    </row>
    <row r="838" customFormat="false" ht="15" hidden="false" customHeight="false" outlineLevel="0" collapsed="false">
      <c r="A838" s="0" t="s">
        <v>8</v>
      </c>
      <c r="B838" s="0" t="s">
        <v>1071</v>
      </c>
      <c r="C838" s="0" t="s">
        <v>7192</v>
      </c>
    </row>
    <row r="839" customFormat="false" ht="15" hidden="false" customHeight="false" outlineLevel="0" collapsed="false">
      <c r="A839" s="0" t="s">
        <v>8</v>
      </c>
      <c r="B839" s="0" t="s">
        <v>1074</v>
      </c>
      <c r="C839" s="0" t="s">
        <v>7190</v>
      </c>
      <c r="D839" s="0" t="n">
        <v>0</v>
      </c>
    </row>
    <row r="840" customFormat="false" ht="15" hidden="false" customHeight="false" outlineLevel="0" collapsed="false">
      <c r="A840" s="0" t="s">
        <v>8</v>
      </c>
      <c r="B840" s="0" t="s">
        <v>1074</v>
      </c>
      <c r="C840" s="0" t="s">
        <v>7191</v>
      </c>
    </row>
    <row r="841" customFormat="false" ht="15" hidden="false" customHeight="false" outlineLevel="0" collapsed="false">
      <c r="A841" s="0" t="s">
        <v>8</v>
      </c>
      <c r="B841" s="0" t="s">
        <v>1074</v>
      </c>
      <c r="C841" s="0" t="s">
        <v>7192</v>
      </c>
    </row>
    <row r="842" customFormat="false" ht="15" hidden="false" customHeight="false" outlineLevel="0" collapsed="false">
      <c r="A842" s="0" t="s">
        <v>8</v>
      </c>
      <c r="B842" s="0" t="s">
        <v>1078</v>
      </c>
      <c r="C842" s="0" t="s">
        <v>7190</v>
      </c>
      <c r="D842" s="0" t="n">
        <v>0.01</v>
      </c>
    </row>
    <row r="843" customFormat="false" ht="15" hidden="false" customHeight="false" outlineLevel="0" collapsed="false">
      <c r="A843" s="0" t="s">
        <v>8</v>
      </c>
      <c r="B843" s="0" t="s">
        <v>1078</v>
      </c>
      <c r="C843" s="0" t="s">
        <v>7191</v>
      </c>
    </row>
    <row r="844" customFormat="false" ht="15" hidden="false" customHeight="false" outlineLevel="0" collapsed="false">
      <c r="A844" s="0" t="s">
        <v>8</v>
      </c>
      <c r="B844" s="0" t="s">
        <v>1078</v>
      </c>
      <c r="C844" s="0" t="s">
        <v>7192</v>
      </c>
    </row>
    <row r="845" customFormat="false" ht="15" hidden="false" customHeight="false" outlineLevel="0" collapsed="false">
      <c r="A845" s="0" t="s">
        <v>8</v>
      </c>
      <c r="B845" s="0" t="s">
        <v>1083</v>
      </c>
      <c r="C845" s="0" t="s">
        <v>7190</v>
      </c>
      <c r="D845" s="0" t="n">
        <v>1.2</v>
      </c>
    </row>
    <row r="846" customFormat="false" ht="15" hidden="false" customHeight="false" outlineLevel="0" collapsed="false">
      <c r="A846" s="0" t="s">
        <v>8</v>
      </c>
      <c r="B846" s="0" t="s">
        <v>1083</v>
      </c>
      <c r="C846" s="0" t="s">
        <v>7191</v>
      </c>
    </row>
    <row r="847" customFormat="false" ht="15" hidden="false" customHeight="false" outlineLevel="0" collapsed="false">
      <c r="A847" s="0" t="s">
        <v>8</v>
      </c>
      <c r="B847" s="0" t="s">
        <v>1083</v>
      </c>
      <c r="C847" s="0" t="s">
        <v>7192</v>
      </c>
    </row>
    <row r="848" customFormat="false" ht="15" hidden="false" customHeight="false" outlineLevel="0" collapsed="false">
      <c r="A848" s="0" t="s">
        <v>8</v>
      </c>
      <c r="B848" s="0" t="s">
        <v>1092</v>
      </c>
      <c r="C848" s="0" t="s">
        <v>7190</v>
      </c>
      <c r="D848" s="0" t="n">
        <v>4</v>
      </c>
    </row>
    <row r="849" customFormat="false" ht="15" hidden="false" customHeight="false" outlineLevel="0" collapsed="false">
      <c r="A849" s="0" t="s">
        <v>8</v>
      </c>
      <c r="B849" s="0" t="s">
        <v>1092</v>
      </c>
      <c r="C849" s="0" t="s">
        <v>7191</v>
      </c>
    </row>
    <row r="850" customFormat="false" ht="15" hidden="false" customHeight="false" outlineLevel="0" collapsed="false">
      <c r="A850" s="0" t="s">
        <v>8</v>
      </c>
      <c r="B850" s="0" t="s">
        <v>1092</v>
      </c>
      <c r="C850" s="0" t="s">
        <v>7192</v>
      </c>
    </row>
    <row r="851" customFormat="false" ht="15" hidden="false" customHeight="false" outlineLevel="0" collapsed="false">
      <c r="A851" s="0" t="s">
        <v>8</v>
      </c>
      <c r="B851" s="0" t="s">
        <v>1096</v>
      </c>
      <c r="C851" s="0" t="s">
        <v>7190</v>
      </c>
      <c r="D851" s="0" t="n">
        <v>8</v>
      </c>
    </row>
    <row r="852" customFormat="false" ht="15" hidden="false" customHeight="false" outlineLevel="0" collapsed="false">
      <c r="A852" s="0" t="s">
        <v>8</v>
      </c>
      <c r="B852" s="0" t="s">
        <v>1096</v>
      </c>
      <c r="C852" s="0" t="s">
        <v>7191</v>
      </c>
    </row>
    <row r="853" customFormat="false" ht="15" hidden="false" customHeight="false" outlineLevel="0" collapsed="false">
      <c r="A853" s="0" t="s">
        <v>8</v>
      </c>
      <c r="B853" s="0" t="s">
        <v>1096</v>
      </c>
      <c r="C853" s="0" t="s">
        <v>7192</v>
      </c>
    </row>
    <row r="854" customFormat="false" ht="15" hidden="false" customHeight="false" outlineLevel="0" collapsed="false">
      <c r="A854" s="0" t="s">
        <v>8</v>
      </c>
      <c r="B854" s="0" t="s">
        <v>1106</v>
      </c>
      <c r="C854" s="0" t="s">
        <v>7190</v>
      </c>
      <c r="D854" s="0" t="n">
        <v>2</v>
      </c>
    </row>
    <row r="855" customFormat="false" ht="15" hidden="false" customHeight="false" outlineLevel="0" collapsed="false">
      <c r="A855" s="0" t="s">
        <v>8</v>
      </c>
      <c r="B855" s="0" t="s">
        <v>1106</v>
      </c>
      <c r="C855" s="0" t="s">
        <v>7191</v>
      </c>
    </row>
    <row r="856" customFormat="false" ht="15" hidden="false" customHeight="false" outlineLevel="0" collapsed="false">
      <c r="A856" s="0" t="s">
        <v>8</v>
      </c>
      <c r="B856" s="0" t="s">
        <v>1106</v>
      </c>
      <c r="C856" s="0" t="s">
        <v>7192</v>
      </c>
    </row>
    <row r="857" customFormat="false" ht="15" hidden="false" customHeight="false" outlineLevel="0" collapsed="false">
      <c r="A857" s="0" t="s">
        <v>8</v>
      </c>
      <c r="B857" s="0" t="s">
        <v>1109</v>
      </c>
      <c r="C857" s="0" t="s">
        <v>7190</v>
      </c>
      <c r="D857" s="0" t="n">
        <v>28</v>
      </c>
    </row>
    <row r="858" customFormat="false" ht="15" hidden="false" customHeight="false" outlineLevel="0" collapsed="false">
      <c r="A858" s="0" t="s">
        <v>8</v>
      </c>
      <c r="B858" s="0" t="s">
        <v>1109</v>
      </c>
      <c r="C858" s="0" t="s">
        <v>7191</v>
      </c>
    </row>
    <row r="859" customFormat="false" ht="15" hidden="false" customHeight="false" outlineLevel="0" collapsed="false">
      <c r="A859" s="0" t="s">
        <v>8</v>
      </c>
      <c r="B859" s="0" t="s">
        <v>1109</v>
      </c>
      <c r="C859" s="0" t="s">
        <v>7192</v>
      </c>
    </row>
    <row r="860" customFormat="false" ht="15" hidden="false" customHeight="false" outlineLevel="0" collapsed="false">
      <c r="A860" s="0" t="s">
        <v>8</v>
      </c>
      <c r="B860" s="0" t="s">
        <v>1112</v>
      </c>
      <c r="C860" s="0" t="s">
        <v>7190</v>
      </c>
      <c r="D860" s="0" t="n">
        <v>8</v>
      </c>
    </row>
    <row r="861" customFormat="false" ht="15" hidden="false" customHeight="false" outlineLevel="0" collapsed="false">
      <c r="A861" s="0" t="s">
        <v>8</v>
      </c>
      <c r="B861" s="0" t="s">
        <v>1112</v>
      </c>
      <c r="C861" s="0" t="s">
        <v>7191</v>
      </c>
    </row>
    <row r="862" customFormat="false" ht="15" hidden="false" customHeight="false" outlineLevel="0" collapsed="false">
      <c r="A862" s="0" t="s">
        <v>8</v>
      </c>
      <c r="B862" s="0" t="s">
        <v>1112</v>
      </c>
      <c r="C862" s="0" t="s">
        <v>7192</v>
      </c>
    </row>
    <row r="863" customFormat="false" ht="15" hidden="false" customHeight="false" outlineLevel="0" collapsed="false">
      <c r="A863" s="0" t="s">
        <v>8</v>
      </c>
      <c r="B863" s="0" t="s">
        <v>1116</v>
      </c>
      <c r="C863" s="0" t="s">
        <v>7190</v>
      </c>
      <c r="D863" s="0" t="n">
        <v>2</v>
      </c>
    </row>
    <row r="864" customFormat="false" ht="15" hidden="false" customHeight="false" outlineLevel="0" collapsed="false">
      <c r="A864" s="0" t="s">
        <v>8</v>
      </c>
      <c r="B864" s="0" t="s">
        <v>1116</v>
      </c>
      <c r="C864" s="0" t="s">
        <v>7191</v>
      </c>
    </row>
    <row r="865" customFormat="false" ht="15" hidden="false" customHeight="false" outlineLevel="0" collapsed="false">
      <c r="A865" s="0" t="s">
        <v>8</v>
      </c>
      <c r="B865" s="0" t="s">
        <v>1116</v>
      </c>
      <c r="C865" s="0" t="s">
        <v>7192</v>
      </c>
    </row>
    <row r="866" customFormat="false" ht="15" hidden="false" customHeight="false" outlineLevel="0" collapsed="false">
      <c r="A866" s="0" t="s">
        <v>8</v>
      </c>
      <c r="B866" s="0" t="s">
        <v>1119</v>
      </c>
      <c r="C866" s="0" t="s">
        <v>7190</v>
      </c>
      <c r="D866" s="0" t="n">
        <v>28</v>
      </c>
    </row>
    <row r="867" customFormat="false" ht="15" hidden="false" customHeight="false" outlineLevel="0" collapsed="false">
      <c r="A867" s="0" t="s">
        <v>8</v>
      </c>
      <c r="B867" s="0" t="s">
        <v>1119</v>
      </c>
      <c r="C867" s="0" t="s">
        <v>7191</v>
      </c>
    </row>
    <row r="868" customFormat="false" ht="15" hidden="false" customHeight="false" outlineLevel="0" collapsed="false">
      <c r="A868" s="0" t="s">
        <v>8</v>
      </c>
      <c r="B868" s="0" t="s">
        <v>1119</v>
      </c>
      <c r="C868" s="0" t="s">
        <v>7192</v>
      </c>
    </row>
    <row r="869" customFormat="false" ht="15" hidden="false" customHeight="false" outlineLevel="0" collapsed="false">
      <c r="A869" s="0" t="s">
        <v>8</v>
      </c>
      <c r="B869" s="0" t="s">
        <v>1122</v>
      </c>
      <c r="C869" s="0" t="s">
        <v>7190</v>
      </c>
      <c r="D869" s="0" t="n">
        <v>6</v>
      </c>
    </row>
    <row r="870" customFormat="false" ht="15" hidden="false" customHeight="false" outlineLevel="0" collapsed="false">
      <c r="A870" s="0" t="s">
        <v>8</v>
      </c>
      <c r="B870" s="0" t="s">
        <v>1122</v>
      </c>
      <c r="C870" s="0" t="s">
        <v>7191</v>
      </c>
    </row>
    <row r="871" customFormat="false" ht="15" hidden="false" customHeight="false" outlineLevel="0" collapsed="false">
      <c r="A871" s="0" t="s">
        <v>8</v>
      </c>
      <c r="B871" s="0" t="s">
        <v>1122</v>
      </c>
      <c r="C871" s="0" t="s">
        <v>7192</v>
      </c>
    </row>
    <row r="872" customFormat="false" ht="15" hidden="false" customHeight="false" outlineLevel="0" collapsed="false">
      <c r="A872" s="0" t="s">
        <v>8</v>
      </c>
      <c r="B872" s="0" t="s">
        <v>1126</v>
      </c>
      <c r="C872" s="0" t="s">
        <v>7190</v>
      </c>
      <c r="D872" s="0" t="n">
        <v>1.3</v>
      </c>
    </row>
    <row r="873" customFormat="false" ht="15" hidden="false" customHeight="false" outlineLevel="0" collapsed="false">
      <c r="A873" s="0" t="s">
        <v>8</v>
      </c>
      <c r="B873" s="0" t="s">
        <v>1126</v>
      </c>
      <c r="C873" s="0" t="s">
        <v>7191</v>
      </c>
    </row>
    <row r="874" customFormat="false" ht="15" hidden="false" customHeight="false" outlineLevel="0" collapsed="false">
      <c r="A874" s="0" t="s">
        <v>8</v>
      </c>
      <c r="B874" s="0" t="s">
        <v>1126</v>
      </c>
      <c r="C874" s="0" t="s">
        <v>7192</v>
      </c>
    </row>
    <row r="875" customFormat="false" ht="15" hidden="false" customHeight="false" outlineLevel="0" collapsed="false">
      <c r="A875" s="0" t="s">
        <v>8</v>
      </c>
      <c r="B875" s="0" t="s">
        <v>1129</v>
      </c>
      <c r="C875" s="0" t="s">
        <v>7190</v>
      </c>
      <c r="D875" s="0" t="n">
        <v>24</v>
      </c>
    </row>
    <row r="876" customFormat="false" ht="15" hidden="false" customHeight="false" outlineLevel="0" collapsed="false">
      <c r="A876" s="0" t="s">
        <v>8</v>
      </c>
      <c r="B876" s="0" t="s">
        <v>1129</v>
      </c>
      <c r="C876" s="0" t="s">
        <v>7191</v>
      </c>
    </row>
    <row r="877" customFormat="false" ht="15" hidden="false" customHeight="false" outlineLevel="0" collapsed="false">
      <c r="A877" s="0" t="s">
        <v>8</v>
      </c>
      <c r="B877" s="0" t="s">
        <v>1129</v>
      </c>
      <c r="C877" s="0" t="s">
        <v>7192</v>
      </c>
    </row>
    <row r="878" customFormat="false" ht="15" hidden="false" customHeight="false" outlineLevel="0" collapsed="false">
      <c r="A878" s="0" t="s">
        <v>8</v>
      </c>
      <c r="B878" s="0" t="s">
        <v>1132</v>
      </c>
      <c r="C878" s="0" t="s">
        <v>7190</v>
      </c>
      <c r="D878" s="0" t="n">
        <v>8</v>
      </c>
    </row>
    <row r="879" customFormat="false" ht="15" hidden="false" customHeight="false" outlineLevel="0" collapsed="false">
      <c r="A879" s="0" t="s">
        <v>8</v>
      </c>
      <c r="B879" s="0" t="s">
        <v>1132</v>
      </c>
      <c r="C879" s="0" t="s">
        <v>7191</v>
      </c>
    </row>
    <row r="880" customFormat="false" ht="15" hidden="false" customHeight="false" outlineLevel="0" collapsed="false">
      <c r="A880" s="0" t="s">
        <v>8</v>
      </c>
      <c r="B880" s="0" t="s">
        <v>1132</v>
      </c>
      <c r="C880" s="0" t="s">
        <v>7192</v>
      </c>
    </row>
    <row r="881" customFormat="false" ht="15" hidden="false" customHeight="false" outlineLevel="0" collapsed="false">
      <c r="A881" s="0" t="s">
        <v>8</v>
      </c>
      <c r="B881" s="0" t="s">
        <v>1136</v>
      </c>
      <c r="C881" s="0" t="s">
        <v>7190</v>
      </c>
      <c r="D881" s="0" t="n">
        <v>2</v>
      </c>
    </row>
    <row r="882" customFormat="false" ht="15" hidden="false" customHeight="false" outlineLevel="0" collapsed="false">
      <c r="A882" s="0" t="s">
        <v>8</v>
      </c>
      <c r="B882" s="0" t="s">
        <v>1136</v>
      </c>
      <c r="C882" s="0" t="s">
        <v>7191</v>
      </c>
    </row>
    <row r="883" customFormat="false" ht="15" hidden="false" customHeight="false" outlineLevel="0" collapsed="false">
      <c r="A883" s="0" t="s">
        <v>8</v>
      </c>
      <c r="B883" s="0" t="s">
        <v>1136</v>
      </c>
      <c r="C883" s="0" t="s">
        <v>7192</v>
      </c>
    </row>
    <row r="884" customFormat="false" ht="15" hidden="false" customHeight="false" outlineLevel="0" collapsed="false">
      <c r="A884" s="0" t="s">
        <v>8</v>
      </c>
      <c r="B884" s="0" t="s">
        <v>1139</v>
      </c>
      <c r="C884" s="0" t="s">
        <v>7190</v>
      </c>
      <c r="D884" s="0" t="n">
        <v>28</v>
      </c>
    </row>
    <row r="885" customFormat="false" ht="15" hidden="false" customHeight="false" outlineLevel="0" collapsed="false">
      <c r="A885" s="0" t="s">
        <v>8</v>
      </c>
      <c r="B885" s="0" t="s">
        <v>1139</v>
      </c>
      <c r="C885" s="0" t="s">
        <v>7191</v>
      </c>
    </row>
    <row r="886" customFormat="false" ht="15" hidden="false" customHeight="false" outlineLevel="0" collapsed="false">
      <c r="A886" s="0" t="s">
        <v>8</v>
      </c>
      <c r="B886" s="0" t="s">
        <v>1139</v>
      </c>
      <c r="C886" s="0" t="s">
        <v>7192</v>
      </c>
    </row>
    <row r="887" customFormat="false" ht="15" hidden="false" customHeight="false" outlineLevel="0" collapsed="false">
      <c r="A887" s="0" t="s">
        <v>8</v>
      </c>
      <c r="B887" s="0" t="s">
        <v>1142</v>
      </c>
      <c r="C887" s="0" t="s">
        <v>7190</v>
      </c>
      <c r="D887" s="0" t="n">
        <v>5</v>
      </c>
    </row>
    <row r="888" customFormat="false" ht="15" hidden="false" customHeight="false" outlineLevel="0" collapsed="false">
      <c r="A888" s="0" t="s">
        <v>8</v>
      </c>
      <c r="B888" s="0" t="s">
        <v>1142</v>
      </c>
      <c r="C888" s="0" t="s">
        <v>7191</v>
      </c>
    </row>
    <row r="889" customFormat="false" ht="15" hidden="false" customHeight="false" outlineLevel="0" collapsed="false">
      <c r="A889" s="0" t="s">
        <v>8</v>
      </c>
      <c r="B889" s="0" t="s">
        <v>1142</v>
      </c>
      <c r="C889" s="0" t="s">
        <v>7192</v>
      </c>
    </row>
    <row r="890" customFormat="false" ht="15" hidden="false" customHeight="false" outlineLevel="0" collapsed="false">
      <c r="A890" s="0" t="s">
        <v>8</v>
      </c>
      <c r="B890" s="0" t="s">
        <v>1146</v>
      </c>
      <c r="C890" s="0" t="s">
        <v>7190</v>
      </c>
      <c r="D890" s="0" t="n">
        <v>1.2</v>
      </c>
    </row>
    <row r="891" customFormat="false" ht="15" hidden="false" customHeight="false" outlineLevel="0" collapsed="false">
      <c r="A891" s="0" t="s">
        <v>8</v>
      </c>
      <c r="B891" s="0" t="s">
        <v>1146</v>
      </c>
      <c r="C891" s="0" t="s">
        <v>7191</v>
      </c>
    </row>
    <row r="892" customFormat="false" ht="15" hidden="false" customHeight="false" outlineLevel="0" collapsed="false">
      <c r="A892" s="0" t="s">
        <v>8</v>
      </c>
      <c r="B892" s="0" t="s">
        <v>1146</v>
      </c>
      <c r="C892" s="0" t="s">
        <v>7192</v>
      </c>
    </row>
    <row r="893" customFormat="false" ht="15" hidden="false" customHeight="false" outlineLevel="0" collapsed="false">
      <c r="A893" s="0" t="s">
        <v>8</v>
      </c>
      <c r="B893" s="0" t="s">
        <v>1149</v>
      </c>
      <c r="C893" s="0" t="s">
        <v>7190</v>
      </c>
      <c r="D893" s="0" t="n">
        <v>22</v>
      </c>
    </row>
    <row r="894" customFormat="false" ht="15" hidden="false" customHeight="false" outlineLevel="0" collapsed="false">
      <c r="A894" s="0" t="s">
        <v>8</v>
      </c>
      <c r="B894" s="0" t="s">
        <v>1149</v>
      </c>
      <c r="C894" s="0" t="s">
        <v>7191</v>
      </c>
    </row>
    <row r="895" customFormat="false" ht="15" hidden="false" customHeight="false" outlineLevel="0" collapsed="false">
      <c r="A895" s="0" t="s">
        <v>8</v>
      </c>
      <c r="B895" s="0" t="s">
        <v>1149</v>
      </c>
      <c r="C895" s="0" t="s">
        <v>7192</v>
      </c>
    </row>
    <row r="896" customFormat="false" ht="15" hidden="false" customHeight="false" outlineLevel="0" collapsed="false">
      <c r="A896" s="0" t="s">
        <v>8</v>
      </c>
      <c r="B896" s="0" t="s">
        <v>1152</v>
      </c>
      <c r="C896" s="0" t="s">
        <v>7190</v>
      </c>
      <c r="D896" s="0" t="n">
        <v>7</v>
      </c>
    </row>
    <row r="897" customFormat="false" ht="15" hidden="false" customHeight="false" outlineLevel="0" collapsed="false">
      <c r="A897" s="0" t="s">
        <v>8</v>
      </c>
      <c r="B897" s="0" t="s">
        <v>1152</v>
      </c>
      <c r="C897" s="0" t="s">
        <v>7191</v>
      </c>
    </row>
    <row r="898" customFormat="false" ht="15" hidden="false" customHeight="false" outlineLevel="0" collapsed="false">
      <c r="A898" s="0" t="s">
        <v>8</v>
      </c>
      <c r="B898" s="0" t="s">
        <v>1152</v>
      </c>
      <c r="C898" s="0" t="s">
        <v>7192</v>
      </c>
    </row>
    <row r="899" customFormat="false" ht="15" hidden="false" customHeight="false" outlineLevel="0" collapsed="false">
      <c r="A899" s="0" t="s">
        <v>8</v>
      </c>
      <c r="B899" s="0" t="s">
        <v>1156</v>
      </c>
      <c r="C899" s="0" t="s">
        <v>7190</v>
      </c>
      <c r="D899" s="0" t="n">
        <v>1.8</v>
      </c>
    </row>
    <row r="900" customFormat="false" ht="15" hidden="false" customHeight="false" outlineLevel="0" collapsed="false">
      <c r="A900" s="0" t="s">
        <v>8</v>
      </c>
      <c r="B900" s="0" t="s">
        <v>1156</v>
      </c>
      <c r="C900" s="0" t="s">
        <v>7191</v>
      </c>
    </row>
    <row r="901" customFormat="false" ht="15" hidden="false" customHeight="false" outlineLevel="0" collapsed="false">
      <c r="A901" s="0" t="s">
        <v>8</v>
      </c>
      <c r="B901" s="0" t="s">
        <v>1156</v>
      </c>
      <c r="C901" s="0" t="s">
        <v>7192</v>
      </c>
    </row>
    <row r="902" customFormat="false" ht="15" hidden="false" customHeight="false" outlineLevel="0" collapsed="false">
      <c r="A902" s="0" t="s">
        <v>8</v>
      </c>
      <c r="B902" s="0" t="s">
        <v>1159</v>
      </c>
      <c r="C902" s="0" t="s">
        <v>7190</v>
      </c>
      <c r="D902" s="0" t="n">
        <v>26</v>
      </c>
    </row>
    <row r="903" customFormat="false" ht="15" hidden="false" customHeight="false" outlineLevel="0" collapsed="false">
      <c r="A903" s="0" t="s">
        <v>8</v>
      </c>
      <c r="B903" s="0" t="s">
        <v>1159</v>
      </c>
      <c r="C903" s="0" t="s">
        <v>7191</v>
      </c>
    </row>
    <row r="904" customFormat="false" ht="15" hidden="false" customHeight="false" outlineLevel="0" collapsed="false">
      <c r="A904" s="0" t="s">
        <v>8</v>
      </c>
      <c r="B904" s="0" t="s">
        <v>1159</v>
      </c>
      <c r="C904" s="0" t="s">
        <v>7192</v>
      </c>
    </row>
    <row r="905" customFormat="false" ht="15" hidden="false" customHeight="false" outlineLevel="0" collapsed="false">
      <c r="A905" s="0" t="s">
        <v>8</v>
      </c>
      <c r="B905" s="0" t="s">
        <v>1162</v>
      </c>
      <c r="C905" s="0" t="s">
        <v>7190</v>
      </c>
      <c r="D905" s="0" t="n">
        <v>4</v>
      </c>
    </row>
    <row r="906" customFormat="false" ht="15" hidden="false" customHeight="false" outlineLevel="0" collapsed="false">
      <c r="A906" s="0" t="s">
        <v>8</v>
      </c>
      <c r="B906" s="0" t="s">
        <v>1162</v>
      </c>
      <c r="C906" s="0" t="s">
        <v>7191</v>
      </c>
    </row>
    <row r="907" customFormat="false" ht="15" hidden="false" customHeight="false" outlineLevel="0" collapsed="false">
      <c r="A907" s="0" t="s">
        <v>8</v>
      </c>
      <c r="B907" s="0" t="s">
        <v>1162</v>
      </c>
      <c r="C907" s="0" t="s">
        <v>7192</v>
      </c>
    </row>
    <row r="908" customFormat="false" ht="15" hidden="false" customHeight="false" outlineLevel="0" collapsed="false">
      <c r="A908" s="0" t="s">
        <v>8</v>
      </c>
      <c r="B908" s="0" t="s">
        <v>1166</v>
      </c>
      <c r="C908" s="0" t="s">
        <v>7190</v>
      </c>
      <c r="D908" s="0" t="n">
        <v>1</v>
      </c>
    </row>
    <row r="909" customFormat="false" ht="15" hidden="false" customHeight="false" outlineLevel="0" collapsed="false">
      <c r="A909" s="0" t="s">
        <v>8</v>
      </c>
      <c r="B909" s="0" t="s">
        <v>1166</v>
      </c>
      <c r="C909" s="0" t="s">
        <v>7191</v>
      </c>
    </row>
    <row r="910" customFormat="false" ht="15" hidden="false" customHeight="false" outlineLevel="0" collapsed="false">
      <c r="A910" s="0" t="s">
        <v>8</v>
      </c>
      <c r="B910" s="0" t="s">
        <v>1166</v>
      </c>
      <c r="C910" s="0" t="s">
        <v>7192</v>
      </c>
    </row>
    <row r="911" customFormat="false" ht="15" hidden="false" customHeight="false" outlineLevel="0" collapsed="false">
      <c r="A911" s="0" t="s">
        <v>8</v>
      </c>
      <c r="B911" s="0" t="s">
        <v>1169</v>
      </c>
      <c r="C911" s="0" t="s">
        <v>7190</v>
      </c>
      <c r="D911" s="0" t="n">
        <v>18</v>
      </c>
    </row>
    <row r="912" customFormat="false" ht="15" hidden="false" customHeight="false" outlineLevel="0" collapsed="false">
      <c r="A912" s="0" t="s">
        <v>8</v>
      </c>
      <c r="B912" s="0" t="s">
        <v>1169</v>
      </c>
      <c r="C912" s="0" t="s">
        <v>7191</v>
      </c>
    </row>
    <row r="913" customFormat="false" ht="15" hidden="false" customHeight="false" outlineLevel="0" collapsed="false">
      <c r="A913" s="0" t="s">
        <v>8</v>
      </c>
      <c r="B913" s="0" t="s">
        <v>1169</v>
      </c>
      <c r="C913" s="0" t="s">
        <v>7192</v>
      </c>
    </row>
    <row r="914" customFormat="false" ht="15" hidden="false" customHeight="false" outlineLevel="0" collapsed="false">
      <c r="A914" s="0" t="s">
        <v>8</v>
      </c>
      <c r="B914" s="0" t="s">
        <v>1172</v>
      </c>
      <c r="C914" s="0" t="s">
        <v>7190</v>
      </c>
      <c r="D914" s="0" t="n">
        <v>6</v>
      </c>
    </row>
    <row r="915" customFormat="false" ht="15" hidden="false" customHeight="false" outlineLevel="0" collapsed="false">
      <c r="A915" s="0" t="s">
        <v>8</v>
      </c>
      <c r="B915" s="0" t="s">
        <v>1172</v>
      </c>
      <c r="C915" s="0" t="s">
        <v>7191</v>
      </c>
    </row>
    <row r="916" customFormat="false" ht="15" hidden="false" customHeight="false" outlineLevel="0" collapsed="false">
      <c r="A916" s="0" t="s">
        <v>8</v>
      </c>
      <c r="B916" s="0" t="s">
        <v>1172</v>
      </c>
      <c r="C916" s="0" t="s">
        <v>7192</v>
      </c>
    </row>
    <row r="917" customFormat="false" ht="15" hidden="false" customHeight="false" outlineLevel="0" collapsed="false">
      <c r="A917" s="0" t="s">
        <v>8</v>
      </c>
      <c r="B917" s="0" t="s">
        <v>1176</v>
      </c>
      <c r="C917" s="0" t="s">
        <v>7190</v>
      </c>
      <c r="D917" s="0" t="n">
        <v>1.5</v>
      </c>
    </row>
    <row r="918" customFormat="false" ht="15" hidden="false" customHeight="false" outlineLevel="0" collapsed="false">
      <c r="A918" s="0" t="s">
        <v>8</v>
      </c>
      <c r="B918" s="0" t="s">
        <v>1176</v>
      </c>
      <c r="C918" s="0" t="s">
        <v>7191</v>
      </c>
    </row>
    <row r="919" customFormat="false" ht="15" hidden="false" customHeight="false" outlineLevel="0" collapsed="false">
      <c r="A919" s="0" t="s">
        <v>8</v>
      </c>
      <c r="B919" s="0" t="s">
        <v>1176</v>
      </c>
      <c r="C919" s="0" t="s">
        <v>7192</v>
      </c>
    </row>
    <row r="920" customFormat="false" ht="15" hidden="false" customHeight="false" outlineLevel="0" collapsed="false">
      <c r="A920" s="0" t="s">
        <v>8</v>
      </c>
      <c r="B920" s="0" t="s">
        <v>1179</v>
      </c>
      <c r="C920" s="0" t="s">
        <v>7190</v>
      </c>
      <c r="D920" s="0" t="n">
        <v>22</v>
      </c>
    </row>
    <row r="921" customFormat="false" ht="15" hidden="false" customHeight="false" outlineLevel="0" collapsed="false">
      <c r="A921" s="0" t="s">
        <v>8</v>
      </c>
      <c r="B921" s="0" t="s">
        <v>1179</v>
      </c>
      <c r="C921" s="0" t="s">
        <v>7191</v>
      </c>
    </row>
    <row r="922" customFormat="false" ht="15" hidden="false" customHeight="false" outlineLevel="0" collapsed="false">
      <c r="A922" s="0" t="s">
        <v>8</v>
      </c>
      <c r="B922" s="0" t="s">
        <v>1179</v>
      </c>
      <c r="C922" s="0" t="s">
        <v>7192</v>
      </c>
    </row>
    <row r="923" customFormat="false" ht="15" hidden="false" customHeight="false" outlineLevel="0" collapsed="false">
      <c r="A923" s="0" t="s">
        <v>8</v>
      </c>
      <c r="B923" s="0" t="s">
        <v>1182</v>
      </c>
      <c r="C923" s="0" t="s">
        <v>7190</v>
      </c>
      <c r="D923" s="0" t="n">
        <v>2</v>
      </c>
    </row>
    <row r="924" customFormat="false" ht="15" hidden="false" customHeight="false" outlineLevel="0" collapsed="false">
      <c r="A924" s="0" t="s">
        <v>8</v>
      </c>
      <c r="B924" s="0" t="s">
        <v>1182</v>
      </c>
      <c r="C924" s="0" t="s">
        <v>7191</v>
      </c>
    </row>
    <row r="925" customFormat="false" ht="15" hidden="false" customHeight="false" outlineLevel="0" collapsed="false">
      <c r="A925" s="0" t="s">
        <v>8</v>
      </c>
      <c r="B925" s="0" t="s">
        <v>1182</v>
      </c>
      <c r="C925" s="0" t="s">
        <v>7192</v>
      </c>
    </row>
    <row r="926" customFormat="false" ht="15" hidden="false" customHeight="false" outlineLevel="0" collapsed="false">
      <c r="A926" s="0" t="s">
        <v>8</v>
      </c>
      <c r="B926" s="0" t="s">
        <v>1186</v>
      </c>
      <c r="C926" s="0" t="s">
        <v>7190</v>
      </c>
      <c r="D926" s="0" t="n">
        <v>0.4</v>
      </c>
    </row>
    <row r="927" customFormat="false" ht="15" hidden="false" customHeight="false" outlineLevel="0" collapsed="false">
      <c r="A927" s="0" t="s">
        <v>8</v>
      </c>
      <c r="B927" s="0" t="s">
        <v>1186</v>
      </c>
      <c r="C927" s="0" t="s">
        <v>7191</v>
      </c>
    </row>
    <row r="928" customFormat="false" ht="15" hidden="false" customHeight="false" outlineLevel="0" collapsed="false">
      <c r="A928" s="0" t="s">
        <v>8</v>
      </c>
      <c r="B928" s="0" t="s">
        <v>1186</v>
      </c>
      <c r="C928" s="0" t="s">
        <v>7192</v>
      </c>
    </row>
    <row r="929" customFormat="false" ht="15" hidden="false" customHeight="false" outlineLevel="0" collapsed="false">
      <c r="A929" s="0" t="s">
        <v>8</v>
      </c>
      <c r="B929" s="0" t="s">
        <v>1189</v>
      </c>
      <c r="C929" s="0" t="s">
        <v>7190</v>
      </c>
      <c r="D929" s="0" t="n">
        <v>8</v>
      </c>
    </row>
    <row r="930" customFormat="false" ht="15" hidden="false" customHeight="false" outlineLevel="0" collapsed="false">
      <c r="A930" s="0" t="s">
        <v>8</v>
      </c>
      <c r="B930" s="0" t="s">
        <v>1189</v>
      </c>
      <c r="C930" s="0" t="s">
        <v>7191</v>
      </c>
    </row>
    <row r="931" customFormat="false" ht="15" hidden="false" customHeight="false" outlineLevel="0" collapsed="false">
      <c r="A931" s="0" t="s">
        <v>8</v>
      </c>
      <c r="B931" s="0" t="s">
        <v>1189</v>
      </c>
      <c r="C931" s="0" t="s">
        <v>7192</v>
      </c>
    </row>
    <row r="932" customFormat="false" ht="15" hidden="false" customHeight="false" outlineLevel="0" collapsed="false">
      <c r="A932" s="0" t="s">
        <v>8</v>
      </c>
      <c r="B932" s="0" t="s">
        <v>1192</v>
      </c>
      <c r="C932" s="0" t="s">
        <v>7190</v>
      </c>
      <c r="D932" s="0" t="n">
        <v>3</v>
      </c>
    </row>
    <row r="933" customFormat="false" ht="15" hidden="false" customHeight="false" outlineLevel="0" collapsed="false">
      <c r="A933" s="0" t="s">
        <v>8</v>
      </c>
      <c r="B933" s="0" t="s">
        <v>1192</v>
      </c>
      <c r="C933" s="0" t="s">
        <v>7191</v>
      </c>
    </row>
    <row r="934" customFormat="false" ht="15" hidden="false" customHeight="false" outlineLevel="0" collapsed="false">
      <c r="A934" s="0" t="s">
        <v>8</v>
      </c>
      <c r="B934" s="0" t="s">
        <v>1192</v>
      </c>
      <c r="C934" s="0" t="s">
        <v>7192</v>
      </c>
    </row>
    <row r="935" customFormat="false" ht="15" hidden="false" customHeight="false" outlineLevel="0" collapsed="false">
      <c r="A935" s="0" t="s">
        <v>8</v>
      </c>
      <c r="B935" s="0" t="s">
        <v>1196</v>
      </c>
      <c r="C935" s="0" t="s">
        <v>7190</v>
      </c>
      <c r="D935" s="0" t="n">
        <v>0.6</v>
      </c>
    </row>
    <row r="936" customFormat="false" ht="15" hidden="false" customHeight="false" outlineLevel="0" collapsed="false">
      <c r="A936" s="0" t="s">
        <v>8</v>
      </c>
      <c r="B936" s="0" t="s">
        <v>1196</v>
      </c>
      <c r="C936" s="0" t="s">
        <v>7191</v>
      </c>
    </row>
    <row r="937" customFormat="false" ht="15" hidden="false" customHeight="false" outlineLevel="0" collapsed="false">
      <c r="A937" s="0" t="s">
        <v>8</v>
      </c>
      <c r="B937" s="0" t="s">
        <v>1196</v>
      </c>
      <c r="C937" s="0" t="s">
        <v>7192</v>
      </c>
    </row>
    <row r="938" customFormat="false" ht="15" hidden="false" customHeight="false" outlineLevel="0" collapsed="false">
      <c r="A938" s="0" t="s">
        <v>8</v>
      </c>
      <c r="B938" s="0" t="s">
        <v>1199</v>
      </c>
      <c r="C938" s="0" t="s">
        <v>7190</v>
      </c>
      <c r="D938" s="0" t="n">
        <v>14</v>
      </c>
    </row>
    <row r="939" customFormat="false" ht="15" hidden="false" customHeight="false" outlineLevel="0" collapsed="false">
      <c r="A939" s="0" t="s">
        <v>8</v>
      </c>
      <c r="B939" s="0" t="s">
        <v>1199</v>
      </c>
      <c r="C939" s="0" t="s">
        <v>7191</v>
      </c>
    </row>
    <row r="940" customFormat="false" ht="15" hidden="false" customHeight="false" outlineLevel="0" collapsed="false">
      <c r="A940" s="0" t="s">
        <v>8</v>
      </c>
      <c r="B940" s="0" t="s">
        <v>1199</v>
      </c>
      <c r="C940" s="0" t="s">
        <v>7192</v>
      </c>
    </row>
    <row r="941" customFormat="false" ht="15" hidden="false" customHeight="false" outlineLevel="0" collapsed="false">
      <c r="A941" s="0" t="s">
        <v>8</v>
      </c>
      <c r="B941" s="0" t="s">
        <v>1202</v>
      </c>
      <c r="C941" s="0" t="s">
        <v>7190</v>
      </c>
      <c r="D941" s="0" t="n">
        <v>4</v>
      </c>
    </row>
    <row r="942" customFormat="false" ht="15" hidden="false" customHeight="false" outlineLevel="0" collapsed="false">
      <c r="A942" s="0" t="s">
        <v>8</v>
      </c>
      <c r="B942" s="0" t="s">
        <v>1202</v>
      </c>
      <c r="C942" s="0" t="s">
        <v>7191</v>
      </c>
    </row>
    <row r="943" customFormat="false" ht="15" hidden="false" customHeight="false" outlineLevel="0" collapsed="false">
      <c r="A943" s="0" t="s">
        <v>8</v>
      </c>
      <c r="B943" s="0" t="s">
        <v>1202</v>
      </c>
      <c r="C943" s="0" t="s">
        <v>7192</v>
      </c>
    </row>
    <row r="944" customFormat="false" ht="15" hidden="false" customHeight="false" outlineLevel="0" collapsed="false">
      <c r="A944" s="0" t="s">
        <v>8</v>
      </c>
      <c r="B944" s="0" t="s">
        <v>1206</v>
      </c>
      <c r="C944" s="0" t="s">
        <v>7190</v>
      </c>
      <c r="D944" s="0" t="n">
        <v>0.8</v>
      </c>
    </row>
    <row r="945" customFormat="false" ht="15" hidden="false" customHeight="false" outlineLevel="0" collapsed="false">
      <c r="A945" s="0" t="s">
        <v>8</v>
      </c>
      <c r="B945" s="0" t="s">
        <v>1206</v>
      </c>
      <c r="C945" s="0" t="s">
        <v>7191</v>
      </c>
    </row>
    <row r="946" customFormat="false" ht="15" hidden="false" customHeight="false" outlineLevel="0" collapsed="false">
      <c r="A946" s="0" t="s">
        <v>8</v>
      </c>
      <c r="B946" s="0" t="s">
        <v>1206</v>
      </c>
      <c r="C946" s="0" t="s">
        <v>7192</v>
      </c>
    </row>
    <row r="947" customFormat="false" ht="15" hidden="false" customHeight="false" outlineLevel="0" collapsed="false">
      <c r="A947" s="0" t="s">
        <v>8</v>
      </c>
      <c r="B947" s="0" t="s">
        <v>1209</v>
      </c>
      <c r="C947" s="0" t="s">
        <v>7190</v>
      </c>
      <c r="D947" s="0" t="n">
        <v>16</v>
      </c>
    </row>
    <row r="948" customFormat="false" ht="15" hidden="false" customHeight="false" outlineLevel="0" collapsed="false">
      <c r="A948" s="0" t="s">
        <v>8</v>
      </c>
      <c r="B948" s="0" t="s">
        <v>1209</v>
      </c>
      <c r="C948" s="0" t="s">
        <v>7191</v>
      </c>
    </row>
    <row r="949" customFormat="false" ht="15" hidden="false" customHeight="false" outlineLevel="0" collapsed="false">
      <c r="A949" s="0" t="s">
        <v>8</v>
      </c>
      <c r="B949" s="0" t="s">
        <v>1209</v>
      </c>
      <c r="C949" s="0" t="s">
        <v>7192</v>
      </c>
    </row>
    <row r="950" customFormat="false" ht="15" hidden="false" customHeight="false" outlineLevel="0" collapsed="false">
      <c r="A950" s="0" t="s">
        <v>8</v>
      </c>
      <c r="B950" s="0" t="s">
        <v>1212</v>
      </c>
      <c r="C950" s="0" t="s">
        <v>7190</v>
      </c>
      <c r="D950" s="0" t="n">
        <v>0.8</v>
      </c>
    </row>
    <row r="951" customFormat="false" ht="15" hidden="false" customHeight="false" outlineLevel="0" collapsed="false">
      <c r="A951" s="0" t="s">
        <v>8</v>
      </c>
      <c r="B951" s="0" t="s">
        <v>1212</v>
      </c>
      <c r="C951" s="0" t="s">
        <v>7191</v>
      </c>
    </row>
    <row r="952" customFormat="false" ht="15" hidden="false" customHeight="false" outlineLevel="0" collapsed="false">
      <c r="A952" s="0" t="s">
        <v>8</v>
      </c>
      <c r="B952" s="0" t="s">
        <v>1212</v>
      </c>
      <c r="C952" s="0" t="s">
        <v>7192</v>
      </c>
    </row>
    <row r="953" customFormat="false" ht="15" hidden="false" customHeight="false" outlineLevel="0" collapsed="false">
      <c r="A953" s="0" t="s">
        <v>8</v>
      </c>
      <c r="B953" s="0" t="s">
        <v>1216</v>
      </c>
      <c r="C953" s="0" t="s">
        <v>7190</v>
      </c>
      <c r="D953" s="0" t="n">
        <v>0.16</v>
      </c>
    </row>
    <row r="954" customFormat="false" ht="15" hidden="false" customHeight="false" outlineLevel="0" collapsed="false">
      <c r="A954" s="0" t="s">
        <v>8</v>
      </c>
      <c r="B954" s="0" t="s">
        <v>1216</v>
      </c>
      <c r="C954" s="0" t="s">
        <v>7191</v>
      </c>
    </row>
    <row r="955" customFormat="false" ht="15" hidden="false" customHeight="false" outlineLevel="0" collapsed="false">
      <c r="A955" s="0" t="s">
        <v>8</v>
      </c>
      <c r="B955" s="0" t="s">
        <v>1216</v>
      </c>
      <c r="C955" s="0" t="s">
        <v>7192</v>
      </c>
    </row>
    <row r="956" customFormat="false" ht="15" hidden="false" customHeight="false" outlineLevel="0" collapsed="false">
      <c r="A956" s="0" t="s">
        <v>8</v>
      </c>
      <c r="B956" s="0" t="s">
        <v>1219</v>
      </c>
      <c r="C956" s="0" t="s">
        <v>7190</v>
      </c>
      <c r="D956" s="0" t="n">
        <v>2</v>
      </c>
    </row>
    <row r="957" customFormat="false" ht="15" hidden="false" customHeight="false" outlineLevel="0" collapsed="false">
      <c r="A957" s="0" t="s">
        <v>8</v>
      </c>
      <c r="B957" s="0" t="s">
        <v>1219</v>
      </c>
      <c r="C957" s="0" t="s">
        <v>7191</v>
      </c>
    </row>
    <row r="958" customFormat="false" ht="15" hidden="false" customHeight="false" outlineLevel="0" collapsed="false">
      <c r="A958" s="0" t="s">
        <v>8</v>
      </c>
      <c r="B958" s="0" t="s">
        <v>1219</v>
      </c>
      <c r="C958" s="0" t="s">
        <v>7192</v>
      </c>
    </row>
    <row r="959" customFormat="false" ht="15" hidden="false" customHeight="false" outlineLevel="0" collapsed="false">
      <c r="A959" s="0" t="s">
        <v>8</v>
      </c>
      <c r="B959" s="0" t="s">
        <v>1222</v>
      </c>
      <c r="C959" s="0" t="s">
        <v>7190</v>
      </c>
      <c r="D959" s="0" t="n">
        <v>0.8</v>
      </c>
    </row>
    <row r="960" customFormat="false" ht="15" hidden="false" customHeight="false" outlineLevel="0" collapsed="false">
      <c r="A960" s="0" t="s">
        <v>8</v>
      </c>
      <c r="B960" s="0" t="s">
        <v>1222</v>
      </c>
      <c r="C960" s="0" t="s">
        <v>7191</v>
      </c>
    </row>
    <row r="961" customFormat="false" ht="15" hidden="false" customHeight="false" outlineLevel="0" collapsed="false">
      <c r="A961" s="0" t="s">
        <v>8</v>
      </c>
      <c r="B961" s="0" t="s">
        <v>1222</v>
      </c>
      <c r="C961" s="0" t="s">
        <v>7192</v>
      </c>
    </row>
    <row r="962" customFormat="false" ht="15" hidden="false" customHeight="false" outlineLevel="0" collapsed="false">
      <c r="A962" s="0" t="s">
        <v>8</v>
      </c>
      <c r="B962" s="0" t="s">
        <v>1226</v>
      </c>
      <c r="C962" s="0" t="s">
        <v>7190</v>
      </c>
      <c r="D962" s="0" t="n">
        <v>0.16</v>
      </c>
    </row>
    <row r="963" customFormat="false" ht="15" hidden="false" customHeight="false" outlineLevel="0" collapsed="false">
      <c r="A963" s="0" t="s">
        <v>8</v>
      </c>
      <c r="B963" s="0" t="s">
        <v>1226</v>
      </c>
      <c r="C963" s="0" t="s">
        <v>7191</v>
      </c>
    </row>
    <row r="964" customFormat="false" ht="15" hidden="false" customHeight="false" outlineLevel="0" collapsed="false">
      <c r="A964" s="0" t="s">
        <v>8</v>
      </c>
      <c r="B964" s="0" t="s">
        <v>1226</v>
      </c>
      <c r="C964" s="0" t="s">
        <v>7192</v>
      </c>
    </row>
    <row r="965" customFormat="false" ht="15" hidden="false" customHeight="false" outlineLevel="0" collapsed="false">
      <c r="A965" s="0" t="s">
        <v>8</v>
      </c>
      <c r="B965" s="0" t="s">
        <v>1229</v>
      </c>
      <c r="C965" s="0" t="s">
        <v>7190</v>
      </c>
      <c r="D965" s="0" t="n">
        <v>6</v>
      </c>
    </row>
    <row r="966" customFormat="false" ht="15" hidden="false" customHeight="false" outlineLevel="0" collapsed="false">
      <c r="A966" s="0" t="s">
        <v>8</v>
      </c>
      <c r="B966" s="0" t="s">
        <v>1229</v>
      </c>
      <c r="C966" s="0" t="s">
        <v>7191</v>
      </c>
    </row>
    <row r="967" customFormat="false" ht="15" hidden="false" customHeight="false" outlineLevel="0" collapsed="false">
      <c r="A967" s="0" t="s">
        <v>8</v>
      </c>
      <c r="B967" s="0" t="s">
        <v>1229</v>
      </c>
      <c r="C967" s="0" t="s">
        <v>7192</v>
      </c>
    </row>
    <row r="968" customFormat="false" ht="15" hidden="false" customHeight="false" outlineLevel="0" collapsed="false">
      <c r="A968" s="0" t="s">
        <v>8</v>
      </c>
      <c r="B968" s="0" t="s">
        <v>1232</v>
      </c>
      <c r="C968" s="0" t="s">
        <v>7190</v>
      </c>
      <c r="D968" s="0" t="n">
        <v>1.2</v>
      </c>
    </row>
    <row r="969" customFormat="false" ht="15" hidden="false" customHeight="false" outlineLevel="0" collapsed="false">
      <c r="A969" s="0" t="s">
        <v>8</v>
      </c>
      <c r="B969" s="0" t="s">
        <v>1232</v>
      </c>
      <c r="C969" s="0" t="s">
        <v>7191</v>
      </c>
    </row>
    <row r="970" customFormat="false" ht="15" hidden="false" customHeight="false" outlineLevel="0" collapsed="false">
      <c r="A970" s="0" t="s">
        <v>8</v>
      </c>
      <c r="B970" s="0" t="s">
        <v>1232</v>
      </c>
      <c r="C970" s="0" t="s">
        <v>7192</v>
      </c>
    </row>
    <row r="971" customFormat="false" ht="15" hidden="false" customHeight="false" outlineLevel="0" collapsed="false">
      <c r="A971" s="0" t="s">
        <v>8</v>
      </c>
      <c r="B971" s="0" t="s">
        <v>1236</v>
      </c>
      <c r="C971" s="0" t="s">
        <v>7190</v>
      </c>
      <c r="D971" s="0" t="n">
        <v>0.24</v>
      </c>
    </row>
    <row r="972" customFormat="false" ht="15" hidden="false" customHeight="false" outlineLevel="0" collapsed="false">
      <c r="A972" s="0" t="s">
        <v>8</v>
      </c>
      <c r="B972" s="0" t="s">
        <v>1236</v>
      </c>
      <c r="C972" s="0" t="s">
        <v>7191</v>
      </c>
    </row>
    <row r="973" customFormat="false" ht="15" hidden="false" customHeight="false" outlineLevel="0" collapsed="false">
      <c r="A973" s="0" t="s">
        <v>8</v>
      </c>
      <c r="B973" s="0" t="s">
        <v>1236</v>
      </c>
      <c r="C973" s="0" t="s">
        <v>7192</v>
      </c>
    </row>
    <row r="974" customFormat="false" ht="15" hidden="false" customHeight="false" outlineLevel="0" collapsed="false">
      <c r="A974" s="0" t="s">
        <v>8</v>
      </c>
      <c r="B974" s="0" t="s">
        <v>1239</v>
      </c>
      <c r="C974" s="0" t="s">
        <v>7190</v>
      </c>
      <c r="D974" s="0" t="n">
        <v>8</v>
      </c>
    </row>
    <row r="975" customFormat="false" ht="15" hidden="false" customHeight="false" outlineLevel="0" collapsed="false">
      <c r="A975" s="0" t="s">
        <v>8</v>
      </c>
      <c r="B975" s="0" t="s">
        <v>1239</v>
      </c>
      <c r="C975" s="0" t="s">
        <v>7191</v>
      </c>
    </row>
    <row r="976" customFormat="false" ht="15" hidden="false" customHeight="false" outlineLevel="0" collapsed="false">
      <c r="A976" s="0" t="s">
        <v>8</v>
      </c>
      <c r="B976" s="0" t="s">
        <v>1239</v>
      </c>
      <c r="C976" s="0" t="s">
        <v>7192</v>
      </c>
    </row>
    <row r="977" customFormat="false" ht="15" hidden="false" customHeight="false" outlineLevel="0" collapsed="false">
      <c r="A977" s="0" t="s">
        <v>8</v>
      </c>
      <c r="B977" s="0" t="s">
        <v>1242</v>
      </c>
      <c r="C977" s="0" t="s">
        <v>7190</v>
      </c>
      <c r="D977" s="0" t="n">
        <v>0.5</v>
      </c>
    </row>
    <row r="978" customFormat="false" ht="15" hidden="false" customHeight="false" outlineLevel="0" collapsed="false">
      <c r="A978" s="0" t="s">
        <v>8</v>
      </c>
      <c r="B978" s="0" t="s">
        <v>1242</v>
      </c>
      <c r="C978" s="0" t="s">
        <v>7191</v>
      </c>
    </row>
    <row r="979" customFormat="false" ht="15" hidden="false" customHeight="false" outlineLevel="0" collapsed="false">
      <c r="A979" s="0" t="s">
        <v>8</v>
      </c>
      <c r="B979" s="0" t="s">
        <v>1242</v>
      </c>
      <c r="C979" s="0" t="s">
        <v>7192</v>
      </c>
    </row>
    <row r="980" customFormat="false" ht="15" hidden="false" customHeight="false" outlineLevel="0" collapsed="false">
      <c r="A980" s="0" t="s">
        <v>8</v>
      </c>
      <c r="B980" s="0" t="s">
        <v>1246</v>
      </c>
      <c r="C980" s="0" t="s">
        <v>7190</v>
      </c>
      <c r="D980" s="0" t="n">
        <v>0.1</v>
      </c>
    </row>
    <row r="981" customFormat="false" ht="15" hidden="false" customHeight="false" outlineLevel="0" collapsed="false">
      <c r="A981" s="0" t="s">
        <v>8</v>
      </c>
      <c r="B981" s="0" t="s">
        <v>1246</v>
      </c>
      <c r="C981" s="0" t="s">
        <v>7191</v>
      </c>
    </row>
    <row r="982" customFormat="false" ht="15" hidden="false" customHeight="false" outlineLevel="0" collapsed="false">
      <c r="A982" s="0" t="s">
        <v>8</v>
      </c>
      <c r="B982" s="0" t="s">
        <v>1246</v>
      </c>
      <c r="C982" s="0" t="s">
        <v>7192</v>
      </c>
    </row>
    <row r="983" customFormat="false" ht="15" hidden="false" customHeight="false" outlineLevel="0" collapsed="false">
      <c r="A983" s="0" t="s">
        <v>8</v>
      </c>
      <c r="B983" s="0" t="s">
        <v>1249</v>
      </c>
      <c r="C983" s="0" t="s">
        <v>7190</v>
      </c>
      <c r="D983" s="0" t="n">
        <v>3</v>
      </c>
    </row>
    <row r="984" customFormat="false" ht="15" hidden="false" customHeight="false" outlineLevel="0" collapsed="false">
      <c r="A984" s="0" t="s">
        <v>8</v>
      </c>
      <c r="B984" s="0" t="s">
        <v>1249</v>
      </c>
      <c r="C984" s="0" t="s">
        <v>7191</v>
      </c>
    </row>
    <row r="985" customFormat="false" ht="15" hidden="false" customHeight="false" outlineLevel="0" collapsed="false">
      <c r="A985" s="0" t="s">
        <v>8</v>
      </c>
      <c r="B985" s="0" t="s">
        <v>1249</v>
      </c>
      <c r="C985" s="0" t="s">
        <v>7192</v>
      </c>
    </row>
    <row r="986" customFormat="false" ht="15" hidden="false" customHeight="false" outlineLevel="0" collapsed="false">
      <c r="A986" s="0" t="s">
        <v>8</v>
      </c>
      <c r="B986" s="0" t="s">
        <v>1252</v>
      </c>
      <c r="C986" s="0" t="s">
        <v>7190</v>
      </c>
      <c r="D986" s="0" t="n">
        <v>0.8</v>
      </c>
    </row>
    <row r="987" customFormat="false" ht="15" hidden="false" customHeight="false" outlineLevel="0" collapsed="false">
      <c r="A987" s="0" t="s">
        <v>8</v>
      </c>
      <c r="B987" s="0" t="s">
        <v>1252</v>
      </c>
      <c r="C987" s="0" t="s">
        <v>7191</v>
      </c>
    </row>
    <row r="988" customFormat="false" ht="15" hidden="false" customHeight="false" outlineLevel="0" collapsed="false">
      <c r="A988" s="0" t="s">
        <v>8</v>
      </c>
      <c r="B988" s="0" t="s">
        <v>1252</v>
      </c>
      <c r="C988" s="0" t="s">
        <v>7192</v>
      </c>
    </row>
    <row r="989" customFormat="false" ht="15" hidden="false" customHeight="false" outlineLevel="0" collapsed="false">
      <c r="A989" s="0" t="s">
        <v>8</v>
      </c>
      <c r="B989" s="0" t="s">
        <v>1256</v>
      </c>
      <c r="C989" s="0" t="s">
        <v>7190</v>
      </c>
      <c r="D989" s="0" t="n">
        <v>0.23</v>
      </c>
    </row>
    <row r="990" customFormat="false" ht="15" hidden="false" customHeight="false" outlineLevel="0" collapsed="false">
      <c r="A990" s="0" t="s">
        <v>8</v>
      </c>
      <c r="B990" s="0" t="s">
        <v>1256</v>
      </c>
      <c r="C990" s="0" t="s">
        <v>7191</v>
      </c>
    </row>
    <row r="991" customFormat="false" ht="15" hidden="false" customHeight="false" outlineLevel="0" collapsed="false">
      <c r="A991" s="0" t="s">
        <v>8</v>
      </c>
      <c r="B991" s="0" t="s">
        <v>1256</v>
      </c>
      <c r="C991" s="0" t="s">
        <v>7192</v>
      </c>
    </row>
    <row r="992" customFormat="false" ht="15" hidden="false" customHeight="false" outlineLevel="0" collapsed="false">
      <c r="A992" s="0" t="s">
        <v>8</v>
      </c>
      <c r="B992" s="0" t="s">
        <v>1259</v>
      </c>
      <c r="C992" s="0" t="s">
        <v>7190</v>
      </c>
      <c r="D992" s="0" t="n">
        <v>2.8</v>
      </c>
    </row>
    <row r="993" customFormat="false" ht="15" hidden="false" customHeight="false" outlineLevel="0" collapsed="false">
      <c r="A993" s="0" t="s">
        <v>8</v>
      </c>
      <c r="B993" s="0" t="s">
        <v>1259</v>
      </c>
      <c r="C993" s="0" t="s">
        <v>7191</v>
      </c>
    </row>
    <row r="994" customFormat="false" ht="15" hidden="false" customHeight="false" outlineLevel="0" collapsed="false">
      <c r="A994" s="0" t="s">
        <v>8</v>
      </c>
      <c r="B994" s="0" t="s">
        <v>1259</v>
      </c>
      <c r="C994" s="0" t="s">
        <v>7192</v>
      </c>
    </row>
    <row r="995" customFormat="false" ht="15" hidden="false" customHeight="false" outlineLevel="0" collapsed="false">
      <c r="A995" s="0" t="s">
        <v>8</v>
      </c>
      <c r="B995" s="0" t="s">
        <v>1262</v>
      </c>
      <c r="C995" s="0" t="s">
        <v>7190</v>
      </c>
      <c r="D995" s="0" t="n">
        <v>0.5</v>
      </c>
    </row>
    <row r="996" customFormat="false" ht="15" hidden="false" customHeight="false" outlineLevel="0" collapsed="false">
      <c r="A996" s="0" t="s">
        <v>8</v>
      </c>
      <c r="B996" s="0" t="s">
        <v>1262</v>
      </c>
      <c r="C996" s="0" t="s">
        <v>7191</v>
      </c>
    </row>
    <row r="997" customFormat="false" ht="15" hidden="false" customHeight="false" outlineLevel="0" collapsed="false">
      <c r="A997" s="0" t="s">
        <v>8</v>
      </c>
      <c r="B997" s="0" t="s">
        <v>1262</v>
      </c>
      <c r="C997" s="0" t="s">
        <v>7192</v>
      </c>
    </row>
    <row r="998" customFormat="false" ht="15" hidden="false" customHeight="false" outlineLevel="0" collapsed="false">
      <c r="A998" s="0" t="s">
        <v>8</v>
      </c>
      <c r="B998" s="0" t="s">
        <v>1268</v>
      </c>
      <c r="C998" s="0" t="s">
        <v>7190</v>
      </c>
      <c r="D998" s="0" t="n">
        <v>0</v>
      </c>
    </row>
    <row r="999" customFormat="false" ht="15" hidden="false" customHeight="false" outlineLevel="0" collapsed="false">
      <c r="A999" s="0" t="s">
        <v>8</v>
      </c>
      <c r="B999" s="0" t="s">
        <v>1268</v>
      </c>
      <c r="C999" s="0" t="s">
        <v>7191</v>
      </c>
    </row>
    <row r="1000" customFormat="false" ht="15" hidden="false" customHeight="false" outlineLevel="0" collapsed="false">
      <c r="A1000" s="0" t="s">
        <v>8</v>
      </c>
      <c r="B1000" s="0" t="s">
        <v>1268</v>
      </c>
      <c r="C1000" s="0" t="s">
        <v>7192</v>
      </c>
    </row>
    <row r="1001" customFormat="false" ht="15" hidden="false" customHeight="false" outlineLevel="0" collapsed="false">
      <c r="A1001" s="0" t="s">
        <v>8</v>
      </c>
      <c r="B1001" s="0" t="s">
        <v>1272</v>
      </c>
      <c r="C1001" s="0" t="s">
        <v>7190</v>
      </c>
    </row>
    <row r="1002" customFormat="false" ht="15" hidden="false" customHeight="false" outlineLevel="0" collapsed="false">
      <c r="A1002" s="0" t="s">
        <v>8</v>
      </c>
      <c r="B1002" s="0" t="s">
        <v>1272</v>
      </c>
      <c r="C1002" s="0" t="s">
        <v>7191</v>
      </c>
      <c r="D1002" s="0" t="n">
        <v>5.6</v>
      </c>
    </row>
    <row r="1003" customFormat="false" ht="15" hidden="false" customHeight="false" outlineLevel="0" collapsed="false">
      <c r="A1003" s="0" t="s">
        <v>8</v>
      </c>
      <c r="B1003" s="0" t="s">
        <v>1272</v>
      </c>
      <c r="C1003" s="0" t="s">
        <v>7192</v>
      </c>
      <c r="D1003" s="0" t="n">
        <v>8</v>
      </c>
    </row>
    <row r="1004" customFormat="false" ht="15" hidden="false" customHeight="false" outlineLevel="0" collapsed="false">
      <c r="A1004" s="0" t="s">
        <v>8</v>
      </c>
      <c r="B1004" s="0" t="s">
        <v>1280</v>
      </c>
      <c r="C1004" s="0" t="s">
        <v>7190</v>
      </c>
    </row>
    <row r="1005" customFormat="false" ht="15" hidden="false" customHeight="false" outlineLevel="0" collapsed="false">
      <c r="A1005" s="0" t="s">
        <v>8</v>
      </c>
      <c r="B1005" s="0" t="s">
        <v>1280</v>
      </c>
      <c r="C1005" s="0" t="s">
        <v>7191</v>
      </c>
      <c r="D1005" s="0" t="n">
        <v>19.6</v>
      </c>
    </row>
    <row r="1006" customFormat="false" ht="15" hidden="false" customHeight="false" outlineLevel="0" collapsed="false">
      <c r="A1006" s="0" t="s">
        <v>8</v>
      </c>
      <c r="B1006" s="0" t="s">
        <v>1280</v>
      </c>
      <c r="C1006" s="0" t="s">
        <v>7192</v>
      </c>
      <c r="D1006" s="0" t="n">
        <v>28</v>
      </c>
    </row>
    <row r="1007" customFormat="false" ht="15" hidden="false" customHeight="false" outlineLevel="0" collapsed="false">
      <c r="A1007" s="0" t="s">
        <v>8</v>
      </c>
      <c r="B1007" s="0" t="s">
        <v>1284</v>
      </c>
      <c r="C1007" s="0" t="s">
        <v>7190</v>
      </c>
      <c r="D1007" s="0" t="n">
        <v>0.8</v>
      </c>
    </row>
    <row r="1008" customFormat="false" ht="15" hidden="false" customHeight="false" outlineLevel="0" collapsed="false">
      <c r="A1008" s="0" t="s">
        <v>8</v>
      </c>
      <c r="B1008" s="0" t="s">
        <v>1284</v>
      </c>
      <c r="C1008" s="0" t="s">
        <v>7191</v>
      </c>
    </row>
    <row r="1009" customFormat="false" ht="15" hidden="false" customHeight="false" outlineLevel="0" collapsed="false">
      <c r="A1009" s="0" t="s">
        <v>8</v>
      </c>
      <c r="B1009" s="0" t="s">
        <v>1284</v>
      </c>
      <c r="C1009" s="0" t="s">
        <v>7192</v>
      </c>
    </row>
    <row r="1010" customFormat="false" ht="15" hidden="false" customHeight="false" outlineLevel="0" collapsed="false">
      <c r="A1010" s="0" t="s">
        <v>8</v>
      </c>
      <c r="B1010" s="0" t="s">
        <v>1292</v>
      </c>
      <c r="C1010" s="0" t="s">
        <v>7190</v>
      </c>
      <c r="D1010" s="0" t="n">
        <v>2</v>
      </c>
    </row>
    <row r="1011" customFormat="false" ht="15" hidden="false" customHeight="false" outlineLevel="0" collapsed="false">
      <c r="A1011" s="0" t="s">
        <v>8</v>
      </c>
      <c r="B1011" s="0" t="s">
        <v>1292</v>
      </c>
      <c r="C1011" s="0" t="s">
        <v>7191</v>
      </c>
    </row>
    <row r="1012" customFormat="false" ht="15" hidden="false" customHeight="false" outlineLevel="0" collapsed="false">
      <c r="A1012" s="0" t="s">
        <v>8</v>
      </c>
      <c r="B1012" s="0" t="s">
        <v>1292</v>
      </c>
      <c r="C1012" s="0" t="s">
        <v>7192</v>
      </c>
    </row>
    <row r="1013" customFormat="false" ht="15" hidden="false" customHeight="false" outlineLevel="0" collapsed="false">
      <c r="A1013" s="0" t="s">
        <v>8</v>
      </c>
      <c r="B1013" s="0" t="s">
        <v>1295</v>
      </c>
      <c r="C1013" s="0" t="s">
        <v>7190</v>
      </c>
      <c r="D1013" s="0" t="n">
        <v>5</v>
      </c>
    </row>
    <row r="1014" customFormat="false" ht="15" hidden="false" customHeight="false" outlineLevel="0" collapsed="false">
      <c r="A1014" s="0" t="s">
        <v>8</v>
      </c>
      <c r="B1014" s="0" t="s">
        <v>1295</v>
      </c>
      <c r="C1014" s="0" t="s">
        <v>7191</v>
      </c>
    </row>
    <row r="1015" customFormat="false" ht="15" hidden="false" customHeight="false" outlineLevel="0" collapsed="false">
      <c r="A1015" s="0" t="s">
        <v>8</v>
      </c>
      <c r="B1015" s="0" t="s">
        <v>1295</v>
      </c>
      <c r="C1015" s="0" t="s">
        <v>7192</v>
      </c>
    </row>
    <row r="1016" customFormat="false" ht="15" hidden="false" customHeight="false" outlineLevel="0" collapsed="false">
      <c r="A1016" s="0" t="s">
        <v>8</v>
      </c>
      <c r="B1016" s="0" t="s">
        <v>1302</v>
      </c>
      <c r="C1016" s="0" t="s">
        <v>7190</v>
      </c>
      <c r="D1016" s="0" t="n">
        <v>0.6</v>
      </c>
    </row>
    <row r="1017" customFormat="false" ht="15" hidden="false" customHeight="false" outlineLevel="0" collapsed="false">
      <c r="A1017" s="0" t="s">
        <v>8</v>
      </c>
      <c r="B1017" s="0" t="s">
        <v>1302</v>
      </c>
      <c r="C1017" s="0" t="s">
        <v>7191</v>
      </c>
      <c r="D1017" s="0" t="n">
        <v>0.6</v>
      </c>
    </row>
    <row r="1018" customFormat="false" ht="15" hidden="false" customHeight="false" outlineLevel="0" collapsed="false">
      <c r="A1018" s="0" t="s">
        <v>8</v>
      </c>
      <c r="B1018" s="0" t="s">
        <v>1302</v>
      </c>
      <c r="C1018" s="0" t="s">
        <v>7192</v>
      </c>
      <c r="D1018" s="0" t="n">
        <v>0.6</v>
      </c>
    </row>
    <row r="1019" customFormat="false" ht="15" hidden="false" customHeight="false" outlineLevel="0" collapsed="false">
      <c r="A1019" s="0" t="s">
        <v>8</v>
      </c>
      <c r="B1019" s="0" t="s">
        <v>1312</v>
      </c>
      <c r="C1019" s="0" t="s">
        <v>7190</v>
      </c>
      <c r="D1019" s="0" t="n">
        <v>1</v>
      </c>
    </row>
    <row r="1020" customFormat="false" ht="15" hidden="false" customHeight="false" outlineLevel="0" collapsed="false">
      <c r="A1020" s="0" t="s">
        <v>8</v>
      </c>
      <c r="B1020" s="0" t="s">
        <v>1312</v>
      </c>
      <c r="C1020" s="0" t="s">
        <v>7191</v>
      </c>
      <c r="D1020" s="0" t="n">
        <v>1</v>
      </c>
    </row>
    <row r="1021" customFormat="false" ht="15" hidden="false" customHeight="false" outlineLevel="0" collapsed="false">
      <c r="A1021" s="0" t="s">
        <v>8</v>
      </c>
      <c r="B1021" s="0" t="s">
        <v>1312</v>
      </c>
      <c r="C1021" s="0" t="s">
        <v>7192</v>
      </c>
      <c r="D1021" s="0" t="n">
        <v>1</v>
      </c>
    </row>
    <row r="1022" customFormat="false" ht="15" hidden="false" customHeight="false" outlineLevel="0" collapsed="false">
      <c r="A1022" s="0" t="s">
        <v>8</v>
      </c>
      <c r="B1022" s="0" t="s">
        <v>1319</v>
      </c>
      <c r="C1022" s="0" t="s">
        <v>7190</v>
      </c>
      <c r="D1022" s="0" t="n">
        <v>0.15</v>
      </c>
    </row>
    <row r="1023" customFormat="false" ht="15" hidden="false" customHeight="false" outlineLevel="0" collapsed="false">
      <c r="A1023" s="0" t="s">
        <v>8</v>
      </c>
      <c r="B1023" s="0" t="s">
        <v>1319</v>
      </c>
      <c r="C1023" s="0" t="s">
        <v>7191</v>
      </c>
    </row>
    <row r="1024" customFormat="false" ht="15" hidden="false" customHeight="false" outlineLevel="0" collapsed="false">
      <c r="A1024" s="0" t="s">
        <v>8</v>
      </c>
      <c r="B1024" s="0" t="s">
        <v>1319</v>
      </c>
      <c r="C1024" s="0" t="s">
        <v>7192</v>
      </c>
    </row>
    <row r="1025" customFormat="false" ht="15" hidden="false" customHeight="false" outlineLevel="0" collapsed="false">
      <c r="A1025" s="0" t="s">
        <v>8</v>
      </c>
      <c r="B1025" s="0" t="s">
        <v>1326</v>
      </c>
      <c r="C1025" s="0" t="s">
        <v>7190</v>
      </c>
    </row>
    <row r="1026" customFormat="false" ht="15" hidden="false" customHeight="false" outlineLevel="0" collapsed="false">
      <c r="A1026" s="0" t="s">
        <v>8</v>
      </c>
      <c r="B1026" s="0" t="s">
        <v>1326</v>
      </c>
      <c r="C1026" s="0" t="s">
        <v>7191</v>
      </c>
      <c r="D1026" s="0" t="n">
        <v>67</v>
      </c>
    </row>
    <row r="1027" customFormat="false" ht="15" hidden="false" customHeight="false" outlineLevel="0" collapsed="false">
      <c r="A1027" s="0" t="s">
        <v>8</v>
      </c>
      <c r="B1027" s="0" t="s">
        <v>1326</v>
      </c>
      <c r="C1027" s="0" t="s">
        <v>7192</v>
      </c>
      <c r="D1027" s="0" t="n">
        <v>100</v>
      </c>
    </row>
    <row r="1028" customFormat="false" ht="15" hidden="false" customHeight="false" outlineLevel="0" collapsed="false">
      <c r="A1028" s="0" t="s">
        <v>8</v>
      </c>
      <c r="B1028" s="0" t="s">
        <v>1335</v>
      </c>
      <c r="C1028" s="0" t="s">
        <v>7190</v>
      </c>
      <c r="D1028" s="0" t="n">
        <v>10</v>
      </c>
    </row>
    <row r="1029" customFormat="false" ht="15" hidden="false" customHeight="false" outlineLevel="0" collapsed="false">
      <c r="A1029" s="0" t="s">
        <v>8</v>
      </c>
      <c r="B1029" s="0" t="s">
        <v>1335</v>
      </c>
      <c r="C1029" s="0" t="s">
        <v>7191</v>
      </c>
    </row>
    <row r="1030" customFormat="false" ht="15" hidden="false" customHeight="false" outlineLevel="0" collapsed="false">
      <c r="A1030" s="0" t="s">
        <v>8</v>
      </c>
      <c r="B1030" s="0" t="s">
        <v>1335</v>
      </c>
      <c r="C1030" s="0" t="s">
        <v>7192</v>
      </c>
    </row>
    <row r="1031" customFormat="false" ht="15" hidden="false" customHeight="false" outlineLevel="0" collapsed="false">
      <c r="A1031" s="0" t="s">
        <v>8</v>
      </c>
      <c r="B1031" s="0" t="s">
        <v>1344</v>
      </c>
      <c r="C1031" s="0" t="s">
        <v>7190</v>
      </c>
    </row>
    <row r="1032" customFormat="false" ht="15" hidden="false" customHeight="false" outlineLevel="0" collapsed="false">
      <c r="A1032" s="0" t="s">
        <v>8</v>
      </c>
      <c r="B1032" s="0" t="s">
        <v>1344</v>
      </c>
      <c r="C1032" s="0" t="s">
        <v>7191</v>
      </c>
      <c r="D1032" s="0" t="n">
        <v>8</v>
      </c>
    </row>
    <row r="1033" customFormat="false" ht="15" hidden="false" customHeight="false" outlineLevel="0" collapsed="false">
      <c r="A1033" s="0" t="s">
        <v>8</v>
      </c>
      <c r="B1033" s="0" t="s">
        <v>1344</v>
      </c>
      <c r="C1033" s="0" t="s">
        <v>7192</v>
      </c>
      <c r="D1033" s="0" t="n">
        <v>17</v>
      </c>
    </row>
    <row r="1034" customFormat="false" ht="15" hidden="false" customHeight="false" outlineLevel="0" collapsed="false">
      <c r="A1034" s="0" t="s">
        <v>8</v>
      </c>
      <c r="B1034" s="0" t="s">
        <v>1349</v>
      </c>
      <c r="C1034" s="0" t="s">
        <v>7190</v>
      </c>
      <c r="D1034" s="0" t="n">
        <v>83</v>
      </c>
    </row>
    <row r="1035" customFormat="false" ht="15" hidden="false" customHeight="false" outlineLevel="0" collapsed="false">
      <c r="A1035" s="0" t="s">
        <v>8</v>
      </c>
      <c r="B1035" s="0" t="s">
        <v>1349</v>
      </c>
      <c r="C1035" s="0" t="s">
        <v>7191</v>
      </c>
    </row>
    <row r="1036" customFormat="false" ht="15" hidden="false" customHeight="false" outlineLevel="0" collapsed="false">
      <c r="A1036" s="0" t="s">
        <v>8</v>
      </c>
      <c r="B1036" s="0" t="s">
        <v>1349</v>
      </c>
      <c r="C1036" s="0" t="s">
        <v>7192</v>
      </c>
    </row>
    <row r="1037" customFormat="false" ht="15" hidden="false" customHeight="false" outlineLevel="0" collapsed="false">
      <c r="A1037" s="0" t="s">
        <v>8</v>
      </c>
      <c r="B1037" s="0" t="s">
        <v>1358</v>
      </c>
      <c r="C1037" s="0" t="s">
        <v>7190</v>
      </c>
      <c r="D1037" s="0" t="n">
        <v>83</v>
      </c>
    </row>
    <row r="1038" customFormat="false" ht="15" hidden="false" customHeight="false" outlineLevel="0" collapsed="false">
      <c r="A1038" s="0" t="s">
        <v>8</v>
      </c>
      <c r="B1038" s="0" t="s">
        <v>1358</v>
      </c>
      <c r="C1038" s="0" t="s">
        <v>7191</v>
      </c>
    </row>
    <row r="1039" customFormat="false" ht="15" hidden="false" customHeight="false" outlineLevel="0" collapsed="false">
      <c r="A1039" s="0" t="s">
        <v>8</v>
      </c>
      <c r="B1039" s="0" t="s">
        <v>1358</v>
      </c>
      <c r="C1039" s="0" t="s">
        <v>7192</v>
      </c>
    </row>
    <row r="1040" customFormat="false" ht="15" hidden="false" customHeight="false" outlineLevel="0" collapsed="false">
      <c r="A1040" s="0" t="s">
        <v>8</v>
      </c>
      <c r="B1040" s="0" t="s">
        <v>1365</v>
      </c>
      <c r="C1040" s="0" t="s">
        <v>7190</v>
      </c>
      <c r="D1040" s="0" t="n">
        <v>101</v>
      </c>
    </row>
    <row r="1041" customFormat="false" ht="15" hidden="false" customHeight="false" outlineLevel="0" collapsed="false">
      <c r="A1041" s="0" t="s">
        <v>8</v>
      </c>
      <c r="B1041" s="0" t="s">
        <v>1365</v>
      </c>
      <c r="C1041" s="0" t="s">
        <v>7191</v>
      </c>
    </row>
    <row r="1042" customFormat="false" ht="15" hidden="false" customHeight="false" outlineLevel="0" collapsed="false">
      <c r="A1042" s="0" t="s">
        <v>8</v>
      </c>
      <c r="B1042" s="0" t="s">
        <v>1365</v>
      </c>
      <c r="C1042" s="0" t="s">
        <v>7192</v>
      </c>
    </row>
    <row r="1043" customFormat="false" ht="15" hidden="false" customHeight="false" outlineLevel="0" collapsed="false">
      <c r="A1043" s="0" t="s">
        <v>8</v>
      </c>
      <c r="B1043" s="0" t="s">
        <v>1371</v>
      </c>
      <c r="C1043" s="0" t="s">
        <v>7190</v>
      </c>
      <c r="D1043" s="0" t="n">
        <v>101</v>
      </c>
    </row>
    <row r="1044" customFormat="false" ht="15" hidden="false" customHeight="false" outlineLevel="0" collapsed="false">
      <c r="A1044" s="0" t="s">
        <v>8</v>
      </c>
      <c r="B1044" s="0" t="s">
        <v>1371</v>
      </c>
      <c r="C1044" s="0" t="s">
        <v>7191</v>
      </c>
    </row>
    <row r="1045" customFormat="false" ht="15" hidden="false" customHeight="false" outlineLevel="0" collapsed="false">
      <c r="A1045" s="0" t="s">
        <v>8</v>
      </c>
      <c r="B1045" s="0" t="s">
        <v>1371</v>
      </c>
      <c r="C1045" s="0" t="s">
        <v>7192</v>
      </c>
    </row>
    <row r="1046" customFormat="false" ht="15" hidden="false" customHeight="false" outlineLevel="0" collapsed="false">
      <c r="A1046" s="0" t="s">
        <v>8</v>
      </c>
      <c r="B1046" s="0" t="s">
        <v>1377</v>
      </c>
      <c r="C1046" s="0" t="s">
        <v>7190</v>
      </c>
      <c r="D1046" s="0" t="n">
        <v>30</v>
      </c>
    </row>
    <row r="1047" customFormat="false" ht="15" hidden="false" customHeight="false" outlineLevel="0" collapsed="false">
      <c r="A1047" s="0" t="s">
        <v>8</v>
      </c>
      <c r="B1047" s="0" t="s">
        <v>1377</v>
      </c>
      <c r="C1047" s="0" t="s">
        <v>7191</v>
      </c>
      <c r="D1047" s="0" t="n">
        <v>30</v>
      </c>
    </row>
    <row r="1048" customFormat="false" ht="15" hidden="false" customHeight="false" outlineLevel="0" collapsed="false">
      <c r="A1048" s="0" t="s">
        <v>8</v>
      </c>
      <c r="B1048" s="0" t="s">
        <v>1377</v>
      </c>
      <c r="C1048" s="0" t="s">
        <v>7192</v>
      </c>
    </row>
    <row r="1049" customFormat="false" ht="15" hidden="false" customHeight="false" outlineLevel="0" collapsed="false">
      <c r="A1049" s="0" t="s">
        <v>8</v>
      </c>
      <c r="B1049" s="0" t="s">
        <v>1383</v>
      </c>
      <c r="C1049" s="0" t="s">
        <v>7190</v>
      </c>
      <c r="D1049" s="0" t="n">
        <v>30</v>
      </c>
    </row>
    <row r="1050" customFormat="false" ht="15" hidden="false" customHeight="false" outlineLevel="0" collapsed="false">
      <c r="A1050" s="0" t="s">
        <v>8</v>
      </c>
      <c r="B1050" s="0" t="s">
        <v>1383</v>
      </c>
      <c r="C1050" s="0" t="s">
        <v>7191</v>
      </c>
    </row>
    <row r="1051" customFormat="false" ht="15" hidden="false" customHeight="false" outlineLevel="0" collapsed="false">
      <c r="A1051" s="0" t="s">
        <v>8</v>
      </c>
      <c r="B1051" s="0" t="s">
        <v>1383</v>
      </c>
      <c r="C1051" s="0" t="s">
        <v>7192</v>
      </c>
    </row>
    <row r="1052" customFormat="false" ht="15" hidden="false" customHeight="false" outlineLevel="0" collapsed="false">
      <c r="A1052" s="0" t="s">
        <v>8</v>
      </c>
      <c r="B1052" s="0" t="s">
        <v>1388</v>
      </c>
      <c r="C1052" s="0" t="s">
        <v>7190</v>
      </c>
    </row>
    <row r="1053" customFormat="false" ht="15" hidden="false" customHeight="false" outlineLevel="0" collapsed="false">
      <c r="A1053" s="0" t="s">
        <v>8</v>
      </c>
      <c r="B1053" s="0" t="s">
        <v>1388</v>
      </c>
      <c r="C1053" s="0" t="s">
        <v>7191</v>
      </c>
      <c r="D1053" s="0" t="n">
        <v>30</v>
      </c>
    </row>
    <row r="1054" customFormat="false" ht="15" hidden="false" customHeight="false" outlineLevel="0" collapsed="false">
      <c r="A1054" s="0" t="s">
        <v>8</v>
      </c>
      <c r="B1054" s="0" t="s">
        <v>1388</v>
      </c>
      <c r="C1054" s="0" t="s">
        <v>7192</v>
      </c>
      <c r="D1054" s="0" t="n">
        <v>60</v>
      </c>
    </row>
    <row r="1055" customFormat="false" ht="15" hidden="false" customHeight="false" outlineLevel="0" collapsed="false">
      <c r="A1055" s="0" t="s">
        <v>8</v>
      </c>
      <c r="B1055" s="0" t="s">
        <v>1393</v>
      </c>
      <c r="C1055" s="0" t="s">
        <v>7190</v>
      </c>
    </row>
    <row r="1056" customFormat="false" ht="15" hidden="false" customHeight="false" outlineLevel="0" collapsed="false">
      <c r="A1056" s="0" t="s">
        <v>8</v>
      </c>
      <c r="B1056" s="0" t="s">
        <v>1393</v>
      </c>
      <c r="C1056" s="0" t="s">
        <v>7191</v>
      </c>
      <c r="D1056" s="0" t="n">
        <v>80</v>
      </c>
    </row>
    <row r="1057" customFormat="false" ht="15" hidden="false" customHeight="false" outlineLevel="0" collapsed="false">
      <c r="A1057" s="0" t="s">
        <v>8</v>
      </c>
      <c r="B1057" s="0" t="s">
        <v>1393</v>
      </c>
      <c r="C1057" s="0" t="s">
        <v>7192</v>
      </c>
      <c r="D1057" s="0" t="n">
        <v>150</v>
      </c>
    </row>
    <row r="1058" customFormat="false" ht="15" hidden="false" customHeight="false" outlineLevel="0" collapsed="false">
      <c r="A1058" s="0" t="s">
        <v>8</v>
      </c>
      <c r="B1058" s="0" t="s">
        <v>1398</v>
      </c>
      <c r="C1058" s="0" t="s">
        <v>7190</v>
      </c>
    </row>
    <row r="1059" customFormat="false" ht="15" hidden="false" customHeight="false" outlineLevel="0" collapsed="false">
      <c r="A1059" s="0" t="s">
        <v>8</v>
      </c>
      <c r="B1059" s="0" t="s">
        <v>1398</v>
      </c>
      <c r="C1059" s="0" t="s">
        <v>7191</v>
      </c>
    </row>
    <row r="1060" customFormat="false" ht="15" hidden="false" customHeight="false" outlineLevel="0" collapsed="false">
      <c r="A1060" s="0" t="s">
        <v>8</v>
      </c>
      <c r="B1060" s="0" t="s">
        <v>1398</v>
      </c>
      <c r="C1060" s="0" t="s">
        <v>7192</v>
      </c>
    </row>
    <row r="1061" customFormat="false" ht="15" hidden="false" customHeight="false" outlineLevel="0" collapsed="false">
      <c r="A1061" s="0" t="s">
        <v>8</v>
      </c>
      <c r="B1061" s="0" t="s">
        <v>1407</v>
      </c>
      <c r="C1061" s="0" t="s">
        <v>7190</v>
      </c>
    </row>
    <row r="1062" customFormat="false" ht="15" hidden="false" customHeight="false" outlineLevel="0" collapsed="false">
      <c r="A1062" s="0" t="s">
        <v>8</v>
      </c>
      <c r="B1062" s="0" t="s">
        <v>1407</v>
      </c>
      <c r="C1062" s="0" t="s">
        <v>7191</v>
      </c>
      <c r="D1062" s="0" t="n">
        <v>20</v>
      </c>
    </row>
    <row r="1063" customFormat="false" ht="15" hidden="false" customHeight="false" outlineLevel="0" collapsed="false">
      <c r="A1063" s="0" t="s">
        <v>8</v>
      </c>
      <c r="B1063" s="0" t="s">
        <v>1407</v>
      </c>
      <c r="C1063" s="0" t="s">
        <v>7192</v>
      </c>
      <c r="D1063" s="0" t="n">
        <v>100</v>
      </c>
    </row>
    <row r="1064" customFormat="false" ht="15" hidden="false" customHeight="false" outlineLevel="0" collapsed="false">
      <c r="A1064" s="0" t="s">
        <v>8</v>
      </c>
      <c r="B1064" s="0" t="s">
        <v>1416</v>
      </c>
      <c r="C1064" s="0" t="s">
        <v>7190</v>
      </c>
      <c r="D1064" s="0" t="n">
        <v>3</v>
      </c>
    </row>
    <row r="1065" customFormat="false" ht="15" hidden="false" customHeight="false" outlineLevel="0" collapsed="false">
      <c r="A1065" s="0" t="s">
        <v>8</v>
      </c>
      <c r="B1065" s="0" t="s">
        <v>1416</v>
      </c>
      <c r="C1065" s="0" t="s">
        <v>7191</v>
      </c>
      <c r="D1065" s="0" t="n">
        <v>3</v>
      </c>
    </row>
    <row r="1066" customFormat="false" ht="15" hidden="false" customHeight="false" outlineLevel="0" collapsed="false">
      <c r="A1066" s="0" t="s">
        <v>8</v>
      </c>
      <c r="B1066" s="0" t="s">
        <v>1416</v>
      </c>
      <c r="C1066" s="0" t="s">
        <v>7192</v>
      </c>
      <c r="D1066" s="0" t="n">
        <v>3</v>
      </c>
    </row>
    <row r="1067" customFormat="false" ht="15" hidden="false" customHeight="false" outlineLevel="0" collapsed="false">
      <c r="A1067" s="0" t="s">
        <v>8</v>
      </c>
      <c r="B1067" s="0" t="s">
        <v>1425</v>
      </c>
      <c r="C1067" s="0" t="s">
        <v>7190</v>
      </c>
      <c r="D1067" s="0" t="n">
        <v>49</v>
      </c>
    </row>
    <row r="1068" customFormat="false" ht="15" hidden="false" customHeight="false" outlineLevel="0" collapsed="false">
      <c r="A1068" s="0" t="s">
        <v>8</v>
      </c>
      <c r="B1068" s="0" t="s">
        <v>1425</v>
      </c>
      <c r="C1068" s="0" t="s">
        <v>7191</v>
      </c>
    </row>
    <row r="1069" customFormat="false" ht="15" hidden="false" customHeight="false" outlineLevel="0" collapsed="false">
      <c r="A1069" s="0" t="s">
        <v>8</v>
      </c>
      <c r="B1069" s="0" t="s">
        <v>1425</v>
      </c>
      <c r="C1069" s="0" t="s">
        <v>7192</v>
      </c>
    </row>
    <row r="1070" customFormat="false" ht="15" hidden="false" customHeight="false" outlineLevel="0" collapsed="false">
      <c r="A1070" s="0" t="s">
        <v>8</v>
      </c>
      <c r="B1070" s="0" t="s">
        <v>1433</v>
      </c>
      <c r="C1070" s="0" t="s">
        <v>7190</v>
      </c>
      <c r="D1070" s="0" t="n">
        <v>44</v>
      </c>
    </row>
    <row r="1071" customFormat="false" ht="15" hidden="false" customHeight="false" outlineLevel="0" collapsed="false">
      <c r="A1071" s="0" t="s">
        <v>8</v>
      </c>
      <c r="B1071" s="0" t="s">
        <v>1433</v>
      </c>
      <c r="C1071" s="0" t="s">
        <v>7191</v>
      </c>
    </row>
    <row r="1072" customFormat="false" ht="15" hidden="false" customHeight="false" outlineLevel="0" collapsed="false">
      <c r="A1072" s="0" t="s">
        <v>8</v>
      </c>
      <c r="B1072" s="0" t="s">
        <v>1433</v>
      </c>
      <c r="C1072" s="0" t="s">
        <v>7192</v>
      </c>
    </row>
    <row r="1073" customFormat="false" ht="15" hidden="false" customHeight="false" outlineLevel="0" collapsed="false">
      <c r="A1073" s="0" t="s">
        <v>8</v>
      </c>
      <c r="B1073" s="0" t="s">
        <v>1438</v>
      </c>
      <c r="C1073" s="0" t="s">
        <v>7190</v>
      </c>
      <c r="D1073" s="0" t="n">
        <v>34</v>
      </c>
    </row>
    <row r="1074" customFormat="false" ht="15" hidden="false" customHeight="false" outlineLevel="0" collapsed="false">
      <c r="A1074" s="0" t="s">
        <v>8</v>
      </c>
      <c r="B1074" s="0" t="s">
        <v>1438</v>
      </c>
      <c r="C1074" s="0" t="s">
        <v>7191</v>
      </c>
    </row>
    <row r="1075" customFormat="false" ht="15" hidden="false" customHeight="false" outlineLevel="0" collapsed="false">
      <c r="A1075" s="0" t="s">
        <v>8</v>
      </c>
      <c r="B1075" s="0" t="s">
        <v>1438</v>
      </c>
      <c r="C1075" s="0" t="s">
        <v>7192</v>
      </c>
    </row>
    <row r="1076" customFormat="false" ht="15" hidden="false" customHeight="false" outlineLevel="0" collapsed="false">
      <c r="A1076" s="0" t="s">
        <v>8</v>
      </c>
      <c r="B1076" s="0" t="s">
        <v>1442</v>
      </c>
      <c r="C1076" s="0" t="s">
        <v>7190</v>
      </c>
      <c r="D1076" s="0" t="n">
        <v>149</v>
      </c>
    </row>
    <row r="1077" customFormat="false" ht="15" hidden="false" customHeight="false" outlineLevel="0" collapsed="false">
      <c r="A1077" s="0" t="s">
        <v>8</v>
      </c>
      <c r="B1077" s="0" t="s">
        <v>1442</v>
      </c>
      <c r="C1077" s="0" t="s">
        <v>7191</v>
      </c>
    </row>
    <row r="1078" customFormat="false" ht="15" hidden="false" customHeight="false" outlineLevel="0" collapsed="false">
      <c r="A1078" s="0" t="s">
        <v>8</v>
      </c>
      <c r="B1078" s="0" t="s">
        <v>1442</v>
      </c>
      <c r="C1078" s="0" t="s">
        <v>7192</v>
      </c>
    </row>
    <row r="1079" customFormat="false" ht="15" hidden="false" customHeight="false" outlineLevel="0" collapsed="false">
      <c r="A1079" s="0" t="s">
        <v>8</v>
      </c>
      <c r="B1079" s="0" t="s">
        <v>1446</v>
      </c>
      <c r="C1079" s="0" t="s">
        <v>7190</v>
      </c>
      <c r="D1079" s="0" t="n">
        <v>134</v>
      </c>
    </row>
    <row r="1080" customFormat="false" ht="15" hidden="false" customHeight="false" outlineLevel="0" collapsed="false">
      <c r="A1080" s="0" t="s">
        <v>8</v>
      </c>
      <c r="B1080" s="0" t="s">
        <v>1446</v>
      </c>
      <c r="C1080" s="0" t="s">
        <v>7191</v>
      </c>
    </row>
    <row r="1081" customFormat="false" ht="15" hidden="false" customHeight="false" outlineLevel="0" collapsed="false">
      <c r="A1081" s="0" t="s">
        <v>8</v>
      </c>
      <c r="B1081" s="0" t="s">
        <v>1446</v>
      </c>
      <c r="C1081" s="0" t="s">
        <v>7192</v>
      </c>
    </row>
    <row r="1082" customFormat="false" ht="15" hidden="false" customHeight="false" outlineLevel="0" collapsed="false">
      <c r="A1082" s="0" t="s">
        <v>8</v>
      </c>
      <c r="B1082" s="0" t="s">
        <v>1449</v>
      </c>
      <c r="C1082" s="0" t="s">
        <v>7190</v>
      </c>
      <c r="D1082" s="0" t="n">
        <v>104</v>
      </c>
    </row>
    <row r="1083" customFormat="false" ht="15" hidden="false" customHeight="false" outlineLevel="0" collapsed="false">
      <c r="A1083" s="0" t="s">
        <v>8</v>
      </c>
      <c r="B1083" s="0" t="s">
        <v>1449</v>
      </c>
      <c r="C1083" s="0" t="s">
        <v>7191</v>
      </c>
    </row>
    <row r="1084" customFormat="false" ht="15" hidden="false" customHeight="false" outlineLevel="0" collapsed="false">
      <c r="A1084" s="0" t="s">
        <v>8</v>
      </c>
      <c r="B1084" s="0" t="s">
        <v>1449</v>
      </c>
      <c r="C1084" s="0" t="s">
        <v>7192</v>
      </c>
    </row>
    <row r="1085" customFormat="false" ht="15" hidden="false" customHeight="false" outlineLevel="0" collapsed="false">
      <c r="A1085" s="0" t="s">
        <v>8</v>
      </c>
      <c r="B1085" s="0" t="s">
        <v>1452</v>
      </c>
      <c r="C1085" s="0" t="s">
        <v>7190</v>
      </c>
      <c r="D1085" s="0" t="n">
        <v>469</v>
      </c>
    </row>
    <row r="1086" customFormat="false" ht="15" hidden="false" customHeight="false" outlineLevel="0" collapsed="false">
      <c r="A1086" s="0" t="s">
        <v>8</v>
      </c>
      <c r="B1086" s="0" t="s">
        <v>1452</v>
      </c>
      <c r="C1086" s="0" t="s">
        <v>7191</v>
      </c>
    </row>
    <row r="1087" customFormat="false" ht="15" hidden="false" customHeight="false" outlineLevel="0" collapsed="false">
      <c r="A1087" s="0" t="s">
        <v>8</v>
      </c>
      <c r="B1087" s="0" t="s">
        <v>1452</v>
      </c>
      <c r="C1087" s="0" t="s">
        <v>7192</v>
      </c>
    </row>
    <row r="1088" customFormat="false" ht="15" hidden="false" customHeight="false" outlineLevel="0" collapsed="false">
      <c r="A1088" s="0" t="s">
        <v>8</v>
      </c>
      <c r="B1088" s="0" t="s">
        <v>1456</v>
      </c>
      <c r="C1088" s="0" t="s">
        <v>7190</v>
      </c>
      <c r="D1088" s="0" t="n">
        <v>422</v>
      </c>
    </row>
    <row r="1089" customFormat="false" ht="15" hidden="false" customHeight="false" outlineLevel="0" collapsed="false">
      <c r="A1089" s="0" t="s">
        <v>8</v>
      </c>
      <c r="B1089" s="0" t="s">
        <v>1456</v>
      </c>
      <c r="C1089" s="0" t="s">
        <v>7191</v>
      </c>
    </row>
    <row r="1090" customFormat="false" ht="15" hidden="false" customHeight="false" outlineLevel="0" collapsed="false">
      <c r="A1090" s="0" t="s">
        <v>8</v>
      </c>
      <c r="B1090" s="0" t="s">
        <v>1456</v>
      </c>
      <c r="C1090" s="0" t="s">
        <v>7192</v>
      </c>
    </row>
    <row r="1091" customFormat="false" ht="15" hidden="false" customHeight="false" outlineLevel="0" collapsed="false">
      <c r="A1091" s="0" t="s">
        <v>8</v>
      </c>
      <c r="B1091" s="0" t="s">
        <v>1459</v>
      </c>
      <c r="C1091" s="0" t="s">
        <v>7190</v>
      </c>
      <c r="D1091" s="0" t="n">
        <v>328</v>
      </c>
    </row>
    <row r="1092" customFormat="false" ht="15" hidden="false" customHeight="false" outlineLevel="0" collapsed="false">
      <c r="A1092" s="0" t="s">
        <v>8</v>
      </c>
      <c r="B1092" s="0" t="s">
        <v>1459</v>
      </c>
      <c r="C1092" s="0" t="s">
        <v>7191</v>
      </c>
    </row>
    <row r="1093" customFormat="false" ht="15" hidden="false" customHeight="false" outlineLevel="0" collapsed="false">
      <c r="A1093" s="0" t="s">
        <v>8</v>
      </c>
      <c r="B1093" s="0" t="s">
        <v>1459</v>
      </c>
      <c r="C1093" s="0" t="s">
        <v>7192</v>
      </c>
    </row>
    <row r="1094" customFormat="false" ht="15" hidden="false" customHeight="false" outlineLevel="0" collapsed="false">
      <c r="A1094" s="0" t="s">
        <v>8</v>
      </c>
      <c r="B1094" s="0" t="s">
        <v>1462</v>
      </c>
      <c r="C1094" s="0" t="s">
        <v>7190</v>
      </c>
      <c r="D1094" s="0" t="n">
        <v>402</v>
      </c>
    </row>
    <row r="1095" customFormat="false" ht="15" hidden="false" customHeight="false" outlineLevel="0" collapsed="false">
      <c r="A1095" s="0" t="s">
        <v>8</v>
      </c>
      <c r="B1095" s="0" t="s">
        <v>1462</v>
      </c>
      <c r="C1095" s="0" t="s">
        <v>7191</v>
      </c>
    </row>
    <row r="1096" customFormat="false" ht="15" hidden="false" customHeight="false" outlineLevel="0" collapsed="false">
      <c r="A1096" s="0" t="s">
        <v>8</v>
      </c>
      <c r="B1096" s="0" t="s">
        <v>1462</v>
      </c>
      <c r="C1096" s="0" t="s">
        <v>7192</v>
      </c>
    </row>
    <row r="1097" customFormat="false" ht="15" hidden="false" customHeight="false" outlineLevel="0" collapsed="false">
      <c r="A1097" s="0" t="s">
        <v>8</v>
      </c>
      <c r="B1097" s="0" t="s">
        <v>1469</v>
      </c>
      <c r="C1097" s="0" t="s">
        <v>7190</v>
      </c>
      <c r="D1097" s="0" t="n">
        <v>1251</v>
      </c>
    </row>
    <row r="1098" customFormat="false" ht="15" hidden="false" customHeight="false" outlineLevel="0" collapsed="false">
      <c r="A1098" s="0" t="s">
        <v>8</v>
      </c>
      <c r="B1098" s="0" t="s">
        <v>1469</v>
      </c>
      <c r="C1098" s="0" t="s">
        <v>7191</v>
      </c>
    </row>
    <row r="1099" customFormat="false" ht="15" hidden="false" customHeight="false" outlineLevel="0" collapsed="false">
      <c r="A1099" s="0" t="s">
        <v>8</v>
      </c>
      <c r="B1099" s="0" t="s">
        <v>1469</v>
      </c>
      <c r="C1099" s="0" t="s">
        <v>7192</v>
      </c>
    </row>
    <row r="1100" customFormat="false" ht="15" hidden="false" customHeight="false" outlineLevel="0" collapsed="false">
      <c r="A1100" s="0" t="s">
        <v>8</v>
      </c>
      <c r="B1100" s="0" t="s">
        <v>1474</v>
      </c>
      <c r="C1100" s="0" t="s">
        <v>7190</v>
      </c>
      <c r="D1100" s="0" t="n">
        <v>18</v>
      </c>
    </row>
    <row r="1101" customFormat="false" ht="15" hidden="false" customHeight="false" outlineLevel="0" collapsed="false">
      <c r="A1101" s="0" t="s">
        <v>8</v>
      </c>
      <c r="B1101" s="0" t="s">
        <v>1474</v>
      </c>
      <c r="C1101" s="0" t="s">
        <v>7191</v>
      </c>
    </row>
    <row r="1102" customFormat="false" ht="15" hidden="false" customHeight="false" outlineLevel="0" collapsed="false">
      <c r="A1102" s="0" t="s">
        <v>8</v>
      </c>
      <c r="B1102" s="0" t="s">
        <v>1474</v>
      </c>
      <c r="C1102" s="0" t="s">
        <v>7192</v>
      </c>
    </row>
    <row r="1103" customFormat="false" ht="15" hidden="false" customHeight="false" outlineLevel="0" collapsed="false">
      <c r="A1103" s="0" t="s">
        <v>8</v>
      </c>
      <c r="B1103" s="0" t="s">
        <v>1482</v>
      </c>
      <c r="C1103" s="0" t="s">
        <v>7190</v>
      </c>
      <c r="D1103" s="0" t="n">
        <v>12.6</v>
      </c>
    </row>
    <row r="1104" customFormat="false" ht="15" hidden="false" customHeight="false" outlineLevel="0" collapsed="false">
      <c r="A1104" s="0" t="s">
        <v>8</v>
      </c>
      <c r="B1104" s="0" t="s">
        <v>1482</v>
      </c>
      <c r="C1104" s="0" t="s">
        <v>7191</v>
      </c>
    </row>
    <row r="1105" customFormat="false" ht="15" hidden="false" customHeight="false" outlineLevel="0" collapsed="false">
      <c r="A1105" s="0" t="s">
        <v>8</v>
      </c>
      <c r="B1105" s="0" t="s">
        <v>1482</v>
      </c>
      <c r="C1105" s="0" t="s">
        <v>7192</v>
      </c>
    </row>
    <row r="1106" customFormat="false" ht="15" hidden="false" customHeight="false" outlineLevel="0" collapsed="false">
      <c r="A1106" s="0" t="s">
        <v>8</v>
      </c>
      <c r="B1106" s="0" t="s">
        <v>1488</v>
      </c>
      <c r="C1106" s="0" t="s">
        <v>7190</v>
      </c>
      <c r="D1106" s="0" t="n">
        <v>72</v>
      </c>
    </row>
    <row r="1107" customFormat="false" ht="15" hidden="false" customHeight="false" outlineLevel="0" collapsed="false">
      <c r="A1107" s="0" t="s">
        <v>8</v>
      </c>
      <c r="B1107" s="0" t="s">
        <v>1488</v>
      </c>
      <c r="C1107" s="0" t="s">
        <v>7191</v>
      </c>
    </row>
    <row r="1108" customFormat="false" ht="15" hidden="false" customHeight="false" outlineLevel="0" collapsed="false">
      <c r="A1108" s="0" t="s">
        <v>8</v>
      </c>
      <c r="B1108" s="0" t="s">
        <v>1488</v>
      </c>
      <c r="C1108" s="0" t="s">
        <v>7192</v>
      </c>
    </row>
    <row r="1109" customFormat="false" ht="15" hidden="false" customHeight="false" outlineLevel="0" collapsed="false">
      <c r="A1109" s="0" t="s">
        <v>8</v>
      </c>
      <c r="B1109" s="0" t="s">
        <v>1492</v>
      </c>
      <c r="C1109" s="0" t="s">
        <v>7190</v>
      </c>
      <c r="D1109" s="0" t="n">
        <v>50.4</v>
      </c>
    </row>
    <row r="1110" customFormat="false" ht="15" hidden="false" customHeight="false" outlineLevel="0" collapsed="false">
      <c r="A1110" s="0" t="s">
        <v>8</v>
      </c>
      <c r="B1110" s="0" t="s">
        <v>1492</v>
      </c>
      <c r="C1110" s="0" t="s">
        <v>7191</v>
      </c>
    </row>
    <row r="1111" customFormat="false" ht="15" hidden="false" customHeight="false" outlineLevel="0" collapsed="false">
      <c r="A1111" s="0" t="s">
        <v>8</v>
      </c>
      <c r="B1111" s="0" t="s">
        <v>1492</v>
      </c>
      <c r="C1111" s="0" t="s">
        <v>7192</v>
      </c>
    </row>
    <row r="1112" customFormat="false" ht="15" hidden="false" customHeight="false" outlineLevel="0" collapsed="false">
      <c r="A1112" s="0" t="s">
        <v>8</v>
      </c>
      <c r="B1112" s="0" t="s">
        <v>1495</v>
      </c>
      <c r="C1112" s="0" t="s">
        <v>7190</v>
      </c>
      <c r="D1112" s="0" t="n">
        <v>160</v>
      </c>
    </row>
    <row r="1113" customFormat="false" ht="15" hidden="false" customHeight="false" outlineLevel="0" collapsed="false">
      <c r="A1113" s="0" t="s">
        <v>8</v>
      </c>
      <c r="B1113" s="0" t="s">
        <v>1495</v>
      </c>
      <c r="C1113" s="0" t="s">
        <v>7191</v>
      </c>
    </row>
    <row r="1114" customFormat="false" ht="15" hidden="false" customHeight="false" outlineLevel="0" collapsed="false">
      <c r="A1114" s="0" t="s">
        <v>8</v>
      </c>
      <c r="B1114" s="0" t="s">
        <v>1495</v>
      </c>
      <c r="C1114" s="0" t="s">
        <v>7192</v>
      </c>
    </row>
    <row r="1115" customFormat="false" ht="15" hidden="false" customHeight="false" outlineLevel="0" collapsed="false">
      <c r="A1115" s="0" t="s">
        <v>8</v>
      </c>
      <c r="B1115" s="0" t="s">
        <v>1499</v>
      </c>
      <c r="C1115" s="0" t="s">
        <v>7190</v>
      </c>
      <c r="D1115" s="0" t="n">
        <v>112</v>
      </c>
    </row>
    <row r="1116" customFormat="false" ht="15" hidden="false" customHeight="false" outlineLevel="0" collapsed="false">
      <c r="A1116" s="0" t="s">
        <v>8</v>
      </c>
      <c r="B1116" s="0" t="s">
        <v>1499</v>
      </c>
      <c r="C1116" s="0" t="s">
        <v>7191</v>
      </c>
    </row>
    <row r="1117" customFormat="false" ht="15" hidden="false" customHeight="false" outlineLevel="0" collapsed="false">
      <c r="A1117" s="0" t="s">
        <v>8</v>
      </c>
      <c r="B1117" s="0" t="s">
        <v>1499</v>
      </c>
      <c r="C1117" s="0" t="s">
        <v>7192</v>
      </c>
    </row>
    <row r="1118" customFormat="false" ht="15" hidden="false" customHeight="false" outlineLevel="0" collapsed="false">
      <c r="A1118" s="0" t="s">
        <v>8</v>
      </c>
      <c r="B1118" s="0" t="s">
        <v>1502</v>
      </c>
      <c r="C1118" s="0" t="s">
        <v>7190</v>
      </c>
      <c r="D1118" s="0" t="n">
        <v>30</v>
      </c>
    </row>
    <row r="1119" customFormat="false" ht="15" hidden="false" customHeight="false" outlineLevel="0" collapsed="false">
      <c r="A1119" s="0" t="s">
        <v>8</v>
      </c>
      <c r="B1119" s="0" t="s">
        <v>1502</v>
      </c>
      <c r="C1119" s="0" t="s">
        <v>7191</v>
      </c>
    </row>
    <row r="1120" customFormat="false" ht="15" hidden="false" customHeight="false" outlineLevel="0" collapsed="false">
      <c r="A1120" s="0" t="s">
        <v>8</v>
      </c>
      <c r="B1120" s="0" t="s">
        <v>1502</v>
      </c>
      <c r="C1120" s="0" t="s">
        <v>7192</v>
      </c>
    </row>
    <row r="1121" customFormat="false" ht="15" hidden="false" customHeight="false" outlineLevel="0" collapsed="false">
      <c r="A1121" s="0" t="s">
        <v>8</v>
      </c>
      <c r="B1121" s="0" t="s">
        <v>1509</v>
      </c>
      <c r="C1121" s="0" t="s">
        <v>7190</v>
      </c>
      <c r="D1121" s="0" t="n">
        <v>90</v>
      </c>
    </row>
    <row r="1122" customFormat="false" ht="15" hidden="false" customHeight="false" outlineLevel="0" collapsed="false">
      <c r="A1122" s="0" t="s">
        <v>8</v>
      </c>
      <c r="B1122" s="0" t="s">
        <v>1509</v>
      </c>
      <c r="C1122" s="0" t="s">
        <v>7191</v>
      </c>
    </row>
    <row r="1123" customFormat="false" ht="15" hidden="false" customHeight="false" outlineLevel="0" collapsed="false">
      <c r="A1123" s="0" t="s">
        <v>8</v>
      </c>
      <c r="B1123" s="0" t="s">
        <v>1509</v>
      </c>
      <c r="C1123" s="0" t="s">
        <v>7192</v>
      </c>
    </row>
    <row r="1124" customFormat="false" ht="15" hidden="false" customHeight="false" outlineLevel="0" collapsed="false">
      <c r="A1124" s="0" t="s">
        <v>8</v>
      </c>
      <c r="B1124" s="0" t="s">
        <v>1513</v>
      </c>
      <c r="C1124" s="0" t="s">
        <v>7190</v>
      </c>
      <c r="D1124" s="0" t="n">
        <v>240</v>
      </c>
    </row>
    <row r="1125" customFormat="false" ht="15" hidden="false" customHeight="false" outlineLevel="0" collapsed="false">
      <c r="A1125" s="0" t="s">
        <v>8</v>
      </c>
      <c r="B1125" s="0" t="s">
        <v>1513</v>
      </c>
      <c r="C1125" s="0" t="s">
        <v>7191</v>
      </c>
    </row>
    <row r="1126" customFormat="false" ht="15" hidden="false" customHeight="false" outlineLevel="0" collapsed="false">
      <c r="A1126" s="0" t="s">
        <v>8</v>
      </c>
      <c r="B1126" s="0" t="s">
        <v>1513</v>
      </c>
      <c r="C1126" s="0" t="s">
        <v>7192</v>
      </c>
    </row>
    <row r="1127" customFormat="false" ht="15" hidden="false" customHeight="false" outlineLevel="0" collapsed="false">
      <c r="A1127" s="0" t="s">
        <v>8</v>
      </c>
      <c r="B1127" s="0" t="s">
        <v>1517</v>
      </c>
      <c r="C1127" s="0" t="s">
        <v>7190</v>
      </c>
      <c r="D1127" s="0" t="n">
        <v>80</v>
      </c>
    </row>
    <row r="1128" customFormat="false" ht="15" hidden="false" customHeight="false" outlineLevel="0" collapsed="false">
      <c r="A1128" s="0" t="s">
        <v>8</v>
      </c>
      <c r="B1128" s="0" t="s">
        <v>1517</v>
      </c>
      <c r="C1128" s="0" t="s">
        <v>7191</v>
      </c>
    </row>
    <row r="1129" customFormat="false" ht="15" hidden="false" customHeight="false" outlineLevel="0" collapsed="false">
      <c r="A1129" s="0" t="s">
        <v>8</v>
      </c>
      <c r="B1129" s="0" t="s">
        <v>1517</v>
      </c>
      <c r="C1129" s="0" t="s">
        <v>7192</v>
      </c>
    </row>
    <row r="1130" customFormat="false" ht="15" hidden="false" customHeight="false" outlineLevel="0" collapsed="false">
      <c r="A1130" s="0" t="s">
        <v>8</v>
      </c>
      <c r="B1130" s="0" t="s">
        <v>1523</v>
      </c>
      <c r="C1130" s="0" t="s">
        <v>7190</v>
      </c>
      <c r="D1130" s="0" t="n">
        <v>400</v>
      </c>
    </row>
    <row r="1131" customFormat="false" ht="15" hidden="false" customHeight="false" outlineLevel="0" collapsed="false">
      <c r="A1131" s="0" t="s">
        <v>8</v>
      </c>
      <c r="B1131" s="0" t="s">
        <v>1523</v>
      </c>
      <c r="C1131" s="0" t="s">
        <v>7191</v>
      </c>
    </row>
    <row r="1132" customFormat="false" ht="15" hidden="false" customHeight="false" outlineLevel="0" collapsed="false">
      <c r="A1132" s="0" t="s">
        <v>8</v>
      </c>
      <c r="B1132" s="0" t="s">
        <v>1523</v>
      </c>
      <c r="C1132" s="0" t="s">
        <v>7192</v>
      </c>
    </row>
    <row r="1133" customFormat="false" ht="15" hidden="false" customHeight="false" outlineLevel="0" collapsed="false">
      <c r="A1133" s="0" t="s">
        <v>8</v>
      </c>
      <c r="B1133" s="0" t="s">
        <v>1527</v>
      </c>
      <c r="C1133" s="0" t="s">
        <v>7190</v>
      </c>
      <c r="D1133" s="0" t="n">
        <v>1600</v>
      </c>
    </row>
    <row r="1134" customFormat="false" ht="15" hidden="false" customHeight="false" outlineLevel="0" collapsed="false">
      <c r="A1134" s="0" t="s">
        <v>8</v>
      </c>
      <c r="B1134" s="0" t="s">
        <v>1527</v>
      </c>
      <c r="C1134" s="0" t="s">
        <v>7191</v>
      </c>
    </row>
    <row r="1135" customFormat="false" ht="15" hidden="false" customHeight="false" outlineLevel="0" collapsed="false">
      <c r="A1135" s="0" t="s">
        <v>8</v>
      </c>
      <c r="B1135" s="0" t="s">
        <v>1527</v>
      </c>
      <c r="C1135" s="0" t="s">
        <v>7192</v>
      </c>
    </row>
    <row r="1136" customFormat="false" ht="15" hidden="false" customHeight="false" outlineLevel="0" collapsed="false">
      <c r="A1136" s="0" t="s">
        <v>8</v>
      </c>
      <c r="B1136" s="0" t="s">
        <v>1531</v>
      </c>
      <c r="C1136" s="0" t="s">
        <v>7190</v>
      </c>
    </row>
    <row r="1137" customFormat="false" ht="15" hidden="false" customHeight="false" outlineLevel="0" collapsed="false">
      <c r="A1137" s="0" t="s">
        <v>8</v>
      </c>
      <c r="B1137" s="0" t="s">
        <v>1531</v>
      </c>
      <c r="C1137" s="0" t="s">
        <v>7191</v>
      </c>
      <c r="D1137" s="0" t="n">
        <v>15</v>
      </c>
    </row>
    <row r="1138" customFormat="false" ht="15" hidden="false" customHeight="false" outlineLevel="0" collapsed="false">
      <c r="A1138" s="0" t="s">
        <v>8</v>
      </c>
      <c r="B1138" s="0" t="s">
        <v>1531</v>
      </c>
      <c r="C1138" s="0" t="s">
        <v>7192</v>
      </c>
      <c r="D1138" s="0" t="n">
        <v>20</v>
      </c>
    </row>
    <row r="1139" customFormat="false" ht="15" hidden="false" customHeight="false" outlineLevel="0" collapsed="false">
      <c r="A1139" s="0" t="s">
        <v>8</v>
      </c>
      <c r="B1139" s="0" t="s">
        <v>1536</v>
      </c>
      <c r="C1139" s="0" t="s">
        <v>7190</v>
      </c>
      <c r="D1139" s="0" t="n">
        <v>79</v>
      </c>
    </row>
    <row r="1140" customFormat="false" ht="15" hidden="false" customHeight="false" outlineLevel="0" collapsed="false">
      <c r="A1140" s="0" t="s">
        <v>8</v>
      </c>
      <c r="B1140" s="0" t="s">
        <v>1536</v>
      </c>
      <c r="C1140" s="0" t="s">
        <v>7191</v>
      </c>
    </row>
    <row r="1141" customFormat="false" ht="15" hidden="false" customHeight="false" outlineLevel="0" collapsed="false">
      <c r="A1141" s="0" t="s">
        <v>8</v>
      </c>
      <c r="B1141" s="0" t="s">
        <v>1536</v>
      </c>
      <c r="C1141" s="0" t="s">
        <v>7192</v>
      </c>
    </row>
    <row r="1142" customFormat="false" ht="15" hidden="false" customHeight="false" outlineLevel="0" collapsed="false">
      <c r="A1142" s="0" t="s">
        <v>8</v>
      </c>
      <c r="B1142" s="0" t="s">
        <v>1543</v>
      </c>
      <c r="C1142" s="0" t="s">
        <v>7190</v>
      </c>
      <c r="D1142" s="0" t="n">
        <v>219</v>
      </c>
    </row>
    <row r="1143" customFormat="false" ht="15" hidden="false" customHeight="false" outlineLevel="0" collapsed="false">
      <c r="A1143" s="0" t="s">
        <v>8</v>
      </c>
      <c r="B1143" s="0" t="s">
        <v>1543</v>
      </c>
      <c r="C1143" s="0" t="s">
        <v>7191</v>
      </c>
    </row>
    <row r="1144" customFormat="false" ht="15" hidden="false" customHeight="false" outlineLevel="0" collapsed="false">
      <c r="A1144" s="0" t="s">
        <v>8</v>
      </c>
      <c r="B1144" s="0" t="s">
        <v>1543</v>
      </c>
      <c r="C1144" s="0" t="s">
        <v>7192</v>
      </c>
    </row>
    <row r="1145" customFormat="false" ht="15" hidden="false" customHeight="false" outlineLevel="0" collapsed="false">
      <c r="A1145" s="0" t="s">
        <v>8</v>
      </c>
      <c r="B1145" s="0" t="s">
        <v>1547</v>
      </c>
      <c r="C1145" s="0" t="s">
        <v>7190</v>
      </c>
      <c r="D1145" s="0" t="n">
        <v>859</v>
      </c>
    </row>
    <row r="1146" customFormat="false" ht="15" hidden="false" customHeight="false" outlineLevel="0" collapsed="false">
      <c r="A1146" s="0" t="s">
        <v>8</v>
      </c>
      <c r="B1146" s="0" t="s">
        <v>1547</v>
      </c>
      <c r="C1146" s="0" t="s">
        <v>7191</v>
      </c>
    </row>
    <row r="1147" customFormat="false" ht="15" hidden="false" customHeight="false" outlineLevel="0" collapsed="false">
      <c r="A1147" s="0" t="s">
        <v>8</v>
      </c>
      <c r="B1147" s="0" t="s">
        <v>1547</v>
      </c>
      <c r="C1147" s="0" t="s">
        <v>7192</v>
      </c>
    </row>
    <row r="1148" customFormat="false" ht="15" hidden="false" customHeight="false" outlineLevel="0" collapsed="false">
      <c r="A1148" s="0" t="s">
        <v>8</v>
      </c>
      <c r="B1148" s="0" t="s">
        <v>1551</v>
      </c>
      <c r="C1148" s="0" t="s">
        <v>7190</v>
      </c>
      <c r="D1148" s="0" t="n">
        <v>119</v>
      </c>
    </row>
    <row r="1149" customFormat="false" ht="15" hidden="false" customHeight="false" outlineLevel="0" collapsed="false">
      <c r="A1149" s="0" t="s">
        <v>8</v>
      </c>
      <c r="B1149" s="0" t="s">
        <v>1551</v>
      </c>
      <c r="C1149" s="0" t="s">
        <v>7191</v>
      </c>
    </row>
    <row r="1150" customFormat="false" ht="15" hidden="false" customHeight="false" outlineLevel="0" collapsed="false">
      <c r="A1150" s="0" t="s">
        <v>8</v>
      </c>
      <c r="B1150" s="0" t="s">
        <v>1551</v>
      </c>
      <c r="C1150" s="0" t="s">
        <v>7192</v>
      </c>
    </row>
    <row r="1151" customFormat="false" ht="15" hidden="false" customHeight="false" outlineLevel="0" collapsed="false">
      <c r="A1151" s="0" t="s">
        <v>8</v>
      </c>
      <c r="B1151" s="0" t="s">
        <v>1555</v>
      </c>
      <c r="C1151" s="0" t="s">
        <v>7190</v>
      </c>
      <c r="D1151" s="0" t="n">
        <v>229</v>
      </c>
    </row>
    <row r="1152" customFormat="false" ht="15" hidden="false" customHeight="false" outlineLevel="0" collapsed="false">
      <c r="A1152" s="0" t="s">
        <v>8</v>
      </c>
      <c r="B1152" s="0" t="s">
        <v>1555</v>
      </c>
      <c r="C1152" s="0" t="s">
        <v>7191</v>
      </c>
    </row>
    <row r="1153" customFormat="false" ht="15" hidden="false" customHeight="false" outlineLevel="0" collapsed="false">
      <c r="A1153" s="0" t="s">
        <v>8</v>
      </c>
      <c r="B1153" s="0" t="s">
        <v>1555</v>
      </c>
      <c r="C1153" s="0" t="s">
        <v>7192</v>
      </c>
    </row>
    <row r="1154" customFormat="false" ht="15" hidden="false" customHeight="false" outlineLevel="0" collapsed="false">
      <c r="A1154" s="0" t="s">
        <v>8</v>
      </c>
      <c r="B1154" s="0" t="s">
        <v>1559</v>
      </c>
      <c r="C1154" s="0" t="s">
        <v>7190</v>
      </c>
      <c r="D1154" s="0" t="n">
        <v>19</v>
      </c>
    </row>
    <row r="1155" customFormat="false" ht="15" hidden="false" customHeight="false" outlineLevel="0" collapsed="false">
      <c r="A1155" s="0" t="s">
        <v>8</v>
      </c>
      <c r="B1155" s="0" t="s">
        <v>1559</v>
      </c>
      <c r="C1155" s="0" t="s">
        <v>7191</v>
      </c>
    </row>
    <row r="1156" customFormat="false" ht="15" hidden="false" customHeight="false" outlineLevel="0" collapsed="false">
      <c r="A1156" s="0" t="s">
        <v>8</v>
      </c>
      <c r="B1156" s="0" t="s">
        <v>1559</v>
      </c>
      <c r="C1156" s="0" t="s">
        <v>7192</v>
      </c>
    </row>
    <row r="1157" customFormat="false" ht="15" hidden="false" customHeight="false" outlineLevel="0" collapsed="false">
      <c r="A1157" s="0" t="s">
        <v>8</v>
      </c>
      <c r="B1157" s="0" t="s">
        <v>1564</v>
      </c>
      <c r="C1157" s="0" t="s">
        <v>7190</v>
      </c>
    </row>
    <row r="1158" customFormat="false" ht="15" hidden="false" customHeight="false" outlineLevel="0" collapsed="false">
      <c r="A1158" s="0" t="s">
        <v>8</v>
      </c>
      <c r="B1158" s="0" t="s">
        <v>1564</v>
      </c>
      <c r="C1158" s="0" t="s">
        <v>7191</v>
      </c>
    </row>
    <row r="1159" customFormat="false" ht="15" hidden="false" customHeight="false" outlineLevel="0" collapsed="false">
      <c r="A1159" s="0" t="s">
        <v>8</v>
      </c>
      <c r="B1159" s="0" t="s">
        <v>1564</v>
      </c>
      <c r="C1159" s="0" t="s">
        <v>7192</v>
      </c>
    </row>
    <row r="1160" customFormat="false" ht="15" hidden="false" customHeight="false" outlineLevel="0" collapsed="false">
      <c r="A1160" s="0" t="s">
        <v>8</v>
      </c>
      <c r="B1160" s="0" t="s">
        <v>1571</v>
      </c>
      <c r="C1160" s="0" t="s">
        <v>7190</v>
      </c>
    </row>
    <row r="1161" customFormat="false" ht="15" hidden="false" customHeight="false" outlineLevel="0" collapsed="false">
      <c r="A1161" s="0" t="s">
        <v>8</v>
      </c>
      <c r="B1161" s="0" t="s">
        <v>1571</v>
      </c>
      <c r="C1161" s="0" t="s">
        <v>7191</v>
      </c>
    </row>
    <row r="1162" customFormat="false" ht="15" hidden="false" customHeight="false" outlineLevel="0" collapsed="false">
      <c r="A1162" s="0" t="s">
        <v>8</v>
      </c>
      <c r="B1162" s="0" t="s">
        <v>1571</v>
      </c>
      <c r="C1162" s="0" t="s">
        <v>7192</v>
      </c>
    </row>
    <row r="1163" customFormat="false" ht="15" hidden="false" customHeight="false" outlineLevel="0" collapsed="false">
      <c r="A1163" s="0" t="s">
        <v>8</v>
      </c>
      <c r="B1163" s="0" t="s">
        <v>1578</v>
      </c>
      <c r="C1163" s="0" t="s">
        <v>7190</v>
      </c>
    </row>
    <row r="1164" customFormat="false" ht="15" hidden="false" customHeight="false" outlineLevel="0" collapsed="false">
      <c r="A1164" s="0" t="s">
        <v>8</v>
      </c>
      <c r="B1164" s="0" t="s">
        <v>1578</v>
      </c>
      <c r="C1164" s="0" t="s">
        <v>7191</v>
      </c>
    </row>
    <row r="1165" customFormat="false" ht="15" hidden="false" customHeight="false" outlineLevel="0" collapsed="false">
      <c r="A1165" s="0" t="s">
        <v>8</v>
      </c>
      <c r="B1165" s="0" t="s">
        <v>1578</v>
      </c>
      <c r="C1165" s="0" t="s">
        <v>7192</v>
      </c>
    </row>
    <row r="1166" customFormat="false" ht="15" hidden="false" customHeight="false" outlineLevel="0" collapsed="false">
      <c r="A1166" s="0" t="s">
        <v>8</v>
      </c>
      <c r="B1166" s="0" t="s">
        <v>1582</v>
      </c>
      <c r="C1166" s="0" t="s">
        <v>7190</v>
      </c>
    </row>
    <row r="1167" customFormat="false" ht="15" hidden="false" customHeight="false" outlineLevel="0" collapsed="false">
      <c r="A1167" s="0" t="s">
        <v>8</v>
      </c>
      <c r="B1167" s="0" t="s">
        <v>1582</v>
      </c>
      <c r="C1167" s="0" t="s">
        <v>7191</v>
      </c>
    </row>
    <row r="1168" customFormat="false" ht="15" hidden="false" customHeight="false" outlineLevel="0" collapsed="false">
      <c r="A1168" s="0" t="s">
        <v>8</v>
      </c>
      <c r="B1168" s="0" t="s">
        <v>1582</v>
      </c>
      <c r="C1168" s="0" t="s">
        <v>7192</v>
      </c>
    </row>
    <row r="1169" customFormat="false" ht="15" hidden="false" customHeight="false" outlineLevel="0" collapsed="false">
      <c r="A1169" s="0" t="s">
        <v>8</v>
      </c>
      <c r="B1169" s="0" t="s">
        <v>1587</v>
      </c>
      <c r="C1169" s="0" t="s">
        <v>7190</v>
      </c>
    </row>
    <row r="1170" customFormat="false" ht="15" hidden="false" customHeight="false" outlineLevel="0" collapsed="false">
      <c r="A1170" s="0" t="s">
        <v>8</v>
      </c>
      <c r="B1170" s="0" t="s">
        <v>1587</v>
      </c>
      <c r="C1170" s="0" t="s">
        <v>7191</v>
      </c>
    </row>
    <row r="1171" customFormat="false" ht="15" hidden="false" customHeight="false" outlineLevel="0" collapsed="false">
      <c r="A1171" s="0" t="s">
        <v>8</v>
      </c>
      <c r="B1171" s="0" t="s">
        <v>1587</v>
      </c>
      <c r="C1171" s="0" t="s">
        <v>7192</v>
      </c>
    </row>
    <row r="1172" customFormat="false" ht="15" hidden="false" customHeight="false" outlineLevel="0" collapsed="false">
      <c r="A1172" s="0" t="s">
        <v>8</v>
      </c>
      <c r="B1172" s="0" t="s">
        <v>1593</v>
      </c>
      <c r="C1172" s="0" t="s">
        <v>7190</v>
      </c>
    </row>
    <row r="1173" customFormat="false" ht="15" hidden="false" customHeight="false" outlineLevel="0" collapsed="false">
      <c r="A1173" s="0" t="s">
        <v>8</v>
      </c>
      <c r="B1173" s="0" t="s">
        <v>1593</v>
      </c>
      <c r="C1173" s="0" t="s">
        <v>7191</v>
      </c>
    </row>
    <row r="1174" customFormat="false" ht="15" hidden="false" customHeight="false" outlineLevel="0" collapsed="false">
      <c r="A1174" s="0" t="s">
        <v>8</v>
      </c>
      <c r="B1174" s="0" t="s">
        <v>1593</v>
      </c>
      <c r="C1174" s="0" t="s">
        <v>7192</v>
      </c>
    </row>
    <row r="1175" customFormat="false" ht="15" hidden="false" customHeight="false" outlineLevel="0" collapsed="false">
      <c r="A1175" s="0" t="s">
        <v>8</v>
      </c>
      <c r="B1175" s="0" t="s">
        <v>1597</v>
      </c>
      <c r="C1175" s="0" t="s">
        <v>7190</v>
      </c>
    </row>
    <row r="1176" customFormat="false" ht="15" hidden="false" customHeight="false" outlineLevel="0" collapsed="false">
      <c r="A1176" s="0" t="s">
        <v>8</v>
      </c>
      <c r="B1176" s="0" t="s">
        <v>1597</v>
      </c>
      <c r="C1176" s="0" t="s">
        <v>7191</v>
      </c>
    </row>
    <row r="1177" customFormat="false" ht="15" hidden="false" customHeight="false" outlineLevel="0" collapsed="false">
      <c r="A1177" s="0" t="s">
        <v>8</v>
      </c>
      <c r="B1177" s="0" t="s">
        <v>1597</v>
      </c>
      <c r="C1177" s="0" t="s">
        <v>7192</v>
      </c>
    </row>
    <row r="1178" customFormat="false" ht="15" hidden="false" customHeight="false" outlineLevel="0" collapsed="false">
      <c r="A1178" s="0" t="s">
        <v>8</v>
      </c>
      <c r="B1178" s="0" t="s">
        <v>1602</v>
      </c>
      <c r="C1178" s="0" t="s">
        <v>7190</v>
      </c>
    </row>
    <row r="1179" customFormat="false" ht="15" hidden="false" customHeight="false" outlineLevel="0" collapsed="false">
      <c r="A1179" s="0" t="s">
        <v>8</v>
      </c>
      <c r="B1179" s="0" t="s">
        <v>1602</v>
      </c>
      <c r="C1179" s="0" t="s">
        <v>7191</v>
      </c>
    </row>
    <row r="1180" customFormat="false" ht="15" hidden="false" customHeight="false" outlineLevel="0" collapsed="false">
      <c r="A1180" s="0" t="s">
        <v>8</v>
      </c>
      <c r="B1180" s="0" t="s">
        <v>1602</v>
      </c>
      <c r="C1180" s="0" t="s">
        <v>7192</v>
      </c>
    </row>
    <row r="1181" customFormat="false" ht="15" hidden="false" customHeight="false" outlineLevel="0" collapsed="false">
      <c r="A1181" s="0" t="s">
        <v>8</v>
      </c>
      <c r="B1181" s="0" t="s">
        <v>1610</v>
      </c>
      <c r="C1181" s="0" t="s">
        <v>7190</v>
      </c>
    </row>
    <row r="1182" customFormat="false" ht="15" hidden="false" customHeight="false" outlineLevel="0" collapsed="false">
      <c r="A1182" s="0" t="s">
        <v>8</v>
      </c>
      <c r="B1182" s="0" t="s">
        <v>1610</v>
      </c>
      <c r="C1182" s="0" t="s">
        <v>7191</v>
      </c>
    </row>
    <row r="1183" customFormat="false" ht="15" hidden="false" customHeight="false" outlineLevel="0" collapsed="false">
      <c r="A1183" s="0" t="s">
        <v>8</v>
      </c>
      <c r="B1183" s="0" t="s">
        <v>1610</v>
      </c>
      <c r="C1183" s="0" t="s">
        <v>7192</v>
      </c>
    </row>
    <row r="1184" customFormat="false" ht="15" hidden="false" customHeight="false" outlineLevel="0" collapsed="false">
      <c r="A1184" s="0" t="s">
        <v>8</v>
      </c>
      <c r="B1184" s="0" t="s">
        <v>1616</v>
      </c>
      <c r="C1184" s="0" t="s">
        <v>7190</v>
      </c>
    </row>
    <row r="1185" customFormat="false" ht="15" hidden="false" customHeight="false" outlineLevel="0" collapsed="false">
      <c r="A1185" s="0" t="s">
        <v>8</v>
      </c>
      <c r="B1185" s="0" t="s">
        <v>1616</v>
      </c>
      <c r="C1185" s="0" t="s">
        <v>7191</v>
      </c>
    </row>
    <row r="1186" customFormat="false" ht="15" hidden="false" customHeight="false" outlineLevel="0" collapsed="false">
      <c r="A1186" s="0" t="s">
        <v>8</v>
      </c>
      <c r="B1186" s="0" t="s">
        <v>1616</v>
      </c>
      <c r="C1186" s="0" t="s">
        <v>7192</v>
      </c>
    </row>
    <row r="1187" customFormat="false" ht="15" hidden="false" customHeight="false" outlineLevel="0" collapsed="false">
      <c r="A1187" s="0" t="s">
        <v>8</v>
      </c>
      <c r="B1187" s="0" t="s">
        <v>1624</v>
      </c>
      <c r="C1187" s="0" t="s">
        <v>7190</v>
      </c>
    </row>
    <row r="1188" customFormat="false" ht="15" hidden="false" customHeight="false" outlineLevel="0" collapsed="false">
      <c r="A1188" s="0" t="s">
        <v>8</v>
      </c>
      <c r="B1188" s="0" t="s">
        <v>1624</v>
      </c>
      <c r="C1188" s="0" t="s">
        <v>7191</v>
      </c>
    </row>
    <row r="1189" customFormat="false" ht="15" hidden="false" customHeight="false" outlineLevel="0" collapsed="false">
      <c r="A1189" s="0" t="s">
        <v>8</v>
      </c>
      <c r="B1189" s="0" t="s">
        <v>1624</v>
      </c>
      <c r="C1189" s="0" t="s">
        <v>7192</v>
      </c>
    </row>
    <row r="1190" customFormat="false" ht="15" hidden="false" customHeight="false" outlineLevel="0" collapsed="false">
      <c r="A1190" s="0" t="s">
        <v>8</v>
      </c>
      <c r="B1190" s="0" t="s">
        <v>1631</v>
      </c>
      <c r="C1190" s="0" t="s">
        <v>7190</v>
      </c>
      <c r="D1190" s="0" t="n">
        <v>580</v>
      </c>
    </row>
    <row r="1191" customFormat="false" ht="15" hidden="false" customHeight="false" outlineLevel="0" collapsed="false">
      <c r="A1191" s="0" t="s">
        <v>8</v>
      </c>
      <c r="B1191" s="0" t="s">
        <v>1631</v>
      </c>
      <c r="C1191" s="0" t="s">
        <v>7191</v>
      </c>
    </row>
    <row r="1192" customFormat="false" ht="15" hidden="false" customHeight="false" outlineLevel="0" collapsed="false">
      <c r="A1192" s="0" t="s">
        <v>8</v>
      </c>
      <c r="B1192" s="0" t="s">
        <v>1631</v>
      </c>
      <c r="C1192" s="0" t="s">
        <v>7192</v>
      </c>
    </row>
    <row r="1193" customFormat="false" ht="15" hidden="false" customHeight="false" outlineLevel="0" collapsed="false">
      <c r="A1193" s="0" t="s">
        <v>8</v>
      </c>
      <c r="B1193" s="0" t="s">
        <v>1637</v>
      </c>
      <c r="C1193" s="0" t="s">
        <v>7190</v>
      </c>
      <c r="D1193" s="0" t="n">
        <v>740</v>
      </c>
    </row>
    <row r="1194" customFormat="false" ht="15" hidden="false" customHeight="false" outlineLevel="0" collapsed="false">
      <c r="A1194" s="0" t="s">
        <v>8</v>
      </c>
      <c r="B1194" s="0" t="s">
        <v>1637</v>
      </c>
      <c r="C1194" s="0" t="s">
        <v>7191</v>
      </c>
    </row>
    <row r="1195" customFormat="false" ht="15" hidden="false" customHeight="false" outlineLevel="0" collapsed="false">
      <c r="A1195" s="0" t="s">
        <v>8</v>
      </c>
      <c r="B1195" s="0" t="s">
        <v>1637</v>
      </c>
      <c r="C1195" s="0" t="s">
        <v>7192</v>
      </c>
    </row>
    <row r="1196" customFormat="false" ht="15" hidden="false" customHeight="false" outlineLevel="0" collapsed="false">
      <c r="A1196" s="0" t="s">
        <v>8</v>
      </c>
      <c r="B1196" s="0" t="s">
        <v>1642</v>
      </c>
      <c r="C1196" s="0" t="s">
        <v>7190</v>
      </c>
      <c r="D1196" s="0" t="n">
        <v>144</v>
      </c>
    </row>
    <row r="1197" customFormat="false" ht="15" hidden="false" customHeight="false" outlineLevel="0" collapsed="false">
      <c r="A1197" s="0" t="s">
        <v>8</v>
      </c>
      <c r="B1197" s="0" t="s">
        <v>1642</v>
      </c>
      <c r="C1197" s="0" t="s">
        <v>7191</v>
      </c>
    </row>
    <row r="1198" customFormat="false" ht="15" hidden="false" customHeight="false" outlineLevel="0" collapsed="false">
      <c r="A1198" s="0" t="s">
        <v>8</v>
      </c>
      <c r="B1198" s="0" t="s">
        <v>1642</v>
      </c>
      <c r="C1198" s="0" t="s">
        <v>7192</v>
      </c>
    </row>
    <row r="1199" customFormat="false" ht="15" hidden="false" customHeight="false" outlineLevel="0" collapsed="false">
      <c r="A1199" s="0" t="s">
        <v>8</v>
      </c>
      <c r="B1199" s="0" t="s">
        <v>1648</v>
      </c>
      <c r="C1199" s="0" t="s">
        <v>7190</v>
      </c>
      <c r="D1199" s="0" t="n">
        <v>400</v>
      </c>
    </row>
    <row r="1200" customFormat="false" ht="15" hidden="false" customHeight="false" outlineLevel="0" collapsed="false">
      <c r="A1200" s="0" t="s">
        <v>8</v>
      </c>
      <c r="B1200" s="0" t="s">
        <v>1648</v>
      </c>
      <c r="C1200" s="0" t="s">
        <v>7191</v>
      </c>
    </row>
    <row r="1201" customFormat="false" ht="15" hidden="false" customHeight="false" outlineLevel="0" collapsed="false">
      <c r="A1201" s="0" t="s">
        <v>8</v>
      </c>
      <c r="B1201" s="0" t="s">
        <v>1648</v>
      </c>
      <c r="C1201" s="0" t="s">
        <v>7192</v>
      </c>
    </row>
    <row r="1202" customFormat="false" ht="15" hidden="false" customHeight="false" outlineLevel="0" collapsed="false">
      <c r="A1202" s="0" t="s">
        <v>8</v>
      </c>
      <c r="B1202" s="0" t="s">
        <v>1653</v>
      </c>
      <c r="C1202" s="0" t="s">
        <v>7190</v>
      </c>
      <c r="D1202" s="0" t="n">
        <v>603</v>
      </c>
    </row>
    <row r="1203" customFormat="false" ht="15" hidden="false" customHeight="false" outlineLevel="0" collapsed="false">
      <c r="A1203" s="0" t="s">
        <v>8</v>
      </c>
      <c r="B1203" s="0" t="s">
        <v>1653</v>
      </c>
      <c r="C1203" s="0" t="s">
        <v>7191</v>
      </c>
    </row>
    <row r="1204" customFormat="false" ht="15" hidden="false" customHeight="false" outlineLevel="0" collapsed="false">
      <c r="A1204" s="0" t="s">
        <v>8</v>
      </c>
      <c r="B1204" s="0" t="s">
        <v>1653</v>
      </c>
      <c r="C1204" s="0" t="s">
        <v>7192</v>
      </c>
    </row>
    <row r="1205" customFormat="false" ht="15" hidden="false" customHeight="false" outlineLevel="0" collapsed="false">
      <c r="A1205" s="0" t="s">
        <v>8</v>
      </c>
      <c r="B1205" s="0" t="s">
        <v>1658</v>
      </c>
      <c r="C1205" s="0" t="s">
        <v>7190</v>
      </c>
      <c r="D1205" s="0" t="n">
        <v>24.2</v>
      </c>
    </row>
    <row r="1206" customFormat="false" ht="15" hidden="false" customHeight="false" outlineLevel="0" collapsed="false">
      <c r="A1206" s="0" t="s">
        <v>8</v>
      </c>
      <c r="B1206" s="0" t="s">
        <v>1658</v>
      </c>
      <c r="C1206" s="0" t="s">
        <v>7191</v>
      </c>
    </row>
    <row r="1207" customFormat="false" ht="15" hidden="false" customHeight="false" outlineLevel="0" collapsed="false">
      <c r="A1207" s="0" t="s">
        <v>8</v>
      </c>
      <c r="B1207" s="0" t="s">
        <v>1658</v>
      </c>
      <c r="C1207" s="0" t="s">
        <v>7192</v>
      </c>
    </row>
    <row r="1208" customFormat="false" ht="15" hidden="false" customHeight="false" outlineLevel="0" collapsed="false">
      <c r="A1208" s="0" t="s">
        <v>8</v>
      </c>
      <c r="B1208" s="0" t="s">
        <v>1662</v>
      </c>
      <c r="C1208" s="0" t="s">
        <v>7190</v>
      </c>
      <c r="D1208" s="0" t="n">
        <v>40</v>
      </c>
    </row>
    <row r="1209" customFormat="false" ht="15" hidden="false" customHeight="false" outlineLevel="0" collapsed="false">
      <c r="A1209" s="0" t="s">
        <v>8</v>
      </c>
      <c r="B1209" s="0" t="s">
        <v>1662</v>
      </c>
      <c r="C1209" s="0" t="s">
        <v>7191</v>
      </c>
    </row>
    <row r="1210" customFormat="false" ht="15" hidden="false" customHeight="false" outlineLevel="0" collapsed="false">
      <c r="A1210" s="0" t="s">
        <v>8</v>
      </c>
      <c r="B1210" s="0" t="s">
        <v>1662</v>
      </c>
      <c r="C1210" s="0" t="s">
        <v>7192</v>
      </c>
    </row>
    <row r="1211" customFormat="false" ht="15" hidden="false" customHeight="false" outlineLevel="0" collapsed="false">
      <c r="A1211" s="0" t="s">
        <v>8</v>
      </c>
      <c r="B1211" s="0" t="s">
        <v>1666</v>
      </c>
      <c r="C1211" s="0" t="s">
        <v>7190</v>
      </c>
      <c r="D1211" s="0" t="n">
        <v>8000</v>
      </c>
    </row>
    <row r="1212" customFormat="false" ht="15" hidden="false" customHeight="false" outlineLevel="0" collapsed="false">
      <c r="A1212" s="0" t="s">
        <v>8</v>
      </c>
      <c r="B1212" s="0" t="s">
        <v>1666</v>
      </c>
      <c r="C1212" s="0" t="s">
        <v>7191</v>
      </c>
    </row>
    <row r="1213" customFormat="false" ht="15" hidden="false" customHeight="false" outlineLevel="0" collapsed="false">
      <c r="A1213" s="0" t="s">
        <v>8</v>
      </c>
      <c r="B1213" s="0" t="s">
        <v>1666</v>
      </c>
      <c r="C1213" s="0" t="s">
        <v>7192</v>
      </c>
    </row>
    <row r="1214" customFormat="false" ht="15" hidden="false" customHeight="false" outlineLevel="0" collapsed="false">
      <c r="A1214" s="0" t="s">
        <v>8</v>
      </c>
      <c r="B1214" s="0" t="s">
        <v>1672</v>
      </c>
      <c r="C1214" s="0" t="s">
        <v>7190</v>
      </c>
      <c r="D1214" s="0" t="n">
        <v>12000</v>
      </c>
    </row>
    <row r="1215" customFormat="false" ht="15" hidden="false" customHeight="false" outlineLevel="0" collapsed="false">
      <c r="A1215" s="0" t="s">
        <v>8</v>
      </c>
      <c r="B1215" s="0" t="s">
        <v>1672</v>
      </c>
      <c r="C1215" s="0" t="s">
        <v>7191</v>
      </c>
    </row>
    <row r="1216" customFormat="false" ht="15" hidden="false" customHeight="false" outlineLevel="0" collapsed="false">
      <c r="A1216" s="0" t="s">
        <v>8</v>
      </c>
      <c r="B1216" s="0" t="s">
        <v>1672</v>
      </c>
      <c r="C1216" s="0" t="s">
        <v>7192</v>
      </c>
    </row>
    <row r="1217" customFormat="false" ht="15" hidden="false" customHeight="false" outlineLevel="0" collapsed="false">
      <c r="A1217" s="0" t="s">
        <v>8</v>
      </c>
      <c r="B1217" s="0" t="s">
        <v>1677</v>
      </c>
      <c r="C1217" s="0" t="s">
        <v>7190</v>
      </c>
      <c r="D1217" s="0" t="n">
        <v>8000</v>
      </c>
    </row>
    <row r="1218" customFormat="false" ht="15" hidden="false" customHeight="false" outlineLevel="0" collapsed="false">
      <c r="A1218" s="0" t="s">
        <v>8</v>
      </c>
      <c r="B1218" s="0" t="s">
        <v>1677</v>
      </c>
      <c r="C1218" s="0" t="s">
        <v>7191</v>
      </c>
    </row>
    <row r="1219" customFormat="false" ht="15" hidden="false" customHeight="false" outlineLevel="0" collapsed="false">
      <c r="A1219" s="0" t="s">
        <v>8</v>
      </c>
      <c r="B1219" s="0" t="s">
        <v>1677</v>
      </c>
      <c r="C1219" s="0" t="s">
        <v>7192</v>
      </c>
    </row>
    <row r="1220" customFormat="false" ht="15" hidden="false" customHeight="false" outlineLevel="0" collapsed="false">
      <c r="A1220" s="0" t="s">
        <v>8</v>
      </c>
      <c r="B1220" s="0" t="s">
        <v>1683</v>
      </c>
      <c r="C1220" s="0" t="s">
        <v>7190</v>
      </c>
      <c r="D1220" s="0" t="n">
        <v>9</v>
      </c>
    </row>
    <row r="1221" customFormat="false" ht="15" hidden="false" customHeight="false" outlineLevel="0" collapsed="false">
      <c r="A1221" s="0" t="s">
        <v>8</v>
      </c>
      <c r="B1221" s="0" t="s">
        <v>1683</v>
      </c>
      <c r="C1221" s="0" t="s">
        <v>7191</v>
      </c>
    </row>
    <row r="1222" customFormat="false" ht="15" hidden="false" customHeight="false" outlineLevel="0" collapsed="false">
      <c r="A1222" s="0" t="s">
        <v>8</v>
      </c>
      <c r="B1222" s="0" t="s">
        <v>1683</v>
      </c>
      <c r="C1222" s="0" t="s">
        <v>7192</v>
      </c>
    </row>
    <row r="1223" customFormat="false" ht="15" hidden="false" customHeight="false" outlineLevel="0" collapsed="false">
      <c r="A1223" s="0" t="s">
        <v>8</v>
      </c>
      <c r="B1223" s="0" t="s">
        <v>1688</v>
      </c>
      <c r="C1223" s="0" t="s">
        <v>7190</v>
      </c>
      <c r="D1223" s="0" t="n">
        <v>218</v>
      </c>
    </row>
    <row r="1224" customFormat="false" ht="15" hidden="false" customHeight="false" outlineLevel="0" collapsed="false">
      <c r="A1224" s="0" t="s">
        <v>8</v>
      </c>
      <c r="B1224" s="0" t="s">
        <v>1688</v>
      </c>
      <c r="C1224" s="0" t="s">
        <v>7191</v>
      </c>
    </row>
    <row r="1225" customFormat="false" ht="15" hidden="false" customHeight="false" outlineLevel="0" collapsed="false">
      <c r="A1225" s="0" t="s">
        <v>8</v>
      </c>
      <c r="B1225" s="0" t="s">
        <v>1688</v>
      </c>
      <c r="C1225" s="0" t="s">
        <v>7192</v>
      </c>
    </row>
    <row r="1226" customFormat="false" ht="15" hidden="false" customHeight="false" outlineLevel="0" collapsed="false">
      <c r="A1226" s="0" t="s">
        <v>8</v>
      </c>
      <c r="B1226" s="0" t="s">
        <v>1693</v>
      </c>
      <c r="C1226" s="0" t="s">
        <v>7190</v>
      </c>
      <c r="D1226" s="0" t="n">
        <v>233</v>
      </c>
    </row>
    <row r="1227" customFormat="false" ht="15" hidden="false" customHeight="false" outlineLevel="0" collapsed="false">
      <c r="A1227" s="0" t="s">
        <v>8</v>
      </c>
      <c r="B1227" s="0" t="s">
        <v>1693</v>
      </c>
      <c r="C1227" s="0" t="s">
        <v>7191</v>
      </c>
    </row>
    <row r="1228" customFormat="false" ht="15" hidden="false" customHeight="false" outlineLevel="0" collapsed="false">
      <c r="A1228" s="0" t="s">
        <v>8</v>
      </c>
      <c r="B1228" s="0" t="s">
        <v>1693</v>
      </c>
      <c r="C1228" s="0" t="s">
        <v>7192</v>
      </c>
    </row>
    <row r="1229" customFormat="false" ht="15" hidden="false" customHeight="false" outlineLevel="0" collapsed="false">
      <c r="A1229" s="0" t="s">
        <v>8</v>
      </c>
      <c r="B1229" s="0" t="s">
        <v>1697</v>
      </c>
      <c r="C1229" s="0" t="s">
        <v>7190</v>
      </c>
      <c r="D1229" s="0" t="n">
        <v>40</v>
      </c>
    </row>
    <row r="1230" customFormat="false" ht="15" hidden="false" customHeight="false" outlineLevel="0" collapsed="false">
      <c r="A1230" s="0" t="s">
        <v>8</v>
      </c>
      <c r="B1230" s="0" t="s">
        <v>1697</v>
      </c>
      <c r="C1230" s="0" t="s">
        <v>7191</v>
      </c>
    </row>
    <row r="1231" customFormat="false" ht="15" hidden="false" customHeight="false" outlineLevel="0" collapsed="false">
      <c r="A1231" s="0" t="s">
        <v>8</v>
      </c>
      <c r="B1231" s="0" t="s">
        <v>1697</v>
      </c>
      <c r="C1231" s="0" t="s">
        <v>7192</v>
      </c>
    </row>
    <row r="1232" customFormat="false" ht="15" hidden="false" customHeight="false" outlineLevel="0" collapsed="false">
      <c r="A1232" s="0" t="s">
        <v>8</v>
      </c>
      <c r="B1232" s="0" t="s">
        <v>1702</v>
      </c>
      <c r="C1232" s="0" t="s">
        <v>7190</v>
      </c>
      <c r="D1232" s="0" t="n">
        <v>23</v>
      </c>
    </row>
    <row r="1233" customFormat="false" ht="15" hidden="false" customHeight="false" outlineLevel="0" collapsed="false">
      <c r="A1233" s="0" t="s">
        <v>8</v>
      </c>
      <c r="B1233" s="0" t="s">
        <v>1702</v>
      </c>
      <c r="C1233" s="0" t="s">
        <v>7191</v>
      </c>
    </row>
    <row r="1234" customFormat="false" ht="15" hidden="false" customHeight="false" outlineLevel="0" collapsed="false">
      <c r="A1234" s="0" t="s">
        <v>8</v>
      </c>
      <c r="B1234" s="0" t="s">
        <v>1702</v>
      </c>
      <c r="C1234" s="0" t="s">
        <v>7192</v>
      </c>
    </row>
    <row r="1235" customFormat="false" ht="15" hidden="false" customHeight="false" outlineLevel="0" collapsed="false">
      <c r="A1235" s="0" t="s">
        <v>8</v>
      </c>
      <c r="B1235" s="0" t="s">
        <v>1706</v>
      </c>
      <c r="C1235" s="0" t="s">
        <v>7190</v>
      </c>
      <c r="D1235" s="0" t="n">
        <v>98</v>
      </c>
    </row>
    <row r="1236" customFormat="false" ht="15" hidden="false" customHeight="false" outlineLevel="0" collapsed="false">
      <c r="A1236" s="0" t="s">
        <v>8</v>
      </c>
      <c r="B1236" s="0" t="s">
        <v>1706</v>
      </c>
      <c r="C1236" s="0" t="s">
        <v>7191</v>
      </c>
    </row>
    <row r="1237" customFormat="false" ht="15" hidden="false" customHeight="false" outlineLevel="0" collapsed="false">
      <c r="A1237" s="0" t="s">
        <v>8</v>
      </c>
      <c r="B1237" s="0" t="s">
        <v>1706</v>
      </c>
      <c r="C1237" s="0" t="s">
        <v>7192</v>
      </c>
    </row>
    <row r="1238" customFormat="false" ht="15" hidden="false" customHeight="false" outlineLevel="0" collapsed="false">
      <c r="A1238" s="0" t="s">
        <v>8</v>
      </c>
      <c r="B1238" s="0" t="s">
        <v>1711</v>
      </c>
      <c r="C1238" s="0" t="s">
        <v>7190</v>
      </c>
      <c r="D1238" s="0" t="n">
        <v>4.2</v>
      </c>
    </row>
    <row r="1239" customFormat="false" ht="15" hidden="false" customHeight="false" outlineLevel="0" collapsed="false">
      <c r="A1239" s="0" t="s">
        <v>8</v>
      </c>
      <c r="B1239" s="0" t="s">
        <v>1711</v>
      </c>
      <c r="C1239" s="0" t="s">
        <v>7191</v>
      </c>
    </row>
    <row r="1240" customFormat="false" ht="15" hidden="false" customHeight="false" outlineLevel="0" collapsed="false">
      <c r="A1240" s="0" t="s">
        <v>8</v>
      </c>
      <c r="B1240" s="0" t="s">
        <v>1711</v>
      </c>
      <c r="C1240" s="0" t="s">
        <v>7192</v>
      </c>
    </row>
    <row r="1241" customFormat="false" ht="15" hidden="false" customHeight="false" outlineLevel="0" collapsed="false">
      <c r="A1241" s="0" t="s">
        <v>8</v>
      </c>
      <c r="B1241" s="0" t="s">
        <v>1717</v>
      </c>
      <c r="C1241" s="0" t="s">
        <v>7190</v>
      </c>
      <c r="D1241" s="0" t="n">
        <v>4.6</v>
      </c>
    </row>
    <row r="1242" customFormat="false" ht="15" hidden="false" customHeight="false" outlineLevel="0" collapsed="false">
      <c r="A1242" s="0" t="s">
        <v>8</v>
      </c>
      <c r="B1242" s="0" t="s">
        <v>1717</v>
      </c>
      <c r="C1242" s="0" t="s">
        <v>7191</v>
      </c>
    </row>
    <row r="1243" customFormat="false" ht="15" hidden="false" customHeight="false" outlineLevel="0" collapsed="false">
      <c r="A1243" s="0" t="s">
        <v>8</v>
      </c>
      <c r="B1243" s="0" t="s">
        <v>1717</v>
      </c>
      <c r="C1243" s="0" t="s">
        <v>7192</v>
      </c>
    </row>
    <row r="1244" customFormat="false" ht="15" hidden="false" customHeight="false" outlineLevel="0" collapsed="false">
      <c r="A1244" s="0" t="s">
        <v>8</v>
      </c>
      <c r="B1244" s="0" t="s">
        <v>1724</v>
      </c>
      <c r="C1244" s="0" t="s">
        <v>7190</v>
      </c>
      <c r="D1244" s="0" t="n">
        <v>0.0005</v>
      </c>
    </row>
    <row r="1245" customFormat="false" ht="15" hidden="false" customHeight="false" outlineLevel="0" collapsed="false">
      <c r="A1245" s="0" t="s">
        <v>8</v>
      </c>
      <c r="B1245" s="0" t="s">
        <v>1724</v>
      </c>
      <c r="C1245" s="0" t="s">
        <v>7191</v>
      </c>
    </row>
    <row r="1246" customFormat="false" ht="15" hidden="false" customHeight="false" outlineLevel="0" collapsed="false">
      <c r="A1246" s="0" t="s">
        <v>8</v>
      </c>
      <c r="B1246" s="0" t="s">
        <v>1724</v>
      </c>
      <c r="C1246" s="0" t="s">
        <v>7192</v>
      </c>
    </row>
    <row r="1247" customFormat="false" ht="15" hidden="false" customHeight="false" outlineLevel="0" collapsed="false">
      <c r="A1247" s="0" t="s">
        <v>8</v>
      </c>
      <c r="B1247" s="0" t="s">
        <v>1729</v>
      </c>
      <c r="C1247" s="0" t="s">
        <v>7190</v>
      </c>
      <c r="D1247" s="0" t="n">
        <v>62</v>
      </c>
    </row>
    <row r="1248" customFormat="false" ht="15" hidden="false" customHeight="false" outlineLevel="0" collapsed="false">
      <c r="A1248" s="0" t="s">
        <v>8</v>
      </c>
      <c r="B1248" s="0" t="s">
        <v>1729</v>
      </c>
      <c r="C1248" s="0" t="s">
        <v>7191</v>
      </c>
    </row>
    <row r="1249" customFormat="false" ht="15" hidden="false" customHeight="false" outlineLevel="0" collapsed="false">
      <c r="A1249" s="0" t="s">
        <v>8</v>
      </c>
      <c r="B1249" s="0" t="s">
        <v>1729</v>
      </c>
      <c r="C1249" s="0" t="s">
        <v>7192</v>
      </c>
    </row>
    <row r="1250" customFormat="false" ht="15" hidden="false" customHeight="false" outlineLevel="0" collapsed="false">
      <c r="A1250" s="0" t="s">
        <v>8</v>
      </c>
      <c r="B1250" s="0" t="s">
        <v>1736</v>
      </c>
      <c r="C1250" s="0" t="s">
        <v>7190</v>
      </c>
      <c r="D1250" s="0" t="n">
        <v>16</v>
      </c>
    </row>
    <row r="1251" customFormat="false" ht="15" hidden="false" customHeight="false" outlineLevel="0" collapsed="false">
      <c r="A1251" s="0" t="s">
        <v>8</v>
      </c>
      <c r="B1251" s="0" t="s">
        <v>1736</v>
      </c>
      <c r="C1251" s="0" t="s">
        <v>7191</v>
      </c>
    </row>
    <row r="1252" customFormat="false" ht="15" hidden="false" customHeight="false" outlineLevel="0" collapsed="false">
      <c r="A1252" s="0" t="s">
        <v>8</v>
      </c>
      <c r="B1252" s="0" t="s">
        <v>1736</v>
      </c>
      <c r="C1252" s="0" t="s">
        <v>7192</v>
      </c>
    </row>
    <row r="1253" customFormat="false" ht="15" hidden="false" customHeight="false" outlineLevel="0" collapsed="false">
      <c r="A1253" s="0" t="s">
        <v>8</v>
      </c>
      <c r="B1253" s="0" t="s">
        <v>1744</v>
      </c>
      <c r="C1253" s="0" t="s">
        <v>7190</v>
      </c>
      <c r="D1253" s="0" t="n">
        <v>20</v>
      </c>
    </row>
    <row r="1254" customFormat="false" ht="15" hidden="false" customHeight="false" outlineLevel="0" collapsed="false">
      <c r="A1254" s="0" t="s">
        <v>8</v>
      </c>
      <c r="B1254" s="0" t="s">
        <v>1744</v>
      </c>
      <c r="C1254" s="0" t="s">
        <v>7191</v>
      </c>
    </row>
    <row r="1255" customFormat="false" ht="15" hidden="false" customHeight="false" outlineLevel="0" collapsed="false">
      <c r="A1255" s="0" t="s">
        <v>8</v>
      </c>
      <c r="B1255" s="0" t="s">
        <v>1744</v>
      </c>
      <c r="C1255" s="0" t="s">
        <v>7192</v>
      </c>
    </row>
    <row r="1256" customFormat="false" ht="15" hidden="false" customHeight="false" outlineLevel="0" collapsed="false">
      <c r="A1256" s="0" t="s">
        <v>8</v>
      </c>
      <c r="B1256" s="0" t="s">
        <v>1749</v>
      </c>
      <c r="C1256" s="0" t="s">
        <v>7190</v>
      </c>
      <c r="D1256" s="0" t="n">
        <v>18</v>
      </c>
    </row>
    <row r="1257" customFormat="false" ht="15" hidden="false" customHeight="false" outlineLevel="0" collapsed="false">
      <c r="A1257" s="0" t="s">
        <v>8</v>
      </c>
      <c r="B1257" s="0" t="s">
        <v>1749</v>
      </c>
      <c r="C1257" s="0" t="s">
        <v>7191</v>
      </c>
    </row>
    <row r="1258" customFormat="false" ht="15" hidden="false" customHeight="false" outlineLevel="0" collapsed="false">
      <c r="A1258" s="0" t="s">
        <v>8</v>
      </c>
      <c r="B1258" s="0" t="s">
        <v>1749</v>
      </c>
      <c r="C1258" s="0" t="s">
        <v>7192</v>
      </c>
    </row>
    <row r="1259" customFormat="false" ht="15" hidden="false" customHeight="false" outlineLevel="0" collapsed="false">
      <c r="A1259" s="0" t="s">
        <v>8</v>
      </c>
      <c r="B1259" s="0" t="s">
        <v>1756</v>
      </c>
      <c r="C1259" s="0" t="s">
        <v>7190</v>
      </c>
      <c r="D1259" s="0" t="n">
        <v>30</v>
      </c>
    </row>
    <row r="1260" customFormat="false" ht="15" hidden="false" customHeight="false" outlineLevel="0" collapsed="false">
      <c r="A1260" s="0" t="s">
        <v>8</v>
      </c>
      <c r="B1260" s="0" t="s">
        <v>1756</v>
      </c>
      <c r="C1260" s="0" t="s">
        <v>7191</v>
      </c>
    </row>
    <row r="1261" customFormat="false" ht="15" hidden="false" customHeight="false" outlineLevel="0" collapsed="false">
      <c r="A1261" s="0" t="s">
        <v>8</v>
      </c>
      <c r="B1261" s="0" t="s">
        <v>1756</v>
      </c>
      <c r="C1261" s="0" t="s">
        <v>7192</v>
      </c>
    </row>
    <row r="1262" customFormat="false" ht="15" hidden="false" customHeight="false" outlineLevel="0" collapsed="false">
      <c r="A1262" s="0" t="s">
        <v>8</v>
      </c>
      <c r="B1262" s="0" t="s">
        <v>1761</v>
      </c>
      <c r="C1262" s="0" t="s">
        <v>7190</v>
      </c>
      <c r="D1262" s="0" t="n">
        <v>10</v>
      </c>
    </row>
    <row r="1263" customFormat="false" ht="15" hidden="false" customHeight="false" outlineLevel="0" collapsed="false">
      <c r="A1263" s="0" t="s">
        <v>8</v>
      </c>
      <c r="B1263" s="0" t="s">
        <v>1761</v>
      </c>
      <c r="C1263" s="0" t="s">
        <v>7191</v>
      </c>
    </row>
    <row r="1264" customFormat="false" ht="15" hidden="false" customHeight="false" outlineLevel="0" collapsed="false">
      <c r="A1264" s="0" t="s">
        <v>8</v>
      </c>
      <c r="B1264" s="0" t="s">
        <v>1761</v>
      </c>
      <c r="C1264" s="0" t="s">
        <v>7192</v>
      </c>
    </row>
    <row r="1265" customFormat="false" ht="15" hidden="false" customHeight="false" outlineLevel="0" collapsed="false">
      <c r="A1265" s="0" t="s">
        <v>8</v>
      </c>
      <c r="B1265" s="0" t="s">
        <v>1766</v>
      </c>
      <c r="C1265" s="0" t="s">
        <v>7190</v>
      </c>
    </row>
    <row r="1266" customFormat="false" ht="15" hidden="false" customHeight="false" outlineLevel="0" collapsed="false">
      <c r="A1266" s="0" t="s">
        <v>8</v>
      </c>
      <c r="B1266" s="0" t="s">
        <v>1766</v>
      </c>
      <c r="C1266" s="0" t="s">
        <v>7191</v>
      </c>
    </row>
    <row r="1267" customFormat="false" ht="15" hidden="false" customHeight="false" outlineLevel="0" collapsed="false">
      <c r="A1267" s="0" t="s">
        <v>8</v>
      </c>
      <c r="B1267" s="0" t="s">
        <v>1766</v>
      </c>
      <c r="C1267" s="0" t="s">
        <v>7192</v>
      </c>
    </row>
    <row r="1268" customFormat="false" ht="15" hidden="false" customHeight="false" outlineLevel="0" collapsed="false">
      <c r="A1268" s="0" t="s">
        <v>8</v>
      </c>
      <c r="B1268" s="0" t="s">
        <v>1774</v>
      </c>
      <c r="C1268" s="0" t="s">
        <v>7190</v>
      </c>
      <c r="D1268" s="0" t="n">
        <v>55.4</v>
      </c>
    </row>
    <row r="1269" customFormat="false" ht="15" hidden="false" customHeight="false" outlineLevel="0" collapsed="false">
      <c r="A1269" s="0" t="s">
        <v>8</v>
      </c>
      <c r="B1269" s="0" t="s">
        <v>1774</v>
      </c>
      <c r="C1269" s="0" t="s">
        <v>7191</v>
      </c>
    </row>
    <row r="1270" customFormat="false" ht="15" hidden="false" customHeight="false" outlineLevel="0" collapsed="false">
      <c r="A1270" s="0" t="s">
        <v>8</v>
      </c>
      <c r="B1270" s="0" t="s">
        <v>1774</v>
      </c>
      <c r="C1270" s="0" t="s">
        <v>7192</v>
      </c>
    </row>
    <row r="1271" customFormat="false" ht="15" hidden="false" customHeight="false" outlineLevel="0" collapsed="false">
      <c r="A1271" s="0" t="s">
        <v>8</v>
      </c>
      <c r="B1271" s="0" t="s">
        <v>1779</v>
      </c>
      <c r="C1271" s="0" t="s">
        <v>7190</v>
      </c>
      <c r="D1271" s="0" t="n">
        <v>15.4</v>
      </c>
    </row>
    <row r="1272" customFormat="false" ht="15" hidden="false" customHeight="false" outlineLevel="0" collapsed="false">
      <c r="A1272" s="0" t="s">
        <v>8</v>
      </c>
      <c r="B1272" s="0" t="s">
        <v>1779</v>
      </c>
      <c r="C1272" s="0" t="s">
        <v>7191</v>
      </c>
    </row>
    <row r="1273" customFormat="false" ht="15" hidden="false" customHeight="false" outlineLevel="0" collapsed="false">
      <c r="A1273" s="0" t="s">
        <v>8</v>
      </c>
      <c r="B1273" s="0" t="s">
        <v>1779</v>
      </c>
      <c r="C1273" s="0" t="s">
        <v>7192</v>
      </c>
    </row>
    <row r="1274" customFormat="false" ht="15" hidden="false" customHeight="false" outlineLevel="0" collapsed="false">
      <c r="A1274" s="0" t="s">
        <v>8</v>
      </c>
      <c r="B1274" s="0" t="s">
        <v>1782</v>
      </c>
      <c r="C1274" s="0" t="s">
        <v>7190</v>
      </c>
      <c r="D1274" s="0" t="n">
        <v>61.5</v>
      </c>
    </row>
    <row r="1275" customFormat="false" ht="15" hidden="false" customHeight="false" outlineLevel="0" collapsed="false">
      <c r="A1275" s="0" t="s">
        <v>8</v>
      </c>
      <c r="B1275" s="0" t="s">
        <v>1782</v>
      </c>
      <c r="C1275" s="0" t="s">
        <v>7191</v>
      </c>
    </row>
    <row r="1276" customFormat="false" ht="15" hidden="false" customHeight="false" outlineLevel="0" collapsed="false">
      <c r="A1276" s="0" t="s">
        <v>8</v>
      </c>
      <c r="B1276" s="0" t="s">
        <v>1782</v>
      </c>
      <c r="C1276" s="0" t="s">
        <v>7192</v>
      </c>
    </row>
    <row r="1277" customFormat="false" ht="15" hidden="false" customHeight="false" outlineLevel="0" collapsed="false">
      <c r="A1277" s="0" t="s">
        <v>8</v>
      </c>
      <c r="B1277" s="0" t="s">
        <v>1785</v>
      </c>
      <c r="C1277" s="0" t="s">
        <v>7190</v>
      </c>
      <c r="D1277" s="0" t="n">
        <v>14.7</v>
      </c>
    </row>
    <row r="1278" customFormat="false" ht="15" hidden="false" customHeight="false" outlineLevel="0" collapsed="false">
      <c r="A1278" s="0" t="s">
        <v>8</v>
      </c>
      <c r="B1278" s="0" t="s">
        <v>1785</v>
      </c>
      <c r="C1278" s="0" t="s">
        <v>7191</v>
      </c>
    </row>
    <row r="1279" customFormat="false" ht="15" hidden="false" customHeight="false" outlineLevel="0" collapsed="false">
      <c r="A1279" s="0" t="s">
        <v>8</v>
      </c>
      <c r="B1279" s="0" t="s">
        <v>1785</v>
      </c>
      <c r="C1279" s="0" t="s">
        <v>7192</v>
      </c>
    </row>
    <row r="1280" customFormat="false" ht="15" hidden="false" customHeight="false" outlineLevel="0" collapsed="false">
      <c r="A1280" s="0" t="s">
        <v>8</v>
      </c>
      <c r="B1280" s="0" t="s">
        <v>1787</v>
      </c>
      <c r="C1280" s="0" t="s">
        <v>7190</v>
      </c>
      <c r="D1280" s="0" t="n">
        <v>45.5</v>
      </c>
    </row>
    <row r="1281" customFormat="false" ht="15" hidden="false" customHeight="false" outlineLevel="0" collapsed="false">
      <c r="A1281" s="0" t="s">
        <v>8</v>
      </c>
      <c r="B1281" s="0" t="s">
        <v>1787</v>
      </c>
      <c r="C1281" s="0" t="s">
        <v>7191</v>
      </c>
    </row>
    <row r="1282" customFormat="false" ht="15" hidden="false" customHeight="false" outlineLevel="0" collapsed="false">
      <c r="A1282" s="0" t="s">
        <v>8</v>
      </c>
      <c r="B1282" s="0" t="s">
        <v>1787</v>
      </c>
      <c r="C1282" s="0" t="s">
        <v>7192</v>
      </c>
    </row>
    <row r="1283" customFormat="false" ht="15" hidden="false" customHeight="false" outlineLevel="0" collapsed="false">
      <c r="A1283" s="0" t="s">
        <v>8</v>
      </c>
      <c r="B1283" s="0" t="s">
        <v>1790</v>
      </c>
      <c r="C1283" s="0" t="s">
        <v>7190</v>
      </c>
      <c r="D1283" s="0" t="n">
        <v>19</v>
      </c>
    </row>
    <row r="1284" customFormat="false" ht="15" hidden="false" customHeight="false" outlineLevel="0" collapsed="false">
      <c r="A1284" s="0" t="s">
        <v>8</v>
      </c>
      <c r="B1284" s="0" t="s">
        <v>1790</v>
      </c>
      <c r="C1284" s="0" t="s">
        <v>7191</v>
      </c>
    </row>
    <row r="1285" customFormat="false" ht="15" hidden="false" customHeight="false" outlineLevel="0" collapsed="false">
      <c r="A1285" s="0" t="s">
        <v>8</v>
      </c>
      <c r="B1285" s="0" t="s">
        <v>1790</v>
      </c>
      <c r="C1285" s="0" t="s">
        <v>7192</v>
      </c>
    </row>
    <row r="1286" customFormat="false" ht="15" hidden="false" customHeight="false" outlineLevel="0" collapsed="false">
      <c r="A1286" s="0" t="s">
        <v>8</v>
      </c>
      <c r="B1286" s="0" t="s">
        <v>1792</v>
      </c>
      <c r="C1286" s="0" t="s">
        <v>7190</v>
      </c>
      <c r="D1286" s="0" t="n">
        <v>40</v>
      </c>
    </row>
    <row r="1287" customFormat="false" ht="15" hidden="false" customHeight="false" outlineLevel="0" collapsed="false">
      <c r="A1287" s="0" t="s">
        <v>8</v>
      </c>
      <c r="B1287" s="0" t="s">
        <v>1792</v>
      </c>
      <c r="C1287" s="0" t="s">
        <v>7191</v>
      </c>
    </row>
    <row r="1288" customFormat="false" ht="15" hidden="false" customHeight="false" outlineLevel="0" collapsed="false">
      <c r="A1288" s="0" t="s">
        <v>8</v>
      </c>
      <c r="B1288" s="0" t="s">
        <v>1792</v>
      </c>
      <c r="C1288" s="0" t="s">
        <v>7192</v>
      </c>
    </row>
    <row r="1289" customFormat="false" ht="15" hidden="false" customHeight="false" outlineLevel="0" collapsed="false">
      <c r="A1289" s="0" t="s">
        <v>8</v>
      </c>
      <c r="B1289" s="0" t="s">
        <v>1795</v>
      </c>
      <c r="C1289" s="0" t="s">
        <v>7190</v>
      </c>
      <c r="D1289" s="0" t="n">
        <v>11</v>
      </c>
    </row>
    <row r="1290" customFormat="false" ht="15" hidden="false" customHeight="false" outlineLevel="0" collapsed="false">
      <c r="A1290" s="0" t="s">
        <v>8</v>
      </c>
      <c r="B1290" s="0" t="s">
        <v>1795</v>
      </c>
      <c r="C1290" s="0" t="s">
        <v>7191</v>
      </c>
    </row>
    <row r="1291" customFormat="false" ht="15" hidden="false" customHeight="false" outlineLevel="0" collapsed="false">
      <c r="A1291" s="0" t="s">
        <v>8</v>
      </c>
      <c r="B1291" s="0" t="s">
        <v>1795</v>
      </c>
      <c r="C1291" s="0" t="s">
        <v>7192</v>
      </c>
    </row>
    <row r="1292" customFormat="false" ht="15" hidden="false" customHeight="false" outlineLevel="0" collapsed="false">
      <c r="A1292" s="0" t="s">
        <v>8</v>
      </c>
      <c r="B1292" s="0" t="s">
        <v>1797</v>
      </c>
      <c r="C1292" s="0" t="s">
        <v>7190</v>
      </c>
      <c r="D1292" s="0" t="n">
        <v>1.42</v>
      </c>
    </row>
    <row r="1293" customFormat="false" ht="15" hidden="false" customHeight="false" outlineLevel="0" collapsed="false">
      <c r="A1293" s="0" t="s">
        <v>8</v>
      </c>
      <c r="B1293" s="0" t="s">
        <v>1797</v>
      </c>
      <c r="C1293" s="0" t="s">
        <v>7191</v>
      </c>
    </row>
    <row r="1294" customFormat="false" ht="15" hidden="false" customHeight="false" outlineLevel="0" collapsed="false">
      <c r="A1294" s="0" t="s">
        <v>8</v>
      </c>
      <c r="B1294" s="0" t="s">
        <v>1797</v>
      </c>
      <c r="C1294" s="0" t="s">
        <v>7192</v>
      </c>
    </row>
    <row r="1295" customFormat="false" ht="15" hidden="false" customHeight="false" outlineLevel="0" collapsed="false">
      <c r="A1295" s="0" t="s">
        <v>8</v>
      </c>
      <c r="B1295" s="0" t="s">
        <v>1802</v>
      </c>
      <c r="C1295" s="0" t="s">
        <v>7190</v>
      </c>
      <c r="D1295" s="0" t="n">
        <v>0</v>
      </c>
    </row>
    <row r="1296" customFormat="false" ht="15" hidden="false" customHeight="false" outlineLevel="0" collapsed="false">
      <c r="A1296" s="0" t="s">
        <v>8</v>
      </c>
      <c r="B1296" s="0" t="s">
        <v>1802</v>
      </c>
      <c r="C1296" s="0" t="s">
        <v>7191</v>
      </c>
    </row>
    <row r="1297" customFormat="false" ht="15" hidden="false" customHeight="false" outlineLevel="0" collapsed="false">
      <c r="A1297" s="0" t="s">
        <v>8</v>
      </c>
      <c r="B1297" s="0" t="s">
        <v>1802</v>
      </c>
      <c r="C1297" s="0" t="s">
        <v>7192</v>
      </c>
    </row>
    <row r="1298" customFormat="false" ht="15" hidden="false" customHeight="false" outlineLevel="0" collapsed="false">
      <c r="A1298" s="0" t="s">
        <v>8</v>
      </c>
      <c r="B1298" s="0" t="s">
        <v>1808</v>
      </c>
      <c r="C1298" s="0" t="s">
        <v>7190</v>
      </c>
      <c r="D1298" s="0" t="n">
        <v>2.42</v>
      </c>
    </row>
    <row r="1299" customFormat="false" ht="15" hidden="false" customHeight="false" outlineLevel="0" collapsed="false">
      <c r="A1299" s="0" t="s">
        <v>8</v>
      </c>
      <c r="B1299" s="0" t="s">
        <v>1808</v>
      </c>
      <c r="C1299" s="0" t="s">
        <v>7191</v>
      </c>
    </row>
    <row r="1300" customFormat="false" ht="15" hidden="false" customHeight="false" outlineLevel="0" collapsed="false">
      <c r="A1300" s="0" t="s">
        <v>8</v>
      </c>
      <c r="B1300" s="0" t="s">
        <v>1808</v>
      </c>
      <c r="C1300" s="0" t="s">
        <v>7192</v>
      </c>
    </row>
    <row r="1301" customFormat="false" ht="15" hidden="false" customHeight="false" outlineLevel="0" collapsed="false">
      <c r="A1301" s="0" t="s">
        <v>8</v>
      </c>
      <c r="B1301" s="0" t="s">
        <v>1814</v>
      </c>
      <c r="C1301" s="0" t="s">
        <v>7190</v>
      </c>
    </row>
    <row r="1302" customFormat="false" ht="15" hidden="false" customHeight="false" outlineLevel="0" collapsed="false">
      <c r="A1302" s="0" t="s">
        <v>8</v>
      </c>
      <c r="B1302" s="0" t="s">
        <v>1814</v>
      </c>
      <c r="C1302" s="0" t="s">
        <v>7191</v>
      </c>
    </row>
    <row r="1303" customFormat="false" ht="15" hidden="false" customHeight="false" outlineLevel="0" collapsed="false">
      <c r="A1303" s="0" t="s">
        <v>8</v>
      </c>
      <c r="B1303" s="0" t="s">
        <v>1814</v>
      </c>
      <c r="C1303" s="0" t="s">
        <v>7192</v>
      </c>
    </row>
    <row r="1304" customFormat="false" ht="15" hidden="false" customHeight="false" outlineLevel="0" collapsed="false">
      <c r="A1304" s="0" t="s">
        <v>8</v>
      </c>
      <c r="B1304" s="0" t="s">
        <v>1823</v>
      </c>
      <c r="C1304" s="0" t="s">
        <v>7190</v>
      </c>
      <c r="D1304" s="0" t="n">
        <v>2.58</v>
      </c>
    </row>
    <row r="1305" customFormat="false" ht="15" hidden="false" customHeight="false" outlineLevel="0" collapsed="false">
      <c r="A1305" s="0" t="s">
        <v>8</v>
      </c>
      <c r="B1305" s="0" t="s">
        <v>1823</v>
      </c>
      <c r="C1305" s="0" t="s">
        <v>7191</v>
      </c>
      <c r="D1305" s="0" t="n">
        <v>2.58</v>
      </c>
    </row>
    <row r="1306" customFormat="false" ht="15" hidden="false" customHeight="false" outlineLevel="0" collapsed="false">
      <c r="A1306" s="0" t="s">
        <v>8</v>
      </c>
      <c r="B1306" s="0" t="s">
        <v>1823</v>
      </c>
      <c r="C1306" s="0" t="s">
        <v>7192</v>
      </c>
      <c r="D1306" s="0" t="n">
        <v>2.58</v>
      </c>
    </row>
    <row r="1307" customFormat="false" ht="15" hidden="false" customHeight="false" outlineLevel="0" collapsed="false">
      <c r="A1307" s="0" t="s">
        <v>8</v>
      </c>
      <c r="B1307" s="0" t="s">
        <v>1832</v>
      </c>
      <c r="C1307" s="0" t="s">
        <v>7190</v>
      </c>
      <c r="D1307" s="0" t="n">
        <v>46.7</v>
      </c>
    </row>
    <row r="1308" customFormat="false" ht="15" hidden="false" customHeight="false" outlineLevel="0" collapsed="false">
      <c r="A1308" s="0" t="s">
        <v>8</v>
      </c>
      <c r="B1308" s="0" t="s">
        <v>1832</v>
      </c>
      <c r="C1308" s="0" t="s">
        <v>7191</v>
      </c>
      <c r="D1308" s="0" t="n">
        <v>46.7</v>
      </c>
    </row>
    <row r="1309" customFormat="false" ht="15" hidden="false" customHeight="false" outlineLevel="0" collapsed="false">
      <c r="A1309" s="0" t="s">
        <v>8</v>
      </c>
      <c r="B1309" s="0" t="s">
        <v>1832</v>
      </c>
      <c r="C1309" s="0" t="s">
        <v>7192</v>
      </c>
      <c r="D1309" s="0" t="n">
        <v>46.7</v>
      </c>
    </row>
    <row r="1310" customFormat="false" ht="15" hidden="false" customHeight="false" outlineLevel="0" collapsed="false">
      <c r="A1310" s="0" t="s">
        <v>8</v>
      </c>
      <c r="B1310" s="0" t="s">
        <v>1836</v>
      </c>
      <c r="C1310" s="0" t="s">
        <v>7190</v>
      </c>
      <c r="D1310" s="0" t="n">
        <v>5.5</v>
      </c>
    </row>
    <row r="1311" customFormat="false" ht="15" hidden="false" customHeight="false" outlineLevel="0" collapsed="false">
      <c r="A1311" s="0" t="s">
        <v>8</v>
      </c>
      <c r="B1311" s="0" t="s">
        <v>1836</v>
      </c>
      <c r="C1311" s="0" t="s">
        <v>7191</v>
      </c>
      <c r="D1311" s="0" t="n">
        <v>4</v>
      </c>
    </row>
    <row r="1312" customFormat="false" ht="15" hidden="false" customHeight="false" outlineLevel="0" collapsed="false">
      <c r="A1312" s="0" t="s">
        <v>8</v>
      </c>
      <c r="B1312" s="0" t="s">
        <v>1836</v>
      </c>
      <c r="C1312" s="0" t="s">
        <v>7192</v>
      </c>
      <c r="D1312" s="0" t="n">
        <v>7</v>
      </c>
    </row>
    <row r="1313" customFormat="false" ht="15" hidden="false" customHeight="false" outlineLevel="0" collapsed="false">
      <c r="A1313" s="0" t="s">
        <v>8</v>
      </c>
      <c r="B1313" s="0" t="s">
        <v>1841</v>
      </c>
      <c r="C1313" s="0" t="s">
        <v>7190</v>
      </c>
      <c r="D1313" s="0" t="n">
        <v>4</v>
      </c>
    </row>
    <row r="1314" customFormat="false" ht="15" hidden="false" customHeight="false" outlineLevel="0" collapsed="false">
      <c r="A1314" s="0" t="s">
        <v>8</v>
      </c>
      <c r="B1314" s="0" t="s">
        <v>1841</v>
      </c>
      <c r="C1314" s="0" t="s">
        <v>7191</v>
      </c>
      <c r="D1314" s="0" t="n">
        <v>4</v>
      </c>
    </row>
    <row r="1315" customFormat="false" ht="15" hidden="false" customHeight="false" outlineLevel="0" collapsed="false">
      <c r="A1315" s="0" t="s">
        <v>8</v>
      </c>
      <c r="B1315" s="0" t="s">
        <v>1841</v>
      </c>
      <c r="C1315" s="0" t="s">
        <v>7192</v>
      </c>
      <c r="D1315" s="0" t="n">
        <v>5</v>
      </c>
    </row>
    <row r="1316" customFormat="false" ht="15" hidden="false" customHeight="false" outlineLevel="0" collapsed="false">
      <c r="A1316" s="0" t="s">
        <v>8</v>
      </c>
      <c r="B1316" s="0" t="s">
        <v>1850</v>
      </c>
      <c r="C1316" s="0" t="s">
        <v>7190</v>
      </c>
      <c r="D1316" s="0" t="n">
        <v>75</v>
      </c>
    </row>
    <row r="1317" customFormat="false" ht="15" hidden="false" customHeight="false" outlineLevel="0" collapsed="false">
      <c r="A1317" s="0" t="s">
        <v>8</v>
      </c>
      <c r="B1317" s="0" t="s">
        <v>1850</v>
      </c>
      <c r="C1317" s="0" t="s">
        <v>7191</v>
      </c>
    </row>
    <row r="1318" customFormat="false" ht="15" hidden="false" customHeight="false" outlineLevel="0" collapsed="false">
      <c r="A1318" s="0" t="s">
        <v>8</v>
      </c>
      <c r="B1318" s="0" t="s">
        <v>1850</v>
      </c>
      <c r="C1318" s="0" t="s">
        <v>7192</v>
      </c>
    </row>
    <row r="1319" customFormat="false" ht="15" hidden="false" customHeight="false" outlineLevel="0" collapsed="false">
      <c r="A1319" s="0" t="s">
        <v>8</v>
      </c>
      <c r="B1319" s="0" t="s">
        <v>1859</v>
      </c>
      <c r="C1319" s="0" t="s">
        <v>7190</v>
      </c>
      <c r="D1319" s="0" t="n">
        <v>54.5</v>
      </c>
    </row>
    <row r="1320" customFormat="false" ht="15" hidden="false" customHeight="false" outlineLevel="0" collapsed="false">
      <c r="A1320" s="0" t="s">
        <v>8</v>
      </c>
      <c r="B1320" s="0" t="s">
        <v>1859</v>
      </c>
      <c r="C1320" s="0" t="s">
        <v>7191</v>
      </c>
    </row>
    <row r="1321" customFormat="false" ht="15" hidden="false" customHeight="false" outlineLevel="0" collapsed="false">
      <c r="A1321" s="0" t="s">
        <v>8</v>
      </c>
      <c r="B1321" s="0" t="s">
        <v>1859</v>
      </c>
      <c r="C1321" s="0" t="s">
        <v>7192</v>
      </c>
    </row>
    <row r="1322" customFormat="false" ht="15" hidden="false" customHeight="false" outlineLevel="0" collapsed="false">
      <c r="A1322" s="0" t="s">
        <v>8</v>
      </c>
      <c r="B1322" s="0" t="s">
        <v>1863</v>
      </c>
      <c r="C1322" s="0" t="s">
        <v>7190</v>
      </c>
      <c r="D1322" s="0" t="n">
        <v>33.1</v>
      </c>
    </row>
    <row r="1323" customFormat="false" ht="15" hidden="false" customHeight="false" outlineLevel="0" collapsed="false">
      <c r="A1323" s="0" t="s">
        <v>8</v>
      </c>
      <c r="B1323" s="0" t="s">
        <v>1863</v>
      </c>
      <c r="C1323" s="0" t="s">
        <v>7191</v>
      </c>
    </row>
    <row r="1324" customFormat="false" ht="15" hidden="false" customHeight="false" outlineLevel="0" collapsed="false">
      <c r="A1324" s="0" t="s">
        <v>8</v>
      </c>
      <c r="B1324" s="0" t="s">
        <v>1863</v>
      </c>
      <c r="C1324" s="0" t="s">
        <v>7192</v>
      </c>
    </row>
    <row r="1325" customFormat="false" ht="15" hidden="false" customHeight="false" outlineLevel="0" collapsed="false">
      <c r="A1325" s="0" t="s">
        <v>8</v>
      </c>
      <c r="B1325" s="0" t="s">
        <v>1866</v>
      </c>
      <c r="C1325" s="0" t="s">
        <v>7190</v>
      </c>
      <c r="D1325" s="0" t="n">
        <v>53.6</v>
      </c>
    </row>
    <row r="1326" customFormat="false" ht="15" hidden="false" customHeight="false" outlineLevel="0" collapsed="false">
      <c r="A1326" s="0" t="s">
        <v>8</v>
      </c>
      <c r="B1326" s="0" t="s">
        <v>1866</v>
      </c>
      <c r="C1326" s="0" t="s">
        <v>7191</v>
      </c>
    </row>
    <row r="1327" customFormat="false" ht="15" hidden="false" customHeight="false" outlineLevel="0" collapsed="false">
      <c r="A1327" s="0" t="s">
        <v>8</v>
      </c>
      <c r="B1327" s="0" t="s">
        <v>1866</v>
      </c>
      <c r="C1327" s="0" t="s">
        <v>7192</v>
      </c>
    </row>
    <row r="1328" customFormat="false" ht="15" hidden="false" customHeight="false" outlineLevel="0" collapsed="false">
      <c r="A1328" s="0" t="s">
        <v>8</v>
      </c>
      <c r="B1328" s="0" t="s">
        <v>1869</v>
      </c>
      <c r="C1328" s="0" t="s">
        <v>7190</v>
      </c>
      <c r="D1328" s="0" t="n">
        <v>16.4</v>
      </c>
    </row>
    <row r="1329" customFormat="false" ht="15" hidden="false" customHeight="false" outlineLevel="0" collapsed="false">
      <c r="A1329" s="0" t="s">
        <v>8</v>
      </c>
      <c r="B1329" s="0" t="s">
        <v>1869</v>
      </c>
      <c r="C1329" s="0" t="s">
        <v>7191</v>
      </c>
    </row>
    <row r="1330" customFormat="false" ht="15" hidden="false" customHeight="false" outlineLevel="0" collapsed="false">
      <c r="A1330" s="0" t="s">
        <v>8</v>
      </c>
      <c r="B1330" s="0" t="s">
        <v>1869</v>
      </c>
      <c r="C1330" s="0" t="s">
        <v>7192</v>
      </c>
    </row>
    <row r="1331" customFormat="false" ht="15" hidden="false" customHeight="false" outlineLevel="0" collapsed="false">
      <c r="A1331" s="0" t="s">
        <v>8</v>
      </c>
      <c r="B1331" s="0" t="s">
        <v>1871</v>
      </c>
      <c r="C1331" s="0" t="s">
        <v>7190</v>
      </c>
      <c r="D1331" s="0" t="n">
        <v>47.3</v>
      </c>
    </row>
    <row r="1332" customFormat="false" ht="15" hidden="false" customHeight="false" outlineLevel="0" collapsed="false">
      <c r="A1332" s="0" t="s">
        <v>8</v>
      </c>
      <c r="B1332" s="0" t="s">
        <v>1871</v>
      </c>
      <c r="C1332" s="0" t="s">
        <v>7191</v>
      </c>
    </row>
    <row r="1333" customFormat="false" ht="15" hidden="false" customHeight="false" outlineLevel="0" collapsed="false">
      <c r="A1333" s="0" t="s">
        <v>8</v>
      </c>
      <c r="B1333" s="0" t="s">
        <v>1871</v>
      </c>
      <c r="C1333" s="0" t="s">
        <v>7192</v>
      </c>
    </row>
    <row r="1334" customFormat="false" ht="15" hidden="false" customHeight="false" outlineLevel="0" collapsed="false">
      <c r="A1334" s="0" t="s">
        <v>8</v>
      </c>
      <c r="B1334" s="0" t="s">
        <v>1874</v>
      </c>
      <c r="C1334" s="0" t="s">
        <v>7190</v>
      </c>
      <c r="D1334" s="0" t="n">
        <v>15.6</v>
      </c>
    </row>
    <row r="1335" customFormat="false" ht="15" hidden="false" customHeight="false" outlineLevel="0" collapsed="false">
      <c r="A1335" s="0" t="s">
        <v>8</v>
      </c>
      <c r="B1335" s="0" t="s">
        <v>1874</v>
      </c>
      <c r="C1335" s="0" t="s">
        <v>7191</v>
      </c>
    </row>
    <row r="1336" customFormat="false" ht="15" hidden="false" customHeight="false" outlineLevel="0" collapsed="false">
      <c r="A1336" s="0" t="s">
        <v>8</v>
      </c>
      <c r="B1336" s="0" t="s">
        <v>1874</v>
      </c>
      <c r="C1336" s="0" t="s">
        <v>7192</v>
      </c>
    </row>
    <row r="1337" customFormat="false" ht="15" hidden="false" customHeight="false" outlineLevel="0" collapsed="false">
      <c r="A1337" s="0" t="s">
        <v>8</v>
      </c>
      <c r="B1337" s="0" t="s">
        <v>1876</v>
      </c>
      <c r="C1337" s="0" t="s">
        <v>7190</v>
      </c>
      <c r="D1337" s="0" t="n">
        <v>50.2</v>
      </c>
    </row>
    <row r="1338" customFormat="false" ht="15" hidden="false" customHeight="false" outlineLevel="0" collapsed="false">
      <c r="A1338" s="0" t="s">
        <v>8</v>
      </c>
      <c r="B1338" s="0" t="s">
        <v>1876</v>
      </c>
      <c r="C1338" s="0" t="s">
        <v>7191</v>
      </c>
    </row>
    <row r="1339" customFormat="false" ht="15" hidden="false" customHeight="false" outlineLevel="0" collapsed="false">
      <c r="A1339" s="0" t="s">
        <v>8</v>
      </c>
      <c r="B1339" s="0" t="s">
        <v>1876</v>
      </c>
      <c r="C1339" s="0" t="s">
        <v>7192</v>
      </c>
    </row>
    <row r="1340" customFormat="false" ht="15" hidden="false" customHeight="false" outlineLevel="0" collapsed="false">
      <c r="A1340" s="0" t="s">
        <v>8</v>
      </c>
      <c r="B1340" s="0" t="s">
        <v>1879</v>
      </c>
      <c r="C1340" s="0" t="s">
        <v>7190</v>
      </c>
      <c r="D1340" s="0" t="n">
        <v>13.4</v>
      </c>
    </row>
    <row r="1341" customFormat="false" ht="15" hidden="false" customHeight="false" outlineLevel="0" collapsed="false">
      <c r="A1341" s="0" t="s">
        <v>8</v>
      </c>
      <c r="B1341" s="0" t="s">
        <v>1879</v>
      </c>
      <c r="C1341" s="0" t="s">
        <v>7191</v>
      </c>
    </row>
    <row r="1342" customFormat="false" ht="15" hidden="false" customHeight="false" outlineLevel="0" collapsed="false">
      <c r="A1342" s="0" t="s">
        <v>8</v>
      </c>
      <c r="B1342" s="0" t="s">
        <v>1879</v>
      </c>
      <c r="C1342" s="0" t="s">
        <v>7192</v>
      </c>
    </row>
    <row r="1343" customFormat="false" ht="15" hidden="false" customHeight="false" outlineLevel="0" collapsed="false">
      <c r="A1343" s="0" t="s">
        <v>8</v>
      </c>
      <c r="B1343" s="0" t="s">
        <v>1881</v>
      </c>
      <c r="C1343" s="0" t="s">
        <v>7190</v>
      </c>
      <c r="D1343" s="0" t="n">
        <v>15.52</v>
      </c>
    </row>
    <row r="1344" customFormat="false" ht="15" hidden="false" customHeight="false" outlineLevel="0" collapsed="false">
      <c r="A1344" s="0" t="s">
        <v>8</v>
      </c>
      <c r="B1344" s="0" t="s">
        <v>1881</v>
      </c>
      <c r="C1344" s="0" t="s">
        <v>7191</v>
      </c>
    </row>
    <row r="1345" customFormat="false" ht="15" hidden="false" customHeight="false" outlineLevel="0" collapsed="false">
      <c r="A1345" s="0" t="s">
        <v>8</v>
      </c>
      <c r="B1345" s="0" t="s">
        <v>1881</v>
      </c>
      <c r="C1345" s="0" t="s">
        <v>7192</v>
      </c>
    </row>
    <row r="1346" customFormat="false" ht="15" hidden="false" customHeight="false" outlineLevel="0" collapsed="false">
      <c r="A1346" s="0" t="s">
        <v>8</v>
      </c>
      <c r="B1346" s="0" t="s">
        <v>1885</v>
      </c>
      <c r="C1346" s="0" t="s">
        <v>7190</v>
      </c>
      <c r="D1346" s="0" t="n">
        <v>15.53</v>
      </c>
    </row>
    <row r="1347" customFormat="false" ht="15" hidden="false" customHeight="false" outlineLevel="0" collapsed="false">
      <c r="A1347" s="0" t="s">
        <v>8</v>
      </c>
      <c r="B1347" s="0" t="s">
        <v>1885</v>
      </c>
      <c r="C1347" s="0" t="s">
        <v>7191</v>
      </c>
    </row>
    <row r="1348" customFormat="false" ht="15" hidden="false" customHeight="false" outlineLevel="0" collapsed="false">
      <c r="A1348" s="0" t="s">
        <v>8</v>
      </c>
      <c r="B1348" s="0" t="s">
        <v>1885</v>
      </c>
      <c r="C1348" s="0" t="s">
        <v>7192</v>
      </c>
    </row>
    <row r="1349" customFormat="false" ht="15" hidden="false" customHeight="false" outlineLevel="0" collapsed="false">
      <c r="A1349" s="0" t="s">
        <v>8</v>
      </c>
      <c r="B1349" s="0" t="s">
        <v>1890</v>
      </c>
      <c r="C1349" s="0" t="s">
        <v>7190</v>
      </c>
      <c r="D1349" s="0" t="n">
        <v>11.45</v>
      </c>
    </row>
    <row r="1350" customFormat="false" ht="15" hidden="false" customHeight="false" outlineLevel="0" collapsed="false">
      <c r="A1350" s="0" t="s">
        <v>8</v>
      </c>
      <c r="B1350" s="0" t="s">
        <v>1890</v>
      </c>
      <c r="C1350" s="0" t="s">
        <v>7191</v>
      </c>
    </row>
    <row r="1351" customFormat="false" ht="15" hidden="false" customHeight="false" outlineLevel="0" collapsed="false">
      <c r="A1351" s="0" t="s">
        <v>8</v>
      </c>
      <c r="B1351" s="0" t="s">
        <v>1890</v>
      </c>
      <c r="C1351" s="0" t="s">
        <v>7192</v>
      </c>
    </row>
    <row r="1352" customFormat="false" ht="15" hidden="false" customHeight="false" outlineLevel="0" collapsed="false">
      <c r="A1352" s="0" t="s">
        <v>8</v>
      </c>
      <c r="B1352" s="0" t="s">
        <v>1894</v>
      </c>
      <c r="C1352" s="0" t="s">
        <v>7190</v>
      </c>
      <c r="D1352" s="0" t="n">
        <v>0.15</v>
      </c>
    </row>
    <row r="1353" customFormat="false" ht="15" hidden="false" customHeight="false" outlineLevel="0" collapsed="false">
      <c r="A1353" s="0" t="s">
        <v>8</v>
      </c>
      <c r="B1353" s="0" t="s">
        <v>1894</v>
      </c>
      <c r="C1353" s="0" t="s">
        <v>7191</v>
      </c>
    </row>
    <row r="1354" customFormat="false" ht="15" hidden="false" customHeight="false" outlineLevel="0" collapsed="false">
      <c r="A1354" s="0" t="s">
        <v>8</v>
      </c>
      <c r="B1354" s="0" t="s">
        <v>1894</v>
      </c>
      <c r="C1354" s="0" t="s">
        <v>7192</v>
      </c>
    </row>
    <row r="1355" customFormat="false" ht="15" hidden="false" customHeight="false" outlineLevel="0" collapsed="false">
      <c r="A1355" s="0" t="s">
        <v>8</v>
      </c>
      <c r="B1355" s="0" t="s">
        <v>1897</v>
      </c>
      <c r="C1355" s="0" t="s">
        <v>7190</v>
      </c>
      <c r="D1355" s="0" t="n">
        <v>100000</v>
      </c>
    </row>
    <row r="1356" customFormat="false" ht="15" hidden="false" customHeight="false" outlineLevel="0" collapsed="false">
      <c r="A1356" s="0" t="s">
        <v>8</v>
      </c>
      <c r="B1356" s="0" t="s">
        <v>1897</v>
      </c>
      <c r="C1356" s="0" t="s">
        <v>7191</v>
      </c>
    </row>
    <row r="1357" customFormat="false" ht="15" hidden="false" customHeight="false" outlineLevel="0" collapsed="false">
      <c r="A1357" s="0" t="s">
        <v>8</v>
      </c>
      <c r="B1357" s="0" t="s">
        <v>1897</v>
      </c>
      <c r="C1357" s="0" t="s">
        <v>7192</v>
      </c>
    </row>
    <row r="1358" customFormat="false" ht="15" hidden="false" customHeight="false" outlineLevel="0" collapsed="false">
      <c r="A1358" s="0" t="s">
        <v>8</v>
      </c>
      <c r="B1358" s="0" t="s">
        <v>1904</v>
      </c>
      <c r="C1358" s="0" t="s">
        <v>7190</v>
      </c>
      <c r="D1358" s="0" t="n">
        <v>100000</v>
      </c>
    </row>
    <row r="1359" customFormat="false" ht="15" hidden="false" customHeight="false" outlineLevel="0" collapsed="false">
      <c r="A1359" s="0" t="s">
        <v>8</v>
      </c>
      <c r="B1359" s="0" t="s">
        <v>1904</v>
      </c>
      <c r="C1359" s="0" t="s">
        <v>7191</v>
      </c>
    </row>
    <row r="1360" customFormat="false" ht="15" hidden="false" customHeight="false" outlineLevel="0" collapsed="false">
      <c r="A1360" s="0" t="s">
        <v>8</v>
      </c>
      <c r="B1360" s="0" t="s">
        <v>1904</v>
      </c>
      <c r="C1360" s="0" t="s">
        <v>7192</v>
      </c>
    </row>
    <row r="1361" customFormat="false" ht="15" hidden="false" customHeight="false" outlineLevel="0" collapsed="false">
      <c r="A1361" s="0" t="s">
        <v>8</v>
      </c>
      <c r="B1361" s="0" t="s">
        <v>1911</v>
      </c>
      <c r="C1361" s="0" t="s">
        <v>7190</v>
      </c>
      <c r="D1361" s="0" t="n">
        <v>80</v>
      </c>
    </row>
    <row r="1362" customFormat="false" ht="15" hidden="false" customHeight="false" outlineLevel="0" collapsed="false">
      <c r="A1362" s="0" t="s">
        <v>8</v>
      </c>
      <c r="B1362" s="0" t="s">
        <v>1911</v>
      </c>
      <c r="C1362" s="0" t="s">
        <v>7191</v>
      </c>
    </row>
    <row r="1363" customFormat="false" ht="15" hidden="false" customHeight="false" outlineLevel="0" collapsed="false">
      <c r="A1363" s="0" t="s">
        <v>8</v>
      </c>
      <c r="B1363" s="0" t="s">
        <v>1911</v>
      </c>
      <c r="C1363" s="0" t="s">
        <v>7192</v>
      </c>
    </row>
    <row r="1364" customFormat="false" ht="15" hidden="false" customHeight="false" outlineLevel="0" collapsed="false">
      <c r="A1364" s="0" t="s">
        <v>8</v>
      </c>
      <c r="B1364" s="0" t="s">
        <v>1916</v>
      </c>
      <c r="C1364" s="0" t="s">
        <v>7190</v>
      </c>
      <c r="D1364" s="0" t="n">
        <v>3</v>
      </c>
    </row>
    <row r="1365" customFormat="false" ht="15" hidden="false" customHeight="false" outlineLevel="0" collapsed="false">
      <c r="A1365" s="0" t="s">
        <v>8</v>
      </c>
      <c r="B1365" s="0" t="s">
        <v>1916</v>
      </c>
      <c r="C1365" s="0" t="s">
        <v>7191</v>
      </c>
    </row>
    <row r="1366" customFormat="false" ht="15" hidden="false" customHeight="false" outlineLevel="0" collapsed="false">
      <c r="A1366" s="0" t="s">
        <v>8</v>
      </c>
      <c r="B1366" s="0" t="s">
        <v>1916</v>
      </c>
      <c r="C1366" s="0" t="s">
        <v>7192</v>
      </c>
    </row>
    <row r="1367" customFormat="false" ht="15" hidden="false" customHeight="false" outlineLevel="0" collapsed="false">
      <c r="A1367" s="0" t="s">
        <v>8</v>
      </c>
      <c r="B1367" s="0" t="s">
        <v>1922</v>
      </c>
      <c r="C1367" s="0" t="s">
        <v>7190</v>
      </c>
      <c r="D1367" s="0" t="n">
        <v>14</v>
      </c>
    </row>
    <row r="1368" customFormat="false" ht="15" hidden="false" customHeight="false" outlineLevel="0" collapsed="false">
      <c r="A1368" s="0" t="s">
        <v>8</v>
      </c>
      <c r="B1368" s="0" t="s">
        <v>1922</v>
      </c>
      <c r="C1368" s="0" t="s">
        <v>7191</v>
      </c>
    </row>
    <row r="1369" customFormat="false" ht="15" hidden="false" customHeight="false" outlineLevel="0" collapsed="false">
      <c r="A1369" s="0" t="s">
        <v>8</v>
      </c>
      <c r="B1369" s="0" t="s">
        <v>1922</v>
      </c>
      <c r="C1369" s="0" t="s">
        <v>7192</v>
      </c>
    </row>
    <row r="1370" customFormat="false" ht="15" hidden="false" customHeight="false" outlineLevel="0" collapsed="false">
      <c r="A1370" s="0" t="s">
        <v>8</v>
      </c>
      <c r="B1370" s="0" t="s">
        <v>1927</v>
      </c>
      <c r="C1370" s="0" t="s">
        <v>7190</v>
      </c>
      <c r="D1370" s="0" t="n">
        <v>50</v>
      </c>
    </row>
    <row r="1371" customFormat="false" ht="15" hidden="false" customHeight="false" outlineLevel="0" collapsed="false">
      <c r="A1371" s="0" t="s">
        <v>8</v>
      </c>
      <c r="B1371" s="0" t="s">
        <v>1927</v>
      </c>
      <c r="C1371" s="0" t="s">
        <v>7191</v>
      </c>
    </row>
    <row r="1372" customFormat="false" ht="15" hidden="false" customHeight="false" outlineLevel="0" collapsed="false">
      <c r="A1372" s="0" t="s">
        <v>8</v>
      </c>
      <c r="B1372" s="0" t="s">
        <v>1927</v>
      </c>
      <c r="C1372" s="0" t="s">
        <v>7192</v>
      </c>
    </row>
    <row r="1373" customFormat="false" ht="15" hidden="false" customHeight="false" outlineLevel="0" collapsed="false">
      <c r="A1373" s="0" t="s">
        <v>8</v>
      </c>
      <c r="B1373" s="0" t="s">
        <v>1931</v>
      </c>
      <c r="C1373" s="0" t="s">
        <v>7190</v>
      </c>
      <c r="D1373" s="0" t="n">
        <v>1</v>
      </c>
    </row>
    <row r="1374" customFormat="false" ht="15" hidden="false" customHeight="false" outlineLevel="0" collapsed="false">
      <c r="A1374" s="0" t="s">
        <v>8</v>
      </c>
      <c r="B1374" s="0" t="s">
        <v>1931</v>
      </c>
      <c r="C1374" s="0" t="s">
        <v>7191</v>
      </c>
    </row>
    <row r="1375" customFormat="false" ht="15" hidden="false" customHeight="false" outlineLevel="0" collapsed="false">
      <c r="A1375" s="0" t="s">
        <v>8</v>
      </c>
      <c r="B1375" s="0" t="s">
        <v>1931</v>
      </c>
      <c r="C1375" s="0" t="s">
        <v>7192</v>
      </c>
    </row>
    <row r="1376" customFormat="false" ht="15" hidden="false" customHeight="false" outlineLevel="0" collapsed="false">
      <c r="A1376" s="0" t="s">
        <v>8</v>
      </c>
      <c r="B1376" s="0" t="s">
        <v>1940</v>
      </c>
      <c r="C1376" s="0" t="s">
        <v>7190</v>
      </c>
    </row>
    <row r="1377" customFormat="false" ht="15" hidden="false" customHeight="false" outlineLevel="0" collapsed="false">
      <c r="A1377" s="0" t="s">
        <v>8</v>
      </c>
      <c r="B1377" s="0" t="s">
        <v>1940</v>
      </c>
      <c r="C1377" s="0" t="s">
        <v>7191</v>
      </c>
    </row>
    <row r="1378" customFormat="false" ht="15" hidden="false" customHeight="false" outlineLevel="0" collapsed="false">
      <c r="A1378" s="0" t="s">
        <v>8</v>
      </c>
      <c r="B1378" s="0" t="s">
        <v>1940</v>
      </c>
      <c r="C1378" s="0" t="s">
        <v>7192</v>
      </c>
    </row>
    <row r="1379" customFormat="false" ht="15" hidden="false" customHeight="false" outlineLevel="0" collapsed="false">
      <c r="A1379" s="0" t="s">
        <v>8</v>
      </c>
      <c r="B1379" s="0" t="s">
        <v>1945</v>
      </c>
      <c r="C1379" s="0" t="s">
        <v>7190</v>
      </c>
      <c r="D1379" s="0" t="n">
        <v>5</v>
      </c>
    </row>
    <row r="1380" customFormat="false" ht="15" hidden="false" customHeight="false" outlineLevel="0" collapsed="false">
      <c r="A1380" s="0" t="s">
        <v>8</v>
      </c>
      <c r="B1380" s="0" t="s">
        <v>1945</v>
      </c>
      <c r="C1380" s="0" t="s">
        <v>7191</v>
      </c>
    </row>
    <row r="1381" customFormat="false" ht="15" hidden="false" customHeight="false" outlineLevel="0" collapsed="false">
      <c r="A1381" s="0" t="s">
        <v>8</v>
      </c>
      <c r="B1381" s="0" t="s">
        <v>1945</v>
      </c>
      <c r="C1381" s="0" t="s">
        <v>7192</v>
      </c>
    </row>
    <row r="1382" customFormat="false" ht="15" hidden="false" customHeight="false" outlineLevel="0" collapsed="false">
      <c r="A1382" s="0" t="s">
        <v>8</v>
      </c>
      <c r="B1382" s="0" t="s">
        <v>1954</v>
      </c>
      <c r="C1382" s="0" t="s">
        <v>7190</v>
      </c>
      <c r="D1382" s="0" t="n">
        <v>50</v>
      </c>
    </row>
    <row r="1383" customFormat="false" ht="15" hidden="false" customHeight="false" outlineLevel="0" collapsed="false">
      <c r="A1383" s="0" t="s">
        <v>8</v>
      </c>
      <c r="B1383" s="0" t="s">
        <v>1954</v>
      </c>
      <c r="C1383" s="0" t="s">
        <v>7191</v>
      </c>
    </row>
    <row r="1384" customFormat="false" ht="15" hidden="false" customHeight="false" outlineLevel="0" collapsed="false">
      <c r="A1384" s="0" t="s">
        <v>8</v>
      </c>
      <c r="B1384" s="0" t="s">
        <v>1954</v>
      </c>
      <c r="C1384" s="0" t="s">
        <v>7192</v>
      </c>
    </row>
    <row r="1385" customFormat="false" ht="15" hidden="false" customHeight="false" outlineLevel="0" collapsed="false">
      <c r="A1385" s="0" t="s">
        <v>8</v>
      </c>
      <c r="B1385" s="0" t="s">
        <v>1959</v>
      </c>
      <c r="C1385" s="0" t="s">
        <v>7190</v>
      </c>
      <c r="D1385" s="0" t="n">
        <v>7.47</v>
      </c>
    </row>
    <row r="1386" customFormat="false" ht="15" hidden="false" customHeight="false" outlineLevel="0" collapsed="false">
      <c r="A1386" s="0" t="s">
        <v>8</v>
      </c>
      <c r="B1386" s="0" t="s">
        <v>1959</v>
      </c>
      <c r="C1386" s="0" t="s">
        <v>7191</v>
      </c>
      <c r="D1386" s="0" t="n">
        <v>7.03</v>
      </c>
    </row>
    <row r="1387" customFormat="false" ht="15" hidden="false" customHeight="false" outlineLevel="0" collapsed="false">
      <c r="A1387" s="0" t="s">
        <v>8</v>
      </c>
      <c r="B1387" s="0" t="s">
        <v>1959</v>
      </c>
      <c r="C1387" s="0" t="s">
        <v>7192</v>
      </c>
      <c r="D1387" s="0" t="n">
        <v>8.16</v>
      </c>
    </row>
    <row r="1388" customFormat="false" ht="15" hidden="false" customHeight="false" outlineLevel="0" collapsed="false">
      <c r="A1388" s="0" t="s">
        <v>8</v>
      </c>
      <c r="B1388" s="0" t="s">
        <v>1966</v>
      </c>
      <c r="C1388" s="0" t="s">
        <v>7190</v>
      </c>
      <c r="D1388" s="0" t="n">
        <v>43000</v>
      </c>
    </row>
    <row r="1389" customFormat="false" ht="15" hidden="false" customHeight="false" outlineLevel="0" collapsed="false">
      <c r="A1389" s="0" t="s">
        <v>8</v>
      </c>
      <c r="B1389" s="0" t="s">
        <v>1966</v>
      </c>
      <c r="C1389" s="0" t="s">
        <v>7191</v>
      </c>
      <c r="D1389" s="0" t="n">
        <v>40500</v>
      </c>
    </row>
    <row r="1390" customFormat="false" ht="15" hidden="false" customHeight="false" outlineLevel="0" collapsed="false">
      <c r="A1390" s="0" t="s">
        <v>8</v>
      </c>
      <c r="B1390" s="0" t="s">
        <v>1966</v>
      </c>
      <c r="C1390" s="0" t="s">
        <v>7192</v>
      </c>
      <c r="D1390" s="0" t="n">
        <v>47000</v>
      </c>
    </row>
    <row r="1391" customFormat="false" ht="15" hidden="false" customHeight="false" outlineLevel="0" collapsed="false">
      <c r="A1391" s="0" t="s">
        <v>8</v>
      </c>
      <c r="B1391" s="0" t="s">
        <v>1971</v>
      </c>
      <c r="C1391" s="0" t="s">
        <v>7190</v>
      </c>
      <c r="D1391" s="0" t="n">
        <v>35000</v>
      </c>
    </row>
    <row r="1392" customFormat="false" ht="15" hidden="false" customHeight="false" outlineLevel="0" collapsed="false">
      <c r="A1392" s="0" t="s">
        <v>8</v>
      </c>
      <c r="B1392" s="0" t="s">
        <v>1971</v>
      </c>
      <c r="C1392" s="0" t="s">
        <v>7191</v>
      </c>
      <c r="D1392" s="0" t="n">
        <v>34000</v>
      </c>
    </row>
    <row r="1393" customFormat="false" ht="15" hidden="false" customHeight="false" outlineLevel="0" collapsed="false">
      <c r="A1393" s="0" t="s">
        <v>8</v>
      </c>
      <c r="B1393" s="0" t="s">
        <v>1971</v>
      </c>
      <c r="C1393" s="0" t="s">
        <v>7192</v>
      </c>
      <c r="D1393" s="0" t="n">
        <v>35000</v>
      </c>
    </row>
    <row r="1394" customFormat="false" ht="15" hidden="false" customHeight="false" outlineLevel="0" collapsed="false">
      <c r="A1394" s="0" t="s">
        <v>8</v>
      </c>
      <c r="B1394" s="0" t="s">
        <v>1977</v>
      </c>
      <c r="C1394" s="0" t="s">
        <v>7190</v>
      </c>
      <c r="D1394" s="0" t="n">
        <v>78000</v>
      </c>
    </row>
    <row r="1395" customFormat="false" ht="15" hidden="false" customHeight="false" outlineLevel="0" collapsed="false">
      <c r="A1395" s="0" t="s">
        <v>8</v>
      </c>
      <c r="B1395" s="0" t="s">
        <v>1977</v>
      </c>
      <c r="C1395" s="0" t="s">
        <v>7191</v>
      </c>
      <c r="D1395" s="0" t="n">
        <v>78000</v>
      </c>
    </row>
    <row r="1396" customFormat="false" ht="15" hidden="false" customHeight="false" outlineLevel="0" collapsed="false">
      <c r="A1396" s="0" t="s">
        <v>8</v>
      </c>
      <c r="B1396" s="0" t="s">
        <v>1977</v>
      </c>
      <c r="C1396" s="0" t="s">
        <v>7192</v>
      </c>
      <c r="D1396" s="0" t="n">
        <v>85000</v>
      </c>
    </row>
    <row r="1397" customFormat="false" ht="15" hidden="false" customHeight="false" outlineLevel="0" collapsed="false">
      <c r="A1397" s="0" t="s">
        <v>8</v>
      </c>
      <c r="B1397" s="0" t="s">
        <v>1983</v>
      </c>
      <c r="C1397" s="0" t="s">
        <v>7190</v>
      </c>
      <c r="D1397" s="0" t="n">
        <v>36000</v>
      </c>
    </row>
    <row r="1398" customFormat="false" ht="15" hidden="false" customHeight="false" outlineLevel="0" collapsed="false">
      <c r="A1398" s="0" t="s">
        <v>8</v>
      </c>
      <c r="B1398" s="0" t="s">
        <v>1983</v>
      </c>
      <c r="C1398" s="0" t="s">
        <v>7191</v>
      </c>
      <c r="D1398" s="0" t="n">
        <v>34000</v>
      </c>
    </row>
    <row r="1399" customFormat="false" ht="15" hidden="false" customHeight="false" outlineLevel="0" collapsed="false">
      <c r="A1399" s="0" t="s">
        <v>8</v>
      </c>
      <c r="B1399" s="0" t="s">
        <v>1983</v>
      </c>
      <c r="C1399" s="0" t="s">
        <v>7192</v>
      </c>
      <c r="D1399" s="0" t="n">
        <v>36000</v>
      </c>
    </row>
    <row r="1400" customFormat="false" ht="15" hidden="false" customHeight="false" outlineLevel="0" collapsed="false">
      <c r="A1400" s="0" t="s">
        <v>8</v>
      </c>
      <c r="B1400" s="0" t="s">
        <v>1987</v>
      </c>
      <c r="C1400" s="0" t="s">
        <v>7190</v>
      </c>
      <c r="D1400" s="0" t="n">
        <v>85000</v>
      </c>
    </row>
    <row r="1401" customFormat="false" ht="15" hidden="false" customHeight="false" outlineLevel="0" collapsed="false">
      <c r="A1401" s="0" t="s">
        <v>8</v>
      </c>
      <c r="B1401" s="0" t="s">
        <v>1987</v>
      </c>
      <c r="C1401" s="0" t="s">
        <v>7191</v>
      </c>
      <c r="D1401" s="0" t="n">
        <v>75000</v>
      </c>
    </row>
    <row r="1402" customFormat="false" ht="15" hidden="false" customHeight="false" outlineLevel="0" collapsed="false">
      <c r="A1402" s="0" t="s">
        <v>8</v>
      </c>
      <c r="B1402" s="0" t="s">
        <v>1987</v>
      </c>
      <c r="C1402" s="0" t="s">
        <v>7192</v>
      </c>
      <c r="D1402" s="0" t="n">
        <v>85000</v>
      </c>
    </row>
    <row r="1403" customFormat="false" ht="15" hidden="false" customHeight="false" outlineLevel="0" collapsed="false">
      <c r="A1403" s="0" t="s">
        <v>8</v>
      </c>
      <c r="B1403" s="0" t="s">
        <v>1991</v>
      </c>
      <c r="C1403" s="0" t="s">
        <v>7190</v>
      </c>
      <c r="D1403" s="0" t="n">
        <v>16000</v>
      </c>
    </row>
    <row r="1404" customFormat="false" ht="15" hidden="false" customHeight="false" outlineLevel="0" collapsed="false">
      <c r="A1404" s="0" t="s">
        <v>8</v>
      </c>
      <c r="B1404" s="0" t="s">
        <v>1991</v>
      </c>
      <c r="C1404" s="0" t="s">
        <v>7191</v>
      </c>
      <c r="D1404" s="0" t="n">
        <v>15000</v>
      </c>
    </row>
    <row r="1405" customFormat="false" ht="15" hidden="false" customHeight="false" outlineLevel="0" collapsed="false">
      <c r="A1405" s="0" t="s">
        <v>8</v>
      </c>
      <c r="B1405" s="0" t="s">
        <v>1991</v>
      </c>
      <c r="C1405" s="0" t="s">
        <v>7192</v>
      </c>
      <c r="D1405" s="0" t="n">
        <v>16000</v>
      </c>
    </row>
    <row r="1406" customFormat="false" ht="15" hidden="false" customHeight="false" outlineLevel="0" collapsed="false">
      <c r="A1406" s="0" t="s">
        <v>8</v>
      </c>
      <c r="B1406" s="0" t="s">
        <v>1997</v>
      </c>
      <c r="C1406" s="0" t="s">
        <v>7190</v>
      </c>
      <c r="D1406" s="0" t="n">
        <v>16000</v>
      </c>
    </row>
    <row r="1407" customFormat="false" ht="15" hidden="false" customHeight="false" outlineLevel="0" collapsed="false">
      <c r="A1407" s="0" t="s">
        <v>8</v>
      </c>
      <c r="B1407" s="0" t="s">
        <v>1997</v>
      </c>
      <c r="C1407" s="0" t="s">
        <v>7191</v>
      </c>
      <c r="D1407" s="0" t="n">
        <v>16000</v>
      </c>
    </row>
    <row r="1408" customFormat="false" ht="15" hidden="false" customHeight="false" outlineLevel="0" collapsed="false">
      <c r="A1408" s="0" t="s">
        <v>8</v>
      </c>
      <c r="B1408" s="0" t="s">
        <v>1997</v>
      </c>
      <c r="C1408" s="0" t="s">
        <v>7192</v>
      </c>
      <c r="D1408" s="0" t="n">
        <v>19000</v>
      </c>
    </row>
    <row r="1409" customFormat="false" ht="15" hidden="false" customHeight="false" outlineLevel="0" collapsed="false">
      <c r="A1409" s="0" t="s">
        <v>8</v>
      </c>
      <c r="B1409" s="0" t="s">
        <v>2003</v>
      </c>
      <c r="C1409" s="0" t="s">
        <v>7190</v>
      </c>
      <c r="D1409" s="0" t="n">
        <v>12000</v>
      </c>
    </row>
    <row r="1410" customFormat="false" ht="15" hidden="false" customHeight="false" outlineLevel="0" collapsed="false">
      <c r="A1410" s="0" t="s">
        <v>8</v>
      </c>
      <c r="B1410" s="0" t="s">
        <v>2003</v>
      </c>
      <c r="C1410" s="0" t="s">
        <v>7191</v>
      </c>
      <c r="D1410" s="0" t="n">
        <v>12000</v>
      </c>
    </row>
    <row r="1411" customFormat="false" ht="15" hidden="false" customHeight="false" outlineLevel="0" collapsed="false">
      <c r="A1411" s="0" t="s">
        <v>8</v>
      </c>
      <c r="B1411" s="0" t="s">
        <v>2003</v>
      </c>
      <c r="C1411" s="0" t="s">
        <v>7192</v>
      </c>
      <c r="D1411" s="0" t="n">
        <v>17000</v>
      </c>
    </row>
    <row r="1412" customFormat="false" ht="15" hidden="false" customHeight="false" outlineLevel="0" collapsed="false">
      <c r="A1412" s="0" t="s">
        <v>8</v>
      </c>
      <c r="B1412" s="0" t="s">
        <v>2008</v>
      </c>
      <c r="C1412" s="0" t="s">
        <v>7190</v>
      </c>
      <c r="D1412" s="0" t="n">
        <v>25000</v>
      </c>
    </row>
    <row r="1413" customFormat="false" ht="15" hidden="false" customHeight="false" outlineLevel="0" collapsed="false">
      <c r="A1413" s="0" t="s">
        <v>8</v>
      </c>
      <c r="B1413" s="0" t="s">
        <v>2008</v>
      </c>
      <c r="C1413" s="0" t="s">
        <v>7191</v>
      </c>
      <c r="D1413" s="0" t="n">
        <v>16000</v>
      </c>
    </row>
    <row r="1414" customFormat="false" ht="15" hidden="false" customHeight="false" outlineLevel="0" collapsed="false">
      <c r="A1414" s="0" t="s">
        <v>8</v>
      </c>
      <c r="B1414" s="0" t="s">
        <v>2008</v>
      </c>
      <c r="C1414" s="0" t="s">
        <v>7192</v>
      </c>
      <c r="D1414" s="0" t="n">
        <v>25000</v>
      </c>
    </row>
    <row r="1415" customFormat="false" ht="15" hidden="false" customHeight="false" outlineLevel="0" collapsed="false">
      <c r="A1415" s="0" t="s">
        <v>8</v>
      </c>
      <c r="B1415" s="0" t="s">
        <v>2016</v>
      </c>
      <c r="C1415" s="0" t="s">
        <v>7190</v>
      </c>
      <c r="D1415" s="0" t="n">
        <v>18.75</v>
      </c>
    </row>
    <row r="1416" customFormat="false" ht="15" hidden="false" customHeight="false" outlineLevel="0" collapsed="false">
      <c r="A1416" s="0" t="s">
        <v>8</v>
      </c>
      <c r="B1416" s="0" t="s">
        <v>2016</v>
      </c>
      <c r="C1416" s="0" t="s">
        <v>7191</v>
      </c>
      <c r="D1416" s="0" t="n">
        <v>11.83</v>
      </c>
    </row>
    <row r="1417" customFormat="false" ht="15" hidden="false" customHeight="false" outlineLevel="0" collapsed="false">
      <c r="A1417" s="0" t="s">
        <v>8</v>
      </c>
      <c r="B1417" s="0" t="s">
        <v>2016</v>
      </c>
      <c r="C1417" s="0" t="s">
        <v>7192</v>
      </c>
      <c r="D1417" s="0" t="n">
        <v>18.75</v>
      </c>
    </row>
    <row r="1418" customFormat="false" ht="15" hidden="false" customHeight="false" outlineLevel="0" collapsed="false">
      <c r="A1418" s="0" t="s">
        <v>8</v>
      </c>
      <c r="B1418" s="0" t="s">
        <v>2020</v>
      </c>
      <c r="C1418" s="0" t="s">
        <v>7190</v>
      </c>
      <c r="D1418" s="0" t="n">
        <v>11.83</v>
      </c>
    </row>
    <row r="1419" customFormat="false" ht="15" hidden="false" customHeight="false" outlineLevel="0" collapsed="false">
      <c r="A1419" s="0" t="s">
        <v>8</v>
      </c>
      <c r="B1419" s="0" t="s">
        <v>2020</v>
      </c>
      <c r="C1419" s="0" t="s">
        <v>7191</v>
      </c>
      <c r="D1419" s="0" t="n">
        <v>11.83</v>
      </c>
    </row>
    <row r="1420" customFormat="false" ht="15" hidden="false" customHeight="false" outlineLevel="0" collapsed="false">
      <c r="A1420" s="0" t="s">
        <v>8</v>
      </c>
      <c r="B1420" s="0" t="s">
        <v>2020</v>
      </c>
      <c r="C1420" s="0" t="s">
        <v>7192</v>
      </c>
      <c r="D1420" s="0" t="n">
        <v>18.75</v>
      </c>
    </row>
    <row r="1421" customFormat="false" ht="15" hidden="false" customHeight="false" outlineLevel="0" collapsed="false">
      <c r="A1421" s="0" t="s">
        <v>8</v>
      </c>
      <c r="B1421" s="0" t="s">
        <v>2023</v>
      </c>
      <c r="C1421" s="0" t="s">
        <v>7190</v>
      </c>
      <c r="D1421" s="0" t="n">
        <v>13.36</v>
      </c>
    </row>
    <row r="1422" customFormat="false" ht="15" hidden="false" customHeight="false" outlineLevel="0" collapsed="false">
      <c r="A1422" s="0" t="s">
        <v>8</v>
      </c>
      <c r="B1422" s="0" t="s">
        <v>2023</v>
      </c>
      <c r="C1422" s="0" t="s">
        <v>7191</v>
      </c>
    </row>
    <row r="1423" customFormat="false" ht="15" hidden="false" customHeight="false" outlineLevel="0" collapsed="false">
      <c r="A1423" s="0" t="s">
        <v>8</v>
      </c>
      <c r="B1423" s="0" t="s">
        <v>2023</v>
      </c>
      <c r="C1423" s="0" t="s">
        <v>7192</v>
      </c>
    </row>
    <row r="1424" customFormat="false" ht="15" hidden="false" customHeight="false" outlineLevel="0" collapsed="false">
      <c r="A1424" s="0" t="s">
        <v>8</v>
      </c>
      <c r="B1424" s="0" t="s">
        <v>2030</v>
      </c>
      <c r="C1424" s="0" t="s">
        <v>7190</v>
      </c>
      <c r="D1424" s="0" t="n">
        <v>6.16</v>
      </c>
    </row>
    <row r="1425" customFormat="false" ht="15" hidden="false" customHeight="false" outlineLevel="0" collapsed="false">
      <c r="A1425" s="0" t="s">
        <v>8</v>
      </c>
      <c r="B1425" s="0" t="s">
        <v>2030</v>
      </c>
      <c r="C1425" s="0" t="s">
        <v>7191</v>
      </c>
    </row>
    <row r="1426" customFormat="false" ht="15" hidden="false" customHeight="false" outlineLevel="0" collapsed="false">
      <c r="A1426" s="0" t="s">
        <v>8</v>
      </c>
      <c r="B1426" s="0" t="s">
        <v>2030</v>
      </c>
      <c r="C1426" s="0" t="s">
        <v>7192</v>
      </c>
    </row>
    <row r="1427" customFormat="false" ht="15" hidden="false" customHeight="false" outlineLevel="0" collapsed="false">
      <c r="A1427" s="0" t="s">
        <v>8</v>
      </c>
      <c r="B1427" s="0" t="s">
        <v>2035</v>
      </c>
      <c r="C1427" s="0" t="s">
        <v>7190</v>
      </c>
      <c r="D1427" s="0" t="n">
        <v>13.7</v>
      </c>
    </row>
    <row r="1428" customFormat="false" ht="15" hidden="false" customHeight="false" outlineLevel="0" collapsed="false">
      <c r="A1428" s="0" t="s">
        <v>8</v>
      </c>
      <c r="B1428" s="0" t="s">
        <v>2035</v>
      </c>
      <c r="C1428" s="0" t="s">
        <v>7191</v>
      </c>
    </row>
    <row r="1429" customFormat="false" ht="15" hidden="false" customHeight="false" outlineLevel="0" collapsed="false">
      <c r="A1429" s="0" t="s">
        <v>8</v>
      </c>
      <c r="B1429" s="0" t="s">
        <v>2035</v>
      </c>
      <c r="C1429" s="0" t="s">
        <v>7192</v>
      </c>
    </row>
    <row r="1430" customFormat="false" ht="15" hidden="false" customHeight="false" outlineLevel="0" collapsed="false">
      <c r="A1430" s="0" t="s">
        <v>8</v>
      </c>
      <c r="B1430" s="0" t="s">
        <v>2040</v>
      </c>
      <c r="C1430" s="0" t="s">
        <v>7190</v>
      </c>
      <c r="D1430" s="0" t="n">
        <v>7.36</v>
      </c>
    </row>
    <row r="1431" customFormat="false" ht="15" hidden="false" customHeight="false" outlineLevel="0" collapsed="false">
      <c r="A1431" s="0" t="s">
        <v>8</v>
      </c>
      <c r="B1431" s="0" t="s">
        <v>2040</v>
      </c>
      <c r="C1431" s="0" t="s">
        <v>7191</v>
      </c>
    </row>
    <row r="1432" customFormat="false" ht="15" hidden="false" customHeight="false" outlineLevel="0" collapsed="false">
      <c r="A1432" s="0" t="s">
        <v>8</v>
      </c>
      <c r="B1432" s="0" t="s">
        <v>2040</v>
      </c>
      <c r="C1432" s="0" t="s">
        <v>7192</v>
      </c>
    </row>
    <row r="1433" customFormat="false" ht="15" hidden="false" customHeight="false" outlineLevel="0" collapsed="false">
      <c r="A1433" s="0" t="s">
        <v>8</v>
      </c>
      <c r="B1433" s="0" t="s">
        <v>2045</v>
      </c>
      <c r="C1433" s="0" t="s">
        <v>7190</v>
      </c>
      <c r="D1433" s="0" t="n">
        <v>2.74</v>
      </c>
    </row>
    <row r="1434" customFormat="false" ht="15" hidden="false" customHeight="false" outlineLevel="0" collapsed="false">
      <c r="A1434" s="0" t="s">
        <v>8</v>
      </c>
      <c r="B1434" s="0" t="s">
        <v>2045</v>
      </c>
      <c r="C1434" s="0" t="s">
        <v>7191</v>
      </c>
      <c r="D1434" s="0" t="n">
        <v>2.74</v>
      </c>
    </row>
    <row r="1435" customFormat="false" ht="15" hidden="false" customHeight="false" outlineLevel="0" collapsed="false">
      <c r="A1435" s="0" t="s">
        <v>8</v>
      </c>
      <c r="B1435" s="0" t="s">
        <v>2045</v>
      </c>
      <c r="C1435" s="0" t="s">
        <v>7192</v>
      </c>
      <c r="D1435" s="0" t="n">
        <v>4.28</v>
      </c>
    </row>
    <row r="1436" customFormat="false" ht="15" hidden="false" customHeight="false" outlineLevel="0" collapsed="false">
      <c r="A1436" s="0" t="s">
        <v>8</v>
      </c>
      <c r="B1436" s="0" t="s">
        <v>2051</v>
      </c>
      <c r="C1436" s="0" t="s">
        <v>7190</v>
      </c>
      <c r="D1436" s="0" t="n">
        <v>4.28</v>
      </c>
    </row>
    <row r="1437" customFormat="false" ht="15" hidden="false" customHeight="false" outlineLevel="0" collapsed="false">
      <c r="A1437" s="0" t="s">
        <v>8</v>
      </c>
      <c r="B1437" s="0" t="s">
        <v>2051</v>
      </c>
      <c r="C1437" s="0" t="s">
        <v>7191</v>
      </c>
      <c r="D1437" s="0" t="n">
        <v>2.74</v>
      </c>
    </row>
    <row r="1438" customFormat="false" ht="15" hidden="false" customHeight="false" outlineLevel="0" collapsed="false">
      <c r="A1438" s="0" t="s">
        <v>8</v>
      </c>
      <c r="B1438" s="0" t="s">
        <v>2051</v>
      </c>
      <c r="C1438" s="0" t="s">
        <v>7192</v>
      </c>
      <c r="D1438" s="0" t="n">
        <v>4.28</v>
      </c>
    </row>
    <row r="1439" customFormat="false" ht="15" hidden="false" customHeight="false" outlineLevel="0" collapsed="false">
      <c r="A1439" s="0" t="s">
        <v>8</v>
      </c>
      <c r="B1439" s="0" t="s">
        <v>2055</v>
      </c>
      <c r="C1439" s="0" t="s">
        <v>7190</v>
      </c>
      <c r="D1439" s="0" t="n">
        <v>0.6</v>
      </c>
    </row>
    <row r="1440" customFormat="false" ht="15" hidden="false" customHeight="false" outlineLevel="0" collapsed="false">
      <c r="A1440" s="0" t="s">
        <v>8</v>
      </c>
      <c r="B1440" s="0" t="s">
        <v>2055</v>
      </c>
      <c r="C1440" s="0" t="s">
        <v>7191</v>
      </c>
      <c r="D1440" s="0" t="n">
        <v>0.6</v>
      </c>
    </row>
    <row r="1441" customFormat="false" ht="15" hidden="false" customHeight="false" outlineLevel="0" collapsed="false">
      <c r="A1441" s="0" t="s">
        <v>8</v>
      </c>
      <c r="B1441" s="0" t="s">
        <v>2055</v>
      </c>
      <c r="C1441" s="0" t="s">
        <v>7192</v>
      </c>
      <c r="D1441" s="0" t="n">
        <v>0.8</v>
      </c>
    </row>
    <row r="1442" customFormat="false" ht="15" hidden="false" customHeight="false" outlineLevel="0" collapsed="false">
      <c r="A1442" s="0" t="s">
        <v>8</v>
      </c>
      <c r="B1442" s="0" t="s">
        <v>2063</v>
      </c>
      <c r="C1442" s="0" t="s">
        <v>7190</v>
      </c>
      <c r="D1442" s="0" t="n">
        <v>310</v>
      </c>
    </row>
    <row r="1443" customFormat="false" ht="15" hidden="false" customHeight="false" outlineLevel="0" collapsed="false">
      <c r="A1443" s="0" t="s">
        <v>8</v>
      </c>
      <c r="B1443" s="0" t="s">
        <v>2063</v>
      </c>
      <c r="C1443" s="0" t="s">
        <v>7191</v>
      </c>
      <c r="D1443" s="0" t="n">
        <v>310</v>
      </c>
    </row>
    <row r="1444" customFormat="false" ht="15" hidden="false" customHeight="false" outlineLevel="0" collapsed="false">
      <c r="A1444" s="0" t="s">
        <v>8</v>
      </c>
      <c r="B1444" s="0" t="s">
        <v>2063</v>
      </c>
      <c r="C1444" s="0" t="s">
        <v>7192</v>
      </c>
      <c r="D1444" s="0" t="n">
        <v>350</v>
      </c>
    </row>
    <row r="1445" customFormat="false" ht="15" hidden="false" customHeight="false" outlineLevel="0" collapsed="false">
      <c r="A1445" s="0" t="s">
        <v>8</v>
      </c>
      <c r="B1445" s="0" t="s">
        <v>2073</v>
      </c>
      <c r="C1445" s="0" t="s">
        <v>7190</v>
      </c>
      <c r="D1445" s="0" t="n">
        <v>752</v>
      </c>
    </row>
    <row r="1446" customFormat="false" ht="15" hidden="false" customHeight="false" outlineLevel="0" collapsed="false">
      <c r="A1446" s="0" t="s">
        <v>8</v>
      </c>
      <c r="B1446" s="0" t="s">
        <v>2073</v>
      </c>
      <c r="C1446" s="0" t="s">
        <v>7191</v>
      </c>
      <c r="D1446" s="0" t="n">
        <v>752</v>
      </c>
    </row>
    <row r="1447" customFormat="false" ht="15" hidden="false" customHeight="false" outlineLevel="0" collapsed="false">
      <c r="A1447" s="0" t="s">
        <v>8</v>
      </c>
      <c r="B1447" s="0" t="s">
        <v>2073</v>
      </c>
      <c r="C1447" s="0" t="s">
        <v>7192</v>
      </c>
      <c r="D1447" s="0" t="n">
        <v>780</v>
      </c>
    </row>
    <row r="1448" customFormat="false" ht="15" hidden="false" customHeight="false" outlineLevel="0" collapsed="false">
      <c r="A1448" s="0" t="s">
        <v>8</v>
      </c>
      <c r="B1448" s="0" t="s">
        <v>2080</v>
      </c>
      <c r="C1448" s="0" t="s">
        <v>7190</v>
      </c>
      <c r="D1448" s="0" t="n">
        <v>559</v>
      </c>
    </row>
    <row r="1449" customFormat="false" ht="15" hidden="false" customHeight="false" outlineLevel="0" collapsed="false">
      <c r="A1449" s="0" t="s">
        <v>8</v>
      </c>
      <c r="B1449" s="0" t="s">
        <v>2080</v>
      </c>
      <c r="C1449" s="0" t="s">
        <v>7191</v>
      </c>
      <c r="D1449" s="0" t="n">
        <v>559</v>
      </c>
    </row>
    <row r="1450" customFormat="false" ht="15" hidden="false" customHeight="false" outlineLevel="0" collapsed="false">
      <c r="A1450" s="0" t="s">
        <v>8</v>
      </c>
      <c r="B1450" s="0" t="s">
        <v>2080</v>
      </c>
      <c r="C1450" s="0" t="s">
        <v>7192</v>
      </c>
      <c r="D1450" s="0" t="n">
        <v>600</v>
      </c>
    </row>
    <row r="1451" customFormat="false" ht="15" hidden="false" customHeight="false" outlineLevel="0" collapsed="false">
      <c r="A1451" s="0" t="s">
        <v>8</v>
      </c>
      <c r="B1451" s="0" t="s">
        <v>2089</v>
      </c>
      <c r="C1451" s="0" t="s">
        <v>7190</v>
      </c>
      <c r="D1451" s="0" t="n">
        <v>3.9</v>
      </c>
    </row>
    <row r="1452" customFormat="false" ht="15" hidden="false" customHeight="false" outlineLevel="0" collapsed="false">
      <c r="A1452" s="0" t="s">
        <v>8</v>
      </c>
      <c r="B1452" s="0" t="s">
        <v>2089</v>
      </c>
      <c r="C1452" s="0" t="s">
        <v>7191</v>
      </c>
      <c r="D1452" s="0" t="n">
        <v>3.9</v>
      </c>
    </row>
    <row r="1453" customFormat="false" ht="15" hidden="false" customHeight="false" outlineLevel="0" collapsed="false">
      <c r="A1453" s="0" t="s">
        <v>8</v>
      </c>
      <c r="B1453" s="0" t="s">
        <v>2089</v>
      </c>
      <c r="C1453" s="0" t="s">
        <v>7192</v>
      </c>
      <c r="D1453" s="0" t="n">
        <v>4.1</v>
      </c>
    </row>
    <row r="1454" customFormat="false" ht="15" hidden="false" customHeight="false" outlineLevel="0" collapsed="false">
      <c r="A1454" s="0" t="s">
        <v>8</v>
      </c>
      <c r="B1454" s="0" t="s">
        <v>2093</v>
      </c>
      <c r="C1454" s="0" t="s">
        <v>7190</v>
      </c>
      <c r="D1454" s="0" t="n">
        <v>1943</v>
      </c>
    </row>
    <row r="1455" customFormat="false" ht="15" hidden="false" customHeight="false" outlineLevel="0" collapsed="false">
      <c r="A1455" s="0" t="s">
        <v>8</v>
      </c>
      <c r="B1455" s="0" t="s">
        <v>2093</v>
      </c>
      <c r="C1455" s="0" t="s">
        <v>7191</v>
      </c>
    </row>
    <row r="1456" customFormat="false" ht="15" hidden="false" customHeight="false" outlineLevel="0" collapsed="false">
      <c r="A1456" s="0" t="s">
        <v>8</v>
      </c>
      <c r="B1456" s="0" t="s">
        <v>2093</v>
      </c>
      <c r="C1456" s="0" t="s">
        <v>7192</v>
      </c>
    </row>
    <row r="1457" customFormat="false" ht="15" hidden="false" customHeight="false" outlineLevel="0" collapsed="false">
      <c r="A1457" s="0" t="s">
        <v>8</v>
      </c>
      <c r="B1457" s="0" t="s">
        <v>2103</v>
      </c>
      <c r="C1457" s="0" t="s">
        <v>7190</v>
      </c>
      <c r="D1457" s="0" t="n">
        <v>4.45</v>
      </c>
    </row>
    <row r="1458" customFormat="false" ht="15" hidden="false" customHeight="false" outlineLevel="0" collapsed="false">
      <c r="A1458" s="0" t="s">
        <v>8</v>
      </c>
      <c r="B1458" s="0" t="s">
        <v>2103</v>
      </c>
      <c r="C1458" s="0" t="s">
        <v>7191</v>
      </c>
    </row>
    <row r="1459" customFormat="false" ht="15" hidden="false" customHeight="false" outlineLevel="0" collapsed="false">
      <c r="A1459" s="0" t="s">
        <v>8</v>
      </c>
      <c r="B1459" s="0" t="s">
        <v>2103</v>
      </c>
      <c r="C1459" s="0" t="s">
        <v>7192</v>
      </c>
    </row>
    <row r="1460" customFormat="false" ht="15" hidden="false" customHeight="false" outlineLevel="0" collapsed="false">
      <c r="A1460" s="0" t="s">
        <v>8</v>
      </c>
      <c r="B1460" s="0" t="s">
        <v>2110</v>
      </c>
      <c r="C1460" s="0" t="s">
        <v>7190</v>
      </c>
      <c r="D1460" s="0" t="n">
        <v>148</v>
      </c>
    </row>
    <row r="1461" customFormat="false" ht="15" hidden="false" customHeight="false" outlineLevel="0" collapsed="false">
      <c r="A1461" s="0" t="s">
        <v>8</v>
      </c>
      <c r="B1461" s="0" t="s">
        <v>2110</v>
      </c>
      <c r="C1461" s="0" t="s">
        <v>7191</v>
      </c>
    </row>
    <row r="1462" customFormat="false" ht="15" hidden="false" customHeight="false" outlineLevel="0" collapsed="false">
      <c r="A1462" s="0" t="s">
        <v>8</v>
      </c>
      <c r="B1462" s="0" t="s">
        <v>2110</v>
      </c>
      <c r="C1462" s="0" t="s">
        <v>7192</v>
      </c>
    </row>
    <row r="1463" customFormat="false" ht="15" hidden="false" customHeight="false" outlineLevel="0" collapsed="false">
      <c r="A1463" s="0" t="s">
        <v>8</v>
      </c>
      <c r="B1463" s="0" t="s">
        <v>2118</v>
      </c>
      <c r="C1463" s="0" t="s">
        <v>7190</v>
      </c>
      <c r="D1463" s="0" t="n">
        <v>1979</v>
      </c>
    </row>
    <row r="1464" customFormat="false" ht="15" hidden="false" customHeight="false" outlineLevel="0" collapsed="false">
      <c r="A1464" s="0" t="s">
        <v>8</v>
      </c>
      <c r="B1464" s="0" t="s">
        <v>2118</v>
      </c>
      <c r="C1464" s="0" t="s">
        <v>7191</v>
      </c>
    </row>
    <row r="1465" customFormat="false" ht="15" hidden="false" customHeight="false" outlineLevel="0" collapsed="false">
      <c r="A1465" s="0" t="s">
        <v>8</v>
      </c>
      <c r="B1465" s="0" t="s">
        <v>2118</v>
      </c>
      <c r="C1465" s="0" t="s">
        <v>7192</v>
      </c>
    </row>
    <row r="1466" customFormat="false" ht="15" hidden="false" customHeight="false" outlineLevel="0" collapsed="false">
      <c r="A1466" s="0" t="s">
        <v>8</v>
      </c>
      <c r="B1466" s="0" t="s">
        <v>2125</v>
      </c>
      <c r="C1466" s="0" t="s">
        <v>7190</v>
      </c>
      <c r="D1466" s="0" t="n">
        <v>0.15</v>
      </c>
    </row>
    <row r="1467" customFormat="false" ht="15" hidden="false" customHeight="false" outlineLevel="0" collapsed="false">
      <c r="A1467" s="0" t="s">
        <v>8</v>
      </c>
      <c r="B1467" s="0" t="s">
        <v>2125</v>
      </c>
      <c r="C1467" s="0" t="s">
        <v>7191</v>
      </c>
    </row>
    <row r="1468" customFormat="false" ht="15" hidden="false" customHeight="false" outlineLevel="0" collapsed="false">
      <c r="A1468" s="0" t="s">
        <v>8</v>
      </c>
      <c r="B1468" s="0" t="s">
        <v>2125</v>
      </c>
      <c r="C1468" s="0" t="s">
        <v>7192</v>
      </c>
    </row>
    <row r="1469" customFormat="false" ht="15" hidden="false" customHeight="false" outlineLevel="0" collapsed="false">
      <c r="A1469" s="0" t="s">
        <v>8</v>
      </c>
      <c r="B1469" s="0" t="s">
        <v>2130</v>
      </c>
      <c r="C1469" s="0" t="s">
        <v>7190</v>
      </c>
      <c r="D1469" s="0" t="n">
        <v>0.34</v>
      </c>
    </row>
    <row r="1470" customFormat="false" ht="15" hidden="false" customHeight="false" outlineLevel="0" collapsed="false">
      <c r="A1470" s="0" t="s">
        <v>8</v>
      </c>
      <c r="B1470" s="0" t="s">
        <v>2130</v>
      </c>
      <c r="C1470" s="0" t="s">
        <v>7191</v>
      </c>
      <c r="D1470" s="0" t="n">
        <v>0.26</v>
      </c>
    </row>
    <row r="1471" customFormat="false" ht="15" hidden="false" customHeight="false" outlineLevel="0" collapsed="false">
      <c r="A1471" s="0" t="s">
        <v>8</v>
      </c>
      <c r="B1471" s="0" t="s">
        <v>2130</v>
      </c>
      <c r="C1471" s="0" t="s">
        <v>7192</v>
      </c>
      <c r="D1471" s="0" t="n">
        <v>0.42</v>
      </c>
    </row>
    <row r="1472" customFormat="false" ht="15" hidden="false" customHeight="false" outlineLevel="0" collapsed="false">
      <c r="A1472" s="0" t="s">
        <v>8</v>
      </c>
      <c r="B1472" s="0" t="s">
        <v>2137</v>
      </c>
      <c r="C1472" s="0" t="s">
        <v>7190</v>
      </c>
      <c r="D1472" s="0" t="n">
        <v>1.2</v>
      </c>
    </row>
    <row r="1473" customFormat="false" ht="15" hidden="false" customHeight="false" outlineLevel="0" collapsed="false">
      <c r="A1473" s="0" t="s">
        <v>8</v>
      </c>
      <c r="B1473" s="0" t="s">
        <v>2137</v>
      </c>
      <c r="C1473" s="0" t="s">
        <v>7191</v>
      </c>
      <c r="D1473" s="0" t="n">
        <v>0.5</v>
      </c>
    </row>
    <row r="1474" customFormat="false" ht="15" hidden="false" customHeight="false" outlineLevel="0" collapsed="false">
      <c r="A1474" s="0" t="s">
        <v>8</v>
      </c>
      <c r="B1474" s="0" t="s">
        <v>2137</v>
      </c>
      <c r="C1474" s="0" t="s">
        <v>7192</v>
      </c>
      <c r="D1474" s="0" t="n">
        <v>1.2</v>
      </c>
    </row>
    <row r="1475" customFormat="false" ht="15" hidden="false" customHeight="false" outlineLevel="0" collapsed="false">
      <c r="A1475" s="0" t="s">
        <v>8</v>
      </c>
      <c r="B1475" s="0" t="s">
        <v>2145</v>
      </c>
      <c r="C1475" s="0" t="s">
        <v>7190</v>
      </c>
      <c r="D1475" s="0" t="n">
        <v>243.77</v>
      </c>
    </row>
    <row r="1476" customFormat="false" ht="15" hidden="false" customHeight="false" outlineLevel="0" collapsed="false">
      <c r="A1476" s="0" t="s">
        <v>8</v>
      </c>
      <c r="B1476" s="0" t="s">
        <v>2145</v>
      </c>
      <c r="C1476" s="0" t="s">
        <v>7191</v>
      </c>
    </row>
    <row r="1477" customFormat="false" ht="15" hidden="false" customHeight="false" outlineLevel="0" collapsed="false">
      <c r="A1477" s="0" t="s">
        <v>8</v>
      </c>
      <c r="B1477" s="0" t="s">
        <v>2145</v>
      </c>
      <c r="C1477" s="0" t="s">
        <v>7192</v>
      </c>
    </row>
    <row r="1478" customFormat="false" ht="15" hidden="false" customHeight="false" outlineLevel="0" collapsed="false">
      <c r="A1478" s="0" t="s">
        <v>8</v>
      </c>
      <c r="B1478" s="0" t="s">
        <v>2154</v>
      </c>
      <c r="C1478" s="0" t="s">
        <v>7190</v>
      </c>
      <c r="D1478" s="0" t="n">
        <v>83</v>
      </c>
    </row>
    <row r="1479" customFormat="false" ht="15" hidden="false" customHeight="false" outlineLevel="0" collapsed="false">
      <c r="A1479" s="0" t="s">
        <v>8</v>
      </c>
      <c r="B1479" s="0" t="s">
        <v>2154</v>
      </c>
      <c r="C1479" s="0" t="s">
        <v>7191</v>
      </c>
      <c r="D1479" s="0" t="n">
        <v>83</v>
      </c>
    </row>
    <row r="1480" customFormat="false" ht="15" hidden="false" customHeight="false" outlineLevel="0" collapsed="false">
      <c r="A1480" s="0" t="s">
        <v>8</v>
      </c>
      <c r="B1480" s="0" t="s">
        <v>2154</v>
      </c>
      <c r="C1480" s="0" t="s">
        <v>7192</v>
      </c>
      <c r="D1480" s="0" t="n">
        <v>83.6</v>
      </c>
    </row>
    <row r="1481" customFormat="false" ht="15" hidden="false" customHeight="false" outlineLevel="0" collapsed="false">
      <c r="A1481" s="0" t="s">
        <v>8</v>
      </c>
      <c r="B1481" s="0" t="s">
        <v>2162</v>
      </c>
      <c r="C1481" s="0" t="s">
        <v>7190</v>
      </c>
      <c r="D1481" s="0" t="n">
        <v>83.6</v>
      </c>
    </row>
    <row r="1482" customFormat="false" ht="15" hidden="false" customHeight="false" outlineLevel="0" collapsed="false">
      <c r="A1482" s="0" t="s">
        <v>8</v>
      </c>
      <c r="B1482" s="0" t="s">
        <v>2162</v>
      </c>
      <c r="C1482" s="0" t="s">
        <v>7191</v>
      </c>
    </row>
    <row r="1483" customFormat="false" ht="15" hidden="false" customHeight="false" outlineLevel="0" collapsed="false">
      <c r="A1483" s="0" t="s">
        <v>8</v>
      </c>
      <c r="B1483" s="0" t="s">
        <v>2162</v>
      </c>
      <c r="C1483" s="0" t="s">
        <v>7192</v>
      </c>
    </row>
    <row r="1484" customFormat="false" ht="15" hidden="false" customHeight="false" outlineLevel="0" collapsed="false">
      <c r="A1484" s="0" t="s">
        <v>8</v>
      </c>
      <c r="B1484" s="0" t="s">
        <v>2169</v>
      </c>
      <c r="C1484" s="0" t="s">
        <v>7190</v>
      </c>
      <c r="D1484" s="0" t="n">
        <v>0.4</v>
      </c>
    </row>
    <row r="1485" customFormat="false" ht="15" hidden="false" customHeight="false" outlineLevel="0" collapsed="false">
      <c r="A1485" s="0" t="s">
        <v>8</v>
      </c>
      <c r="B1485" s="0" t="s">
        <v>2169</v>
      </c>
      <c r="C1485" s="0" t="s">
        <v>7191</v>
      </c>
    </row>
    <row r="1486" customFormat="false" ht="15" hidden="false" customHeight="false" outlineLevel="0" collapsed="false">
      <c r="A1486" s="0" t="s">
        <v>8</v>
      </c>
      <c r="B1486" s="0" t="s">
        <v>2169</v>
      </c>
      <c r="C1486" s="0" t="s">
        <v>7192</v>
      </c>
    </row>
    <row r="1487" customFormat="false" ht="15" hidden="false" customHeight="false" outlineLevel="0" collapsed="false">
      <c r="A1487" s="0" t="s">
        <v>8</v>
      </c>
      <c r="B1487" s="0" t="s">
        <v>2173</v>
      </c>
      <c r="C1487" s="0" t="s">
        <v>7190</v>
      </c>
      <c r="D1487" s="0" t="n">
        <v>3.75</v>
      </c>
    </row>
    <row r="1488" customFormat="false" ht="15" hidden="false" customHeight="false" outlineLevel="0" collapsed="false">
      <c r="A1488" s="0" t="s">
        <v>8</v>
      </c>
      <c r="B1488" s="0" t="s">
        <v>2173</v>
      </c>
      <c r="C1488" s="0" t="s">
        <v>7191</v>
      </c>
    </row>
    <row r="1489" customFormat="false" ht="15" hidden="false" customHeight="false" outlineLevel="0" collapsed="false">
      <c r="A1489" s="0" t="s">
        <v>8</v>
      </c>
      <c r="B1489" s="0" t="s">
        <v>2173</v>
      </c>
      <c r="C1489" s="0" t="s">
        <v>7192</v>
      </c>
    </row>
    <row r="1490" customFormat="false" ht="15" hidden="false" customHeight="false" outlineLevel="0" collapsed="false">
      <c r="A1490" s="0" t="s">
        <v>8</v>
      </c>
      <c r="B1490" s="0" t="s">
        <v>2177</v>
      </c>
      <c r="C1490" s="0" t="s">
        <v>7190</v>
      </c>
      <c r="D1490" s="0" t="n">
        <v>1.52</v>
      </c>
    </row>
    <row r="1491" customFormat="false" ht="15" hidden="false" customHeight="false" outlineLevel="0" collapsed="false">
      <c r="A1491" s="0" t="s">
        <v>8</v>
      </c>
      <c r="B1491" s="0" t="s">
        <v>2177</v>
      </c>
      <c r="C1491" s="0" t="s">
        <v>7191</v>
      </c>
    </row>
    <row r="1492" customFormat="false" ht="15" hidden="false" customHeight="false" outlineLevel="0" collapsed="false">
      <c r="A1492" s="0" t="s">
        <v>8</v>
      </c>
      <c r="B1492" s="0" t="s">
        <v>2177</v>
      </c>
      <c r="C1492" s="0" t="s">
        <v>7192</v>
      </c>
    </row>
    <row r="1493" customFormat="false" ht="15" hidden="false" customHeight="false" outlineLevel="0" collapsed="false">
      <c r="A1493" s="0" t="s">
        <v>8</v>
      </c>
      <c r="B1493" s="0" t="s">
        <v>2182</v>
      </c>
      <c r="C1493" s="0" t="s">
        <v>7190</v>
      </c>
      <c r="D1493" s="0" t="n">
        <v>8.5</v>
      </c>
    </row>
    <row r="1494" customFormat="false" ht="15" hidden="false" customHeight="false" outlineLevel="0" collapsed="false">
      <c r="A1494" s="0" t="s">
        <v>8</v>
      </c>
      <c r="B1494" s="0" t="s">
        <v>2182</v>
      </c>
      <c r="C1494" s="0" t="s">
        <v>7191</v>
      </c>
    </row>
    <row r="1495" customFormat="false" ht="15" hidden="false" customHeight="false" outlineLevel="0" collapsed="false">
      <c r="A1495" s="0" t="s">
        <v>8</v>
      </c>
      <c r="B1495" s="0" t="s">
        <v>2182</v>
      </c>
      <c r="C1495" s="0" t="s">
        <v>7192</v>
      </c>
    </row>
    <row r="1496" customFormat="false" ht="15" hidden="false" customHeight="false" outlineLevel="0" collapsed="false">
      <c r="A1496" s="0" t="s">
        <v>8</v>
      </c>
      <c r="B1496" s="0" t="s">
        <v>2186</v>
      </c>
      <c r="C1496" s="0" t="s">
        <v>7190</v>
      </c>
      <c r="D1496" s="0" t="n">
        <v>2.1</v>
      </c>
    </row>
    <row r="1497" customFormat="false" ht="15" hidden="false" customHeight="false" outlineLevel="0" collapsed="false">
      <c r="A1497" s="0" t="s">
        <v>8</v>
      </c>
      <c r="B1497" s="0" t="s">
        <v>2186</v>
      </c>
      <c r="C1497" s="0" t="s">
        <v>7191</v>
      </c>
    </row>
    <row r="1498" customFormat="false" ht="15" hidden="false" customHeight="false" outlineLevel="0" collapsed="false">
      <c r="A1498" s="0" t="s">
        <v>8</v>
      </c>
      <c r="B1498" s="0" t="s">
        <v>2186</v>
      </c>
      <c r="C1498" s="0" t="s">
        <v>7192</v>
      </c>
    </row>
    <row r="1499" customFormat="false" ht="15" hidden="false" customHeight="false" outlineLevel="0" collapsed="false">
      <c r="A1499" s="0" t="s">
        <v>8</v>
      </c>
      <c r="B1499" s="0" t="s">
        <v>2191</v>
      </c>
      <c r="C1499" s="0" t="s">
        <v>7190</v>
      </c>
      <c r="D1499" s="0" t="n">
        <v>21.1</v>
      </c>
    </row>
    <row r="1500" customFormat="false" ht="15" hidden="false" customHeight="false" outlineLevel="0" collapsed="false">
      <c r="A1500" s="0" t="s">
        <v>8</v>
      </c>
      <c r="B1500" s="0" t="s">
        <v>2191</v>
      </c>
      <c r="C1500" s="0" t="s">
        <v>7191</v>
      </c>
    </row>
    <row r="1501" customFormat="false" ht="15" hidden="false" customHeight="false" outlineLevel="0" collapsed="false">
      <c r="A1501" s="0" t="s">
        <v>8</v>
      </c>
      <c r="B1501" s="0" t="s">
        <v>2191</v>
      </c>
      <c r="C1501" s="0" t="s">
        <v>7192</v>
      </c>
    </row>
    <row r="1502" customFormat="false" ht="15" hidden="false" customHeight="false" outlineLevel="0" collapsed="false">
      <c r="A1502" s="0" t="s">
        <v>8</v>
      </c>
      <c r="B1502" s="0" t="s">
        <v>2195</v>
      </c>
      <c r="C1502" s="0" t="s">
        <v>7190</v>
      </c>
      <c r="D1502" s="0" t="n">
        <v>3</v>
      </c>
    </row>
    <row r="1503" customFormat="false" ht="15" hidden="false" customHeight="false" outlineLevel="0" collapsed="false">
      <c r="A1503" s="0" t="s">
        <v>8</v>
      </c>
      <c r="B1503" s="0" t="s">
        <v>2195</v>
      </c>
      <c r="C1503" s="0" t="s">
        <v>7191</v>
      </c>
    </row>
    <row r="1504" customFormat="false" ht="15" hidden="false" customHeight="false" outlineLevel="0" collapsed="false">
      <c r="A1504" s="0" t="s">
        <v>8</v>
      </c>
      <c r="B1504" s="0" t="s">
        <v>2195</v>
      </c>
      <c r="C1504" s="0" t="s">
        <v>7192</v>
      </c>
    </row>
    <row r="1505" customFormat="false" ht="15" hidden="false" customHeight="false" outlineLevel="0" collapsed="false">
      <c r="A1505" s="0" t="s">
        <v>8</v>
      </c>
      <c r="B1505" s="0" t="s">
        <v>2200</v>
      </c>
      <c r="C1505" s="0" t="s">
        <v>7190</v>
      </c>
      <c r="D1505" s="0" t="n">
        <v>6</v>
      </c>
    </row>
    <row r="1506" customFormat="false" ht="15" hidden="false" customHeight="false" outlineLevel="0" collapsed="false">
      <c r="A1506" s="0" t="s">
        <v>8</v>
      </c>
      <c r="B1506" s="0" t="s">
        <v>2200</v>
      </c>
      <c r="C1506" s="0" t="s">
        <v>7191</v>
      </c>
    </row>
    <row r="1507" customFormat="false" ht="15" hidden="false" customHeight="false" outlineLevel="0" collapsed="false">
      <c r="A1507" s="0" t="s">
        <v>8</v>
      </c>
      <c r="B1507" s="0" t="s">
        <v>2200</v>
      </c>
      <c r="C1507" s="0" t="s">
        <v>7192</v>
      </c>
    </row>
    <row r="1508" customFormat="false" ht="15" hidden="false" customHeight="false" outlineLevel="0" collapsed="false">
      <c r="A1508" s="0" t="s">
        <v>8</v>
      </c>
      <c r="B1508" s="0" t="s">
        <v>2205</v>
      </c>
      <c r="C1508" s="0" t="s">
        <v>7190</v>
      </c>
      <c r="D1508" s="0" t="n">
        <v>2</v>
      </c>
    </row>
    <row r="1509" customFormat="false" ht="15" hidden="false" customHeight="false" outlineLevel="0" collapsed="false">
      <c r="A1509" s="0" t="s">
        <v>8</v>
      </c>
      <c r="B1509" s="0" t="s">
        <v>2205</v>
      </c>
      <c r="C1509" s="0" t="s">
        <v>7191</v>
      </c>
    </row>
    <row r="1510" customFormat="false" ht="15" hidden="false" customHeight="false" outlineLevel="0" collapsed="false">
      <c r="A1510" s="0" t="s">
        <v>8</v>
      </c>
      <c r="B1510" s="0" t="s">
        <v>2205</v>
      </c>
      <c r="C1510" s="0" t="s">
        <v>7192</v>
      </c>
    </row>
    <row r="1511" customFormat="false" ht="15" hidden="false" customHeight="false" outlineLevel="0" collapsed="false">
      <c r="A1511" s="0" t="s">
        <v>8</v>
      </c>
      <c r="B1511" s="0" t="s">
        <v>2210</v>
      </c>
      <c r="C1511" s="0" t="s">
        <v>7190</v>
      </c>
      <c r="D1511" s="0" t="n">
        <v>1.5</v>
      </c>
    </row>
    <row r="1512" customFormat="false" ht="15" hidden="false" customHeight="false" outlineLevel="0" collapsed="false">
      <c r="A1512" s="0" t="s">
        <v>8</v>
      </c>
      <c r="B1512" s="0" t="s">
        <v>2210</v>
      </c>
      <c r="C1512" s="0" t="s">
        <v>7191</v>
      </c>
    </row>
    <row r="1513" customFormat="false" ht="15" hidden="false" customHeight="false" outlineLevel="0" collapsed="false">
      <c r="A1513" s="0" t="s">
        <v>8</v>
      </c>
      <c r="B1513" s="0" t="s">
        <v>2210</v>
      </c>
      <c r="C1513" s="0" t="s">
        <v>7192</v>
      </c>
    </row>
    <row r="1514" customFormat="false" ht="15" hidden="false" customHeight="false" outlineLevel="0" collapsed="false">
      <c r="A1514" s="0" t="s">
        <v>8</v>
      </c>
      <c r="B1514" s="0" t="s">
        <v>2214</v>
      </c>
      <c r="C1514" s="0" t="s">
        <v>7190</v>
      </c>
    </row>
    <row r="1515" customFormat="false" ht="15" hidden="false" customHeight="false" outlineLevel="0" collapsed="false">
      <c r="A1515" s="0" t="s">
        <v>8</v>
      </c>
      <c r="B1515" s="0" t="s">
        <v>2214</v>
      </c>
      <c r="C1515" s="0" t="s">
        <v>7191</v>
      </c>
      <c r="D1515" s="0" t="n">
        <v>25</v>
      </c>
    </row>
    <row r="1516" customFormat="false" ht="15" hidden="false" customHeight="false" outlineLevel="0" collapsed="false">
      <c r="A1516" s="0" t="s">
        <v>8</v>
      </c>
      <c r="B1516" s="0" t="s">
        <v>2214</v>
      </c>
      <c r="C1516" s="0" t="s">
        <v>7192</v>
      </c>
    </row>
    <row r="1517" customFormat="false" ht="15" hidden="false" customHeight="false" outlineLevel="0" collapsed="false">
      <c r="A1517" s="0" t="s">
        <v>8</v>
      </c>
      <c r="B1517" s="0" t="s">
        <v>2223</v>
      </c>
      <c r="C1517" s="0" t="s">
        <v>7190</v>
      </c>
      <c r="D1517" s="0" t="n">
        <v>400</v>
      </c>
    </row>
    <row r="1518" customFormat="false" ht="15" hidden="false" customHeight="false" outlineLevel="0" collapsed="false">
      <c r="A1518" s="0" t="s">
        <v>8</v>
      </c>
      <c r="B1518" s="0" t="s">
        <v>2223</v>
      </c>
      <c r="C1518" s="0" t="s">
        <v>7191</v>
      </c>
    </row>
    <row r="1519" customFormat="false" ht="15" hidden="false" customHeight="false" outlineLevel="0" collapsed="false">
      <c r="A1519" s="0" t="s">
        <v>8</v>
      </c>
      <c r="B1519" s="0" t="s">
        <v>2223</v>
      </c>
      <c r="C1519" s="0" t="s">
        <v>7192</v>
      </c>
    </row>
    <row r="1520" customFormat="false" ht="15" hidden="false" customHeight="false" outlineLevel="0" collapsed="false">
      <c r="A1520" s="0" t="s">
        <v>8</v>
      </c>
      <c r="B1520" s="0" t="s">
        <v>2234</v>
      </c>
      <c r="C1520" s="0" t="s">
        <v>7190</v>
      </c>
      <c r="D1520" s="0" t="n">
        <v>3</v>
      </c>
    </row>
    <row r="1521" customFormat="false" ht="15" hidden="false" customHeight="false" outlineLevel="0" collapsed="false">
      <c r="A1521" s="0" t="s">
        <v>8</v>
      </c>
      <c r="B1521" s="0" t="s">
        <v>2234</v>
      </c>
      <c r="C1521" s="0" t="s">
        <v>7191</v>
      </c>
    </row>
    <row r="1522" customFormat="false" ht="15" hidden="false" customHeight="false" outlineLevel="0" collapsed="false">
      <c r="A1522" s="0" t="s">
        <v>8</v>
      </c>
      <c r="B1522" s="0" t="s">
        <v>2234</v>
      </c>
      <c r="C1522" s="0" t="s">
        <v>7192</v>
      </c>
    </row>
    <row r="1523" customFormat="false" ht="15" hidden="false" customHeight="false" outlineLevel="0" collapsed="false">
      <c r="A1523" s="0" t="s">
        <v>8</v>
      </c>
      <c r="B1523" s="0" t="s">
        <v>2240</v>
      </c>
      <c r="C1523" s="0" t="s">
        <v>7190</v>
      </c>
      <c r="D1523" s="0" t="n">
        <v>200</v>
      </c>
    </row>
    <row r="1524" customFormat="false" ht="15" hidden="false" customHeight="false" outlineLevel="0" collapsed="false">
      <c r="A1524" s="0" t="s">
        <v>8</v>
      </c>
      <c r="B1524" s="0" t="s">
        <v>2240</v>
      </c>
      <c r="C1524" s="0" t="s">
        <v>7191</v>
      </c>
    </row>
    <row r="1525" customFormat="false" ht="15" hidden="false" customHeight="false" outlineLevel="0" collapsed="false">
      <c r="A1525" s="0" t="s">
        <v>8</v>
      </c>
      <c r="B1525" s="0" t="s">
        <v>2240</v>
      </c>
      <c r="C1525" s="0" t="s">
        <v>7192</v>
      </c>
    </row>
    <row r="1526" customFormat="false" ht="15" hidden="false" customHeight="false" outlineLevel="0" collapsed="false">
      <c r="A1526" s="0" t="s">
        <v>8</v>
      </c>
      <c r="B1526" s="0" t="s">
        <v>2250</v>
      </c>
      <c r="C1526" s="0" t="s">
        <v>7190</v>
      </c>
      <c r="D1526" s="0" t="n">
        <v>30</v>
      </c>
    </row>
    <row r="1527" customFormat="false" ht="15" hidden="false" customHeight="false" outlineLevel="0" collapsed="false">
      <c r="A1527" s="0" t="s">
        <v>8</v>
      </c>
      <c r="B1527" s="0" t="s">
        <v>2250</v>
      </c>
      <c r="C1527" s="0" t="s">
        <v>7191</v>
      </c>
    </row>
    <row r="1528" customFormat="false" ht="15" hidden="false" customHeight="false" outlineLevel="0" collapsed="false">
      <c r="A1528" s="0" t="s">
        <v>8</v>
      </c>
      <c r="B1528" s="0" t="s">
        <v>2250</v>
      </c>
      <c r="C1528" s="0" t="s">
        <v>7192</v>
      </c>
    </row>
    <row r="1529" customFormat="false" ht="15" hidden="false" customHeight="false" outlineLevel="0" collapsed="false">
      <c r="A1529" s="0" t="s">
        <v>8</v>
      </c>
      <c r="B1529" s="0" t="s">
        <v>2256</v>
      </c>
      <c r="C1529" s="0" t="s">
        <v>7190</v>
      </c>
    </row>
    <row r="1530" customFormat="false" ht="15" hidden="false" customHeight="false" outlineLevel="0" collapsed="false">
      <c r="A1530" s="0" t="s">
        <v>8</v>
      </c>
      <c r="B1530" s="0" t="s">
        <v>2256</v>
      </c>
      <c r="C1530" s="0" t="s">
        <v>7191</v>
      </c>
      <c r="D1530" s="0" t="n">
        <v>10</v>
      </c>
    </row>
    <row r="1531" customFormat="false" ht="15" hidden="false" customHeight="false" outlineLevel="0" collapsed="false">
      <c r="A1531" s="0" t="s">
        <v>8</v>
      </c>
      <c r="B1531" s="0" t="s">
        <v>2256</v>
      </c>
      <c r="C1531" s="0" t="s">
        <v>7192</v>
      </c>
    </row>
    <row r="1532" customFormat="false" ht="15" hidden="false" customHeight="false" outlineLevel="0" collapsed="false">
      <c r="A1532" s="0" t="s">
        <v>8</v>
      </c>
      <c r="B1532" s="0" t="s">
        <v>2264</v>
      </c>
      <c r="C1532" s="0" t="s">
        <v>7190</v>
      </c>
      <c r="D1532" s="0" t="n">
        <v>5</v>
      </c>
    </row>
    <row r="1533" customFormat="false" ht="15" hidden="false" customHeight="false" outlineLevel="0" collapsed="false">
      <c r="A1533" s="0" t="s">
        <v>8</v>
      </c>
      <c r="B1533" s="0" t="s">
        <v>2264</v>
      </c>
      <c r="C1533" s="0" t="s">
        <v>7191</v>
      </c>
    </row>
    <row r="1534" customFormat="false" ht="15" hidden="false" customHeight="false" outlineLevel="0" collapsed="false">
      <c r="A1534" s="0" t="s">
        <v>8</v>
      </c>
      <c r="B1534" s="0" t="s">
        <v>2264</v>
      </c>
      <c r="C1534" s="0" t="s">
        <v>7192</v>
      </c>
    </row>
    <row r="1535" customFormat="false" ht="15" hidden="false" customHeight="false" outlineLevel="0" collapsed="false">
      <c r="A1535" s="0" t="s">
        <v>8</v>
      </c>
      <c r="B1535" s="0" t="s">
        <v>2272</v>
      </c>
      <c r="C1535" s="0" t="s">
        <v>7190</v>
      </c>
      <c r="D1535" s="0" t="n">
        <v>3</v>
      </c>
    </row>
    <row r="1536" customFormat="false" ht="15" hidden="false" customHeight="false" outlineLevel="0" collapsed="false">
      <c r="A1536" s="0" t="s">
        <v>8</v>
      </c>
      <c r="B1536" s="0" t="s">
        <v>2272</v>
      </c>
      <c r="C1536" s="0" t="s">
        <v>7191</v>
      </c>
    </row>
    <row r="1537" customFormat="false" ht="15" hidden="false" customHeight="false" outlineLevel="0" collapsed="false">
      <c r="A1537" s="0" t="s">
        <v>8</v>
      </c>
      <c r="B1537" s="0" t="s">
        <v>2272</v>
      </c>
      <c r="C1537" s="0" t="s">
        <v>7192</v>
      </c>
    </row>
    <row r="1538" customFormat="false" ht="15" hidden="false" customHeight="false" outlineLevel="0" collapsed="false">
      <c r="A1538" s="0" t="s">
        <v>8</v>
      </c>
      <c r="B1538" s="0" t="s">
        <v>2280</v>
      </c>
      <c r="C1538" s="0" t="s">
        <v>7190</v>
      </c>
      <c r="D1538" s="0" t="n">
        <v>10</v>
      </c>
    </row>
    <row r="1539" customFormat="false" ht="15" hidden="false" customHeight="false" outlineLevel="0" collapsed="false">
      <c r="A1539" s="0" t="s">
        <v>8</v>
      </c>
      <c r="B1539" s="0" t="s">
        <v>2280</v>
      </c>
      <c r="C1539" s="0" t="s">
        <v>7191</v>
      </c>
    </row>
    <row r="1540" customFormat="false" ht="15" hidden="false" customHeight="false" outlineLevel="0" collapsed="false">
      <c r="A1540" s="0" t="s">
        <v>8</v>
      </c>
      <c r="B1540" s="0" t="s">
        <v>2280</v>
      </c>
      <c r="C1540" s="0" t="s">
        <v>7192</v>
      </c>
    </row>
    <row r="1541" customFormat="false" ht="15" hidden="false" customHeight="false" outlineLevel="0" collapsed="false">
      <c r="A1541" s="0" t="s">
        <v>8</v>
      </c>
      <c r="B1541" s="0" t="s">
        <v>2289</v>
      </c>
      <c r="C1541" s="0" t="s">
        <v>7190</v>
      </c>
    </row>
    <row r="1542" customFormat="false" ht="15" hidden="false" customHeight="false" outlineLevel="0" collapsed="false">
      <c r="A1542" s="0" t="s">
        <v>8</v>
      </c>
      <c r="B1542" s="0" t="s">
        <v>2289</v>
      </c>
      <c r="C1542" s="0" t="s">
        <v>7191</v>
      </c>
      <c r="D1542" s="0" t="n">
        <v>20</v>
      </c>
    </row>
    <row r="1543" customFormat="false" ht="15" hidden="false" customHeight="false" outlineLevel="0" collapsed="false">
      <c r="A1543" s="0" t="s">
        <v>8</v>
      </c>
      <c r="B1543" s="0" t="s">
        <v>2289</v>
      </c>
      <c r="C1543" s="0" t="s">
        <v>7192</v>
      </c>
    </row>
    <row r="1544" customFormat="false" ht="15" hidden="false" customHeight="false" outlineLevel="0" collapsed="false">
      <c r="A1544" s="0" t="s">
        <v>8</v>
      </c>
      <c r="B1544" s="0" t="s">
        <v>2294</v>
      </c>
      <c r="C1544" s="0" t="s">
        <v>7190</v>
      </c>
      <c r="D1544" s="0" t="n">
        <v>116.2</v>
      </c>
    </row>
    <row r="1545" customFormat="false" ht="15" hidden="false" customHeight="false" outlineLevel="0" collapsed="false">
      <c r="A1545" s="0" t="s">
        <v>8</v>
      </c>
      <c r="B1545" s="0" t="s">
        <v>2294</v>
      </c>
      <c r="C1545" s="0" t="s">
        <v>7191</v>
      </c>
    </row>
    <row r="1546" customFormat="false" ht="15" hidden="false" customHeight="false" outlineLevel="0" collapsed="false">
      <c r="A1546" s="0" t="s">
        <v>8</v>
      </c>
      <c r="B1546" s="0" t="s">
        <v>2294</v>
      </c>
      <c r="C1546" s="0" t="s">
        <v>7192</v>
      </c>
    </row>
    <row r="1547" customFormat="false" ht="15" hidden="false" customHeight="false" outlineLevel="0" collapsed="false">
      <c r="A1547" s="0" t="s">
        <v>8</v>
      </c>
      <c r="B1547" s="0" t="s">
        <v>2303</v>
      </c>
      <c r="C1547" s="0" t="s">
        <v>7190</v>
      </c>
      <c r="D1547" s="0" t="n">
        <v>37419500</v>
      </c>
    </row>
    <row r="1548" customFormat="false" ht="15" hidden="false" customHeight="false" outlineLevel="0" collapsed="false">
      <c r="A1548" s="0" t="s">
        <v>8</v>
      </c>
      <c r="B1548" s="0" t="s">
        <v>2303</v>
      </c>
      <c r="C1548" s="0" t="s">
        <v>7191</v>
      </c>
    </row>
    <row r="1549" customFormat="false" ht="15" hidden="false" customHeight="false" outlineLevel="0" collapsed="false">
      <c r="A1549" s="0" t="s">
        <v>8</v>
      </c>
      <c r="B1549" s="0" t="s">
        <v>2303</v>
      </c>
      <c r="C1549" s="0" t="s">
        <v>7192</v>
      </c>
    </row>
    <row r="1550" customFormat="false" ht="15" hidden="false" customHeight="false" outlineLevel="0" collapsed="false">
      <c r="A1550" s="0" t="s">
        <v>8</v>
      </c>
      <c r="B1550" s="0" t="s">
        <v>2309</v>
      </c>
      <c r="C1550" s="0" t="s">
        <v>7190</v>
      </c>
      <c r="D1550" s="0" t="n">
        <v>4348.1</v>
      </c>
    </row>
    <row r="1551" customFormat="false" ht="15" hidden="false" customHeight="false" outlineLevel="0" collapsed="false">
      <c r="A1551" s="0" t="s">
        <v>8</v>
      </c>
      <c r="B1551" s="0" t="s">
        <v>2309</v>
      </c>
      <c r="C1551" s="0" t="s">
        <v>7191</v>
      </c>
    </row>
    <row r="1552" customFormat="false" ht="15" hidden="false" customHeight="false" outlineLevel="0" collapsed="false">
      <c r="A1552" s="0" t="s">
        <v>8</v>
      </c>
      <c r="B1552" s="0" t="s">
        <v>2309</v>
      </c>
      <c r="C1552" s="0" t="s">
        <v>7192</v>
      </c>
    </row>
    <row r="1553" customFormat="false" ht="15" hidden="false" customHeight="false" outlineLevel="0" collapsed="false">
      <c r="A1553" s="0" t="s">
        <v>8</v>
      </c>
      <c r="B1553" s="0" t="s">
        <v>2317</v>
      </c>
      <c r="C1553" s="0" t="s">
        <v>7190</v>
      </c>
      <c r="D1553" s="0" t="n">
        <v>174.7</v>
      </c>
    </row>
    <row r="1554" customFormat="false" ht="15" hidden="false" customHeight="false" outlineLevel="0" collapsed="false">
      <c r="A1554" s="0" t="s">
        <v>8</v>
      </c>
      <c r="B1554" s="0" t="s">
        <v>2317</v>
      </c>
      <c r="C1554" s="0" t="s">
        <v>7191</v>
      </c>
    </row>
    <row r="1555" customFormat="false" ht="15" hidden="false" customHeight="false" outlineLevel="0" collapsed="false">
      <c r="A1555" s="0" t="s">
        <v>8</v>
      </c>
      <c r="B1555" s="0" t="s">
        <v>2317</v>
      </c>
      <c r="C1555" s="0" t="s">
        <v>7192</v>
      </c>
    </row>
    <row r="1556" customFormat="false" ht="15" hidden="false" customHeight="false" outlineLevel="0" collapsed="false">
      <c r="A1556" s="0" t="s">
        <v>8</v>
      </c>
      <c r="B1556" s="0" t="s">
        <v>2321</v>
      </c>
      <c r="C1556" s="0" t="s">
        <v>7190</v>
      </c>
      <c r="D1556" s="0" t="n">
        <v>4173.4</v>
      </c>
    </row>
    <row r="1557" customFormat="false" ht="15" hidden="false" customHeight="false" outlineLevel="0" collapsed="false">
      <c r="A1557" s="0" t="s">
        <v>8</v>
      </c>
      <c r="B1557" s="0" t="s">
        <v>2321</v>
      </c>
      <c r="C1557" s="0" t="s">
        <v>7191</v>
      </c>
    </row>
    <row r="1558" customFormat="false" ht="15" hidden="false" customHeight="false" outlineLevel="0" collapsed="false">
      <c r="A1558" s="0" t="s">
        <v>8</v>
      </c>
      <c r="B1558" s="0" t="s">
        <v>2321</v>
      </c>
      <c r="C1558" s="0" t="s">
        <v>7192</v>
      </c>
    </row>
    <row r="1559" customFormat="false" ht="15" hidden="false" customHeight="false" outlineLevel="0" collapsed="false">
      <c r="A1559" s="0" t="s">
        <v>8</v>
      </c>
      <c r="B1559" s="0" t="s">
        <v>2326</v>
      </c>
      <c r="C1559" s="0" t="s">
        <v>7190</v>
      </c>
      <c r="D1559" s="0" t="n">
        <v>5612900</v>
      </c>
    </row>
    <row r="1560" customFormat="false" ht="15" hidden="false" customHeight="false" outlineLevel="0" collapsed="false">
      <c r="A1560" s="0" t="s">
        <v>8</v>
      </c>
      <c r="B1560" s="0" t="s">
        <v>2326</v>
      </c>
      <c r="C1560" s="0" t="s">
        <v>7191</v>
      </c>
    </row>
    <row r="1561" customFormat="false" ht="15" hidden="false" customHeight="false" outlineLevel="0" collapsed="false">
      <c r="A1561" s="0" t="s">
        <v>8</v>
      </c>
      <c r="B1561" s="0" t="s">
        <v>2326</v>
      </c>
      <c r="C1561" s="0" t="s">
        <v>7192</v>
      </c>
    </row>
    <row r="1562" customFormat="false" ht="15" hidden="false" customHeight="false" outlineLevel="0" collapsed="false">
      <c r="A1562" s="0" t="s">
        <v>8</v>
      </c>
      <c r="B1562" s="0" t="s">
        <v>2333</v>
      </c>
      <c r="C1562" s="0" t="s">
        <v>7190</v>
      </c>
      <c r="D1562" s="0" t="n">
        <v>5623900</v>
      </c>
    </row>
    <row r="1563" customFormat="false" ht="15" hidden="false" customHeight="false" outlineLevel="0" collapsed="false">
      <c r="A1563" s="0" t="s">
        <v>8</v>
      </c>
      <c r="B1563" s="0" t="s">
        <v>2333</v>
      </c>
      <c r="C1563" s="0" t="s">
        <v>7191</v>
      </c>
    </row>
    <row r="1564" customFormat="false" ht="15" hidden="false" customHeight="false" outlineLevel="0" collapsed="false">
      <c r="A1564" s="0" t="s">
        <v>8</v>
      </c>
      <c r="B1564" s="0" t="s">
        <v>2333</v>
      </c>
      <c r="C1564" s="0" t="s">
        <v>7192</v>
      </c>
    </row>
    <row r="1565" customFormat="false" ht="15" hidden="false" customHeight="false" outlineLevel="0" collapsed="false">
      <c r="A1565" s="0" t="s">
        <v>8</v>
      </c>
      <c r="B1565" s="0" t="s">
        <v>2338</v>
      </c>
      <c r="C1565" s="0" t="s">
        <v>7190</v>
      </c>
      <c r="D1565" s="0" t="n">
        <v>4896.2</v>
      </c>
    </row>
    <row r="1566" customFormat="false" ht="15" hidden="false" customHeight="false" outlineLevel="0" collapsed="false">
      <c r="A1566" s="0" t="s">
        <v>8</v>
      </c>
      <c r="B1566" s="0" t="s">
        <v>2338</v>
      </c>
      <c r="C1566" s="0" t="s">
        <v>7191</v>
      </c>
    </row>
    <row r="1567" customFormat="false" ht="15" hidden="false" customHeight="false" outlineLevel="0" collapsed="false">
      <c r="A1567" s="0" t="s">
        <v>8</v>
      </c>
      <c r="B1567" s="0" t="s">
        <v>2338</v>
      </c>
      <c r="C1567" s="0" t="s">
        <v>7192</v>
      </c>
    </row>
    <row r="1568" customFormat="false" ht="15" hidden="false" customHeight="false" outlineLevel="0" collapsed="false">
      <c r="A1568" s="0" t="s">
        <v>8</v>
      </c>
      <c r="B1568" s="0" t="s">
        <v>2343</v>
      </c>
      <c r="C1568" s="0" t="s">
        <v>7190</v>
      </c>
      <c r="D1568" s="0" t="n">
        <v>29.8</v>
      </c>
    </row>
    <row r="1569" customFormat="false" ht="15" hidden="false" customHeight="false" outlineLevel="0" collapsed="false">
      <c r="A1569" s="0" t="s">
        <v>8</v>
      </c>
      <c r="B1569" s="0" t="s">
        <v>2343</v>
      </c>
      <c r="C1569" s="0" t="s">
        <v>7191</v>
      </c>
    </row>
    <row r="1570" customFormat="false" ht="15" hidden="false" customHeight="false" outlineLevel="0" collapsed="false">
      <c r="A1570" s="0" t="s">
        <v>8</v>
      </c>
      <c r="B1570" s="0" t="s">
        <v>2343</v>
      </c>
      <c r="C1570" s="0" t="s">
        <v>7192</v>
      </c>
    </row>
    <row r="1571" customFormat="false" ht="15" hidden="false" customHeight="false" outlineLevel="0" collapsed="false">
      <c r="A1571" s="0" t="s">
        <v>8</v>
      </c>
      <c r="B1571" s="0" t="s">
        <v>2351</v>
      </c>
      <c r="C1571" s="0" t="s">
        <v>7190</v>
      </c>
      <c r="D1571" s="0" t="n">
        <v>1159.46</v>
      </c>
    </row>
    <row r="1572" customFormat="false" ht="15" hidden="false" customHeight="false" outlineLevel="0" collapsed="false">
      <c r="A1572" s="0" t="s">
        <v>8</v>
      </c>
      <c r="B1572" s="0" t="s">
        <v>2351</v>
      </c>
      <c r="C1572" s="0" t="s">
        <v>7191</v>
      </c>
    </row>
    <row r="1573" customFormat="false" ht="15" hidden="false" customHeight="false" outlineLevel="0" collapsed="false">
      <c r="A1573" s="0" t="s">
        <v>8</v>
      </c>
      <c r="B1573" s="0" t="s">
        <v>2351</v>
      </c>
      <c r="C1573" s="0" t="s">
        <v>7192</v>
      </c>
    </row>
    <row r="1574" customFormat="false" ht="15" hidden="false" customHeight="false" outlineLevel="0" collapsed="false">
      <c r="A1574" s="0" t="s">
        <v>8</v>
      </c>
      <c r="B1574" s="0" t="s">
        <v>2357</v>
      </c>
      <c r="C1574" s="0" t="s">
        <v>7190</v>
      </c>
      <c r="D1574" s="0" t="n">
        <v>70</v>
      </c>
    </row>
    <row r="1575" customFormat="false" ht="15" hidden="false" customHeight="false" outlineLevel="0" collapsed="false">
      <c r="A1575" s="0" t="s">
        <v>8</v>
      </c>
      <c r="B1575" s="0" t="s">
        <v>2357</v>
      </c>
      <c r="C1575" s="0" t="s">
        <v>7191</v>
      </c>
    </row>
    <row r="1576" customFormat="false" ht="15" hidden="false" customHeight="false" outlineLevel="0" collapsed="false">
      <c r="A1576" s="0" t="s">
        <v>8</v>
      </c>
      <c r="B1576" s="0" t="s">
        <v>2357</v>
      </c>
      <c r="C1576" s="0" t="s">
        <v>7192</v>
      </c>
    </row>
    <row r="1577" customFormat="false" ht="15" hidden="false" customHeight="false" outlineLevel="0" collapsed="false">
      <c r="A1577" s="0" t="s">
        <v>8</v>
      </c>
      <c r="B1577" s="0" t="s">
        <v>2363</v>
      </c>
      <c r="C1577" s="0" t="s">
        <v>7190</v>
      </c>
      <c r="D1577" s="0" t="n">
        <v>440230190</v>
      </c>
    </row>
    <row r="1578" customFormat="false" ht="15" hidden="false" customHeight="false" outlineLevel="0" collapsed="false">
      <c r="A1578" s="0" t="s">
        <v>8</v>
      </c>
      <c r="B1578" s="0" t="s">
        <v>2363</v>
      </c>
      <c r="C1578" s="0" t="s">
        <v>7191</v>
      </c>
    </row>
    <row r="1579" customFormat="false" ht="15" hidden="false" customHeight="false" outlineLevel="0" collapsed="false">
      <c r="A1579" s="0" t="s">
        <v>8</v>
      </c>
      <c r="B1579" s="0" t="s">
        <v>2363</v>
      </c>
      <c r="C1579" s="0" t="s">
        <v>7192</v>
      </c>
    </row>
    <row r="1580" customFormat="false" ht="15" hidden="false" customHeight="false" outlineLevel="0" collapsed="false">
      <c r="A1580" s="0" t="s">
        <v>8</v>
      </c>
      <c r="B1580" s="0" t="s">
        <v>2367</v>
      </c>
      <c r="C1580" s="0" t="s">
        <v>7190</v>
      </c>
      <c r="D1580" s="0" t="n">
        <v>511.5</v>
      </c>
    </row>
    <row r="1581" customFormat="false" ht="15" hidden="false" customHeight="false" outlineLevel="0" collapsed="false">
      <c r="A1581" s="0" t="s">
        <v>8</v>
      </c>
      <c r="B1581" s="0" t="s">
        <v>2367</v>
      </c>
      <c r="C1581" s="0" t="s">
        <v>7191</v>
      </c>
    </row>
    <row r="1582" customFormat="false" ht="15" hidden="false" customHeight="false" outlineLevel="0" collapsed="false">
      <c r="A1582" s="0" t="s">
        <v>8</v>
      </c>
      <c r="B1582" s="0" t="s">
        <v>2367</v>
      </c>
      <c r="C1582" s="0" t="s">
        <v>7192</v>
      </c>
    </row>
    <row r="1583" customFormat="false" ht="15" hidden="false" customHeight="false" outlineLevel="0" collapsed="false">
      <c r="A1583" s="0" t="s">
        <v>8</v>
      </c>
      <c r="B1583" s="0" t="s">
        <v>2373</v>
      </c>
      <c r="C1583" s="0" t="s">
        <v>7190</v>
      </c>
      <c r="D1583" s="0" t="n">
        <v>528.3</v>
      </c>
    </row>
    <row r="1584" customFormat="false" ht="15" hidden="false" customHeight="false" outlineLevel="0" collapsed="false">
      <c r="A1584" s="0" t="s">
        <v>8</v>
      </c>
      <c r="B1584" s="0" t="s">
        <v>2373</v>
      </c>
      <c r="C1584" s="0" t="s">
        <v>7191</v>
      </c>
    </row>
    <row r="1585" customFormat="false" ht="15" hidden="false" customHeight="false" outlineLevel="0" collapsed="false">
      <c r="A1585" s="0" t="s">
        <v>8</v>
      </c>
      <c r="B1585" s="0" t="s">
        <v>2373</v>
      </c>
      <c r="C1585" s="0" t="s">
        <v>7192</v>
      </c>
    </row>
    <row r="1586" customFormat="false" ht="15" hidden="false" customHeight="false" outlineLevel="0" collapsed="false">
      <c r="A1586" s="0" t="s">
        <v>8</v>
      </c>
      <c r="B1586" s="0" t="s">
        <v>2379</v>
      </c>
      <c r="C1586" s="0" t="s">
        <v>7190</v>
      </c>
      <c r="D1586" s="0" t="n">
        <v>131.5</v>
      </c>
    </row>
    <row r="1587" customFormat="false" ht="15" hidden="false" customHeight="false" outlineLevel="0" collapsed="false">
      <c r="A1587" s="0" t="s">
        <v>8</v>
      </c>
      <c r="B1587" s="0" t="s">
        <v>2379</v>
      </c>
      <c r="C1587" s="0" t="s">
        <v>7191</v>
      </c>
    </row>
    <row r="1588" customFormat="false" ht="15" hidden="false" customHeight="false" outlineLevel="0" collapsed="false">
      <c r="A1588" s="0" t="s">
        <v>8</v>
      </c>
      <c r="B1588" s="0" t="s">
        <v>2379</v>
      </c>
      <c r="C1588" s="0" t="s">
        <v>7192</v>
      </c>
    </row>
    <row r="1589" customFormat="false" ht="15" hidden="false" customHeight="false" outlineLevel="0" collapsed="false">
      <c r="A1589" s="0" t="s">
        <v>8</v>
      </c>
      <c r="B1589" s="0" t="s">
        <v>2385</v>
      </c>
      <c r="C1589" s="0" t="s">
        <v>7190</v>
      </c>
      <c r="D1589" s="0" t="n">
        <v>578.9</v>
      </c>
    </row>
    <row r="1590" customFormat="false" ht="15" hidden="false" customHeight="false" outlineLevel="0" collapsed="false">
      <c r="A1590" s="0" t="s">
        <v>8</v>
      </c>
      <c r="B1590" s="0" t="s">
        <v>2385</v>
      </c>
      <c r="C1590" s="0" t="s">
        <v>7191</v>
      </c>
    </row>
    <row r="1591" customFormat="false" ht="15" hidden="false" customHeight="false" outlineLevel="0" collapsed="false">
      <c r="A1591" s="0" t="s">
        <v>8</v>
      </c>
      <c r="B1591" s="0" t="s">
        <v>2385</v>
      </c>
      <c r="C1591" s="0" t="s">
        <v>7192</v>
      </c>
    </row>
    <row r="1592" customFormat="false" ht="15" hidden="false" customHeight="false" outlineLevel="0" collapsed="false">
      <c r="A1592" s="0" t="s">
        <v>8</v>
      </c>
      <c r="B1592" s="0" t="s">
        <v>2389</v>
      </c>
      <c r="C1592" s="0" t="s">
        <v>7190</v>
      </c>
      <c r="D1592" s="0" t="n">
        <v>586</v>
      </c>
    </row>
    <row r="1593" customFormat="false" ht="15" hidden="false" customHeight="false" outlineLevel="0" collapsed="false">
      <c r="A1593" s="0" t="s">
        <v>8</v>
      </c>
      <c r="B1593" s="0" t="s">
        <v>2389</v>
      </c>
      <c r="C1593" s="0" t="s">
        <v>7191</v>
      </c>
    </row>
    <row r="1594" customFormat="false" ht="15" hidden="false" customHeight="false" outlineLevel="0" collapsed="false">
      <c r="A1594" s="0" t="s">
        <v>8</v>
      </c>
      <c r="B1594" s="0" t="s">
        <v>2389</v>
      </c>
      <c r="C1594" s="0" t="s">
        <v>7192</v>
      </c>
    </row>
    <row r="1595" customFormat="false" ht="15" hidden="false" customHeight="false" outlineLevel="0" collapsed="false">
      <c r="A1595" s="0" t="s">
        <v>8</v>
      </c>
      <c r="B1595" s="0" t="s">
        <v>2396</v>
      </c>
      <c r="C1595" s="0" t="s">
        <v>7190</v>
      </c>
      <c r="D1595" s="0" t="n">
        <v>1588</v>
      </c>
    </row>
    <row r="1596" customFormat="false" ht="15" hidden="false" customHeight="false" outlineLevel="0" collapsed="false">
      <c r="A1596" s="0" t="s">
        <v>8</v>
      </c>
      <c r="B1596" s="0" t="s">
        <v>2396</v>
      </c>
      <c r="C1596" s="0" t="s">
        <v>7191</v>
      </c>
    </row>
    <row r="1597" customFormat="false" ht="15" hidden="false" customHeight="false" outlineLevel="0" collapsed="false">
      <c r="A1597" s="0" t="s">
        <v>8</v>
      </c>
      <c r="B1597" s="0" t="s">
        <v>2396</v>
      </c>
      <c r="C1597" s="0" t="s">
        <v>7192</v>
      </c>
    </row>
    <row r="1598" customFormat="false" ht="15" hidden="false" customHeight="false" outlineLevel="0" collapsed="false">
      <c r="A1598" s="0" t="s">
        <v>8</v>
      </c>
      <c r="B1598" s="0" t="s">
        <v>2402</v>
      </c>
      <c r="C1598" s="0" t="s">
        <v>7190</v>
      </c>
      <c r="D1598" s="0" t="n">
        <v>19780000</v>
      </c>
    </row>
    <row r="1599" customFormat="false" ht="15" hidden="false" customHeight="false" outlineLevel="0" collapsed="false">
      <c r="A1599" s="0" t="s">
        <v>8</v>
      </c>
      <c r="B1599" s="0" t="s">
        <v>2402</v>
      </c>
      <c r="C1599" s="0" t="s">
        <v>7191</v>
      </c>
    </row>
    <row r="1600" customFormat="false" ht="15" hidden="false" customHeight="false" outlineLevel="0" collapsed="false">
      <c r="A1600" s="0" t="s">
        <v>8</v>
      </c>
      <c r="B1600" s="0" t="s">
        <v>2402</v>
      </c>
      <c r="C1600" s="0" t="s">
        <v>7192</v>
      </c>
    </row>
    <row r="1601" customFormat="false" ht="15" hidden="false" customHeight="false" outlineLevel="0" collapsed="false">
      <c r="A1601" s="0" t="s">
        <v>8</v>
      </c>
      <c r="B1601" s="0" t="s">
        <v>2411</v>
      </c>
      <c r="C1601" s="0" t="s">
        <v>7190</v>
      </c>
      <c r="D1601" s="0" t="n">
        <v>12.99</v>
      </c>
    </row>
    <row r="1602" customFormat="false" ht="15" hidden="false" customHeight="false" outlineLevel="0" collapsed="false">
      <c r="A1602" s="0" t="s">
        <v>8</v>
      </c>
      <c r="B1602" s="0" t="s">
        <v>2411</v>
      </c>
      <c r="C1602" s="0" t="s">
        <v>7191</v>
      </c>
    </row>
    <row r="1603" customFormat="false" ht="15" hidden="false" customHeight="false" outlineLevel="0" collapsed="false">
      <c r="A1603" s="0" t="s">
        <v>8</v>
      </c>
      <c r="B1603" s="0" t="s">
        <v>2411</v>
      </c>
      <c r="C1603" s="0" t="s">
        <v>7192</v>
      </c>
    </row>
    <row r="1604" customFormat="false" ht="15" hidden="false" customHeight="false" outlineLevel="0" collapsed="false">
      <c r="A1604" s="0" t="s">
        <v>8</v>
      </c>
      <c r="B1604" s="0" t="s">
        <v>2419</v>
      </c>
      <c r="C1604" s="0" t="s">
        <v>7190</v>
      </c>
      <c r="D1604" s="0" t="n">
        <v>31411</v>
      </c>
    </row>
    <row r="1605" customFormat="false" ht="15" hidden="false" customHeight="false" outlineLevel="0" collapsed="false">
      <c r="A1605" s="0" t="s">
        <v>8</v>
      </c>
      <c r="B1605" s="0" t="s">
        <v>2419</v>
      </c>
      <c r="C1605" s="0" t="s">
        <v>7191</v>
      </c>
    </row>
    <row r="1606" customFormat="false" ht="15" hidden="false" customHeight="false" outlineLevel="0" collapsed="false">
      <c r="A1606" s="0" t="s">
        <v>8</v>
      </c>
      <c r="B1606" s="0" t="s">
        <v>2419</v>
      </c>
      <c r="C1606" s="0" t="s">
        <v>7192</v>
      </c>
    </row>
    <row r="1607" customFormat="false" ht="15" hidden="false" customHeight="false" outlineLevel="0" collapsed="false">
      <c r="A1607" s="0" t="s">
        <v>8</v>
      </c>
      <c r="B1607" s="0" t="s">
        <v>2425</v>
      </c>
      <c r="C1607" s="0" t="s">
        <v>7190</v>
      </c>
      <c r="D1607" s="0" t="n">
        <v>31374.95</v>
      </c>
    </row>
    <row r="1608" customFormat="false" ht="15" hidden="false" customHeight="false" outlineLevel="0" collapsed="false">
      <c r="A1608" s="0" t="s">
        <v>8</v>
      </c>
      <c r="B1608" s="0" t="s">
        <v>2425</v>
      </c>
      <c r="C1608" s="0" t="s">
        <v>7191</v>
      </c>
    </row>
    <row r="1609" customFormat="false" ht="15" hidden="false" customHeight="false" outlineLevel="0" collapsed="false">
      <c r="A1609" s="0" t="s">
        <v>8</v>
      </c>
      <c r="B1609" s="0" t="s">
        <v>2425</v>
      </c>
      <c r="C1609" s="0" t="s">
        <v>7192</v>
      </c>
    </row>
    <row r="1610" customFormat="false" ht="15" hidden="false" customHeight="false" outlineLevel="0" collapsed="false">
      <c r="A1610" s="0" t="s">
        <v>8</v>
      </c>
      <c r="B1610" s="0" t="s">
        <v>2429</v>
      </c>
      <c r="C1610" s="0" t="s">
        <v>7190</v>
      </c>
    </row>
    <row r="1611" customFormat="false" ht="15" hidden="false" customHeight="false" outlineLevel="0" collapsed="false">
      <c r="A1611" s="0" t="s">
        <v>8</v>
      </c>
      <c r="B1611" s="0" t="s">
        <v>2429</v>
      </c>
      <c r="C1611" s="0" t="s">
        <v>7191</v>
      </c>
    </row>
    <row r="1612" customFormat="false" ht="15" hidden="false" customHeight="false" outlineLevel="0" collapsed="false">
      <c r="A1612" s="0" t="s">
        <v>8</v>
      </c>
      <c r="B1612" s="0" t="s">
        <v>2429</v>
      </c>
      <c r="C1612" s="0" t="s">
        <v>7192</v>
      </c>
    </row>
    <row r="1613" customFormat="false" ht="15" hidden="false" customHeight="false" outlineLevel="0" collapsed="false">
      <c r="A1613" s="0" t="s">
        <v>8</v>
      </c>
      <c r="B1613" s="0" t="s">
        <v>2436</v>
      </c>
      <c r="C1613" s="0" t="s">
        <v>7190</v>
      </c>
      <c r="D1613" s="0" t="n">
        <v>4</v>
      </c>
    </row>
    <row r="1614" customFormat="false" ht="15" hidden="false" customHeight="false" outlineLevel="0" collapsed="false">
      <c r="A1614" s="0" t="s">
        <v>8</v>
      </c>
      <c r="B1614" s="0" t="s">
        <v>2436</v>
      </c>
      <c r="C1614" s="0" t="s">
        <v>7191</v>
      </c>
    </row>
    <row r="1615" customFormat="false" ht="15" hidden="false" customHeight="false" outlineLevel="0" collapsed="false">
      <c r="A1615" s="0" t="s">
        <v>8</v>
      </c>
      <c r="B1615" s="0" t="s">
        <v>2436</v>
      </c>
      <c r="C1615" s="0" t="s">
        <v>7192</v>
      </c>
    </row>
    <row r="1616" customFormat="false" ht="15" hidden="false" customHeight="false" outlineLevel="0" collapsed="false">
      <c r="A1616" s="0" t="s">
        <v>8</v>
      </c>
      <c r="B1616" s="0" t="s">
        <v>2444</v>
      </c>
      <c r="C1616" s="0" t="s">
        <v>7190</v>
      </c>
      <c r="D1616" s="0" t="n">
        <v>55</v>
      </c>
    </row>
    <row r="1617" customFormat="false" ht="15" hidden="false" customHeight="false" outlineLevel="0" collapsed="false">
      <c r="A1617" s="0" t="s">
        <v>8</v>
      </c>
      <c r="B1617" s="0" t="s">
        <v>2444</v>
      </c>
      <c r="C1617" s="0" t="s">
        <v>7191</v>
      </c>
    </row>
    <row r="1618" customFormat="false" ht="15" hidden="false" customHeight="false" outlineLevel="0" collapsed="false">
      <c r="A1618" s="0" t="s">
        <v>8</v>
      </c>
      <c r="B1618" s="0" t="s">
        <v>2444</v>
      </c>
      <c r="C1618" s="0" t="s">
        <v>7192</v>
      </c>
    </row>
    <row r="1619" customFormat="false" ht="15" hidden="false" customHeight="false" outlineLevel="0" collapsed="false">
      <c r="A1619" s="0" t="s">
        <v>8</v>
      </c>
      <c r="B1619" s="0" t="s">
        <v>2448</v>
      </c>
      <c r="C1619" s="0" t="s">
        <v>7190</v>
      </c>
      <c r="D1619" s="0" t="n">
        <v>10954.8</v>
      </c>
    </row>
    <row r="1620" customFormat="false" ht="15" hidden="false" customHeight="false" outlineLevel="0" collapsed="false">
      <c r="A1620" s="0" t="s">
        <v>8</v>
      </c>
      <c r="B1620" s="0" t="s">
        <v>2448</v>
      </c>
      <c r="C1620" s="0" t="s">
        <v>7191</v>
      </c>
    </row>
    <row r="1621" customFormat="false" ht="15" hidden="false" customHeight="false" outlineLevel="0" collapsed="false">
      <c r="A1621" s="0" t="s">
        <v>8</v>
      </c>
      <c r="B1621" s="0" t="s">
        <v>2448</v>
      </c>
      <c r="C1621" s="0" t="s">
        <v>7192</v>
      </c>
    </row>
    <row r="1622" customFormat="false" ht="15" hidden="false" customHeight="false" outlineLevel="0" collapsed="false">
      <c r="A1622" s="0" t="s">
        <v>8</v>
      </c>
      <c r="B1622" s="0" t="s">
        <v>2452</v>
      </c>
      <c r="C1622" s="0" t="s">
        <v>7190</v>
      </c>
      <c r="D1622" s="0" t="n">
        <v>714</v>
      </c>
    </row>
    <row r="1623" customFormat="false" ht="15" hidden="false" customHeight="false" outlineLevel="0" collapsed="false">
      <c r="A1623" s="0" t="s">
        <v>8</v>
      </c>
      <c r="B1623" s="0" t="s">
        <v>2452</v>
      </c>
      <c r="C1623" s="0" t="s">
        <v>7191</v>
      </c>
    </row>
    <row r="1624" customFormat="false" ht="15" hidden="false" customHeight="false" outlineLevel="0" collapsed="false">
      <c r="A1624" s="0" t="s">
        <v>8</v>
      </c>
      <c r="B1624" s="0" t="s">
        <v>2452</v>
      </c>
      <c r="C1624" s="0" t="s">
        <v>7192</v>
      </c>
    </row>
    <row r="1625" customFormat="false" ht="15" hidden="false" customHeight="false" outlineLevel="0" collapsed="false">
      <c r="A1625" s="0" t="s">
        <v>8</v>
      </c>
      <c r="B1625" s="0" t="s">
        <v>2457</v>
      </c>
      <c r="C1625" s="0" t="s">
        <v>7190</v>
      </c>
      <c r="D1625" s="0" t="n">
        <v>21965000</v>
      </c>
    </row>
    <row r="1626" customFormat="false" ht="15" hidden="false" customHeight="false" outlineLevel="0" collapsed="false">
      <c r="A1626" s="0" t="s">
        <v>8</v>
      </c>
      <c r="B1626" s="0" t="s">
        <v>2457</v>
      </c>
      <c r="C1626" s="0" t="s">
        <v>7191</v>
      </c>
    </row>
    <row r="1627" customFormat="false" ht="15" hidden="false" customHeight="false" outlineLevel="0" collapsed="false">
      <c r="A1627" s="0" t="s">
        <v>8</v>
      </c>
      <c r="B1627" s="0" t="s">
        <v>2457</v>
      </c>
      <c r="C1627" s="0" t="s">
        <v>7192</v>
      </c>
    </row>
    <row r="1628" customFormat="false" ht="15" hidden="false" customHeight="false" outlineLevel="0" collapsed="false">
      <c r="A1628" s="0" t="s">
        <v>8</v>
      </c>
      <c r="B1628" s="0" t="s">
        <v>2465</v>
      </c>
      <c r="C1628" s="0" t="s">
        <v>7190</v>
      </c>
      <c r="D1628" s="0" t="n">
        <v>15683.01</v>
      </c>
    </row>
    <row r="1629" customFormat="false" ht="15" hidden="false" customHeight="false" outlineLevel="0" collapsed="false">
      <c r="A1629" s="0" t="s">
        <v>8</v>
      </c>
      <c r="B1629" s="0" t="s">
        <v>2465</v>
      </c>
      <c r="C1629" s="0" t="s">
        <v>7191</v>
      </c>
    </row>
    <row r="1630" customFormat="false" ht="15" hidden="false" customHeight="false" outlineLevel="0" collapsed="false">
      <c r="A1630" s="0" t="s">
        <v>8</v>
      </c>
      <c r="B1630" s="0" t="s">
        <v>2465</v>
      </c>
      <c r="C1630" s="0" t="s">
        <v>7192</v>
      </c>
    </row>
    <row r="1631" customFormat="false" ht="15" hidden="false" customHeight="false" outlineLevel="0" collapsed="false">
      <c r="A1631" s="0" t="s">
        <v>8</v>
      </c>
      <c r="B1631" s="0" t="s">
        <v>2469</v>
      </c>
      <c r="C1631" s="0" t="s">
        <v>7190</v>
      </c>
      <c r="D1631" s="0" t="n">
        <v>15664.13</v>
      </c>
    </row>
    <row r="1632" customFormat="false" ht="15" hidden="false" customHeight="false" outlineLevel="0" collapsed="false">
      <c r="A1632" s="0" t="s">
        <v>8</v>
      </c>
      <c r="B1632" s="0" t="s">
        <v>2469</v>
      </c>
      <c r="C1632" s="0" t="s">
        <v>7191</v>
      </c>
    </row>
    <row r="1633" customFormat="false" ht="15" hidden="false" customHeight="false" outlineLevel="0" collapsed="false">
      <c r="A1633" s="0" t="s">
        <v>8</v>
      </c>
      <c r="B1633" s="0" t="s">
        <v>2469</v>
      </c>
      <c r="C1633" s="0" t="s">
        <v>7192</v>
      </c>
    </row>
    <row r="1634" customFormat="false" ht="15" hidden="false" customHeight="false" outlineLevel="0" collapsed="false">
      <c r="A1634" s="0" t="s">
        <v>8</v>
      </c>
      <c r="B1634" s="0" t="s">
        <v>2473</v>
      </c>
      <c r="C1634" s="0" t="s">
        <v>7190</v>
      </c>
      <c r="D1634" s="0" t="n">
        <v>201.4</v>
      </c>
    </row>
    <row r="1635" customFormat="false" ht="15" hidden="false" customHeight="false" outlineLevel="0" collapsed="false">
      <c r="A1635" s="0" t="s">
        <v>8</v>
      </c>
      <c r="B1635" s="0" t="s">
        <v>2473</v>
      </c>
      <c r="C1635" s="0" t="s">
        <v>7191</v>
      </c>
    </row>
    <row r="1636" customFormat="false" ht="15" hidden="false" customHeight="false" outlineLevel="0" collapsed="false">
      <c r="A1636" s="0" t="s">
        <v>8</v>
      </c>
      <c r="B1636" s="0" t="s">
        <v>2473</v>
      </c>
      <c r="C1636" s="0" t="s">
        <v>7192</v>
      </c>
    </row>
    <row r="1637" customFormat="false" ht="15" hidden="false" customHeight="false" outlineLevel="0" collapsed="false">
      <c r="A1637" s="0" t="s">
        <v>8</v>
      </c>
      <c r="B1637" s="0" t="s">
        <v>2478</v>
      </c>
      <c r="C1637" s="0" t="s">
        <v>7190</v>
      </c>
      <c r="D1637" s="0" t="n">
        <v>3015.64</v>
      </c>
    </row>
    <row r="1638" customFormat="false" ht="15" hidden="false" customHeight="false" outlineLevel="0" collapsed="false">
      <c r="A1638" s="0" t="s">
        <v>8</v>
      </c>
      <c r="B1638" s="0" t="s">
        <v>2478</v>
      </c>
      <c r="C1638" s="0" t="s">
        <v>7191</v>
      </c>
    </row>
    <row r="1639" customFormat="false" ht="15" hidden="false" customHeight="false" outlineLevel="0" collapsed="false">
      <c r="A1639" s="0" t="s">
        <v>8</v>
      </c>
      <c r="B1639" s="0" t="s">
        <v>2478</v>
      </c>
      <c r="C1639" s="0" t="s">
        <v>7192</v>
      </c>
    </row>
    <row r="1640" customFormat="false" ht="15" hidden="false" customHeight="false" outlineLevel="0" collapsed="false">
      <c r="A1640" s="0" t="s">
        <v>8</v>
      </c>
      <c r="B1640" s="0" t="s">
        <v>2482</v>
      </c>
      <c r="C1640" s="0" t="s">
        <v>7190</v>
      </c>
      <c r="D1640" s="0" t="n">
        <v>3010.77</v>
      </c>
    </row>
    <row r="1641" customFormat="false" ht="15" hidden="false" customHeight="false" outlineLevel="0" collapsed="false">
      <c r="A1641" s="0" t="s">
        <v>8</v>
      </c>
      <c r="B1641" s="0" t="s">
        <v>2482</v>
      </c>
      <c r="C1641" s="0" t="s">
        <v>7191</v>
      </c>
    </row>
    <row r="1642" customFormat="false" ht="15" hidden="false" customHeight="false" outlineLevel="0" collapsed="false">
      <c r="A1642" s="0" t="s">
        <v>8</v>
      </c>
      <c r="B1642" s="0" t="s">
        <v>2482</v>
      </c>
      <c r="C1642" s="0" t="s">
        <v>7192</v>
      </c>
    </row>
    <row r="1643" customFormat="false" ht="15" hidden="false" customHeight="false" outlineLevel="0" collapsed="false">
      <c r="A1643" s="0" t="s">
        <v>8</v>
      </c>
      <c r="B1643" s="0" t="s">
        <v>2486</v>
      </c>
      <c r="C1643" s="0" t="s">
        <v>7190</v>
      </c>
      <c r="D1643" s="0" t="n">
        <v>892.5</v>
      </c>
    </row>
    <row r="1644" customFormat="false" ht="15" hidden="false" customHeight="false" outlineLevel="0" collapsed="false">
      <c r="A1644" s="0" t="s">
        <v>8</v>
      </c>
      <c r="B1644" s="0" t="s">
        <v>2486</v>
      </c>
      <c r="C1644" s="0" t="s">
        <v>7191</v>
      </c>
    </row>
    <row r="1645" customFormat="false" ht="15" hidden="false" customHeight="false" outlineLevel="0" collapsed="false">
      <c r="A1645" s="0" t="s">
        <v>8</v>
      </c>
      <c r="B1645" s="0" t="s">
        <v>2486</v>
      </c>
      <c r="C1645" s="0" t="s">
        <v>7192</v>
      </c>
    </row>
    <row r="1646" customFormat="false" ht="15" hidden="false" customHeight="false" outlineLevel="0" collapsed="false">
      <c r="A1646" s="0" t="s">
        <v>8</v>
      </c>
      <c r="B1646" s="0" t="s">
        <v>2490</v>
      </c>
      <c r="C1646" s="0" t="s">
        <v>7190</v>
      </c>
      <c r="D1646" s="0" t="n">
        <v>26365026</v>
      </c>
    </row>
    <row r="1647" customFormat="false" ht="15" hidden="false" customHeight="false" outlineLevel="0" collapsed="false">
      <c r="A1647" s="0" t="s">
        <v>8</v>
      </c>
      <c r="B1647" s="0" t="s">
        <v>2490</v>
      </c>
      <c r="C1647" s="0" t="s">
        <v>7191</v>
      </c>
    </row>
    <row r="1648" customFormat="false" ht="15" hidden="false" customHeight="false" outlineLevel="0" collapsed="false">
      <c r="A1648" s="0" t="s">
        <v>8</v>
      </c>
      <c r="B1648" s="0" t="s">
        <v>2490</v>
      </c>
      <c r="C1648" s="0" t="s">
        <v>7192</v>
      </c>
    </row>
    <row r="1649" customFormat="false" ht="15" hidden="false" customHeight="false" outlineLevel="0" collapsed="false">
      <c r="A1649" s="0" t="s">
        <v>8</v>
      </c>
      <c r="B1649" s="0" t="s">
        <v>2494</v>
      </c>
      <c r="C1649" s="0" t="s">
        <v>7190</v>
      </c>
      <c r="D1649" s="0" t="n">
        <v>60</v>
      </c>
    </row>
    <row r="1650" customFormat="false" ht="15" hidden="false" customHeight="false" outlineLevel="0" collapsed="false">
      <c r="A1650" s="0" t="s">
        <v>8</v>
      </c>
      <c r="B1650" s="0" t="s">
        <v>2494</v>
      </c>
      <c r="C1650" s="0" t="s">
        <v>7191</v>
      </c>
    </row>
    <row r="1651" customFormat="false" ht="15" hidden="false" customHeight="false" outlineLevel="0" collapsed="false">
      <c r="A1651" s="0" t="s">
        <v>8</v>
      </c>
      <c r="B1651" s="0" t="s">
        <v>2494</v>
      </c>
      <c r="C1651" s="0" t="s">
        <v>7192</v>
      </c>
    </row>
    <row r="1652" customFormat="false" ht="15" hidden="false" customHeight="false" outlineLevel="0" collapsed="false">
      <c r="A1652" s="0" t="s">
        <v>8</v>
      </c>
      <c r="B1652" s="0" t="s">
        <v>2498</v>
      </c>
      <c r="C1652" s="0" t="s">
        <v>7190</v>
      </c>
      <c r="D1652" s="0" t="n">
        <v>393.31</v>
      </c>
    </row>
    <row r="1653" customFormat="false" ht="15" hidden="false" customHeight="false" outlineLevel="0" collapsed="false">
      <c r="A1653" s="0" t="s">
        <v>8</v>
      </c>
      <c r="B1653" s="0" t="s">
        <v>2498</v>
      </c>
      <c r="C1653" s="0" t="s">
        <v>7191</v>
      </c>
    </row>
    <row r="1654" customFormat="false" ht="15" hidden="false" customHeight="false" outlineLevel="0" collapsed="false">
      <c r="A1654" s="0" t="s">
        <v>8</v>
      </c>
      <c r="B1654" s="0" t="s">
        <v>2498</v>
      </c>
      <c r="C1654" s="0" t="s">
        <v>7192</v>
      </c>
    </row>
    <row r="1655" customFormat="false" ht="15" hidden="false" customHeight="false" outlineLevel="0" collapsed="false">
      <c r="A1655" s="0" t="s">
        <v>8</v>
      </c>
      <c r="B1655" s="0" t="s">
        <v>2505</v>
      </c>
      <c r="C1655" s="0" t="s">
        <v>7190</v>
      </c>
      <c r="D1655" s="0" t="n">
        <v>2224.8</v>
      </c>
    </row>
    <row r="1656" customFormat="false" ht="15" hidden="false" customHeight="false" outlineLevel="0" collapsed="false">
      <c r="A1656" s="0" t="s">
        <v>8</v>
      </c>
      <c r="B1656" s="0" t="s">
        <v>2505</v>
      </c>
      <c r="C1656" s="0" t="s">
        <v>7191</v>
      </c>
    </row>
    <row r="1657" customFormat="false" ht="15" hidden="false" customHeight="false" outlineLevel="0" collapsed="false">
      <c r="A1657" s="0" t="s">
        <v>8</v>
      </c>
      <c r="B1657" s="0" t="s">
        <v>2505</v>
      </c>
      <c r="C1657" s="0" t="s">
        <v>7192</v>
      </c>
    </row>
    <row r="1658" customFormat="false" ht="15" hidden="false" customHeight="false" outlineLevel="0" collapsed="false">
      <c r="A1658" s="0" t="s">
        <v>8</v>
      </c>
      <c r="B1658" s="0" t="s">
        <v>2513</v>
      </c>
      <c r="C1658" s="0" t="s">
        <v>7190</v>
      </c>
      <c r="D1658" s="0" t="n">
        <v>689.5</v>
      </c>
    </row>
    <row r="1659" customFormat="false" ht="15" hidden="false" customHeight="false" outlineLevel="0" collapsed="false">
      <c r="A1659" s="0" t="s">
        <v>8</v>
      </c>
      <c r="B1659" s="0" t="s">
        <v>2513</v>
      </c>
      <c r="C1659" s="0" t="s">
        <v>7191</v>
      </c>
    </row>
    <row r="1660" customFormat="false" ht="15" hidden="false" customHeight="false" outlineLevel="0" collapsed="false">
      <c r="A1660" s="0" t="s">
        <v>8</v>
      </c>
      <c r="B1660" s="0" t="s">
        <v>2513</v>
      </c>
      <c r="C1660" s="0" t="s">
        <v>7192</v>
      </c>
    </row>
    <row r="1661" customFormat="false" ht="15" hidden="false" customHeight="false" outlineLevel="0" collapsed="false">
      <c r="A1661" s="0" t="s">
        <v>8</v>
      </c>
      <c r="B1661" s="0" t="s">
        <v>2517</v>
      </c>
      <c r="C1661" s="0" t="s">
        <v>7190</v>
      </c>
      <c r="D1661" s="0" t="n">
        <v>58.8</v>
      </c>
    </row>
    <row r="1662" customFormat="false" ht="15" hidden="false" customHeight="false" outlineLevel="0" collapsed="false">
      <c r="A1662" s="0" t="s">
        <v>8</v>
      </c>
      <c r="B1662" s="0" t="s">
        <v>2517</v>
      </c>
      <c r="C1662" s="0" t="s">
        <v>7191</v>
      </c>
    </row>
    <row r="1663" customFormat="false" ht="15" hidden="false" customHeight="false" outlineLevel="0" collapsed="false">
      <c r="A1663" s="0" t="s">
        <v>8</v>
      </c>
      <c r="B1663" s="0" t="s">
        <v>2517</v>
      </c>
      <c r="C1663" s="0" t="s">
        <v>7192</v>
      </c>
    </row>
    <row r="1664" customFormat="false" ht="15" hidden="false" customHeight="false" outlineLevel="0" collapsed="false">
      <c r="A1664" s="0" t="s">
        <v>8</v>
      </c>
      <c r="B1664" s="0" t="s">
        <v>2521</v>
      </c>
      <c r="C1664" s="0" t="s">
        <v>7190</v>
      </c>
      <c r="D1664" s="0" t="n">
        <v>360.52</v>
      </c>
    </row>
    <row r="1665" customFormat="false" ht="15" hidden="false" customHeight="false" outlineLevel="0" collapsed="false">
      <c r="A1665" s="0" t="s">
        <v>8</v>
      </c>
      <c r="B1665" s="0" t="s">
        <v>2521</v>
      </c>
      <c r="C1665" s="0" t="s">
        <v>7191</v>
      </c>
    </row>
    <row r="1666" customFormat="false" ht="15" hidden="false" customHeight="false" outlineLevel="0" collapsed="false">
      <c r="A1666" s="0" t="s">
        <v>8</v>
      </c>
      <c r="B1666" s="0" t="s">
        <v>2521</v>
      </c>
      <c r="C1666" s="0" t="s">
        <v>7192</v>
      </c>
    </row>
    <row r="1667" customFormat="false" ht="15" hidden="false" customHeight="false" outlineLevel="0" collapsed="false">
      <c r="A1667" s="0" t="s">
        <v>8</v>
      </c>
      <c r="B1667" s="0" t="s">
        <v>2526</v>
      </c>
      <c r="C1667" s="0" t="s">
        <v>7190</v>
      </c>
      <c r="D1667" s="0" t="n">
        <v>81.62</v>
      </c>
    </row>
    <row r="1668" customFormat="false" ht="15" hidden="false" customHeight="false" outlineLevel="0" collapsed="false">
      <c r="A1668" s="0" t="s">
        <v>8</v>
      </c>
      <c r="B1668" s="0" t="s">
        <v>2526</v>
      </c>
      <c r="C1668" s="0" t="s">
        <v>7191</v>
      </c>
    </row>
    <row r="1669" customFormat="false" ht="15" hidden="false" customHeight="false" outlineLevel="0" collapsed="false">
      <c r="A1669" s="0" t="s">
        <v>8</v>
      </c>
      <c r="B1669" s="0" t="s">
        <v>2526</v>
      </c>
      <c r="C1669" s="0" t="s">
        <v>7192</v>
      </c>
    </row>
    <row r="1670" customFormat="false" ht="15" hidden="false" customHeight="false" outlineLevel="0" collapsed="false">
      <c r="A1670" s="0" t="s">
        <v>8</v>
      </c>
      <c r="B1670" s="0" t="s">
        <v>2531</v>
      </c>
      <c r="C1670" s="0" t="s">
        <v>7190</v>
      </c>
      <c r="D1670" s="0" t="n">
        <v>390.6</v>
      </c>
    </row>
    <row r="1671" customFormat="false" ht="15" hidden="false" customHeight="false" outlineLevel="0" collapsed="false">
      <c r="A1671" s="0" t="s">
        <v>8</v>
      </c>
      <c r="B1671" s="0" t="s">
        <v>2531</v>
      </c>
      <c r="C1671" s="0" t="s">
        <v>7191</v>
      </c>
    </row>
    <row r="1672" customFormat="false" ht="15" hidden="false" customHeight="false" outlineLevel="0" collapsed="false">
      <c r="A1672" s="0" t="s">
        <v>8</v>
      </c>
      <c r="B1672" s="0" t="s">
        <v>2531</v>
      </c>
      <c r="C1672" s="0" t="s">
        <v>7192</v>
      </c>
    </row>
    <row r="1673" customFormat="false" ht="15" hidden="false" customHeight="false" outlineLevel="0" collapsed="false">
      <c r="A1673" s="0" t="s">
        <v>8</v>
      </c>
      <c r="B1673" s="0" t="s">
        <v>2535</v>
      </c>
      <c r="C1673" s="0" t="s">
        <v>7190</v>
      </c>
      <c r="D1673" s="0" t="n">
        <v>60</v>
      </c>
    </row>
    <row r="1674" customFormat="false" ht="15" hidden="false" customHeight="false" outlineLevel="0" collapsed="false">
      <c r="A1674" s="0" t="s">
        <v>8</v>
      </c>
      <c r="B1674" s="0" t="s">
        <v>2535</v>
      </c>
      <c r="C1674" s="0" t="s">
        <v>7191</v>
      </c>
    </row>
    <row r="1675" customFormat="false" ht="15" hidden="false" customHeight="false" outlineLevel="0" collapsed="false">
      <c r="A1675" s="0" t="s">
        <v>8</v>
      </c>
      <c r="B1675" s="0" t="s">
        <v>2535</v>
      </c>
      <c r="C1675" s="0" t="s">
        <v>7192</v>
      </c>
    </row>
    <row r="1676" customFormat="false" ht="15" hidden="false" customHeight="false" outlineLevel="0" collapsed="false">
      <c r="A1676" s="0" t="s">
        <v>8</v>
      </c>
      <c r="B1676" s="0" t="s">
        <v>2543</v>
      </c>
      <c r="C1676" s="0" t="s">
        <v>7190</v>
      </c>
    </row>
    <row r="1677" customFormat="false" ht="15" hidden="false" customHeight="false" outlineLevel="0" collapsed="false">
      <c r="A1677" s="0" t="s">
        <v>8</v>
      </c>
      <c r="B1677" s="0" t="s">
        <v>2543</v>
      </c>
      <c r="C1677" s="0" t="s">
        <v>7191</v>
      </c>
    </row>
    <row r="1678" customFormat="false" ht="15" hidden="false" customHeight="false" outlineLevel="0" collapsed="false">
      <c r="A1678" s="0" t="s">
        <v>8</v>
      </c>
      <c r="B1678" s="0" t="s">
        <v>2543</v>
      </c>
      <c r="C1678" s="0" t="s">
        <v>7192</v>
      </c>
    </row>
    <row r="1679" customFormat="false" ht="15" hidden="false" customHeight="false" outlineLevel="0" collapsed="false">
      <c r="A1679" s="0" t="s">
        <v>8</v>
      </c>
      <c r="B1679" s="0" t="s">
        <v>2551</v>
      </c>
      <c r="C1679" s="0" t="s">
        <v>7190</v>
      </c>
      <c r="D1679" s="0" t="n">
        <v>445843090</v>
      </c>
    </row>
    <row r="1680" customFormat="false" ht="15" hidden="false" customHeight="false" outlineLevel="0" collapsed="false">
      <c r="A1680" s="0" t="s">
        <v>8</v>
      </c>
      <c r="B1680" s="0" t="s">
        <v>2551</v>
      </c>
      <c r="C1680" s="0" t="s">
        <v>7191</v>
      </c>
    </row>
    <row r="1681" customFormat="false" ht="15" hidden="false" customHeight="false" outlineLevel="0" collapsed="false">
      <c r="A1681" s="0" t="s">
        <v>8</v>
      </c>
      <c r="B1681" s="0" t="s">
        <v>2551</v>
      </c>
      <c r="C1681" s="0" t="s">
        <v>7192</v>
      </c>
    </row>
    <row r="1682" customFormat="false" ht="15" hidden="false" customHeight="false" outlineLevel="0" collapsed="false">
      <c r="A1682" s="0" t="s">
        <v>8</v>
      </c>
      <c r="B1682" s="0" t="s">
        <v>2558</v>
      </c>
      <c r="C1682" s="0" t="s">
        <v>7190</v>
      </c>
      <c r="D1682" s="0" t="n">
        <v>221314605</v>
      </c>
    </row>
    <row r="1683" customFormat="false" ht="15" hidden="false" customHeight="false" outlineLevel="0" collapsed="false">
      <c r="A1683" s="0" t="s">
        <v>8</v>
      </c>
      <c r="B1683" s="0" t="s">
        <v>2558</v>
      </c>
      <c r="C1683" s="0" t="s">
        <v>7191</v>
      </c>
    </row>
    <row r="1684" customFormat="false" ht="15" hidden="false" customHeight="false" outlineLevel="0" collapsed="false">
      <c r="A1684" s="0" t="s">
        <v>8</v>
      </c>
      <c r="B1684" s="0" t="s">
        <v>2558</v>
      </c>
      <c r="C1684" s="0" t="s">
        <v>7192</v>
      </c>
    </row>
    <row r="1685" customFormat="false" ht="15" hidden="false" customHeight="false" outlineLevel="0" collapsed="false">
      <c r="A1685" s="0" t="s">
        <v>8</v>
      </c>
      <c r="B1685" s="0" t="s">
        <v>2562</v>
      </c>
      <c r="C1685" s="0" t="s">
        <v>7190</v>
      </c>
      <c r="D1685" s="0" t="n">
        <v>224528485</v>
      </c>
    </row>
    <row r="1686" customFormat="false" ht="15" hidden="false" customHeight="false" outlineLevel="0" collapsed="false">
      <c r="A1686" s="0" t="s">
        <v>8</v>
      </c>
      <c r="B1686" s="0" t="s">
        <v>2562</v>
      </c>
      <c r="C1686" s="0" t="s">
        <v>7191</v>
      </c>
    </row>
    <row r="1687" customFormat="false" ht="15" hidden="false" customHeight="false" outlineLevel="0" collapsed="false">
      <c r="A1687" s="0" t="s">
        <v>8</v>
      </c>
      <c r="B1687" s="0" t="s">
        <v>2562</v>
      </c>
      <c r="C1687" s="0" t="s">
        <v>7192</v>
      </c>
    </row>
    <row r="1688" customFormat="false" ht="15" hidden="false" customHeight="false" outlineLevel="0" collapsed="false">
      <c r="A1688" s="0" t="s">
        <v>8</v>
      </c>
      <c r="B1688" s="0" t="s">
        <v>2566</v>
      </c>
      <c r="C1688" s="0" t="s">
        <v>7190</v>
      </c>
      <c r="D1688" s="0" t="n">
        <v>487588090</v>
      </c>
    </row>
    <row r="1689" customFormat="false" ht="15" hidden="false" customHeight="false" outlineLevel="0" collapsed="false">
      <c r="A1689" s="0" t="s">
        <v>8</v>
      </c>
      <c r="B1689" s="0" t="s">
        <v>2566</v>
      </c>
      <c r="C1689" s="0" t="s">
        <v>7191</v>
      </c>
    </row>
    <row r="1690" customFormat="false" ht="15" hidden="false" customHeight="false" outlineLevel="0" collapsed="false">
      <c r="A1690" s="0" t="s">
        <v>8</v>
      </c>
      <c r="B1690" s="0" t="s">
        <v>2566</v>
      </c>
      <c r="C1690" s="0" t="s">
        <v>7192</v>
      </c>
    </row>
    <row r="1691" customFormat="false" ht="15" hidden="false" customHeight="false" outlineLevel="0" collapsed="false">
      <c r="A1691" s="0" t="s">
        <v>8</v>
      </c>
      <c r="B1691" s="0" t="s">
        <v>2571</v>
      </c>
      <c r="C1691" s="0" t="s">
        <v>7190</v>
      </c>
      <c r="D1691" s="0" t="n">
        <v>28.57</v>
      </c>
    </row>
    <row r="1692" customFormat="false" ht="15" hidden="false" customHeight="false" outlineLevel="0" collapsed="false">
      <c r="A1692" s="0" t="s">
        <v>8</v>
      </c>
      <c r="B1692" s="0" t="s">
        <v>2571</v>
      </c>
      <c r="C1692" s="0" t="s">
        <v>7191</v>
      </c>
    </row>
    <row r="1693" customFormat="false" ht="15" hidden="false" customHeight="false" outlineLevel="0" collapsed="false">
      <c r="A1693" s="0" t="s">
        <v>8</v>
      </c>
      <c r="B1693" s="0" t="s">
        <v>2571</v>
      </c>
      <c r="C1693" s="0" t="s">
        <v>7192</v>
      </c>
    </row>
    <row r="1694" customFormat="false" ht="15" hidden="false" customHeight="false" outlineLevel="0" collapsed="false">
      <c r="A1694" s="0" t="s">
        <v>8</v>
      </c>
      <c r="B1694" s="0" t="s">
        <v>2575</v>
      </c>
      <c r="C1694" s="0" t="s">
        <v>7190</v>
      </c>
      <c r="D1694" s="0" t="n">
        <v>33.03</v>
      </c>
    </row>
    <row r="1695" customFormat="false" ht="15" hidden="false" customHeight="false" outlineLevel="0" collapsed="false">
      <c r="A1695" s="0" t="s">
        <v>8</v>
      </c>
      <c r="B1695" s="0" t="s">
        <v>2575</v>
      </c>
      <c r="C1695" s="0" t="s">
        <v>7191</v>
      </c>
    </row>
    <row r="1696" customFormat="false" ht="15" hidden="false" customHeight="false" outlineLevel="0" collapsed="false">
      <c r="A1696" s="0" t="s">
        <v>8</v>
      </c>
      <c r="B1696" s="0" t="s">
        <v>2575</v>
      </c>
      <c r="C1696" s="0" t="s">
        <v>7192</v>
      </c>
    </row>
    <row r="1697" customFormat="false" ht="15" hidden="false" customHeight="false" outlineLevel="0" collapsed="false">
      <c r="A1697" s="0" t="s">
        <v>8</v>
      </c>
      <c r="B1697" s="0" t="s">
        <v>2579</v>
      </c>
      <c r="C1697" s="0" t="s">
        <v>7190</v>
      </c>
      <c r="D1697" s="0" t="n">
        <v>6.73</v>
      </c>
    </row>
    <row r="1698" customFormat="false" ht="15" hidden="false" customHeight="false" outlineLevel="0" collapsed="false">
      <c r="A1698" s="0" t="s">
        <v>8</v>
      </c>
      <c r="B1698" s="0" t="s">
        <v>2579</v>
      </c>
      <c r="C1698" s="0" t="s">
        <v>7191</v>
      </c>
    </row>
    <row r="1699" customFormat="false" ht="15" hidden="false" customHeight="false" outlineLevel="0" collapsed="false">
      <c r="A1699" s="0" t="s">
        <v>8</v>
      </c>
      <c r="B1699" s="0" t="s">
        <v>2579</v>
      </c>
      <c r="C1699" s="0" t="s">
        <v>7192</v>
      </c>
    </row>
    <row r="1700" customFormat="false" ht="15" hidden="false" customHeight="false" outlineLevel="0" collapsed="false">
      <c r="A1700" s="0" t="s">
        <v>8</v>
      </c>
      <c r="B1700" s="0" t="s">
        <v>2583</v>
      </c>
      <c r="C1700" s="0" t="s">
        <v>7190</v>
      </c>
      <c r="D1700" s="0" t="n">
        <v>4.27</v>
      </c>
    </row>
    <row r="1701" customFormat="false" ht="15" hidden="false" customHeight="false" outlineLevel="0" collapsed="false">
      <c r="A1701" s="0" t="s">
        <v>8</v>
      </c>
      <c r="B1701" s="0" t="s">
        <v>2583</v>
      </c>
      <c r="C1701" s="0" t="s">
        <v>7191</v>
      </c>
    </row>
    <row r="1702" customFormat="false" ht="15" hidden="false" customHeight="false" outlineLevel="0" collapsed="false">
      <c r="A1702" s="0" t="s">
        <v>8</v>
      </c>
      <c r="B1702" s="0" t="s">
        <v>2583</v>
      </c>
      <c r="C1702" s="0" t="s">
        <v>7192</v>
      </c>
    </row>
    <row r="1703" customFormat="false" ht="15" hidden="false" customHeight="false" outlineLevel="0" collapsed="false">
      <c r="A1703" s="0" t="s">
        <v>8</v>
      </c>
      <c r="B1703" s="0" t="s">
        <v>2587</v>
      </c>
      <c r="C1703" s="0" t="s">
        <v>7190</v>
      </c>
    </row>
    <row r="1704" customFormat="false" ht="15" hidden="false" customHeight="false" outlineLevel="0" collapsed="false">
      <c r="A1704" s="0" t="s">
        <v>8</v>
      </c>
      <c r="B1704" s="0" t="s">
        <v>2587</v>
      </c>
      <c r="C1704" s="0" t="s">
        <v>7191</v>
      </c>
      <c r="D1704" s="0" t="n">
        <v>40</v>
      </c>
    </row>
    <row r="1705" customFormat="false" ht="15" hidden="false" customHeight="false" outlineLevel="0" collapsed="false">
      <c r="A1705" s="0" t="s">
        <v>8</v>
      </c>
      <c r="B1705" s="0" t="s">
        <v>2587</v>
      </c>
      <c r="C1705" s="0" t="s">
        <v>7192</v>
      </c>
    </row>
    <row r="1706" customFormat="false" ht="15" hidden="false" customHeight="false" outlineLevel="0" collapsed="false">
      <c r="A1706" s="0" t="s">
        <v>8</v>
      </c>
      <c r="B1706" s="0" t="s">
        <v>2593</v>
      </c>
      <c r="C1706" s="0" t="s">
        <v>7190</v>
      </c>
      <c r="D1706" s="0" t="n">
        <v>696</v>
      </c>
    </row>
    <row r="1707" customFormat="false" ht="15" hidden="false" customHeight="false" outlineLevel="0" collapsed="false">
      <c r="A1707" s="0" t="s">
        <v>8</v>
      </c>
      <c r="B1707" s="0" t="s">
        <v>2593</v>
      </c>
      <c r="C1707" s="0" t="s">
        <v>7191</v>
      </c>
    </row>
    <row r="1708" customFormat="false" ht="15" hidden="false" customHeight="false" outlineLevel="0" collapsed="false">
      <c r="A1708" s="0" t="s">
        <v>8</v>
      </c>
      <c r="B1708" s="0" t="s">
        <v>2593</v>
      </c>
      <c r="C1708" s="0" t="s">
        <v>7192</v>
      </c>
    </row>
    <row r="1709" customFormat="false" ht="15" hidden="false" customHeight="false" outlineLevel="0" collapsed="false">
      <c r="A1709" s="0" t="s">
        <v>8</v>
      </c>
      <c r="B1709" s="0" t="s">
        <v>2600</v>
      </c>
      <c r="C1709" s="0" t="s">
        <v>7190</v>
      </c>
      <c r="D1709" s="0" t="n">
        <v>626.5</v>
      </c>
    </row>
    <row r="1710" customFormat="false" ht="15" hidden="false" customHeight="false" outlineLevel="0" collapsed="false">
      <c r="A1710" s="0" t="s">
        <v>8</v>
      </c>
      <c r="B1710" s="0" t="s">
        <v>2600</v>
      </c>
      <c r="C1710" s="0" t="s">
        <v>7191</v>
      </c>
    </row>
    <row r="1711" customFormat="false" ht="15" hidden="false" customHeight="false" outlineLevel="0" collapsed="false">
      <c r="A1711" s="0" t="s">
        <v>8</v>
      </c>
      <c r="B1711" s="0" t="s">
        <v>2600</v>
      </c>
      <c r="C1711" s="0" t="s">
        <v>7192</v>
      </c>
    </row>
    <row r="1712" customFormat="false" ht="15" hidden="false" customHeight="false" outlineLevel="0" collapsed="false">
      <c r="A1712" s="0" t="s">
        <v>8</v>
      </c>
      <c r="B1712" s="0" t="s">
        <v>2608</v>
      </c>
      <c r="C1712" s="0" t="s">
        <v>7190</v>
      </c>
      <c r="D1712" s="0" t="n">
        <v>3396.48</v>
      </c>
    </row>
    <row r="1713" customFormat="false" ht="15" hidden="false" customHeight="false" outlineLevel="0" collapsed="false">
      <c r="A1713" s="0" t="s">
        <v>8</v>
      </c>
      <c r="B1713" s="0" t="s">
        <v>2608</v>
      </c>
      <c r="C1713" s="0" t="s">
        <v>7191</v>
      </c>
    </row>
    <row r="1714" customFormat="false" ht="15" hidden="false" customHeight="false" outlineLevel="0" collapsed="false">
      <c r="A1714" s="0" t="s">
        <v>8</v>
      </c>
      <c r="B1714" s="0" t="s">
        <v>2608</v>
      </c>
      <c r="C1714" s="0" t="s">
        <v>7192</v>
      </c>
    </row>
    <row r="1715" customFormat="false" ht="15" hidden="false" customHeight="false" outlineLevel="0" collapsed="false">
      <c r="A1715" s="0" t="s">
        <v>8</v>
      </c>
      <c r="B1715" s="0" t="s">
        <v>2612</v>
      </c>
      <c r="C1715" s="0" t="s">
        <v>7190</v>
      </c>
      <c r="D1715" s="0" t="n">
        <v>3393.61</v>
      </c>
    </row>
    <row r="1716" customFormat="false" ht="15" hidden="false" customHeight="false" outlineLevel="0" collapsed="false">
      <c r="A1716" s="0" t="s">
        <v>8</v>
      </c>
      <c r="B1716" s="0" t="s">
        <v>2612</v>
      </c>
      <c r="C1716" s="0" t="s">
        <v>7191</v>
      </c>
    </row>
    <row r="1717" customFormat="false" ht="15" hidden="false" customHeight="false" outlineLevel="0" collapsed="false">
      <c r="A1717" s="0" t="s">
        <v>8</v>
      </c>
      <c r="B1717" s="0" t="s">
        <v>2612</v>
      </c>
      <c r="C1717" s="0" t="s">
        <v>7192</v>
      </c>
    </row>
    <row r="1718" customFormat="false" ht="15" hidden="false" customHeight="false" outlineLevel="0" collapsed="false">
      <c r="A1718" s="0" t="s">
        <v>8</v>
      </c>
      <c r="B1718" s="0" t="s">
        <v>2618</v>
      </c>
      <c r="C1718" s="0" t="s">
        <v>7190</v>
      </c>
      <c r="D1718" s="0" t="n">
        <v>2980</v>
      </c>
    </row>
    <row r="1719" customFormat="false" ht="15" hidden="false" customHeight="false" outlineLevel="0" collapsed="false">
      <c r="A1719" s="0" t="s">
        <v>8</v>
      </c>
      <c r="B1719" s="0" t="s">
        <v>2618</v>
      </c>
      <c r="C1719" s="0" t="s">
        <v>7191</v>
      </c>
    </row>
    <row r="1720" customFormat="false" ht="15" hidden="false" customHeight="false" outlineLevel="0" collapsed="false">
      <c r="A1720" s="0" t="s">
        <v>8</v>
      </c>
      <c r="B1720" s="0" t="s">
        <v>2618</v>
      </c>
      <c r="C1720" s="0" t="s">
        <v>7192</v>
      </c>
    </row>
    <row r="1721" customFormat="false" ht="15" hidden="false" customHeight="false" outlineLevel="0" collapsed="false">
      <c r="A1721" s="0" t="s">
        <v>8</v>
      </c>
      <c r="B1721" s="0" t="s">
        <v>2623</v>
      </c>
      <c r="C1721" s="0" t="s">
        <v>7190</v>
      </c>
      <c r="D1721" s="0" t="n">
        <v>116.1</v>
      </c>
    </row>
    <row r="1722" customFormat="false" ht="15" hidden="false" customHeight="false" outlineLevel="0" collapsed="false">
      <c r="A1722" s="0" t="s">
        <v>8</v>
      </c>
      <c r="B1722" s="0" t="s">
        <v>2623</v>
      </c>
      <c r="C1722" s="0" t="s">
        <v>7191</v>
      </c>
    </row>
    <row r="1723" customFormat="false" ht="15" hidden="false" customHeight="false" outlineLevel="0" collapsed="false">
      <c r="A1723" s="0" t="s">
        <v>8</v>
      </c>
      <c r="B1723" s="0" t="s">
        <v>2623</v>
      </c>
      <c r="C1723" s="0" t="s">
        <v>7192</v>
      </c>
    </row>
    <row r="1724" customFormat="false" ht="15" hidden="false" customHeight="false" outlineLevel="0" collapsed="false">
      <c r="A1724" s="0" t="s">
        <v>8</v>
      </c>
      <c r="B1724" s="0" t="s">
        <v>2628</v>
      </c>
      <c r="C1724" s="0" t="s">
        <v>7190</v>
      </c>
      <c r="D1724" s="0" t="n">
        <v>1232</v>
      </c>
    </row>
    <row r="1725" customFormat="false" ht="15" hidden="false" customHeight="false" outlineLevel="0" collapsed="false">
      <c r="A1725" s="0" t="s">
        <v>8</v>
      </c>
      <c r="B1725" s="0" t="s">
        <v>2628</v>
      </c>
      <c r="C1725" s="0" t="s">
        <v>7191</v>
      </c>
    </row>
    <row r="1726" customFormat="false" ht="15" hidden="false" customHeight="false" outlineLevel="0" collapsed="false">
      <c r="A1726" s="0" t="s">
        <v>8</v>
      </c>
      <c r="B1726" s="0" t="s">
        <v>2628</v>
      </c>
      <c r="C1726" s="0" t="s">
        <v>7192</v>
      </c>
    </row>
    <row r="1727" customFormat="false" ht="15" hidden="false" customHeight="false" outlineLevel="0" collapsed="false">
      <c r="A1727" s="0" t="s">
        <v>8</v>
      </c>
      <c r="B1727" s="0" t="s">
        <v>2634</v>
      </c>
      <c r="C1727" s="0" t="s">
        <v>7190</v>
      </c>
      <c r="D1727" s="0" t="n">
        <v>3</v>
      </c>
    </row>
    <row r="1728" customFormat="false" ht="15" hidden="false" customHeight="false" outlineLevel="0" collapsed="false">
      <c r="A1728" s="0" t="s">
        <v>8</v>
      </c>
      <c r="B1728" s="0" t="s">
        <v>2634</v>
      </c>
      <c r="C1728" s="0" t="s">
        <v>7191</v>
      </c>
    </row>
    <row r="1729" customFormat="false" ht="15" hidden="false" customHeight="false" outlineLevel="0" collapsed="false">
      <c r="A1729" s="0" t="s">
        <v>8</v>
      </c>
      <c r="B1729" s="0" t="s">
        <v>2634</v>
      </c>
      <c r="C1729" s="0" t="s">
        <v>7192</v>
      </c>
    </row>
    <row r="1730" customFormat="false" ht="15" hidden="false" customHeight="false" outlineLevel="0" collapsed="false">
      <c r="A1730" s="0" t="s">
        <v>8</v>
      </c>
      <c r="B1730" s="0" t="s">
        <v>2641</v>
      </c>
      <c r="C1730" s="0" t="s">
        <v>7190</v>
      </c>
      <c r="D1730" s="0" t="n">
        <v>2.4</v>
      </c>
    </row>
    <row r="1731" customFormat="false" ht="15" hidden="false" customHeight="false" outlineLevel="0" collapsed="false">
      <c r="A1731" s="0" t="s">
        <v>8</v>
      </c>
      <c r="B1731" s="0" t="s">
        <v>2641</v>
      </c>
      <c r="C1731" s="0" t="s">
        <v>7191</v>
      </c>
    </row>
    <row r="1732" customFormat="false" ht="15" hidden="false" customHeight="false" outlineLevel="0" collapsed="false">
      <c r="A1732" s="0" t="s">
        <v>8</v>
      </c>
      <c r="B1732" s="0" t="s">
        <v>2641</v>
      </c>
      <c r="C1732" s="0" t="s">
        <v>7192</v>
      </c>
    </row>
    <row r="1733" customFormat="false" ht="15" hidden="false" customHeight="false" outlineLevel="0" collapsed="false">
      <c r="A1733" s="0" t="s">
        <v>8</v>
      </c>
      <c r="B1733" s="0" t="s">
        <v>2647</v>
      </c>
      <c r="C1733" s="0" t="s">
        <v>7190</v>
      </c>
      <c r="D1733" s="0" t="n">
        <v>1.8</v>
      </c>
    </row>
    <row r="1734" customFormat="false" ht="15" hidden="false" customHeight="false" outlineLevel="0" collapsed="false">
      <c r="A1734" s="0" t="s">
        <v>8</v>
      </c>
      <c r="B1734" s="0" t="s">
        <v>2647</v>
      </c>
      <c r="C1734" s="0" t="s">
        <v>7191</v>
      </c>
    </row>
    <row r="1735" customFormat="false" ht="15" hidden="false" customHeight="false" outlineLevel="0" collapsed="false">
      <c r="A1735" s="0" t="s">
        <v>8</v>
      </c>
      <c r="B1735" s="0" t="s">
        <v>2647</v>
      </c>
      <c r="C1735" s="0" t="s">
        <v>7192</v>
      </c>
    </row>
    <row r="1736" customFormat="false" ht="15" hidden="false" customHeight="false" outlineLevel="0" collapsed="false">
      <c r="A1736" s="0" t="s">
        <v>8</v>
      </c>
      <c r="B1736" s="0" t="s">
        <v>2652</v>
      </c>
      <c r="C1736" s="0" t="s">
        <v>7190</v>
      </c>
      <c r="D1736" s="0" t="n">
        <v>1.6</v>
      </c>
    </row>
    <row r="1737" customFormat="false" ht="15" hidden="false" customHeight="false" outlineLevel="0" collapsed="false">
      <c r="A1737" s="0" t="s">
        <v>8</v>
      </c>
      <c r="B1737" s="0" t="s">
        <v>2652</v>
      </c>
      <c r="C1737" s="0" t="s">
        <v>7191</v>
      </c>
    </row>
    <row r="1738" customFormat="false" ht="15" hidden="false" customHeight="false" outlineLevel="0" collapsed="false">
      <c r="A1738" s="0" t="s">
        <v>8</v>
      </c>
      <c r="B1738" s="0" t="s">
        <v>2652</v>
      </c>
      <c r="C1738" s="0" t="s">
        <v>7192</v>
      </c>
      <c r="D1738" s="0" t="n">
        <v>2</v>
      </c>
    </row>
    <row r="1739" customFormat="false" ht="15" hidden="false" customHeight="false" outlineLevel="0" collapsed="false">
      <c r="A1739" s="0" t="s">
        <v>8</v>
      </c>
      <c r="B1739" s="0" t="s">
        <v>2657</v>
      </c>
      <c r="C1739" s="0" t="s">
        <v>7190</v>
      </c>
      <c r="D1739" s="0" t="n">
        <v>80</v>
      </c>
    </row>
    <row r="1740" customFormat="false" ht="15" hidden="false" customHeight="false" outlineLevel="0" collapsed="false">
      <c r="A1740" s="0" t="s">
        <v>8</v>
      </c>
      <c r="B1740" s="0" t="s">
        <v>2657</v>
      </c>
      <c r="C1740" s="0" t="s">
        <v>7191</v>
      </c>
    </row>
    <row r="1741" customFormat="false" ht="15" hidden="false" customHeight="false" outlineLevel="0" collapsed="false">
      <c r="A1741" s="0" t="s">
        <v>8</v>
      </c>
      <c r="B1741" s="0" t="s">
        <v>2657</v>
      </c>
      <c r="C1741" s="0" t="s">
        <v>7192</v>
      </c>
    </row>
    <row r="1742" customFormat="false" ht="15" hidden="false" customHeight="false" outlineLevel="0" collapsed="false">
      <c r="A1742" s="0" t="s">
        <v>8</v>
      </c>
      <c r="B1742" s="0" t="s">
        <v>2662</v>
      </c>
      <c r="C1742" s="0" t="s">
        <v>7190</v>
      </c>
    </row>
    <row r="1743" customFormat="false" ht="15" hidden="false" customHeight="false" outlineLevel="0" collapsed="false">
      <c r="A1743" s="0" t="s">
        <v>8</v>
      </c>
      <c r="B1743" s="0" t="s">
        <v>2662</v>
      </c>
      <c r="C1743" s="0" t="s">
        <v>7191</v>
      </c>
    </row>
    <row r="1744" customFormat="false" ht="15" hidden="false" customHeight="false" outlineLevel="0" collapsed="false">
      <c r="A1744" s="0" t="s">
        <v>8</v>
      </c>
      <c r="B1744" s="0" t="s">
        <v>2662</v>
      </c>
      <c r="C1744" s="0" t="s">
        <v>7192</v>
      </c>
    </row>
    <row r="1745" customFormat="false" ht="15" hidden="false" customHeight="false" outlineLevel="0" collapsed="false">
      <c r="A1745" s="0" t="s">
        <v>8</v>
      </c>
      <c r="B1745" s="0" t="s">
        <v>2669</v>
      </c>
      <c r="C1745" s="0" t="s">
        <v>7190</v>
      </c>
      <c r="D1745" s="0" t="n">
        <v>6048</v>
      </c>
    </row>
    <row r="1746" customFormat="false" ht="15" hidden="false" customHeight="false" outlineLevel="0" collapsed="false">
      <c r="A1746" s="0" t="s">
        <v>8</v>
      </c>
      <c r="B1746" s="0" t="s">
        <v>2669</v>
      </c>
      <c r="C1746" s="0" t="s">
        <v>7191</v>
      </c>
    </row>
    <row r="1747" customFormat="false" ht="15" hidden="false" customHeight="false" outlineLevel="0" collapsed="false">
      <c r="A1747" s="0" t="s">
        <v>8</v>
      </c>
      <c r="B1747" s="0" t="s">
        <v>2669</v>
      </c>
      <c r="C1747" s="0" t="s">
        <v>7192</v>
      </c>
    </row>
    <row r="1748" customFormat="false" ht="15" hidden="false" customHeight="false" outlineLevel="0" collapsed="false">
      <c r="A1748" s="0" t="s">
        <v>8</v>
      </c>
      <c r="B1748" s="0" t="s">
        <v>2679</v>
      </c>
      <c r="C1748" s="0" t="s">
        <v>7190</v>
      </c>
      <c r="D1748" s="0" t="n">
        <v>18013</v>
      </c>
    </row>
    <row r="1749" customFormat="false" ht="15" hidden="false" customHeight="false" outlineLevel="0" collapsed="false">
      <c r="A1749" s="0" t="s">
        <v>8</v>
      </c>
      <c r="B1749" s="0" t="s">
        <v>2679</v>
      </c>
      <c r="C1749" s="0" t="s">
        <v>7191</v>
      </c>
    </row>
    <row r="1750" customFormat="false" ht="15" hidden="false" customHeight="false" outlineLevel="0" collapsed="false">
      <c r="A1750" s="0" t="s">
        <v>8</v>
      </c>
      <c r="B1750" s="0" t="s">
        <v>2679</v>
      </c>
      <c r="C1750" s="0" t="s">
        <v>7192</v>
      </c>
    </row>
    <row r="1751" customFormat="false" ht="15" hidden="false" customHeight="false" outlineLevel="0" collapsed="false">
      <c r="A1751" s="0" t="s">
        <v>8</v>
      </c>
      <c r="B1751" s="0" t="s">
        <v>2686</v>
      </c>
      <c r="C1751" s="0" t="s">
        <v>7190</v>
      </c>
      <c r="D1751" s="0" t="n">
        <v>37900</v>
      </c>
    </row>
    <row r="1752" customFormat="false" ht="15" hidden="false" customHeight="false" outlineLevel="0" collapsed="false">
      <c r="A1752" s="0" t="s">
        <v>8</v>
      </c>
      <c r="B1752" s="0" t="s">
        <v>2686</v>
      </c>
      <c r="C1752" s="0" t="s">
        <v>7191</v>
      </c>
    </row>
    <row r="1753" customFormat="false" ht="15" hidden="false" customHeight="false" outlineLevel="0" collapsed="false">
      <c r="A1753" s="0" t="s">
        <v>8</v>
      </c>
      <c r="B1753" s="0" t="s">
        <v>2686</v>
      </c>
      <c r="C1753" s="0" t="s">
        <v>7192</v>
      </c>
    </row>
    <row r="1754" customFormat="false" ht="15" hidden="false" customHeight="false" outlineLevel="0" collapsed="false">
      <c r="A1754" s="0" t="s">
        <v>8</v>
      </c>
      <c r="B1754" s="0" t="s">
        <v>2692</v>
      </c>
      <c r="C1754" s="0" t="s">
        <v>7190</v>
      </c>
      <c r="D1754" s="0" t="n">
        <v>-4594</v>
      </c>
    </row>
    <row r="1755" customFormat="false" ht="15" hidden="false" customHeight="false" outlineLevel="0" collapsed="false">
      <c r="A1755" s="0" t="s">
        <v>8</v>
      </c>
      <c r="B1755" s="0" t="s">
        <v>2692</v>
      </c>
      <c r="C1755" s="0" t="s">
        <v>7191</v>
      </c>
    </row>
    <row r="1756" customFormat="false" ht="15" hidden="false" customHeight="false" outlineLevel="0" collapsed="false">
      <c r="A1756" s="0" t="s">
        <v>8</v>
      </c>
      <c r="B1756" s="0" t="s">
        <v>2692</v>
      </c>
      <c r="C1756" s="0" t="s">
        <v>7192</v>
      </c>
    </row>
    <row r="1757" customFormat="false" ht="15" hidden="false" customHeight="false" outlineLevel="0" collapsed="false">
      <c r="A1757" s="0" t="s">
        <v>8</v>
      </c>
      <c r="B1757" s="0" t="s">
        <v>2697</v>
      </c>
      <c r="C1757" s="0" t="s">
        <v>7190</v>
      </c>
      <c r="D1757" s="0" t="n">
        <v>6.1</v>
      </c>
    </row>
    <row r="1758" customFormat="false" ht="15" hidden="false" customHeight="false" outlineLevel="0" collapsed="false">
      <c r="A1758" s="0" t="s">
        <v>8</v>
      </c>
      <c r="B1758" s="0" t="s">
        <v>2697</v>
      </c>
      <c r="C1758" s="0" t="s">
        <v>7191</v>
      </c>
    </row>
    <row r="1759" customFormat="false" ht="15" hidden="false" customHeight="false" outlineLevel="0" collapsed="false">
      <c r="A1759" s="0" t="s">
        <v>8</v>
      </c>
      <c r="B1759" s="0" t="s">
        <v>2697</v>
      </c>
      <c r="C1759" s="0" t="s">
        <v>7192</v>
      </c>
    </row>
    <row r="1760" customFormat="false" ht="15" hidden="false" customHeight="false" outlineLevel="0" collapsed="false">
      <c r="A1760" s="0" t="s">
        <v>8</v>
      </c>
      <c r="B1760" s="0" t="s">
        <v>2705</v>
      </c>
      <c r="C1760" s="0" t="s">
        <v>7190</v>
      </c>
      <c r="D1760" s="0" t="n">
        <v>1567.3</v>
      </c>
    </row>
    <row r="1761" customFormat="false" ht="15" hidden="false" customHeight="false" outlineLevel="0" collapsed="false">
      <c r="A1761" s="0" t="s">
        <v>8</v>
      </c>
      <c r="B1761" s="0" t="s">
        <v>2705</v>
      </c>
      <c r="C1761" s="0" t="s">
        <v>7191</v>
      </c>
    </row>
    <row r="1762" customFormat="false" ht="15" hidden="false" customHeight="false" outlineLevel="0" collapsed="false">
      <c r="A1762" s="0" t="s">
        <v>8</v>
      </c>
      <c r="B1762" s="0" t="s">
        <v>2705</v>
      </c>
      <c r="C1762" s="0" t="s">
        <v>7192</v>
      </c>
    </row>
    <row r="1763" customFormat="false" ht="15" hidden="false" customHeight="false" outlineLevel="0" collapsed="false">
      <c r="A1763" s="0" t="s">
        <v>8</v>
      </c>
      <c r="B1763" s="0" t="s">
        <v>2710</v>
      </c>
      <c r="C1763" s="0" t="s">
        <v>7190</v>
      </c>
      <c r="D1763" s="0" t="n">
        <v>1427</v>
      </c>
    </row>
    <row r="1764" customFormat="false" ht="15" hidden="false" customHeight="false" outlineLevel="0" collapsed="false">
      <c r="A1764" s="0" t="s">
        <v>8</v>
      </c>
      <c r="B1764" s="0" t="s">
        <v>2710</v>
      </c>
      <c r="C1764" s="0" t="s">
        <v>7191</v>
      </c>
      <c r="D1764" s="0" t="n">
        <v>549</v>
      </c>
    </row>
    <row r="1765" customFormat="false" ht="15" hidden="false" customHeight="false" outlineLevel="0" collapsed="false">
      <c r="A1765" s="0" t="s">
        <v>8</v>
      </c>
      <c r="B1765" s="0" t="s">
        <v>2710</v>
      </c>
      <c r="C1765" s="0" t="s">
        <v>7192</v>
      </c>
      <c r="D1765" s="0" t="n">
        <v>1928</v>
      </c>
    </row>
    <row r="1766" customFormat="false" ht="15" hidden="false" customHeight="false" outlineLevel="0" collapsed="false">
      <c r="A1766" s="0" t="s">
        <v>8</v>
      </c>
      <c r="B1766" s="0" t="s">
        <v>2717</v>
      </c>
      <c r="C1766" s="0" t="s">
        <v>7190</v>
      </c>
      <c r="D1766" s="0" t="n">
        <v>1560</v>
      </c>
    </row>
    <row r="1767" customFormat="false" ht="15" hidden="false" customHeight="false" outlineLevel="0" collapsed="false">
      <c r="A1767" s="0" t="s">
        <v>8</v>
      </c>
      <c r="B1767" s="0" t="s">
        <v>2717</v>
      </c>
      <c r="C1767" s="0" t="s">
        <v>7191</v>
      </c>
    </row>
    <row r="1768" customFormat="false" ht="15" hidden="false" customHeight="false" outlineLevel="0" collapsed="false">
      <c r="A1768" s="0" t="s">
        <v>8</v>
      </c>
      <c r="B1768" s="0" t="s">
        <v>2717</v>
      </c>
      <c r="C1768" s="0" t="s">
        <v>7192</v>
      </c>
    </row>
    <row r="1769" customFormat="false" ht="15" hidden="false" customHeight="false" outlineLevel="0" collapsed="false">
      <c r="A1769" s="0" t="s">
        <v>8</v>
      </c>
      <c r="B1769" s="0" t="s">
        <v>2725</v>
      </c>
      <c r="C1769" s="0" t="s">
        <v>7190</v>
      </c>
      <c r="D1769" s="0" t="n">
        <v>1600</v>
      </c>
    </row>
    <row r="1770" customFormat="false" ht="15" hidden="false" customHeight="false" outlineLevel="0" collapsed="false">
      <c r="A1770" s="0" t="s">
        <v>8</v>
      </c>
      <c r="B1770" s="0" t="s">
        <v>2725</v>
      </c>
      <c r="C1770" s="0" t="s">
        <v>7191</v>
      </c>
    </row>
    <row r="1771" customFormat="false" ht="15" hidden="false" customHeight="false" outlineLevel="0" collapsed="false">
      <c r="A1771" s="0" t="s">
        <v>8</v>
      </c>
      <c r="B1771" s="0" t="s">
        <v>2725</v>
      </c>
      <c r="C1771" s="0" t="s">
        <v>7192</v>
      </c>
    </row>
    <row r="1772" customFormat="false" ht="15" hidden="false" customHeight="false" outlineLevel="0" collapsed="false">
      <c r="A1772" s="0" t="s">
        <v>8</v>
      </c>
      <c r="B1772" s="0" t="s">
        <v>2733</v>
      </c>
      <c r="C1772" s="0" t="s">
        <v>7190</v>
      </c>
      <c r="D1772" s="0" t="n">
        <v>62</v>
      </c>
    </row>
    <row r="1773" customFormat="false" ht="15" hidden="false" customHeight="false" outlineLevel="0" collapsed="false">
      <c r="A1773" s="0" t="s">
        <v>8</v>
      </c>
      <c r="B1773" s="0" t="s">
        <v>2733</v>
      </c>
      <c r="C1773" s="0" t="s">
        <v>7191</v>
      </c>
    </row>
    <row r="1774" customFormat="false" ht="15" hidden="false" customHeight="false" outlineLevel="0" collapsed="false">
      <c r="A1774" s="0" t="s">
        <v>8</v>
      </c>
      <c r="B1774" s="0" t="s">
        <v>2733</v>
      </c>
      <c r="C1774" s="0" t="s">
        <v>7192</v>
      </c>
    </row>
    <row r="1775" customFormat="false" ht="15" hidden="false" customHeight="false" outlineLevel="0" collapsed="false">
      <c r="A1775" s="0" t="s">
        <v>8</v>
      </c>
      <c r="B1775" s="0" t="s">
        <v>2741</v>
      </c>
      <c r="C1775" s="0" t="s">
        <v>7190</v>
      </c>
      <c r="D1775" s="0" t="n">
        <v>42</v>
      </c>
    </row>
    <row r="1776" customFormat="false" ht="15" hidden="false" customHeight="false" outlineLevel="0" collapsed="false">
      <c r="A1776" s="0" t="s">
        <v>8</v>
      </c>
      <c r="B1776" s="0" t="s">
        <v>2741</v>
      </c>
      <c r="C1776" s="0" t="s">
        <v>7191</v>
      </c>
    </row>
    <row r="1777" customFormat="false" ht="15" hidden="false" customHeight="false" outlineLevel="0" collapsed="false">
      <c r="A1777" s="0" t="s">
        <v>8</v>
      </c>
      <c r="B1777" s="0" t="s">
        <v>2741</v>
      </c>
      <c r="C1777" s="0" t="s">
        <v>7192</v>
      </c>
    </row>
    <row r="1778" customFormat="false" ht="15" hidden="false" customHeight="false" outlineLevel="0" collapsed="false">
      <c r="A1778" s="0" t="s">
        <v>8</v>
      </c>
      <c r="B1778" s="0" t="s">
        <v>2749</v>
      </c>
      <c r="C1778" s="0" t="s">
        <v>7190</v>
      </c>
      <c r="D1778" s="0" t="n">
        <v>1500</v>
      </c>
    </row>
    <row r="1779" customFormat="false" ht="15" hidden="false" customHeight="false" outlineLevel="0" collapsed="false">
      <c r="A1779" s="0" t="s">
        <v>8</v>
      </c>
      <c r="B1779" s="0" t="s">
        <v>2749</v>
      </c>
      <c r="C1779" s="0" t="s">
        <v>7191</v>
      </c>
    </row>
    <row r="1780" customFormat="false" ht="15" hidden="false" customHeight="false" outlineLevel="0" collapsed="false">
      <c r="A1780" s="0" t="s">
        <v>8</v>
      </c>
      <c r="B1780" s="0" t="s">
        <v>2749</v>
      </c>
      <c r="C1780" s="0" t="s">
        <v>7192</v>
      </c>
    </row>
    <row r="1781" customFormat="false" ht="15" hidden="false" customHeight="false" outlineLevel="0" collapsed="false">
      <c r="A1781" s="0" t="s">
        <v>8</v>
      </c>
      <c r="B1781" s="0" t="s">
        <v>2757</v>
      </c>
      <c r="C1781" s="0" t="s">
        <v>7190</v>
      </c>
      <c r="D1781" s="0" t="n">
        <v>2000</v>
      </c>
    </row>
    <row r="1782" customFormat="false" ht="15" hidden="false" customHeight="false" outlineLevel="0" collapsed="false">
      <c r="A1782" s="0" t="s">
        <v>8</v>
      </c>
      <c r="B1782" s="0" t="s">
        <v>2757</v>
      </c>
      <c r="C1782" s="0" t="s">
        <v>7191</v>
      </c>
    </row>
    <row r="1783" customFormat="false" ht="15" hidden="false" customHeight="false" outlineLevel="0" collapsed="false">
      <c r="A1783" s="0" t="s">
        <v>8</v>
      </c>
      <c r="B1783" s="0" t="s">
        <v>2757</v>
      </c>
      <c r="C1783" s="0" t="s">
        <v>7192</v>
      </c>
    </row>
    <row r="1784" customFormat="false" ht="15" hidden="false" customHeight="false" outlineLevel="0" collapsed="false">
      <c r="A1784" s="0" t="s">
        <v>8</v>
      </c>
      <c r="B1784" s="0" t="s">
        <v>2764</v>
      </c>
      <c r="C1784" s="0" t="s">
        <v>7190</v>
      </c>
      <c r="D1784" s="0" t="n">
        <v>236</v>
      </c>
    </row>
    <row r="1785" customFormat="false" ht="15" hidden="false" customHeight="false" outlineLevel="0" collapsed="false">
      <c r="A1785" s="0" t="s">
        <v>8</v>
      </c>
      <c r="B1785" s="0" t="s">
        <v>2764</v>
      </c>
      <c r="C1785" s="0" t="s">
        <v>7191</v>
      </c>
    </row>
    <row r="1786" customFormat="false" ht="15" hidden="false" customHeight="false" outlineLevel="0" collapsed="false">
      <c r="A1786" s="0" t="s">
        <v>8</v>
      </c>
      <c r="B1786" s="0" t="s">
        <v>2764</v>
      </c>
      <c r="C1786" s="0" t="s">
        <v>7192</v>
      </c>
    </row>
    <row r="1787" customFormat="false" ht="15" hidden="false" customHeight="false" outlineLevel="0" collapsed="false">
      <c r="A1787" s="0" t="s">
        <v>8</v>
      </c>
      <c r="B1787" s="0" t="s">
        <v>2771</v>
      </c>
      <c r="C1787" s="0" t="s">
        <v>7190</v>
      </c>
      <c r="D1787" s="0" t="n">
        <v>830.72</v>
      </c>
    </row>
    <row r="1788" customFormat="false" ht="15" hidden="false" customHeight="false" outlineLevel="0" collapsed="false">
      <c r="A1788" s="0" t="s">
        <v>8</v>
      </c>
      <c r="B1788" s="0" t="s">
        <v>2771</v>
      </c>
      <c r="C1788" s="0" t="s">
        <v>7191</v>
      </c>
    </row>
    <row r="1789" customFormat="false" ht="15" hidden="false" customHeight="false" outlineLevel="0" collapsed="false">
      <c r="A1789" s="0" t="s">
        <v>8</v>
      </c>
      <c r="B1789" s="0" t="s">
        <v>2771</v>
      </c>
      <c r="C1789" s="0" t="s">
        <v>7192</v>
      </c>
    </row>
    <row r="1790" customFormat="false" ht="15" hidden="false" customHeight="false" outlineLevel="0" collapsed="false">
      <c r="A1790" s="0" t="s">
        <v>8</v>
      </c>
      <c r="B1790" s="0" t="s">
        <v>2775</v>
      </c>
      <c r="C1790" s="0" t="s">
        <v>7190</v>
      </c>
      <c r="D1790" s="0" t="n">
        <v>352480183</v>
      </c>
    </row>
    <row r="1791" customFormat="false" ht="15" hidden="false" customHeight="false" outlineLevel="0" collapsed="false">
      <c r="A1791" s="0" t="s">
        <v>8</v>
      </c>
      <c r="B1791" s="0" t="s">
        <v>2775</v>
      </c>
      <c r="C1791" s="0" t="s">
        <v>7191</v>
      </c>
    </row>
    <row r="1792" customFormat="false" ht="15" hidden="false" customHeight="false" outlineLevel="0" collapsed="false">
      <c r="A1792" s="0" t="s">
        <v>8</v>
      </c>
      <c r="B1792" s="0" t="s">
        <v>2775</v>
      </c>
      <c r="C1792" s="0" t="s">
        <v>7192</v>
      </c>
    </row>
    <row r="1793" customFormat="false" ht="15" hidden="false" customHeight="false" outlineLevel="0" collapsed="false">
      <c r="A1793" s="0" t="s">
        <v>8</v>
      </c>
      <c r="B1793" s="0" t="s">
        <v>2783</v>
      </c>
      <c r="C1793" s="0" t="s">
        <v>7190</v>
      </c>
      <c r="D1793" s="0" t="n">
        <v>79</v>
      </c>
    </row>
    <row r="1794" customFormat="false" ht="15" hidden="false" customHeight="false" outlineLevel="0" collapsed="false">
      <c r="A1794" s="0" t="s">
        <v>8</v>
      </c>
      <c r="B1794" s="0" t="s">
        <v>2783</v>
      </c>
      <c r="C1794" s="0" t="s">
        <v>7191</v>
      </c>
    </row>
    <row r="1795" customFormat="false" ht="15" hidden="false" customHeight="false" outlineLevel="0" collapsed="false">
      <c r="A1795" s="0" t="s">
        <v>8</v>
      </c>
      <c r="B1795" s="0" t="s">
        <v>2783</v>
      </c>
      <c r="C1795" s="0" t="s">
        <v>7192</v>
      </c>
    </row>
    <row r="1796" customFormat="false" ht="15" hidden="false" customHeight="false" outlineLevel="0" collapsed="false">
      <c r="A1796" s="0" t="s">
        <v>8</v>
      </c>
      <c r="B1796" s="0" t="s">
        <v>2791</v>
      </c>
      <c r="C1796" s="0" t="s">
        <v>7190</v>
      </c>
      <c r="D1796" s="0" t="n">
        <v>-1871.6</v>
      </c>
    </row>
    <row r="1797" customFormat="false" ht="15" hidden="false" customHeight="false" outlineLevel="0" collapsed="false">
      <c r="A1797" s="0" t="s">
        <v>8</v>
      </c>
      <c r="B1797" s="0" t="s">
        <v>2791</v>
      </c>
      <c r="C1797" s="0" t="s">
        <v>7191</v>
      </c>
    </row>
    <row r="1798" customFormat="false" ht="15" hidden="false" customHeight="false" outlineLevel="0" collapsed="false">
      <c r="A1798" s="0" t="s">
        <v>8</v>
      </c>
      <c r="B1798" s="0" t="s">
        <v>2791</v>
      </c>
      <c r="C1798" s="0" t="s">
        <v>7192</v>
      </c>
    </row>
    <row r="1799" customFormat="false" ht="15" hidden="false" customHeight="false" outlineLevel="0" collapsed="false">
      <c r="A1799" s="0" t="s">
        <v>8</v>
      </c>
      <c r="B1799" s="0" t="s">
        <v>2795</v>
      </c>
      <c r="C1799" s="0" t="s">
        <v>7190</v>
      </c>
      <c r="D1799" s="0" t="n">
        <v>-250.9</v>
      </c>
    </row>
    <row r="1800" customFormat="false" ht="15" hidden="false" customHeight="false" outlineLevel="0" collapsed="false">
      <c r="A1800" s="0" t="s">
        <v>8</v>
      </c>
      <c r="B1800" s="0" t="s">
        <v>2795</v>
      </c>
      <c r="C1800" s="0" t="s">
        <v>7191</v>
      </c>
    </row>
    <row r="1801" customFormat="false" ht="15" hidden="false" customHeight="false" outlineLevel="0" collapsed="false">
      <c r="A1801" s="0" t="s">
        <v>8</v>
      </c>
      <c r="B1801" s="0" t="s">
        <v>2795</v>
      </c>
      <c r="C1801" s="0" t="s">
        <v>7192</v>
      </c>
    </row>
    <row r="1802" customFormat="false" ht="15" hidden="false" customHeight="false" outlineLevel="0" collapsed="false">
      <c r="A1802" s="0" t="s">
        <v>8</v>
      </c>
      <c r="B1802" s="0" t="s">
        <v>2800</v>
      </c>
      <c r="C1802" s="0" t="s">
        <v>7190</v>
      </c>
      <c r="D1802" s="0" t="n">
        <v>116.57</v>
      </c>
    </row>
    <row r="1803" customFormat="false" ht="15" hidden="false" customHeight="false" outlineLevel="0" collapsed="false">
      <c r="A1803" s="0" t="s">
        <v>8</v>
      </c>
      <c r="B1803" s="0" t="s">
        <v>2800</v>
      </c>
      <c r="C1803" s="0" t="s">
        <v>7191</v>
      </c>
    </row>
    <row r="1804" customFormat="false" ht="15" hidden="false" customHeight="false" outlineLevel="0" collapsed="false">
      <c r="A1804" s="0" t="s">
        <v>8</v>
      </c>
      <c r="B1804" s="0" t="s">
        <v>2800</v>
      </c>
      <c r="C1804" s="0" t="s">
        <v>7192</v>
      </c>
    </row>
    <row r="1805" customFormat="false" ht="15" hidden="false" customHeight="false" outlineLevel="0" collapsed="false">
      <c r="A1805" s="0" t="s">
        <v>8</v>
      </c>
      <c r="B1805" s="0" t="s">
        <v>2807</v>
      </c>
      <c r="C1805" s="0" t="s">
        <v>7190</v>
      </c>
      <c r="D1805" s="0" t="n">
        <v>-357.99</v>
      </c>
    </row>
    <row r="1806" customFormat="false" ht="15" hidden="false" customHeight="false" outlineLevel="0" collapsed="false">
      <c r="A1806" s="0" t="s">
        <v>8</v>
      </c>
      <c r="B1806" s="0" t="s">
        <v>2807</v>
      </c>
      <c r="C1806" s="0" t="s">
        <v>7191</v>
      </c>
    </row>
    <row r="1807" customFormat="false" ht="15" hidden="false" customHeight="false" outlineLevel="0" collapsed="false">
      <c r="A1807" s="0" t="s">
        <v>8</v>
      </c>
      <c r="B1807" s="0" t="s">
        <v>2807</v>
      </c>
      <c r="C1807" s="0" t="s">
        <v>7192</v>
      </c>
    </row>
    <row r="1808" customFormat="false" ht="15" hidden="false" customHeight="false" outlineLevel="0" collapsed="false">
      <c r="A1808" s="0" t="s">
        <v>8</v>
      </c>
      <c r="B1808" s="0" t="s">
        <v>2812</v>
      </c>
      <c r="C1808" s="0" t="s">
        <v>7190</v>
      </c>
      <c r="D1808" s="0" t="n">
        <v>1320</v>
      </c>
    </row>
    <row r="1809" customFormat="false" ht="15" hidden="false" customHeight="false" outlineLevel="0" collapsed="false">
      <c r="A1809" s="0" t="s">
        <v>8</v>
      </c>
      <c r="B1809" s="0" t="s">
        <v>2812</v>
      </c>
      <c r="C1809" s="0" t="s">
        <v>7191</v>
      </c>
    </row>
    <row r="1810" customFormat="false" ht="15" hidden="false" customHeight="false" outlineLevel="0" collapsed="false">
      <c r="A1810" s="0" t="s">
        <v>8</v>
      </c>
      <c r="B1810" s="0" t="s">
        <v>2812</v>
      </c>
      <c r="C1810" s="0" t="s">
        <v>7192</v>
      </c>
    </row>
    <row r="1811" customFormat="false" ht="15" hidden="false" customHeight="false" outlineLevel="0" collapsed="false">
      <c r="A1811" s="0" t="s">
        <v>8</v>
      </c>
      <c r="B1811" s="0" t="s">
        <v>2816</v>
      </c>
      <c r="C1811" s="0" t="s">
        <v>7190</v>
      </c>
    </row>
    <row r="1812" customFormat="false" ht="15" hidden="false" customHeight="false" outlineLevel="0" collapsed="false">
      <c r="A1812" s="0" t="s">
        <v>8</v>
      </c>
      <c r="B1812" s="0" t="s">
        <v>2816</v>
      </c>
      <c r="C1812" s="0" t="s">
        <v>7191</v>
      </c>
    </row>
    <row r="1813" customFormat="false" ht="15" hidden="false" customHeight="false" outlineLevel="0" collapsed="false">
      <c r="A1813" s="0" t="s">
        <v>8</v>
      </c>
      <c r="B1813" s="0" t="s">
        <v>2816</v>
      </c>
      <c r="C1813" s="0" t="s">
        <v>7192</v>
      </c>
    </row>
    <row r="1814" customFormat="false" ht="15" hidden="false" customHeight="false" outlineLevel="0" collapsed="false">
      <c r="A1814" s="0" t="s">
        <v>8</v>
      </c>
      <c r="B1814" s="0" t="s">
        <v>2821</v>
      </c>
      <c r="C1814" s="0" t="s">
        <v>7190</v>
      </c>
      <c r="D1814" s="0" t="n">
        <v>2.47</v>
      </c>
    </row>
    <row r="1815" customFormat="false" ht="15" hidden="false" customHeight="false" outlineLevel="0" collapsed="false">
      <c r="A1815" s="0" t="s">
        <v>8</v>
      </c>
      <c r="B1815" s="0" t="s">
        <v>2821</v>
      </c>
      <c r="C1815" s="0" t="s">
        <v>7191</v>
      </c>
    </row>
    <row r="1816" customFormat="false" ht="15" hidden="false" customHeight="false" outlineLevel="0" collapsed="false">
      <c r="A1816" s="0" t="s">
        <v>8</v>
      </c>
      <c r="B1816" s="0" t="s">
        <v>2821</v>
      </c>
      <c r="C1816" s="0" t="s">
        <v>7192</v>
      </c>
    </row>
    <row r="1817" customFormat="false" ht="15" hidden="false" customHeight="false" outlineLevel="0" collapsed="false">
      <c r="A1817" s="0" t="s">
        <v>8</v>
      </c>
      <c r="B1817" s="0" t="s">
        <v>2826</v>
      </c>
      <c r="C1817" s="0" t="s">
        <v>7190</v>
      </c>
      <c r="D1817" s="0" t="n">
        <v>155</v>
      </c>
    </row>
    <row r="1818" customFormat="false" ht="15" hidden="false" customHeight="false" outlineLevel="0" collapsed="false">
      <c r="A1818" s="0" t="s">
        <v>8</v>
      </c>
      <c r="B1818" s="0" t="s">
        <v>2826</v>
      </c>
      <c r="C1818" s="0" t="s">
        <v>7191</v>
      </c>
    </row>
    <row r="1819" customFormat="false" ht="15" hidden="false" customHeight="false" outlineLevel="0" collapsed="false">
      <c r="A1819" s="0" t="s">
        <v>8</v>
      </c>
      <c r="B1819" s="0" t="s">
        <v>2826</v>
      </c>
      <c r="C1819" s="0" t="s">
        <v>7192</v>
      </c>
    </row>
    <row r="1820" customFormat="false" ht="15" hidden="false" customHeight="false" outlineLevel="0" collapsed="false">
      <c r="A1820" s="0" t="s">
        <v>8</v>
      </c>
      <c r="B1820" s="0" t="s">
        <v>2830</v>
      </c>
      <c r="C1820" s="0" t="s">
        <v>7190</v>
      </c>
      <c r="D1820" s="0" t="n">
        <v>344</v>
      </c>
    </row>
    <row r="1821" customFormat="false" ht="15" hidden="false" customHeight="false" outlineLevel="0" collapsed="false">
      <c r="A1821" s="0" t="s">
        <v>8</v>
      </c>
      <c r="B1821" s="0" t="s">
        <v>2830</v>
      </c>
      <c r="C1821" s="0" t="s">
        <v>7191</v>
      </c>
    </row>
    <row r="1822" customFormat="false" ht="15" hidden="false" customHeight="false" outlineLevel="0" collapsed="false">
      <c r="A1822" s="0" t="s">
        <v>8</v>
      </c>
      <c r="B1822" s="0" t="s">
        <v>2830</v>
      </c>
      <c r="C1822" s="0" t="s">
        <v>7192</v>
      </c>
    </row>
    <row r="1823" customFormat="false" ht="15" hidden="false" customHeight="false" outlineLevel="0" collapsed="false">
      <c r="A1823" s="0" t="s">
        <v>8</v>
      </c>
      <c r="B1823" s="0" t="s">
        <v>2834</v>
      </c>
      <c r="C1823" s="0" t="s">
        <v>7190</v>
      </c>
      <c r="D1823" s="0" t="n">
        <v>114</v>
      </c>
    </row>
    <row r="1824" customFormat="false" ht="15" hidden="false" customHeight="false" outlineLevel="0" collapsed="false">
      <c r="A1824" s="0" t="s">
        <v>8</v>
      </c>
      <c r="B1824" s="0" t="s">
        <v>2834</v>
      </c>
      <c r="C1824" s="0" t="s">
        <v>7191</v>
      </c>
    </row>
    <row r="1825" customFormat="false" ht="15" hidden="false" customHeight="false" outlineLevel="0" collapsed="false">
      <c r="A1825" s="0" t="s">
        <v>8</v>
      </c>
      <c r="B1825" s="0" t="s">
        <v>2834</v>
      </c>
      <c r="C1825" s="0" t="s">
        <v>7192</v>
      </c>
    </row>
    <row r="1826" customFormat="false" ht="15" hidden="false" customHeight="false" outlineLevel="0" collapsed="false">
      <c r="A1826" s="0" t="s">
        <v>8</v>
      </c>
      <c r="B1826" s="0" t="s">
        <v>2838</v>
      </c>
      <c r="C1826" s="0" t="s">
        <v>7190</v>
      </c>
      <c r="D1826" s="0" t="n">
        <v>251</v>
      </c>
    </row>
    <row r="1827" customFormat="false" ht="15" hidden="false" customHeight="false" outlineLevel="0" collapsed="false">
      <c r="A1827" s="0" t="s">
        <v>8</v>
      </c>
      <c r="B1827" s="0" t="s">
        <v>2838</v>
      </c>
      <c r="C1827" s="0" t="s">
        <v>7191</v>
      </c>
    </row>
    <row r="1828" customFormat="false" ht="15" hidden="false" customHeight="false" outlineLevel="0" collapsed="false">
      <c r="A1828" s="0" t="s">
        <v>8</v>
      </c>
      <c r="B1828" s="0" t="s">
        <v>2838</v>
      </c>
      <c r="C1828" s="0" t="s">
        <v>7192</v>
      </c>
    </row>
    <row r="1829" customFormat="false" ht="15" hidden="false" customHeight="false" outlineLevel="0" collapsed="false">
      <c r="A1829" s="0" t="s">
        <v>8</v>
      </c>
      <c r="B1829" s="0" t="s">
        <v>2842</v>
      </c>
      <c r="C1829" s="0" t="s">
        <v>7190</v>
      </c>
      <c r="D1829" s="0" t="n">
        <v>475</v>
      </c>
    </row>
    <row r="1830" customFormat="false" ht="15" hidden="false" customHeight="false" outlineLevel="0" collapsed="false">
      <c r="A1830" s="0" t="s">
        <v>8</v>
      </c>
      <c r="B1830" s="0" t="s">
        <v>2842</v>
      </c>
      <c r="C1830" s="0" t="s">
        <v>7191</v>
      </c>
    </row>
    <row r="1831" customFormat="false" ht="15" hidden="false" customHeight="false" outlineLevel="0" collapsed="false">
      <c r="A1831" s="0" t="s">
        <v>8</v>
      </c>
      <c r="B1831" s="0" t="s">
        <v>2842</v>
      </c>
      <c r="C1831" s="0" t="s">
        <v>7192</v>
      </c>
    </row>
    <row r="1832" customFormat="false" ht="15" hidden="false" customHeight="false" outlineLevel="0" collapsed="false">
      <c r="A1832" s="0" t="s">
        <v>8</v>
      </c>
      <c r="B1832" s="0" t="s">
        <v>2847</v>
      </c>
      <c r="C1832" s="0" t="s">
        <v>7190</v>
      </c>
      <c r="D1832" s="0" t="n">
        <v>0.1463</v>
      </c>
    </row>
    <row r="1833" customFormat="false" ht="15" hidden="false" customHeight="false" outlineLevel="0" collapsed="false">
      <c r="A1833" s="0" t="s">
        <v>8</v>
      </c>
      <c r="B1833" s="0" t="s">
        <v>2847</v>
      </c>
      <c r="C1833" s="0" t="s">
        <v>7191</v>
      </c>
    </row>
    <row r="1834" customFormat="false" ht="15" hidden="false" customHeight="false" outlineLevel="0" collapsed="false">
      <c r="A1834" s="0" t="s">
        <v>8</v>
      </c>
      <c r="B1834" s="0" t="s">
        <v>2847</v>
      </c>
      <c r="C1834" s="0" t="s">
        <v>7192</v>
      </c>
    </row>
    <row r="1835" customFormat="false" ht="15" hidden="false" customHeight="false" outlineLevel="0" collapsed="false">
      <c r="A1835" s="0" t="s">
        <v>8</v>
      </c>
      <c r="B1835" s="0" t="s">
        <v>2853</v>
      </c>
      <c r="C1835" s="0" t="s">
        <v>7190</v>
      </c>
      <c r="D1835" s="0" t="n">
        <v>3.1175</v>
      </c>
    </row>
    <row r="1836" customFormat="false" ht="15" hidden="false" customHeight="false" outlineLevel="0" collapsed="false">
      <c r="A1836" s="0" t="s">
        <v>8</v>
      </c>
      <c r="B1836" s="0" t="s">
        <v>2853</v>
      </c>
      <c r="C1836" s="0" t="s">
        <v>7191</v>
      </c>
    </row>
    <row r="1837" customFormat="false" ht="15" hidden="false" customHeight="false" outlineLevel="0" collapsed="false">
      <c r="A1837" s="0" t="s">
        <v>8</v>
      </c>
      <c r="B1837" s="0" t="s">
        <v>2853</v>
      </c>
      <c r="C1837" s="0" t="s">
        <v>7192</v>
      </c>
    </row>
    <row r="1838" customFormat="false" ht="15" hidden="false" customHeight="false" outlineLevel="0" collapsed="false">
      <c r="A1838" s="0" t="s">
        <v>8</v>
      </c>
      <c r="B1838" s="0" t="s">
        <v>2856</v>
      </c>
      <c r="C1838" s="0" t="s">
        <v>7190</v>
      </c>
      <c r="D1838" s="0" t="n">
        <v>15.5283</v>
      </c>
    </row>
    <row r="1839" customFormat="false" ht="15" hidden="false" customHeight="false" outlineLevel="0" collapsed="false">
      <c r="A1839" s="0" t="s">
        <v>8</v>
      </c>
      <c r="B1839" s="0" t="s">
        <v>2856</v>
      </c>
      <c r="C1839" s="0" t="s">
        <v>7191</v>
      </c>
    </row>
    <row r="1840" customFormat="false" ht="15" hidden="false" customHeight="false" outlineLevel="0" collapsed="false">
      <c r="A1840" s="0" t="s">
        <v>8</v>
      </c>
      <c r="B1840" s="0" t="s">
        <v>2856</v>
      </c>
      <c r="C1840" s="0" t="s">
        <v>7192</v>
      </c>
    </row>
    <row r="1841" customFormat="false" ht="15" hidden="false" customHeight="false" outlineLevel="0" collapsed="false">
      <c r="A1841" s="0" t="s">
        <v>8</v>
      </c>
      <c r="B1841" s="0" t="s">
        <v>2859</v>
      </c>
      <c r="C1841" s="0" t="s">
        <v>7190</v>
      </c>
      <c r="D1841" s="0" t="n">
        <v>6.0324</v>
      </c>
    </row>
    <row r="1842" customFormat="false" ht="15" hidden="false" customHeight="false" outlineLevel="0" collapsed="false">
      <c r="A1842" s="0" t="s">
        <v>8</v>
      </c>
      <c r="B1842" s="0" t="s">
        <v>2859</v>
      </c>
      <c r="C1842" s="0" t="s">
        <v>7191</v>
      </c>
    </row>
    <row r="1843" customFormat="false" ht="15" hidden="false" customHeight="false" outlineLevel="0" collapsed="false">
      <c r="A1843" s="0" t="s">
        <v>8</v>
      </c>
      <c r="B1843" s="0" t="s">
        <v>2859</v>
      </c>
      <c r="C1843" s="0" t="s">
        <v>7192</v>
      </c>
    </row>
    <row r="1844" customFormat="false" ht="15" hidden="false" customHeight="false" outlineLevel="0" collapsed="false">
      <c r="A1844" s="0" t="s">
        <v>8</v>
      </c>
      <c r="B1844" s="0" t="s">
        <v>2863</v>
      </c>
      <c r="C1844" s="0" t="s">
        <v>7190</v>
      </c>
      <c r="D1844" s="0" t="n">
        <v>11.4512</v>
      </c>
    </row>
    <row r="1845" customFormat="false" ht="15" hidden="false" customHeight="false" outlineLevel="0" collapsed="false">
      <c r="A1845" s="0" t="s">
        <v>8</v>
      </c>
      <c r="B1845" s="0" t="s">
        <v>2863</v>
      </c>
      <c r="C1845" s="0" t="s">
        <v>7191</v>
      </c>
    </row>
    <row r="1846" customFormat="false" ht="15" hidden="false" customHeight="false" outlineLevel="0" collapsed="false">
      <c r="A1846" s="0" t="s">
        <v>8</v>
      </c>
      <c r="B1846" s="0" t="s">
        <v>2863</v>
      </c>
      <c r="C1846" s="0" t="s">
        <v>7192</v>
      </c>
    </row>
    <row r="1847" customFormat="false" ht="15" hidden="false" customHeight="false" outlineLevel="0" collapsed="false">
      <c r="A1847" s="0" t="s">
        <v>8</v>
      </c>
      <c r="B1847" s="0" t="s">
        <v>2867</v>
      </c>
      <c r="C1847" s="0" t="s">
        <v>7190</v>
      </c>
      <c r="D1847" s="0" t="n">
        <v>0.4198</v>
      </c>
    </row>
    <row r="1848" customFormat="false" ht="15" hidden="false" customHeight="false" outlineLevel="0" collapsed="false">
      <c r="A1848" s="0" t="s">
        <v>8</v>
      </c>
      <c r="B1848" s="0" t="s">
        <v>2867</v>
      </c>
      <c r="C1848" s="0" t="s">
        <v>7191</v>
      </c>
    </row>
    <row r="1849" customFormat="false" ht="15" hidden="false" customHeight="false" outlineLevel="0" collapsed="false">
      <c r="A1849" s="0" t="s">
        <v>8</v>
      </c>
      <c r="B1849" s="0" t="s">
        <v>2867</v>
      </c>
      <c r="C1849" s="0" t="s">
        <v>7192</v>
      </c>
    </row>
    <row r="1850" customFormat="false" ht="15" hidden="false" customHeight="false" outlineLevel="0" collapsed="false">
      <c r="A1850" s="0" t="s">
        <v>8</v>
      </c>
      <c r="B1850" s="0" t="s">
        <v>2871</v>
      </c>
      <c r="C1850" s="0" t="s">
        <v>7190</v>
      </c>
      <c r="D1850" s="0" t="n">
        <v>1.373</v>
      </c>
    </row>
    <row r="1851" customFormat="false" ht="15" hidden="false" customHeight="false" outlineLevel="0" collapsed="false">
      <c r="A1851" s="0" t="s">
        <v>8</v>
      </c>
      <c r="B1851" s="0" t="s">
        <v>2871</v>
      </c>
      <c r="C1851" s="0" t="s">
        <v>7191</v>
      </c>
    </row>
    <row r="1852" customFormat="false" ht="15" hidden="false" customHeight="false" outlineLevel="0" collapsed="false">
      <c r="A1852" s="0" t="s">
        <v>8</v>
      </c>
      <c r="B1852" s="0" t="s">
        <v>2871</v>
      </c>
      <c r="C1852" s="0" t="s">
        <v>7192</v>
      </c>
    </row>
    <row r="1853" customFormat="false" ht="15" hidden="false" customHeight="false" outlineLevel="0" collapsed="false">
      <c r="A1853" s="0" t="s">
        <v>8</v>
      </c>
      <c r="B1853" s="0" t="s">
        <v>2874</v>
      </c>
      <c r="C1853" s="0" t="s">
        <v>7190</v>
      </c>
      <c r="D1853" s="0" t="n">
        <v>3.2419</v>
      </c>
    </row>
    <row r="1854" customFormat="false" ht="15" hidden="false" customHeight="false" outlineLevel="0" collapsed="false">
      <c r="A1854" s="0" t="s">
        <v>8</v>
      </c>
      <c r="B1854" s="0" t="s">
        <v>2874</v>
      </c>
      <c r="C1854" s="0" t="s">
        <v>7191</v>
      </c>
    </row>
    <row r="1855" customFormat="false" ht="15" hidden="false" customHeight="false" outlineLevel="0" collapsed="false">
      <c r="A1855" s="0" t="s">
        <v>8</v>
      </c>
      <c r="B1855" s="0" t="s">
        <v>2874</v>
      </c>
      <c r="C1855" s="0" t="s">
        <v>7192</v>
      </c>
    </row>
    <row r="1856" customFormat="false" ht="15" hidden="false" customHeight="false" outlineLevel="0" collapsed="false">
      <c r="A1856" s="0" t="s">
        <v>8</v>
      </c>
      <c r="B1856" s="0" t="s">
        <v>2877</v>
      </c>
      <c r="C1856" s="0" t="s">
        <v>7190</v>
      </c>
      <c r="D1856" s="0" t="n">
        <v>1.0799</v>
      </c>
    </row>
    <row r="1857" customFormat="false" ht="15" hidden="false" customHeight="false" outlineLevel="0" collapsed="false">
      <c r="A1857" s="0" t="s">
        <v>8</v>
      </c>
      <c r="B1857" s="0" t="s">
        <v>2877</v>
      </c>
      <c r="C1857" s="0" t="s">
        <v>7191</v>
      </c>
    </row>
    <row r="1858" customFormat="false" ht="15" hidden="false" customHeight="false" outlineLevel="0" collapsed="false">
      <c r="A1858" s="0" t="s">
        <v>8</v>
      </c>
      <c r="B1858" s="0" t="s">
        <v>2877</v>
      </c>
      <c r="C1858" s="0" t="s">
        <v>7192</v>
      </c>
    </row>
    <row r="1859" customFormat="false" ht="15" hidden="false" customHeight="false" outlineLevel="0" collapsed="false">
      <c r="A1859" s="0" t="s">
        <v>8</v>
      </c>
      <c r="B1859" s="0" t="s">
        <v>2880</v>
      </c>
      <c r="C1859" s="0" t="s">
        <v>7190</v>
      </c>
      <c r="D1859" s="0" t="n">
        <v>2.6557</v>
      </c>
    </row>
    <row r="1860" customFormat="false" ht="15" hidden="false" customHeight="false" outlineLevel="0" collapsed="false">
      <c r="A1860" s="0" t="s">
        <v>8</v>
      </c>
      <c r="B1860" s="0" t="s">
        <v>2880</v>
      </c>
      <c r="C1860" s="0" t="s">
        <v>7191</v>
      </c>
    </row>
    <row r="1861" customFormat="false" ht="15" hidden="false" customHeight="false" outlineLevel="0" collapsed="false">
      <c r="A1861" s="0" t="s">
        <v>8</v>
      </c>
      <c r="B1861" s="0" t="s">
        <v>2880</v>
      </c>
      <c r="C1861" s="0" t="s">
        <v>7192</v>
      </c>
    </row>
    <row r="1862" customFormat="false" ht="15" hidden="false" customHeight="false" outlineLevel="0" collapsed="false">
      <c r="A1862" s="0" t="s">
        <v>8</v>
      </c>
      <c r="B1862" s="0" t="s">
        <v>2883</v>
      </c>
      <c r="C1862" s="0" t="s">
        <v>7190</v>
      </c>
      <c r="D1862" s="0" t="n">
        <v>0.1469</v>
      </c>
    </row>
    <row r="1863" customFormat="false" ht="15" hidden="false" customHeight="false" outlineLevel="0" collapsed="false">
      <c r="A1863" s="0" t="s">
        <v>8</v>
      </c>
      <c r="B1863" s="0" t="s">
        <v>2883</v>
      </c>
      <c r="C1863" s="0" t="s">
        <v>7191</v>
      </c>
    </row>
    <row r="1864" customFormat="false" ht="15" hidden="false" customHeight="false" outlineLevel="0" collapsed="false">
      <c r="A1864" s="0" t="s">
        <v>8</v>
      </c>
      <c r="B1864" s="0" t="s">
        <v>2883</v>
      </c>
      <c r="C1864" s="0" t="s">
        <v>7192</v>
      </c>
    </row>
    <row r="1865" customFormat="false" ht="15" hidden="false" customHeight="false" outlineLevel="0" collapsed="false">
      <c r="A1865" s="0" t="s">
        <v>8</v>
      </c>
      <c r="B1865" s="0" t="s">
        <v>2887</v>
      </c>
      <c r="C1865" s="0" t="s">
        <v>7190</v>
      </c>
      <c r="D1865" s="0" t="n">
        <v>0.4921</v>
      </c>
    </row>
    <row r="1866" customFormat="false" ht="15" hidden="false" customHeight="false" outlineLevel="0" collapsed="false">
      <c r="A1866" s="0" t="s">
        <v>8</v>
      </c>
      <c r="B1866" s="0" t="s">
        <v>2887</v>
      </c>
      <c r="C1866" s="0" t="s">
        <v>7191</v>
      </c>
    </row>
    <row r="1867" customFormat="false" ht="15" hidden="false" customHeight="false" outlineLevel="0" collapsed="false">
      <c r="A1867" s="0" t="s">
        <v>8</v>
      </c>
      <c r="B1867" s="0" t="s">
        <v>2887</v>
      </c>
      <c r="C1867" s="0" t="s">
        <v>7192</v>
      </c>
    </row>
    <row r="1868" customFormat="false" ht="15" hidden="false" customHeight="false" outlineLevel="0" collapsed="false">
      <c r="A1868" s="0" t="s">
        <v>8</v>
      </c>
      <c r="B1868" s="0" t="s">
        <v>2890</v>
      </c>
      <c r="C1868" s="0" t="s">
        <v>7190</v>
      </c>
      <c r="D1868" s="0" t="n">
        <v>2.5904</v>
      </c>
    </row>
    <row r="1869" customFormat="false" ht="15" hidden="false" customHeight="false" outlineLevel="0" collapsed="false">
      <c r="A1869" s="0" t="s">
        <v>8</v>
      </c>
      <c r="B1869" s="0" t="s">
        <v>2890</v>
      </c>
      <c r="C1869" s="0" t="s">
        <v>7191</v>
      </c>
    </row>
    <row r="1870" customFormat="false" ht="15" hidden="false" customHeight="false" outlineLevel="0" collapsed="false">
      <c r="A1870" s="0" t="s">
        <v>8</v>
      </c>
      <c r="B1870" s="0" t="s">
        <v>2890</v>
      </c>
      <c r="C1870" s="0" t="s">
        <v>7192</v>
      </c>
    </row>
    <row r="1871" customFormat="false" ht="15" hidden="false" customHeight="false" outlineLevel="0" collapsed="false">
      <c r="A1871" s="0" t="s">
        <v>8</v>
      </c>
      <c r="B1871" s="0" t="s">
        <v>2893</v>
      </c>
      <c r="C1871" s="0" t="s">
        <v>7190</v>
      </c>
      <c r="D1871" s="0" t="n">
        <v>1.1852</v>
      </c>
    </row>
    <row r="1872" customFormat="false" ht="15" hidden="false" customHeight="false" outlineLevel="0" collapsed="false">
      <c r="A1872" s="0" t="s">
        <v>8</v>
      </c>
      <c r="B1872" s="0" t="s">
        <v>2893</v>
      </c>
      <c r="C1872" s="0" t="s">
        <v>7191</v>
      </c>
    </row>
    <row r="1873" customFormat="false" ht="15" hidden="false" customHeight="false" outlineLevel="0" collapsed="false">
      <c r="A1873" s="0" t="s">
        <v>8</v>
      </c>
      <c r="B1873" s="0" t="s">
        <v>2893</v>
      </c>
      <c r="C1873" s="0" t="s">
        <v>7192</v>
      </c>
    </row>
    <row r="1874" customFormat="false" ht="15" hidden="false" customHeight="false" outlineLevel="0" collapsed="false">
      <c r="A1874" s="0" t="s">
        <v>8</v>
      </c>
      <c r="B1874" s="0" t="s">
        <v>2896</v>
      </c>
      <c r="C1874" s="0" t="s">
        <v>7190</v>
      </c>
      <c r="D1874" s="0" t="n">
        <v>1.2397</v>
      </c>
    </row>
    <row r="1875" customFormat="false" ht="15" hidden="false" customHeight="false" outlineLevel="0" collapsed="false">
      <c r="A1875" s="0" t="s">
        <v>8</v>
      </c>
      <c r="B1875" s="0" t="s">
        <v>2896</v>
      </c>
      <c r="C1875" s="0" t="s">
        <v>7191</v>
      </c>
    </row>
    <row r="1876" customFormat="false" ht="15" hidden="false" customHeight="false" outlineLevel="0" collapsed="false">
      <c r="A1876" s="0" t="s">
        <v>8</v>
      </c>
      <c r="B1876" s="0" t="s">
        <v>2896</v>
      </c>
      <c r="C1876" s="0" t="s">
        <v>7192</v>
      </c>
    </row>
    <row r="1877" customFormat="false" ht="15" hidden="false" customHeight="false" outlineLevel="0" collapsed="false">
      <c r="A1877" s="0" t="s">
        <v>8</v>
      </c>
      <c r="B1877" s="0" t="s">
        <v>2899</v>
      </c>
      <c r="C1877" s="0" t="s">
        <v>7190</v>
      </c>
      <c r="D1877" s="0" t="n">
        <v>0.1141</v>
      </c>
    </row>
    <row r="1878" customFormat="false" ht="15" hidden="false" customHeight="false" outlineLevel="0" collapsed="false">
      <c r="A1878" s="0" t="s">
        <v>8</v>
      </c>
      <c r="B1878" s="0" t="s">
        <v>2899</v>
      </c>
      <c r="C1878" s="0" t="s">
        <v>7191</v>
      </c>
    </row>
    <row r="1879" customFormat="false" ht="15" hidden="false" customHeight="false" outlineLevel="0" collapsed="false">
      <c r="A1879" s="0" t="s">
        <v>8</v>
      </c>
      <c r="B1879" s="0" t="s">
        <v>2899</v>
      </c>
      <c r="C1879" s="0" t="s">
        <v>7192</v>
      </c>
    </row>
    <row r="1880" customFormat="false" ht="15" hidden="false" customHeight="false" outlineLevel="0" collapsed="false">
      <c r="A1880" s="0" t="s">
        <v>8</v>
      </c>
      <c r="B1880" s="0" t="s">
        <v>2903</v>
      </c>
      <c r="C1880" s="0" t="s">
        <v>7190</v>
      </c>
      <c r="D1880" s="0" t="n">
        <v>0.2518</v>
      </c>
    </row>
    <row r="1881" customFormat="false" ht="15" hidden="false" customHeight="false" outlineLevel="0" collapsed="false">
      <c r="A1881" s="0" t="s">
        <v>8</v>
      </c>
      <c r="B1881" s="0" t="s">
        <v>2903</v>
      </c>
      <c r="C1881" s="0" t="s">
        <v>7191</v>
      </c>
    </row>
    <row r="1882" customFormat="false" ht="15" hidden="false" customHeight="false" outlineLevel="0" collapsed="false">
      <c r="A1882" s="0" t="s">
        <v>8</v>
      </c>
      <c r="B1882" s="0" t="s">
        <v>2903</v>
      </c>
      <c r="C1882" s="0" t="s">
        <v>7192</v>
      </c>
    </row>
    <row r="1883" customFormat="false" ht="15" hidden="false" customHeight="false" outlineLevel="0" collapsed="false">
      <c r="A1883" s="0" t="s">
        <v>8</v>
      </c>
      <c r="B1883" s="0" t="s">
        <v>2906</v>
      </c>
      <c r="C1883" s="0" t="s">
        <v>7190</v>
      </c>
      <c r="D1883" s="0" t="n">
        <v>0.4504</v>
      </c>
    </row>
    <row r="1884" customFormat="false" ht="15" hidden="false" customHeight="false" outlineLevel="0" collapsed="false">
      <c r="A1884" s="0" t="s">
        <v>8</v>
      </c>
      <c r="B1884" s="0" t="s">
        <v>2906</v>
      </c>
      <c r="C1884" s="0" t="s">
        <v>7191</v>
      </c>
    </row>
    <row r="1885" customFormat="false" ht="15" hidden="false" customHeight="false" outlineLevel="0" collapsed="false">
      <c r="A1885" s="0" t="s">
        <v>8</v>
      </c>
      <c r="B1885" s="0" t="s">
        <v>2906</v>
      </c>
      <c r="C1885" s="0" t="s">
        <v>7192</v>
      </c>
    </row>
    <row r="1886" customFormat="false" ht="15" hidden="false" customHeight="false" outlineLevel="0" collapsed="false">
      <c r="A1886" s="0" t="s">
        <v>8</v>
      </c>
      <c r="B1886" s="0" t="s">
        <v>2909</v>
      </c>
      <c r="C1886" s="0" t="s">
        <v>7190</v>
      </c>
      <c r="D1886" s="0" t="n">
        <v>0.2467</v>
      </c>
    </row>
    <row r="1887" customFormat="false" ht="15" hidden="false" customHeight="false" outlineLevel="0" collapsed="false">
      <c r="A1887" s="0" t="s">
        <v>8</v>
      </c>
      <c r="B1887" s="0" t="s">
        <v>2909</v>
      </c>
      <c r="C1887" s="0" t="s">
        <v>7191</v>
      </c>
    </row>
    <row r="1888" customFormat="false" ht="15" hidden="false" customHeight="false" outlineLevel="0" collapsed="false">
      <c r="A1888" s="0" t="s">
        <v>8</v>
      </c>
      <c r="B1888" s="0" t="s">
        <v>2909</v>
      </c>
      <c r="C1888" s="0" t="s">
        <v>7192</v>
      </c>
    </row>
    <row r="1889" customFormat="false" ht="15" hidden="false" customHeight="false" outlineLevel="0" collapsed="false">
      <c r="A1889" s="0" t="s">
        <v>8</v>
      </c>
      <c r="B1889" s="0" t="s">
        <v>2912</v>
      </c>
      <c r="C1889" s="0" t="s">
        <v>7190</v>
      </c>
      <c r="D1889" s="0" t="n">
        <v>0.5221</v>
      </c>
    </row>
    <row r="1890" customFormat="false" ht="15" hidden="false" customHeight="false" outlineLevel="0" collapsed="false">
      <c r="A1890" s="0" t="s">
        <v>8</v>
      </c>
      <c r="B1890" s="0" t="s">
        <v>2912</v>
      </c>
      <c r="C1890" s="0" t="s">
        <v>7191</v>
      </c>
    </row>
    <row r="1891" customFormat="false" ht="15" hidden="false" customHeight="false" outlineLevel="0" collapsed="false">
      <c r="A1891" s="0" t="s">
        <v>8</v>
      </c>
      <c r="B1891" s="0" t="s">
        <v>2912</v>
      </c>
      <c r="C1891" s="0" t="s">
        <v>7192</v>
      </c>
    </row>
    <row r="1892" customFormat="false" ht="15" hidden="false" customHeight="false" outlineLevel="0" collapsed="false">
      <c r="A1892" s="0" t="s">
        <v>8</v>
      </c>
      <c r="B1892" s="0" t="s">
        <v>2915</v>
      </c>
      <c r="C1892" s="0" t="s">
        <v>7190</v>
      </c>
      <c r="D1892" s="0" t="n">
        <v>0.0166</v>
      </c>
    </row>
    <row r="1893" customFormat="false" ht="15" hidden="false" customHeight="false" outlineLevel="0" collapsed="false">
      <c r="A1893" s="0" t="s">
        <v>8</v>
      </c>
      <c r="B1893" s="0" t="s">
        <v>2915</v>
      </c>
      <c r="C1893" s="0" t="s">
        <v>7191</v>
      </c>
    </row>
    <row r="1894" customFormat="false" ht="15" hidden="false" customHeight="false" outlineLevel="0" collapsed="false">
      <c r="A1894" s="0" t="s">
        <v>8</v>
      </c>
      <c r="B1894" s="0" t="s">
        <v>2915</v>
      </c>
      <c r="C1894" s="0" t="s">
        <v>7192</v>
      </c>
    </row>
    <row r="1895" customFormat="false" ht="15" hidden="false" customHeight="false" outlineLevel="0" collapsed="false">
      <c r="A1895" s="0" t="s">
        <v>8</v>
      </c>
      <c r="B1895" s="0" t="s">
        <v>2919</v>
      </c>
      <c r="C1895" s="0" t="s">
        <v>7190</v>
      </c>
      <c r="D1895" s="0" t="n">
        <v>0.0545</v>
      </c>
    </row>
    <row r="1896" customFormat="false" ht="15" hidden="false" customHeight="false" outlineLevel="0" collapsed="false">
      <c r="A1896" s="0" t="s">
        <v>8</v>
      </c>
      <c r="B1896" s="0" t="s">
        <v>2919</v>
      </c>
      <c r="C1896" s="0" t="s">
        <v>7191</v>
      </c>
    </row>
    <row r="1897" customFormat="false" ht="15" hidden="false" customHeight="false" outlineLevel="0" collapsed="false">
      <c r="A1897" s="0" t="s">
        <v>8</v>
      </c>
      <c r="B1897" s="0" t="s">
        <v>2919</v>
      </c>
      <c r="C1897" s="0" t="s">
        <v>7192</v>
      </c>
    </row>
    <row r="1898" customFormat="false" ht="15" hidden="false" customHeight="false" outlineLevel="0" collapsed="false">
      <c r="A1898" s="0" t="s">
        <v>8</v>
      </c>
      <c r="B1898" s="0" t="s">
        <v>2922</v>
      </c>
      <c r="C1898" s="0" t="s">
        <v>7190</v>
      </c>
      <c r="D1898" s="0" t="n">
        <v>0.1434</v>
      </c>
    </row>
    <row r="1899" customFormat="false" ht="15" hidden="false" customHeight="false" outlineLevel="0" collapsed="false">
      <c r="A1899" s="0" t="s">
        <v>8</v>
      </c>
      <c r="B1899" s="0" t="s">
        <v>2922</v>
      </c>
      <c r="C1899" s="0" t="s">
        <v>7191</v>
      </c>
    </row>
    <row r="1900" customFormat="false" ht="15" hidden="false" customHeight="false" outlineLevel="0" collapsed="false">
      <c r="A1900" s="0" t="s">
        <v>8</v>
      </c>
      <c r="B1900" s="0" t="s">
        <v>2922</v>
      </c>
      <c r="C1900" s="0" t="s">
        <v>7192</v>
      </c>
    </row>
    <row r="1901" customFormat="false" ht="15" hidden="false" customHeight="false" outlineLevel="0" collapsed="false">
      <c r="A1901" s="0" t="s">
        <v>8</v>
      </c>
      <c r="B1901" s="0" t="s">
        <v>2925</v>
      </c>
      <c r="C1901" s="0" t="s">
        <v>7190</v>
      </c>
      <c r="D1901" s="0" t="n">
        <v>0.0481</v>
      </c>
    </row>
    <row r="1902" customFormat="false" ht="15" hidden="false" customHeight="false" outlineLevel="0" collapsed="false">
      <c r="A1902" s="0" t="s">
        <v>8</v>
      </c>
      <c r="B1902" s="0" t="s">
        <v>2925</v>
      </c>
      <c r="C1902" s="0" t="s">
        <v>7191</v>
      </c>
    </row>
    <row r="1903" customFormat="false" ht="15" hidden="false" customHeight="false" outlineLevel="0" collapsed="false">
      <c r="A1903" s="0" t="s">
        <v>8</v>
      </c>
      <c r="B1903" s="0" t="s">
        <v>2925</v>
      </c>
      <c r="C1903" s="0" t="s">
        <v>7192</v>
      </c>
    </row>
    <row r="1904" customFormat="false" ht="15" hidden="false" customHeight="false" outlineLevel="0" collapsed="false">
      <c r="A1904" s="0" t="s">
        <v>8</v>
      </c>
      <c r="B1904" s="0" t="s">
        <v>2928</v>
      </c>
      <c r="C1904" s="0" t="s">
        <v>7190</v>
      </c>
      <c r="D1904" s="0" t="n">
        <v>0.078</v>
      </c>
    </row>
    <row r="1905" customFormat="false" ht="15" hidden="false" customHeight="false" outlineLevel="0" collapsed="false">
      <c r="A1905" s="0" t="s">
        <v>8</v>
      </c>
      <c r="B1905" s="0" t="s">
        <v>2928</v>
      </c>
      <c r="C1905" s="0" t="s">
        <v>7191</v>
      </c>
    </row>
    <row r="1906" customFormat="false" ht="15" hidden="false" customHeight="false" outlineLevel="0" collapsed="false">
      <c r="A1906" s="0" t="s">
        <v>8</v>
      </c>
      <c r="B1906" s="0" t="s">
        <v>2928</v>
      </c>
      <c r="C1906" s="0" t="s">
        <v>7192</v>
      </c>
    </row>
    <row r="1907" customFormat="false" ht="15" hidden="false" customHeight="false" outlineLevel="0" collapsed="false">
      <c r="A1907" s="0" t="s">
        <v>8</v>
      </c>
      <c r="B1907" s="0" t="s">
        <v>2931</v>
      </c>
      <c r="C1907" s="0" t="s">
        <v>7190</v>
      </c>
      <c r="D1907" s="0" t="n">
        <v>17.3</v>
      </c>
    </row>
    <row r="1908" customFormat="false" ht="15" hidden="false" customHeight="false" outlineLevel="0" collapsed="false">
      <c r="A1908" s="0" t="s">
        <v>8</v>
      </c>
      <c r="B1908" s="0" t="s">
        <v>2931</v>
      </c>
      <c r="C1908" s="0" t="s">
        <v>7191</v>
      </c>
    </row>
    <row r="1909" customFormat="false" ht="15" hidden="false" customHeight="false" outlineLevel="0" collapsed="false">
      <c r="A1909" s="0" t="s">
        <v>8</v>
      </c>
      <c r="B1909" s="0" t="s">
        <v>2931</v>
      </c>
      <c r="C1909" s="0" t="s">
        <v>7192</v>
      </c>
    </row>
    <row r="1910" customFormat="false" ht="15" hidden="false" customHeight="false" outlineLevel="0" collapsed="false">
      <c r="A1910" s="0" t="s">
        <v>8</v>
      </c>
      <c r="B1910" s="0" t="s">
        <v>2934</v>
      </c>
      <c r="C1910" s="0" t="s">
        <v>7190</v>
      </c>
      <c r="D1910" s="0" t="n">
        <v>58.9</v>
      </c>
    </row>
    <row r="1911" customFormat="false" ht="15" hidden="false" customHeight="false" outlineLevel="0" collapsed="false">
      <c r="A1911" s="0" t="s">
        <v>8</v>
      </c>
      <c r="B1911" s="0" t="s">
        <v>2934</v>
      </c>
      <c r="C1911" s="0" t="s">
        <v>7191</v>
      </c>
    </row>
    <row r="1912" customFormat="false" ht="15" hidden="false" customHeight="false" outlineLevel="0" collapsed="false">
      <c r="A1912" s="0" t="s">
        <v>8</v>
      </c>
      <c r="B1912" s="0" t="s">
        <v>2934</v>
      </c>
      <c r="C1912" s="0" t="s">
        <v>7192</v>
      </c>
    </row>
    <row r="1913" customFormat="false" ht="15" hidden="false" customHeight="false" outlineLevel="0" collapsed="false">
      <c r="A1913" s="0" t="s">
        <v>8</v>
      </c>
      <c r="B1913" s="0" t="s">
        <v>2936</v>
      </c>
      <c r="C1913" s="0" t="s">
        <v>7190</v>
      </c>
      <c r="D1913" s="0" t="n">
        <v>70.7</v>
      </c>
    </row>
    <row r="1914" customFormat="false" ht="15" hidden="false" customHeight="false" outlineLevel="0" collapsed="false">
      <c r="A1914" s="0" t="s">
        <v>8</v>
      </c>
      <c r="B1914" s="0" t="s">
        <v>2936</v>
      </c>
      <c r="C1914" s="0" t="s">
        <v>7191</v>
      </c>
    </row>
    <row r="1915" customFormat="false" ht="15" hidden="false" customHeight="false" outlineLevel="0" collapsed="false">
      <c r="A1915" s="0" t="s">
        <v>8</v>
      </c>
      <c r="B1915" s="0" t="s">
        <v>2936</v>
      </c>
      <c r="C1915" s="0" t="s">
        <v>7192</v>
      </c>
    </row>
    <row r="1916" customFormat="false" ht="15" hidden="false" customHeight="false" outlineLevel="0" collapsed="false">
      <c r="A1916" s="0" t="s">
        <v>8</v>
      </c>
      <c r="B1916" s="0" t="s">
        <v>2938</v>
      </c>
      <c r="C1916" s="0" t="s">
        <v>7190</v>
      </c>
      <c r="D1916" s="0" t="n">
        <v>70.2</v>
      </c>
    </row>
    <row r="1917" customFormat="false" ht="15" hidden="false" customHeight="false" outlineLevel="0" collapsed="false">
      <c r="A1917" s="0" t="s">
        <v>8</v>
      </c>
      <c r="B1917" s="0" t="s">
        <v>2938</v>
      </c>
      <c r="C1917" s="0" t="s">
        <v>7191</v>
      </c>
    </row>
    <row r="1918" customFormat="false" ht="15" hidden="false" customHeight="false" outlineLevel="0" collapsed="false">
      <c r="A1918" s="0" t="s">
        <v>8</v>
      </c>
      <c r="B1918" s="0" t="s">
        <v>2938</v>
      </c>
      <c r="C1918" s="0" t="s">
        <v>7192</v>
      </c>
    </row>
    <row r="1919" customFormat="false" ht="15" hidden="false" customHeight="false" outlineLevel="0" collapsed="false">
      <c r="A1919" s="0" t="s">
        <v>8</v>
      </c>
      <c r="B1919" s="0" t="s">
        <v>2940</v>
      </c>
      <c r="C1919" s="0" t="s">
        <v>7190</v>
      </c>
      <c r="D1919" s="0" t="n">
        <v>71.8</v>
      </c>
    </row>
    <row r="1920" customFormat="false" ht="15" hidden="false" customHeight="false" outlineLevel="0" collapsed="false">
      <c r="A1920" s="0" t="s">
        <v>8</v>
      </c>
      <c r="B1920" s="0" t="s">
        <v>2940</v>
      </c>
      <c r="C1920" s="0" t="s">
        <v>7191</v>
      </c>
    </row>
    <row r="1921" customFormat="false" ht="15" hidden="false" customHeight="false" outlineLevel="0" collapsed="false">
      <c r="A1921" s="0" t="s">
        <v>8</v>
      </c>
      <c r="B1921" s="0" t="s">
        <v>2940</v>
      </c>
      <c r="C1921" s="0" t="s">
        <v>7192</v>
      </c>
    </row>
    <row r="1922" customFormat="false" ht="15" hidden="false" customHeight="false" outlineLevel="0" collapsed="false">
      <c r="A1922" s="0" t="s">
        <v>8</v>
      </c>
      <c r="B1922" s="0" t="s">
        <v>2942</v>
      </c>
      <c r="C1922" s="0" t="s">
        <v>7190</v>
      </c>
      <c r="D1922" s="0" t="n">
        <v>49.8</v>
      </c>
    </row>
    <row r="1923" customFormat="false" ht="15" hidden="false" customHeight="false" outlineLevel="0" collapsed="false">
      <c r="A1923" s="0" t="s">
        <v>8</v>
      </c>
      <c r="B1923" s="0" t="s">
        <v>2942</v>
      </c>
      <c r="C1923" s="0" t="s">
        <v>7191</v>
      </c>
    </row>
    <row r="1924" customFormat="false" ht="15" hidden="false" customHeight="false" outlineLevel="0" collapsed="false">
      <c r="A1924" s="0" t="s">
        <v>8</v>
      </c>
      <c r="B1924" s="0" t="s">
        <v>2942</v>
      </c>
      <c r="C1924" s="0" t="s">
        <v>7192</v>
      </c>
    </row>
    <row r="1925" customFormat="false" ht="15" hidden="false" customHeight="false" outlineLevel="0" collapsed="false">
      <c r="A1925" s="0" t="s">
        <v>8</v>
      </c>
      <c r="B1925" s="0" t="s">
        <v>2945</v>
      </c>
      <c r="C1925" s="0" t="s">
        <v>7190</v>
      </c>
      <c r="D1925" s="0" t="n">
        <v>26</v>
      </c>
    </row>
    <row r="1926" customFormat="false" ht="15" hidden="false" customHeight="false" outlineLevel="0" collapsed="false">
      <c r="A1926" s="0" t="s">
        <v>8</v>
      </c>
      <c r="B1926" s="0" t="s">
        <v>2945</v>
      </c>
      <c r="C1926" s="0" t="s">
        <v>7191</v>
      </c>
    </row>
    <row r="1927" customFormat="false" ht="15" hidden="false" customHeight="false" outlineLevel="0" collapsed="false">
      <c r="A1927" s="0" t="s">
        <v>8</v>
      </c>
      <c r="B1927" s="0" t="s">
        <v>2945</v>
      </c>
      <c r="C1927" s="0" t="s">
        <v>7192</v>
      </c>
    </row>
    <row r="1928" customFormat="false" ht="15" hidden="false" customHeight="false" outlineLevel="0" collapsed="false">
      <c r="A1928" s="0" t="s">
        <v>8</v>
      </c>
      <c r="B1928" s="0" t="s">
        <v>2947</v>
      </c>
      <c r="C1928" s="0" t="s">
        <v>7190</v>
      </c>
      <c r="D1928" s="0" t="n">
        <v>14.8</v>
      </c>
    </row>
    <row r="1929" customFormat="false" ht="15" hidden="false" customHeight="false" outlineLevel="0" collapsed="false">
      <c r="A1929" s="0" t="s">
        <v>8</v>
      </c>
      <c r="B1929" s="0" t="s">
        <v>2947</v>
      </c>
      <c r="C1929" s="0" t="s">
        <v>7191</v>
      </c>
    </row>
    <row r="1930" customFormat="false" ht="15" hidden="false" customHeight="false" outlineLevel="0" collapsed="false">
      <c r="A1930" s="0" t="s">
        <v>8</v>
      </c>
      <c r="B1930" s="0" t="s">
        <v>2947</v>
      </c>
      <c r="C1930" s="0" t="s">
        <v>7192</v>
      </c>
    </row>
    <row r="1931" customFormat="false" ht="15" hidden="false" customHeight="false" outlineLevel="0" collapsed="false">
      <c r="A1931" s="0" t="s">
        <v>8</v>
      </c>
      <c r="B1931" s="0" t="s">
        <v>2950</v>
      </c>
      <c r="C1931" s="0" t="s">
        <v>7190</v>
      </c>
      <c r="D1931" s="0" t="n">
        <v>12.6</v>
      </c>
    </row>
    <row r="1932" customFormat="false" ht="15" hidden="false" customHeight="false" outlineLevel="0" collapsed="false">
      <c r="A1932" s="0" t="s">
        <v>8</v>
      </c>
      <c r="B1932" s="0" t="s">
        <v>2950</v>
      </c>
      <c r="C1932" s="0" t="s">
        <v>7191</v>
      </c>
    </row>
    <row r="1933" customFormat="false" ht="15" hidden="false" customHeight="false" outlineLevel="0" collapsed="false">
      <c r="A1933" s="0" t="s">
        <v>8</v>
      </c>
      <c r="B1933" s="0" t="s">
        <v>2950</v>
      </c>
      <c r="C1933" s="0" t="s">
        <v>7192</v>
      </c>
    </row>
    <row r="1934" customFormat="false" ht="15" hidden="false" customHeight="false" outlineLevel="0" collapsed="false">
      <c r="A1934" s="0" t="s">
        <v>8</v>
      </c>
      <c r="B1934" s="0" t="s">
        <v>2952</v>
      </c>
      <c r="C1934" s="0" t="s">
        <v>7190</v>
      </c>
      <c r="D1934" s="0" t="n">
        <v>16.7</v>
      </c>
    </row>
    <row r="1935" customFormat="false" ht="15" hidden="false" customHeight="false" outlineLevel="0" collapsed="false">
      <c r="A1935" s="0" t="s">
        <v>8</v>
      </c>
      <c r="B1935" s="0" t="s">
        <v>2952</v>
      </c>
      <c r="C1935" s="0" t="s">
        <v>7191</v>
      </c>
    </row>
    <row r="1936" customFormat="false" ht="15" hidden="false" customHeight="false" outlineLevel="0" collapsed="false">
      <c r="A1936" s="0" t="s">
        <v>8</v>
      </c>
      <c r="B1936" s="0" t="s">
        <v>2952</v>
      </c>
      <c r="C1936" s="0" t="s">
        <v>7192</v>
      </c>
    </row>
    <row r="1937" customFormat="false" ht="15" hidden="false" customHeight="false" outlineLevel="0" collapsed="false">
      <c r="A1937" s="0" t="s">
        <v>8</v>
      </c>
      <c r="B1937" s="0" t="s">
        <v>2954</v>
      </c>
      <c r="C1937" s="0" t="s">
        <v>7190</v>
      </c>
    </row>
    <row r="1938" customFormat="false" ht="15" hidden="false" customHeight="false" outlineLevel="0" collapsed="false">
      <c r="A1938" s="0" t="s">
        <v>8</v>
      </c>
      <c r="B1938" s="0" t="s">
        <v>2954</v>
      </c>
      <c r="C1938" s="0" t="s">
        <v>7191</v>
      </c>
    </row>
    <row r="1939" customFormat="false" ht="15" hidden="false" customHeight="false" outlineLevel="0" collapsed="false">
      <c r="A1939" s="0" t="s">
        <v>8</v>
      </c>
      <c r="B1939" s="0" t="s">
        <v>2954</v>
      </c>
      <c r="C1939" s="0" t="s">
        <v>7192</v>
      </c>
    </row>
    <row r="1940" customFormat="false" ht="15" hidden="false" customHeight="false" outlineLevel="0" collapsed="false">
      <c r="A1940" s="0" t="s">
        <v>8</v>
      </c>
      <c r="B1940" s="0" t="s">
        <v>2962</v>
      </c>
      <c r="C1940" s="0" t="s">
        <v>7190</v>
      </c>
    </row>
    <row r="1941" customFormat="false" ht="15" hidden="false" customHeight="false" outlineLevel="0" collapsed="false">
      <c r="A1941" s="0" t="s">
        <v>8</v>
      </c>
      <c r="B1941" s="0" t="s">
        <v>2962</v>
      </c>
      <c r="C1941" s="0" t="s">
        <v>7191</v>
      </c>
    </row>
    <row r="1942" customFormat="false" ht="15" hidden="false" customHeight="false" outlineLevel="0" collapsed="false">
      <c r="A1942" s="0" t="s">
        <v>8</v>
      </c>
      <c r="B1942" s="0" t="s">
        <v>2962</v>
      </c>
      <c r="C1942" s="0" t="s">
        <v>7192</v>
      </c>
    </row>
    <row r="1943" customFormat="false" ht="15" hidden="false" customHeight="false" outlineLevel="0" collapsed="false">
      <c r="A1943" s="0" t="s">
        <v>8</v>
      </c>
      <c r="B1943" s="0" t="s">
        <v>2968</v>
      </c>
      <c r="C1943" s="0" t="s">
        <v>7190</v>
      </c>
      <c r="D1943" s="0" t="n">
        <v>0</v>
      </c>
    </row>
    <row r="1944" customFormat="false" ht="15" hidden="false" customHeight="false" outlineLevel="0" collapsed="false">
      <c r="A1944" s="0" t="s">
        <v>8</v>
      </c>
      <c r="B1944" s="0" t="s">
        <v>2968</v>
      </c>
      <c r="C1944" s="0" t="s">
        <v>7191</v>
      </c>
    </row>
    <row r="1945" customFormat="false" ht="15" hidden="false" customHeight="false" outlineLevel="0" collapsed="false">
      <c r="A1945" s="0" t="s">
        <v>8</v>
      </c>
      <c r="B1945" s="0" t="s">
        <v>2968</v>
      </c>
      <c r="C1945" s="0" t="s">
        <v>7192</v>
      </c>
    </row>
    <row r="1946" customFormat="false" ht="15" hidden="false" customHeight="false" outlineLevel="0" collapsed="false">
      <c r="A1946" s="0" t="s">
        <v>8</v>
      </c>
      <c r="B1946" s="0" t="s">
        <v>2972</v>
      </c>
      <c r="C1946" s="0" t="s">
        <v>7190</v>
      </c>
      <c r="D1946" s="0" t="n">
        <v>0.2589</v>
      </c>
    </row>
    <row r="1947" customFormat="false" ht="15" hidden="false" customHeight="false" outlineLevel="0" collapsed="false">
      <c r="A1947" s="0" t="s">
        <v>8</v>
      </c>
      <c r="B1947" s="0" t="s">
        <v>2972</v>
      </c>
      <c r="C1947" s="0" t="s">
        <v>7191</v>
      </c>
    </row>
    <row r="1948" customFormat="false" ht="15" hidden="false" customHeight="false" outlineLevel="0" collapsed="false">
      <c r="A1948" s="0" t="s">
        <v>8</v>
      </c>
      <c r="B1948" s="0" t="s">
        <v>2972</v>
      </c>
      <c r="C1948" s="0" t="s">
        <v>7192</v>
      </c>
    </row>
    <row r="1949" customFormat="false" ht="15" hidden="false" customHeight="false" outlineLevel="0" collapsed="false">
      <c r="A1949" s="0" t="s">
        <v>8</v>
      </c>
      <c r="B1949" s="0" t="s">
        <v>2978</v>
      </c>
      <c r="C1949" s="0" t="s">
        <v>7190</v>
      </c>
      <c r="D1949" s="0" t="n">
        <v>2.4781</v>
      </c>
    </row>
    <row r="1950" customFormat="false" ht="15" hidden="false" customHeight="false" outlineLevel="0" collapsed="false">
      <c r="A1950" s="0" t="s">
        <v>8</v>
      </c>
      <c r="B1950" s="0" t="s">
        <v>2978</v>
      </c>
      <c r="C1950" s="0" t="s">
        <v>7191</v>
      </c>
    </row>
    <row r="1951" customFormat="false" ht="15" hidden="false" customHeight="false" outlineLevel="0" collapsed="false">
      <c r="A1951" s="0" t="s">
        <v>8</v>
      </c>
      <c r="B1951" s="0" t="s">
        <v>2978</v>
      </c>
      <c r="C1951" s="0" t="s">
        <v>7192</v>
      </c>
    </row>
    <row r="1952" customFormat="false" ht="15" hidden="false" customHeight="false" outlineLevel="0" collapsed="false">
      <c r="A1952" s="0" t="s">
        <v>8</v>
      </c>
      <c r="B1952" s="0" t="s">
        <v>2981</v>
      </c>
      <c r="C1952" s="0" t="s">
        <v>7190</v>
      </c>
      <c r="D1952" s="0" t="n">
        <v>14.2561</v>
      </c>
    </row>
    <row r="1953" customFormat="false" ht="15" hidden="false" customHeight="false" outlineLevel="0" collapsed="false">
      <c r="A1953" s="0" t="s">
        <v>8</v>
      </c>
      <c r="B1953" s="0" t="s">
        <v>2981</v>
      </c>
      <c r="C1953" s="0" t="s">
        <v>7191</v>
      </c>
    </row>
    <row r="1954" customFormat="false" ht="15" hidden="false" customHeight="false" outlineLevel="0" collapsed="false">
      <c r="A1954" s="0" t="s">
        <v>8</v>
      </c>
      <c r="B1954" s="0" t="s">
        <v>2981</v>
      </c>
      <c r="C1954" s="0" t="s">
        <v>7192</v>
      </c>
    </row>
    <row r="1955" customFormat="false" ht="15" hidden="false" customHeight="false" outlineLevel="0" collapsed="false">
      <c r="A1955" s="0" t="s">
        <v>8</v>
      </c>
      <c r="B1955" s="0" t="s">
        <v>2984</v>
      </c>
      <c r="C1955" s="0" t="s">
        <v>7190</v>
      </c>
      <c r="D1955" s="0" t="n">
        <v>9.27</v>
      </c>
    </row>
    <row r="1956" customFormat="false" ht="15" hidden="false" customHeight="false" outlineLevel="0" collapsed="false">
      <c r="A1956" s="0" t="s">
        <v>8</v>
      </c>
      <c r="B1956" s="0" t="s">
        <v>2984</v>
      </c>
      <c r="C1956" s="0" t="s">
        <v>7191</v>
      </c>
    </row>
    <row r="1957" customFormat="false" ht="15" hidden="false" customHeight="false" outlineLevel="0" collapsed="false">
      <c r="A1957" s="0" t="s">
        <v>8</v>
      </c>
      <c r="B1957" s="0" t="s">
        <v>2984</v>
      </c>
      <c r="C1957" s="0" t="s">
        <v>7192</v>
      </c>
    </row>
    <row r="1958" customFormat="false" ht="15" hidden="false" customHeight="false" outlineLevel="0" collapsed="false">
      <c r="A1958" s="0" t="s">
        <v>8</v>
      </c>
      <c r="B1958" s="0" t="s">
        <v>2987</v>
      </c>
      <c r="C1958" s="0" t="s">
        <v>7190</v>
      </c>
      <c r="D1958" s="0" t="n">
        <v>0.8482</v>
      </c>
    </row>
    <row r="1959" customFormat="false" ht="15" hidden="false" customHeight="false" outlineLevel="0" collapsed="false">
      <c r="A1959" s="0" t="s">
        <v>8</v>
      </c>
      <c r="B1959" s="0" t="s">
        <v>2987</v>
      </c>
      <c r="C1959" s="0" t="s">
        <v>7191</v>
      </c>
    </row>
    <row r="1960" customFormat="false" ht="15" hidden="false" customHeight="false" outlineLevel="0" collapsed="false">
      <c r="A1960" s="0" t="s">
        <v>8</v>
      </c>
      <c r="B1960" s="0" t="s">
        <v>2987</v>
      </c>
      <c r="C1960" s="0" t="s">
        <v>7192</v>
      </c>
    </row>
    <row r="1961" customFormat="false" ht="15" hidden="false" customHeight="false" outlineLevel="0" collapsed="false">
      <c r="A1961" s="0" t="s">
        <v>8</v>
      </c>
      <c r="B1961" s="0" t="s">
        <v>2992</v>
      </c>
      <c r="C1961" s="0" t="s">
        <v>7190</v>
      </c>
      <c r="D1961" s="0" t="n">
        <v>1.8194</v>
      </c>
    </row>
    <row r="1962" customFormat="false" ht="15" hidden="false" customHeight="false" outlineLevel="0" collapsed="false">
      <c r="A1962" s="0" t="s">
        <v>8</v>
      </c>
      <c r="B1962" s="0" t="s">
        <v>2992</v>
      </c>
      <c r="C1962" s="0" t="s">
        <v>7191</v>
      </c>
    </row>
    <row r="1963" customFormat="false" ht="15" hidden="false" customHeight="false" outlineLevel="0" collapsed="false">
      <c r="A1963" s="0" t="s">
        <v>8</v>
      </c>
      <c r="B1963" s="0" t="s">
        <v>2992</v>
      </c>
      <c r="C1963" s="0" t="s">
        <v>7192</v>
      </c>
    </row>
    <row r="1964" customFormat="false" ht="15" hidden="false" customHeight="false" outlineLevel="0" collapsed="false">
      <c r="A1964" s="0" t="s">
        <v>8</v>
      </c>
      <c r="B1964" s="0" t="s">
        <v>2995</v>
      </c>
      <c r="C1964" s="0" t="s">
        <v>7190</v>
      </c>
      <c r="D1964" s="0" t="n">
        <v>4.9064</v>
      </c>
    </row>
    <row r="1965" customFormat="false" ht="15" hidden="false" customHeight="false" outlineLevel="0" collapsed="false">
      <c r="A1965" s="0" t="s">
        <v>8</v>
      </c>
      <c r="B1965" s="0" t="s">
        <v>2995</v>
      </c>
      <c r="C1965" s="0" t="s">
        <v>7191</v>
      </c>
    </row>
    <row r="1966" customFormat="false" ht="15" hidden="false" customHeight="false" outlineLevel="0" collapsed="false">
      <c r="A1966" s="0" t="s">
        <v>8</v>
      </c>
      <c r="B1966" s="0" t="s">
        <v>2995</v>
      </c>
      <c r="C1966" s="0" t="s">
        <v>7192</v>
      </c>
    </row>
    <row r="1967" customFormat="false" ht="15" hidden="false" customHeight="false" outlineLevel="0" collapsed="false">
      <c r="A1967" s="0" t="s">
        <v>8</v>
      </c>
      <c r="B1967" s="0" t="s">
        <v>2998</v>
      </c>
      <c r="C1967" s="0" t="s">
        <v>7190</v>
      </c>
      <c r="D1967" s="0" t="n">
        <v>3.3912</v>
      </c>
    </row>
    <row r="1968" customFormat="false" ht="15" hidden="false" customHeight="false" outlineLevel="0" collapsed="false">
      <c r="A1968" s="0" t="s">
        <v>8</v>
      </c>
      <c r="B1968" s="0" t="s">
        <v>2998</v>
      </c>
      <c r="C1968" s="0" t="s">
        <v>7191</v>
      </c>
    </row>
    <row r="1969" customFormat="false" ht="15" hidden="false" customHeight="false" outlineLevel="0" collapsed="false">
      <c r="A1969" s="0" t="s">
        <v>8</v>
      </c>
      <c r="B1969" s="0" t="s">
        <v>2998</v>
      </c>
      <c r="C1969" s="0" t="s">
        <v>7192</v>
      </c>
    </row>
    <row r="1970" customFormat="false" ht="15" hidden="false" customHeight="false" outlineLevel="0" collapsed="false">
      <c r="A1970" s="0" t="s">
        <v>8</v>
      </c>
      <c r="B1970" s="0" t="s">
        <v>3001</v>
      </c>
      <c r="C1970" s="0" t="s">
        <v>7190</v>
      </c>
      <c r="D1970" s="0" t="n">
        <v>0.8098</v>
      </c>
    </row>
    <row r="1971" customFormat="false" ht="15" hidden="false" customHeight="false" outlineLevel="0" collapsed="false">
      <c r="A1971" s="0" t="s">
        <v>8</v>
      </c>
      <c r="B1971" s="0" t="s">
        <v>3001</v>
      </c>
      <c r="C1971" s="0" t="s">
        <v>7191</v>
      </c>
    </row>
    <row r="1972" customFormat="false" ht="15" hidden="false" customHeight="false" outlineLevel="0" collapsed="false">
      <c r="A1972" s="0" t="s">
        <v>8</v>
      </c>
      <c r="B1972" s="0" t="s">
        <v>3001</v>
      </c>
      <c r="C1972" s="0" t="s">
        <v>7192</v>
      </c>
    </row>
    <row r="1973" customFormat="false" ht="15" hidden="false" customHeight="false" outlineLevel="0" collapsed="false">
      <c r="A1973" s="0" t="s">
        <v>8</v>
      </c>
      <c r="B1973" s="0" t="s">
        <v>3006</v>
      </c>
      <c r="C1973" s="0" t="s">
        <v>7190</v>
      </c>
      <c r="D1973" s="0" t="n">
        <v>5.6266</v>
      </c>
    </row>
    <row r="1974" customFormat="false" ht="15" hidden="false" customHeight="false" outlineLevel="0" collapsed="false">
      <c r="A1974" s="0" t="s">
        <v>8</v>
      </c>
      <c r="B1974" s="0" t="s">
        <v>3006</v>
      </c>
      <c r="C1974" s="0" t="s">
        <v>7191</v>
      </c>
    </row>
    <row r="1975" customFormat="false" ht="15" hidden="false" customHeight="false" outlineLevel="0" collapsed="false">
      <c r="A1975" s="0" t="s">
        <v>8</v>
      </c>
      <c r="B1975" s="0" t="s">
        <v>3006</v>
      </c>
      <c r="C1975" s="0" t="s">
        <v>7192</v>
      </c>
    </row>
    <row r="1976" customFormat="false" ht="15" hidden="false" customHeight="false" outlineLevel="0" collapsed="false">
      <c r="A1976" s="0" t="s">
        <v>8</v>
      </c>
      <c r="B1976" s="0" t="s">
        <v>3009</v>
      </c>
      <c r="C1976" s="0" t="s">
        <v>7190</v>
      </c>
      <c r="D1976" s="0" t="n">
        <v>21.9206</v>
      </c>
    </row>
    <row r="1977" customFormat="false" ht="15" hidden="false" customHeight="false" outlineLevel="0" collapsed="false">
      <c r="A1977" s="0" t="s">
        <v>8</v>
      </c>
      <c r="B1977" s="0" t="s">
        <v>3009</v>
      </c>
      <c r="C1977" s="0" t="s">
        <v>7191</v>
      </c>
    </row>
    <row r="1978" customFormat="false" ht="15" hidden="false" customHeight="false" outlineLevel="0" collapsed="false">
      <c r="A1978" s="0" t="s">
        <v>8</v>
      </c>
      <c r="B1978" s="0" t="s">
        <v>3009</v>
      </c>
      <c r="C1978" s="0" t="s">
        <v>7192</v>
      </c>
    </row>
    <row r="1979" customFormat="false" ht="15" hidden="false" customHeight="false" outlineLevel="0" collapsed="false">
      <c r="A1979" s="0" t="s">
        <v>8</v>
      </c>
      <c r="B1979" s="0" t="s">
        <v>3012</v>
      </c>
      <c r="C1979" s="0" t="s">
        <v>7190</v>
      </c>
      <c r="D1979" s="0" t="n">
        <v>8.6072</v>
      </c>
    </row>
    <row r="1980" customFormat="false" ht="15" hidden="false" customHeight="false" outlineLevel="0" collapsed="false">
      <c r="A1980" s="0" t="s">
        <v>8</v>
      </c>
      <c r="B1980" s="0" t="s">
        <v>3012</v>
      </c>
      <c r="C1980" s="0" t="s">
        <v>7191</v>
      </c>
    </row>
    <row r="1981" customFormat="false" ht="15" hidden="false" customHeight="false" outlineLevel="0" collapsed="false">
      <c r="A1981" s="0" t="s">
        <v>8</v>
      </c>
      <c r="B1981" s="0" t="s">
        <v>3012</v>
      </c>
      <c r="C1981" s="0" t="s">
        <v>7192</v>
      </c>
    </row>
    <row r="1982" customFormat="false" ht="15" hidden="false" customHeight="false" outlineLevel="0" collapsed="false">
      <c r="A1982" s="0" t="s">
        <v>8</v>
      </c>
      <c r="B1982" s="0" t="s">
        <v>3015</v>
      </c>
      <c r="C1982" s="0" t="s">
        <v>7190</v>
      </c>
      <c r="D1982" s="0" t="n">
        <v>15.9009</v>
      </c>
    </row>
    <row r="1983" customFormat="false" ht="15" hidden="false" customHeight="false" outlineLevel="0" collapsed="false">
      <c r="A1983" s="0" t="s">
        <v>8</v>
      </c>
      <c r="B1983" s="0" t="s">
        <v>3015</v>
      </c>
      <c r="C1983" s="0" t="s">
        <v>7191</v>
      </c>
    </row>
    <row r="1984" customFormat="false" ht="15" hidden="false" customHeight="false" outlineLevel="0" collapsed="false">
      <c r="A1984" s="0" t="s">
        <v>8</v>
      </c>
      <c r="B1984" s="0" t="s">
        <v>3015</v>
      </c>
      <c r="C1984" s="0" t="s">
        <v>7192</v>
      </c>
    </row>
    <row r="1985" customFormat="false" ht="15" hidden="false" customHeight="false" outlineLevel="0" collapsed="false">
      <c r="A1985" s="0" t="s">
        <v>8</v>
      </c>
      <c r="B1985" s="0" t="s">
        <v>3018</v>
      </c>
      <c r="C1985" s="0" t="s">
        <v>7190</v>
      </c>
      <c r="D1985" s="0" t="n">
        <v>0.1643</v>
      </c>
    </row>
    <row r="1986" customFormat="false" ht="15" hidden="false" customHeight="false" outlineLevel="0" collapsed="false">
      <c r="A1986" s="0" t="s">
        <v>8</v>
      </c>
      <c r="B1986" s="0" t="s">
        <v>3018</v>
      </c>
      <c r="C1986" s="0" t="s">
        <v>7191</v>
      </c>
    </row>
    <row r="1987" customFormat="false" ht="15" hidden="false" customHeight="false" outlineLevel="0" collapsed="false">
      <c r="A1987" s="0" t="s">
        <v>8</v>
      </c>
      <c r="B1987" s="0" t="s">
        <v>3018</v>
      </c>
      <c r="C1987" s="0" t="s">
        <v>7192</v>
      </c>
    </row>
    <row r="1988" customFormat="false" ht="15" hidden="false" customHeight="false" outlineLevel="0" collapsed="false">
      <c r="A1988" s="0" t="s">
        <v>8</v>
      </c>
      <c r="B1988" s="0" t="s">
        <v>3023</v>
      </c>
      <c r="C1988" s="0" t="s">
        <v>7190</v>
      </c>
      <c r="D1988" s="0" t="n">
        <v>0.1537</v>
      </c>
    </row>
    <row r="1989" customFormat="false" ht="15" hidden="false" customHeight="false" outlineLevel="0" collapsed="false">
      <c r="A1989" s="0" t="s">
        <v>8</v>
      </c>
      <c r="B1989" s="0" t="s">
        <v>3023</v>
      </c>
      <c r="C1989" s="0" t="s">
        <v>7191</v>
      </c>
    </row>
    <row r="1990" customFormat="false" ht="15" hidden="false" customHeight="false" outlineLevel="0" collapsed="false">
      <c r="A1990" s="0" t="s">
        <v>8</v>
      </c>
      <c r="B1990" s="0" t="s">
        <v>3023</v>
      </c>
      <c r="C1990" s="0" t="s">
        <v>7192</v>
      </c>
    </row>
    <row r="1991" customFormat="false" ht="15" hidden="false" customHeight="false" outlineLevel="0" collapsed="false">
      <c r="A1991" s="0" t="s">
        <v>8</v>
      </c>
      <c r="B1991" s="0" t="s">
        <v>3026</v>
      </c>
      <c r="C1991" s="0" t="s">
        <v>7190</v>
      </c>
      <c r="D1991" s="0" t="n">
        <v>0.7426</v>
      </c>
    </row>
    <row r="1992" customFormat="false" ht="15" hidden="false" customHeight="false" outlineLevel="0" collapsed="false">
      <c r="A1992" s="0" t="s">
        <v>8</v>
      </c>
      <c r="B1992" s="0" t="s">
        <v>3026</v>
      </c>
      <c r="C1992" s="0" t="s">
        <v>7191</v>
      </c>
    </row>
    <row r="1993" customFormat="false" ht="15" hidden="false" customHeight="false" outlineLevel="0" collapsed="false">
      <c r="A1993" s="0" t="s">
        <v>8</v>
      </c>
      <c r="B1993" s="0" t="s">
        <v>3026</v>
      </c>
      <c r="C1993" s="0" t="s">
        <v>7192</v>
      </c>
    </row>
    <row r="1994" customFormat="false" ht="15" hidden="false" customHeight="false" outlineLevel="0" collapsed="false">
      <c r="A1994" s="0" t="s">
        <v>8</v>
      </c>
      <c r="B1994" s="0" t="s">
        <v>3029</v>
      </c>
      <c r="C1994" s="0" t="s">
        <v>7190</v>
      </c>
      <c r="D1994" s="0" t="n">
        <v>0.1083</v>
      </c>
    </row>
    <row r="1995" customFormat="false" ht="15" hidden="false" customHeight="false" outlineLevel="0" collapsed="false">
      <c r="A1995" s="0" t="s">
        <v>8</v>
      </c>
      <c r="B1995" s="0" t="s">
        <v>3029</v>
      </c>
      <c r="C1995" s="0" t="s">
        <v>7191</v>
      </c>
    </row>
    <row r="1996" customFormat="false" ht="15" hidden="false" customHeight="false" outlineLevel="0" collapsed="false">
      <c r="A1996" s="0" t="s">
        <v>8</v>
      </c>
      <c r="B1996" s="0" t="s">
        <v>3029</v>
      </c>
      <c r="C1996" s="0" t="s">
        <v>7192</v>
      </c>
    </row>
    <row r="1997" customFormat="false" ht="15" hidden="false" customHeight="false" outlineLevel="0" collapsed="false">
      <c r="A1997" s="0" t="s">
        <v>8</v>
      </c>
      <c r="B1997" s="0" t="s">
        <v>3032</v>
      </c>
      <c r="C1997" s="0" t="s">
        <v>7190</v>
      </c>
      <c r="D1997" s="0" t="n">
        <v>0.3763</v>
      </c>
    </row>
    <row r="1998" customFormat="false" ht="15" hidden="false" customHeight="false" outlineLevel="0" collapsed="false">
      <c r="A1998" s="0" t="s">
        <v>8</v>
      </c>
      <c r="B1998" s="0" t="s">
        <v>3032</v>
      </c>
      <c r="C1998" s="0" t="s">
        <v>7191</v>
      </c>
    </row>
    <row r="1999" customFormat="false" ht="15" hidden="false" customHeight="false" outlineLevel="0" collapsed="false">
      <c r="A1999" s="0" t="s">
        <v>8</v>
      </c>
      <c r="B1999" s="0" t="s">
        <v>3032</v>
      </c>
      <c r="C1999" s="0" t="s">
        <v>7192</v>
      </c>
    </row>
    <row r="2000" customFormat="false" ht="15" hidden="false" customHeight="false" outlineLevel="0" collapsed="false">
      <c r="A2000" s="0" t="s">
        <v>8</v>
      </c>
      <c r="B2000" s="0" t="s">
        <v>3035</v>
      </c>
      <c r="C2000" s="0" t="s">
        <v>7190</v>
      </c>
      <c r="D2000" s="0" t="n">
        <v>0</v>
      </c>
    </row>
    <row r="2001" customFormat="false" ht="15" hidden="false" customHeight="false" outlineLevel="0" collapsed="false">
      <c r="A2001" s="0" t="s">
        <v>8</v>
      </c>
      <c r="B2001" s="0" t="s">
        <v>3035</v>
      </c>
      <c r="C2001" s="0" t="s">
        <v>7191</v>
      </c>
    </row>
    <row r="2002" customFormat="false" ht="15" hidden="false" customHeight="false" outlineLevel="0" collapsed="false">
      <c r="A2002" s="0" t="s">
        <v>8</v>
      </c>
      <c r="B2002" s="0" t="s">
        <v>3035</v>
      </c>
      <c r="C2002" s="0" t="s">
        <v>7192</v>
      </c>
    </row>
    <row r="2003" customFormat="false" ht="15" hidden="false" customHeight="false" outlineLevel="0" collapsed="false">
      <c r="A2003" s="0" t="s">
        <v>8</v>
      </c>
      <c r="B2003" s="0" t="s">
        <v>3039</v>
      </c>
      <c r="C2003" s="0" t="s">
        <v>7190</v>
      </c>
      <c r="D2003" s="0" t="n">
        <v>0.12</v>
      </c>
    </row>
    <row r="2004" customFormat="false" ht="15" hidden="false" customHeight="false" outlineLevel="0" collapsed="false">
      <c r="A2004" s="0" t="s">
        <v>8</v>
      </c>
      <c r="B2004" s="0" t="s">
        <v>3039</v>
      </c>
      <c r="C2004" s="0" t="s">
        <v>7191</v>
      </c>
    </row>
    <row r="2005" customFormat="false" ht="15" hidden="false" customHeight="false" outlineLevel="0" collapsed="false">
      <c r="A2005" s="0" t="s">
        <v>8</v>
      </c>
      <c r="B2005" s="0" t="s">
        <v>3039</v>
      </c>
      <c r="C2005" s="0" t="s">
        <v>7192</v>
      </c>
    </row>
    <row r="2006" customFormat="false" ht="15" hidden="false" customHeight="false" outlineLevel="0" collapsed="false">
      <c r="A2006" s="0" t="s">
        <v>8</v>
      </c>
      <c r="B2006" s="0" t="s">
        <v>3042</v>
      </c>
      <c r="C2006" s="0" t="s">
        <v>7190</v>
      </c>
      <c r="D2006" s="0" t="n">
        <v>0.3017</v>
      </c>
    </row>
    <row r="2007" customFormat="false" ht="15" hidden="false" customHeight="false" outlineLevel="0" collapsed="false">
      <c r="A2007" s="0" t="s">
        <v>8</v>
      </c>
      <c r="B2007" s="0" t="s">
        <v>3042</v>
      </c>
      <c r="C2007" s="0" t="s">
        <v>7191</v>
      </c>
    </row>
    <row r="2008" customFormat="false" ht="15" hidden="false" customHeight="false" outlineLevel="0" collapsed="false">
      <c r="A2008" s="0" t="s">
        <v>8</v>
      </c>
      <c r="B2008" s="0" t="s">
        <v>3042</v>
      </c>
      <c r="C2008" s="0" t="s">
        <v>7192</v>
      </c>
    </row>
    <row r="2009" customFormat="false" ht="15" hidden="false" customHeight="false" outlineLevel="0" collapsed="false">
      <c r="A2009" s="0" t="s">
        <v>8</v>
      </c>
      <c r="B2009" s="0" t="s">
        <v>3045</v>
      </c>
      <c r="C2009" s="0" t="s">
        <v>7190</v>
      </c>
      <c r="D2009" s="0" t="n">
        <v>0.0845</v>
      </c>
    </row>
    <row r="2010" customFormat="false" ht="15" hidden="false" customHeight="false" outlineLevel="0" collapsed="false">
      <c r="A2010" s="0" t="s">
        <v>8</v>
      </c>
      <c r="B2010" s="0" t="s">
        <v>3045</v>
      </c>
      <c r="C2010" s="0" t="s">
        <v>7191</v>
      </c>
    </row>
    <row r="2011" customFormat="false" ht="15" hidden="false" customHeight="false" outlineLevel="0" collapsed="false">
      <c r="A2011" s="0" t="s">
        <v>8</v>
      </c>
      <c r="B2011" s="0" t="s">
        <v>3045</v>
      </c>
      <c r="C2011" s="0" t="s">
        <v>7192</v>
      </c>
    </row>
    <row r="2012" customFormat="false" ht="15" hidden="false" customHeight="false" outlineLevel="0" collapsed="false">
      <c r="A2012" s="0" t="s">
        <v>8</v>
      </c>
      <c r="B2012" s="0" t="s">
        <v>3048</v>
      </c>
      <c r="C2012" s="0" t="s">
        <v>7190</v>
      </c>
      <c r="D2012" s="0" t="n">
        <v>0.3584</v>
      </c>
    </row>
    <row r="2013" customFormat="false" ht="15" hidden="false" customHeight="false" outlineLevel="0" collapsed="false">
      <c r="A2013" s="0" t="s">
        <v>8</v>
      </c>
      <c r="B2013" s="0" t="s">
        <v>3048</v>
      </c>
      <c r="C2013" s="0" t="s">
        <v>7191</v>
      </c>
    </row>
    <row r="2014" customFormat="false" ht="15" hidden="false" customHeight="false" outlineLevel="0" collapsed="false">
      <c r="A2014" s="0" t="s">
        <v>8</v>
      </c>
      <c r="B2014" s="0" t="s">
        <v>3048</v>
      </c>
      <c r="C2014" s="0" t="s">
        <v>7192</v>
      </c>
    </row>
    <row r="2015" customFormat="false" ht="15" hidden="false" customHeight="false" outlineLevel="0" collapsed="false">
      <c r="A2015" s="0" t="s">
        <v>8</v>
      </c>
      <c r="B2015" s="0" t="s">
        <v>3051</v>
      </c>
      <c r="C2015" s="0" t="s">
        <v>7190</v>
      </c>
      <c r="D2015" s="0" t="n">
        <v>0.021</v>
      </c>
    </row>
    <row r="2016" customFormat="false" ht="15" hidden="false" customHeight="false" outlineLevel="0" collapsed="false">
      <c r="A2016" s="0" t="s">
        <v>8</v>
      </c>
      <c r="B2016" s="0" t="s">
        <v>3051</v>
      </c>
      <c r="C2016" s="0" t="s">
        <v>7191</v>
      </c>
    </row>
    <row r="2017" customFormat="false" ht="15" hidden="false" customHeight="false" outlineLevel="0" collapsed="false">
      <c r="A2017" s="0" t="s">
        <v>8</v>
      </c>
      <c r="B2017" s="0" t="s">
        <v>3051</v>
      </c>
      <c r="C2017" s="0" t="s">
        <v>7192</v>
      </c>
    </row>
    <row r="2018" customFormat="false" ht="15" hidden="false" customHeight="false" outlineLevel="0" collapsed="false">
      <c r="A2018" s="0" t="s">
        <v>8</v>
      </c>
      <c r="B2018" s="0" t="s">
        <v>3055</v>
      </c>
      <c r="C2018" s="0" t="s">
        <v>7190</v>
      </c>
      <c r="D2018" s="0" t="n">
        <v>0.0452</v>
      </c>
    </row>
    <row r="2019" customFormat="false" ht="15" hidden="false" customHeight="false" outlineLevel="0" collapsed="false">
      <c r="A2019" s="0" t="s">
        <v>8</v>
      </c>
      <c r="B2019" s="0" t="s">
        <v>3055</v>
      </c>
      <c r="C2019" s="0" t="s">
        <v>7191</v>
      </c>
    </row>
    <row r="2020" customFormat="false" ht="15" hidden="false" customHeight="false" outlineLevel="0" collapsed="false">
      <c r="A2020" s="0" t="s">
        <v>8</v>
      </c>
      <c r="B2020" s="0" t="s">
        <v>3055</v>
      </c>
      <c r="C2020" s="0" t="s">
        <v>7192</v>
      </c>
    </row>
    <row r="2021" customFormat="false" ht="15" hidden="false" customHeight="false" outlineLevel="0" collapsed="false">
      <c r="A2021" s="0" t="s">
        <v>8</v>
      </c>
      <c r="B2021" s="0" t="s">
        <v>3058</v>
      </c>
      <c r="C2021" s="0" t="s">
        <v>7190</v>
      </c>
      <c r="D2021" s="0" t="n">
        <v>0.1217</v>
      </c>
    </row>
    <row r="2022" customFormat="false" ht="15" hidden="false" customHeight="false" outlineLevel="0" collapsed="false">
      <c r="A2022" s="0" t="s">
        <v>8</v>
      </c>
      <c r="B2022" s="0" t="s">
        <v>3058</v>
      </c>
      <c r="C2022" s="0" t="s">
        <v>7191</v>
      </c>
    </row>
    <row r="2023" customFormat="false" ht="15" hidden="false" customHeight="false" outlineLevel="0" collapsed="false">
      <c r="A2023" s="0" t="s">
        <v>8</v>
      </c>
      <c r="B2023" s="0" t="s">
        <v>3058</v>
      </c>
      <c r="C2023" s="0" t="s">
        <v>7192</v>
      </c>
    </row>
    <row r="2024" customFormat="false" ht="15" hidden="false" customHeight="false" outlineLevel="0" collapsed="false">
      <c r="A2024" s="0" t="s">
        <v>8</v>
      </c>
      <c r="B2024" s="0" t="s">
        <v>3061</v>
      </c>
      <c r="C2024" s="0" t="s">
        <v>7190</v>
      </c>
      <c r="D2024" s="0" t="n">
        <v>0.0167</v>
      </c>
    </row>
    <row r="2025" customFormat="false" ht="15" hidden="false" customHeight="false" outlineLevel="0" collapsed="false">
      <c r="A2025" s="0" t="s">
        <v>8</v>
      </c>
      <c r="B2025" s="0" t="s">
        <v>3061</v>
      </c>
      <c r="C2025" s="0" t="s">
        <v>7191</v>
      </c>
    </row>
    <row r="2026" customFormat="false" ht="15" hidden="false" customHeight="false" outlineLevel="0" collapsed="false">
      <c r="A2026" s="0" t="s">
        <v>8</v>
      </c>
      <c r="B2026" s="0" t="s">
        <v>3061</v>
      </c>
      <c r="C2026" s="0" t="s">
        <v>7192</v>
      </c>
    </row>
    <row r="2027" customFormat="false" ht="15" hidden="false" customHeight="false" outlineLevel="0" collapsed="false">
      <c r="A2027" s="0" t="s">
        <v>8</v>
      </c>
      <c r="B2027" s="0" t="s">
        <v>3064</v>
      </c>
      <c r="C2027" s="0" t="s">
        <v>7190</v>
      </c>
      <c r="D2027" s="0" t="n">
        <v>0.0667</v>
      </c>
    </row>
    <row r="2028" customFormat="false" ht="15" hidden="false" customHeight="false" outlineLevel="0" collapsed="false">
      <c r="A2028" s="0" t="s">
        <v>8</v>
      </c>
      <c r="B2028" s="0" t="s">
        <v>3064</v>
      </c>
      <c r="C2028" s="0" t="s">
        <v>7191</v>
      </c>
    </row>
    <row r="2029" customFormat="false" ht="15" hidden="false" customHeight="false" outlineLevel="0" collapsed="false">
      <c r="A2029" s="0" t="s">
        <v>8</v>
      </c>
      <c r="B2029" s="0" t="s">
        <v>3064</v>
      </c>
      <c r="C2029" s="0" t="s">
        <v>7192</v>
      </c>
    </row>
    <row r="2030" customFormat="false" ht="15" hidden="false" customHeight="false" outlineLevel="0" collapsed="false">
      <c r="A2030" s="0" t="s">
        <v>8</v>
      </c>
      <c r="B2030" s="0" t="s">
        <v>3067</v>
      </c>
      <c r="C2030" s="0" t="s">
        <v>7190</v>
      </c>
      <c r="D2030" s="0" t="n">
        <v>0.0191</v>
      </c>
    </row>
    <row r="2031" customFormat="false" ht="15" hidden="false" customHeight="false" outlineLevel="0" collapsed="false">
      <c r="A2031" s="0" t="s">
        <v>8</v>
      </c>
      <c r="B2031" s="0" t="s">
        <v>3067</v>
      </c>
      <c r="C2031" s="0" t="s">
        <v>7191</v>
      </c>
    </row>
    <row r="2032" customFormat="false" ht="15" hidden="false" customHeight="false" outlineLevel="0" collapsed="false">
      <c r="A2032" s="0" t="s">
        <v>8</v>
      </c>
      <c r="B2032" s="0" t="s">
        <v>3067</v>
      </c>
      <c r="C2032" s="0" t="s">
        <v>7192</v>
      </c>
    </row>
    <row r="2033" customFormat="false" ht="15" hidden="false" customHeight="false" outlineLevel="0" collapsed="false">
      <c r="A2033" s="0" t="s">
        <v>8</v>
      </c>
      <c r="B2033" s="0" t="s">
        <v>3071</v>
      </c>
      <c r="C2033" s="0" t="s">
        <v>7190</v>
      </c>
      <c r="D2033" s="0" t="n">
        <v>0.0644</v>
      </c>
    </row>
    <row r="2034" customFormat="false" ht="15" hidden="false" customHeight="false" outlineLevel="0" collapsed="false">
      <c r="A2034" s="0" t="s">
        <v>8</v>
      </c>
      <c r="B2034" s="0" t="s">
        <v>3071</v>
      </c>
      <c r="C2034" s="0" t="s">
        <v>7191</v>
      </c>
    </row>
    <row r="2035" customFormat="false" ht="15" hidden="false" customHeight="false" outlineLevel="0" collapsed="false">
      <c r="A2035" s="0" t="s">
        <v>8</v>
      </c>
      <c r="B2035" s="0" t="s">
        <v>3071</v>
      </c>
      <c r="C2035" s="0" t="s">
        <v>7192</v>
      </c>
    </row>
    <row r="2036" customFormat="false" ht="15" hidden="false" customHeight="false" outlineLevel="0" collapsed="false">
      <c r="A2036" s="0" t="s">
        <v>8</v>
      </c>
      <c r="B2036" s="0" t="s">
        <v>3074</v>
      </c>
      <c r="C2036" s="0" t="s">
        <v>7190</v>
      </c>
      <c r="D2036" s="0" t="n">
        <v>0.0677</v>
      </c>
    </row>
    <row r="2037" customFormat="false" ht="15" hidden="false" customHeight="false" outlineLevel="0" collapsed="false">
      <c r="A2037" s="0" t="s">
        <v>8</v>
      </c>
      <c r="B2037" s="0" t="s">
        <v>3074</v>
      </c>
      <c r="C2037" s="0" t="s">
        <v>7191</v>
      </c>
    </row>
    <row r="2038" customFormat="false" ht="15" hidden="false" customHeight="false" outlineLevel="0" collapsed="false">
      <c r="A2038" s="0" t="s">
        <v>8</v>
      </c>
      <c r="B2038" s="0" t="s">
        <v>3074</v>
      </c>
      <c r="C2038" s="0" t="s">
        <v>7192</v>
      </c>
    </row>
    <row r="2039" customFormat="false" ht="15" hidden="false" customHeight="false" outlineLevel="0" collapsed="false">
      <c r="A2039" s="0" t="s">
        <v>8</v>
      </c>
      <c r="B2039" s="0" t="s">
        <v>3077</v>
      </c>
      <c r="C2039" s="0" t="s">
        <v>7190</v>
      </c>
      <c r="D2039" s="0" t="n">
        <v>0.0055</v>
      </c>
    </row>
    <row r="2040" customFormat="false" ht="15" hidden="false" customHeight="false" outlineLevel="0" collapsed="false">
      <c r="A2040" s="0" t="s">
        <v>8</v>
      </c>
      <c r="B2040" s="0" t="s">
        <v>3077</v>
      </c>
      <c r="C2040" s="0" t="s">
        <v>7191</v>
      </c>
    </row>
    <row r="2041" customFormat="false" ht="15" hidden="false" customHeight="false" outlineLevel="0" collapsed="false">
      <c r="A2041" s="0" t="s">
        <v>8</v>
      </c>
      <c r="B2041" s="0" t="s">
        <v>3077</v>
      </c>
      <c r="C2041" s="0" t="s">
        <v>7192</v>
      </c>
    </row>
    <row r="2042" customFormat="false" ht="15" hidden="false" customHeight="false" outlineLevel="0" collapsed="false">
      <c r="A2042" s="0" t="s">
        <v>8</v>
      </c>
      <c r="B2042" s="0" t="s">
        <v>3080</v>
      </c>
      <c r="C2042" s="0" t="s">
        <v>7190</v>
      </c>
      <c r="D2042" s="0" t="n">
        <v>0.0207</v>
      </c>
    </row>
    <row r="2043" customFormat="false" ht="15" hidden="false" customHeight="false" outlineLevel="0" collapsed="false">
      <c r="A2043" s="0" t="s">
        <v>8</v>
      </c>
      <c r="B2043" s="0" t="s">
        <v>3080</v>
      </c>
      <c r="C2043" s="0" t="s">
        <v>7191</v>
      </c>
    </row>
    <row r="2044" customFormat="false" ht="15" hidden="false" customHeight="false" outlineLevel="0" collapsed="false">
      <c r="A2044" s="0" t="s">
        <v>8</v>
      </c>
      <c r="B2044" s="0" t="s">
        <v>3080</v>
      </c>
      <c r="C2044" s="0" t="s">
        <v>7192</v>
      </c>
    </row>
    <row r="2045" customFormat="false" ht="15" hidden="false" customHeight="false" outlineLevel="0" collapsed="false">
      <c r="A2045" s="0" t="s">
        <v>8</v>
      </c>
      <c r="B2045" s="0" t="s">
        <v>3083</v>
      </c>
      <c r="C2045" s="0" t="s">
        <v>7190</v>
      </c>
      <c r="D2045" s="0" t="n">
        <v>0.0455</v>
      </c>
    </row>
    <row r="2046" customFormat="false" ht="15" hidden="false" customHeight="false" outlineLevel="0" collapsed="false">
      <c r="A2046" s="0" t="s">
        <v>8</v>
      </c>
      <c r="B2046" s="0" t="s">
        <v>3083</v>
      </c>
      <c r="C2046" s="0" t="s">
        <v>7191</v>
      </c>
    </row>
    <row r="2047" customFormat="false" ht="15" hidden="false" customHeight="false" outlineLevel="0" collapsed="false">
      <c r="A2047" s="0" t="s">
        <v>8</v>
      </c>
      <c r="B2047" s="0" t="s">
        <v>3083</v>
      </c>
      <c r="C2047" s="0" t="s">
        <v>7192</v>
      </c>
    </row>
    <row r="2048" customFormat="false" ht="15" hidden="false" customHeight="false" outlineLevel="0" collapsed="false">
      <c r="A2048" s="0" t="s">
        <v>8</v>
      </c>
      <c r="B2048" s="0" t="s">
        <v>3087</v>
      </c>
      <c r="C2048" s="0" t="s">
        <v>7190</v>
      </c>
      <c r="D2048" s="0" t="n">
        <v>0.0062</v>
      </c>
    </row>
    <row r="2049" customFormat="false" ht="15" hidden="false" customHeight="false" outlineLevel="0" collapsed="false">
      <c r="A2049" s="0" t="s">
        <v>8</v>
      </c>
      <c r="B2049" s="0" t="s">
        <v>3087</v>
      </c>
      <c r="C2049" s="0" t="s">
        <v>7191</v>
      </c>
    </row>
    <row r="2050" customFormat="false" ht="15" hidden="false" customHeight="false" outlineLevel="0" collapsed="false">
      <c r="A2050" s="0" t="s">
        <v>8</v>
      </c>
      <c r="B2050" s="0" t="s">
        <v>3087</v>
      </c>
      <c r="C2050" s="0" t="s">
        <v>7192</v>
      </c>
    </row>
    <row r="2051" customFormat="false" ht="15" hidden="false" customHeight="false" outlineLevel="0" collapsed="false">
      <c r="A2051" s="0" t="s">
        <v>8</v>
      </c>
      <c r="B2051" s="0" t="s">
        <v>3090</v>
      </c>
      <c r="C2051" s="0" t="s">
        <v>7190</v>
      </c>
      <c r="D2051" s="0" t="n">
        <v>0.0913</v>
      </c>
    </row>
    <row r="2052" customFormat="false" ht="15" hidden="false" customHeight="false" outlineLevel="0" collapsed="false">
      <c r="A2052" s="0" t="s">
        <v>8</v>
      </c>
      <c r="B2052" s="0" t="s">
        <v>3090</v>
      </c>
      <c r="C2052" s="0" t="s">
        <v>7191</v>
      </c>
    </row>
    <row r="2053" customFormat="false" ht="15" hidden="false" customHeight="false" outlineLevel="0" collapsed="false">
      <c r="A2053" s="0" t="s">
        <v>8</v>
      </c>
      <c r="B2053" s="0" t="s">
        <v>3090</v>
      </c>
      <c r="C2053" s="0" t="s">
        <v>7192</v>
      </c>
    </row>
    <row r="2054" customFormat="false" ht="15" hidden="false" customHeight="false" outlineLevel="0" collapsed="false">
      <c r="A2054" s="0" t="s">
        <v>8</v>
      </c>
      <c r="B2054" s="0" t="s">
        <v>3093</v>
      </c>
      <c r="C2054" s="0" t="s">
        <v>7190</v>
      </c>
      <c r="D2054" s="0" t="n">
        <v>0.0036</v>
      </c>
    </row>
    <row r="2055" customFormat="false" ht="15" hidden="false" customHeight="false" outlineLevel="0" collapsed="false">
      <c r="A2055" s="0" t="s">
        <v>8</v>
      </c>
      <c r="B2055" s="0" t="s">
        <v>3093</v>
      </c>
      <c r="C2055" s="0" t="s">
        <v>7191</v>
      </c>
    </row>
    <row r="2056" customFormat="false" ht="15" hidden="false" customHeight="false" outlineLevel="0" collapsed="false">
      <c r="A2056" s="0" t="s">
        <v>8</v>
      </c>
      <c r="B2056" s="0" t="s">
        <v>3093</v>
      </c>
      <c r="C2056" s="0" t="s">
        <v>7192</v>
      </c>
    </row>
    <row r="2057" customFormat="false" ht="15" hidden="false" customHeight="false" outlineLevel="0" collapsed="false">
      <c r="A2057" s="0" t="s">
        <v>8</v>
      </c>
      <c r="B2057" s="0" t="s">
        <v>3096</v>
      </c>
      <c r="C2057" s="0" t="s">
        <v>7190</v>
      </c>
      <c r="D2057" s="0" t="n">
        <v>0.0617</v>
      </c>
    </row>
    <row r="2058" customFormat="false" ht="15" hidden="false" customHeight="false" outlineLevel="0" collapsed="false">
      <c r="A2058" s="0" t="s">
        <v>8</v>
      </c>
      <c r="B2058" s="0" t="s">
        <v>3096</v>
      </c>
      <c r="C2058" s="0" t="s">
        <v>7191</v>
      </c>
    </row>
    <row r="2059" customFormat="false" ht="15" hidden="false" customHeight="false" outlineLevel="0" collapsed="false">
      <c r="A2059" s="0" t="s">
        <v>8</v>
      </c>
      <c r="B2059" s="0" t="s">
        <v>3096</v>
      </c>
      <c r="C2059" s="0" t="s">
        <v>7192</v>
      </c>
    </row>
    <row r="2060" customFormat="false" ht="15" hidden="false" customHeight="false" outlineLevel="0" collapsed="false">
      <c r="A2060" s="0" t="s">
        <v>8</v>
      </c>
      <c r="B2060" s="0" t="s">
        <v>3099</v>
      </c>
      <c r="C2060" s="0" t="s">
        <v>7190</v>
      </c>
      <c r="D2060" s="0" t="n">
        <v>0.0006</v>
      </c>
    </row>
    <row r="2061" customFormat="false" ht="15" hidden="false" customHeight="false" outlineLevel="0" collapsed="false">
      <c r="A2061" s="0" t="s">
        <v>8</v>
      </c>
      <c r="B2061" s="0" t="s">
        <v>3099</v>
      </c>
      <c r="C2061" s="0" t="s">
        <v>7191</v>
      </c>
    </row>
    <row r="2062" customFormat="false" ht="15" hidden="false" customHeight="false" outlineLevel="0" collapsed="false">
      <c r="A2062" s="0" t="s">
        <v>8</v>
      </c>
      <c r="B2062" s="0" t="s">
        <v>3099</v>
      </c>
      <c r="C2062" s="0" t="s">
        <v>7192</v>
      </c>
    </row>
    <row r="2063" customFormat="false" ht="15" hidden="false" customHeight="false" outlineLevel="0" collapsed="false">
      <c r="A2063" s="0" t="s">
        <v>8</v>
      </c>
      <c r="B2063" s="0" t="s">
        <v>3103</v>
      </c>
      <c r="C2063" s="0" t="s">
        <v>7190</v>
      </c>
      <c r="D2063" s="0" t="n">
        <v>0.0171</v>
      </c>
    </row>
    <row r="2064" customFormat="false" ht="15" hidden="false" customHeight="false" outlineLevel="0" collapsed="false">
      <c r="A2064" s="0" t="s">
        <v>8</v>
      </c>
      <c r="B2064" s="0" t="s">
        <v>3103</v>
      </c>
      <c r="C2064" s="0" t="s">
        <v>7191</v>
      </c>
    </row>
    <row r="2065" customFormat="false" ht="15" hidden="false" customHeight="false" outlineLevel="0" collapsed="false">
      <c r="A2065" s="0" t="s">
        <v>8</v>
      </c>
      <c r="B2065" s="0" t="s">
        <v>3103</v>
      </c>
      <c r="C2065" s="0" t="s">
        <v>7192</v>
      </c>
    </row>
    <row r="2066" customFormat="false" ht="15" hidden="false" customHeight="false" outlineLevel="0" collapsed="false">
      <c r="A2066" s="0" t="s">
        <v>8</v>
      </c>
      <c r="B2066" s="0" t="s">
        <v>3106</v>
      </c>
      <c r="C2066" s="0" t="s">
        <v>7190</v>
      </c>
      <c r="D2066" s="0" t="n">
        <v>0.0054</v>
      </c>
    </row>
    <row r="2067" customFormat="false" ht="15" hidden="false" customHeight="false" outlineLevel="0" collapsed="false">
      <c r="A2067" s="0" t="s">
        <v>8</v>
      </c>
      <c r="B2067" s="0" t="s">
        <v>3106</v>
      </c>
      <c r="C2067" s="0" t="s">
        <v>7191</v>
      </c>
    </row>
    <row r="2068" customFormat="false" ht="15" hidden="false" customHeight="false" outlineLevel="0" collapsed="false">
      <c r="A2068" s="0" t="s">
        <v>8</v>
      </c>
      <c r="B2068" s="0" t="s">
        <v>3106</v>
      </c>
      <c r="C2068" s="0" t="s">
        <v>7192</v>
      </c>
    </row>
    <row r="2069" customFormat="false" ht="15" hidden="false" customHeight="false" outlineLevel="0" collapsed="false">
      <c r="A2069" s="0" t="s">
        <v>8</v>
      </c>
      <c r="B2069" s="0" t="s">
        <v>3109</v>
      </c>
      <c r="C2069" s="0" t="s">
        <v>7190</v>
      </c>
      <c r="D2069" s="0" t="n">
        <v>0.0036</v>
      </c>
    </row>
    <row r="2070" customFormat="false" ht="15" hidden="false" customHeight="false" outlineLevel="0" collapsed="false">
      <c r="A2070" s="0" t="s">
        <v>8</v>
      </c>
      <c r="B2070" s="0" t="s">
        <v>3109</v>
      </c>
      <c r="C2070" s="0" t="s">
        <v>7191</v>
      </c>
    </row>
    <row r="2071" customFormat="false" ht="15" hidden="false" customHeight="false" outlineLevel="0" collapsed="false">
      <c r="A2071" s="0" t="s">
        <v>8</v>
      </c>
      <c r="B2071" s="0" t="s">
        <v>3109</v>
      </c>
      <c r="C2071" s="0" t="s">
        <v>7192</v>
      </c>
    </row>
    <row r="2072" customFormat="false" ht="15" hidden="false" customHeight="false" outlineLevel="0" collapsed="false">
      <c r="A2072" s="0" t="s">
        <v>8</v>
      </c>
      <c r="B2072" s="0" t="s">
        <v>3112</v>
      </c>
      <c r="C2072" s="0" t="s">
        <v>7190</v>
      </c>
      <c r="D2072" s="0" t="n">
        <v>0.0111</v>
      </c>
    </row>
    <row r="2073" customFormat="false" ht="15" hidden="false" customHeight="false" outlineLevel="0" collapsed="false">
      <c r="A2073" s="0" t="s">
        <v>8</v>
      </c>
      <c r="B2073" s="0" t="s">
        <v>3112</v>
      </c>
      <c r="C2073" s="0" t="s">
        <v>7191</v>
      </c>
    </row>
    <row r="2074" customFormat="false" ht="15" hidden="false" customHeight="false" outlineLevel="0" collapsed="false">
      <c r="A2074" s="0" t="s">
        <v>8</v>
      </c>
      <c r="B2074" s="0" t="s">
        <v>3112</v>
      </c>
      <c r="C2074" s="0" t="s">
        <v>7192</v>
      </c>
    </row>
    <row r="2075" customFormat="false" ht="15" hidden="false" customHeight="false" outlineLevel="0" collapsed="false">
      <c r="A2075" s="0" t="s">
        <v>8</v>
      </c>
      <c r="B2075" s="0" t="s">
        <v>3115</v>
      </c>
      <c r="C2075" s="0" t="s">
        <v>7190</v>
      </c>
      <c r="D2075" s="0" t="n">
        <v>0.0099</v>
      </c>
    </row>
    <row r="2076" customFormat="false" ht="15" hidden="false" customHeight="false" outlineLevel="0" collapsed="false">
      <c r="A2076" s="0" t="s">
        <v>8</v>
      </c>
      <c r="B2076" s="0" t="s">
        <v>3115</v>
      </c>
      <c r="C2076" s="0" t="s">
        <v>7191</v>
      </c>
    </row>
    <row r="2077" customFormat="false" ht="15" hidden="false" customHeight="false" outlineLevel="0" collapsed="false">
      <c r="A2077" s="0" t="s">
        <v>8</v>
      </c>
      <c r="B2077" s="0" t="s">
        <v>3115</v>
      </c>
      <c r="C2077" s="0" t="s">
        <v>7192</v>
      </c>
    </row>
    <row r="2078" customFormat="false" ht="15" hidden="false" customHeight="false" outlineLevel="0" collapsed="false">
      <c r="A2078" s="0" t="s">
        <v>8</v>
      </c>
      <c r="B2078" s="0" t="s">
        <v>3119</v>
      </c>
      <c r="C2078" s="0" t="s">
        <v>7190</v>
      </c>
      <c r="D2078" s="0" t="n">
        <v>0.0339</v>
      </c>
    </row>
    <row r="2079" customFormat="false" ht="15" hidden="false" customHeight="false" outlineLevel="0" collapsed="false">
      <c r="A2079" s="0" t="s">
        <v>8</v>
      </c>
      <c r="B2079" s="0" t="s">
        <v>3119</v>
      </c>
      <c r="C2079" s="0" t="s">
        <v>7191</v>
      </c>
    </row>
    <row r="2080" customFormat="false" ht="15" hidden="false" customHeight="false" outlineLevel="0" collapsed="false">
      <c r="A2080" s="0" t="s">
        <v>8</v>
      </c>
      <c r="B2080" s="0" t="s">
        <v>3119</v>
      </c>
      <c r="C2080" s="0" t="s">
        <v>7192</v>
      </c>
    </row>
    <row r="2081" customFormat="false" ht="15" hidden="false" customHeight="false" outlineLevel="0" collapsed="false">
      <c r="A2081" s="0" t="s">
        <v>8</v>
      </c>
      <c r="B2081" s="0" t="s">
        <v>3122</v>
      </c>
      <c r="C2081" s="0" t="s">
        <v>7190</v>
      </c>
      <c r="D2081" s="0" t="n">
        <v>0.0348</v>
      </c>
    </row>
    <row r="2082" customFormat="false" ht="15" hidden="false" customHeight="false" outlineLevel="0" collapsed="false">
      <c r="A2082" s="0" t="s">
        <v>8</v>
      </c>
      <c r="B2082" s="0" t="s">
        <v>3122</v>
      </c>
      <c r="C2082" s="0" t="s">
        <v>7191</v>
      </c>
    </row>
    <row r="2083" customFormat="false" ht="15" hidden="false" customHeight="false" outlineLevel="0" collapsed="false">
      <c r="A2083" s="0" t="s">
        <v>8</v>
      </c>
      <c r="B2083" s="0" t="s">
        <v>3122</v>
      </c>
      <c r="C2083" s="0" t="s">
        <v>7192</v>
      </c>
    </row>
    <row r="2084" customFormat="false" ht="15" hidden="false" customHeight="false" outlineLevel="0" collapsed="false">
      <c r="A2084" s="0" t="s">
        <v>8</v>
      </c>
      <c r="B2084" s="0" t="s">
        <v>3125</v>
      </c>
      <c r="C2084" s="0" t="s">
        <v>7190</v>
      </c>
      <c r="D2084" s="0" t="n">
        <v>0.0073</v>
      </c>
    </row>
    <row r="2085" customFormat="false" ht="15" hidden="false" customHeight="false" outlineLevel="0" collapsed="false">
      <c r="A2085" s="0" t="s">
        <v>8</v>
      </c>
      <c r="B2085" s="0" t="s">
        <v>3125</v>
      </c>
      <c r="C2085" s="0" t="s">
        <v>7191</v>
      </c>
    </row>
    <row r="2086" customFormat="false" ht="15" hidden="false" customHeight="false" outlineLevel="0" collapsed="false">
      <c r="A2086" s="0" t="s">
        <v>8</v>
      </c>
      <c r="B2086" s="0" t="s">
        <v>3125</v>
      </c>
      <c r="C2086" s="0" t="s">
        <v>7192</v>
      </c>
    </row>
    <row r="2087" customFormat="false" ht="15" hidden="false" customHeight="false" outlineLevel="0" collapsed="false">
      <c r="A2087" s="0" t="s">
        <v>8</v>
      </c>
      <c r="B2087" s="0" t="s">
        <v>3128</v>
      </c>
      <c r="C2087" s="0" t="s">
        <v>7190</v>
      </c>
      <c r="D2087" s="0" t="n">
        <v>0.0596</v>
      </c>
    </row>
    <row r="2088" customFormat="false" ht="15" hidden="false" customHeight="false" outlineLevel="0" collapsed="false">
      <c r="A2088" s="0" t="s">
        <v>8</v>
      </c>
      <c r="B2088" s="0" t="s">
        <v>3128</v>
      </c>
      <c r="C2088" s="0" t="s">
        <v>7191</v>
      </c>
    </row>
    <row r="2089" customFormat="false" ht="15" hidden="false" customHeight="false" outlineLevel="0" collapsed="false">
      <c r="A2089" s="0" t="s">
        <v>8</v>
      </c>
      <c r="B2089" s="0" t="s">
        <v>3128</v>
      </c>
      <c r="C2089" s="0" t="s">
        <v>7192</v>
      </c>
    </row>
    <row r="2090" customFormat="false" ht="15" hidden="false" customHeight="false" outlineLevel="0" collapsed="false">
      <c r="A2090" s="0" t="s">
        <v>8</v>
      </c>
      <c r="B2090" s="0" t="s">
        <v>3131</v>
      </c>
      <c r="C2090" s="0" t="s">
        <v>7190</v>
      </c>
      <c r="D2090" s="0" t="n">
        <v>0.2543</v>
      </c>
    </row>
    <row r="2091" customFormat="false" ht="15" hidden="false" customHeight="false" outlineLevel="0" collapsed="false">
      <c r="A2091" s="0" t="s">
        <v>8</v>
      </c>
      <c r="B2091" s="0" t="s">
        <v>3131</v>
      </c>
      <c r="C2091" s="0" t="s">
        <v>7191</v>
      </c>
    </row>
    <row r="2092" customFormat="false" ht="15" hidden="false" customHeight="false" outlineLevel="0" collapsed="false">
      <c r="A2092" s="0" t="s">
        <v>8</v>
      </c>
      <c r="B2092" s="0" t="s">
        <v>3131</v>
      </c>
      <c r="C2092" s="0" t="s">
        <v>7192</v>
      </c>
    </row>
    <row r="2093" customFormat="false" ht="15" hidden="false" customHeight="false" outlineLevel="0" collapsed="false">
      <c r="A2093" s="0" t="s">
        <v>8</v>
      </c>
      <c r="B2093" s="0" t="s">
        <v>3135</v>
      </c>
      <c r="C2093" s="0" t="s">
        <v>7190</v>
      </c>
      <c r="D2093" s="0" t="n">
        <v>0.3583</v>
      </c>
    </row>
    <row r="2094" customFormat="false" ht="15" hidden="false" customHeight="false" outlineLevel="0" collapsed="false">
      <c r="A2094" s="0" t="s">
        <v>8</v>
      </c>
      <c r="B2094" s="0" t="s">
        <v>3135</v>
      </c>
      <c r="C2094" s="0" t="s">
        <v>7191</v>
      </c>
    </row>
    <row r="2095" customFormat="false" ht="15" hidden="false" customHeight="false" outlineLevel="0" collapsed="false">
      <c r="A2095" s="0" t="s">
        <v>8</v>
      </c>
      <c r="B2095" s="0" t="s">
        <v>3135</v>
      </c>
      <c r="C2095" s="0" t="s">
        <v>7192</v>
      </c>
    </row>
    <row r="2096" customFormat="false" ht="15" hidden="false" customHeight="false" outlineLevel="0" collapsed="false">
      <c r="A2096" s="0" t="s">
        <v>8</v>
      </c>
      <c r="B2096" s="0" t="s">
        <v>3138</v>
      </c>
      <c r="C2096" s="0" t="s">
        <v>7190</v>
      </c>
      <c r="D2096" s="0" t="n">
        <v>0.8967</v>
      </c>
    </row>
    <row r="2097" customFormat="false" ht="15" hidden="false" customHeight="false" outlineLevel="0" collapsed="false">
      <c r="A2097" s="0" t="s">
        <v>8</v>
      </c>
      <c r="B2097" s="0" t="s">
        <v>3138</v>
      </c>
      <c r="C2097" s="0" t="s">
        <v>7191</v>
      </c>
    </row>
    <row r="2098" customFormat="false" ht="15" hidden="false" customHeight="false" outlineLevel="0" collapsed="false">
      <c r="A2098" s="0" t="s">
        <v>8</v>
      </c>
      <c r="B2098" s="0" t="s">
        <v>3138</v>
      </c>
      <c r="C2098" s="0" t="s">
        <v>7192</v>
      </c>
    </row>
    <row r="2099" customFormat="false" ht="15" hidden="false" customHeight="false" outlineLevel="0" collapsed="false">
      <c r="A2099" s="0" t="s">
        <v>8</v>
      </c>
      <c r="B2099" s="0" t="s">
        <v>3141</v>
      </c>
      <c r="C2099" s="0" t="s">
        <v>7190</v>
      </c>
      <c r="D2099" s="0" t="n">
        <v>0.1003</v>
      </c>
    </row>
    <row r="2100" customFormat="false" ht="15" hidden="false" customHeight="false" outlineLevel="0" collapsed="false">
      <c r="A2100" s="0" t="s">
        <v>8</v>
      </c>
      <c r="B2100" s="0" t="s">
        <v>3141</v>
      </c>
      <c r="C2100" s="0" t="s">
        <v>7191</v>
      </c>
    </row>
    <row r="2101" customFormat="false" ht="15" hidden="false" customHeight="false" outlineLevel="0" collapsed="false">
      <c r="A2101" s="0" t="s">
        <v>8</v>
      </c>
      <c r="B2101" s="0" t="s">
        <v>3141</v>
      </c>
      <c r="C2101" s="0" t="s">
        <v>7192</v>
      </c>
    </row>
    <row r="2102" customFormat="false" ht="15" hidden="false" customHeight="false" outlineLevel="0" collapsed="false">
      <c r="A2102" s="0" t="s">
        <v>8</v>
      </c>
      <c r="B2102" s="0" t="s">
        <v>3144</v>
      </c>
      <c r="C2102" s="0" t="s">
        <v>7190</v>
      </c>
      <c r="D2102" s="0" t="n">
        <v>0.6624</v>
      </c>
    </row>
    <row r="2103" customFormat="false" ht="15" hidden="false" customHeight="false" outlineLevel="0" collapsed="false">
      <c r="A2103" s="0" t="s">
        <v>8</v>
      </c>
      <c r="B2103" s="0" t="s">
        <v>3144</v>
      </c>
      <c r="C2103" s="0" t="s">
        <v>7191</v>
      </c>
    </row>
    <row r="2104" customFormat="false" ht="15" hidden="false" customHeight="false" outlineLevel="0" collapsed="false">
      <c r="A2104" s="0" t="s">
        <v>8</v>
      </c>
      <c r="B2104" s="0" t="s">
        <v>3144</v>
      </c>
      <c r="C2104" s="0" t="s">
        <v>7192</v>
      </c>
    </row>
    <row r="2105" customFormat="false" ht="15" hidden="false" customHeight="false" outlineLevel="0" collapsed="false">
      <c r="A2105" s="0" t="s">
        <v>8</v>
      </c>
      <c r="B2105" s="0" t="s">
        <v>3147</v>
      </c>
      <c r="C2105" s="0" t="s">
        <v>7190</v>
      </c>
      <c r="D2105" s="0" t="n">
        <v>0.0062</v>
      </c>
    </row>
    <row r="2106" customFormat="false" ht="15" hidden="false" customHeight="false" outlineLevel="0" collapsed="false">
      <c r="A2106" s="0" t="s">
        <v>8</v>
      </c>
      <c r="B2106" s="0" t="s">
        <v>3147</v>
      </c>
      <c r="C2106" s="0" t="s">
        <v>7191</v>
      </c>
    </row>
    <row r="2107" customFormat="false" ht="15" hidden="false" customHeight="false" outlineLevel="0" collapsed="false">
      <c r="A2107" s="0" t="s">
        <v>8</v>
      </c>
      <c r="B2107" s="0" t="s">
        <v>3147</v>
      </c>
      <c r="C2107" s="0" t="s">
        <v>7192</v>
      </c>
    </row>
    <row r="2108" customFormat="false" ht="15" hidden="false" customHeight="false" outlineLevel="0" collapsed="false">
      <c r="A2108" s="0" t="s">
        <v>8</v>
      </c>
      <c r="B2108" s="0" t="s">
        <v>3151</v>
      </c>
      <c r="C2108" s="0" t="s">
        <v>7190</v>
      </c>
      <c r="D2108" s="0" t="n">
        <v>0.0822</v>
      </c>
    </row>
    <row r="2109" customFormat="false" ht="15" hidden="false" customHeight="false" outlineLevel="0" collapsed="false">
      <c r="A2109" s="0" t="s">
        <v>8</v>
      </c>
      <c r="B2109" s="0" t="s">
        <v>3151</v>
      </c>
      <c r="C2109" s="0" t="s">
        <v>7191</v>
      </c>
    </row>
    <row r="2110" customFormat="false" ht="15" hidden="false" customHeight="false" outlineLevel="0" collapsed="false">
      <c r="A2110" s="0" t="s">
        <v>8</v>
      </c>
      <c r="B2110" s="0" t="s">
        <v>3151</v>
      </c>
      <c r="C2110" s="0" t="s">
        <v>7192</v>
      </c>
    </row>
    <row r="2111" customFormat="false" ht="15" hidden="false" customHeight="false" outlineLevel="0" collapsed="false">
      <c r="A2111" s="0" t="s">
        <v>8</v>
      </c>
      <c r="B2111" s="0" t="s">
        <v>3154</v>
      </c>
      <c r="C2111" s="0" t="s">
        <v>7190</v>
      </c>
      <c r="D2111" s="0" t="n">
        <v>0.4685</v>
      </c>
    </row>
    <row r="2112" customFormat="false" ht="15" hidden="false" customHeight="false" outlineLevel="0" collapsed="false">
      <c r="A2112" s="0" t="s">
        <v>8</v>
      </c>
      <c r="B2112" s="0" t="s">
        <v>3154</v>
      </c>
      <c r="C2112" s="0" t="s">
        <v>7191</v>
      </c>
    </row>
    <row r="2113" customFormat="false" ht="15" hidden="false" customHeight="false" outlineLevel="0" collapsed="false">
      <c r="A2113" s="0" t="s">
        <v>8</v>
      </c>
      <c r="B2113" s="0" t="s">
        <v>3154</v>
      </c>
      <c r="C2113" s="0" t="s">
        <v>7192</v>
      </c>
    </row>
    <row r="2114" customFormat="false" ht="15" hidden="false" customHeight="false" outlineLevel="0" collapsed="false">
      <c r="A2114" s="0" t="s">
        <v>8</v>
      </c>
      <c r="B2114" s="0" t="s">
        <v>3157</v>
      </c>
      <c r="C2114" s="0" t="s">
        <v>7190</v>
      </c>
      <c r="D2114" s="0" t="n">
        <v>0.1292</v>
      </c>
    </row>
    <row r="2115" customFormat="false" ht="15" hidden="false" customHeight="false" outlineLevel="0" collapsed="false">
      <c r="A2115" s="0" t="s">
        <v>8</v>
      </c>
      <c r="B2115" s="0" t="s">
        <v>3157</v>
      </c>
      <c r="C2115" s="0" t="s">
        <v>7191</v>
      </c>
    </row>
    <row r="2116" customFormat="false" ht="15" hidden="false" customHeight="false" outlineLevel="0" collapsed="false">
      <c r="A2116" s="0" t="s">
        <v>8</v>
      </c>
      <c r="B2116" s="0" t="s">
        <v>3157</v>
      </c>
      <c r="C2116" s="0" t="s">
        <v>7192</v>
      </c>
    </row>
    <row r="2117" customFormat="false" ht="15" hidden="false" customHeight="false" outlineLevel="0" collapsed="false">
      <c r="A2117" s="0" t="s">
        <v>8</v>
      </c>
      <c r="B2117" s="0" t="s">
        <v>3160</v>
      </c>
      <c r="C2117" s="0" t="s">
        <v>7190</v>
      </c>
      <c r="D2117" s="0" t="n">
        <v>0.2922</v>
      </c>
    </row>
    <row r="2118" customFormat="false" ht="15" hidden="false" customHeight="false" outlineLevel="0" collapsed="false">
      <c r="A2118" s="0" t="s">
        <v>8</v>
      </c>
      <c r="B2118" s="0" t="s">
        <v>3160</v>
      </c>
      <c r="C2118" s="0" t="s">
        <v>7191</v>
      </c>
    </row>
    <row r="2119" customFormat="false" ht="15" hidden="false" customHeight="false" outlineLevel="0" collapsed="false">
      <c r="A2119" s="0" t="s">
        <v>8</v>
      </c>
      <c r="B2119" s="0" t="s">
        <v>3160</v>
      </c>
      <c r="C2119" s="0" t="s">
        <v>7192</v>
      </c>
    </row>
    <row r="2120" customFormat="false" ht="15" hidden="false" customHeight="false" outlineLevel="0" collapsed="false">
      <c r="A2120" s="0" t="s">
        <v>8</v>
      </c>
      <c r="B2120" s="0" t="s">
        <v>3163</v>
      </c>
      <c r="C2120" s="0" t="s">
        <v>7190</v>
      </c>
      <c r="D2120" s="0" t="n">
        <v>53.6</v>
      </c>
    </row>
    <row r="2121" customFormat="false" ht="15" hidden="false" customHeight="false" outlineLevel="0" collapsed="false">
      <c r="A2121" s="0" t="s">
        <v>8</v>
      </c>
      <c r="B2121" s="0" t="s">
        <v>3163</v>
      </c>
      <c r="C2121" s="0" t="s">
        <v>7191</v>
      </c>
    </row>
    <row r="2122" customFormat="false" ht="15" hidden="false" customHeight="false" outlineLevel="0" collapsed="false">
      <c r="A2122" s="0" t="s">
        <v>8</v>
      </c>
      <c r="B2122" s="0" t="s">
        <v>3163</v>
      </c>
      <c r="C2122" s="0" t="s">
        <v>7192</v>
      </c>
    </row>
    <row r="2123" customFormat="false" ht="15" hidden="false" customHeight="false" outlineLevel="0" collapsed="false">
      <c r="A2123" s="0" t="s">
        <v>8</v>
      </c>
      <c r="B2123" s="0" t="s">
        <v>3167</v>
      </c>
      <c r="C2123" s="0" t="s">
        <v>7190</v>
      </c>
      <c r="D2123" s="0" t="n">
        <v>76.1</v>
      </c>
    </row>
    <row r="2124" customFormat="false" ht="15" hidden="false" customHeight="false" outlineLevel="0" collapsed="false">
      <c r="A2124" s="0" t="s">
        <v>8</v>
      </c>
      <c r="B2124" s="0" t="s">
        <v>3167</v>
      </c>
      <c r="C2124" s="0" t="s">
        <v>7191</v>
      </c>
    </row>
    <row r="2125" customFormat="false" ht="15" hidden="false" customHeight="false" outlineLevel="0" collapsed="false">
      <c r="A2125" s="0" t="s">
        <v>8</v>
      </c>
      <c r="B2125" s="0" t="s">
        <v>3167</v>
      </c>
      <c r="C2125" s="0" t="s">
        <v>7192</v>
      </c>
    </row>
    <row r="2126" customFormat="false" ht="15" hidden="false" customHeight="false" outlineLevel="0" collapsed="false">
      <c r="A2126" s="0" t="s">
        <v>8</v>
      </c>
      <c r="B2126" s="0" t="s">
        <v>3170</v>
      </c>
      <c r="C2126" s="0" t="s">
        <v>7190</v>
      </c>
      <c r="D2126" s="0" t="n">
        <v>68.2</v>
      </c>
    </row>
    <row r="2127" customFormat="false" ht="15" hidden="false" customHeight="false" outlineLevel="0" collapsed="false">
      <c r="A2127" s="0" t="s">
        <v>8</v>
      </c>
      <c r="B2127" s="0" t="s">
        <v>3170</v>
      </c>
      <c r="C2127" s="0" t="s">
        <v>7191</v>
      </c>
    </row>
    <row r="2128" customFormat="false" ht="15" hidden="false" customHeight="false" outlineLevel="0" collapsed="false">
      <c r="A2128" s="0" t="s">
        <v>8</v>
      </c>
      <c r="B2128" s="0" t="s">
        <v>3170</v>
      </c>
      <c r="C2128" s="0" t="s">
        <v>7192</v>
      </c>
    </row>
    <row r="2129" customFormat="false" ht="15" hidden="false" customHeight="false" outlineLevel="0" collapsed="false">
      <c r="A2129" s="0" t="s">
        <v>8</v>
      </c>
      <c r="B2129" s="0" t="s">
        <v>3172</v>
      </c>
      <c r="C2129" s="0" t="s">
        <v>7190</v>
      </c>
      <c r="D2129" s="0" t="n">
        <v>31</v>
      </c>
    </row>
    <row r="2130" customFormat="false" ht="15" hidden="false" customHeight="false" outlineLevel="0" collapsed="false">
      <c r="A2130" s="0" t="s">
        <v>8</v>
      </c>
      <c r="B2130" s="0" t="s">
        <v>3172</v>
      </c>
      <c r="C2130" s="0" t="s">
        <v>7191</v>
      </c>
    </row>
    <row r="2131" customFormat="false" ht="15" hidden="false" customHeight="false" outlineLevel="0" collapsed="false">
      <c r="A2131" s="0" t="s">
        <v>8</v>
      </c>
      <c r="B2131" s="0" t="s">
        <v>3172</v>
      </c>
      <c r="C2131" s="0" t="s">
        <v>7192</v>
      </c>
    </row>
    <row r="2132" customFormat="false" ht="15" hidden="false" customHeight="false" outlineLevel="0" collapsed="false">
      <c r="A2132" s="0" t="s">
        <v>8</v>
      </c>
      <c r="B2132" s="0" t="s">
        <v>3174</v>
      </c>
      <c r="C2132" s="0" t="s">
        <v>7190</v>
      </c>
      <c r="D2132" s="0" t="n">
        <v>66</v>
      </c>
    </row>
    <row r="2133" customFormat="false" ht="15" hidden="false" customHeight="false" outlineLevel="0" collapsed="false">
      <c r="A2133" s="0" t="s">
        <v>8</v>
      </c>
      <c r="B2133" s="0" t="s">
        <v>3174</v>
      </c>
      <c r="C2133" s="0" t="s">
        <v>7191</v>
      </c>
    </row>
    <row r="2134" customFormat="false" ht="15" hidden="false" customHeight="false" outlineLevel="0" collapsed="false">
      <c r="A2134" s="0" t="s">
        <v>8</v>
      </c>
      <c r="B2134" s="0" t="s">
        <v>3174</v>
      </c>
      <c r="C2134" s="0" t="s">
        <v>7192</v>
      </c>
    </row>
    <row r="2135" customFormat="false" ht="15" hidden="false" customHeight="false" outlineLevel="0" collapsed="false">
      <c r="A2135" s="0" t="s">
        <v>8</v>
      </c>
      <c r="B2135" s="0" t="s">
        <v>3176</v>
      </c>
      <c r="C2135" s="0" t="s">
        <v>7190</v>
      </c>
      <c r="D2135" s="0" t="n">
        <v>3.4</v>
      </c>
    </row>
    <row r="2136" customFormat="false" ht="15" hidden="false" customHeight="false" outlineLevel="0" collapsed="false">
      <c r="A2136" s="0" t="s">
        <v>8</v>
      </c>
      <c r="B2136" s="0" t="s">
        <v>3176</v>
      </c>
      <c r="C2136" s="0" t="s">
        <v>7191</v>
      </c>
    </row>
    <row r="2137" customFormat="false" ht="15" hidden="false" customHeight="false" outlineLevel="0" collapsed="false">
      <c r="A2137" s="0" t="s">
        <v>8</v>
      </c>
      <c r="B2137" s="0" t="s">
        <v>3176</v>
      </c>
      <c r="C2137" s="0" t="s">
        <v>7192</v>
      </c>
    </row>
    <row r="2138" customFormat="false" ht="15" hidden="false" customHeight="false" outlineLevel="0" collapsed="false">
      <c r="A2138" s="0" t="s">
        <v>8</v>
      </c>
      <c r="B2138" s="0" t="s">
        <v>3178</v>
      </c>
      <c r="C2138" s="0" t="s">
        <v>7190</v>
      </c>
      <c r="D2138" s="0" t="n">
        <v>62.6</v>
      </c>
    </row>
    <row r="2139" customFormat="false" ht="15" hidden="false" customHeight="false" outlineLevel="0" collapsed="false">
      <c r="A2139" s="0" t="s">
        <v>8</v>
      </c>
      <c r="B2139" s="0" t="s">
        <v>3178</v>
      </c>
      <c r="C2139" s="0" t="s">
        <v>7191</v>
      </c>
    </row>
    <row r="2140" customFormat="false" ht="15" hidden="false" customHeight="false" outlineLevel="0" collapsed="false">
      <c r="A2140" s="0" t="s">
        <v>8</v>
      </c>
      <c r="B2140" s="0" t="s">
        <v>3178</v>
      </c>
      <c r="C2140" s="0" t="s">
        <v>7192</v>
      </c>
    </row>
    <row r="2141" customFormat="false" ht="15" hidden="false" customHeight="false" outlineLevel="0" collapsed="false">
      <c r="A2141" s="0" t="s">
        <v>8</v>
      </c>
      <c r="B2141" s="0" t="s">
        <v>3180</v>
      </c>
      <c r="C2141" s="0" t="s">
        <v>7190</v>
      </c>
      <c r="D2141" s="0" t="n">
        <v>28.6</v>
      </c>
    </row>
    <row r="2142" customFormat="false" ht="15" hidden="false" customHeight="false" outlineLevel="0" collapsed="false">
      <c r="A2142" s="0" t="s">
        <v>8</v>
      </c>
      <c r="B2142" s="0" t="s">
        <v>3180</v>
      </c>
      <c r="C2142" s="0" t="s">
        <v>7191</v>
      </c>
    </row>
    <row r="2143" customFormat="false" ht="15" hidden="false" customHeight="false" outlineLevel="0" collapsed="false">
      <c r="A2143" s="0" t="s">
        <v>8</v>
      </c>
      <c r="B2143" s="0" t="s">
        <v>3180</v>
      </c>
      <c r="C2143" s="0" t="s">
        <v>7192</v>
      </c>
    </row>
    <row r="2144" customFormat="false" ht="15" hidden="false" customHeight="false" outlineLevel="0" collapsed="false">
      <c r="A2144" s="0" t="s">
        <v>8</v>
      </c>
      <c r="B2144" s="0" t="s">
        <v>3182</v>
      </c>
      <c r="C2144" s="0" t="s">
        <v>7190</v>
      </c>
      <c r="D2144" s="0" t="n">
        <v>59.1</v>
      </c>
    </row>
    <row r="2145" customFormat="false" ht="15" hidden="false" customHeight="false" outlineLevel="0" collapsed="false">
      <c r="A2145" s="0" t="s">
        <v>8</v>
      </c>
      <c r="B2145" s="0" t="s">
        <v>3182</v>
      </c>
      <c r="C2145" s="0" t="s">
        <v>7191</v>
      </c>
    </row>
    <row r="2146" customFormat="false" ht="15" hidden="false" customHeight="false" outlineLevel="0" collapsed="false">
      <c r="A2146" s="0" t="s">
        <v>8</v>
      </c>
      <c r="B2146" s="0" t="s">
        <v>3182</v>
      </c>
      <c r="C2146" s="0" t="s">
        <v>7192</v>
      </c>
    </row>
    <row r="2147" customFormat="false" ht="15" hidden="false" customHeight="false" outlineLevel="0" collapsed="false">
      <c r="A2147" s="0" t="s">
        <v>8</v>
      </c>
      <c r="B2147" s="0" t="s">
        <v>3184</v>
      </c>
      <c r="C2147" s="0" t="s">
        <v>7190</v>
      </c>
      <c r="D2147" s="0" t="n">
        <v>-0.4</v>
      </c>
    </row>
    <row r="2148" customFormat="false" ht="15" hidden="false" customHeight="false" outlineLevel="0" collapsed="false">
      <c r="A2148" s="0" t="s">
        <v>8</v>
      </c>
      <c r="B2148" s="0" t="s">
        <v>3184</v>
      </c>
      <c r="C2148" s="0" t="s">
        <v>7191</v>
      </c>
    </row>
    <row r="2149" customFormat="false" ht="15" hidden="false" customHeight="false" outlineLevel="0" collapsed="false">
      <c r="A2149" s="0" t="s">
        <v>8</v>
      </c>
      <c r="B2149" s="0" t="s">
        <v>3184</v>
      </c>
      <c r="C2149" s="0" t="s">
        <v>7192</v>
      </c>
    </row>
    <row r="2150" customFormat="false" ht="15" hidden="false" customHeight="false" outlineLevel="0" collapsed="false">
      <c r="A2150" s="0" t="s">
        <v>8</v>
      </c>
      <c r="B2150" s="0" t="s">
        <v>3186</v>
      </c>
      <c r="C2150" s="0" t="s">
        <v>7190</v>
      </c>
    </row>
    <row r="2151" customFormat="false" ht="15" hidden="false" customHeight="false" outlineLevel="0" collapsed="false">
      <c r="A2151" s="0" t="s">
        <v>8</v>
      </c>
      <c r="B2151" s="0" t="s">
        <v>3186</v>
      </c>
      <c r="C2151" s="0" t="s">
        <v>7191</v>
      </c>
    </row>
    <row r="2152" customFormat="false" ht="15" hidden="false" customHeight="false" outlineLevel="0" collapsed="false">
      <c r="A2152" s="0" t="s">
        <v>8</v>
      </c>
      <c r="B2152" s="0" t="s">
        <v>3186</v>
      </c>
      <c r="C2152" s="0" t="s">
        <v>7192</v>
      </c>
    </row>
    <row r="2153" customFormat="false" ht="15" hidden="false" customHeight="false" outlineLevel="0" collapsed="false">
      <c r="A2153" s="0" t="s">
        <v>8</v>
      </c>
      <c r="B2153" s="0" t="s">
        <v>3191</v>
      </c>
      <c r="C2153" s="0" t="s">
        <v>7190</v>
      </c>
      <c r="D2153" s="0" t="n">
        <v>0</v>
      </c>
    </row>
    <row r="2154" customFormat="false" ht="15" hidden="false" customHeight="false" outlineLevel="0" collapsed="false">
      <c r="A2154" s="0" t="s">
        <v>8</v>
      </c>
      <c r="B2154" s="0" t="s">
        <v>3191</v>
      </c>
      <c r="C2154" s="0" t="s">
        <v>7191</v>
      </c>
    </row>
    <row r="2155" customFormat="false" ht="15" hidden="false" customHeight="false" outlineLevel="0" collapsed="false">
      <c r="A2155" s="0" t="s">
        <v>8</v>
      </c>
      <c r="B2155" s="0" t="s">
        <v>3191</v>
      </c>
      <c r="C2155" s="0" t="s">
        <v>7192</v>
      </c>
    </row>
    <row r="2156" customFormat="false" ht="15" hidden="false" customHeight="false" outlineLevel="0" collapsed="false">
      <c r="A2156" s="0" t="s">
        <v>8</v>
      </c>
      <c r="B2156" s="0" t="s">
        <v>3196</v>
      </c>
      <c r="C2156" s="0" t="s">
        <v>7190</v>
      </c>
      <c r="D2156" s="0" t="n">
        <v>0.0185</v>
      </c>
    </row>
    <row r="2157" customFormat="false" ht="15" hidden="false" customHeight="false" outlineLevel="0" collapsed="false">
      <c r="A2157" s="0" t="s">
        <v>8</v>
      </c>
      <c r="B2157" s="0" t="s">
        <v>3196</v>
      </c>
      <c r="C2157" s="0" t="s">
        <v>7191</v>
      </c>
    </row>
    <row r="2158" customFormat="false" ht="15" hidden="false" customHeight="false" outlineLevel="0" collapsed="false">
      <c r="A2158" s="0" t="s">
        <v>8</v>
      </c>
      <c r="B2158" s="0" t="s">
        <v>3196</v>
      </c>
      <c r="C2158" s="0" t="s">
        <v>7192</v>
      </c>
    </row>
    <row r="2159" customFormat="false" ht="15" hidden="false" customHeight="false" outlineLevel="0" collapsed="false">
      <c r="A2159" s="0" t="s">
        <v>8</v>
      </c>
      <c r="B2159" s="0" t="s">
        <v>3199</v>
      </c>
      <c r="C2159" s="0" t="s">
        <v>7190</v>
      </c>
      <c r="D2159" s="0" t="n">
        <v>0.1284</v>
      </c>
    </row>
    <row r="2160" customFormat="false" ht="15" hidden="false" customHeight="false" outlineLevel="0" collapsed="false">
      <c r="A2160" s="0" t="s">
        <v>8</v>
      </c>
      <c r="B2160" s="0" t="s">
        <v>3199</v>
      </c>
      <c r="C2160" s="0" t="s">
        <v>7191</v>
      </c>
    </row>
    <row r="2161" customFormat="false" ht="15" hidden="false" customHeight="false" outlineLevel="0" collapsed="false">
      <c r="A2161" s="0" t="s">
        <v>8</v>
      </c>
      <c r="B2161" s="0" t="s">
        <v>3199</v>
      </c>
      <c r="C2161" s="0" t="s">
        <v>7192</v>
      </c>
    </row>
    <row r="2162" customFormat="false" ht="15" hidden="false" customHeight="false" outlineLevel="0" collapsed="false">
      <c r="A2162" s="0" t="s">
        <v>8</v>
      </c>
      <c r="B2162" s="0" t="s">
        <v>3202</v>
      </c>
      <c r="C2162" s="0" t="s">
        <v>7190</v>
      </c>
      <c r="D2162" s="0" t="n">
        <v>0.0229</v>
      </c>
    </row>
    <row r="2163" customFormat="false" ht="15" hidden="false" customHeight="false" outlineLevel="0" collapsed="false">
      <c r="A2163" s="0" t="s">
        <v>8</v>
      </c>
      <c r="B2163" s="0" t="s">
        <v>3202</v>
      </c>
      <c r="C2163" s="0" t="s">
        <v>7191</v>
      </c>
    </row>
    <row r="2164" customFormat="false" ht="15" hidden="false" customHeight="false" outlineLevel="0" collapsed="false">
      <c r="A2164" s="0" t="s">
        <v>8</v>
      </c>
      <c r="B2164" s="0" t="s">
        <v>3202</v>
      </c>
      <c r="C2164" s="0" t="s">
        <v>7192</v>
      </c>
    </row>
    <row r="2165" customFormat="false" ht="15" hidden="false" customHeight="false" outlineLevel="0" collapsed="false">
      <c r="A2165" s="0" t="s">
        <v>8</v>
      </c>
      <c r="B2165" s="0" t="s">
        <v>3205</v>
      </c>
      <c r="C2165" s="0" t="s">
        <v>7190</v>
      </c>
      <c r="D2165" s="0" t="n">
        <v>0.2056</v>
      </c>
    </row>
    <row r="2166" customFormat="false" ht="15" hidden="false" customHeight="false" outlineLevel="0" collapsed="false">
      <c r="A2166" s="0" t="s">
        <v>8</v>
      </c>
      <c r="B2166" s="0" t="s">
        <v>3205</v>
      </c>
      <c r="C2166" s="0" t="s">
        <v>7191</v>
      </c>
    </row>
    <row r="2167" customFormat="false" ht="15" hidden="false" customHeight="false" outlineLevel="0" collapsed="false">
      <c r="A2167" s="0" t="s">
        <v>8</v>
      </c>
      <c r="B2167" s="0" t="s">
        <v>3205</v>
      </c>
      <c r="C2167" s="0" t="s">
        <v>7192</v>
      </c>
    </row>
    <row r="2168" customFormat="false" ht="15" hidden="false" customHeight="false" outlineLevel="0" collapsed="false">
      <c r="A2168" s="0" t="s">
        <v>8</v>
      </c>
      <c r="B2168" s="0" t="s">
        <v>3208</v>
      </c>
      <c r="C2168" s="0" t="s">
        <v>7190</v>
      </c>
      <c r="D2168" s="0" t="n">
        <v>0.1138</v>
      </c>
    </row>
    <row r="2169" customFormat="false" ht="15" hidden="false" customHeight="false" outlineLevel="0" collapsed="false">
      <c r="A2169" s="0" t="s">
        <v>8</v>
      </c>
      <c r="B2169" s="0" t="s">
        <v>3208</v>
      </c>
      <c r="C2169" s="0" t="s">
        <v>7191</v>
      </c>
    </row>
    <row r="2170" customFormat="false" ht="15" hidden="false" customHeight="false" outlineLevel="0" collapsed="false">
      <c r="A2170" s="0" t="s">
        <v>8</v>
      </c>
      <c r="B2170" s="0" t="s">
        <v>3208</v>
      </c>
      <c r="C2170" s="0" t="s">
        <v>7192</v>
      </c>
    </row>
    <row r="2171" customFormat="false" ht="15" hidden="false" customHeight="false" outlineLevel="0" collapsed="false">
      <c r="A2171" s="0" t="s">
        <v>8</v>
      </c>
      <c r="B2171" s="0" t="s">
        <v>3212</v>
      </c>
      <c r="C2171" s="0" t="s">
        <v>7190</v>
      </c>
      <c r="D2171" s="0" t="n">
        <v>0.3033</v>
      </c>
    </row>
    <row r="2172" customFormat="false" ht="15" hidden="false" customHeight="false" outlineLevel="0" collapsed="false">
      <c r="A2172" s="0" t="s">
        <v>8</v>
      </c>
      <c r="B2172" s="0" t="s">
        <v>3212</v>
      </c>
      <c r="C2172" s="0" t="s">
        <v>7191</v>
      </c>
    </row>
    <row r="2173" customFormat="false" ht="15" hidden="false" customHeight="false" outlineLevel="0" collapsed="false">
      <c r="A2173" s="0" t="s">
        <v>8</v>
      </c>
      <c r="B2173" s="0" t="s">
        <v>3212</v>
      </c>
      <c r="C2173" s="0" t="s">
        <v>7192</v>
      </c>
    </row>
    <row r="2174" customFormat="false" ht="15" hidden="false" customHeight="false" outlineLevel="0" collapsed="false">
      <c r="A2174" s="0" t="s">
        <v>8</v>
      </c>
      <c r="B2174" s="0" t="s">
        <v>3215</v>
      </c>
      <c r="C2174" s="0" t="s">
        <v>7190</v>
      </c>
      <c r="D2174" s="0" t="n">
        <v>0.9369</v>
      </c>
    </row>
    <row r="2175" customFormat="false" ht="15" hidden="false" customHeight="false" outlineLevel="0" collapsed="false">
      <c r="A2175" s="0" t="s">
        <v>8</v>
      </c>
      <c r="B2175" s="0" t="s">
        <v>3215</v>
      </c>
      <c r="C2175" s="0" t="s">
        <v>7191</v>
      </c>
    </row>
    <row r="2176" customFormat="false" ht="15" hidden="false" customHeight="false" outlineLevel="0" collapsed="false">
      <c r="A2176" s="0" t="s">
        <v>8</v>
      </c>
      <c r="B2176" s="0" t="s">
        <v>3215</v>
      </c>
      <c r="C2176" s="0" t="s">
        <v>7192</v>
      </c>
    </row>
    <row r="2177" customFormat="false" ht="15" hidden="false" customHeight="false" outlineLevel="0" collapsed="false">
      <c r="A2177" s="0" t="s">
        <v>8</v>
      </c>
      <c r="B2177" s="0" t="s">
        <v>3218</v>
      </c>
      <c r="C2177" s="0" t="s">
        <v>7190</v>
      </c>
      <c r="D2177" s="0" t="n">
        <v>0.4449</v>
      </c>
    </row>
    <row r="2178" customFormat="false" ht="15" hidden="false" customHeight="false" outlineLevel="0" collapsed="false">
      <c r="A2178" s="0" t="s">
        <v>8</v>
      </c>
      <c r="B2178" s="0" t="s">
        <v>3218</v>
      </c>
      <c r="C2178" s="0" t="s">
        <v>7191</v>
      </c>
    </row>
    <row r="2179" customFormat="false" ht="15" hidden="false" customHeight="false" outlineLevel="0" collapsed="false">
      <c r="A2179" s="0" t="s">
        <v>8</v>
      </c>
      <c r="B2179" s="0" t="s">
        <v>3218</v>
      </c>
      <c r="C2179" s="0" t="s">
        <v>7192</v>
      </c>
    </row>
    <row r="2180" customFormat="false" ht="15" hidden="false" customHeight="false" outlineLevel="0" collapsed="false">
      <c r="A2180" s="0" t="s">
        <v>8</v>
      </c>
      <c r="B2180" s="0" t="s">
        <v>3221</v>
      </c>
      <c r="C2180" s="0" t="s">
        <v>7190</v>
      </c>
      <c r="D2180" s="0" t="n">
        <v>0.7174</v>
      </c>
    </row>
    <row r="2181" customFormat="false" ht="15" hidden="false" customHeight="false" outlineLevel="0" collapsed="false">
      <c r="A2181" s="0" t="s">
        <v>8</v>
      </c>
      <c r="B2181" s="0" t="s">
        <v>3221</v>
      </c>
      <c r="C2181" s="0" t="s">
        <v>7191</v>
      </c>
    </row>
    <row r="2182" customFormat="false" ht="15" hidden="false" customHeight="false" outlineLevel="0" collapsed="false">
      <c r="A2182" s="0" t="s">
        <v>8</v>
      </c>
      <c r="B2182" s="0" t="s">
        <v>3221</v>
      </c>
      <c r="C2182" s="0" t="s">
        <v>7192</v>
      </c>
    </row>
    <row r="2183" customFormat="false" ht="15" hidden="false" customHeight="false" outlineLevel="0" collapsed="false">
      <c r="A2183" s="0" t="s">
        <v>8</v>
      </c>
      <c r="B2183" s="0" t="s">
        <v>3224</v>
      </c>
      <c r="C2183" s="0" t="s">
        <v>7190</v>
      </c>
      <c r="D2183" s="0" t="n">
        <v>0.0117</v>
      </c>
    </row>
    <row r="2184" customFormat="false" ht="15" hidden="false" customHeight="false" outlineLevel="0" collapsed="false">
      <c r="A2184" s="0" t="s">
        <v>8</v>
      </c>
      <c r="B2184" s="0" t="s">
        <v>3224</v>
      </c>
      <c r="C2184" s="0" t="s">
        <v>7191</v>
      </c>
    </row>
    <row r="2185" customFormat="false" ht="15" hidden="false" customHeight="false" outlineLevel="0" collapsed="false">
      <c r="A2185" s="0" t="s">
        <v>8</v>
      </c>
      <c r="B2185" s="0" t="s">
        <v>3224</v>
      </c>
      <c r="C2185" s="0" t="s">
        <v>7192</v>
      </c>
    </row>
    <row r="2186" customFormat="false" ht="15" hidden="false" customHeight="false" outlineLevel="0" collapsed="false">
      <c r="A2186" s="0" t="s">
        <v>8</v>
      </c>
      <c r="B2186" s="0" t="s">
        <v>3228</v>
      </c>
      <c r="C2186" s="0" t="s">
        <v>7190</v>
      </c>
      <c r="D2186" s="0" t="n">
        <v>0.5487</v>
      </c>
    </row>
    <row r="2187" customFormat="false" ht="15" hidden="false" customHeight="false" outlineLevel="0" collapsed="false">
      <c r="A2187" s="0" t="s">
        <v>8</v>
      </c>
      <c r="B2187" s="0" t="s">
        <v>3228</v>
      </c>
      <c r="C2187" s="0" t="s">
        <v>7191</v>
      </c>
    </row>
    <row r="2188" customFormat="false" ht="15" hidden="false" customHeight="false" outlineLevel="0" collapsed="false">
      <c r="A2188" s="0" t="s">
        <v>8</v>
      </c>
      <c r="B2188" s="0" t="s">
        <v>3228</v>
      </c>
      <c r="C2188" s="0" t="s">
        <v>7192</v>
      </c>
    </row>
    <row r="2189" customFormat="false" ht="15" hidden="false" customHeight="false" outlineLevel="0" collapsed="false">
      <c r="A2189" s="0" t="s">
        <v>8</v>
      </c>
      <c r="B2189" s="0" t="s">
        <v>3231</v>
      </c>
      <c r="C2189" s="0" t="s">
        <v>7190</v>
      </c>
      <c r="D2189" s="0" t="n">
        <v>2.3745</v>
      </c>
    </row>
    <row r="2190" customFormat="false" ht="15" hidden="false" customHeight="false" outlineLevel="0" collapsed="false">
      <c r="A2190" s="0" t="s">
        <v>8</v>
      </c>
      <c r="B2190" s="0" t="s">
        <v>3231</v>
      </c>
      <c r="C2190" s="0" t="s">
        <v>7191</v>
      </c>
    </row>
    <row r="2191" customFormat="false" ht="15" hidden="false" customHeight="false" outlineLevel="0" collapsed="false">
      <c r="A2191" s="0" t="s">
        <v>8</v>
      </c>
      <c r="B2191" s="0" t="s">
        <v>3231</v>
      </c>
      <c r="C2191" s="0" t="s">
        <v>7192</v>
      </c>
    </row>
    <row r="2192" customFormat="false" ht="15" hidden="false" customHeight="false" outlineLevel="0" collapsed="false">
      <c r="A2192" s="0" t="s">
        <v>8</v>
      </c>
      <c r="B2192" s="0" t="s">
        <v>3234</v>
      </c>
      <c r="C2192" s="0" t="s">
        <v>7190</v>
      </c>
      <c r="D2192" s="0" t="n">
        <v>0.8071</v>
      </c>
    </row>
    <row r="2193" customFormat="false" ht="15" hidden="false" customHeight="false" outlineLevel="0" collapsed="false">
      <c r="A2193" s="0" t="s">
        <v>8</v>
      </c>
      <c r="B2193" s="0" t="s">
        <v>3234</v>
      </c>
      <c r="C2193" s="0" t="s">
        <v>7191</v>
      </c>
    </row>
    <row r="2194" customFormat="false" ht="15" hidden="false" customHeight="false" outlineLevel="0" collapsed="false">
      <c r="A2194" s="0" t="s">
        <v>8</v>
      </c>
      <c r="B2194" s="0" t="s">
        <v>3234</v>
      </c>
      <c r="C2194" s="0" t="s">
        <v>7192</v>
      </c>
    </row>
    <row r="2195" customFormat="false" ht="15" hidden="false" customHeight="false" outlineLevel="0" collapsed="false">
      <c r="A2195" s="0" t="s">
        <v>8</v>
      </c>
      <c r="B2195" s="0" t="s">
        <v>3237</v>
      </c>
      <c r="C2195" s="0" t="s">
        <v>7190</v>
      </c>
      <c r="D2195" s="0" t="n">
        <v>0.9567</v>
      </c>
    </row>
    <row r="2196" customFormat="false" ht="15" hidden="false" customHeight="false" outlineLevel="0" collapsed="false">
      <c r="A2196" s="0" t="s">
        <v>8</v>
      </c>
      <c r="B2196" s="0" t="s">
        <v>3237</v>
      </c>
      <c r="C2196" s="0" t="s">
        <v>7191</v>
      </c>
    </row>
    <row r="2197" customFormat="false" ht="15" hidden="false" customHeight="false" outlineLevel="0" collapsed="false">
      <c r="A2197" s="0" t="s">
        <v>8</v>
      </c>
      <c r="B2197" s="0" t="s">
        <v>3237</v>
      </c>
      <c r="C2197" s="0" t="s">
        <v>7192</v>
      </c>
    </row>
    <row r="2198" customFormat="false" ht="15" hidden="false" customHeight="false" outlineLevel="0" collapsed="false">
      <c r="A2198" s="0" t="s">
        <v>8</v>
      </c>
      <c r="B2198" s="0" t="s">
        <v>3240</v>
      </c>
      <c r="C2198" s="0" t="s">
        <v>7190</v>
      </c>
      <c r="D2198" s="0" t="n">
        <v>0.2092</v>
      </c>
    </row>
    <row r="2199" customFormat="false" ht="15" hidden="false" customHeight="false" outlineLevel="0" collapsed="false">
      <c r="A2199" s="0" t="s">
        <v>8</v>
      </c>
      <c r="B2199" s="0" t="s">
        <v>3240</v>
      </c>
      <c r="C2199" s="0" t="s">
        <v>7191</v>
      </c>
    </row>
    <row r="2200" customFormat="false" ht="15" hidden="false" customHeight="false" outlineLevel="0" collapsed="false">
      <c r="A2200" s="0" t="s">
        <v>8</v>
      </c>
      <c r="B2200" s="0" t="s">
        <v>3240</v>
      </c>
      <c r="C2200" s="0" t="s">
        <v>7192</v>
      </c>
    </row>
    <row r="2201" customFormat="false" ht="15" hidden="false" customHeight="false" outlineLevel="0" collapsed="false">
      <c r="A2201" s="0" t="s">
        <v>8</v>
      </c>
      <c r="B2201" s="0" t="s">
        <v>3244</v>
      </c>
      <c r="C2201" s="0" t="s">
        <v>7190</v>
      </c>
      <c r="D2201" s="0" t="n">
        <v>0.3396</v>
      </c>
    </row>
    <row r="2202" customFormat="false" ht="15" hidden="false" customHeight="false" outlineLevel="0" collapsed="false">
      <c r="A2202" s="0" t="s">
        <v>8</v>
      </c>
      <c r="B2202" s="0" t="s">
        <v>3244</v>
      </c>
      <c r="C2202" s="0" t="s">
        <v>7191</v>
      </c>
    </row>
    <row r="2203" customFormat="false" ht="15" hidden="false" customHeight="false" outlineLevel="0" collapsed="false">
      <c r="A2203" s="0" t="s">
        <v>8</v>
      </c>
      <c r="B2203" s="0" t="s">
        <v>3244</v>
      </c>
      <c r="C2203" s="0" t="s">
        <v>7192</v>
      </c>
    </row>
    <row r="2204" customFormat="false" ht="15" hidden="false" customHeight="false" outlineLevel="0" collapsed="false">
      <c r="A2204" s="0" t="s">
        <v>8</v>
      </c>
      <c r="B2204" s="0" t="s">
        <v>3247</v>
      </c>
      <c r="C2204" s="0" t="s">
        <v>7190</v>
      </c>
      <c r="D2204" s="0" t="n">
        <v>0.7837</v>
      </c>
    </row>
    <row r="2205" customFormat="false" ht="15" hidden="false" customHeight="false" outlineLevel="0" collapsed="false">
      <c r="A2205" s="0" t="s">
        <v>8</v>
      </c>
      <c r="B2205" s="0" t="s">
        <v>3247</v>
      </c>
      <c r="C2205" s="0" t="s">
        <v>7191</v>
      </c>
    </row>
    <row r="2206" customFormat="false" ht="15" hidden="false" customHeight="false" outlineLevel="0" collapsed="false">
      <c r="A2206" s="0" t="s">
        <v>8</v>
      </c>
      <c r="B2206" s="0" t="s">
        <v>3247</v>
      </c>
      <c r="C2206" s="0" t="s">
        <v>7192</v>
      </c>
    </row>
    <row r="2207" customFormat="false" ht="15" hidden="false" customHeight="false" outlineLevel="0" collapsed="false">
      <c r="A2207" s="0" t="s">
        <v>8</v>
      </c>
      <c r="B2207" s="0" t="s">
        <v>3250</v>
      </c>
      <c r="C2207" s="0" t="s">
        <v>7190</v>
      </c>
      <c r="D2207" s="0" t="n">
        <v>0.2904</v>
      </c>
    </row>
    <row r="2208" customFormat="false" ht="15" hidden="false" customHeight="false" outlineLevel="0" collapsed="false">
      <c r="A2208" s="0" t="s">
        <v>8</v>
      </c>
      <c r="B2208" s="0" t="s">
        <v>3250</v>
      </c>
      <c r="C2208" s="0" t="s">
        <v>7191</v>
      </c>
    </row>
    <row r="2209" customFormat="false" ht="15" hidden="false" customHeight="false" outlineLevel="0" collapsed="false">
      <c r="A2209" s="0" t="s">
        <v>8</v>
      </c>
      <c r="B2209" s="0" t="s">
        <v>3250</v>
      </c>
      <c r="C2209" s="0" t="s">
        <v>7192</v>
      </c>
    </row>
    <row r="2210" customFormat="false" ht="15" hidden="false" customHeight="false" outlineLevel="0" collapsed="false">
      <c r="A2210" s="0" t="s">
        <v>8</v>
      </c>
      <c r="B2210" s="0" t="s">
        <v>3253</v>
      </c>
      <c r="C2210" s="0" t="s">
        <v>7190</v>
      </c>
      <c r="D2210" s="0" t="n">
        <v>1.2466</v>
      </c>
    </row>
    <row r="2211" customFormat="false" ht="15" hidden="false" customHeight="false" outlineLevel="0" collapsed="false">
      <c r="A2211" s="0" t="s">
        <v>8</v>
      </c>
      <c r="B2211" s="0" t="s">
        <v>3253</v>
      </c>
      <c r="C2211" s="0" t="s">
        <v>7191</v>
      </c>
    </row>
    <row r="2212" customFormat="false" ht="15" hidden="false" customHeight="false" outlineLevel="0" collapsed="false">
      <c r="A2212" s="0" t="s">
        <v>8</v>
      </c>
      <c r="B2212" s="0" t="s">
        <v>3253</v>
      </c>
      <c r="C2212" s="0" t="s">
        <v>7192</v>
      </c>
    </row>
    <row r="2213" customFormat="false" ht="15" hidden="false" customHeight="false" outlineLevel="0" collapsed="false">
      <c r="A2213" s="0" t="s">
        <v>8</v>
      </c>
      <c r="B2213" s="0" t="s">
        <v>3256</v>
      </c>
      <c r="C2213" s="0" t="s">
        <v>7190</v>
      </c>
      <c r="D2213" s="0" t="n">
        <v>0.1463</v>
      </c>
    </row>
    <row r="2214" customFormat="false" ht="15" hidden="false" customHeight="false" outlineLevel="0" collapsed="false">
      <c r="A2214" s="0" t="s">
        <v>8</v>
      </c>
      <c r="B2214" s="0" t="s">
        <v>3256</v>
      </c>
      <c r="C2214" s="0" t="s">
        <v>7191</v>
      </c>
    </row>
    <row r="2215" customFormat="false" ht="15" hidden="false" customHeight="false" outlineLevel="0" collapsed="false">
      <c r="A2215" s="0" t="s">
        <v>8</v>
      </c>
      <c r="B2215" s="0" t="s">
        <v>3256</v>
      </c>
      <c r="C2215" s="0" t="s">
        <v>7192</v>
      </c>
    </row>
    <row r="2216" customFormat="false" ht="15" hidden="false" customHeight="false" outlineLevel="0" collapsed="false">
      <c r="A2216" s="0" t="s">
        <v>8</v>
      </c>
      <c r="B2216" s="0" t="s">
        <v>3262</v>
      </c>
      <c r="C2216" s="0" t="s">
        <v>7190</v>
      </c>
      <c r="D2216" s="0" t="n">
        <v>3.2559</v>
      </c>
    </row>
    <row r="2217" customFormat="false" ht="15" hidden="false" customHeight="false" outlineLevel="0" collapsed="false">
      <c r="A2217" s="0" t="s">
        <v>8</v>
      </c>
      <c r="B2217" s="0" t="s">
        <v>3262</v>
      </c>
      <c r="C2217" s="0" t="s">
        <v>7191</v>
      </c>
    </row>
    <row r="2218" customFormat="false" ht="15" hidden="false" customHeight="false" outlineLevel="0" collapsed="false">
      <c r="A2218" s="0" t="s">
        <v>8</v>
      </c>
      <c r="B2218" s="0" t="s">
        <v>3262</v>
      </c>
      <c r="C2218" s="0" t="s">
        <v>7192</v>
      </c>
    </row>
    <row r="2219" customFormat="false" ht="15" hidden="false" customHeight="false" outlineLevel="0" collapsed="false">
      <c r="A2219" s="0" t="s">
        <v>8</v>
      </c>
      <c r="B2219" s="0" t="s">
        <v>3265</v>
      </c>
      <c r="C2219" s="0" t="s">
        <v>7190</v>
      </c>
      <c r="D2219" s="0" t="n">
        <v>15.9584</v>
      </c>
    </row>
    <row r="2220" customFormat="false" ht="15" hidden="false" customHeight="false" outlineLevel="0" collapsed="false">
      <c r="A2220" s="0" t="s">
        <v>8</v>
      </c>
      <c r="B2220" s="0" t="s">
        <v>3265</v>
      </c>
      <c r="C2220" s="0" t="s">
        <v>7191</v>
      </c>
    </row>
    <row r="2221" customFormat="false" ht="15" hidden="false" customHeight="false" outlineLevel="0" collapsed="false">
      <c r="A2221" s="0" t="s">
        <v>8</v>
      </c>
      <c r="B2221" s="0" t="s">
        <v>3265</v>
      </c>
      <c r="C2221" s="0" t="s">
        <v>7192</v>
      </c>
    </row>
    <row r="2222" customFormat="false" ht="15" hidden="false" customHeight="false" outlineLevel="0" collapsed="false">
      <c r="A2222" s="0" t="s">
        <v>8</v>
      </c>
      <c r="B2222" s="0" t="s">
        <v>3268</v>
      </c>
      <c r="C2222" s="0" t="s">
        <v>7190</v>
      </c>
      <c r="D2222" s="0" t="n">
        <v>6.1398</v>
      </c>
    </row>
    <row r="2223" customFormat="false" ht="15" hidden="false" customHeight="false" outlineLevel="0" collapsed="false">
      <c r="A2223" s="0" t="s">
        <v>8</v>
      </c>
      <c r="B2223" s="0" t="s">
        <v>3268</v>
      </c>
      <c r="C2223" s="0" t="s">
        <v>7191</v>
      </c>
    </row>
    <row r="2224" customFormat="false" ht="15" hidden="false" customHeight="false" outlineLevel="0" collapsed="false">
      <c r="A2224" s="0" t="s">
        <v>8</v>
      </c>
      <c r="B2224" s="0" t="s">
        <v>3268</v>
      </c>
      <c r="C2224" s="0" t="s">
        <v>7192</v>
      </c>
    </row>
    <row r="2225" customFormat="false" ht="15" hidden="false" customHeight="false" outlineLevel="0" collapsed="false">
      <c r="A2225" s="0" t="s">
        <v>8</v>
      </c>
      <c r="B2225" s="0" t="s">
        <v>3272</v>
      </c>
      <c r="C2225" s="0" t="s">
        <v>7190</v>
      </c>
      <c r="D2225" s="0" t="n">
        <v>12.0153</v>
      </c>
    </row>
    <row r="2226" customFormat="false" ht="15" hidden="false" customHeight="false" outlineLevel="0" collapsed="false">
      <c r="A2226" s="0" t="s">
        <v>8</v>
      </c>
      <c r="B2226" s="0" t="s">
        <v>3272</v>
      </c>
      <c r="C2226" s="0" t="s">
        <v>7191</v>
      </c>
    </row>
    <row r="2227" customFormat="false" ht="15" hidden="false" customHeight="false" outlineLevel="0" collapsed="false">
      <c r="A2227" s="0" t="s">
        <v>8</v>
      </c>
      <c r="B2227" s="0" t="s">
        <v>3272</v>
      </c>
      <c r="C2227" s="0" t="s">
        <v>7192</v>
      </c>
    </row>
    <row r="2228" customFormat="false" ht="15" hidden="false" customHeight="false" outlineLevel="0" collapsed="false">
      <c r="A2228" s="0" t="s">
        <v>8</v>
      </c>
      <c r="B2228" s="0" t="s">
        <v>3275</v>
      </c>
      <c r="C2228" s="0" t="s">
        <v>7190</v>
      </c>
      <c r="D2228" s="0" t="n">
        <v>100</v>
      </c>
    </row>
    <row r="2229" customFormat="false" ht="15" hidden="false" customHeight="false" outlineLevel="0" collapsed="false">
      <c r="A2229" s="0" t="s">
        <v>8</v>
      </c>
      <c r="B2229" s="0" t="s">
        <v>3275</v>
      </c>
      <c r="C2229" s="0" t="s">
        <v>7191</v>
      </c>
    </row>
    <row r="2230" customFormat="false" ht="15" hidden="false" customHeight="false" outlineLevel="0" collapsed="false">
      <c r="A2230" s="0" t="s">
        <v>8</v>
      </c>
      <c r="B2230" s="0" t="s">
        <v>3275</v>
      </c>
      <c r="C2230" s="0" t="s">
        <v>7192</v>
      </c>
    </row>
    <row r="2231" customFormat="false" ht="15" hidden="false" customHeight="false" outlineLevel="0" collapsed="false">
      <c r="A2231" s="0" t="s">
        <v>8</v>
      </c>
      <c r="B2231" s="0" t="s">
        <v>3281</v>
      </c>
      <c r="C2231" s="0" t="s">
        <v>7190</v>
      </c>
      <c r="D2231" s="0" t="n">
        <v>95.7</v>
      </c>
    </row>
    <row r="2232" customFormat="false" ht="15" hidden="false" customHeight="false" outlineLevel="0" collapsed="false">
      <c r="A2232" s="0" t="s">
        <v>8</v>
      </c>
      <c r="B2232" s="0" t="s">
        <v>3281</v>
      </c>
      <c r="C2232" s="0" t="s">
        <v>7191</v>
      </c>
    </row>
    <row r="2233" customFormat="false" ht="15" hidden="false" customHeight="false" outlineLevel="0" collapsed="false">
      <c r="A2233" s="0" t="s">
        <v>8</v>
      </c>
      <c r="B2233" s="0" t="s">
        <v>3281</v>
      </c>
      <c r="C2233" s="0" t="s">
        <v>7192</v>
      </c>
    </row>
    <row r="2234" customFormat="false" ht="15" hidden="false" customHeight="false" outlineLevel="0" collapsed="false">
      <c r="A2234" s="0" t="s">
        <v>8</v>
      </c>
      <c r="B2234" s="0" t="s">
        <v>3284</v>
      </c>
      <c r="C2234" s="0" t="s">
        <v>7190</v>
      </c>
      <c r="D2234" s="0" t="n">
        <v>97.3</v>
      </c>
    </row>
    <row r="2235" customFormat="false" ht="15" hidden="false" customHeight="false" outlineLevel="0" collapsed="false">
      <c r="A2235" s="0" t="s">
        <v>8</v>
      </c>
      <c r="B2235" s="0" t="s">
        <v>3284</v>
      </c>
      <c r="C2235" s="0" t="s">
        <v>7191</v>
      </c>
    </row>
    <row r="2236" customFormat="false" ht="15" hidden="false" customHeight="false" outlineLevel="0" collapsed="false">
      <c r="A2236" s="0" t="s">
        <v>8</v>
      </c>
      <c r="B2236" s="0" t="s">
        <v>3284</v>
      </c>
      <c r="C2236" s="0" t="s">
        <v>7192</v>
      </c>
    </row>
    <row r="2237" customFormat="false" ht="15" hidden="false" customHeight="false" outlineLevel="0" collapsed="false">
      <c r="A2237" s="0" t="s">
        <v>8</v>
      </c>
      <c r="B2237" s="0" t="s">
        <v>3287</v>
      </c>
      <c r="C2237" s="0" t="s">
        <v>7190</v>
      </c>
      <c r="D2237" s="0" t="n">
        <v>98.3</v>
      </c>
    </row>
    <row r="2238" customFormat="false" ht="15" hidden="false" customHeight="false" outlineLevel="0" collapsed="false">
      <c r="A2238" s="0" t="s">
        <v>8</v>
      </c>
      <c r="B2238" s="0" t="s">
        <v>3287</v>
      </c>
      <c r="C2238" s="0" t="s">
        <v>7191</v>
      </c>
    </row>
    <row r="2239" customFormat="false" ht="15" hidden="false" customHeight="false" outlineLevel="0" collapsed="false">
      <c r="A2239" s="0" t="s">
        <v>8</v>
      </c>
      <c r="B2239" s="0" t="s">
        <v>3287</v>
      </c>
      <c r="C2239" s="0" t="s">
        <v>7192</v>
      </c>
    </row>
    <row r="2240" customFormat="false" ht="15" hidden="false" customHeight="false" outlineLevel="0" collapsed="false">
      <c r="A2240" s="0" t="s">
        <v>8</v>
      </c>
      <c r="B2240" s="0" t="s">
        <v>3290</v>
      </c>
      <c r="C2240" s="0" t="s">
        <v>7190</v>
      </c>
      <c r="D2240" s="0" t="n">
        <v>95.3</v>
      </c>
    </row>
    <row r="2241" customFormat="false" ht="15" hidden="false" customHeight="false" outlineLevel="0" collapsed="false">
      <c r="A2241" s="0" t="s">
        <v>8</v>
      </c>
      <c r="B2241" s="0" t="s">
        <v>3290</v>
      </c>
      <c r="C2241" s="0" t="s">
        <v>7191</v>
      </c>
    </row>
    <row r="2242" customFormat="false" ht="15" hidden="false" customHeight="false" outlineLevel="0" collapsed="false">
      <c r="A2242" s="0" t="s">
        <v>8</v>
      </c>
      <c r="B2242" s="0" t="s">
        <v>3290</v>
      </c>
      <c r="C2242" s="0" t="s">
        <v>7192</v>
      </c>
    </row>
    <row r="2243" customFormat="false" ht="15" hidden="false" customHeight="false" outlineLevel="0" collapsed="false">
      <c r="A2243" s="0" t="s">
        <v>8</v>
      </c>
      <c r="B2243" s="0" t="s">
        <v>3293</v>
      </c>
      <c r="C2243" s="0" t="s">
        <v>7190</v>
      </c>
      <c r="D2243" s="0" t="n">
        <v>2.0792</v>
      </c>
    </row>
    <row r="2244" customFormat="false" ht="15" hidden="false" customHeight="false" outlineLevel="0" collapsed="false">
      <c r="A2244" s="0" t="s">
        <v>8</v>
      </c>
      <c r="B2244" s="0" t="s">
        <v>3293</v>
      </c>
      <c r="C2244" s="0" t="s">
        <v>7191</v>
      </c>
    </row>
    <row r="2245" customFormat="false" ht="15" hidden="false" customHeight="false" outlineLevel="0" collapsed="false">
      <c r="A2245" s="0" t="s">
        <v>8</v>
      </c>
      <c r="B2245" s="0" t="s">
        <v>3293</v>
      </c>
      <c r="C2245" s="0" t="s">
        <v>7192</v>
      </c>
    </row>
    <row r="2246" customFormat="false" ht="15" hidden="false" customHeight="false" outlineLevel="0" collapsed="false">
      <c r="A2246" s="0" t="s">
        <v>8</v>
      </c>
      <c r="B2246" s="0" t="s">
        <v>3298</v>
      </c>
      <c r="C2246" s="0" t="s">
        <v>7190</v>
      </c>
      <c r="D2246" s="0" t="n">
        <v>1.5705</v>
      </c>
    </row>
    <row r="2247" customFormat="false" ht="15" hidden="false" customHeight="false" outlineLevel="0" collapsed="false">
      <c r="A2247" s="0" t="s">
        <v>8</v>
      </c>
      <c r="B2247" s="0" t="s">
        <v>3298</v>
      </c>
      <c r="C2247" s="0" t="s">
        <v>7191</v>
      </c>
    </row>
    <row r="2248" customFormat="false" ht="15" hidden="false" customHeight="false" outlineLevel="0" collapsed="false">
      <c r="A2248" s="0" t="s">
        <v>8</v>
      </c>
      <c r="B2248" s="0" t="s">
        <v>3298</v>
      </c>
      <c r="C2248" s="0" t="s">
        <v>7192</v>
      </c>
    </row>
    <row r="2249" customFormat="false" ht="15" hidden="false" customHeight="false" outlineLevel="0" collapsed="false">
      <c r="A2249" s="0" t="s">
        <v>8</v>
      </c>
      <c r="B2249" s="0" t="s">
        <v>3302</v>
      </c>
      <c r="C2249" s="0" t="s">
        <v>7190</v>
      </c>
      <c r="D2249" s="0" t="n">
        <v>1.5243</v>
      </c>
    </row>
    <row r="2250" customFormat="false" ht="15" hidden="false" customHeight="false" outlineLevel="0" collapsed="false">
      <c r="A2250" s="0" t="s">
        <v>8</v>
      </c>
      <c r="B2250" s="0" t="s">
        <v>3302</v>
      </c>
      <c r="C2250" s="0" t="s">
        <v>7191</v>
      </c>
    </row>
    <row r="2251" customFormat="false" ht="15" hidden="false" customHeight="false" outlineLevel="0" collapsed="false">
      <c r="A2251" s="0" t="s">
        <v>8</v>
      </c>
      <c r="B2251" s="0" t="s">
        <v>3302</v>
      </c>
      <c r="C2251" s="0" t="s">
        <v>7192</v>
      </c>
    </row>
    <row r="2252" customFormat="false" ht="15" hidden="false" customHeight="false" outlineLevel="0" collapsed="false">
      <c r="A2252" s="0" t="s">
        <v>8</v>
      </c>
      <c r="B2252" s="0" t="s">
        <v>3306</v>
      </c>
      <c r="C2252" s="0" t="s">
        <v>7190</v>
      </c>
      <c r="D2252" s="0" t="n">
        <v>1.3944</v>
      </c>
    </row>
    <row r="2253" customFormat="false" ht="15" hidden="false" customHeight="false" outlineLevel="0" collapsed="false">
      <c r="A2253" s="0" t="s">
        <v>8</v>
      </c>
      <c r="B2253" s="0" t="s">
        <v>3306</v>
      </c>
      <c r="C2253" s="0" t="s">
        <v>7191</v>
      </c>
    </row>
    <row r="2254" customFormat="false" ht="15" hidden="false" customHeight="false" outlineLevel="0" collapsed="false">
      <c r="A2254" s="0" t="s">
        <v>8</v>
      </c>
      <c r="B2254" s="0" t="s">
        <v>3306</v>
      </c>
      <c r="C2254" s="0" t="s">
        <v>7192</v>
      </c>
    </row>
    <row r="2255" customFormat="false" ht="15" hidden="false" customHeight="false" outlineLevel="0" collapsed="false">
      <c r="A2255" s="0" t="s">
        <v>8</v>
      </c>
      <c r="B2255" s="0" t="s">
        <v>3310</v>
      </c>
      <c r="C2255" s="0" t="s">
        <v>7190</v>
      </c>
      <c r="D2255" s="0" t="n">
        <v>1.2347</v>
      </c>
    </row>
    <row r="2256" customFormat="false" ht="15" hidden="false" customHeight="false" outlineLevel="0" collapsed="false">
      <c r="A2256" s="0" t="s">
        <v>8</v>
      </c>
      <c r="B2256" s="0" t="s">
        <v>3310</v>
      </c>
      <c r="C2256" s="0" t="s">
        <v>7191</v>
      </c>
    </row>
    <row r="2257" customFormat="false" ht="15" hidden="false" customHeight="false" outlineLevel="0" collapsed="false">
      <c r="A2257" s="0" t="s">
        <v>8</v>
      </c>
      <c r="B2257" s="0" t="s">
        <v>3310</v>
      </c>
      <c r="C2257" s="0" t="s">
        <v>7192</v>
      </c>
    </row>
    <row r="2258" customFormat="false" ht="15" hidden="false" customHeight="false" outlineLevel="0" collapsed="false">
      <c r="A2258" s="0" t="s">
        <v>8</v>
      </c>
      <c r="B2258" s="0" t="s">
        <v>3315</v>
      </c>
      <c r="C2258" s="0" t="s">
        <v>7190</v>
      </c>
      <c r="D2258" s="0" t="n">
        <v>3.9477</v>
      </c>
    </row>
    <row r="2259" customFormat="false" ht="15" hidden="false" customHeight="false" outlineLevel="0" collapsed="false">
      <c r="A2259" s="0" t="s">
        <v>8</v>
      </c>
      <c r="B2259" s="0" t="s">
        <v>3315</v>
      </c>
      <c r="C2259" s="0" t="s">
        <v>7191</v>
      </c>
    </row>
    <row r="2260" customFormat="false" ht="15" hidden="false" customHeight="false" outlineLevel="0" collapsed="false">
      <c r="A2260" s="0" t="s">
        <v>8</v>
      </c>
      <c r="B2260" s="0" t="s">
        <v>3315</v>
      </c>
      <c r="C2260" s="0" t="s">
        <v>7192</v>
      </c>
    </row>
    <row r="2261" customFormat="false" ht="15" hidden="false" customHeight="false" outlineLevel="0" collapsed="false">
      <c r="A2261" s="0" t="s">
        <v>8</v>
      </c>
      <c r="B2261" s="0" t="s">
        <v>3318</v>
      </c>
      <c r="C2261" s="0" t="s">
        <v>7190</v>
      </c>
      <c r="D2261" s="0" t="n">
        <v>3.7983</v>
      </c>
    </row>
    <row r="2262" customFormat="false" ht="15" hidden="false" customHeight="false" outlineLevel="0" collapsed="false">
      <c r="A2262" s="0" t="s">
        <v>8</v>
      </c>
      <c r="B2262" s="0" t="s">
        <v>3318</v>
      </c>
      <c r="C2262" s="0" t="s">
        <v>7191</v>
      </c>
    </row>
    <row r="2263" customFormat="false" ht="15" hidden="false" customHeight="false" outlineLevel="0" collapsed="false">
      <c r="A2263" s="0" t="s">
        <v>8</v>
      </c>
      <c r="B2263" s="0" t="s">
        <v>3318</v>
      </c>
      <c r="C2263" s="0" t="s">
        <v>7192</v>
      </c>
    </row>
    <row r="2264" customFormat="false" ht="15" hidden="false" customHeight="false" outlineLevel="0" collapsed="false">
      <c r="A2264" s="0" t="s">
        <v>8</v>
      </c>
      <c r="B2264" s="0" t="s">
        <v>3321</v>
      </c>
      <c r="C2264" s="0" t="s">
        <v>7190</v>
      </c>
      <c r="D2264" s="0" t="n">
        <v>1.9115</v>
      </c>
    </row>
    <row r="2265" customFormat="false" ht="15" hidden="false" customHeight="false" outlineLevel="0" collapsed="false">
      <c r="A2265" s="0" t="s">
        <v>8</v>
      </c>
      <c r="B2265" s="0" t="s">
        <v>3321</v>
      </c>
      <c r="C2265" s="0" t="s">
        <v>7191</v>
      </c>
    </row>
    <row r="2266" customFormat="false" ht="15" hidden="false" customHeight="false" outlineLevel="0" collapsed="false">
      <c r="A2266" s="0" t="s">
        <v>8</v>
      </c>
      <c r="B2266" s="0" t="s">
        <v>3321</v>
      </c>
      <c r="C2266" s="0" t="s">
        <v>7192</v>
      </c>
    </row>
    <row r="2267" customFormat="false" ht="15" hidden="false" customHeight="false" outlineLevel="0" collapsed="false">
      <c r="A2267" s="0" t="s">
        <v>8</v>
      </c>
      <c r="B2267" s="0" t="s">
        <v>3325</v>
      </c>
      <c r="C2267" s="0" t="s">
        <v>7190</v>
      </c>
      <c r="D2267" s="0" t="n">
        <v>1.1983</v>
      </c>
    </row>
    <row r="2268" customFormat="false" ht="15" hidden="false" customHeight="false" outlineLevel="0" collapsed="false">
      <c r="A2268" s="0" t="s">
        <v>8</v>
      </c>
      <c r="B2268" s="0" t="s">
        <v>3325</v>
      </c>
      <c r="C2268" s="0" t="s">
        <v>7191</v>
      </c>
    </row>
    <row r="2269" customFormat="false" ht="15" hidden="false" customHeight="false" outlineLevel="0" collapsed="false">
      <c r="A2269" s="0" t="s">
        <v>8</v>
      </c>
      <c r="B2269" s="0" t="s">
        <v>3325</v>
      </c>
      <c r="C2269" s="0" t="s">
        <v>7192</v>
      </c>
    </row>
    <row r="2270" customFormat="false" ht="15" hidden="false" customHeight="false" outlineLevel="0" collapsed="false">
      <c r="A2270" s="0" t="s">
        <v>8</v>
      </c>
      <c r="B2270" s="0" t="s">
        <v>3329</v>
      </c>
      <c r="C2270" s="0" t="s">
        <v>7190</v>
      </c>
      <c r="D2270" s="0" t="n">
        <v>1.1239</v>
      </c>
    </row>
    <row r="2271" customFormat="false" ht="15" hidden="false" customHeight="false" outlineLevel="0" collapsed="false">
      <c r="A2271" s="0" t="s">
        <v>8</v>
      </c>
      <c r="B2271" s="0" t="s">
        <v>3329</v>
      </c>
      <c r="C2271" s="0" t="s">
        <v>7191</v>
      </c>
    </row>
    <row r="2272" customFormat="false" ht="15" hidden="false" customHeight="false" outlineLevel="0" collapsed="false">
      <c r="A2272" s="0" t="s">
        <v>8</v>
      </c>
      <c r="B2272" s="0" t="s">
        <v>3329</v>
      </c>
      <c r="C2272" s="0" t="s">
        <v>7192</v>
      </c>
    </row>
    <row r="2273" customFormat="false" ht="15" hidden="false" customHeight="false" outlineLevel="0" collapsed="false">
      <c r="A2273" s="0" t="s">
        <v>8</v>
      </c>
      <c r="B2273" s="0" t="s">
        <v>3332</v>
      </c>
      <c r="C2273" s="0" t="s">
        <v>7190</v>
      </c>
      <c r="D2273" s="0" t="n">
        <v>1.5889</v>
      </c>
    </row>
    <row r="2274" customFormat="false" ht="15" hidden="false" customHeight="false" outlineLevel="0" collapsed="false">
      <c r="A2274" s="0" t="s">
        <v>8</v>
      </c>
      <c r="B2274" s="0" t="s">
        <v>3332</v>
      </c>
      <c r="C2274" s="0" t="s">
        <v>7191</v>
      </c>
    </row>
    <row r="2275" customFormat="false" ht="15" hidden="false" customHeight="false" outlineLevel="0" collapsed="false">
      <c r="A2275" s="0" t="s">
        <v>8</v>
      </c>
      <c r="B2275" s="0" t="s">
        <v>3332</v>
      </c>
      <c r="C2275" s="0" t="s">
        <v>7192</v>
      </c>
    </row>
    <row r="2276" customFormat="false" ht="15" hidden="false" customHeight="false" outlineLevel="0" collapsed="false">
      <c r="A2276" s="0" t="s">
        <v>8</v>
      </c>
      <c r="B2276" s="0" t="s">
        <v>3335</v>
      </c>
      <c r="C2276" s="0" t="s">
        <v>7190</v>
      </c>
      <c r="D2276" s="0" t="n">
        <v>1.2447</v>
      </c>
    </row>
    <row r="2277" customFormat="false" ht="15" hidden="false" customHeight="false" outlineLevel="0" collapsed="false">
      <c r="A2277" s="0" t="s">
        <v>8</v>
      </c>
      <c r="B2277" s="0" t="s">
        <v>3335</v>
      </c>
      <c r="C2277" s="0" t="s">
        <v>7191</v>
      </c>
    </row>
    <row r="2278" customFormat="false" ht="15" hidden="false" customHeight="false" outlineLevel="0" collapsed="false">
      <c r="A2278" s="0" t="s">
        <v>8</v>
      </c>
      <c r="B2278" s="0" t="s">
        <v>3335</v>
      </c>
      <c r="C2278" s="0" t="s">
        <v>7192</v>
      </c>
    </row>
    <row r="2279" customFormat="false" ht="15" hidden="false" customHeight="false" outlineLevel="0" collapsed="false">
      <c r="A2279" s="0" t="s">
        <v>8</v>
      </c>
      <c r="B2279" s="0" t="s">
        <v>3339</v>
      </c>
      <c r="C2279" s="0" t="s">
        <v>7190</v>
      </c>
      <c r="D2279" s="0" t="n">
        <v>0.9584</v>
      </c>
    </row>
    <row r="2280" customFormat="false" ht="15" hidden="false" customHeight="false" outlineLevel="0" collapsed="false">
      <c r="A2280" s="0" t="s">
        <v>8</v>
      </c>
      <c r="B2280" s="0" t="s">
        <v>3339</v>
      </c>
      <c r="C2280" s="0" t="s">
        <v>7191</v>
      </c>
    </row>
    <row r="2281" customFormat="false" ht="15" hidden="false" customHeight="false" outlineLevel="0" collapsed="false">
      <c r="A2281" s="0" t="s">
        <v>8</v>
      </c>
      <c r="B2281" s="0" t="s">
        <v>3339</v>
      </c>
      <c r="C2281" s="0" t="s">
        <v>7192</v>
      </c>
    </row>
    <row r="2282" customFormat="false" ht="15" hidden="false" customHeight="false" outlineLevel="0" collapsed="false">
      <c r="A2282" s="0" t="s">
        <v>8</v>
      </c>
      <c r="B2282" s="0" t="s">
        <v>3343</v>
      </c>
      <c r="C2282" s="0" t="s">
        <v>7190</v>
      </c>
      <c r="D2282" s="0" t="n">
        <v>0.8387</v>
      </c>
    </row>
    <row r="2283" customFormat="false" ht="15" hidden="false" customHeight="false" outlineLevel="0" collapsed="false">
      <c r="A2283" s="0" t="s">
        <v>8</v>
      </c>
      <c r="B2283" s="0" t="s">
        <v>3343</v>
      </c>
      <c r="C2283" s="0" t="s">
        <v>7191</v>
      </c>
    </row>
    <row r="2284" customFormat="false" ht="15" hidden="false" customHeight="false" outlineLevel="0" collapsed="false">
      <c r="A2284" s="0" t="s">
        <v>8</v>
      </c>
      <c r="B2284" s="0" t="s">
        <v>3343</v>
      </c>
      <c r="C2284" s="0" t="s">
        <v>7192</v>
      </c>
    </row>
    <row r="2285" customFormat="false" ht="15" hidden="false" customHeight="false" outlineLevel="0" collapsed="false">
      <c r="A2285" s="0" t="s">
        <v>8</v>
      </c>
      <c r="B2285" s="0" t="s">
        <v>3347</v>
      </c>
      <c r="C2285" s="0" t="s">
        <v>7190</v>
      </c>
      <c r="D2285" s="0" t="n">
        <v>0.5735</v>
      </c>
    </row>
    <row r="2286" customFormat="false" ht="15" hidden="false" customHeight="false" outlineLevel="0" collapsed="false">
      <c r="A2286" s="0" t="s">
        <v>8</v>
      </c>
      <c r="B2286" s="0" t="s">
        <v>3347</v>
      </c>
      <c r="C2286" s="0" t="s">
        <v>7191</v>
      </c>
    </row>
    <row r="2287" customFormat="false" ht="15" hidden="false" customHeight="false" outlineLevel="0" collapsed="false">
      <c r="A2287" s="0" t="s">
        <v>8</v>
      </c>
      <c r="B2287" s="0" t="s">
        <v>3347</v>
      </c>
      <c r="C2287" s="0" t="s">
        <v>7192</v>
      </c>
    </row>
    <row r="2288" customFormat="false" ht="15" hidden="false" customHeight="false" outlineLevel="0" collapsed="false">
      <c r="A2288" s="0" t="s">
        <v>8</v>
      </c>
      <c r="B2288" s="0" t="s">
        <v>3351</v>
      </c>
      <c r="C2288" s="0" t="s">
        <v>7190</v>
      </c>
      <c r="D2288" s="0" t="n">
        <v>0.252</v>
      </c>
    </row>
    <row r="2289" customFormat="false" ht="15" hidden="false" customHeight="false" outlineLevel="0" collapsed="false">
      <c r="A2289" s="0" t="s">
        <v>8</v>
      </c>
      <c r="B2289" s="0" t="s">
        <v>3351</v>
      </c>
      <c r="C2289" s="0" t="s">
        <v>7191</v>
      </c>
    </row>
    <row r="2290" customFormat="false" ht="15" hidden="false" customHeight="false" outlineLevel="0" collapsed="false">
      <c r="A2290" s="0" t="s">
        <v>8</v>
      </c>
      <c r="B2290" s="0" t="s">
        <v>3351</v>
      </c>
      <c r="C2290" s="0" t="s">
        <v>7192</v>
      </c>
    </row>
    <row r="2291" customFormat="false" ht="15" hidden="false" customHeight="false" outlineLevel="0" collapsed="false">
      <c r="A2291" s="0" t="s">
        <v>8</v>
      </c>
      <c r="B2291" s="0" t="s">
        <v>3354</v>
      </c>
      <c r="C2291" s="0" t="s">
        <v>7190</v>
      </c>
      <c r="D2291" s="0" t="n">
        <v>0.0583</v>
      </c>
    </row>
    <row r="2292" customFormat="false" ht="15" hidden="false" customHeight="false" outlineLevel="0" collapsed="false">
      <c r="A2292" s="0" t="s">
        <v>8</v>
      </c>
      <c r="B2292" s="0" t="s">
        <v>3354</v>
      </c>
      <c r="C2292" s="0" t="s">
        <v>7191</v>
      </c>
    </row>
    <row r="2293" customFormat="false" ht="15" hidden="false" customHeight="false" outlineLevel="0" collapsed="false">
      <c r="A2293" s="0" t="s">
        <v>8</v>
      </c>
      <c r="B2293" s="0" t="s">
        <v>3354</v>
      </c>
      <c r="C2293" s="0" t="s">
        <v>7192</v>
      </c>
    </row>
    <row r="2294" customFormat="false" ht="15" hidden="false" customHeight="false" outlineLevel="0" collapsed="false">
      <c r="A2294" s="0" t="s">
        <v>8</v>
      </c>
      <c r="B2294" s="0" t="s">
        <v>3358</v>
      </c>
      <c r="C2294" s="0" t="s">
        <v>7190</v>
      </c>
      <c r="D2294" s="0" t="n">
        <v>0.0503</v>
      </c>
    </row>
    <row r="2295" customFormat="false" ht="15" hidden="false" customHeight="false" outlineLevel="0" collapsed="false">
      <c r="A2295" s="0" t="s">
        <v>8</v>
      </c>
      <c r="B2295" s="0" t="s">
        <v>3358</v>
      </c>
      <c r="C2295" s="0" t="s">
        <v>7191</v>
      </c>
    </row>
    <row r="2296" customFormat="false" ht="15" hidden="false" customHeight="false" outlineLevel="0" collapsed="false">
      <c r="A2296" s="0" t="s">
        <v>8</v>
      </c>
      <c r="B2296" s="0" t="s">
        <v>3358</v>
      </c>
      <c r="C2296" s="0" t="s">
        <v>7192</v>
      </c>
    </row>
    <row r="2297" customFormat="false" ht="15" hidden="false" customHeight="false" outlineLevel="0" collapsed="false">
      <c r="A2297" s="0" t="s">
        <v>8</v>
      </c>
      <c r="B2297" s="0" t="s">
        <v>3361</v>
      </c>
      <c r="C2297" s="0" t="s">
        <v>7190</v>
      </c>
      <c r="D2297" s="0" t="n">
        <v>0.028</v>
      </c>
    </row>
    <row r="2298" customFormat="false" ht="15" hidden="false" customHeight="false" outlineLevel="0" collapsed="false">
      <c r="A2298" s="0" t="s">
        <v>8</v>
      </c>
      <c r="B2298" s="0" t="s">
        <v>3361</v>
      </c>
      <c r="C2298" s="0" t="s">
        <v>7191</v>
      </c>
    </row>
    <row r="2299" customFormat="false" ht="15" hidden="false" customHeight="false" outlineLevel="0" collapsed="false">
      <c r="A2299" s="0" t="s">
        <v>8</v>
      </c>
      <c r="B2299" s="0" t="s">
        <v>3361</v>
      </c>
      <c r="C2299" s="0" t="s">
        <v>7192</v>
      </c>
    </row>
    <row r="2300" customFormat="false" ht="15" hidden="false" customHeight="false" outlineLevel="0" collapsed="false">
      <c r="A2300" s="0" t="s">
        <v>8</v>
      </c>
      <c r="B2300" s="0" t="s">
        <v>3364</v>
      </c>
      <c r="C2300" s="0" t="s">
        <v>7190</v>
      </c>
      <c r="D2300" s="0" t="n">
        <v>0.0255</v>
      </c>
    </row>
    <row r="2301" customFormat="false" ht="15" hidden="false" customHeight="false" outlineLevel="0" collapsed="false">
      <c r="A2301" s="0" t="s">
        <v>8</v>
      </c>
      <c r="B2301" s="0" t="s">
        <v>3364</v>
      </c>
      <c r="C2301" s="0" t="s">
        <v>7191</v>
      </c>
    </row>
    <row r="2302" customFormat="false" ht="15" hidden="false" customHeight="false" outlineLevel="0" collapsed="false">
      <c r="A2302" s="0" t="s">
        <v>8</v>
      </c>
      <c r="B2302" s="0" t="s">
        <v>3364</v>
      </c>
      <c r="C2302" s="0" t="s">
        <v>7192</v>
      </c>
    </row>
    <row r="2303" customFormat="false" ht="15" hidden="false" customHeight="false" outlineLevel="0" collapsed="false">
      <c r="A2303" s="0" t="s">
        <v>8</v>
      </c>
      <c r="B2303" s="0" t="s">
        <v>3368</v>
      </c>
      <c r="C2303" s="0" t="s">
        <v>7190</v>
      </c>
      <c r="D2303" s="0" t="n">
        <v>7.8032</v>
      </c>
    </row>
    <row r="2304" customFormat="false" ht="15" hidden="false" customHeight="false" outlineLevel="0" collapsed="false">
      <c r="A2304" s="0" t="s">
        <v>8</v>
      </c>
      <c r="B2304" s="0" t="s">
        <v>3368</v>
      </c>
      <c r="C2304" s="0" t="s">
        <v>7191</v>
      </c>
    </row>
    <row r="2305" customFormat="false" ht="15" hidden="false" customHeight="false" outlineLevel="0" collapsed="false">
      <c r="A2305" s="0" t="s">
        <v>8</v>
      </c>
      <c r="B2305" s="0" t="s">
        <v>3368</v>
      </c>
      <c r="C2305" s="0" t="s">
        <v>7192</v>
      </c>
    </row>
    <row r="2306" customFormat="false" ht="15" hidden="false" customHeight="false" outlineLevel="0" collapsed="false">
      <c r="A2306" s="0" t="s">
        <v>8</v>
      </c>
      <c r="B2306" s="0" t="s">
        <v>3373</v>
      </c>
      <c r="C2306" s="0" t="s">
        <v>7190</v>
      </c>
      <c r="D2306" s="0" t="n">
        <v>15.54</v>
      </c>
    </row>
    <row r="2307" customFormat="false" ht="15" hidden="false" customHeight="false" outlineLevel="0" collapsed="false">
      <c r="A2307" s="0" t="s">
        <v>8</v>
      </c>
      <c r="B2307" s="0" t="s">
        <v>3373</v>
      </c>
      <c r="C2307" s="0" t="s">
        <v>7191</v>
      </c>
    </row>
    <row r="2308" customFormat="false" ht="15" hidden="false" customHeight="false" outlineLevel="0" collapsed="false">
      <c r="A2308" s="0" t="s">
        <v>8</v>
      </c>
      <c r="B2308" s="0" t="s">
        <v>3373</v>
      </c>
      <c r="C2308" s="0" t="s">
        <v>7192</v>
      </c>
    </row>
    <row r="2309" customFormat="false" ht="15" hidden="false" customHeight="false" outlineLevel="0" collapsed="false">
      <c r="A2309" s="0" t="s">
        <v>8</v>
      </c>
      <c r="B2309" s="0" t="s">
        <v>3378</v>
      </c>
      <c r="C2309" s="0" t="s">
        <v>7190</v>
      </c>
      <c r="D2309" s="0" t="n">
        <v>11.9798</v>
      </c>
    </row>
    <row r="2310" customFormat="false" ht="15" hidden="false" customHeight="false" outlineLevel="0" collapsed="false">
      <c r="A2310" s="0" t="s">
        <v>8</v>
      </c>
      <c r="B2310" s="0" t="s">
        <v>3378</v>
      </c>
      <c r="C2310" s="0" t="s">
        <v>7191</v>
      </c>
    </row>
    <row r="2311" customFormat="false" ht="15" hidden="false" customHeight="false" outlineLevel="0" collapsed="false">
      <c r="A2311" s="0" t="s">
        <v>8</v>
      </c>
      <c r="B2311" s="0" t="s">
        <v>3378</v>
      </c>
      <c r="C2311" s="0" t="s">
        <v>7192</v>
      </c>
    </row>
    <row r="2312" customFormat="false" ht="15" hidden="false" customHeight="false" outlineLevel="0" collapsed="false">
      <c r="A2312" s="0" t="s">
        <v>8</v>
      </c>
      <c r="B2312" s="0" t="s">
        <v>3381</v>
      </c>
      <c r="C2312" s="0" t="s">
        <v>7190</v>
      </c>
      <c r="D2312" s="0" t="n">
        <v>25.33</v>
      </c>
    </row>
    <row r="2313" customFormat="false" ht="15" hidden="false" customHeight="false" outlineLevel="0" collapsed="false">
      <c r="A2313" s="0" t="s">
        <v>8</v>
      </c>
      <c r="B2313" s="0" t="s">
        <v>3381</v>
      </c>
      <c r="C2313" s="0" t="s">
        <v>7191</v>
      </c>
    </row>
    <row r="2314" customFormat="false" ht="15" hidden="false" customHeight="false" outlineLevel="0" collapsed="false">
      <c r="A2314" s="0" t="s">
        <v>8</v>
      </c>
      <c r="B2314" s="0" t="s">
        <v>3381</v>
      </c>
      <c r="C2314" s="0" t="s">
        <v>7192</v>
      </c>
    </row>
    <row r="2315" customFormat="false" ht="15" hidden="false" customHeight="false" outlineLevel="0" collapsed="false">
      <c r="A2315" s="0" t="s">
        <v>8</v>
      </c>
      <c r="B2315" s="0" t="s">
        <v>3384</v>
      </c>
      <c r="C2315" s="0" t="s">
        <v>7190</v>
      </c>
      <c r="D2315" s="0" t="n">
        <v>5.2042</v>
      </c>
    </row>
    <row r="2316" customFormat="false" ht="15" hidden="false" customHeight="false" outlineLevel="0" collapsed="false">
      <c r="A2316" s="0" t="s">
        <v>8</v>
      </c>
      <c r="B2316" s="0" t="s">
        <v>3384</v>
      </c>
      <c r="C2316" s="0" t="s">
        <v>7191</v>
      </c>
    </row>
    <row r="2317" customFormat="false" ht="15" hidden="false" customHeight="false" outlineLevel="0" collapsed="false">
      <c r="A2317" s="0" t="s">
        <v>8</v>
      </c>
      <c r="B2317" s="0" t="s">
        <v>3384</v>
      </c>
      <c r="C2317" s="0" t="s">
        <v>7192</v>
      </c>
    </row>
    <row r="2318" customFormat="false" ht="15" hidden="false" customHeight="false" outlineLevel="0" collapsed="false">
      <c r="A2318" s="0" t="s">
        <v>8</v>
      </c>
      <c r="B2318" s="0" t="s">
        <v>3387</v>
      </c>
      <c r="C2318" s="0" t="s">
        <v>7190</v>
      </c>
      <c r="D2318" s="0" t="n">
        <v>9.71</v>
      </c>
    </row>
    <row r="2319" customFormat="false" ht="15" hidden="false" customHeight="false" outlineLevel="0" collapsed="false">
      <c r="A2319" s="0" t="s">
        <v>8</v>
      </c>
      <c r="B2319" s="0" t="s">
        <v>3387</v>
      </c>
      <c r="C2319" s="0" t="s">
        <v>7191</v>
      </c>
    </row>
    <row r="2320" customFormat="false" ht="15" hidden="false" customHeight="false" outlineLevel="0" collapsed="false">
      <c r="A2320" s="0" t="s">
        <v>8</v>
      </c>
      <c r="B2320" s="0" t="s">
        <v>3387</v>
      </c>
      <c r="C2320" s="0" t="s">
        <v>7192</v>
      </c>
    </row>
    <row r="2321" customFormat="false" ht="15" hidden="false" customHeight="false" outlineLevel="0" collapsed="false">
      <c r="A2321" s="0" t="s">
        <v>8</v>
      </c>
      <c r="B2321" s="0" t="s">
        <v>3390</v>
      </c>
      <c r="C2321" s="0" t="s">
        <v>7190</v>
      </c>
      <c r="D2321" s="0" t="n">
        <v>0.4142</v>
      </c>
    </row>
    <row r="2322" customFormat="false" ht="15" hidden="false" customHeight="false" outlineLevel="0" collapsed="false">
      <c r="A2322" s="0" t="s">
        <v>8</v>
      </c>
      <c r="B2322" s="0" t="s">
        <v>3390</v>
      </c>
      <c r="C2322" s="0" t="s">
        <v>7191</v>
      </c>
    </row>
    <row r="2323" customFormat="false" ht="15" hidden="false" customHeight="false" outlineLevel="0" collapsed="false">
      <c r="A2323" s="0" t="s">
        <v>8</v>
      </c>
      <c r="B2323" s="0" t="s">
        <v>3390</v>
      </c>
      <c r="C2323" s="0" t="s">
        <v>7192</v>
      </c>
    </row>
    <row r="2324" customFormat="false" ht="15" hidden="false" customHeight="false" outlineLevel="0" collapsed="false">
      <c r="A2324" s="0" t="s">
        <v>8</v>
      </c>
      <c r="B2324" s="0" t="s">
        <v>3393</v>
      </c>
      <c r="C2324" s="0" t="s">
        <v>7190</v>
      </c>
      <c r="D2324" s="0" t="n">
        <v>0.76</v>
      </c>
    </row>
    <row r="2325" customFormat="false" ht="15" hidden="false" customHeight="false" outlineLevel="0" collapsed="false">
      <c r="A2325" s="0" t="s">
        <v>8</v>
      </c>
      <c r="B2325" s="0" t="s">
        <v>3393</v>
      </c>
      <c r="C2325" s="0" t="s">
        <v>7191</v>
      </c>
    </row>
    <row r="2326" customFormat="false" ht="15" hidden="false" customHeight="false" outlineLevel="0" collapsed="false">
      <c r="A2326" s="0" t="s">
        <v>8</v>
      </c>
      <c r="B2326" s="0" t="s">
        <v>3393</v>
      </c>
      <c r="C2326" s="0" t="s">
        <v>7192</v>
      </c>
    </row>
    <row r="2327" customFormat="false" ht="15" hidden="false" customHeight="false" outlineLevel="0" collapsed="false">
      <c r="A2327" s="0" t="s">
        <v>8</v>
      </c>
      <c r="B2327" s="0" t="s">
        <v>3396</v>
      </c>
      <c r="C2327" s="0" t="s">
        <v>7190</v>
      </c>
      <c r="D2327" s="0" t="n">
        <v>13.4</v>
      </c>
    </row>
    <row r="2328" customFormat="false" ht="15" hidden="false" customHeight="false" outlineLevel="0" collapsed="false">
      <c r="A2328" s="0" t="s">
        <v>8</v>
      </c>
      <c r="B2328" s="0" t="s">
        <v>3396</v>
      </c>
      <c r="C2328" s="0" t="s">
        <v>7191</v>
      </c>
    </row>
    <row r="2329" customFormat="false" ht="15" hidden="false" customHeight="false" outlineLevel="0" collapsed="false">
      <c r="A2329" s="0" t="s">
        <v>8</v>
      </c>
      <c r="B2329" s="0" t="s">
        <v>3396</v>
      </c>
      <c r="C2329" s="0" t="s">
        <v>7192</v>
      </c>
    </row>
    <row r="2330" customFormat="false" ht="15" hidden="false" customHeight="false" outlineLevel="0" collapsed="false">
      <c r="A2330" s="0" t="s">
        <v>8</v>
      </c>
      <c r="B2330" s="0" t="s">
        <v>3399</v>
      </c>
      <c r="C2330" s="0" t="s">
        <v>7190</v>
      </c>
      <c r="D2330" s="0" t="n">
        <v>15.6</v>
      </c>
    </row>
    <row r="2331" customFormat="false" ht="15" hidden="false" customHeight="false" outlineLevel="0" collapsed="false">
      <c r="A2331" s="0" t="s">
        <v>8</v>
      </c>
      <c r="B2331" s="0" t="s">
        <v>3399</v>
      </c>
      <c r="C2331" s="0" t="s">
        <v>7191</v>
      </c>
    </row>
    <row r="2332" customFormat="false" ht="15" hidden="false" customHeight="false" outlineLevel="0" collapsed="false">
      <c r="A2332" s="0" t="s">
        <v>8</v>
      </c>
      <c r="B2332" s="0" t="s">
        <v>3399</v>
      </c>
      <c r="C2332" s="0" t="s">
        <v>7192</v>
      </c>
    </row>
    <row r="2333" customFormat="false" ht="15" hidden="false" customHeight="false" outlineLevel="0" collapsed="false">
      <c r="A2333" s="0" t="s">
        <v>8</v>
      </c>
      <c r="B2333" s="0" t="s">
        <v>3401</v>
      </c>
      <c r="C2333" s="0" t="s">
        <v>7190</v>
      </c>
      <c r="D2333" s="0" t="n">
        <v>16.4</v>
      </c>
    </row>
    <row r="2334" customFormat="false" ht="15" hidden="false" customHeight="false" outlineLevel="0" collapsed="false">
      <c r="A2334" s="0" t="s">
        <v>8</v>
      </c>
      <c r="B2334" s="0" t="s">
        <v>3401</v>
      </c>
      <c r="C2334" s="0" t="s">
        <v>7191</v>
      </c>
    </row>
    <row r="2335" customFormat="false" ht="15" hidden="false" customHeight="false" outlineLevel="0" collapsed="false">
      <c r="A2335" s="0" t="s">
        <v>8</v>
      </c>
      <c r="B2335" s="0" t="s">
        <v>3401</v>
      </c>
      <c r="C2335" s="0" t="s">
        <v>7192</v>
      </c>
    </row>
    <row r="2336" customFormat="false" ht="15" hidden="false" customHeight="false" outlineLevel="0" collapsed="false">
      <c r="A2336" s="0" t="s">
        <v>8</v>
      </c>
      <c r="B2336" s="0" t="s">
        <v>3403</v>
      </c>
      <c r="C2336" s="0" t="s">
        <v>7190</v>
      </c>
      <c r="D2336" s="0" t="n">
        <v>33.1</v>
      </c>
    </row>
    <row r="2337" customFormat="false" ht="15" hidden="false" customHeight="false" outlineLevel="0" collapsed="false">
      <c r="A2337" s="0" t="s">
        <v>8</v>
      </c>
      <c r="B2337" s="0" t="s">
        <v>3403</v>
      </c>
      <c r="C2337" s="0" t="s">
        <v>7191</v>
      </c>
    </row>
    <row r="2338" customFormat="false" ht="15" hidden="false" customHeight="false" outlineLevel="0" collapsed="false">
      <c r="A2338" s="0" t="s">
        <v>8</v>
      </c>
      <c r="B2338" s="0" t="s">
        <v>3403</v>
      </c>
      <c r="C2338" s="0" t="s">
        <v>7192</v>
      </c>
    </row>
    <row r="2339" customFormat="false" ht="15" hidden="false" customHeight="false" outlineLevel="0" collapsed="false">
      <c r="A2339" s="0" t="s">
        <v>8</v>
      </c>
      <c r="B2339" s="0" t="s">
        <v>3405</v>
      </c>
      <c r="C2339" s="0" t="s">
        <v>7190</v>
      </c>
    </row>
    <row r="2340" customFormat="false" ht="15" hidden="false" customHeight="false" outlineLevel="0" collapsed="false">
      <c r="A2340" s="0" t="s">
        <v>8</v>
      </c>
      <c r="B2340" s="0" t="s">
        <v>3405</v>
      </c>
      <c r="C2340" s="0" t="s">
        <v>7191</v>
      </c>
    </row>
    <row r="2341" customFormat="false" ht="15" hidden="false" customHeight="false" outlineLevel="0" collapsed="false">
      <c r="A2341" s="0" t="s">
        <v>8</v>
      </c>
      <c r="B2341" s="0" t="s">
        <v>3405</v>
      </c>
      <c r="C2341" s="0" t="s">
        <v>7192</v>
      </c>
    </row>
    <row r="2342" customFormat="false" ht="15" hidden="false" customHeight="false" outlineLevel="0" collapsed="false">
      <c r="A2342" s="0" t="s">
        <v>8</v>
      </c>
      <c r="B2342" s="0" t="s">
        <v>3409</v>
      </c>
      <c r="C2342" s="0" t="s">
        <v>7190</v>
      </c>
      <c r="D2342" s="0" t="n">
        <v>40</v>
      </c>
    </row>
    <row r="2343" customFormat="false" ht="15" hidden="false" customHeight="false" outlineLevel="0" collapsed="false">
      <c r="A2343" s="0" t="s">
        <v>8</v>
      </c>
      <c r="B2343" s="0" t="s">
        <v>3409</v>
      </c>
      <c r="C2343" s="0" t="s">
        <v>7191</v>
      </c>
      <c r="D2343" s="0" t="n">
        <v>0</v>
      </c>
    </row>
    <row r="2344" customFormat="false" ht="15" hidden="false" customHeight="false" outlineLevel="0" collapsed="false">
      <c r="A2344" s="0" t="s">
        <v>8</v>
      </c>
      <c r="B2344" s="0" t="s">
        <v>3409</v>
      </c>
      <c r="C2344" s="0" t="s">
        <v>7192</v>
      </c>
      <c r="D2344" s="0" t="n">
        <v>40</v>
      </c>
    </row>
    <row r="2345" customFormat="false" ht="15" hidden="false" customHeight="false" outlineLevel="0" collapsed="false">
      <c r="A2345" s="0" t="s">
        <v>8</v>
      </c>
      <c r="B2345" s="0" t="s">
        <v>3414</v>
      </c>
      <c r="C2345" s="0" t="s">
        <v>7190</v>
      </c>
      <c r="D2345" s="0" t="n">
        <v>3.7983</v>
      </c>
    </row>
    <row r="2346" customFormat="false" ht="15" hidden="false" customHeight="false" outlineLevel="0" collapsed="false">
      <c r="A2346" s="0" t="s">
        <v>8</v>
      </c>
      <c r="B2346" s="0" t="s">
        <v>3414</v>
      </c>
      <c r="C2346" s="0" t="s">
        <v>7191</v>
      </c>
    </row>
    <row r="2347" customFormat="false" ht="15" hidden="false" customHeight="false" outlineLevel="0" collapsed="false">
      <c r="A2347" s="0" t="s">
        <v>8</v>
      </c>
      <c r="B2347" s="0" t="s">
        <v>3414</v>
      </c>
      <c r="C2347" s="0" t="s">
        <v>7192</v>
      </c>
    </row>
    <row r="2348" customFormat="false" ht="15" hidden="false" customHeight="false" outlineLevel="0" collapsed="false">
      <c r="A2348" s="0" t="s">
        <v>8</v>
      </c>
      <c r="B2348" s="0" t="s">
        <v>3418</v>
      </c>
      <c r="C2348" s="0" t="s">
        <v>7190</v>
      </c>
      <c r="D2348" s="0" t="n">
        <v>3.9477</v>
      </c>
    </row>
    <row r="2349" customFormat="false" ht="15" hidden="false" customHeight="false" outlineLevel="0" collapsed="false">
      <c r="A2349" s="0" t="s">
        <v>8</v>
      </c>
      <c r="B2349" s="0" t="s">
        <v>3418</v>
      </c>
      <c r="C2349" s="0" t="s">
        <v>7191</v>
      </c>
    </row>
    <row r="2350" customFormat="false" ht="15" hidden="false" customHeight="false" outlineLevel="0" collapsed="false">
      <c r="A2350" s="0" t="s">
        <v>8</v>
      </c>
      <c r="B2350" s="0" t="s">
        <v>3418</v>
      </c>
      <c r="C2350" s="0" t="s">
        <v>7192</v>
      </c>
    </row>
    <row r="2351" customFormat="false" ht="15" hidden="false" customHeight="false" outlineLevel="0" collapsed="false">
      <c r="A2351" s="0" t="s">
        <v>8</v>
      </c>
      <c r="B2351" s="0" t="s">
        <v>3424</v>
      </c>
      <c r="C2351" s="0" t="s">
        <v>7190</v>
      </c>
      <c r="D2351" s="0" t="n">
        <v>0.945</v>
      </c>
    </row>
    <row r="2352" customFormat="false" ht="15" hidden="false" customHeight="false" outlineLevel="0" collapsed="false">
      <c r="A2352" s="0" t="s">
        <v>8</v>
      </c>
      <c r="B2352" s="0" t="s">
        <v>3424</v>
      </c>
      <c r="C2352" s="0" t="s">
        <v>7191</v>
      </c>
    </row>
    <row r="2353" customFormat="false" ht="15" hidden="false" customHeight="false" outlineLevel="0" collapsed="false">
      <c r="A2353" s="0" t="s">
        <v>8</v>
      </c>
      <c r="B2353" s="0" t="s">
        <v>3424</v>
      </c>
      <c r="C2353" s="0" t="s">
        <v>7192</v>
      </c>
    </row>
    <row r="2354" customFormat="false" ht="15" hidden="false" customHeight="false" outlineLevel="0" collapsed="false">
      <c r="A2354" s="0" t="s">
        <v>8</v>
      </c>
      <c r="B2354" s="0" t="s">
        <v>3430</v>
      </c>
      <c r="C2354" s="0" t="s">
        <v>7190</v>
      </c>
      <c r="D2354" s="0" t="n">
        <v>0.242</v>
      </c>
    </row>
    <row r="2355" customFormat="false" ht="15" hidden="false" customHeight="false" outlineLevel="0" collapsed="false">
      <c r="A2355" s="0" t="s">
        <v>8</v>
      </c>
      <c r="B2355" s="0" t="s">
        <v>3430</v>
      </c>
      <c r="C2355" s="0" t="s">
        <v>7191</v>
      </c>
    </row>
    <row r="2356" customFormat="false" ht="15" hidden="false" customHeight="false" outlineLevel="0" collapsed="false">
      <c r="A2356" s="0" t="s">
        <v>8</v>
      </c>
      <c r="B2356" s="0" t="s">
        <v>3430</v>
      </c>
      <c r="C2356" s="0" t="s">
        <v>7192</v>
      </c>
    </row>
    <row r="2357" customFormat="false" ht="15" hidden="false" customHeight="false" outlineLevel="0" collapsed="false">
      <c r="A2357" s="0" t="s">
        <v>8</v>
      </c>
      <c r="B2357" s="0" t="s">
        <v>3436</v>
      </c>
      <c r="C2357" s="0" t="s">
        <v>7190</v>
      </c>
      <c r="D2357" s="0" t="n">
        <v>0.247</v>
      </c>
    </row>
    <row r="2358" customFormat="false" ht="15" hidden="false" customHeight="false" outlineLevel="0" collapsed="false">
      <c r="A2358" s="0" t="s">
        <v>8</v>
      </c>
      <c r="B2358" s="0" t="s">
        <v>3436</v>
      </c>
      <c r="C2358" s="0" t="s">
        <v>7191</v>
      </c>
    </row>
    <row r="2359" customFormat="false" ht="15" hidden="false" customHeight="false" outlineLevel="0" collapsed="false">
      <c r="A2359" s="0" t="s">
        <v>8</v>
      </c>
      <c r="B2359" s="0" t="s">
        <v>3436</v>
      </c>
      <c r="C2359" s="0" t="s">
        <v>7192</v>
      </c>
    </row>
    <row r="2360" customFormat="false" ht="15" hidden="false" customHeight="false" outlineLevel="0" collapsed="false">
      <c r="A2360" s="0" t="s">
        <v>8</v>
      </c>
      <c r="B2360" s="0" t="s">
        <v>3440</v>
      </c>
      <c r="C2360" s="0" t="s">
        <v>7190</v>
      </c>
      <c r="D2360" s="0" t="n">
        <v>0.1163</v>
      </c>
    </row>
    <row r="2361" customFormat="false" ht="15" hidden="false" customHeight="false" outlineLevel="0" collapsed="false">
      <c r="A2361" s="0" t="s">
        <v>8</v>
      </c>
      <c r="B2361" s="0" t="s">
        <v>3440</v>
      </c>
      <c r="C2361" s="0" t="s">
        <v>7191</v>
      </c>
    </row>
    <row r="2362" customFormat="false" ht="15" hidden="false" customHeight="false" outlineLevel="0" collapsed="false">
      <c r="A2362" s="0" t="s">
        <v>8</v>
      </c>
      <c r="B2362" s="0" t="s">
        <v>3440</v>
      </c>
      <c r="C2362" s="0" t="s">
        <v>7192</v>
      </c>
    </row>
    <row r="2363" customFormat="false" ht="15" hidden="false" customHeight="false" outlineLevel="0" collapsed="false">
      <c r="A2363" s="0" t="s">
        <v>8</v>
      </c>
      <c r="B2363" s="0" t="s">
        <v>3446</v>
      </c>
      <c r="C2363" s="0" t="s">
        <v>7190</v>
      </c>
      <c r="D2363" s="0" t="n">
        <v>0.883</v>
      </c>
    </row>
    <row r="2364" customFormat="false" ht="15" hidden="false" customHeight="false" outlineLevel="0" collapsed="false">
      <c r="A2364" s="0" t="s">
        <v>8</v>
      </c>
      <c r="B2364" s="0" t="s">
        <v>3446</v>
      </c>
      <c r="C2364" s="0" t="s">
        <v>7191</v>
      </c>
    </row>
    <row r="2365" customFormat="false" ht="15" hidden="false" customHeight="false" outlineLevel="0" collapsed="false">
      <c r="A2365" s="0" t="s">
        <v>8</v>
      </c>
      <c r="B2365" s="0" t="s">
        <v>3446</v>
      </c>
      <c r="C2365" s="0" t="s">
        <v>7192</v>
      </c>
    </row>
    <row r="2366" customFormat="false" ht="15" hidden="false" customHeight="false" outlineLevel="0" collapsed="false">
      <c r="A2366" s="0" t="s">
        <v>8</v>
      </c>
      <c r="B2366" s="0" t="s">
        <v>3450</v>
      </c>
      <c r="C2366" s="0" t="s">
        <v>7190</v>
      </c>
      <c r="D2366" s="0" t="n">
        <v>1.6689</v>
      </c>
    </row>
    <row r="2367" customFormat="false" ht="15" hidden="false" customHeight="false" outlineLevel="0" collapsed="false">
      <c r="A2367" s="0" t="s">
        <v>8</v>
      </c>
      <c r="B2367" s="0" t="s">
        <v>3450</v>
      </c>
      <c r="C2367" s="0" t="s">
        <v>7191</v>
      </c>
    </row>
    <row r="2368" customFormat="false" ht="15" hidden="false" customHeight="false" outlineLevel="0" collapsed="false">
      <c r="A2368" s="0" t="s">
        <v>8</v>
      </c>
      <c r="B2368" s="0" t="s">
        <v>3450</v>
      </c>
      <c r="C2368" s="0" t="s">
        <v>7192</v>
      </c>
    </row>
    <row r="2369" customFormat="false" ht="15" hidden="false" customHeight="false" outlineLevel="0" collapsed="false">
      <c r="A2369" s="0" t="s">
        <v>8</v>
      </c>
      <c r="B2369" s="0" t="s">
        <v>3454</v>
      </c>
      <c r="C2369" s="0" t="s">
        <v>7190</v>
      </c>
      <c r="D2369" s="0" t="n">
        <v>1.3403</v>
      </c>
    </row>
    <row r="2370" customFormat="false" ht="15" hidden="false" customHeight="false" outlineLevel="0" collapsed="false">
      <c r="A2370" s="0" t="s">
        <v>8</v>
      </c>
      <c r="B2370" s="0" t="s">
        <v>3454</v>
      </c>
      <c r="C2370" s="0" t="s">
        <v>7191</v>
      </c>
    </row>
    <row r="2371" customFormat="false" ht="15" hidden="false" customHeight="false" outlineLevel="0" collapsed="false">
      <c r="A2371" s="0" t="s">
        <v>8</v>
      </c>
      <c r="B2371" s="0" t="s">
        <v>3454</v>
      </c>
      <c r="C2371" s="0" t="s">
        <v>7192</v>
      </c>
    </row>
    <row r="2372" customFormat="false" ht="15" hidden="false" customHeight="false" outlineLevel="0" collapsed="false">
      <c r="A2372" s="0" t="s">
        <v>8</v>
      </c>
      <c r="B2372" s="0" t="s">
        <v>3457</v>
      </c>
      <c r="C2372" s="0" t="s">
        <v>7190</v>
      </c>
      <c r="D2372" s="0" t="n">
        <v>0.1163</v>
      </c>
    </row>
    <row r="2373" customFormat="false" ht="15" hidden="false" customHeight="false" outlineLevel="0" collapsed="false">
      <c r="A2373" s="0" t="s">
        <v>8</v>
      </c>
      <c r="B2373" s="0" t="s">
        <v>3457</v>
      </c>
      <c r="C2373" s="0" t="s">
        <v>7191</v>
      </c>
    </row>
    <row r="2374" customFormat="false" ht="15" hidden="false" customHeight="false" outlineLevel="0" collapsed="false">
      <c r="A2374" s="0" t="s">
        <v>8</v>
      </c>
      <c r="B2374" s="0" t="s">
        <v>3457</v>
      </c>
      <c r="C2374" s="0" t="s">
        <v>7192</v>
      </c>
    </row>
    <row r="2375" customFormat="false" ht="15" hidden="false" customHeight="false" outlineLevel="0" collapsed="false">
      <c r="A2375" s="0" t="s">
        <v>8</v>
      </c>
      <c r="B2375" s="0" t="s">
        <v>3462</v>
      </c>
      <c r="C2375" s="0" t="s">
        <v>7190</v>
      </c>
      <c r="D2375" s="0" t="n">
        <v>0.883</v>
      </c>
    </row>
    <row r="2376" customFormat="false" ht="15" hidden="false" customHeight="false" outlineLevel="0" collapsed="false">
      <c r="A2376" s="0" t="s">
        <v>8</v>
      </c>
      <c r="B2376" s="0" t="s">
        <v>3462</v>
      </c>
      <c r="C2376" s="0" t="s">
        <v>7191</v>
      </c>
    </row>
    <row r="2377" customFormat="false" ht="15" hidden="false" customHeight="false" outlineLevel="0" collapsed="false">
      <c r="A2377" s="0" t="s">
        <v>8</v>
      </c>
      <c r="B2377" s="0" t="s">
        <v>3462</v>
      </c>
      <c r="C2377" s="0" t="s">
        <v>7192</v>
      </c>
    </row>
    <row r="2378" customFormat="false" ht="15" hidden="false" customHeight="false" outlineLevel="0" collapsed="false">
      <c r="A2378" s="0" t="s">
        <v>8</v>
      </c>
      <c r="B2378" s="0" t="s">
        <v>3465</v>
      </c>
      <c r="C2378" s="0" t="s">
        <v>7190</v>
      </c>
      <c r="D2378" s="0" t="n">
        <v>1.2737</v>
      </c>
    </row>
    <row r="2379" customFormat="false" ht="15" hidden="false" customHeight="false" outlineLevel="0" collapsed="false">
      <c r="A2379" s="0" t="s">
        <v>8</v>
      </c>
      <c r="B2379" s="0" t="s">
        <v>3465</v>
      </c>
      <c r="C2379" s="0" t="s">
        <v>7191</v>
      </c>
    </row>
    <row r="2380" customFormat="false" ht="15" hidden="false" customHeight="false" outlineLevel="0" collapsed="false">
      <c r="A2380" s="0" t="s">
        <v>8</v>
      </c>
      <c r="B2380" s="0" t="s">
        <v>3465</v>
      </c>
      <c r="C2380" s="0" t="s">
        <v>7192</v>
      </c>
    </row>
    <row r="2381" customFormat="false" ht="15" hidden="false" customHeight="false" outlineLevel="0" collapsed="false">
      <c r="A2381" s="0" t="s">
        <v>8</v>
      </c>
      <c r="B2381" s="0" t="s">
        <v>3468</v>
      </c>
      <c r="C2381" s="0" t="s">
        <v>7190</v>
      </c>
      <c r="D2381" s="0" t="n">
        <v>0.7291</v>
      </c>
    </row>
    <row r="2382" customFormat="false" ht="15" hidden="false" customHeight="false" outlineLevel="0" collapsed="false">
      <c r="A2382" s="0" t="s">
        <v>8</v>
      </c>
      <c r="B2382" s="0" t="s">
        <v>3468</v>
      </c>
      <c r="C2382" s="0" t="s">
        <v>7191</v>
      </c>
    </row>
    <row r="2383" customFormat="false" ht="15" hidden="false" customHeight="false" outlineLevel="0" collapsed="false">
      <c r="A2383" s="0" t="s">
        <v>8</v>
      </c>
      <c r="B2383" s="0" t="s">
        <v>3468</v>
      </c>
      <c r="C2383" s="0" t="s">
        <v>7192</v>
      </c>
    </row>
    <row r="2384" customFormat="false" ht="15" hidden="false" customHeight="false" outlineLevel="0" collapsed="false">
      <c r="A2384" s="0" t="s">
        <v>8</v>
      </c>
      <c r="B2384" s="0" t="s">
        <v>3471</v>
      </c>
      <c r="C2384" s="0" t="s">
        <v>7190</v>
      </c>
      <c r="D2384" s="0" t="n">
        <v>0</v>
      </c>
    </row>
    <row r="2385" customFormat="false" ht="15" hidden="false" customHeight="false" outlineLevel="0" collapsed="false">
      <c r="A2385" s="0" t="s">
        <v>8</v>
      </c>
      <c r="B2385" s="0" t="s">
        <v>3471</v>
      </c>
      <c r="C2385" s="0" t="s">
        <v>7191</v>
      </c>
    </row>
    <row r="2386" customFormat="false" ht="15" hidden="false" customHeight="false" outlineLevel="0" collapsed="false">
      <c r="A2386" s="0" t="s">
        <v>8</v>
      </c>
      <c r="B2386" s="0" t="s">
        <v>3471</v>
      </c>
      <c r="C2386" s="0" t="s">
        <v>7192</v>
      </c>
    </row>
    <row r="2387" customFormat="false" ht="15" hidden="false" customHeight="false" outlineLevel="0" collapsed="false">
      <c r="A2387" s="0" t="s">
        <v>8</v>
      </c>
      <c r="B2387" s="0" t="s">
        <v>3476</v>
      </c>
      <c r="C2387" s="0" t="s">
        <v>7190</v>
      </c>
      <c r="D2387" s="0" t="n">
        <v>0</v>
      </c>
    </row>
    <row r="2388" customFormat="false" ht="15" hidden="false" customHeight="false" outlineLevel="0" collapsed="false">
      <c r="A2388" s="0" t="s">
        <v>8</v>
      </c>
      <c r="B2388" s="0" t="s">
        <v>3476</v>
      </c>
      <c r="C2388" s="0" t="s">
        <v>7191</v>
      </c>
    </row>
    <row r="2389" customFormat="false" ht="15" hidden="false" customHeight="false" outlineLevel="0" collapsed="false">
      <c r="A2389" s="0" t="s">
        <v>8</v>
      </c>
      <c r="B2389" s="0" t="s">
        <v>3476</v>
      </c>
      <c r="C2389" s="0" t="s">
        <v>7192</v>
      </c>
    </row>
    <row r="2390" customFormat="false" ht="15" hidden="false" customHeight="false" outlineLevel="0" collapsed="false">
      <c r="A2390" s="0" t="s">
        <v>8</v>
      </c>
      <c r="B2390" s="0" t="s">
        <v>3478</v>
      </c>
      <c r="C2390" s="0" t="s">
        <v>7190</v>
      </c>
      <c r="D2390" s="0" t="n">
        <v>0.3952</v>
      </c>
    </row>
    <row r="2391" customFormat="false" ht="15" hidden="false" customHeight="false" outlineLevel="0" collapsed="false">
      <c r="A2391" s="0" t="s">
        <v>8</v>
      </c>
      <c r="B2391" s="0" t="s">
        <v>3478</v>
      </c>
      <c r="C2391" s="0" t="s">
        <v>7191</v>
      </c>
    </row>
    <row r="2392" customFormat="false" ht="15" hidden="false" customHeight="false" outlineLevel="0" collapsed="false">
      <c r="A2392" s="0" t="s">
        <v>8</v>
      </c>
      <c r="B2392" s="0" t="s">
        <v>3478</v>
      </c>
      <c r="C2392" s="0" t="s">
        <v>7192</v>
      </c>
    </row>
    <row r="2393" customFormat="false" ht="15" hidden="false" customHeight="false" outlineLevel="0" collapsed="false">
      <c r="A2393" s="0" t="s">
        <v>8</v>
      </c>
      <c r="B2393" s="0" t="s">
        <v>3481</v>
      </c>
      <c r="C2393" s="0" t="s">
        <v>7190</v>
      </c>
      <c r="D2393" s="0" t="n">
        <v>0.6112</v>
      </c>
    </row>
    <row r="2394" customFormat="false" ht="15" hidden="false" customHeight="false" outlineLevel="0" collapsed="false">
      <c r="A2394" s="0" t="s">
        <v>8</v>
      </c>
      <c r="B2394" s="0" t="s">
        <v>3481</v>
      </c>
      <c r="C2394" s="0" t="s">
        <v>7191</v>
      </c>
    </row>
    <row r="2395" customFormat="false" ht="15" hidden="false" customHeight="false" outlineLevel="0" collapsed="false">
      <c r="A2395" s="0" t="s">
        <v>8</v>
      </c>
      <c r="B2395" s="0" t="s">
        <v>3481</v>
      </c>
      <c r="C2395" s="0" t="s">
        <v>7192</v>
      </c>
    </row>
    <row r="2396" customFormat="false" ht="15" hidden="false" customHeight="false" outlineLevel="0" collapsed="false">
      <c r="A2396" s="0" t="s">
        <v>8</v>
      </c>
      <c r="B2396" s="0" t="s">
        <v>3484</v>
      </c>
      <c r="C2396" s="0" t="s">
        <v>7190</v>
      </c>
      <c r="D2396" s="0" t="n">
        <v>0.0151</v>
      </c>
    </row>
    <row r="2397" customFormat="false" ht="15" hidden="false" customHeight="false" outlineLevel="0" collapsed="false">
      <c r="A2397" s="0" t="s">
        <v>8</v>
      </c>
      <c r="B2397" s="0" t="s">
        <v>3484</v>
      </c>
      <c r="C2397" s="0" t="s">
        <v>7191</v>
      </c>
    </row>
    <row r="2398" customFormat="false" ht="15" hidden="false" customHeight="false" outlineLevel="0" collapsed="false">
      <c r="A2398" s="0" t="s">
        <v>8</v>
      </c>
      <c r="B2398" s="0" t="s">
        <v>3484</v>
      </c>
      <c r="C2398" s="0" t="s">
        <v>7192</v>
      </c>
    </row>
    <row r="2399" customFormat="false" ht="15" hidden="false" customHeight="false" outlineLevel="0" collapsed="false">
      <c r="A2399" s="0" t="s">
        <v>8</v>
      </c>
      <c r="B2399" s="0" t="s">
        <v>3488</v>
      </c>
      <c r="C2399" s="0" t="s">
        <v>7190</v>
      </c>
      <c r="D2399" s="0" t="n">
        <v>1.0454</v>
      </c>
    </row>
    <row r="2400" customFormat="false" ht="15" hidden="false" customHeight="false" outlineLevel="0" collapsed="false">
      <c r="A2400" s="0" t="s">
        <v>8</v>
      </c>
      <c r="B2400" s="0" t="s">
        <v>3488</v>
      </c>
      <c r="C2400" s="0" t="s">
        <v>7191</v>
      </c>
    </row>
    <row r="2401" customFormat="false" ht="15" hidden="false" customHeight="false" outlineLevel="0" collapsed="false">
      <c r="A2401" s="0" t="s">
        <v>8</v>
      </c>
      <c r="B2401" s="0" t="s">
        <v>3488</v>
      </c>
      <c r="C2401" s="0" t="s">
        <v>7192</v>
      </c>
    </row>
    <row r="2402" customFormat="false" ht="15" hidden="false" customHeight="false" outlineLevel="0" collapsed="false">
      <c r="A2402" s="0" t="s">
        <v>8</v>
      </c>
      <c r="B2402" s="0" t="s">
        <v>3491</v>
      </c>
      <c r="C2402" s="0" t="s">
        <v>7190</v>
      </c>
      <c r="D2402" s="0" t="n">
        <v>2.6947</v>
      </c>
    </row>
    <row r="2403" customFormat="false" ht="15" hidden="false" customHeight="false" outlineLevel="0" collapsed="false">
      <c r="A2403" s="0" t="s">
        <v>8</v>
      </c>
      <c r="B2403" s="0" t="s">
        <v>3491</v>
      </c>
      <c r="C2403" s="0" t="s">
        <v>7191</v>
      </c>
    </row>
    <row r="2404" customFormat="false" ht="15" hidden="false" customHeight="false" outlineLevel="0" collapsed="false">
      <c r="A2404" s="0" t="s">
        <v>8</v>
      </c>
      <c r="B2404" s="0" t="s">
        <v>3491</v>
      </c>
      <c r="C2404" s="0" t="s">
        <v>7192</v>
      </c>
    </row>
    <row r="2405" customFormat="false" ht="15" hidden="false" customHeight="false" outlineLevel="0" collapsed="false">
      <c r="A2405" s="0" t="s">
        <v>8</v>
      </c>
      <c r="B2405" s="0" t="s">
        <v>3494</v>
      </c>
      <c r="C2405" s="0" t="s">
        <v>7190</v>
      </c>
      <c r="D2405" s="0" t="n">
        <v>4.9535</v>
      </c>
    </row>
    <row r="2406" customFormat="false" ht="15" hidden="false" customHeight="false" outlineLevel="0" collapsed="false">
      <c r="A2406" s="0" t="s">
        <v>8</v>
      </c>
      <c r="B2406" s="0" t="s">
        <v>3494</v>
      </c>
      <c r="C2406" s="0" t="s">
        <v>7191</v>
      </c>
    </row>
    <row r="2407" customFormat="false" ht="15" hidden="false" customHeight="false" outlineLevel="0" collapsed="false">
      <c r="A2407" s="0" t="s">
        <v>8</v>
      </c>
      <c r="B2407" s="0" t="s">
        <v>3494</v>
      </c>
      <c r="C2407" s="0" t="s">
        <v>7192</v>
      </c>
    </row>
    <row r="2408" customFormat="false" ht="15" hidden="false" customHeight="false" outlineLevel="0" collapsed="false">
      <c r="A2408" s="0" t="s">
        <v>8</v>
      </c>
      <c r="B2408" s="0" t="s">
        <v>3497</v>
      </c>
      <c r="C2408" s="0" t="s">
        <v>7190</v>
      </c>
      <c r="D2408" s="0" t="n">
        <v>0.2583</v>
      </c>
    </row>
    <row r="2409" customFormat="false" ht="15" hidden="false" customHeight="false" outlineLevel="0" collapsed="false">
      <c r="A2409" s="0" t="s">
        <v>8</v>
      </c>
      <c r="B2409" s="0" t="s">
        <v>3497</v>
      </c>
      <c r="C2409" s="0" t="s">
        <v>7191</v>
      </c>
    </row>
    <row r="2410" customFormat="false" ht="15" hidden="false" customHeight="false" outlineLevel="0" collapsed="false">
      <c r="A2410" s="0" t="s">
        <v>8</v>
      </c>
      <c r="B2410" s="0" t="s">
        <v>3497</v>
      </c>
      <c r="C2410" s="0" t="s">
        <v>7192</v>
      </c>
    </row>
    <row r="2411" customFormat="false" ht="15" hidden="false" customHeight="false" outlineLevel="0" collapsed="false">
      <c r="A2411" s="0" t="s">
        <v>8</v>
      </c>
      <c r="B2411" s="0" t="s">
        <v>3502</v>
      </c>
      <c r="C2411" s="0" t="s">
        <v>7190</v>
      </c>
      <c r="D2411" s="0" t="n">
        <v>2.882</v>
      </c>
    </row>
    <row r="2412" customFormat="false" ht="15" hidden="false" customHeight="false" outlineLevel="0" collapsed="false">
      <c r="A2412" s="0" t="s">
        <v>8</v>
      </c>
      <c r="B2412" s="0" t="s">
        <v>3502</v>
      </c>
      <c r="C2412" s="0" t="s">
        <v>7191</v>
      </c>
    </row>
    <row r="2413" customFormat="false" ht="15" hidden="false" customHeight="false" outlineLevel="0" collapsed="false">
      <c r="A2413" s="0" t="s">
        <v>8</v>
      </c>
      <c r="B2413" s="0" t="s">
        <v>3502</v>
      </c>
      <c r="C2413" s="0" t="s">
        <v>7192</v>
      </c>
    </row>
    <row r="2414" customFormat="false" ht="15" hidden="false" customHeight="false" outlineLevel="0" collapsed="false">
      <c r="A2414" s="0" t="s">
        <v>8</v>
      </c>
      <c r="B2414" s="0" t="s">
        <v>3505</v>
      </c>
      <c r="C2414" s="0" t="s">
        <v>7190</v>
      </c>
      <c r="D2414" s="0" t="n">
        <v>6.0349</v>
      </c>
    </row>
    <row r="2415" customFormat="false" ht="15" hidden="false" customHeight="false" outlineLevel="0" collapsed="false">
      <c r="A2415" s="0" t="s">
        <v>8</v>
      </c>
      <c r="B2415" s="0" t="s">
        <v>3505</v>
      </c>
      <c r="C2415" s="0" t="s">
        <v>7191</v>
      </c>
    </row>
    <row r="2416" customFormat="false" ht="15" hidden="false" customHeight="false" outlineLevel="0" collapsed="false">
      <c r="A2416" s="0" t="s">
        <v>8</v>
      </c>
      <c r="B2416" s="0" t="s">
        <v>3505</v>
      </c>
      <c r="C2416" s="0" t="s">
        <v>7192</v>
      </c>
    </row>
    <row r="2417" customFormat="false" ht="15" hidden="false" customHeight="false" outlineLevel="0" collapsed="false">
      <c r="A2417" s="0" t="s">
        <v>8</v>
      </c>
      <c r="B2417" s="0" t="s">
        <v>3508</v>
      </c>
      <c r="C2417" s="0" t="s">
        <v>7190</v>
      </c>
      <c r="D2417" s="0" t="n">
        <v>8.3842</v>
      </c>
    </row>
    <row r="2418" customFormat="false" ht="15" hidden="false" customHeight="false" outlineLevel="0" collapsed="false">
      <c r="A2418" s="0" t="s">
        <v>8</v>
      </c>
      <c r="B2418" s="0" t="s">
        <v>3508</v>
      </c>
      <c r="C2418" s="0" t="s">
        <v>7191</v>
      </c>
    </row>
    <row r="2419" customFormat="false" ht="15" hidden="false" customHeight="false" outlineLevel="0" collapsed="false">
      <c r="A2419" s="0" t="s">
        <v>8</v>
      </c>
      <c r="B2419" s="0" t="s">
        <v>3508</v>
      </c>
      <c r="C2419" s="0" t="s">
        <v>7192</v>
      </c>
    </row>
    <row r="2420" customFormat="false" ht="15" hidden="false" customHeight="false" outlineLevel="0" collapsed="false">
      <c r="A2420" s="0" t="s">
        <v>8</v>
      </c>
      <c r="B2420" s="0" t="s">
        <v>3511</v>
      </c>
      <c r="C2420" s="0" t="s">
        <v>7190</v>
      </c>
      <c r="D2420" s="0" t="n">
        <v>12.0935</v>
      </c>
    </row>
    <row r="2421" customFormat="false" ht="15" hidden="false" customHeight="false" outlineLevel="0" collapsed="false">
      <c r="A2421" s="0" t="s">
        <v>8</v>
      </c>
      <c r="B2421" s="0" t="s">
        <v>3511</v>
      </c>
      <c r="C2421" s="0" t="s">
        <v>7191</v>
      </c>
    </row>
    <row r="2422" customFormat="false" ht="15" hidden="false" customHeight="false" outlineLevel="0" collapsed="false">
      <c r="A2422" s="0" t="s">
        <v>8</v>
      </c>
      <c r="B2422" s="0" t="s">
        <v>3511</v>
      </c>
      <c r="C2422" s="0" t="s">
        <v>7192</v>
      </c>
    </row>
    <row r="2423" customFormat="false" ht="15" hidden="false" customHeight="false" outlineLevel="0" collapsed="false">
      <c r="A2423" s="0" t="s">
        <v>8</v>
      </c>
      <c r="B2423" s="0" t="s">
        <v>3515</v>
      </c>
      <c r="C2423" s="0" t="s">
        <v>7190</v>
      </c>
      <c r="D2423" s="0" t="n">
        <v>0</v>
      </c>
    </row>
    <row r="2424" customFormat="false" ht="15" hidden="false" customHeight="false" outlineLevel="0" collapsed="false">
      <c r="A2424" s="0" t="s">
        <v>8</v>
      </c>
      <c r="B2424" s="0" t="s">
        <v>3515</v>
      </c>
      <c r="C2424" s="0" t="s">
        <v>7191</v>
      </c>
    </row>
    <row r="2425" customFormat="false" ht="15" hidden="false" customHeight="false" outlineLevel="0" collapsed="false">
      <c r="A2425" s="0" t="s">
        <v>8</v>
      </c>
      <c r="B2425" s="0" t="s">
        <v>3515</v>
      </c>
      <c r="C2425" s="0" t="s">
        <v>7192</v>
      </c>
    </row>
    <row r="2426" customFormat="false" ht="15" hidden="false" customHeight="false" outlineLevel="0" collapsed="false">
      <c r="A2426" s="0" t="s">
        <v>8</v>
      </c>
      <c r="B2426" s="0" t="s">
        <v>3521</v>
      </c>
      <c r="C2426" s="0" t="s">
        <v>7190</v>
      </c>
      <c r="D2426" s="0" t="n">
        <v>0</v>
      </c>
    </row>
    <row r="2427" customFormat="false" ht="15" hidden="false" customHeight="false" outlineLevel="0" collapsed="false">
      <c r="A2427" s="0" t="s">
        <v>8</v>
      </c>
      <c r="B2427" s="0" t="s">
        <v>3521</v>
      </c>
      <c r="C2427" s="0" t="s">
        <v>7191</v>
      </c>
    </row>
    <row r="2428" customFormat="false" ht="15" hidden="false" customHeight="false" outlineLevel="0" collapsed="false">
      <c r="A2428" s="0" t="s">
        <v>8</v>
      </c>
      <c r="B2428" s="0" t="s">
        <v>3521</v>
      </c>
      <c r="C2428" s="0" t="s">
        <v>7192</v>
      </c>
    </row>
    <row r="2429" customFormat="false" ht="15" hidden="false" customHeight="false" outlineLevel="0" collapsed="false">
      <c r="A2429" s="0" t="s">
        <v>8</v>
      </c>
      <c r="B2429" s="0" t="s">
        <v>3527</v>
      </c>
      <c r="C2429" s="0" t="s">
        <v>7190</v>
      </c>
      <c r="D2429" s="0" t="n">
        <v>0</v>
      </c>
    </row>
    <row r="2430" customFormat="false" ht="15" hidden="false" customHeight="false" outlineLevel="0" collapsed="false">
      <c r="A2430" s="0" t="s">
        <v>8</v>
      </c>
      <c r="B2430" s="0" t="s">
        <v>3527</v>
      </c>
      <c r="C2430" s="0" t="s">
        <v>7191</v>
      </c>
    </row>
    <row r="2431" customFormat="false" ht="15" hidden="false" customHeight="false" outlineLevel="0" collapsed="false">
      <c r="A2431" s="0" t="s">
        <v>8</v>
      </c>
      <c r="B2431" s="0" t="s">
        <v>3527</v>
      </c>
      <c r="C2431" s="0" t="s">
        <v>7192</v>
      </c>
    </row>
    <row r="2432" customFormat="false" ht="15" hidden="false" customHeight="false" outlineLevel="0" collapsed="false">
      <c r="A2432" s="0" t="s">
        <v>8</v>
      </c>
      <c r="B2432" s="0" t="s">
        <v>3533</v>
      </c>
      <c r="C2432" s="0" t="s">
        <v>7190</v>
      </c>
      <c r="D2432" s="0" t="n">
        <v>0.1283</v>
      </c>
    </row>
    <row r="2433" customFormat="false" ht="15" hidden="false" customHeight="false" outlineLevel="0" collapsed="false">
      <c r="A2433" s="0" t="s">
        <v>8</v>
      </c>
      <c r="B2433" s="0" t="s">
        <v>3533</v>
      </c>
      <c r="C2433" s="0" t="s">
        <v>7191</v>
      </c>
    </row>
    <row r="2434" customFormat="false" ht="15" hidden="false" customHeight="false" outlineLevel="0" collapsed="false">
      <c r="A2434" s="0" t="s">
        <v>8</v>
      </c>
      <c r="B2434" s="0" t="s">
        <v>3533</v>
      </c>
      <c r="C2434" s="0" t="s">
        <v>7192</v>
      </c>
    </row>
    <row r="2435" customFormat="false" ht="15" hidden="false" customHeight="false" outlineLevel="0" collapsed="false">
      <c r="A2435" s="0" t="s">
        <v>8</v>
      </c>
      <c r="B2435" s="0" t="s">
        <v>3538</v>
      </c>
      <c r="C2435" s="0" t="s">
        <v>7190</v>
      </c>
      <c r="D2435" s="0" t="n">
        <v>2.7088</v>
      </c>
    </row>
    <row r="2436" customFormat="false" ht="15" hidden="false" customHeight="false" outlineLevel="0" collapsed="false">
      <c r="A2436" s="0" t="s">
        <v>8</v>
      </c>
      <c r="B2436" s="0" t="s">
        <v>3538</v>
      </c>
      <c r="C2436" s="0" t="s">
        <v>7191</v>
      </c>
    </row>
    <row r="2437" customFormat="false" ht="15" hidden="false" customHeight="false" outlineLevel="0" collapsed="false">
      <c r="A2437" s="0" t="s">
        <v>8</v>
      </c>
      <c r="B2437" s="0" t="s">
        <v>3538</v>
      </c>
      <c r="C2437" s="0" t="s">
        <v>7192</v>
      </c>
    </row>
    <row r="2438" customFormat="false" ht="15" hidden="false" customHeight="false" outlineLevel="0" collapsed="false">
      <c r="A2438" s="0" t="s">
        <v>8</v>
      </c>
      <c r="B2438" s="0" t="s">
        <v>3541</v>
      </c>
      <c r="C2438" s="0" t="s">
        <v>7190</v>
      </c>
      <c r="D2438" s="0" t="n">
        <v>6.7127</v>
      </c>
    </row>
    <row r="2439" customFormat="false" ht="15" hidden="false" customHeight="false" outlineLevel="0" collapsed="false">
      <c r="A2439" s="0" t="s">
        <v>8</v>
      </c>
      <c r="B2439" s="0" t="s">
        <v>3541</v>
      </c>
      <c r="C2439" s="0" t="s">
        <v>7191</v>
      </c>
    </row>
    <row r="2440" customFormat="false" ht="15" hidden="false" customHeight="false" outlineLevel="0" collapsed="false">
      <c r="A2440" s="0" t="s">
        <v>8</v>
      </c>
      <c r="B2440" s="0" t="s">
        <v>3541</v>
      </c>
      <c r="C2440" s="0" t="s">
        <v>7192</v>
      </c>
    </row>
    <row r="2441" customFormat="false" ht="15" hidden="false" customHeight="false" outlineLevel="0" collapsed="false">
      <c r="A2441" s="0" t="s">
        <v>8</v>
      </c>
      <c r="B2441" s="0" t="s">
        <v>3544</v>
      </c>
      <c r="C2441" s="0" t="s">
        <v>7190</v>
      </c>
      <c r="D2441" s="0" t="n">
        <v>5.9959</v>
      </c>
    </row>
    <row r="2442" customFormat="false" ht="15" hidden="false" customHeight="false" outlineLevel="0" collapsed="false">
      <c r="A2442" s="0" t="s">
        <v>8</v>
      </c>
      <c r="B2442" s="0" t="s">
        <v>3544</v>
      </c>
      <c r="C2442" s="0" t="s">
        <v>7191</v>
      </c>
    </row>
    <row r="2443" customFormat="false" ht="15" hidden="false" customHeight="false" outlineLevel="0" collapsed="false">
      <c r="A2443" s="0" t="s">
        <v>8</v>
      </c>
      <c r="B2443" s="0" t="s">
        <v>3544</v>
      </c>
      <c r="C2443" s="0" t="s">
        <v>7192</v>
      </c>
    </row>
    <row r="2444" customFormat="false" ht="15" hidden="false" customHeight="false" outlineLevel="0" collapsed="false">
      <c r="A2444" s="0" t="s">
        <v>8</v>
      </c>
      <c r="B2444" s="0" t="s">
        <v>3547</v>
      </c>
      <c r="C2444" s="0" t="s">
        <v>7190</v>
      </c>
      <c r="D2444" s="0" t="n">
        <v>5.6541</v>
      </c>
    </row>
    <row r="2445" customFormat="false" ht="15" hidden="false" customHeight="false" outlineLevel="0" collapsed="false">
      <c r="A2445" s="0" t="s">
        <v>8</v>
      </c>
      <c r="B2445" s="0" t="s">
        <v>3547</v>
      </c>
      <c r="C2445" s="0" t="s">
        <v>7191</v>
      </c>
    </row>
    <row r="2446" customFormat="false" ht="15" hidden="false" customHeight="false" outlineLevel="0" collapsed="false">
      <c r="A2446" s="0" t="s">
        <v>8</v>
      </c>
      <c r="B2446" s="0" t="s">
        <v>3547</v>
      </c>
      <c r="C2446" s="0" t="s">
        <v>7192</v>
      </c>
    </row>
    <row r="2447" customFormat="false" ht="15" hidden="false" customHeight="false" outlineLevel="0" collapsed="false">
      <c r="A2447" s="0" t="s">
        <v>8</v>
      </c>
      <c r="B2447" s="0" t="s">
        <v>3550</v>
      </c>
      <c r="C2447" s="0" t="s">
        <v>7190</v>
      </c>
      <c r="D2447" s="0" t="n">
        <v>0.1283</v>
      </c>
    </row>
    <row r="2448" customFormat="false" ht="15" hidden="false" customHeight="false" outlineLevel="0" collapsed="false">
      <c r="A2448" s="0" t="s">
        <v>8</v>
      </c>
      <c r="B2448" s="0" t="s">
        <v>3550</v>
      </c>
      <c r="C2448" s="0" t="s">
        <v>7191</v>
      </c>
    </row>
    <row r="2449" customFormat="false" ht="15" hidden="false" customHeight="false" outlineLevel="0" collapsed="false">
      <c r="A2449" s="0" t="s">
        <v>8</v>
      </c>
      <c r="B2449" s="0" t="s">
        <v>3550</v>
      </c>
      <c r="C2449" s="0" t="s">
        <v>7192</v>
      </c>
    </row>
    <row r="2450" customFormat="false" ht="15" hidden="false" customHeight="false" outlineLevel="0" collapsed="false">
      <c r="A2450" s="0" t="s">
        <v>8</v>
      </c>
      <c r="B2450" s="0" t="s">
        <v>3555</v>
      </c>
      <c r="C2450" s="0" t="s">
        <v>7190</v>
      </c>
      <c r="D2450" s="0" t="n">
        <v>0.6676</v>
      </c>
    </row>
    <row r="2451" customFormat="false" ht="15" hidden="false" customHeight="false" outlineLevel="0" collapsed="false">
      <c r="A2451" s="0" t="s">
        <v>8</v>
      </c>
      <c r="B2451" s="0" t="s">
        <v>3555</v>
      </c>
      <c r="C2451" s="0" t="s">
        <v>7191</v>
      </c>
    </row>
    <row r="2452" customFormat="false" ht="15" hidden="false" customHeight="false" outlineLevel="0" collapsed="false">
      <c r="A2452" s="0" t="s">
        <v>8</v>
      </c>
      <c r="B2452" s="0" t="s">
        <v>3555</v>
      </c>
      <c r="C2452" s="0" t="s">
        <v>7192</v>
      </c>
    </row>
    <row r="2453" customFormat="false" ht="15" hidden="false" customHeight="false" outlineLevel="0" collapsed="false">
      <c r="A2453" s="0" t="s">
        <v>8</v>
      </c>
      <c r="B2453" s="0" t="s">
        <v>3558</v>
      </c>
      <c r="C2453" s="0" t="s">
        <v>7190</v>
      </c>
      <c r="D2453" s="0" t="n">
        <v>2.1316</v>
      </c>
    </row>
    <row r="2454" customFormat="false" ht="15" hidden="false" customHeight="false" outlineLevel="0" collapsed="false">
      <c r="A2454" s="0" t="s">
        <v>8</v>
      </c>
      <c r="B2454" s="0" t="s">
        <v>3558</v>
      </c>
      <c r="C2454" s="0" t="s">
        <v>7191</v>
      </c>
    </row>
    <row r="2455" customFormat="false" ht="15" hidden="false" customHeight="false" outlineLevel="0" collapsed="false">
      <c r="A2455" s="0" t="s">
        <v>8</v>
      </c>
      <c r="B2455" s="0" t="s">
        <v>3558</v>
      </c>
      <c r="C2455" s="0" t="s">
        <v>7192</v>
      </c>
    </row>
    <row r="2456" customFormat="false" ht="15" hidden="false" customHeight="false" outlineLevel="0" collapsed="false">
      <c r="A2456" s="0" t="s">
        <v>8</v>
      </c>
      <c r="B2456" s="0" t="s">
        <v>3561</v>
      </c>
      <c r="C2456" s="0" t="s">
        <v>7190</v>
      </c>
      <c r="D2456" s="0" t="n">
        <v>2.1346</v>
      </c>
    </row>
    <row r="2457" customFormat="false" ht="15" hidden="false" customHeight="false" outlineLevel="0" collapsed="false">
      <c r="A2457" s="0" t="s">
        <v>8</v>
      </c>
      <c r="B2457" s="0" t="s">
        <v>3561</v>
      </c>
      <c r="C2457" s="0" t="s">
        <v>7191</v>
      </c>
    </row>
    <row r="2458" customFormat="false" ht="15" hidden="false" customHeight="false" outlineLevel="0" collapsed="false">
      <c r="A2458" s="0" t="s">
        <v>8</v>
      </c>
      <c r="B2458" s="0" t="s">
        <v>3561</v>
      </c>
      <c r="C2458" s="0" t="s">
        <v>7192</v>
      </c>
    </row>
    <row r="2459" customFormat="false" ht="15" hidden="false" customHeight="false" outlineLevel="0" collapsed="false">
      <c r="A2459" s="0" t="s">
        <v>8</v>
      </c>
      <c r="B2459" s="0" t="s">
        <v>3564</v>
      </c>
      <c r="C2459" s="0" t="s">
        <v>7190</v>
      </c>
      <c r="D2459" s="0" t="n">
        <v>0</v>
      </c>
    </row>
    <row r="2460" customFormat="false" ht="15" hidden="false" customHeight="false" outlineLevel="0" collapsed="false">
      <c r="A2460" s="0" t="s">
        <v>8</v>
      </c>
      <c r="B2460" s="0" t="s">
        <v>3564</v>
      </c>
      <c r="C2460" s="0" t="s">
        <v>7191</v>
      </c>
    </row>
    <row r="2461" customFormat="false" ht="15" hidden="false" customHeight="false" outlineLevel="0" collapsed="false">
      <c r="A2461" s="0" t="s">
        <v>8</v>
      </c>
      <c r="B2461" s="0" t="s">
        <v>3564</v>
      </c>
      <c r="C2461" s="0" t="s">
        <v>7192</v>
      </c>
    </row>
    <row r="2462" customFormat="false" ht="15" hidden="false" customHeight="false" outlineLevel="0" collapsed="false">
      <c r="A2462" s="0" t="s">
        <v>8</v>
      </c>
      <c r="B2462" s="0" t="s">
        <v>3568</v>
      </c>
      <c r="C2462" s="0" t="s">
        <v>7190</v>
      </c>
      <c r="D2462" s="0" t="n">
        <v>0.4737</v>
      </c>
    </row>
    <row r="2463" customFormat="false" ht="15" hidden="false" customHeight="false" outlineLevel="0" collapsed="false">
      <c r="A2463" s="0" t="s">
        <v>8</v>
      </c>
      <c r="B2463" s="0" t="s">
        <v>3568</v>
      </c>
      <c r="C2463" s="0" t="s">
        <v>7191</v>
      </c>
    </row>
    <row r="2464" customFormat="false" ht="15" hidden="false" customHeight="false" outlineLevel="0" collapsed="false">
      <c r="A2464" s="0" t="s">
        <v>8</v>
      </c>
      <c r="B2464" s="0" t="s">
        <v>3568</v>
      </c>
      <c r="C2464" s="0" t="s">
        <v>7192</v>
      </c>
    </row>
    <row r="2465" customFormat="false" ht="15" hidden="false" customHeight="false" outlineLevel="0" collapsed="false">
      <c r="A2465" s="0" t="s">
        <v>8</v>
      </c>
      <c r="B2465" s="0" t="s">
        <v>3571</v>
      </c>
      <c r="C2465" s="0" t="s">
        <v>7190</v>
      </c>
      <c r="D2465" s="0" t="n">
        <v>2.0544</v>
      </c>
    </row>
    <row r="2466" customFormat="false" ht="15" hidden="false" customHeight="false" outlineLevel="0" collapsed="false">
      <c r="A2466" s="0" t="s">
        <v>8</v>
      </c>
      <c r="B2466" s="0" t="s">
        <v>3571</v>
      </c>
      <c r="C2466" s="0" t="s">
        <v>7191</v>
      </c>
    </row>
    <row r="2467" customFormat="false" ht="15" hidden="false" customHeight="false" outlineLevel="0" collapsed="false">
      <c r="A2467" s="0" t="s">
        <v>8</v>
      </c>
      <c r="B2467" s="0" t="s">
        <v>3571</v>
      </c>
      <c r="C2467" s="0" t="s">
        <v>7192</v>
      </c>
    </row>
    <row r="2468" customFormat="false" ht="15" hidden="false" customHeight="false" outlineLevel="0" collapsed="false">
      <c r="A2468" s="0" t="s">
        <v>8</v>
      </c>
      <c r="B2468" s="0" t="s">
        <v>3574</v>
      </c>
      <c r="C2468" s="0" t="s">
        <v>7190</v>
      </c>
      <c r="D2468" s="0" t="n">
        <v>1.7484</v>
      </c>
    </row>
    <row r="2469" customFormat="false" ht="15" hidden="false" customHeight="false" outlineLevel="0" collapsed="false">
      <c r="A2469" s="0" t="s">
        <v>8</v>
      </c>
      <c r="B2469" s="0" t="s">
        <v>3574</v>
      </c>
      <c r="C2469" s="0" t="s">
        <v>7191</v>
      </c>
    </row>
    <row r="2470" customFormat="false" ht="15" hidden="false" customHeight="false" outlineLevel="0" collapsed="false">
      <c r="A2470" s="0" t="s">
        <v>8</v>
      </c>
      <c r="B2470" s="0" t="s">
        <v>3574</v>
      </c>
      <c r="C2470" s="0" t="s">
        <v>7192</v>
      </c>
    </row>
    <row r="2471" customFormat="false" ht="15" hidden="false" customHeight="false" outlineLevel="0" collapsed="false">
      <c r="A2471" s="0" t="s">
        <v>8</v>
      </c>
      <c r="B2471" s="0" t="s">
        <v>3577</v>
      </c>
      <c r="C2471" s="0" t="s">
        <v>7190</v>
      </c>
      <c r="D2471" s="0" t="n">
        <v>0</v>
      </c>
    </row>
    <row r="2472" customFormat="false" ht="15" hidden="false" customHeight="false" outlineLevel="0" collapsed="false">
      <c r="A2472" s="0" t="s">
        <v>8</v>
      </c>
      <c r="B2472" s="0" t="s">
        <v>3577</v>
      </c>
      <c r="C2472" s="0" t="s">
        <v>7191</v>
      </c>
    </row>
    <row r="2473" customFormat="false" ht="15" hidden="false" customHeight="false" outlineLevel="0" collapsed="false">
      <c r="A2473" s="0" t="s">
        <v>8</v>
      </c>
      <c r="B2473" s="0" t="s">
        <v>3577</v>
      </c>
      <c r="C2473" s="0" t="s">
        <v>7192</v>
      </c>
    </row>
    <row r="2474" customFormat="false" ht="15" hidden="false" customHeight="false" outlineLevel="0" collapsed="false">
      <c r="A2474" s="0" t="s">
        <v>8</v>
      </c>
      <c r="B2474" s="0" t="s">
        <v>3581</v>
      </c>
      <c r="C2474" s="0" t="s">
        <v>7190</v>
      </c>
      <c r="D2474" s="0" t="n">
        <v>1.5675</v>
      </c>
    </row>
    <row r="2475" customFormat="false" ht="15" hidden="false" customHeight="false" outlineLevel="0" collapsed="false">
      <c r="A2475" s="0" t="s">
        <v>8</v>
      </c>
      <c r="B2475" s="0" t="s">
        <v>3581</v>
      </c>
      <c r="C2475" s="0" t="s">
        <v>7191</v>
      </c>
    </row>
    <row r="2476" customFormat="false" ht="15" hidden="false" customHeight="false" outlineLevel="0" collapsed="false">
      <c r="A2476" s="0" t="s">
        <v>8</v>
      </c>
      <c r="B2476" s="0" t="s">
        <v>3581</v>
      </c>
      <c r="C2476" s="0" t="s">
        <v>7192</v>
      </c>
    </row>
    <row r="2477" customFormat="false" ht="15" hidden="false" customHeight="false" outlineLevel="0" collapsed="false">
      <c r="A2477" s="0" t="s">
        <v>8</v>
      </c>
      <c r="B2477" s="0" t="s">
        <v>3584</v>
      </c>
      <c r="C2477" s="0" t="s">
        <v>7190</v>
      </c>
      <c r="D2477" s="0" t="n">
        <v>2.5267</v>
      </c>
    </row>
    <row r="2478" customFormat="false" ht="15" hidden="false" customHeight="false" outlineLevel="0" collapsed="false">
      <c r="A2478" s="0" t="s">
        <v>8</v>
      </c>
      <c r="B2478" s="0" t="s">
        <v>3584</v>
      </c>
      <c r="C2478" s="0" t="s">
        <v>7191</v>
      </c>
    </row>
    <row r="2479" customFormat="false" ht="15" hidden="false" customHeight="false" outlineLevel="0" collapsed="false">
      <c r="A2479" s="0" t="s">
        <v>8</v>
      </c>
      <c r="B2479" s="0" t="s">
        <v>3584</v>
      </c>
      <c r="C2479" s="0" t="s">
        <v>7192</v>
      </c>
    </row>
    <row r="2480" customFormat="false" ht="15" hidden="false" customHeight="false" outlineLevel="0" collapsed="false">
      <c r="A2480" s="0" t="s">
        <v>8</v>
      </c>
      <c r="B2480" s="0" t="s">
        <v>3587</v>
      </c>
      <c r="C2480" s="0" t="s">
        <v>7190</v>
      </c>
      <c r="D2480" s="0" t="n">
        <v>2.113</v>
      </c>
    </row>
    <row r="2481" customFormat="false" ht="15" hidden="false" customHeight="false" outlineLevel="0" collapsed="false">
      <c r="A2481" s="0" t="s">
        <v>8</v>
      </c>
      <c r="B2481" s="0" t="s">
        <v>3587</v>
      </c>
      <c r="C2481" s="0" t="s">
        <v>7191</v>
      </c>
    </row>
    <row r="2482" customFormat="false" ht="15" hidden="false" customHeight="false" outlineLevel="0" collapsed="false">
      <c r="A2482" s="0" t="s">
        <v>8</v>
      </c>
      <c r="B2482" s="0" t="s">
        <v>3587</v>
      </c>
      <c r="C2482" s="0" t="s">
        <v>7192</v>
      </c>
    </row>
    <row r="2483" customFormat="false" ht="15" hidden="false" customHeight="false" outlineLevel="0" collapsed="false">
      <c r="A2483" s="0" t="s">
        <v>8</v>
      </c>
      <c r="B2483" s="0" t="s">
        <v>3590</v>
      </c>
      <c r="C2483" s="0" t="s">
        <v>7190</v>
      </c>
      <c r="D2483" s="0" t="n">
        <v>4.75</v>
      </c>
    </row>
    <row r="2484" customFormat="false" ht="15" hidden="false" customHeight="false" outlineLevel="0" collapsed="false">
      <c r="A2484" s="0" t="s">
        <v>8</v>
      </c>
      <c r="B2484" s="0" t="s">
        <v>3590</v>
      </c>
      <c r="C2484" s="0" t="s">
        <v>7191</v>
      </c>
    </row>
    <row r="2485" customFormat="false" ht="15" hidden="false" customHeight="false" outlineLevel="0" collapsed="false">
      <c r="A2485" s="0" t="s">
        <v>8</v>
      </c>
      <c r="B2485" s="0" t="s">
        <v>3590</v>
      </c>
      <c r="C2485" s="0" t="s">
        <v>7192</v>
      </c>
    </row>
    <row r="2486" customFormat="false" ht="15" hidden="false" customHeight="false" outlineLevel="0" collapsed="false">
      <c r="A2486" s="0" t="s">
        <v>8</v>
      </c>
      <c r="B2486" s="0" t="s">
        <v>3595</v>
      </c>
      <c r="C2486" s="0" t="s">
        <v>7190</v>
      </c>
      <c r="D2486" s="0" t="n">
        <v>0.1428</v>
      </c>
    </row>
    <row r="2487" customFormat="false" ht="15" hidden="false" customHeight="false" outlineLevel="0" collapsed="false">
      <c r="A2487" s="0" t="s">
        <v>8</v>
      </c>
      <c r="B2487" s="0" t="s">
        <v>3595</v>
      </c>
      <c r="C2487" s="0" t="s">
        <v>7191</v>
      </c>
    </row>
    <row r="2488" customFormat="false" ht="15" hidden="false" customHeight="false" outlineLevel="0" collapsed="false">
      <c r="A2488" s="0" t="s">
        <v>8</v>
      </c>
      <c r="B2488" s="0" t="s">
        <v>3595</v>
      </c>
      <c r="C2488" s="0" t="s">
        <v>7192</v>
      </c>
    </row>
    <row r="2489" customFormat="false" ht="15" hidden="false" customHeight="false" outlineLevel="0" collapsed="false">
      <c r="A2489" s="0" t="s">
        <v>8</v>
      </c>
      <c r="B2489" s="0" t="s">
        <v>3600</v>
      </c>
      <c r="C2489" s="0" t="s">
        <v>7190</v>
      </c>
      <c r="D2489" s="0" t="n">
        <v>0.4486</v>
      </c>
    </row>
    <row r="2490" customFormat="false" ht="15" hidden="false" customHeight="false" outlineLevel="0" collapsed="false">
      <c r="A2490" s="0" t="s">
        <v>8</v>
      </c>
      <c r="B2490" s="0" t="s">
        <v>3600</v>
      </c>
      <c r="C2490" s="0" t="s">
        <v>7191</v>
      </c>
    </row>
    <row r="2491" customFormat="false" ht="15" hidden="false" customHeight="false" outlineLevel="0" collapsed="false">
      <c r="A2491" s="0" t="s">
        <v>8</v>
      </c>
      <c r="B2491" s="0" t="s">
        <v>3600</v>
      </c>
      <c r="C2491" s="0" t="s">
        <v>7192</v>
      </c>
    </row>
    <row r="2492" customFormat="false" ht="15" hidden="false" customHeight="false" outlineLevel="0" collapsed="false">
      <c r="A2492" s="0" t="s">
        <v>8</v>
      </c>
      <c r="B2492" s="0" t="s">
        <v>3603</v>
      </c>
      <c r="C2492" s="0" t="s">
        <v>7190</v>
      </c>
      <c r="D2492" s="0" t="n">
        <v>1.8739</v>
      </c>
    </row>
    <row r="2493" customFormat="false" ht="15" hidden="false" customHeight="false" outlineLevel="0" collapsed="false">
      <c r="A2493" s="0" t="s">
        <v>8</v>
      </c>
      <c r="B2493" s="0" t="s">
        <v>3603</v>
      </c>
      <c r="C2493" s="0" t="s">
        <v>7191</v>
      </c>
    </row>
    <row r="2494" customFormat="false" ht="15" hidden="false" customHeight="false" outlineLevel="0" collapsed="false">
      <c r="A2494" s="0" t="s">
        <v>8</v>
      </c>
      <c r="B2494" s="0" t="s">
        <v>3603</v>
      </c>
      <c r="C2494" s="0" t="s">
        <v>7192</v>
      </c>
    </row>
    <row r="2495" customFormat="false" ht="15" hidden="false" customHeight="false" outlineLevel="0" collapsed="false">
      <c r="A2495" s="0" t="s">
        <v>8</v>
      </c>
      <c r="B2495" s="0" t="s">
        <v>3606</v>
      </c>
      <c r="C2495" s="0" t="s">
        <v>7190</v>
      </c>
      <c r="D2495" s="0" t="n">
        <v>0.7782</v>
      </c>
    </row>
    <row r="2496" customFormat="false" ht="15" hidden="false" customHeight="false" outlineLevel="0" collapsed="false">
      <c r="A2496" s="0" t="s">
        <v>8</v>
      </c>
      <c r="B2496" s="0" t="s">
        <v>3606</v>
      </c>
      <c r="C2496" s="0" t="s">
        <v>7191</v>
      </c>
    </row>
    <row r="2497" customFormat="false" ht="15" hidden="false" customHeight="false" outlineLevel="0" collapsed="false">
      <c r="A2497" s="0" t="s">
        <v>8</v>
      </c>
      <c r="B2497" s="0" t="s">
        <v>3606</v>
      </c>
      <c r="C2497" s="0" t="s">
        <v>7192</v>
      </c>
    </row>
    <row r="2498" customFormat="false" ht="15" hidden="false" customHeight="false" outlineLevel="0" collapsed="false">
      <c r="A2498" s="0" t="s">
        <v>8</v>
      </c>
      <c r="B2498" s="0" t="s">
        <v>3610</v>
      </c>
      <c r="C2498" s="0" t="s">
        <v>7190</v>
      </c>
      <c r="D2498" s="0" t="n">
        <v>1.2997</v>
      </c>
    </row>
    <row r="2499" customFormat="false" ht="15" hidden="false" customHeight="false" outlineLevel="0" collapsed="false">
      <c r="A2499" s="0" t="s">
        <v>8</v>
      </c>
      <c r="B2499" s="0" t="s">
        <v>3610</v>
      </c>
      <c r="C2499" s="0" t="s">
        <v>7191</v>
      </c>
    </row>
    <row r="2500" customFormat="false" ht="15" hidden="false" customHeight="false" outlineLevel="0" collapsed="false">
      <c r="A2500" s="0" t="s">
        <v>8</v>
      </c>
      <c r="B2500" s="0" t="s">
        <v>3610</v>
      </c>
      <c r="C2500" s="0" t="s">
        <v>7192</v>
      </c>
    </row>
    <row r="2501" customFormat="false" ht="15" hidden="false" customHeight="false" outlineLevel="0" collapsed="false">
      <c r="A2501" s="0" t="s">
        <v>8</v>
      </c>
      <c r="B2501" s="0" t="s">
        <v>3613</v>
      </c>
      <c r="C2501" s="0" t="s">
        <v>7190</v>
      </c>
      <c r="D2501" s="0" t="n">
        <v>0.1111</v>
      </c>
    </row>
    <row r="2502" customFormat="false" ht="15" hidden="false" customHeight="false" outlineLevel="0" collapsed="false">
      <c r="A2502" s="0" t="s">
        <v>8</v>
      </c>
      <c r="B2502" s="0" t="s">
        <v>3613</v>
      </c>
      <c r="C2502" s="0" t="s">
        <v>7191</v>
      </c>
    </row>
    <row r="2503" customFormat="false" ht="15" hidden="false" customHeight="false" outlineLevel="0" collapsed="false">
      <c r="A2503" s="0" t="s">
        <v>8</v>
      </c>
      <c r="B2503" s="0" t="s">
        <v>3613</v>
      </c>
      <c r="C2503" s="0" t="s">
        <v>7192</v>
      </c>
    </row>
    <row r="2504" customFormat="false" ht="15" hidden="false" customHeight="false" outlineLevel="0" collapsed="false">
      <c r="A2504" s="0" t="s">
        <v>8</v>
      </c>
      <c r="B2504" s="0" t="s">
        <v>3618</v>
      </c>
      <c r="C2504" s="0" t="s">
        <v>7190</v>
      </c>
      <c r="D2504" s="0" t="n">
        <v>0.3183</v>
      </c>
    </row>
    <row r="2505" customFormat="false" ht="15" hidden="false" customHeight="false" outlineLevel="0" collapsed="false">
      <c r="A2505" s="0" t="s">
        <v>8</v>
      </c>
      <c r="B2505" s="0" t="s">
        <v>3618</v>
      </c>
      <c r="C2505" s="0" t="s">
        <v>7191</v>
      </c>
    </row>
    <row r="2506" customFormat="false" ht="15" hidden="false" customHeight="false" outlineLevel="0" collapsed="false">
      <c r="A2506" s="0" t="s">
        <v>8</v>
      </c>
      <c r="B2506" s="0" t="s">
        <v>3618</v>
      </c>
      <c r="C2506" s="0" t="s">
        <v>7192</v>
      </c>
    </row>
    <row r="2507" customFormat="false" ht="15" hidden="false" customHeight="false" outlineLevel="0" collapsed="false">
      <c r="A2507" s="0" t="s">
        <v>8</v>
      </c>
      <c r="B2507" s="0" t="s">
        <v>3621</v>
      </c>
      <c r="C2507" s="0" t="s">
        <v>7190</v>
      </c>
      <c r="D2507" s="0" t="n">
        <v>1.4739</v>
      </c>
    </row>
    <row r="2508" customFormat="false" ht="15" hidden="false" customHeight="false" outlineLevel="0" collapsed="false">
      <c r="A2508" s="0" t="s">
        <v>8</v>
      </c>
      <c r="B2508" s="0" t="s">
        <v>3621</v>
      </c>
      <c r="C2508" s="0" t="s">
        <v>7191</v>
      </c>
    </row>
    <row r="2509" customFormat="false" ht="15" hidden="false" customHeight="false" outlineLevel="0" collapsed="false">
      <c r="A2509" s="0" t="s">
        <v>8</v>
      </c>
      <c r="B2509" s="0" t="s">
        <v>3621</v>
      </c>
      <c r="C2509" s="0" t="s">
        <v>7192</v>
      </c>
    </row>
    <row r="2510" customFormat="false" ht="15" hidden="false" customHeight="false" outlineLevel="0" collapsed="false">
      <c r="A2510" s="0" t="s">
        <v>8</v>
      </c>
      <c r="B2510" s="0" t="s">
        <v>3624</v>
      </c>
      <c r="C2510" s="0" t="s">
        <v>7190</v>
      </c>
      <c r="D2510" s="0" t="n">
        <v>0.6177</v>
      </c>
    </row>
    <row r="2511" customFormat="false" ht="15" hidden="false" customHeight="false" outlineLevel="0" collapsed="false">
      <c r="A2511" s="0" t="s">
        <v>8</v>
      </c>
      <c r="B2511" s="0" t="s">
        <v>3624</v>
      </c>
      <c r="C2511" s="0" t="s">
        <v>7191</v>
      </c>
    </row>
    <row r="2512" customFormat="false" ht="15" hidden="false" customHeight="false" outlineLevel="0" collapsed="false">
      <c r="A2512" s="0" t="s">
        <v>8</v>
      </c>
      <c r="B2512" s="0" t="s">
        <v>3624</v>
      </c>
      <c r="C2512" s="0" t="s">
        <v>7192</v>
      </c>
    </row>
    <row r="2513" customFormat="false" ht="15" hidden="false" customHeight="false" outlineLevel="0" collapsed="false">
      <c r="A2513" s="0" t="s">
        <v>8</v>
      </c>
      <c r="B2513" s="0" t="s">
        <v>3627</v>
      </c>
      <c r="C2513" s="0" t="s">
        <v>7190</v>
      </c>
      <c r="D2513" s="0" t="n">
        <v>1.0608</v>
      </c>
    </row>
    <row r="2514" customFormat="false" ht="15" hidden="false" customHeight="false" outlineLevel="0" collapsed="false">
      <c r="A2514" s="0" t="s">
        <v>8</v>
      </c>
      <c r="B2514" s="0" t="s">
        <v>3627</v>
      </c>
      <c r="C2514" s="0" t="s">
        <v>7191</v>
      </c>
    </row>
    <row r="2515" customFormat="false" ht="15" hidden="false" customHeight="false" outlineLevel="0" collapsed="false">
      <c r="A2515" s="0" t="s">
        <v>8</v>
      </c>
      <c r="B2515" s="0" t="s">
        <v>3627</v>
      </c>
      <c r="C2515" s="0" t="s">
        <v>7192</v>
      </c>
    </row>
    <row r="2516" customFormat="false" ht="15" hidden="false" customHeight="false" outlineLevel="0" collapsed="false">
      <c r="A2516" s="0" t="s">
        <v>8</v>
      </c>
      <c r="B2516" s="0" t="s">
        <v>3630</v>
      </c>
      <c r="C2516" s="0" t="s">
        <v>7190</v>
      </c>
      <c r="D2516" s="0" t="n">
        <v>0.0238</v>
      </c>
    </row>
    <row r="2517" customFormat="false" ht="15" hidden="false" customHeight="false" outlineLevel="0" collapsed="false">
      <c r="A2517" s="0" t="s">
        <v>8</v>
      </c>
      <c r="B2517" s="0" t="s">
        <v>3630</v>
      </c>
      <c r="C2517" s="0" t="s">
        <v>7191</v>
      </c>
    </row>
    <row r="2518" customFormat="false" ht="15" hidden="false" customHeight="false" outlineLevel="0" collapsed="false">
      <c r="A2518" s="0" t="s">
        <v>8</v>
      </c>
      <c r="B2518" s="0" t="s">
        <v>3630</v>
      </c>
      <c r="C2518" s="0" t="s">
        <v>7192</v>
      </c>
    </row>
    <row r="2519" customFormat="false" ht="15" hidden="false" customHeight="false" outlineLevel="0" collapsed="false">
      <c r="A2519" s="0" t="s">
        <v>8</v>
      </c>
      <c r="B2519" s="0" t="s">
        <v>3635</v>
      </c>
      <c r="C2519" s="0" t="s">
        <v>7190</v>
      </c>
      <c r="D2519" s="0" t="n">
        <v>0.0554</v>
      </c>
    </row>
    <row r="2520" customFormat="false" ht="15" hidden="false" customHeight="false" outlineLevel="0" collapsed="false">
      <c r="A2520" s="0" t="s">
        <v>8</v>
      </c>
      <c r="B2520" s="0" t="s">
        <v>3635</v>
      </c>
      <c r="C2520" s="0" t="s">
        <v>7191</v>
      </c>
    </row>
    <row r="2521" customFormat="false" ht="15" hidden="false" customHeight="false" outlineLevel="0" collapsed="false">
      <c r="A2521" s="0" t="s">
        <v>8</v>
      </c>
      <c r="B2521" s="0" t="s">
        <v>3635</v>
      </c>
      <c r="C2521" s="0" t="s">
        <v>7192</v>
      </c>
    </row>
    <row r="2522" customFormat="false" ht="15" hidden="false" customHeight="false" outlineLevel="0" collapsed="false">
      <c r="A2522" s="0" t="s">
        <v>8</v>
      </c>
      <c r="B2522" s="0" t="s">
        <v>3638</v>
      </c>
      <c r="C2522" s="0" t="s">
        <v>7190</v>
      </c>
      <c r="D2522" s="0" t="n">
        <v>0.0907</v>
      </c>
    </row>
    <row r="2523" customFormat="false" ht="15" hidden="false" customHeight="false" outlineLevel="0" collapsed="false">
      <c r="A2523" s="0" t="s">
        <v>8</v>
      </c>
      <c r="B2523" s="0" t="s">
        <v>3638</v>
      </c>
      <c r="C2523" s="0" t="s">
        <v>7191</v>
      </c>
    </row>
    <row r="2524" customFormat="false" ht="15" hidden="false" customHeight="false" outlineLevel="0" collapsed="false">
      <c r="A2524" s="0" t="s">
        <v>8</v>
      </c>
      <c r="B2524" s="0" t="s">
        <v>3638</v>
      </c>
      <c r="C2524" s="0" t="s">
        <v>7192</v>
      </c>
    </row>
    <row r="2525" customFormat="false" ht="15" hidden="false" customHeight="false" outlineLevel="0" collapsed="false">
      <c r="A2525" s="0" t="s">
        <v>8</v>
      </c>
      <c r="B2525" s="0" t="s">
        <v>3641</v>
      </c>
      <c r="C2525" s="0" t="s">
        <v>7190</v>
      </c>
      <c r="D2525" s="0" t="n">
        <v>0.0421</v>
      </c>
    </row>
    <row r="2526" customFormat="false" ht="15" hidden="false" customHeight="false" outlineLevel="0" collapsed="false">
      <c r="A2526" s="0" t="s">
        <v>8</v>
      </c>
      <c r="B2526" s="0" t="s">
        <v>3641</v>
      </c>
      <c r="C2526" s="0" t="s">
        <v>7191</v>
      </c>
    </row>
    <row r="2527" customFormat="false" ht="15" hidden="false" customHeight="false" outlineLevel="0" collapsed="false">
      <c r="A2527" s="0" t="s">
        <v>8</v>
      </c>
      <c r="B2527" s="0" t="s">
        <v>3641</v>
      </c>
      <c r="C2527" s="0" t="s">
        <v>7192</v>
      </c>
    </row>
    <row r="2528" customFormat="false" ht="15" hidden="false" customHeight="false" outlineLevel="0" collapsed="false">
      <c r="A2528" s="0" t="s">
        <v>8</v>
      </c>
      <c r="B2528" s="0" t="s">
        <v>3644</v>
      </c>
      <c r="C2528" s="0" t="s">
        <v>7190</v>
      </c>
      <c r="D2528" s="0" t="n">
        <v>0.0591</v>
      </c>
    </row>
    <row r="2529" customFormat="false" ht="15" hidden="false" customHeight="false" outlineLevel="0" collapsed="false">
      <c r="A2529" s="0" t="s">
        <v>8</v>
      </c>
      <c r="B2529" s="0" t="s">
        <v>3644</v>
      </c>
      <c r="C2529" s="0" t="s">
        <v>7191</v>
      </c>
    </row>
    <row r="2530" customFormat="false" ht="15" hidden="false" customHeight="false" outlineLevel="0" collapsed="false">
      <c r="A2530" s="0" t="s">
        <v>8</v>
      </c>
      <c r="B2530" s="0" t="s">
        <v>3644</v>
      </c>
      <c r="C2530" s="0" t="s">
        <v>7192</v>
      </c>
    </row>
    <row r="2531" customFormat="false" ht="15" hidden="false" customHeight="false" outlineLevel="0" collapsed="false">
      <c r="A2531" s="0" t="s">
        <v>8</v>
      </c>
      <c r="B2531" s="0" t="s">
        <v>3647</v>
      </c>
      <c r="C2531" s="0" t="s">
        <v>7190</v>
      </c>
      <c r="D2531" s="0" t="n">
        <v>883</v>
      </c>
    </row>
    <row r="2532" customFormat="false" ht="15" hidden="false" customHeight="false" outlineLevel="0" collapsed="false">
      <c r="A2532" s="0" t="s">
        <v>8</v>
      </c>
      <c r="B2532" s="0" t="s">
        <v>3647</v>
      </c>
      <c r="C2532" s="0" t="s">
        <v>7191</v>
      </c>
    </row>
    <row r="2533" customFormat="false" ht="15" hidden="false" customHeight="false" outlineLevel="0" collapsed="false">
      <c r="A2533" s="0" t="s">
        <v>8</v>
      </c>
      <c r="B2533" s="0" t="s">
        <v>3647</v>
      </c>
      <c r="C2533" s="0" t="s">
        <v>7192</v>
      </c>
    </row>
    <row r="2534" customFormat="false" ht="15" hidden="false" customHeight="false" outlineLevel="0" collapsed="false">
      <c r="A2534" s="0" t="s">
        <v>8</v>
      </c>
      <c r="B2534" s="0" t="s">
        <v>3651</v>
      </c>
      <c r="C2534" s="0" t="s">
        <v>7190</v>
      </c>
      <c r="D2534" s="0" t="n">
        <v>657</v>
      </c>
    </row>
    <row r="2535" customFormat="false" ht="15" hidden="false" customHeight="false" outlineLevel="0" collapsed="false">
      <c r="A2535" s="0" t="s">
        <v>8</v>
      </c>
      <c r="B2535" s="0" t="s">
        <v>3651</v>
      </c>
      <c r="C2535" s="0" t="s">
        <v>7191</v>
      </c>
    </row>
    <row r="2536" customFormat="false" ht="15" hidden="false" customHeight="false" outlineLevel="0" collapsed="false">
      <c r="A2536" s="0" t="s">
        <v>8</v>
      </c>
      <c r="B2536" s="0" t="s">
        <v>3651</v>
      </c>
      <c r="C2536" s="0" t="s">
        <v>7192</v>
      </c>
    </row>
    <row r="2537" customFormat="false" ht="15" hidden="false" customHeight="false" outlineLevel="0" collapsed="false">
      <c r="A2537" s="0" t="s">
        <v>8</v>
      </c>
      <c r="B2537" s="0" t="s">
        <v>3655</v>
      </c>
      <c r="C2537" s="0" t="s">
        <v>7190</v>
      </c>
      <c r="D2537" s="0" t="n">
        <v>145</v>
      </c>
    </row>
    <row r="2538" customFormat="false" ht="15" hidden="false" customHeight="false" outlineLevel="0" collapsed="false">
      <c r="A2538" s="0" t="s">
        <v>8</v>
      </c>
      <c r="B2538" s="0" t="s">
        <v>3655</v>
      </c>
      <c r="C2538" s="0" t="s">
        <v>7191</v>
      </c>
    </row>
    <row r="2539" customFormat="false" ht="15" hidden="false" customHeight="false" outlineLevel="0" collapsed="false">
      <c r="A2539" s="0" t="s">
        <v>8</v>
      </c>
      <c r="B2539" s="0" t="s">
        <v>3655</v>
      </c>
      <c r="C2539" s="0" t="s">
        <v>7192</v>
      </c>
    </row>
    <row r="2540" customFormat="false" ht="15" hidden="false" customHeight="false" outlineLevel="0" collapsed="false">
      <c r="A2540" s="0" t="s">
        <v>8</v>
      </c>
      <c r="B2540" s="0" t="s">
        <v>3659</v>
      </c>
      <c r="C2540" s="0" t="s">
        <v>7190</v>
      </c>
      <c r="D2540" s="0" t="n">
        <v>81</v>
      </c>
    </row>
    <row r="2541" customFormat="false" ht="15" hidden="false" customHeight="false" outlineLevel="0" collapsed="false">
      <c r="A2541" s="0" t="s">
        <v>8</v>
      </c>
      <c r="B2541" s="0" t="s">
        <v>3659</v>
      </c>
      <c r="C2541" s="0" t="s">
        <v>7191</v>
      </c>
    </row>
    <row r="2542" customFormat="false" ht="15" hidden="false" customHeight="false" outlineLevel="0" collapsed="false">
      <c r="A2542" s="0" t="s">
        <v>8</v>
      </c>
      <c r="B2542" s="0" t="s">
        <v>3659</v>
      </c>
      <c r="C2542" s="0" t="s">
        <v>7192</v>
      </c>
    </row>
    <row r="2543" customFormat="false" ht="15" hidden="false" customHeight="false" outlineLevel="0" collapsed="false">
      <c r="A2543" s="0" t="s">
        <v>8</v>
      </c>
      <c r="B2543" s="0" t="s">
        <v>3663</v>
      </c>
      <c r="C2543" s="0" t="s">
        <v>7190</v>
      </c>
      <c r="D2543" s="0" t="n">
        <v>74.4</v>
      </c>
    </row>
    <row r="2544" customFormat="false" ht="15" hidden="false" customHeight="false" outlineLevel="0" collapsed="false">
      <c r="A2544" s="0" t="s">
        <v>8</v>
      </c>
      <c r="B2544" s="0" t="s">
        <v>3663</v>
      </c>
      <c r="C2544" s="0" t="s">
        <v>7191</v>
      </c>
    </row>
    <row r="2545" customFormat="false" ht="15" hidden="false" customHeight="false" outlineLevel="0" collapsed="false">
      <c r="A2545" s="0" t="s">
        <v>8</v>
      </c>
      <c r="B2545" s="0" t="s">
        <v>3663</v>
      </c>
      <c r="C2545" s="0" t="s">
        <v>7192</v>
      </c>
    </row>
    <row r="2546" customFormat="false" ht="15" hidden="false" customHeight="false" outlineLevel="0" collapsed="false">
      <c r="A2546" s="0" t="s">
        <v>8</v>
      </c>
      <c r="B2546" s="0" t="s">
        <v>3666</v>
      </c>
      <c r="C2546" s="0" t="s">
        <v>7190</v>
      </c>
      <c r="D2546" s="0" t="n">
        <v>657</v>
      </c>
    </row>
    <row r="2547" customFormat="false" ht="15" hidden="false" customHeight="false" outlineLevel="0" collapsed="false">
      <c r="A2547" s="0" t="s">
        <v>8</v>
      </c>
      <c r="B2547" s="0" t="s">
        <v>3666</v>
      </c>
      <c r="C2547" s="0" t="s">
        <v>7191</v>
      </c>
    </row>
    <row r="2548" customFormat="false" ht="15" hidden="false" customHeight="false" outlineLevel="0" collapsed="false">
      <c r="A2548" s="0" t="s">
        <v>8</v>
      </c>
      <c r="B2548" s="0" t="s">
        <v>3666</v>
      </c>
      <c r="C2548" s="0" t="s">
        <v>7192</v>
      </c>
    </row>
    <row r="2549" customFormat="false" ht="15" hidden="false" customHeight="false" outlineLevel="0" collapsed="false">
      <c r="A2549" s="0" t="s">
        <v>8</v>
      </c>
      <c r="B2549" s="0" t="s">
        <v>3670</v>
      </c>
      <c r="C2549" s="0" t="s">
        <v>7190</v>
      </c>
      <c r="D2549" s="0" t="n">
        <v>0.9072</v>
      </c>
    </row>
    <row r="2550" customFormat="false" ht="15" hidden="false" customHeight="false" outlineLevel="0" collapsed="false">
      <c r="A2550" s="0" t="s">
        <v>8</v>
      </c>
      <c r="B2550" s="0" t="s">
        <v>3670</v>
      </c>
      <c r="C2550" s="0" t="s">
        <v>7191</v>
      </c>
    </row>
    <row r="2551" customFormat="false" ht="15" hidden="false" customHeight="false" outlineLevel="0" collapsed="false">
      <c r="A2551" s="0" t="s">
        <v>8</v>
      </c>
      <c r="B2551" s="0" t="s">
        <v>3670</v>
      </c>
      <c r="C2551" s="0" t="s">
        <v>7192</v>
      </c>
    </row>
    <row r="2552" customFormat="false" ht="15" hidden="false" customHeight="false" outlineLevel="0" collapsed="false">
      <c r="A2552" s="0" t="s">
        <v>8</v>
      </c>
      <c r="B2552" s="0" t="s">
        <v>3675</v>
      </c>
      <c r="C2552" s="0" t="s">
        <v>7190</v>
      </c>
      <c r="D2552" s="0" t="n">
        <v>2.1728</v>
      </c>
    </row>
    <row r="2553" customFormat="false" ht="15" hidden="false" customHeight="false" outlineLevel="0" collapsed="false">
      <c r="A2553" s="0" t="s">
        <v>8</v>
      </c>
      <c r="B2553" s="0" t="s">
        <v>3675</v>
      </c>
      <c r="C2553" s="0" t="s">
        <v>7191</v>
      </c>
    </row>
    <row r="2554" customFormat="false" ht="15" hidden="false" customHeight="false" outlineLevel="0" collapsed="false">
      <c r="A2554" s="0" t="s">
        <v>8</v>
      </c>
      <c r="B2554" s="0" t="s">
        <v>3675</v>
      </c>
      <c r="C2554" s="0" t="s">
        <v>7192</v>
      </c>
    </row>
    <row r="2555" customFormat="false" ht="15" hidden="false" customHeight="false" outlineLevel="0" collapsed="false">
      <c r="A2555" s="0" t="s">
        <v>8</v>
      </c>
      <c r="B2555" s="0" t="s">
        <v>3678</v>
      </c>
      <c r="C2555" s="0" t="s">
        <v>7190</v>
      </c>
      <c r="D2555" s="0" t="n">
        <v>5.7322</v>
      </c>
    </row>
    <row r="2556" customFormat="false" ht="15" hidden="false" customHeight="false" outlineLevel="0" collapsed="false">
      <c r="A2556" s="0" t="s">
        <v>8</v>
      </c>
      <c r="B2556" s="0" t="s">
        <v>3678</v>
      </c>
      <c r="C2556" s="0" t="s">
        <v>7191</v>
      </c>
    </row>
    <row r="2557" customFormat="false" ht="15" hidden="false" customHeight="false" outlineLevel="0" collapsed="false">
      <c r="A2557" s="0" t="s">
        <v>8</v>
      </c>
      <c r="B2557" s="0" t="s">
        <v>3678</v>
      </c>
      <c r="C2557" s="0" t="s">
        <v>7192</v>
      </c>
    </row>
    <row r="2558" customFormat="false" ht="15" hidden="false" customHeight="false" outlineLevel="0" collapsed="false">
      <c r="A2558" s="0" t="s">
        <v>8</v>
      </c>
      <c r="B2558" s="0" t="s">
        <v>3681</v>
      </c>
      <c r="C2558" s="0" t="s">
        <v>7190</v>
      </c>
      <c r="D2558" s="0" t="n">
        <v>1.9235</v>
      </c>
    </row>
    <row r="2559" customFormat="false" ht="15" hidden="false" customHeight="false" outlineLevel="0" collapsed="false">
      <c r="A2559" s="0" t="s">
        <v>8</v>
      </c>
      <c r="B2559" s="0" t="s">
        <v>3681</v>
      </c>
      <c r="C2559" s="0" t="s">
        <v>7191</v>
      </c>
    </row>
    <row r="2560" customFormat="false" ht="15" hidden="false" customHeight="false" outlineLevel="0" collapsed="false">
      <c r="A2560" s="0" t="s">
        <v>8</v>
      </c>
      <c r="B2560" s="0" t="s">
        <v>3681</v>
      </c>
      <c r="C2560" s="0" t="s">
        <v>7192</v>
      </c>
    </row>
    <row r="2561" customFormat="false" ht="15" hidden="false" customHeight="false" outlineLevel="0" collapsed="false">
      <c r="A2561" s="0" t="s">
        <v>8</v>
      </c>
      <c r="B2561" s="0" t="s">
        <v>3684</v>
      </c>
      <c r="C2561" s="0" t="s">
        <v>7190</v>
      </c>
      <c r="D2561" s="0" t="n">
        <v>4.9959</v>
      </c>
    </row>
    <row r="2562" customFormat="false" ht="15" hidden="false" customHeight="false" outlineLevel="0" collapsed="false">
      <c r="A2562" s="0" t="s">
        <v>8</v>
      </c>
      <c r="B2562" s="0" t="s">
        <v>3684</v>
      </c>
      <c r="C2562" s="0" t="s">
        <v>7191</v>
      </c>
    </row>
    <row r="2563" customFormat="false" ht="15" hidden="false" customHeight="false" outlineLevel="0" collapsed="false">
      <c r="A2563" s="0" t="s">
        <v>8</v>
      </c>
      <c r="B2563" s="0" t="s">
        <v>3684</v>
      </c>
      <c r="C2563" s="0" t="s">
        <v>7192</v>
      </c>
    </row>
    <row r="2564" customFormat="false" ht="15" hidden="false" customHeight="false" outlineLevel="0" collapsed="false">
      <c r="A2564" s="0" t="s">
        <v>8</v>
      </c>
      <c r="B2564" s="0" t="s">
        <v>3687</v>
      </c>
      <c r="C2564" s="0" t="s">
        <v>7190</v>
      </c>
      <c r="D2564" s="0" t="n">
        <v>0.822</v>
      </c>
    </row>
    <row r="2565" customFormat="false" ht="15" hidden="false" customHeight="false" outlineLevel="0" collapsed="false">
      <c r="A2565" s="0" t="s">
        <v>8</v>
      </c>
      <c r="B2565" s="0" t="s">
        <v>3687</v>
      </c>
      <c r="C2565" s="0" t="s">
        <v>7191</v>
      </c>
    </row>
    <row r="2566" customFormat="false" ht="15" hidden="false" customHeight="false" outlineLevel="0" collapsed="false">
      <c r="A2566" s="0" t="s">
        <v>8</v>
      </c>
      <c r="B2566" s="0" t="s">
        <v>3687</v>
      </c>
      <c r="C2566" s="0" t="s">
        <v>7192</v>
      </c>
    </row>
    <row r="2567" customFormat="false" ht="15" hidden="false" customHeight="false" outlineLevel="0" collapsed="false">
      <c r="A2567" s="0" t="s">
        <v>8</v>
      </c>
      <c r="B2567" s="0" t="s">
        <v>3691</v>
      </c>
      <c r="C2567" s="0" t="s">
        <v>7190</v>
      </c>
      <c r="D2567" s="0" t="n">
        <v>1.9512</v>
      </c>
    </row>
    <row r="2568" customFormat="false" ht="15" hidden="false" customHeight="false" outlineLevel="0" collapsed="false">
      <c r="A2568" s="0" t="s">
        <v>8</v>
      </c>
      <c r="B2568" s="0" t="s">
        <v>3691</v>
      </c>
      <c r="C2568" s="0" t="s">
        <v>7191</v>
      </c>
    </row>
    <row r="2569" customFormat="false" ht="15" hidden="false" customHeight="false" outlineLevel="0" collapsed="false">
      <c r="A2569" s="0" t="s">
        <v>8</v>
      </c>
      <c r="B2569" s="0" t="s">
        <v>3691</v>
      </c>
      <c r="C2569" s="0" t="s">
        <v>7192</v>
      </c>
    </row>
    <row r="2570" customFormat="false" ht="15" hidden="false" customHeight="false" outlineLevel="0" collapsed="false">
      <c r="A2570" s="0" t="s">
        <v>8</v>
      </c>
      <c r="B2570" s="0" t="s">
        <v>3694</v>
      </c>
      <c r="C2570" s="0" t="s">
        <v>7190</v>
      </c>
      <c r="D2570" s="0" t="n">
        <v>5.1218</v>
      </c>
    </row>
    <row r="2571" customFormat="false" ht="15" hidden="false" customHeight="false" outlineLevel="0" collapsed="false">
      <c r="A2571" s="0" t="s">
        <v>8</v>
      </c>
      <c r="B2571" s="0" t="s">
        <v>3694</v>
      </c>
      <c r="C2571" s="0" t="s">
        <v>7191</v>
      </c>
    </row>
    <row r="2572" customFormat="false" ht="15" hidden="false" customHeight="false" outlineLevel="0" collapsed="false">
      <c r="A2572" s="0" t="s">
        <v>8</v>
      </c>
      <c r="B2572" s="0" t="s">
        <v>3694</v>
      </c>
      <c r="C2572" s="0" t="s">
        <v>7192</v>
      </c>
    </row>
    <row r="2573" customFormat="false" ht="15" hidden="false" customHeight="false" outlineLevel="0" collapsed="false">
      <c r="A2573" s="0" t="s">
        <v>8</v>
      </c>
      <c r="B2573" s="0" t="s">
        <v>3697</v>
      </c>
      <c r="C2573" s="0" t="s">
        <v>7190</v>
      </c>
      <c r="D2573" s="0" t="n">
        <v>1.7166</v>
      </c>
    </row>
    <row r="2574" customFormat="false" ht="15" hidden="false" customHeight="false" outlineLevel="0" collapsed="false">
      <c r="A2574" s="0" t="s">
        <v>8</v>
      </c>
      <c r="B2574" s="0" t="s">
        <v>3697</v>
      </c>
      <c r="C2574" s="0" t="s">
        <v>7191</v>
      </c>
    </row>
    <row r="2575" customFormat="false" ht="15" hidden="false" customHeight="false" outlineLevel="0" collapsed="false">
      <c r="A2575" s="0" t="s">
        <v>8</v>
      </c>
      <c r="B2575" s="0" t="s">
        <v>3697</v>
      </c>
      <c r="C2575" s="0" t="s">
        <v>7192</v>
      </c>
    </row>
    <row r="2576" customFormat="false" ht="15" hidden="false" customHeight="false" outlineLevel="0" collapsed="false">
      <c r="A2576" s="0" t="s">
        <v>8</v>
      </c>
      <c r="B2576" s="0" t="s">
        <v>3700</v>
      </c>
      <c r="C2576" s="0" t="s">
        <v>7190</v>
      </c>
      <c r="D2576" s="0" t="n">
        <v>3.1862</v>
      </c>
    </row>
    <row r="2577" customFormat="false" ht="15" hidden="false" customHeight="false" outlineLevel="0" collapsed="false">
      <c r="A2577" s="0" t="s">
        <v>8</v>
      </c>
      <c r="B2577" s="0" t="s">
        <v>3700</v>
      </c>
      <c r="C2577" s="0" t="s">
        <v>7191</v>
      </c>
    </row>
    <row r="2578" customFormat="false" ht="15" hidden="false" customHeight="false" outlineLevel="0" collapsed="false">
      <c r="A2578" s="0" t="s">
        <v>8</v>
      </c>
      <c r="B2578" s="0" t="s">
        <v>3700</v>
      </c>
      <c r="C2578" s="0" t="s">
        <v>7192</v>
      </c>
    </row>
    <row r="2579" customFormat="false" ht="15" hidden="false" customHeight="false" outlineLevel="0" collapsed="false">
      <c r="A2579" s="0" t="s">
        <v>8</v>
      </c>
      <c r="B2579" s="0" t="s">
        <v>3703</v>
      </c>
      <c r="C2579" s="0" t="s">
        <v>7190</v>
      </c>
      <c r="D2579" s="0" t="n">
        <v>0.075</v>
      </c>
    </row>
    <row r="2580" customFormat="false" ht="15" hidden="false" customHeight="false" outlineLevel="0" collapsed="false">
      <c r="A2580" s="0" t="s">
        <v>8</v>
      </c>
      <c r="B2580" s="0" t="s">
        <v>3703</v>
      </c>
      <c r="C2580" s="0" t="s">
        <v>7191</v>
      </c>
    </row>
    <row r="2581" customFormat="false" ht="15" hidden="false" customHeight="false" outlineLevel="0" collapsed="false">
      <c r="A2581" s="0" t="s">
        <v>8</v>
      </c>
      <c r="B2581" s="0" t="s">
        <v>3703</v>
      </c>
      <c r="C2581" s="0" t="s">
        <v>7192</v>
      </c>
    </row>
    <row r="2582" customFormat="false" ht="15" hidden="false" customHeight="false" outlineLevel="0" collapsed="false">
      <c r="A2582" s="0" t="s">
        <v>8</v>
      </c>
      <c r="B2582" s="0" t="s">
        <v>3707</v>
      </c>
      <c r="C2582" s="0" t="s">
        <v>7190</v>
      </c>
      <c r="D2582" s="0" t="n">
        <v>0.1667</v>
      </c>
    </row>
    <row r="2583" customFormat="false" ht="15" hidden="false" customHeight="false" outlineLevel="0" collapsed="false">
      <c r="A2583" s="0" t="s">
        <v>8</v>
      </c>
      <c r="B2583" s="0" t="s">
        <v>3707</v>
      </c>
      <c r="C2583" s="0" t="s">
        <v>7191</v>
      </c>
    </row>
    <row r="2584" customFormat="false" ht="15" hidden="false" customHeight="false" outlineLevel="0" collapsed="false">
      <c r="A2584" s="0" t="s">
        <v>8</v>
      </c>
      <c r="B2584" s="0" t="s">
        <v>3707</v>
      </c>
      <c r="C2584" s="0" t="s">
        <v>7192</v>
      </c>
    </row>
    <row r="2585" customFormat="false" ht="15" hidden="false" customHeight="false" outlineLevel="0" collapsed="false">
      <c r="A2585" s="0" t="s">
        <v>8</v>
      </c>
      <c r="B2585" s="0" t="s">
        <v>3710</v>
      </c>
      <c r="C2585" s="0" t="s">
        <v>7190</v>
      </c>
      <c r="D2585" s="0" t="n">
        <v>0.3747</v>
      </c>
    </row>
    <row r="2586" customFormat="false" ht="15" hidden="false" customHeight="false" outlineLevel="0" collapsed="false">
      <c r="A2586" s="0" t="s">
        <v>8</v>
      </c>
      <c r="B2586" s="0" t="s">
        <v>3710</v>
      </c>
      <c r="C2586" s="0" t="s">
        <v>7191</v>
      </c>
    </row>
    <row r="2587" customFormat="false" ht="15" hidden="false" customHeight="false" outlineLevel="0" collapsed="false">
      <c r="A2587" s="0" t="s">
        <v>8</v>
      </c>
      <c r="B2587" s="0" t="s">
        <v>3710</v>
      </c>
      <c r="C2587" s="0" t="s">
        <v>7192</v>
      </c>
    </row>
    <row r="2588" customFormat="false" ht="15" hidden="false" customHeight="false" outlineLevel="0" collapsed="false">
      <c r="A2588" s="0" t="s">
        <v>8</v>
      </c>
      <c r="B2588" s="0" t="s">
        <v>3713</v>
      </c>
      <c r="C2588" s="0" t="s">
        <v>7190</v>
      </c>
      <c r="D2588" s="0" t="n">
        <v>0.1647</v>
      </c>
    </row>
    <row r="2589" customFormat="false" ht="15" hidden="false" customHeight="false" outlineLevel="0" collapsed="false">
      <c r="A2589" s="0" t="s">
        <v>8</v>
      </c>
      <c r="B2589" s="0" t="s">
        <v>3713</v>
      </c>
      <c r="C2589" s="0" t="s">
        <v>7191</v>
      </c>
    </row>
    <row r="2590" customFormat="false" ht="15" hidden="false" customHeight="false" outlineLevel="0" collapsed="false">
      <c r="A2590" s="0" t="s">
        <v>8</v>
      </c>
      <c r="B2590" s="0" t="s">
        <v>3713</v>
      </c>
      <c r="C2590" s="0" t="s">
        <v>7192</v>
      </c>
    </row>
    <row r="2591" customFormat="false" ht="15" hidden="false" customHeight="false" outlineLevel="0" collapsed="false">
      <c r="A2591" s="0" t="s">
        <v>8</v>
      </c>
      <c r="B2591" s="0" t="s">
        <v>3716</v>
      </c>
      <c r="C2591" s="0" t="s">
        <v>7190</v>
      </c>
      <c r="D2591" s="0" t="n">
        <v>0.2212</v>
      </c>
    </row>
    <row r="2592" customFormat="false" ht="15" hidden="false" customHeight="false" outlineLevel="0" collapsed="false">
      <c r="A2592" s="0" t="s">
        <v>8</v>
      </c>
      <c r="B2592" s="0" t="s">
        <v>3716</v>
      </c>
      <c r="C2592" s="0" t="s">
        <v>7191</v>
      </c>
    </row>
    <row r="2593" customFormat="false" ht="15" hidden="false" customHeight="false" outlineLevel="0" collapsed="false">
      <c r="A2593" s="0" t="s">
        <v>8</v>
      </c>
      <c r="B2593" s="0" t="s">
        <v>3716</v>
      </c>
      <c r="C2593" s="0" t="s">
        <v>7192</v>
      </c>
    </row>
    <row r="2594" customFormat="false" ht="15" hidden="false" customHeight="false" outlineLevel="0" collapsed="false">
      <c r="A2594" s="0" t="s">
        <v>8</v>
      </c>
      <c r="B2594" s="0" t="s">
        <v>3719</v>
      </c>
      <c r="C2594" s="0" t="s">
        <v>7190</v>
      </c>
      <c r="D2594" s="0" t="n">
        <v>0.0102</v>
      </c>
    </row>
    <row r="2595" customFormat="false" ht="15" hidden="false" customHeight="false" outlineLevel="0" collapsed="false">
      <c r="A2595" s="0" t="s">
        <v>8</v>
      </c>
      <c r="B2595" s="0" t="s">
        <v>3719</v>
      </c>
      <c r="C2595" s="0" t="s">
        <v>7191</v>
      </c>
    </row>
    <row r="2596" customFormat="false" ht="15" hidden="false" customHeight="false" outlineLevel="0" collapsed="false">
      <c r="A2596" s="0" t="s">
        <v>8</v>
      </c>
      <c r="B2596" s="0" t="s">
        <v>3719</v>
      </c>
      <c r="C2596" s="0" t="s">
        <v>7192</v>
      </c>
    </row>
    <row r="2597" customFormat="false" ht="15" hidden="false" customHeight="false" outlineLevel="0" collapsed="false">
      <c r="A2597" s="0" t="s">
        <v>8</v>
      </c>
      <c r="B2597" s="0" t="s">
        <v>3723</v>
      </c>
      <c r="C2597" s="0" t="s">
        <v>7190</v>
      </c>
      <c r="D2597" s="0" t="n">
        <v>0.055</v>
      </c>
    </row>
    <row r="2598" customFormat="false" ht="15" hidden="false" customHeight="false" outlineLevel="0" collapsed="false">
      <c r="A2598" s="0" t="s">
        <v>8</v>
      </c>
      <c r="B2598" s="0" t="s">
        <v>3723</v>
      </c>
      <c r="C2598" s="0" t="s">
        <v>7191</v>
      </c>
    </row>
    <row r="2599" customFormat="false" ht="15" hidden="false" customHeight="false" outlineLevel="0" collapsed="false">
      <c r="A2599" s="0" t="s">
        <v>8</v>
      </c>
      <c r="B2599" s="0" t="s">
        <v>3723</v>
      </c>
      <c r="C2599" s="0" t="s">
        <v>7192</v>
      </c>
    </row>
    <row r="2600" customFormat="false" ht="15" hidden="false" customHeight="false" outlineLevel="0" collapsed="false">
      <c r="A2600" s="0" t="s">
        <v>8</v>
      </c>
      <c r="B2600" s="0" t="s">
        <v>3726</v>
      </c>
      <c r="C2600" s="0" t="s">
        <v>7190</v>
      </c>
      <c r="D2600" s="0" t="n">
        <v>0.2358</v>
      </c>
    </row>
    <row r="2601" customFormat="false" ht="15" hidden="false" customHeight="false" outlineLevel="0" collapsed="false">
      <c r="A2601" s="0" t="s">
        <v>8</v>
      </c>
      <c r="B2601" s="0" t="s">
        <v>3726</v>
      </c>
      <c r="C2601" s="0" t="s">
        <v>7191</v>
      </c>
    </row>
    <row r="2602" customFormat="false" ht="15" hidden="false" customHeight="false" outlineLevel="0" collapsed="false">
      <c r="A2602" s="0" t="s">
        <v>8</v>
      </c>
      <c r="B2602" s="0" t="s">
        <v>3726</v>
      </c>
      <c r="C2602" s="0" t="s">
        <v>7192</v>
      </c>
    </row>
    <row r="2603" customFormat="false" ht="15" hidden="false" customHeight="false" outlineLevel="0" collapsed="false">
      <c r="A2603" s="0" t="s">
        <v>8</v>
      </c>
      <c r="B2603" s="0" t="s">
        <v>3729</v>
      </c>
      <c r="C2603" s="0" t="s">
        <v>7190</v>
      </c>
      <c r="D2603" s="0" t="n">
        <v>0.0422</v>
      </c>
    </row>
    <row r="2604" customFormat="false" ht="15" hidden="false" customHeight="false" outlineLevel="0" collapsed="false">
      <c r="A2604" s="0" t="s">
        <v>8</v>
      </c>
      <c r="B2604" s="0" t="s">
        <v>3729</v>
      </c>
      <c r="C2604" s="0" t="s">
        <v>7191</v>
      </c>
    </row>
    <row r="2605" customFormat="false" ht="15" hidden="false" customHeight="false" outlineLevel="0" collapsed="false">
      <c r="A2605" s="0" t="s">
        <v>8</v>
      </c>
      <c r="B2605" s="0" t="s">
        <v>3729</v>
      </c>
      <c r="C2605" s="0" t="s">
        <v>7192</v>
      </c>
    </row>
    <row r="2606" customFormat="false" ht="15" hidden="false" customHeight="false" outlineLevel="0" collapsed="false">
      <c r="A2606" s="0" t="s">
        <v>8</v>
      </c>
      <c r="B2606" s="0" t="s">
        <v>3732</v>
      </c>
      <c r="C2606" s="0" t="s">
        <v>7190</v>
      </c>
      <c r="D2606" s="0" t="n">
        <v>1.5885</v>
      </c>
    </row>
    <row r="2607" customFormat="false" ht="15" hidden="false" customHeight="false" outlineLevel="0" collapsed="false">
      <c r="A2607" s="0" t="s">
        <v>8</v>
      </c>
      <c r="B2607" s="0" t="s">
        <v>3732</v>
      </c>
      <c r="C2607" s="0" t="s">
        <v>7191</v>
      </c>
    </row>
    <row r="2608" customFormat="false" ht="15" hidden="false" customHeight="false" outlineLevel="0" collapsed="false">
      <c r="A2608" s="0" t="s">
        <v>8</v>
      </c>
      <c r="B2608" s="0" t="s">
        <v>3732</v>
      </c>
      <c r="C2608" s="0" t="s">
        <v>7192</v>
      </c>
    </row>
    <row r="2609" customFormat="false" ht="15" hidden="false" customHeight="false" outlineLevel="0" collapsed="false">
      <c r="A2609" s="0" t="s">
        <v>8</v>
      </c>
      <c r="B2609" s="0" t="s">
        <v>3735</v>
      </c>
      <c r="C2609" s="0" t="s">
        <v>7190</v>
      </c>
    </row>
    <row r="2610" customFormat="false" ht="15" hidden="false" customHeight="false" outlineLevel="0" collapsed="false">
      <c r="A2610" s="0" t="s">
        <v>8</v>
      </c>
      <c r="B2610" s="0" t="s">
        <v>3735</v>
      </c>
      <c r="C2610" s="0" t="s">
        <v>7191</v>
      </c>
    </row>
    <row r="2611" customFormat="false" ht="15" hidden="false" customHeight="false" outlineLevel="0" collapsed="false">
      <c r="A2611" s="0" t="s">
        <v>8</v>
      </c>
      <c r="B2611" s="0" t="s">
        <v>3735</v>
      </c>
      <c r="C2611" s="0" t="s">
        <v>7192</v>
      </c>
    </row>
    <row r="2612" customFormat="false" ht="15" hidden="false" customHeight="false" outlineLevel="0" collapsed="false">
      <c r="A2612" s="0" t="s">
        <v>8</v>
      </c>
      <c r="B2612" s="0" t="s">
        <v>3741</v>
      </c>
      <c r="C2612" s="0" t="s">
        <v>7190</v>
      </c>
      <c r="D2612" s="0" t="n">
        <v>0.0078</v>
      </c>
    </row>
    <row r="2613" customFormat="false" ht="15" hidden="false" customHeight="false" outlineLevel="0" collapsed="false">
      <c r="A2613" s="0" t="s">
        <v>8</v>
      </c>
      <c r="B2613" s="0" t="s">
        <v>3741</v>
      </c>
      <c r="C2613" s="0" t="s">
        <v>7191</v>
      </c>
    </row>
    <row r="2614" customFormat="false" ht="15" hidden="false" customHeight="false" outlineLevel="0" collapsed="false">
      <c r="A2614" s="0" t="s">
        <v>8</v>
      </c>
      <c r="B2614" s="0" t="s">
        <v>3741</v>
      </c>
      <c r="C2614" s="0" t="s">
        <v>7192</v>
      </c>
    </row>
    <row r="2615" customFormat="false" ht="15" hidden="false" customHeight="false" outlineLevel="0" collapsed="false">
      <c r="A2615" s="0" t="s">
        <v>8</v>
      </c>
      <c r="B2615" s="0" t="s">
        <v>3746</v>
      </c>
      <c r="C2615" s="0" t="s">
        <v>7190</v>
      </c>
      <c r="D2615" s="0" t="n">
        <v>0.0165</v>
      </c>
    </row>
    <row r="2616" customFormat="false" ht="15" hidden="false" customHeight="false" outlineLevel="0" collapsed="false">
      <c r="A2616" s="0" t="s">
        <v>8</v>
      </c>
      <c r="B2616" s="0" t="s">
        <v>3746</v>
      </c>
      <c r="C2616" s="0" t="s">
        <v>7191</v>
      </c>
    </row>
    <row r="2617" customFormat="false" ht="15" hidden="false" customHeight="false" outlineLevel="0" collapsed="false">
      <c r="A2617" s="0" t="s">
        <v>8</v>
      </c>
      <c r="B2617" s="0" t="s">
        <v>3746</v>
      </c>
      <c r="C2617" s="0" t="s">
        <v>7192</v>
      </c>
    </row>
    <row r="2618" customFormat="false" ht="15" hidden="false" customHeight="false" outlineLevel="0" collapsed="false">
      <c r="A2618" s="0" t="s">
        <v>8</v>
      </c>
      <c r="B2618" s="0" t="s">
        <v>3749</v>
      </c>
      <c r="C2618" s="0" t="s">
        <v>7190</v>
      </c>
      <c r="D2618" s="0" t="n">
        <v>0.0405</v>
      </c>
    </row>
    <row r="2619" customFormat="false" ht="15" hidden="false" customHeight="false" outlineLevel="0" collapsed="false">
      <c r="A2619" s="0" t="s">
        <v>8</v>
      </c>
      <c r="B2619" s="0" t="s">
        <v>3749</v>
      </c>
      <c r="C2619" s="0" t="s">
        <v>7191</v>
      </c>
    </row>
    <row r="2620" customFormat="false" ht="15" hidden="false" customHeight="false" outlineLevel="0" collapsed="false">
      <c r="A2620" s="0" t="s">
        <v>8</v>
      </c>
      <c r="B2620" s="0" t="s">
        <v>3749</v>
      </c>
      <c r="C2620" s="0" t="s">
        <v>7192</v>
      </c>
    </row>
    <row r="2621" customFormat="false" ht="15" hidden="false" customHeight="false" outlineLevel="0" collapsed="false">
      <c r="A2621" s="0" t="s">
        <v>8</v>
      </c>
      <c r="B2621" s="0" t="s">
        <v>3752</v>
      </c>
      <c r="C2621" s="0" t="s">
        <v>7190</v>
      </c>
      <c r="D2621" s="0" t="n">
        <v>0.0086</v>
      </c>
    </row>
    <row r="2622" customFormat="false" ht="15" hidden="false" customHeight="false" outlineLevel="0" collapsed="false">
      <c r="A2622" s="0" t="s">
        <v>8</v>
      </c>
      <c r="B2622" s="0" t="s">
        <v>3752</v>
      </c>
      <c r="C2622" s="0" t="s">
        <v>7191</v>
      </c>
    </row>
    <row r="2623" customFormat="false" ht="15" hidden="false" customHeight="false" outlineLevel="0" collapsed="false">
      <c r="A2623" s="0" t="s">
        <v>8</v>
      </c>
      <c r="B2623" s="0" t="s">
        <v>3752</v>
      </c>
      <c r="C2623" s="0" t="s">
        <v>7192</v>
      </c>
    </row>
    <row r="2624" customFormat="false" ht="15" hidden="false" customHeight="false" outlineLevel="0" collapsed="false">
      <c r="A2624" s="0" t="s">
        <v>8</v>
      </c>
      <c r="B2624" s="0" t="s">
        <v>3755</v>
      </c>
      <c r="C2624" s="0" t="s">
        <v>7190</v>
      </c>
      <c r="D2624" s="0" t="n">
        <v>0.3988</v>
      </c>
    </row>
    <row r="2625" customFormat="false" ht="15" hidden="false" customHeight="false" outlineLevel="0" collapsed="false">
      <c r="A2625" s="0" t="s">
        <v>8</v>
      </c>
      <c r="B2625" s="0" t="s">
        <v>3755</v>
      </c>
      <c r="C2625" s="0" t="s">
        <v>7191</v>
      </c>
    </row>
    <row r="2626" customFormat="false" ht="15" hidden="false" customHeight="false" outlineLevel="0" collapsed="false">
      <c r="A2626" s="0" t="s">
        <v>8</v>
      </c>
      <c r="B2626" s="0" t="s">
        <v>3755</v>
      </c>
      <c r="C2626" s="0" t="s">
        <v>7192</v>
      </c>
    </row>
    <row r="2627" customFormat="false" ht="15" hidden="false" customHeight="false" outlineLevel="0" collapsed="false">
      <c r="A2627" s="0" t="s">
        <v>8</v>
      </c>
      <c r="B2627" s="0" t="s">
        <v>3758</v>
      </c>
      <c r="C2627" s="0" t="s">
        <v>7190</v>
      </c>
      <c r="D2627" s="0" t="n">
        <v>6620</v>
      </c>
    </row>
    <row r="2628" customFormat="false" ht="15" hidden="false" customHeight="false" outlineLevel="0" collapsed="false">
      <c r="A2628" s="0" t="s">
        <v>8</v>
      </c>
      <c r="B2628" s="0" t="s">
        <v>3758</v>
      </c>
      <c r="C2628" s="0" t="s">
        <v>7191</v>
      </c>
    </row>
    <row r="2629" customFormat="false" ht="15" hidden="false" customHeight="false" outlineLevel="0" collapsed="false">
      <c r="A2629" s="0" t="s">
        <v>8</v>
      </c>
      <c r="B2629" s="0" t="s">
        <v>3758</v>
      </c>
      <c r="C2629" s="0" t="s">
        <v>7192</v>
      </c>
    </row>
    <row r="2630" customFormat="false" ht="15" hidden="false" customHeight="false" outlineLevel="0" collapsed="false">
      <c r="A2630" s="0" t="s">
        <v>8</v>
      </c>
      <c r="B2630" s="0" t="s">
        <v>3764</v>
      </c>
      <c r="C2630" s="0" t="s">
        <v>7190</v>
      </c>
      <c r="D2630" s="0" t="n">
        <v>0.3165</v>
      </c>
    </row>
    <row r="2631" customFormat="false" ht="15" hidden="false" customHeight="false" outlineLevel="0" collapsed="false">
      <c r="A2631" s="0" t="s">
        <v>8</v>
      </c>
      <c r="B2631" s="0" t="s">
        <v>3764</v>
      </c>
      <c r="C2631" s="0" t="s">
        <v>7191</v>
      </c>
    </row>
    <row r="2632" customFormat="false" ht="15" hidden="false" customHeight="false" outlineLevel="0" collapsed="false">
      <c r="A2632" s="0" t="s">
        <v>8</v>
      </c>
      <c r="B2632" s="0" t="s">
        <v>3764</v>
      </c>
      <c r="C2632" s="0" t="s">
        <v>7192</v>
      </c>
    </row>
    <row r="2633" customFormat="false" ht="15" hidden="false" customHeight="false" outlineLevel="0" collapsed="false">
      <c r="A2633" s="0" t="s">
        <v>8</v>
      </c>
      <c r="B2633" s="0" t="s">
        <v>3769</v>
      </c>
      <c r="C2633" s="0" t="s">
        <v>7190</v>
      </c>
      <c r="D2633" s="0" t="n">
        <v>5.0676</v>
      </c>
    </row>
    <row r="2634" customFormat="false" ht="15" hidden="false" customHeight="false" outlineLevel="0" collapsed="false">
      <c r="A2634" s="0" t="s">
        <v>8</v>
      </c>
      <c r="B2634" s="0" t="s">
        <v>3769</v>
      </c>
      <c r="C2634" s="0" t="s">
        <v>7191</v>
      </c>
    </row>
    <row r="2635" customFormat="false" ht="15" hidden="false" customHeight="false" outlineLevel="0" collapsed="false">
      <c r="A2635" s="0" t="s">
        <v>8</v>
      </c>
      <c r="B2635" s="0" t="s">
        <v>3769</v>
      </c>
      <c r="C2635" s="0" t="s">
        <v>7192</v>
      </c>
    </row>
    <row r="2636" customFormat="false" ht="15" hidden="false" customHeight="false" outlineLevel="0" collapsed="false">
      <c r="A2636" s="0" t="s">
        <v>8</v>
      </c>
      <c r="B2636" s="0" t="s">
        <v>3772</v>
      </c>
      <c r="C2636" s="0" t="s">
        <v>7190</v>
      </c>
      <c r="D2636" s="0" t="n">
        <v>1.2596</v>
      </c>
    </row>
    <row r="2637" customFormat="false" ht="15" hidden="false" customHeight="false" outlineLevel="0" collapsed="false">
      <c r="A2637" s="0" t="s">
        <v>8</v>
      </c>
      <c r="B2637" s="0" t="s">
        <v>3772</v>
      </c>
      <c r="C2637" s="0" t="s">
        <v>7191</v>
      </c>
    </row>
    <row r="2638" customFormat="false" ht="15" hidden="false" customHeight="false" outlineLevel="0" collapsed="false">
      <c r="A2638" s="0" t="s">
        <v>8</v>
      </c>
      <c r="B2638" s="0" t="s">
        <v>3772</v>
      </c>
      <c r="C2638" s="0" t="s">
        <v>7192</v>
      </c>
    </row>
    <row r="2639" customFormat="false" ht="15" hidden="false" customHeight="false" outlineLevel="0" collapsed="false">
      <c r="A2639" s="0" t="s">
        <v>8</v>
      </c>
      <c r="B2639" s="0" t="s">
        <v>3775</v>
      </c>
      <c r="C2639" s="0" t="s">
        <v>7190</v>
      </c>
      <c r="D2639" s="0" t="n">
        <v>0.9839</v>
      </c>
    </row>
    <row r="2640" customFormat="false" ht="15" hidden="false" customHeight="false" outlineLevel="0" collapsed="false">
      <c r="A2640" s="0" t="s">
        <v>8</v>
      </c>
      <c r="B2640" s="0" t="s">
        <v>3775</v>
      </c>
      <c r="C2640" s="0" t="s">
        <v>7191</v>
      </c>
    </row>
    <row r="2641" customFormat="false" ht="15" hidden="false" customHeight="false" outlineLevel="0" collapsed="false">
      <c r="A2641" s="0" t="s">
        <v>8</v>
      </c>
      <c r="B2641" s="0" t="s">
        <v>3775</v>
      </c>
      <c r="C2641" s="0" t="s">
        <v>7192</v>
      </c>
    </row>
    <row r="2642" customFormat="false" ht="15" hidden="false" customHeight="false" outlineLevel="0" collapsed="false">
      <c r="A2642" s="0" t="s">
        <v>8</v>
      </c>
      <c r="B2642" s="0" t="s">
        <v>3778</v>
      </c>
      <c r="C2642" s="0" t="s">
        <v>7190</v>
      </c>
      <c r="D2642" s="0" t="n">
        <v>0.1274</v>
      </c>
    </row>
    <row r="2643" customFormat="false" ht="15" hidden="false" customHeight="false" outlineLevel="0" collapsed="false">
      <c r="A2643" s="0" t="s">
        <v>8</v>
      </c>
      <c r="B2643" s="0" t="s">
        <v>3778</v>
      </c>
      <c r="C2643" s="0" t="s">
        <v>7191</v>
      </c>
    </row>
    <row r="2644" customFormat="false" ht="15" hidden="false" customHeight="false" outlineLevel="0" collapsed="false">
      <c r="A2644" s="0" t="s">
        <v>8</v>
      </c>
      <c r="B2644" s="0" t="s">
        <v>3778</v>
      </c>
      <c r="C2644" s="0" t="s">
        <v>7192</v>
      </c>
    </row>
    <row r="2645" customFormat="false" ht="15" hidden="false" customHeight="false" outlineLevel="0" collapsed="false">
      <c r="A2645" s="0" t="s">
        <v>8</v>
      </c>
      <c r="B2645" s="0" t="s">
        <v>3781</v>
      </c>
      <c r="C2645" s="0" t="s">
        <v>7190</v>
      </c>
      <c r="D2645" s="0" t="n">
        <v>0</v>
      </c>
    </row>
    <row r="2646" customFormat="false" ht="15" hidden="false" customHeight="false" outlineLevel="0" collapsed="false">
      <c r="A2646" s="0" t="s">
        <v>8</v>
      </c>
      <c r="B2646" s="0" t="s">
        <v>3781</v>
      </c>
      <c r="C2646" s="0" t="s">
        <v>7191</v>
      </c>
    </row>
    <row r="2647" customFormat="false" ht="15" hidden="false" customHeight="false" outlineLevel="0" collapsed="false">
      <c r="A2647" s="0" t="s">
        <v>8</v>
      </c>
      <c r="B2647" s="0" t="s">
        <v>3781</v>
      </c>
      <c r="C2647" s="0" t="s">
        <v>7192</v>
      </c>
    </row>
    <row r="2648" customFormat="false" ht="15" hidden="false" customHeight="false" outlineLevel="0" collapsed="false">
      <c r="A2648" s="0" t="s">
        <v>8</v>
      </c>
      <c r="B2648" s="0" t="s">
        <v>3785</v>
      </c>
      <c r="C2648" s="0" t="s">
        <v>7190</v>
      </c>
      <c r="D2648" s="0" t="n">
        <v>0.0181</v>
      </c>
    </row>
    <row r="2649" customFormat="false" ht="15" hidden="false" customHeight="false" outlineLevel="0" collapsed="false">
      <c r="A2649" s="0" t="s">
        <v>8</v>
      </c>
      <c r="B2649" s="0" t="s">
        <v>3785</v>
      </c>
      <c r="C2649" s="0" t="s">
        <v>7191</v>
      </c>
    </row>
    <row r="2650" customFormat="false" ht="15" hidden="false" customHeight="false" outlineLevel="0" collapsed="false">
      <c r="A2650" s="0" t="s">
        <v>8</v>
      </c>
      <c r="B2650" s="0" t="s">
        <v>3785</v>
      </c>
      <c r="C2650" s="0" t="s">
        <v>7192</v>
      </c>
    </row>
    <row r="2651" customFormat="false" ht="15" hidden="false" customHeight="false" outlineLevel="0" collapsed="false">
      <c r="A2651" s="0" t="s">
        <v>8</v>
      </c>
      <c r="B2651" s="0" t="s">
        <v>3788</v>
      </c>
      <c r="C2651" s="0" t="s">
        <v>7190</v>
      </c>
      <c r="D2651" s="0" t="n">
        <v>0.068</v>
      </c>
    </row>
    <row r="2652" customFormat="false" ht="15" hidden="false" customHeight="false" outlineLevel="0" collapsed="false">
      <c r="A2652" s="0" t="s">
        <v>8</v>
      </c>
      <c r="B2652" s="0" t="s">
        <v>3788</v>
      </c>
      <c r="C2652" s="0" t="s">
        <v>7191</v>
      </c>
    </row>
    <row r="2653" customFormat="false" ht="15" hidden="false" customHeight="false" outlineLevel="0" collapsed="false">
      <c r="A2653" s="0" t="s">
        <v>8</v>
      </c>
      <c r="B2653" s="0" t="s">
        <v>3788</v>
      </c>
      <c r="C2653" s="0" t="s">
        <v>7192</v>
      </c>
    </row>
    <row r="2654" customFormat="false" ht="15" hidden="false" customHeight="false" outlineLevel="0" collapsed="false">
      <c r="A2654" s="0" t="s">
        <v>8</v>
      </c>
      <c r="B2654" s="0" t="s">
        <v>3791</v>
      </c>
      <c r="C2654" s="0" t="s">
        <v>7190</v>
      </c>
      <c r="D2654" s="0" t="n">
        <v>0.0615</v>
      </c>
    </row>
    <row r="2655" customFormat="false" ht="15" hidden="false" customHeight="false" outlineLevel="0" collapsed="false">
      <c r="A2655" s="0" t="s">
        <v>8</v>
      </c>
      <c r="B2655" s="0" t="s">
        <v>3791</v>
      </c>
      <c r="C2655" s="0" t="s">
        <v>7191</v>
      </c>
    </row>
    <row r="2656" customFormat="false" ht="15" hidden="false" customHeight="false" outlineLevel="0" collapsed="false">
      <c r="A2656" s="0" t="s">
        <v>8</v>
      </c>
      <c r="B2656" s="0" t="s">
        <v>3791</v>
      </c>
      <c r="C2656" s="0" t="s">
        <v>7192</v>
      </c>
    </row>
    <row r="2657" customFormat="false" ht="15" hidden="false" customHeight="false" outlineLevel="0" collapsed="false">
      <c r="A2657" s="0" t="s">
        <v>8</v>
      </c>
      <c r="B2657" s="0" t="s">
        <v>3794</v>
      </c>
      <c r="C2657" s="0" t="s">
        <v>7190</v>
      </c>
      <c r="D2657" s="0" t="n">
        <v>0.1117</v>
      </c>
    </row>
    <row r="2658" customFormat="false" ht="15" hidden="false" customHeight="false" outlineLevel="0" collapsed="false">
      <c r="A2658" s="0" t="s">
        <v>8</v>
      </c>
      <c r="B2658" s="0" t="s">
        <v>3794</v>
      </c>
      <c r="C2658" s="0" t="s">
        <v>7191</v>
      </c>
    </row>
    <row r="2659" customFormat="false" ht="15" hidden="false" customHeight="false" outlineLevel="0" collapsed="false">
      <c r="A2659" s="0" t="s">
        <v>8</v>
      </c>
      <c r="B2659" s="0" t="s">
        <v>3794</v>
      </c>
      <c r="C2659" s="0" t="s">
        <v>7192</v>
      </c>
    </row>
    <row r="2660" customFormat="false" ht="15" hidden="false" customHeight="false" outlineLevel="0" collapsed="false">
      <c r="A2660" s="0" t="s">
        <v>8</v>
      </c>
      <c r="B2660" s="0" t="s">
        <v>3797</v>
      </c>
      <c r="C2660" s="0" t="s">
        <v>7190</v>
      </c>
      <c r="D2660" s="0" t="n">
        <v>0.3165</v>
      </c>
    </row>
    <row r="2661" customFormat="false" ht="15" hidden="false" customHeight="false" outlineLevel="0" collapsed="false">
      <c r="A2661" s="0" t="s">
        <v>8</v>
      </c>
      <c r="B2661" s="0" t="s">
        <v>3797</v>
      </c>
      <c r="C2661" s="0" t="s">
        <v>7191</v>
      </c>
    </row>
    <row r="2662" customFormat="false" ht="15" hidden="false" customHeight="false" outlineLevel="0" collapsed="false">
      <c r="A2662" s="0" t="s">
        <v>8</v>
      </c>
      <c r="B2662" s="0" t="s">
        <v>3797</v>
      </c>
      <c r="C2662" s="0" t="s">
        <v>7192</v>
      </c>
    </row>
    <row r="2663" customFormat="false" ht="15" hidden="false" customHeight="false" outlineLevel="0" collapsed="false">
      <c r="A2663" s="0" t="s">
        <v>8</v>
      </c>
      <c r="B2663" s="0" t="s">
        <v>3801</v>
      </c>
      <c r="C2663" s="0" t="s">
        <v>7190</v>
      </c>
      <c r="D2663" s="0" t="n">
        <v>5.0857</v>
      </c>
    </row>
    <row r="2664" customFormat="false" ht="15" hidden="false" customHeight="false" outlineLevel="0" collapsed="false">
      <c r="A2664" s="0" t="s">
        <v>8</v>
      </c>
      <c r="B2664" s="0" t="s">
        <v>3801</v>
      </c>
      <c r="C2664" s="0" t="s">
        <v>7191</v>
      </c>
    </row>
    <row r="2665" customFormat="false" ht="15" hidden="false" customHeight="false" outlineLevel="0" collapsed="false">
      <c r="A2665" s="0" t="s">
        <v>8</v>
      </c>
      <c r="B2665" s="0" t="s">
        <v>3801</v>
      </c>
      <c r="C2665" s="0" t="s">
        <v>7192</v>
      </c>
    </row>
    <row r="2666" customFormat="false" ht="15" hidden="false" customHeight="false" outlineLevel="0" collapsed="false">
      <c r="A2666" s="0" t="s">
        <v>8</v>
      </c>
      <c r="B2666" s="0" t="s">
        <v>3804</v>
      </c>
      <c r="C2666" s="0" t="s">
        <v>7190</v>
      </c>
      <c r="D2666" s="0" t="n">
        <v>1.3276</v>
      </c>
    </row>
    <row r="2667" customFormat="false" ht="15" hidden="false" customHeight="false" outlineLevel="0" collapsed="false">
      <c r="A2667" s="0" t="s">
        <v>8</v>
      </c>
      <c r="B2667" s="0" t="s">
        <v>3804</v>
      </c>
      <c r="C2667" s="0" t="s">
        <v>7191</v>
      </c>
    </row>
    <row r="2668" customFormat="false" ht="15" hidden="false" customHeight="false" outlineLevel="0" collapsed="false">
      <c r="A2668" s="0" t="s">
        <v>8</v>
      </c>
      <c r="B2668" s="0" t="s">
        <v>3804</v>
      </c>
      <c r="C2668" s="0" t="s">
        <v>7192</v>
      </c>
    </row>
    <row r="2669" customFormat="false" ht="15" hidden="false" customHeight="false" outlineLevel="0" collapsed="false">
      <c r="A2669" s="0" t="s">
        <v>8</v>
      </c>
      <c r="B2669" s="0" t="s">
        <v>3807</v>
      </c>
      <c r="C2669" s="0" t="s">
        <v>7190</v>
      </c>
      <c r="D2669" s="0" t="n">
        <v>1.0454</v>
      </c>
    </row>
    <row r="2670" customFormat="false" ht="15" hidden="false" customHeight="false" outlineLevel="0" collapsed="false">
      <c r="A2670" s="0" t="s">
        <v>8</v>
      </c>
      <c r="B2670" s="0" t="s">
        <v>3807</v>
      </c>
      <c r="C2670" s="0" t="s">
        <v>7191</v>
      </c>
    </row>
    <row r="2671" customFormat="false" ht="15" hidden="false" customHeight="false" outlineLevel="0" collapsed="false">
      <c r="A2671" s="0" t="s">
        <v>8</v>
      </c>
      <c r="B2671" s="0" t="s">
        <v>3807</v>
      </c>
      <c r="C2671" s="0" t="s">
        <v>7192</v>
      </c>
    </row>
    <row r="2672" customFormat="false" ht="15" hidden="false" customHeight="false" outlineLevel="0" collapsed="false">
      <c r="A2672" s="0" t="s">
        <v>8</v>
      </c>
      <c r="B2672" s="0" t="s">
        <v>3810</v>
      </c>
      <c r="C2672" s="0" t="s">
        <v>7190</v>
      </c>
      <c r="D2672" s="0" t="n">
        <v>0.2391</v>
      </c>
    </row>
    <row r="2673" customFormat="false" ht="15" hidden="false" customHeight="false" outlineLevel="0" collapsed="false">
      <c r="A2673" s="0" t="s">
        <v>8</v>
      </c>
      <c r="B2673" s="0" t="s">
        <v>3810</v>
      </c>
      <c r="C2673" s="0" t="s">
        <v>7191</v>
      </c>
    </row>
    <row r="2674" customFormat="false" ht="15" hidden="false" customHeight="false" outlineLevel="0" collapsed="false">
      <c r="A2674" s="0" t="s">
        <v>8</v>
      </c>
      <c r="B2674" s="0" t="s">
        <v>3810</v>
      </c>
      <c r="C2674" s="0" t="s">
        <v>7192</v>
      </c>
    </row>
    <row r="2675" customFormat="false" ht="15" hidden="false" customHeight="false" outlineLevel="0" collapsed="false">
      <c r="A2675" s="0" t="s">
        <v>8</v>
      </c>
      <c r="B2675" s="0" t="s">
        <v>3813</v>
      </c>
      <c r="C2675" s="0" t="s">
        <v>7190</v>
      </c>
      <c r="D2675" s="0" t="n">
        <v>0.3165</v>
      </c>
    </row>
    <row r="2676" customFormat="false" ht="15" hidden="false" customHeight="false" outlineLevel="0" collapsed="false">
      <c r="A2676" s="0" t="s">
        <v>8</v>
      </c>
      <c r="B2676" s="0" t="s">
        <v>3813</v>
      </c>
      <c r="C2676" s="0" t="s">
        <v>7191</v>
      </c>
    </row>
    <row r="2677" customFormat="false" ht="15" hidden="false" customHeight="false" outlineLevel="0" collapsed="false">
      <c r="A2677" s="0" t="s">
        <v>8</v>
      </c>
      <c r="B2677" s="0" t="s">
        <v>3813</v>
      </c>
      <c r="C2677" s="0" t="s">
        <v>7192</v>
      </c>
    </row>
    <row r="2678" customFormat="false" ht="15" hidden="false" customHeight="false" outlineLevel="0" collapsed="false">
      <c r="A2678" s="0" t="s">
        <v>8</v>
      </c>
      <c r="B2678" s="0" t="s">
        <v>3818</v>
      </c>
      <c r="C2678" s="0" t="s">
        <v>7190</v>
      </c>
      <c r="D2678" s="0" t="n">
        <v>5.0046</v>
      </c>
    </row>
    <row r="2679" customFormat="false" ht="15" hidden="false" customHeight="false" outlineLevel="0" collapsed="false">
      <c r="A2679" s="0" t="s">
        <v>8</v>
      </c>
      <c r="B2679" s="0" t="s">
        <v>3818</v>
      </c>
      <c r="C2679" s="0" t="s">
        <v>7191</v>
      </c>
    </row>
    <row r="2680" customFormat="false" ht="15" hidden="false" customHeight="false" outlineLevel="0" collapsed="false">
      <c r="A2680" s="0" t="s">
        <v>8</v>
      </c>
      <c r="B2680" s="0" t="s">
        <v>3818</v>
      </c>
      <c r="C2680" s="0" t="s">
        <v>7192</v>
      </c>
    </row>
    <row r="2681" customFormat="false" ht="15" hidden="false" customHeight="false" outlineLevel="0" collapsed="false">
      <c r="A2681" s="0" t="s">
        <v>8</v>
      </c>
      <c r="B2681" s="0" t="s">
        <v>3821</v>
      </c>
      <c r="C2681" s="0" t="s">
        <v>7190</v>
      </c>
      <c r="D2681" s="0" t="n">
        <v>1.176</v>
      </c>
    </row>
    <row r="2682" customFormat="false" ht="15" hidden="false" customHeight="false" outlineLevel="0" collapsed="false">
      <c r="A2682" s="0" t="s">
        <v>8</v>
      </c>
      <c r="B2682" s="0" t="s">
        <v>3821</v>
      </c>
      <c r="C2682" s="0" t="s">
        <v>7191</v>
      </c>
    </row>
    <row r="2683" customFormat="false" ht="15" hidden="false" customHeight="false" outlineLevel="0" collapsed="false">
      <c r="A2683" s="0" t="s">
        <v>8</v>
      </c>
      <c r="B2683" s="0" t="s">
        <v>3821</v>
      </c>
      <c r="C2683" s="0" t="s">
        <v>7192</v>
      </c>
    </row>
    <row r="2684" customFormat="false" ht="15" hidden="false" customHeight="false" outlineLevel="0" collapsed="false">
      <c r="A2684" s="0" t="s">
        <v>8</v>
      </c>
      <c r="B2684" s="0" t="s">
        <v>3824</v>
      </c>
      <c r="C2684" s="0" t="s">
        <v>7190</v>
      </c>
      <c r="D2684" s="0" t="n">
        <v>0.0529</v>
      </c>
    </row>
    <row r="2685" customFormat="false" ht="15" hidden="false" customHeight="false" outlineLevel="0" collapsed="false">
      <c r="A2685" s="0" t="s">
        <v>8</v>
      </c>
      <c r="B2685" s="0" t="s">
        <v>3824</v>
      </c>
      <c r="C2685" s="0" t="s">
        <v>7191</v>
      </c>
    </row>
    <row r="2686" customFormat="false" ht="15" hidden="false" customHeight="false" outlineLevel="0" collapsed="false">
      <c r="A2686" s="0" t="s">
        <v>8</v>
      </c>
      <c r="B2686" s="0" t="s">
        <v>3824</v>
      </c>
      <c r="C2686" s="0" t="s">
        <v>7192</v>
      </c>
    </row>
    <row r="2687" customFormat="false" ht="15" hidden="false" customHeight="false" outlineLevel="0" collapsed="false">
      <c r="A2687" s="0" t="s">
        <v>8</v>
      </c>
      <c r="B2687" s="0" t="s">
        <v>3827</v>
      </c>
      <c r="C2687" s="0" t="s">
        <v>7190</v>
      </c>
      <c r="D2687" s="0" t="n">
        <v>0.2394</v>
      </c>
    </row>
    <row r="2688" customFormat="false" ht="15" hidden="false" customHeight="false" outlineLevel="0" collapsed="false">
      <c r="A2688" s="0" t="s">
        <v>8</v>
      </c>
      <c r="B2688" s="0" t="s">
        <v>3827</v>
      </c>
      <c r="C2688" s="0" t="s">
        <v>7191</v>
      </c>
    </row>
    <row r="2689" customFormat="false" ht="15" hidden="false" customHeight="false" outlineLevel="0" collapsed="false">
      <c r="A2689" s="0" t="s">
        <v>8</v>
      </c>
      <c r="B2689" s="0" t="s">
        <v>3827</v>
      </c>
      <c r="C2689" s="0" t="s">
        <v>7192</v>
      </c>
    </row>
    <row r="2690" customFormat="false" ht="15" hidden="false" customHeight="false" outlineLevel="0" collapsed="false">
      <c r="A2690" s="0" t="s">
        <v>8</v>
      </c>
      <c r="B2690" s="0" t="s">
        <v>3831</v>
      </c>
      <c r="C2690" s="0" t="s">
        <v>7190</v>
      </c>
      <c r="D2690" s="0" t="n">
        <v>2.947</v>
      </c>
    </row>
    <row r="2691" customFormat="false" ht="15" hidden="false" customHeight="false" outlineLevel="0" collapsed="false">
      <c r="A2691" s="0" t="s">
        <v>8</v>
      </c>
      <c r="B2691" s="0" t="s">
        <v>3831</v>
      </c>
      <c r="C2691" s="0" t="s">
        <v>7191</v>
      </c>
    </row>
    <row r="2692" customFormat="false" ht="15" hidden="false" customHeight="false" outlineLevel="0" collapsed="false">
      <c r="A2692" s="0" t="s">
        <v>8</v>
      </c>
      <c r="B2692" s="0" t="s">
        <v>3831</v>
      </c>
      <c r="C2692" s="0" t="s">
        <v>7192</v>
      </c>
    </row>
    <row r="2693" customFormat="false" ht="15" hidden="false" customHeight="false" outlineLevel="0" collapsed="false">
      <c r="A2693" s="0" t="s">
        <v>8</v>
      </c>
      <c r="B2693" s="0" t="s">
        <v>3834</v>
      </c>
      <c r="C2693" s="0" t="s">
        <v>7190</v>
      </c>
      <c r="D2693" s="0" t="n">
        <v>3.3709</v>
      </c>
    </row>
    <row r="2694" customFormat="false" ht="15" hidden="false" customHeight="false" outlineLevel="0" collapsed="false">
      <c r="A2694" s="0" t="s">
        <v>8</v>
      </c>
      <c r="B2694" s="0" t="s">
        <v>3834</v>
      </c>
      <c r="C2694" s="0" t="s">
        <v>7191</v>
      </c>
    </row>
    <row r="2695" customFormat="false" ht="15" hidden="false" customHeight="false" outlineLevel="0" collapsed="false">
      <c r="A2695" s="0" t="s">
        <v>8</v>
      </c>
      <c r="B2695" s="0" t="s">
        <v>3834</v>
      </c>
      <c r="C2695" s="0" t="s">
        <v>7192</v>
      </c>
    </row>
    <row r="2696" customFormat="false" ht="15" hidden="false" customHeight="false" outlineLevel="0" collapsed="false">
      <c r="A2696" s="0" t="s">
        <v>8</v>
      </c>
      <c r="B2696" s="0" t="s">
        <v>3837</v>
      </c>
      <c r="C2696" s="0" t="s">
        <v>7190</v>
      </c>
      <c r="D2696" s="0" t="n">
        <v>0.344</v>
      </c>
    </row>
    <row r="2697" customFormat="false" ht="15" hidden="false" customHeight="false" outlineLevel="0" collapsed="false">
      <c r="A2697" s="0" t="s">
        <v>8</v>
      </c>
      <c r="B2697" s="0" t="s">
        <v>3837</v>
      </c>
      <c r="C2697" s="0" t="s">
        <v>7191</v>
      </c>
    </row>
    <row r="2698" customFormat="false" ht="15" hidden="false" customHeight="false" outlineLevel="0" collapsed="false">
      <c r="A2698" s="0" t="s">
        <v>8</v>
      </c>
      <c r="B2698" s="0" t="s">
        <v>3837</v>
      </c>
      <c r="C2698" s="0" t="s">
        <v>7192</v>
      </c>
    </row>
    <row r="2699" customFormat="false" ht="15" hidden="false" customHeight="false" outlineLevel="0" collapsed="false">
      <c r="A2699" s="0" t="s">
        <v>8</v>
      </c>
      <c r="B2699" s="0" t="s">
        <v>3840</v>
      </c>
      <c r="C2699" s="0" t="s">
        <v>7190</v>
      </c>
      <c r="D2699" s="0" t="n">
        <v>0.5559</v>
      </c>
    </row>
    <row r="2700" customFormat="false" ht="15" hidden="false" customHeight="false" outlineLevel="0" collapsed="false">
      <c r="A2700" s="0" t="s">
        <v>8</v>
      </c>
      <c r="B2700" s="0" t="s">
        <v>3840</v>
      </c>
      <c r="C2700" s="0" t="s">
        <v>7191</v>
      </c>
    </row>
    <row r="2701" customFormat="false" ht="15" hidden="false" customHeight="false" outlineLevel="0" collapsed="false">
      <c r="A2701" s="0" t="s">
        <v>8</v>
      </c>
      <c r="B2701" s="0" t="s">
        <v>3840</v>
      </c>
      <c r="C2701" s="0" t="s">
        <v>7192</v>
      </c>
    </row>
    <row r="2702" customFormat="false" ht="15" hidden="false" customHeight="false" outlineLevel="0" collapsed="false">
      <c r="A2702" s="0" t="s">
        <v>8</v>
      </c>
      <c r="B2702" s="0" t="s">
        <v>3844</v>
      </c>
      <c r="C2702" s="0" t="s">
        <v>7190</v>
      </c>
      <c r="D2702" s="0" t="n">
        <v>8.1428</v>
      </c>
    </row>
    <row r="2703" customFormat="false" ht="15" hidden="false" customHeight="false" outlineLevel="0" collapsed="false">
      <c r="A2703" s="0" t="s">
        <v>8</v>
      </c>
      <c r="B2703" s="0" t="s">
        <v>3844</v>
      </c>
      <c r="C2703" s="0" t="s">
        <v>7191</v>
      </c>
    </row>
    <row r="2704" customFormat="false" ht="15" hidden="false" customHeight="false" outlineLevel="0" collapsed="false">
      <c r="A2704" s="0" t="s">
        <v>8</v>
      </c>
      <c r="B2704" s="0" t="s">
        <v>3844</v>
      </c>
      <c r="C2704" s="0" t="s">
        <v>7192</v>
      </c>
    </row>
    <row r="2705" customFormat="false" ht="15" hidden="false" customHeight="false" outlineLevel="0" collapsed="false">
      <c r="A2705" s="0" t="s">
        <v>8</v>
      </c>
      <c r="B2705" s="0" t="s">
        <v>3847</v>
      </c>
      <c r="C2705" s="0" t="s">
        <v>7190</v>
      </c>
      <c r="D2705" s="0" t="n">
        <v>4.5555</v>
      </c>
    </row>
    <row r="2706" customFormat="false" ht="15" hidden="false" customHeight="false" outlineLevel="0" collapsed="false">
      <c r="A2706" s="0" t="s">
        <v>8</v>
      </c>
      <c r="B2706" s="0" t="s">
        <v>3847</v>
      </c>
      <c r="C2706" s="0" t="s">
        <v>7191</v>
      </c>
    </row>
    <row r="2707" customFormat="false" ht="15" hidden="false" customHeight="false" outlineLevel="0" collapsed="false">
      <c r="A2707" s="0" t="s">
        <v>8</v>
      </c>
      <c r="B2707" s="0" t="s">
        <v>3847</v>
      </c>
      <c r="C2707" s="0" t="s">
        <v>7192</v>
      </c>
    </row>
    <row r="2708" customFormat="false" ht="15" hidden="false" customHeight="false" outlineLevel="0" collapsed="false">
      <c r="A2708" s="0" t="s">
        <v>8</v>
      </c>
      <c r="B2708" s="0" t="s">
        <v>3850</v>
      </c>
      <c r="C2708" s="0" t="s">
        <v>7190</v>
      </c>
      <c r="D2708" s="0" t="n">
        <v>0.4249</v>
      </c>
    </row>
    <row r="2709" customFormat="false" ht="15" hidden="false" customHeight="false" outlineLevel="0" collapsed="false">
      <c r="A2709" s="0" t="s">
        <v>8</v>
      </c>
      <c r="B2709" s="0" t="s">
        <v>3850</v>
      </c>
      <c r="C2709" s="0" t="s">
        <v>7191</v>
      </c>
    </row>
    <row r="2710" customFormat="false" ht="15" hidden="false" customHeight="false" outlineLevel="0" collapsed="false">
      <c r="A2710" s="0" t="s">
        <v>8</v>
      </c>
      <c r="B2710" s="0" t="s">
        <v>3850</v>
      </c>
      <c r="C2710" s="0" t="s">
        <v>7192</v>
      </c>
    </row>
    <row r="2711" customFormat="false" ht="15" hidden="false" customHeight="false" outlineLevel="0" collapsed="false">
      <c r="A2711" s="0" t="s">
        <v>8</v>
      </c>
      <c r="B2711" s="0" t="s">
        <v>3853</v>
      </c>
      <c r="C2711" s="0" t="s">
        <v>7190</v>
      </c>
      <c r="D2711" s="0" t="n">
        <v>2.2464</v>
      </c>
    </row>
    <row r="2712" customFormat="false" ht="15" hidden="false" customHeight="false" outlineLevel="0" collapsed="false">
      <c r="A2712" s="0" t="s">
        <v>8</v>
      </c>
      <c r="B2712" s="0" t="s">
        <v>3853</v>
      </c>
      <c r="C2712" s="0" t="s">
        <v>7191</v>
      </c>
    </row>
    <row r="2713" customFormat="false" ht="15" hidden="false" customHeight="false" outlineLevel="0" collapsed="false">
      <c r="A2713" s="0" t="s">
        <v>8</v>
      </c>
      <c r="B2713" s="0" t="s">
        <v>3853</v>
      </c>
      <c r="C2713" s="0" t="s">
        <v>7192</v>
      </c>
    </row>
    <row r="2714" customFormat="false" ht="15" hidden="false" customHeight="false" outlineLevel="0" collapsed="false">
      <c r="A2714" s="0" t="s">
        <v>8</v>
      </c>
      <c r="B2714" s="0" t="s">
        <v>3857</v>
      </c>
      <c r="C2714" s="0" t="s">
        <v>7190</v>
      </c>
      <c r="D2714" s="0" t="n">
        <v>0.0001</v>
      </c>
    </row>
    <row r="2715" customFormat="false" ht="15" hidden="false" customHeight="false" outlineLevel="0" collapsed="false">
      <c r="A2715" s="0" t="s">
        <v>8</v>
      </c>
      <c r="B2715" s="0" t="s">
        <v>3857</v>
      </c>
      <c r="C2715" s="0" t="s">
        <v>7191</v>
      </c>
    </row>
    <row r="2716" customFormat="false" ht="15" hidden="false" customHeight="false" outlineLevel="0" collapsed="false">
      <c r="A2716" s="0" t="s">
        <v>8</v>
      </c>
      <c r="B2716" s="0" t="s">
        <v>3857</v>
      </c>
      <c r="C2716" s="0" t="s">
        <v>7192</v>
      </c>
    </row>
    <row r="2717" customFormat="false" ht="15" hidden="false" customHeight="false" outlineLevel="0" collapsed="false">
      <c r="A2717" s="0" t="s">
        <v>8</v>
      </c>
      <c r="B2717" s="0" t="s">
        <v>3861</v>
      </c>
      <c r="C2717" s="0" t="s">
        <v>7190</v>
      </c>
      <c r="D2717" s="0" t="n">
        <v>0</v>
      </c>
    </row>
    <row r="2718" customFormat="false" ht="15" hidden="false" customHeight="false" outlineLevel="0" collapsed="false">
      <c r="A2718" s="0" t="s">
        <v>8</v>
      </c>
      <c r="B2718" s="0" t="s">
        <v>3861</v>
      </c>
      <c r="C2718" s="0" t="s">
        <v>7191</v>
      </c>
    </row>
    <row r="2719" customFormat="false" ht="15" hidden="false" customHeight="false" outlineLevel="0" collapsed="false">
      <c r="A2719" s="0" t="s">
        <v>8</v>
      </c>
      <c r="B2719" s="0" t="s">
        <v>3861</v>
      </c>
      <c r="C2719" s="0" t="s">
        <v>7192</v>
      </c>
    </row>
    <row r="2720" customFormat="false" ht="15" hidden="false" customHeight="false" outlineLevel="0" collapsed="false">
      <c r="A2720" s="0" t="s">
        <v>8</v>
      </c>
      <c r="B2720" s="0" t="s">
        <v>3864</v>
      </c>
      <c r="C2720" s="0" t="s">
        <v>7190</v>
      </c>
      <c r="D2720" s="0" t="n">
        <v>1.146</v>
      </c>
    </row>
    <row r="2721" customFormat="false" ht="15" hidden="false" customHeight="false" outlineLevel="0" collapsed="false">
      <c r="A2721" s="0" t="s">
        <v>8</v>
      </c>
      <c r="B2721" s="0" t="s">
        <v>3864</v>
      </c>
      <c r="C2721" s="0" t="s">
        <v>7191</v>
      </c>
    </row>
    <row r="2722" customFormat="false" ht="15" hidden="false" customHeight="false" outlineLevel="0" collapsed="false">
      <c r="A2722" s="0" t="s">
        <v>8</v>
      </c>
      <c r="B2722" s="0" t="s">
        <v>3864</v>
      </c>
      <c r="C2722" s="0" t="s">
        <v>7192</v>
      </c>
    </row>
    <row r="2723" customFormat="false" ht="15" hidden="false" customHeight="false" outlineLevel="0" collapsed="false">
      <c r="A2723" s="0" t="s">
        <v>8</v>
      </c>
      <c r="B2723" s="0" t="s">
        <v>3867</v>
      </c>
      <c r="C2723" s="0" t="s">
        <v>7190</v>
      </c>
      <c r="D2723" s="0" t="n">
        <v>0</v>
      </c>
    </row>
    <row r="2724" customFormat="false" ht="15" hidden="false" customHeight="false" outlineLevel="0" collapsed="false">
      <c r="A2724" s="0" t="s">
        <v>8</v>
      </c>
      <c r="B2724" s="0" t="s">
        <v>3867</v>
      </c>
      <c r="C2724" s="0" t="s">
        <v>7191</v>
      </c>
    </row>
    <row r="2725" customFormat="false" ht="15" hidden="false" customHeight="false" outlineLevel="0" collapsed="false">
      <c r="A2725" s="0" t="s">
        <v>8</v>
      </c>
      <c r="B2725" s="0" t="s">
        <v>3867</v>
      </c>
      <c r="C2725" s="0" t="s">
        <v>7192</v>
      </c>
    </row>
    <row r="2726" customFormat="false" ht="15" hidden="false" customHeight="false" outlineLevel="0" collapsed="false">
      <c r="A2726" s="0" t="s">
        <v>8</v>
      </c>
      <c r="B2726" s="0" t="s">
        <v>3869</v>
      </c>
      <c r="C2726" s="0" t="s">
        <v>7190</v>
      </c>
      <c r="D2726" s="0" t="n">
        <v>0.0001</v>
      </c>
    </row>
    <row r="2727" customFormat="false" ht="15" hidden="false" customHeight="false" outlineLevel="0" collapsed="false">
      <c r="A2727" s="0" t="s">
        <v>8</v>
      </c>
      <c r="B2727" s="0" t="s">
        <v>3869</v>
      </c>
      <c r="C2727" s="0" t="s">
        <v>7191</v>
      </c>
    </row>
    <row r="2728" customFormat="false" ht="15" hidden="false" customHeight="false" outlineLevel="0" collapsed="false">
      <c r="A2728" s="0" t="s">
        <v>8</v>
      </c>
      <c r="B2728" s="0" t="s">
        <v>3869</v>
      </c>
      <c r="C2728" s="0" t="s">
        <v>7192</v>
      </c>
    </row>
    <row r="2729" customFormat="false" ht="15" hidden="false" customHeight="false" outlineLevel="0" collapsed="false">
      <c r="A2729" s="0" t="s">
        <v>8</v>
      </c>
      <c r="B2729" s="0" t="s">
        <v>3872</v>
      </c>
      <c r="C2729" s="0" t="s">
        <v>7190</v>
      </c>
      <c r="D2729" s="0" t="n">
        <v>0.4142</v>
      </c>
    </row>
    <row r="2730" customFormat="false" ht="15" hidden="false" customHeight="false" outlineLevel="0" collapsed="false">
      <c r="A2730" s="0" t="s">
        <v>8</v>
      </c>
      <c r="B2730" s="0" t="s">
        <v>3872</v>
      </c>
      <c r="C2730" s="0" t="s">
        <v>7191</v>
      </c>
    </row>
    <row r="2731" customFormat="false" ht="15" hidden="false" customHeight="false" outlineLevel="0" collapsed="false">
      <c r="A2731" s="0" t="s">
        <v>8</v>
      </c>
      <c r="B2731" s="0" t="s">
        <v>3872</v>
      </c>
      <c r="C2731" s="0" t="s">
        <v>7192</v>
      </c>
    </row>
    <row r="2732" customFormat="false" ht="15" hidden="false" customHeight="false" outlineLevel="0" collapsed="false">
      <c r="A2732" s="0" t="s">
        <v>8</v>
      </c>
      <c r="B2732" s="0" t="s">
        <v>3877</v>
      </c>
      <c r="C2732" s="0" t="s">
        <v>7190</v>
      </c>
      <c r="D2732" s="0" t="n">
        <v>7.8754</v>
      </c>
    </row>
    <row r="2733" customFormat="false" ht="15" hidden="false" customHeight="false" outlineLevel="0" collapsed="false">
      <c r="A2733" s="0" t="s">
        <v>8</v>
      </c>
      <c r="B2733" s="0" t="s">
        <v>3877</v>
      </c>
      <c r="C2733" s="0" t="s">
        <v>7191</v>
      </c>
    </row>
    <row r="2734" customFormat="false" ht="15" hidden="false" customHeight="false" outlineLevel="0" collapsed="false">
      <c r="A2734" s="0" t="s">
        <v>8</v>
      </c>
      <c r="B2734" s="0" t="s">
        <v>3877</v>
      </c>
      <c r="C2734" s="0" t="s">
        <v>7192</v>
      </c>
    </row>
    <row r="2735" customFormat="false" ht="15" hidden="false" customHeight="false" outlineLevel="0" collapsed="false">
      <c r="A2735" s="0" t="s">
        <v>8</v>
      </c>
      <c r="B2735" s="0" t="s">
        <v>3880</v>
      </c>
      <c r="C2735" s="0" t="s">
        <v>7190</v>
      </c>
      <c r="D2735" s="0" t="n">
        <v>8.6636</v>
      </c>
    </row>
    <row r="2736" customFormat="false" ht="15" hidden="false" customHeight="false" outlineLevel="0" collapsed="false">
      <c r="A2736" s="0" t="s">
        <v>8</v>
      </c>
      <c r="B2736" s="0" t="s">
        <v>3880</v>
      </c>
      <c r="C2736" s="0" t="s">
        <v>7191</v>
      </c>
    </row>
    <row r="2737" customFormat="false" ht="15" hidden="false" customHeight="false" outlineLevel="0" collapsed="false">
      <c r="A2737" s="0" t="s">
        <v>8</v>
      </c>
      <c r="B2737" s="0" t="s">
        <v>3880</v>
      </c>
      <c r="C2737" s="0" t="s">
        <v>7192</v>
      </c>
    </row>
    <row r="2738" customFormat="false" ht="15" hidden="false" customHeight="false" outlineLevel="0" collapsed="false">
      <c r="A2738" s="0" t="s">
        <v>8</v>
      </c>
      <c r="B2738" s="0" t="s">
        <v>3883</v>
      </c>
      <c r="C2738" s="0" t="s">
        <v>7190</v>
      </c>
      <c r="D2738" s="0" t="n">
        <v>7.7262</v>
      </c>
    </row>
    <row r="2739" customFormat="false" ht="15" hidden="false" customHeight="false" outlineLevel="0" collapsed="false">
      <c r="A2739" s="0" t="s">
        <v>8</v>
      </c>
      <c r="B2739" s="0" t="s">
        <v>3883</v>
      </c>
      <c r="C2739" s="0" t="s">
        <v>7191</v>
      </c>
    </row>
    <row r="2740" customFormat="false" ht="15" hidden="false" customHeight="false" outlineLevel="0" collapsed="false">
      <c r="A2740" s="0" t="s">
        <v>8</v>
      </c>
      <c r="B2740" s="0" t="s">
        <v>3883</v>
      </c>
      <c r="C2740" s="0" t="s">
        <v>7192</v>
      </c>
    </row>
    <row r="2741" customFormat="false" ht="15" hidden="false" customHeight="false" outlineLevel="0" collapsed="false">
      <c r="A2741" s="0" t="s">
        <v>8</v>
      </c>
      <c r="B2741" s="0" t="s">
        <v>3886</v>
      </c>
      <c r="C2741" s="0" t="s">
        <v>7190</v>
      </c>
      <c r="D2741" s="0" t="n">
        <v>0.2945</v>
      </c>
    </row>
    <row r="2742" customFormat="false" ht="15" hidden="false" customHeight="false" outlineLevel="0" collapsed="false">
      <c r="A2742" s="0" t="s">
        <v>8</v>
      </c>
      <c r="B2742" s="0" t="s">
        <v>3886</v>
      </c>
      <c r="C2742" s="0" t="s">
        <v>7191</v>
      </c>
    </row>
    <row r="2743" customFormat="false" ht="15" hidden="false" customHeight="false" outlineLevel="0" collapsed="false">
      <c r="A2743" s="0" t="s">
        <v>8</v>
      </c>
      <c r="B2743" s="0" t="s">
        <v>3886</v>
      </c>
      <c r="C2743" s="0" t="s">
        <v>7192</v>
      </c>
    </row>
    <row r="2744" customFormat="false" ht="15" hidden="false" customHeight="false" outlineLevel="0" collapsed="false">
      <c r="A2744" s="0" t="s">
        <v>8</v>
      </c>
      <c r="B2744" s="0" t="s">
        <v>3890</v>
      </c>
      <c r="C2744" s="0" t="s">
        <v>7190</v>
      </c>
      <c r="D2744" s="0" t="n">
        <v>5.1135</v>
      </c>
    </row>
    <row r="2745" customFormat="false" ht="15" hidden="false" customHeight="false" outlineLevel="0" collapsed="false">
      <c r="A2745" s="0" t="s">
        <v>8</v>
      </c>
      <c r="B2745" s="0" t="s">
        <v>3890</v>
      </c>
      <c r="C2745" s="0" t="s">
        <v>7191</v>
      </c>
    </row>
    <row r="2746" customFormat="false" ht="15" hidden="false" customHeight="false" outlineLevel="0" collapsed="false">
      <c r="A2746" s="0" t="s">
        <v>8</v>
      </c>
      <c r="B2746" s="0" t="s">
        <v>3890</v>
      </c>
      <c r="C2746" s="0" t="s">
        <v>7192</v>
      </c>
    </row>
    <row r="2747" customFormat="false" ht="15" hidden="false" customHeight="false" outlineLevel="0" collapsed="false">
      <c r="A2747" s="0" t="s">
        <v>8</v>
      </c>
      <c r="B2747" s="0" t="s">
        <v>3893</v>
      </c>
      <c r="C2747" s="0" t="s">
        <v>7190</v>
      </c>
      <c r="D2747" s="0" t="n">
        <v>2.2813</v>
      </c>
    </row>
    <row r="2748" customFormat="false" ht="15" hidden="false" customHeight="false" outlineLevel="0" collapsed="false">
      <c r="A2748" s="0" t="s">
        <v>8</v>
      </c>
      <c r="B2748" s="0" t="s">
        <v>3893</v>
      </c>
      <c r="C2748" s="0" t="s">
        <v>7191</v>
      </c>
    </row>
    <row r="2749" customFormat="false" ht="15" hidden="false" customHeight="false" outlineLevel="0" collapsed="false">
      <c r="A2749" s="0" t="s">
        <v>8</v>
      </c>
      <c r="B2749" s="0" t="s">
        <v>3893</v>
      </c>
      <c r="C2749" s="0" t="s">
        <v>7192</v>
      </c>
    </row>
    <row r="2750" customFormat="false" ht="15" hidden="false" customHeight="false" outlineLevel="0" collapsed="false">
      <c r="A2750" s="0" t="s">
        <v>8</v>
      </c>
      <c r="B2750" s="0" t="s">
        <v>3896</v>
      </c>
      <c r="C2750" s="0" t="s">
        <v>7190</v>
      </c>
      <c r="D2750" s="0" t="n">
        <v>2.0269</v>
      </c>
    </row>
    <row r="2751" customFormat="false" ht="15" hidden="false" customHeight="false" outlineLevel="0" collapsed="false">
      <c r="A2751" s="0" t="s">
        <v>8</v>
      </c>
      <c r="B2751" s="0" t="s">
        <v>3896</v>
      </c>
      <c r="C2751" s="0" t="s">
        <v>7191</v>
      </c>
    </row>
    <row r="2752" customFormat="false" ht="15" hidden="false" customHeight="false" outlineLevel="0" collapsed="false">
      <c r="A2752" s="0" t="s">
        <v>8</v>
      </c>
      <c r="B2752" s="0" t="s">
        <v>3896</v>
      </c>
      <c r="C2752" s="0" t="s">
        <v>7192</v>
      </c>
    </row>
    <row r="2753" customFormat="false" ht="15" hidden="false" customHeight="false" outlineLevel="0" collapsed="false">
      <c r="A2753" s="0" t="s">
        <v>8</v>
      </c>
      <c r="B2753" s="0" t="s">
        <v>3899</v>
      </c>
      <c r="C2753" s="0" t="s">
        <v>7190</v>
      </c>
      <c r="D2753" s="0" t="n">
        <v>0.1197</v>
      </c>
    </row>
    <row r="2754" customFormat="false" ht="15" hidden="false" customHeight="false" outlineLevel="0" collapsed="false">
      <c r="A2754" s="0" t="s">
        <v>8</v>
      </c>
      <c r="B2754" s="0" t="s">
        <v>3899</v>
      </c>
      <c r="C2754" s="0" t="s">
        <v>7191</v>
      </c>
    </row>
    <row r="2755" customFormat="false" ht="15" hidden="false" customHeight="false" outlineLevel="0" collapsed="false">
      <c r="A2755" s="0" t="s">
        <v>8</v>
      </c>
      <c r="B2755" s="0" t="s">
        <v>3899</v>
      </c>
      <c r="C2755" s="0" t="s">
        <v>7192</v>
      </c>
    </row>
    <row r="2756" customFormat="false" ht="15" hidden="false" customHeight="false" outlineLevel="0" collapsed="false">
      <c r="A2756" s="0" t="s">
        <v>8</v>
      </c>
      <c r="B2756" s="0" t="s">
        <v>3903</v>
      </c>
      <c r="C2756" s="0" t="s">
        <v>7190</v>
      </c>
      <c r="D2756" s="0" t="n">
        <v>2.5758</v>
      </c>
    </row>
    <row r="2757" customFormat="false" ht="15" hidden="false" customHeight="false" outlineLevel="0" collapsed="false">
      <c r="A2757" s="0" t="s">
        <v>8</v>
      </c>
      <c r="B2757" s="0" t="s">
        <v>3903</v>
      </c>
      <c r="C2757" s="0" t="s">
        <v>7191</v>
      </c>
    </row>
    <row r="2758" customFormat="false" ht="15" hidden="false" customHeight="false" outlineLevel="0" collapsed="false">
      <c r="A2758" s="0" t="s">
        <v>8</v>
      </c>
      <c r="B2758" s="0" t="s">
        <v>3903</v>
      </c>
      <c r="C2758" s="0" t="s">
        <v>7192</v>
      </c>
    </row>
    <row r="2759" customFormat="false" ht="15" hidden="false" customHeight="false" outlineLevel="0" collapsed="false">
      <c r="A2759" s="0" t="s">
        <v>8</v>
      </c>
      <c r="B2759" s="0" t="s">
        <v>3906</v>
      </c>
      <c r="C2759" s="0" t="s">
        <v>7190</v>
      </c>
      <c r="D2759" s="0" t="n">
        <v>6.2382</v>
      </c>
    </row>
    <row r="2760" customFormat="false" ht="15" hidden="false" customHeight="false" outlineLevel="0" collapsed="false">
      <c r="A2760" s="0" t="s">
        <v>8</v>
      </c>
      <c r="B2760" s="0" t="s">
        <v>3906</v>
      </c>
      <c r="C2760" s="0" t="s">
        <v>7191</v>
      </c>
    </row>
    <row r="2761" customFormat="false" ht="15" hidden="false" customHeight="false" outlineLevel="0" collapsed="false">
      <c r="A2761" s="0" t="s">
        <v>8</v>
      </c>
      <c r="B2761" s="0" t="s">
        <v>3906</v>
      </c>
      <c r="C2761" s="0" t="s">
        <v>7192</v>
      </c>
    </row>
    <row r="2762" customFormat="false" ht="15" hidden="false" customHeight="false" outlineLevel="0" collapsed="false">
      <c r="A2762" s="0" t="s">
        <v>8</v>
      </c>
      <c r="B2762" s="0" t="s">
        <v>3909</v>
      </c>
      <c r="C2762" s="0" t="s">
        <v>7190</v>
      </c>
      <c r="D2762" s="0" t="n">
        <v>5.553</v>
      </c>
    </row>
    <row r="2763" customFormat="false" ht="15" hidden="false" customHeight="false" outlineLevel="0" collapsed="false">
      <c r="A2763" s="0" t="s">
        <v>8</v>
      </c>
      <c r="B2763" s="0" t="s">
        <v>3909</v>
      </c>
      <c r="C2763" s="0" t="s">
        <v>7191</v>
      </c>
    </row>
    <row r="2764" customFormat="false" ht="15" hidden="false" customHeight="false" outlineLevel="0" collapsed="false">
      <c r="A2764" s="0" t="s">
        <v>8</v>
      </c>
      <c r="B2764" s="0" t="s">
        <v>3909</v>
      </c>
      <c r="C2764" s="0" t="s">
        <v>7192</v>
      </c>
    </row>
    <row r="2765" customFormat="false" ht="15" hidden="false" customHeight="false" outlineLevel="0" collapsed="false">
      <c r="A2765" s="0" t="s">
        <v>8</v>
      </c>
      <c r="B2765" s="0" t="s">
        <v>3912</v>
      </c>
      <c r="C2765" s="0" t="s">
        <v>7190</v>
      </c>
      <c r="D2765" s="0" t="n">
        <v>0</v>
      </c>
    </row>
    <row r="2766" customFormat="false" ht="15" hidden="false" customHeight="false" outlineLevel="0" collapsed="false">
      <c r="A2766" s="0" t="s">
        <v>8</v>
      </c>
      <c r="B2766" s="0" t="s">
        <v>3912</v>
      </c>
      <c r="C2766" s="0" t="s">
        <v>7191</v>
      </c>
    </row>
    <row r="2767" customFormat="false" ht="15" hidden="false" customHeight="false" outlineLevel="0" collapsed="false">
      <c r="A2767" s="0" t="s">
        <v>8</v>
      </c>
      <c r="B2767" s="0" t="s">
        <v>3912</v>
      </c>
      <c r="C2767" s="0" t="s">
        <v>7192</v>
      </c>
    </row>
    <row r="2768" customFormat="false" ht="15" hidden="false" customHeight="false" outlineLevel="0" collapsed="false">
      <c r="A2768" s="0" t="s">
        <v>8</v>
      </c>
      <c r="B2768" s="0" t="s">
        <v>3917</v>
      </c>
      <c r="C2768" s="0" t="s">
        <v>7190</v>
      </c>
      <c r="D2768" s="0" t="n">
        <v>0.8461</v>
      </c>
    </row>
    <row r="2769" customFormat="false" ht="15" hidden="false" customHeight="false" outlineLevel="0" collapsed="false">
      <c r="A2769" s="0" t="s">
        <v>8</v>
      </c>
      <c r="B2769" s="0" t="s">
        <v>3917</v>
      </c>
      <c r="C2769" s="0" t="s">
        <v>7191</v>
      </c>
    </row>
    <row r="2770" customFormat="false" ht="15" hidden="false" customHeight="false" outlineLevel="0" collapsed="false">
      <c r="A2770" s="0" t="s">
        <v>8</v>
      </c>
      <c r="B2770" s="0" t="s">
        <v>3917</v>
      </c>
      <c r="C2770" s="0" t="s">
        <v>7192</v>
      </c>
    </row>
    <row r="2771" customFormat="false" ht="15" hidden="false" customHeight="false" outlineLevel="0" collapsed="false">
      <c r="A2771" s="0" t="s">
        <v>8</v>
      </c>
      <c r="B2771" s="0" t="s">
        <v>3920</v>
      </c>
      <c r="C2771" s="0" t="s">
        <v>7190</v>
      </c>
      <c r="D2771" s="0" t="n">
        <v>4.8374</v>
      </c>
    </row>
    <row r="2772" customFormat="false" ht="15" hidden="false" customHeight="false" outlineLevel="0" collapsed="false">
      <c r="A2772" s="0" t="s">
        <v>8</v>
      </c>
      <c r="B2772" s="0" t="s">
        <v>3920</v>
      </c>
      <c r="C2772" s="0" t="s">
        <v>7191</v>
      </c>
    </row>
    <row r="2773" customFormat="false" ht="15" hidden="false" customHeight="false" outlineLevel="0" collapsed="false">
      <c r="A2773" s="0" t="s">
        <v>8</v>
      </c>
      <c r="B2773" s="0" t="s">
        <v>3920</v>
      </c>
      <c r="C2773" s="0" t="s">
        <v>7192</v>
      </c>
    </row>
    <row r="2774" customFormat="false" ht="15" hidden="false" customHeight="false" outlineLevel="0" collapsed="false">
      <c r="A2774" s="0" t="s">
        <v>8</v>
      </c>
      <c r="B2774" s="0" t="s">
        <v>3923</v>
      </c>
      <c r="C2774" s="0" t="s">
        <v>7190</v>
      </c>
      <c r="D2774" s="0" t="n">
        <v>4.0377</v>
      </c>
    </row>
    <row r="2775" customFormat="false" ht="15" hidden="false" customHeight="false" outlineLevel="0" collapsed="false">
      <c r="A2775" s="0" t="s">
        <v>8</v>
      </c>
      <c r="B2775" s="0" t="s">
        <v>3923</v>
      </c>
      <c r="C2775" s="0" t="s">
        <v>7191</v>
      </c>
    </row>
    <row r="2776" customFormat="false" ht="15" hidden="false" customHeight="false" outlineLevel="0" collapsed="false">
      <c r="A2776" s="0" t="s">
        <v>8</v>
      </c>
      <c r="B2776" s="0" t="s">
        <v>3923</v>
      </c>
      <c r="C2776" s="0" t="s">
        <v>7192</v>
      </c>
    </row>
    <row r="2777" customFormat="false" ht="15" hidden="false" customHeight="false" outlineLevel="0" collapsed="false">
      <c r="A2777" s="0" t="s">
        <v>8</v>
      </c>
      <c r="B2777" s="0" t="s">
        <v>3926</v>
      </c>
      <c r="C2777" s="0" t="s">
        <v>7190</v>
      </c>
      <c r="D2777" s="0" t="n">
        <v>0.1197</v>
      </c>
    </row>
    <row r="2778" customFormat="false" ht="15" hidden="false" customHeight="false" outlineLevel="0" collapsed="false">
      <c r="A2778" s="0" t="s">
        <v>8</v>
      </c>
      <c r="B2778" s="0" t="s">
        <v>3926</v>
      </c>
      <c r="C2778" s="0" t="s">
        <v>7191</v>
      </c>
    </row>
    <row r="2779" customFormat="false" ht="15" hidden="false" customHeight="false" outlineLevel="0" collapsed="false">
      <c r="A2779" s="0" t="s">
        <v>8</v>
      </c>
      <c r="B2779" s="0" t="s">
        <v>3926</v>
      </c>
      <c r="C2779" s="0" t="s">
        <v>7192</v>
      </c>
    </row>
    <row r="2780" customFormat="false" ht="15" hidden="false" customHeight="false" outlineLevel="0" collapsed="false">
      <c r="A2780" s="0" t="s">
        <v>8</v>
      </c>
      <c r="B2780" s="0" t="s">
        <v>3930</v>
      </c>
      <c r="C2780" s="0" t="s">
        <v>7190</v>
      </c>
      <c r="D2780" s="0" t="n">
        <v>1.7297</v>
      </c>
    </row>
    <row r="2781" customFormat="false" ht="15" hidden="false" customHeight="false" outlineLevel="0" collapsed="false">
      <c r="A2781" s="0" t="s">
        <v>8</v>
      </c>
      <c r="B2781" s="0" t="s">
        <v>3930</v>
      </c>
      <c r="C2781" s="0" t="s">
        <v>7191</v>
      </c>
    </row>
    <row r="2782" customFormat="false" ht="15" hidden="false" customHeight="false" outlineLevel="0" collapsed="false">
      <c r="A2782" s="0" t="s">
        <v>8</v>
      </c>
      <c r="B2782" s="0" t="s">
        <v>3930</v>
      </c>
      <c r="C2782" s="0" t="s">
        <v>7192</v>
      </c>
    </row>
    <row r="2783" customFormat="false" ht="15" hidden="false" customHeight="false" outlineLevel="0" collapsed="false">
      <c r="A2783" s="0" t="s">
        <v>8</v>
      </c>
      <c r="B2783" s="0" t="s">
        <v>3933</v>
      </c>
      <c r="C2783" s="0" t="s">
        <v>7190</v>
      </c>
      <c r="D2783" s="0" t="n">
        <v>1.4009</v>
      </c>
    </row>
    <row r="2784" customFormat="false" ht="15" hidden="false" customHeight="false" outlineLevel="0" collapsed="false">
      <c r="A2784" s="0" t="s">
        <v>8</v>
      </c>
      <c r="B2784" s="0" t="s">
        <v>3933</v>
      </c>
      <c r="C2784" s="0" t="s">
        <v>7191</v>
      </c>
    </row>
    <row r="2785" customFormat="false" ht="15" hidden="false" customHeight="false" outlineLevel="0" collapsed="false">
      <c r="A2785" s="0" t="s">
        <v>8</v>
      </c>
      <c r="B2785" s="0" t="s">
        <v>3933</v>
      </c>
      <c r="C2785" s="0" t="s">
        <v>7192</v>
      </c>
    </row>
    <row r="2786" customFormat="false" ht="15" hidden="false" customHeight="false" outlineLevel="0" collapsed="false">
      <c r="A2786" s="0" t="s">
        <v>8</v>
      </c>
      <c r="B2786" s="0" t="s">
        <v>3936</v>
      </c>
      <c r="C2786" s="0" t="s">
        <v>7190</v>
      </c>
      <c r="D2786" s="0" t="n">
        <v>1.5154</v>
      </c>
    </row>
    <row r="2787" customFormat="false" ht="15" hidden="false" customHeight="false" outlineLevel="0" collapsed="false">
      <c r="A2787" s="0" t="s">
        <v>8</v>
      </c>
      <c r="B2787" s="0" t="s">
        <v>3936</v>
      </c>
      <c r="C2787" s="0" t="s">
        <v>7191</v>
      </c>
    </row>
    <row r="2788" customFormat="false" ht="15" hidden="false" customHeight="false" outlineLevel="0" collapsed="false">
      <c r="A2788" s="0" t="s">
        <v>8</v>
      </c>
      <c r="B2788" s="0" t="s">
        <v>3936</v>
      </c>
      <c r="C2788" s="0" t="s">
        <v>7192</v>
      </c>
    </row>
    <row r="2789" customFormat="false" ht="15" hidden="false" customHeight="false" outlineLevel="0" collapsed="false">
      <c r="A2789" s="0" t="s">
        <v>8</v>
      </c>
      <c r="B2789" s="0" t="s">
        <v>3939</v>
      </c>
      <c r="C2789" s="0" t="s">
        <v>7190</v>
      </c>
      <c r="D2789" s="0" t="n">
        <v>0.1657</v>
      </c>
    </row>
    <row r="2790" customFormat="false" ht="15" hidden="false" customHeight="false" outlineLevel="0" collapsed="false">
      <c r="A2790" s="0" t="s">
        <v>8</v>
      </c>
      <c r="B2790" s="0" t="s">
        <v>3939</v>
      </c>
      <c r="C2790" s="0" t="s">
        <v>7191</v>
      </c>
    </row>
    <row r="2791" customFormat="false" ht="15" hidden="false" customHeight="false" outlineLevel="0" collapsed="false">
      <c r="A2791" s="0" t="s">
        <v>8</v>
      </c>
      <c r="B2791" s="0" t="s">
        <v>3939</v>
      </c>
      <c r="C2791" s="0" t="s">
        <v>7192</v>
      </c>
    </row>
    <row r="2792" customFormat="false" ht="15" hidden="false" customHeight="false" outlineLevel="0" collapsed="false">
      <c r="A2792" s="0" t="s">
        <v>8</v>
      </c>
      <c r="B2792" s="0" t="s">
        <v>3944</v>
      </c>
      <c r="C2792" s="0" t="s">
        <v>7190</v>
      </c>
      <c r="D2792" s="0" t="n">
        <v>0.6382</v>
      </c>
    </row>
    <row r="2793" customFormat="false" ht="15" hidden="false" customHeight="false" outlineLevel="0" collapsed="false">
      <c r="A2793" s="0" t="s">
        <v>8</v>
      </c>
      <c r="B2793" s="0" t="s">
        <v>3944</v>
      </c>
      <c r="C2793" s="0" t="s">
        <v>7191</v>
      </c>
    </row>
    <row r="2794" customFormat="false" ht="15" hidden="false" customHeight="false" outlineLevel="0" collapsed="false">
      <c r="A2794" s="0" t="s">
        <v>8</v>
      </c>
      <c r="B2794" s="0" t="s">
        <v>3944</v>
      </c>
      <c r="C2794" s="0" t="s">
        <v>7192</v>
      </c>
    </row>
    <row r="2795" customFormat="false" ht="15" hidden="false" customHeight="false" outlineLevel="0" collapsed="false">
      <c r="A2795" s="0" t="s">
        <v>8</v>
      </c>
      <c r="B2795" s="0" t="s">
        <v>3947</v>
      </c>
      <c r="C2795" s="0" t="s">
        <v>7190</v>
      </c>
      <c r="D2795" s="0" t="n">
        <v>2.7025</v>
      </c>
    </row>
    <row r="2796" customFormat="false" ht="15" hidden="false" customHeight="false" outlineLevel="0" collapsed="false">
      <c r="A2796" s="0" t="s">
        <v>8</v>
      </c>
      <c r="B2796" s="0" t="s">
        <v>3947</v>
      </c>
      <c r="C2796" s="0" t="s">
        <v>7191</v>
      </c>
    </row>
    <row r="2797" customFormat="false" ht="15" hidden="false" customHeight="false" outlineLevel="0" collapsed="false">
      <c r="A2797" s="0" t="s">
        <v>8</v>
      </c>
      <c r="B2797" s="0" t="s">
        <v>3947</v>
      </c>
      <c r="C2797" s="0" t="s">
        <v>7192</v>
      </c>
    </row>
    <row r="2798" customFormat="false" ht="15" hidden="false" customHeight="false" outlineLevel="0" collapsed="false">
      <c r="A2798" s="0" t="s">
        <v>8</v>
      </c>
      <c r="B2798" s="0" t="s">
        <v>3950</v>
      </c>
      <c r="C2798" s="0" t="s">
        <v>7190</v>
      </c>
      <c r="D2798" s="0" t="n">
        <v>1.3111</v>
      </c>
    </row>
    <row r="2799" customFormat="false" ht="15" hidden="false" customHeight="false" outlineLevel="0" collapsed="false">
      <c r="A2799" s="0" t="s">
        <v>8</v>
      </c>
      <c r="B2799" s="0" t="s">
        <v>3950</v>
      </c>
      <c r="C2799" s="0" t="s">
        <v>7191</v>
      </c>
    </row>
    <row r="2800" customFormat="false" ht="15" hidden="false" customHeight="false" outlineLevel="0" collapsed="false">
      <c r="A2800" s="0" t="s">
        <v>8</v>
      </c>
      <c r="B2800" s="0" t="s">
        <v>3950</v>
      </c>
      <c r="C2800" s="0" t="s">
        <v>7192</v>
      </c>
    </row>
    <row r="2801" customFormat="false" ht="15" hidden="false" customHeight="false" outlineLevel="0" collapsed="false">
      <c r="A2801" s="0" t="s">
        <v>8</v>
      </c>
      <c r="B2801" s="0" t="s">
        <v>3953</v>
      </c>
      <c r="C2801" s="0" t="s">
        <v>7190</v>
      </c>
      <c r="D2801" s="0" t="n">
        <v>1.3291</v>
      </c>
    </row>
    <row r="2802" customFormat="false" ht="15" hidden="false" customHeight="false" outlineLevel="0" collapsed="false">
      <c r="A2802" s="0" t="s">
        <v>8</v>
      </c>
      <c r="B2802" s="0" t="s">
        <v>3953</v>
      </c>
      <c r="C2802" s="0" t="s">
        <v>7191</v>
      </c>
    </row>
    <row r="2803" customFormat="false" ht="15" hidden="false" customHeight="false" outlineLevel="0" collapsed="false">
      <c r="A2803" s="0" t="s">
        <v>8</v>
      </c>
      <c r="B2803" s="0" t="s">
        <v>3953</v>
      </c>
      <c r="C2803" s="0" t="s">
        <v>7192</v>
      </c>
    </row>
    <row r="2804" customFormat="false" ht="15" hidden="false" customHeight="false" outlineLevel="0" collapsed="false">
      <c r="A2804" s="0" t="s">
        <v>8</v>
      </c>
      <c r="B2804" s="0" t="s">
        <v>3956</v>
      </c>
      <c r="C2804" s="0" t="s">
        <v>7190</v>
      </c>
      <c r="D2804" s="0" t="n">
        <v>0</v>
      </c>
    </row>
    <row r="2805" customFormat="false" ht="15" hidden="false" customHeight="false" outlineLevel="0" collapsed="false">
      <c r="A2805" s="0" t="s">
        <v>8</v>
      </c>
      <c r="B2805" s="0" t="s">
        <v>3956</v>
      </c>
      <c r="C2805" s="0" t="s">
        <v>7191</v>
      </c>
    </row>
    <row r="2806" customFormat="false" ht="15" hidden="false" customHeight="false" outlineLevel="0" collapsed="false">
      <c r="A2806" s="0" t="s">
        <v>8</v>
      </c>
      <c r="B2806" s="0" t="s">
        <v>3956</v>
      </c>
      <c r="C2806" s="0" t="s">
        <v>7192</v>
      </c>
    </row>
    <row r="2807" customFormat="false" ht="15" hidden="false" customHeight="false" outlineLevel="0" collapsed="false">
      <c r="A2807" s="0" t="s">
        <v>8</v>
      </c>
      <c r="B2807" s="0" t="s">
        <v>3960</v>
      </c>
      <c r="C2807" s="0" t="s">
        <v>7190</v>
      </c>
      <c r="D2807" s="0" t="n">
        <v>0.0354</v>
      </c>
    </row>
    <row r="2808" customFormat="false" ht="15" hidden="false" customHeight="false" outlineLevel="0" collapsed="false">
      <c r="A2808" s="0" t="s">
        <v>8</v>
      </c>
      <c r="B2808" s="0" t="s">
        <v>3960</v>
      </c>
      <c r="C2808" s="0" t="s">
        <v>7191</v>
      </c>
    </row>
    <row r="2809" customFormat="false" ht="15" hidden="false" customHeight="false" outlineLevel="0" collapsed="false">
      <c r="A2809" s="0" t="s">
        <v>8</v>
      </c>
      <c r="B2809" s="0" t="s">
        <v>3960</v>
      </c>
      <c r="C2809" s="0" t="s">
        <v>7192</v>
      </c>
    </row>
    <row r="2810" customFormat="false" ht="15" hidden="false" customHeight="false" outlineLevel="0" collapsed="false">
      <c r="A2810" s="0" t="s">
        <v>8</v>
      </c>
      <c r="B2810" s="0" t="s">
        <v>3963</v>
      </c>
      <c r="C2810" s="0" t="s">
        <v>7190</v>
      </c>
      <c r="D2810" s="0" t="n">
        <v>1.3344</v>
      </c>
    </row>
    <row r="2811" customFormat="false" ht="15" hidden="false" customHeight="false" outlineLevel="0" collapsed="false">
      <c r="A2811" s="0" t="s">
        <v>8</v>
      </c>
      <c r="B2811" s="0" t="s">
        <v>3963</v>
      </c>
      <c r="C2811" s="0" t="s">
        <v>7191</v>
      </c>
    </row>
    <row r="2812" customFormat="false" ht="15" hidden="false" customHeight="false" outlineLevel="0" collapsed="false">
      <c r="A2812" s="0" t="s">
        <v>8</v>
      </c>
      <c r="B2812" s="0" t="s">
        <v>3963</v>
      </c>
      <c r="C2812" s="0" t="s">
        <v>7192</v>
      </c>
    </row>
    <row r="2813" customFormat="false" ht="15" hidden="false" customHeight="false" outlineLevel="0" collapsed="false">
      <c r="A2813" s="0" t="s">
        <v>8</v>
      </c>
      <c r="B2813" s="0" t="s">
        <v>3966</v>
      </c>
      <c r="C2813" s="0" t="s">
        <v>7190</v>
      </c>
      <c r="D2813" s="0" t="n">
        <v>0.5303</v>
      </c>
    </row>
    <row r="2814" customFormat="false" ht="15" hidden="false" customHeight="false" outlineLevel="0" collapsed="false">
      <c r="A2814" s="0" t="s">
        <v>8</v>
      </c>
      <c r="B2814" s="0" t="s">
        <v>3966</v>
      </c>
      <c r="C2814" s="0" t="s">
        <v>7191</v>
      </c>
    </row>
    <row r="2815" customFormat="false" ht="15" hidden="false" customHeight="false" outlineLevel="0" collapsed="false">
      <c r="A2815" s="0" t="s">
        <v>8</v>
      </c>
      <c r="B2815" s="0" t="s">
        <v>3966</v>
      </c>
      <c r="C2815" s="0" t="s">
        <v>7192</v>
      </c>
    </row>
    <row r="2816" customFormat="false" ht="15" hidden="false" customHeight="false" outlineLevel="0" collapsed="false">
      <c r="A2816" s="0" t="s">
        <v>8</v>
      </c>
      <c r="B2816" s="0" t="s">
        <v>3969</v>
      </c>
      <c r="C2816" s="0" t="s">
        <v>7190</v>
      </c>
      <c r="D2816" s="0" t="n">
        <v>0.7997</v>
      </c>
    </row>
    <row r="2817" customFormat="false" ht="15" hidden="false" customHeight="false" outlineLevel="0" collapsed="false">
      <c r="A2817" s="0" t="s">
        <v>8</v>
      </c>
      <c r="B2817" s="0" t="s">
        <v>3969</v>
      </c>
      <c r="C2817" s="0" t="s">
        <v>7191</v>
      </c>
    </row>
    <row r="2818" customFormat="false" ht="15" hidden="false" customHeight="false" outlineLevel="0" collapsed="false">
      <c r="A2818" s="0" t="s">
        <v>8</v>
      </c>
      <c r="B2818" s="0" t="s">
        <v>3969</v>
      </c>
      <c r="C2818" s="0" t="s">
        <v>7192</v>
      </c>
    </row>
    <row r="2819" customFormat="false" ht="15" hidden="false" customHeight="false" outlineLevel="0" collapsed="false">
      <c r="A2819" s="0" t="s">
        <v>8</v>
      </c>
      <c r="B2819" s="0" t="s">
        <v>3972</v>
      </c>
      <c r="C2819" s="0" t="s">
        <v>7190</v>
      </c>
      <c r="D2819" s="0" t="n">
        <v>0.046</v>
      </c>
    </row>
    <row r="2820" customFormat="false" ht="15" hidden="false" customHeight="false" outlineLevel="0" collapsed="false">
      <c r="A2820" s="0" t="s">
        <v>8</v>
      </c>
      <c r="B2820" s="0" t="s">
        <v>3972</v>
      </c>
      <c r="C2820" s="0" t="s">
        <v>7191</v>
      </c>
    </row>
    <row r="2821" customFormat="false" ht="15" hidden="false" customHeight="false" outlineLevel="0" collapsed="false">
      <c r="A2821" s="0" t="s">
        <v>8</v>
      </c>
      <c r="B2821" s="0" t="s">
        <v>3972</v>
      </c>
      <c r="C2821" s="0" t="s">
        <v>7192</v>
      </c>
    </row>
    <row r="2822" customFormat="false" ht="15" hidden="false" customHeight="false" outlineLevel="0" collapsed="false">
      <c r="A2822" s="0" t="s">
        <v>8</v>
      </c>
      <c r="B2822" s="0" t="s">
        <v>3976</v>
      </c>
      <c r="C2822" s="0" t="s">
        <v>7190</v>
      </c>
      <c r="D2822" s="0" t="n">
        <v>0.1875</v>
      </c>
    </row>
    <row r="2823" customFormat="false" ht="15" hidden="false" customHeight="false" outlineLevel="0" collapsed="false">
      <c r="A2823" s="0" t="s">
        <v>8</v>
      </c>
      <c r="B2823" s="0" t="s">
        <v>3976</v>
      </c>
      <c r="C2823" s="0" t="s">
        <v>7191</v>
      </c>
    </row>
    <row r="2824" customFormat="false" ht="15" hidden="false" customHeight="false" outlineLevel="0" collapsed="false">
      <c r="A2824" s="0" t="s">
        <v>8</v>
      </c>
      <c r="B2824" s="0" t="s">
        <v>3976</v>
      </c>
      <c r="C2824" s="0" t="s">
        <v>7192</v>
      </c>
    </row>
    <row r="2825" customFormat="false" ht="15" hidden="false" customHeight="false" outlineLevel="0" collapsed="false">
      <c r="A2825" s="0" t="s">
        <v>8</v>
      </c>
      <c r="B2825" s="0" t="s">
        <v>3979</v>
      </c>
      <c r="C2825" s="0" t="s">
        <v>7190</v>
      </c>
      <c r="D2825" s="0" t="n">
        <v>0.8895</v>
      </c>
    </row>
    <row r="2826" customFormat="false" ht="15" hidden="false" customHeight="false" outlineLevel="0" collapsed="false">
      <c r="A2826" s="0" t="s">
        <v>8</v>
      </c>
      <c r="B2826" s="0" t="s">
        <v>3979</v>
      </c>
      <c r="C2826" s="0" t="s">
        <v>7191</v>
      </c>
    </row>
    <row r="2827" customFormat="false" ht="15" hidden="false" customHeight="false" outlineLevel="0" collapsed="false">
      <c r="A2827" s="0" t="s">
        <v>8</v>
      </c>
      <c r="B2827" s="0" t="s">
        <v>3979</v>
      </c>
      <c r="C2827" s="0" t="s">
        <v>7192</v>
      </c>
    </row>
    <row r="2828" customFormat="false" ht="15" hidden="false" customHeight="false" outlineLevel="0" collapsed="false">
      <c r="A2828" s="0" t="s">
        <v>8</v>
      </c>
      <c r="B2828" s="0" t="s">
        <v>3982</v>
      </c>
      <c r="C2828" s="0" t="s">
        <v>7190</v>
      </c>
      <c r="D2828" s="0" t="n">
        <v>0.307</v>
      </c>
    </row>
    <row r="2829" customFormat="false" ht="15" hidden="false" customHeight="false" outlineLevel="0" collapsed="false">
      <c r="A2829" s="0" t="s">
        <v>8</v>
      </c>
      <c r="B2829" s="0" t="s">
        <v>3982</v>
      </c>
      <c r="C2829" s="0" t="s">
        <v>7191</v>
      </c>
    </row>
    <row r="2830" customFormat="false" ht="15" hidden="false" customHeight="false" outlineLevel="0" collapsed="false">
      <c r="A2830" s="0" t="s">
        <v>8</v>
      </c>
      <c r="B2830" s="0" t="s">
        <v>3982</v>
      </c>
      <c r="C2830" s="0" t="s">
        <v>7192</v>
      </c>
    </row>
    <row r="2831" customFormat="false" ht="15" hidden="false" customHeight="false" outlineLevel="0" collapsed="false">
      <c r="A2831" s="0" t="s">
        <v>8</v>
      </c>
      <c r="B2831" s="0" t="s">
        <v>3985</v>
      </c>
      <c r="C2831" s="0" t="s">
        <v>7190</v>
      </c>
      <c r="D2831" s="0" t="n">
        <v>1.912</v>
      </c>
    </row>
    <row r="2832" customFormat="false" ht="15" hidden="false" customHeight="false" outlineLevel="0" collapsed="false">
      <c r="A2832" s="0" t="s">
        <v>8</v>
      </c>
      <c r="B2832" s="0" t="s">
        <v>3985</v>
      </c>
      <c r="C2832" s="0" t="s">
        <v>7191</v>
      </c>
    </row>
    <row r="2833" customFormat="false" ht="15" hidden="false" customHeight="false" outlineLevel="0" collapsed="false">
      <c r="A2833" s="0" t="s">
        <v>8</v>
      </c>
      <c r="B2833" s="0" t="s">
        <v>3985</v>
      </c>
      <c r="C2833" s="0" t="s">
        <v>7192</v>
      </c>
    </row>
    <row r="2834" customFormat="false" ht="15" hidden="false" customHeight="false" outlineLevel="0" collapsed="false">
      <c r="A2834" s="0" t="s">
        <v>8</v>
      </c>
      <c r="B2834" s="0" t="s">
        <v>3990</v>
      </c>
      <c r="C2834" s="0" t="s">
        <v>7190</v>
      </c>
      <c r="D2834" s="0" t="n">
        <v>24.6304</v>
      </c>
    </row>
    <row r="2835" customFormat="false" ht="15" hidden="false" customHeight="false" outlineLevel="0" collapsed="false">
      <c r="A2835" s="0" t="s">
        <v>8</v>
      </c>
      <c r="B2835" s="0" t="s">
        <v>3990</v>
      </c>
      <c r="C2835" s="0" t="s">
        <v>7191</v>
      </c>
    </row>
    <row r="2836" customFormat="false" ht="15" hidden="false" customHeight="false" outlineLevel="0" collapsed="false">
      <c r="A2836" s="0" t="s">
        <v>8</v>
      </c>
      <c r="B2836" s="0" t="s">
        <v>3990</v>
      </c>
      <c r="C2836" s="0" t="s">
        <v>7192</v>
      </c>
    </row>
    <row r="2837" customFormat="false" ht="15" hidden="false" customHeight="false" outlineLevel="0" collapsed="false">
      <c r="A2837" s="0" t="s">
        <v>8</v>
      </c>
      <c r="B2837" s="0" t="s">
        <v>3993</v>
      </c>
      <c r="C2837" s="0" t="s">
        <v>7190</v>
      </c>
      <c r="D2837" s="0" t="n">
        <v>33.1207</v>
      </c>
    </row>
    <row r="2838" customFormat="false" ht="15" hidden="false" customHeight="false" outlineLevel="0" collapsed="false">
      <c r="A2838" s="0" t="s">
        <v>8</v>
      </c>
      <c r="B2838" s="0" t="s">
        <v>3993</v>
      </c>
      <c r="C2838" s="0" t="s">
        <v>7191</v>
      </c>
    </row>
    <row r="2839" customFormat="false" ht="15" hidden="false" customHeight="false" outlineLevel="0" collapsed="false">
      <c r="A2839" s="0" t="s">
        <v>8</v>
      </c>
      <c r="B2839" s="0" t="s">
        <v>3993</v>
      </c>
      <c r="C2839" s="0" t="s">
        <v>7192</v>
      </c>
    </row>
    <row r="2840" customFormat="false" ht="15" hidden="false" customHeight="false" outlineLevel="0" collapsed="false">
      <c r="A2840" s="0" t="s">
        <v>8</v>
      </c>
      <c r="B2840" s="0" t="s">
        <v>3996</v>
      </c>
      <c r="C2840" s="0" t="s">
        <v>7190</v>
      </c>
      <c r="D2840" s="0" t="n">
        <v>8.1634</v>
      </c>
    </row>
    <row r="2841" customFormat="false" ht="15" hidden="false" customHeight="false" outlineLevel="0" collapsed="false">
      <c r="A2841" s="0" t="s">
        <v>8</v>
      </c>
      <c r="B2841" s="0" t="s">
        <v>3996</v>
      </c>
      <c r="C2841" s="0" t="s">
        <v>7191</v>
      </c>
    </row>
    <row r="2842" customFormat="false" ht="15" hidden="false" customHeight="false" outlineLevel="0" collapsed="false">
      <c r="A2842" s="0" t="s">
        <v>8</v>
      </c>
      <c r="B2842" s="0" t="s">
        <v>3996</v>
      </c>
      <c r="C2842" s="0" t="s">
        <v>7192</v>
      </c>
    </row>
    <row r="2843" customFormat="false" ht="15" hidden="false" customHeight="false" outlineLevel="0" collapsed="false">
      <c r="A2843" s="0" t="s">
        <v>8</v>
      </c>
      <c r="B2843" s="0" t="s">
        <v>3999</v>
      </c>
      <c r="C2843" s="0" t="s">
        <v>7190</v>
      </c>
      <c r="D2843" s="0" t="n">
        <v>21.6511</v>
      </c>
    </row>
    <row r="2844" customFormat="false" ht="15" hidden="false" customHeight="false" outlineLevel="0" collapsed="false">
      <c r="A2844" s="0" t="s">
        <v>8</v>
      </c>
      <c r="B2844" s="0" t="s">
        <v>3999</v>
      </c>
      <c r="C2844" s="0" t="s">
        <v>7191</v>
      </c>
    </row>
    <row r="2845" customFormat="false" ht="15" hidden="false" customHeight="false" outlineLevel="0" collapsed="false">
      <c r="A2845" s="0" t="s">
        <v>8</v>
      </c>
      <c r="B2845" s="0" t="s">
        <v>3999</v>
      </c>
      <c r="C2845" s="0" t="s">
        <v>7192</v>
      </c>
    </row>
    <row r="2846" customFormat="false" ht="15" hidden="false" customHeight="false" outlineLevel="0" collapsed="false">
      <c r="A2846" s="0" t="s">
        <v>8</v>
      </c>
      <c r="B2846" s="0" t="s">
        <v>4002</v>
      </c>
      <c r="C2846" s="0" t="s">
        <v>7190</v>
      </c>
      <c r="D2846" s="0" t="n">
        <v>-0.6825</v>
      </c>
    </row>
    <row r="2847" customFormat="false" ht="15" hidden="false" customHeight="false" outlineLevel="0" collapsed="false">
      <c r="A2847" s="0" t="s">
        <v>8</v>
      </c>
      <c r="B2847" s="0" t="s">
        <v>4002</v>
      </c>
      <c r="C2847" s="0" t="s">
        <v>7191</v>
      </c>
    </row>
    <row r="2848" customFormat="false" ht="15" hidden="false" customHeight="false" outlineLevel="0" collapsed="false">
      <c r="A2848" s="0" t="s">
        <v>8</v>
      </c>
      <c r="B2848" s="0" t="s">
        <v>4002</v>
      </c>
      <c r="C2848" s="0" t="s">
        <v>7192</v>
      </c>
    </row>
    <row r="2849" customFormat="false" ht="15" hidden="false" customHeight="false" outlineLevel="0" collapsed="false">
      <c r="A2849" s="0" t="s">
        <v>8</v>
      </c>
      <c r="B2849" s="0" t="s">
        <v>4005</v>
      </c>
      <c r="C2849" s="0" t="s">
        <v>7190</v>
      </c>
      <c r="D2849" s="0" t="n">
        <v>-6.4802</v>
      </c>
    </row>
    <row r="2850" customFormat="false" ht="15" hidden="false" customHeight="false" outlineLevel="0" collapsed="false">
      <c r="A2850" s="0" t="s">
        <v>8</v>
      </c>
      <c r="B2850" s="0" t="s">
        <v>4005</v>
      </c>
      <c r="C2850" s="0" t="s">
        <v>7191</v>
      </c>
    </row>
    <row r="2851" customFormat="false" ht="15" hidden="false" customHeight="false" outlineLevel="0" collapsed="false">
      <c r="A2851" s="0" t="s">
        <v>8</v>
      </c>
      <c r="B2851" s="0" t="s">
        <v>4005</v>
      </c>
      <c r="C2851" s="0" t="s">
        <v>7192</v>
      </c>
    </row>
    <row r="2852" customFormat="false" ht="15" hidden="false" customHeight="false" outlineLevel="0" collapsed="false">
      <c r="A2852" s="0" t="s">
        <v>8</v>
      </c>
      <c r="B2852" s="0" t="s">
        <v>4008</v>
      </c>
      <c r="C2852" s="0" t="s">
        <v>7190</v>
      </c>
      <c r="D2852" s="0" t="n">
        <v>-22.4492</v>
      </c>
    </row>
    <row r="2853" customFormat="false" ht="15" hidden="false" customHeight="false" outlineLevel="0" collapsed="false">
      <c r="A2853" s="0" t="s">
        <v>8</v>
      </c>
      <c r="B2853" s="0" t="s">
        <v>4008</v>
      </c>
      <c r="C2853" s="0" t="s">
        <v>7191</v>
      </c>
    </row>
    <row r="2854" customFormat="false" ht="15" hidden="false" customHeight="false" outlineLevel="0" collapsed="false">
      <c r="A2854" s="0" t="s">
        <v>8</v>
      </c>
      <c r="B2854" s="0" t="s">
        <v>4008</v>
      </c>
      <c r="C2854" s="0" t="s">
        <v>7192</v>
      </c>
    </row>
    <row r="2855" customFormat="false" ht="15" hidden="false" customHeight="false" outlineLevel="0" collapsed="false">
      <c r="A2855" s="0" t="s">
        <v>8</v>
      </c>
      <c r="B2855" s="0" t="s">
        <v>4011</v>
      </c>
      <c r="C2855" s="0" t="s">
        <v>7190</v>
      </c>
      <c r="D2855" s="0" t="n">
        <v>-9.9468</v>
      </c>
    </row>
    <row r="2856" customFormat="false" ht="15" hidden="false" customHeight="false" outlineLevel="0" collapsed="false">
      <c r="A2856" s="0" t="s">
        <v>8</v>
      </c>
      <c r="B2856" s="0" t="s">
        <v>4011</v>
      </c>
      <c r="C2856" s="0" t="s">
        <v>7191</v>
      </c>
    </row>
    <row r="2857" customFormat="false" ht="15" hidden="false" customHeight="false" outlineLevel="0" collapsed="false">
      <c r="A2857" s="0" t="s">
        <v>8</v>
      </c>
      <c r="B2857" s="0" t="s">
        <v>4011</v>
      </c>
      <c r="C2857" s="0" t="s">
        <v>7192</v>
      </c>
    </row>
    <row r="2858" customFormat="false" ht="15" hidden="false" customHeight="false" outlineLevel="0" collapsed="false">
      <c r="A2858" s="0" t="s">
        <v>8</v>
      </c>
      <c r="B2858" s="0" t="s">
        <v>4014</v>
      </c>
      <c r="C2858" s="0" t="s">
        <v>7190</v>
      </c>
      <c r="D2858" s="0" t="n">
        <v>-13.2715</v>
      </c>
    </row>
    <row r="2859" customFormat="false" ht="15" hidden="false" customHeight="false" outlineLevel="0" collapsed="false">
      <c r="A2859" s="0" t="s">
        <v>8</v>
      </c>
      <c r="B2859" s="0" t="s">
        <v>4014</v>
      </c>
      <c r="C2859" s="0" t="s">
        <v>7191</v>
      </c>
    </row>
    <row r="2860" customFormat="false" ht="15" hidden="false" customHeight="false" outlineLevel="0" collapsed="false">
      <c r="A2860" s="0" t="s">
        <v>8</v>
      </c>
      <c r="B2860" s="0" t="s">
        <v>4014</v>
      </c>
      <c r="C2860" s="0" t="s">
        <v>7192</v>
      </c>
    </row>
    <row r="2861" customFormat="false" ht="15" hidden="false" customHeight="false" outlineLevel="0" collapsed="false">
      <c r="A2861" s="0" t="s">
        <v>8</v>
      </c>
      <c r="B2861" s="0" t="s">
        <v>4017</v>
      </c>
      <c r="C2861" s="0" t="s">
        <v>7190</v>
      </c>
      <c r="D2861" s="0" t="n">
        <v>0.3292</v>
      </c>
    </row>
    <row r="2862" customFormat="false" ht="15" hidden="false" customHeight="false" outlineLevel="0" collapsed="false">
      <c r="A2862" s="0" t="s">
        <v>8</v>
      </c>
      <c r="B2862" s="0" t="s">
        <v>4017</v>
      </c>
      <c r="C2862" s="0" t="s">
        <v>7191</v>
      </c>
    </row>
    <row r="2863" customFormat="false" ht="15" hidden="false" customHeight="false" outlineLevel="0" collapsed="false">
      <c r="A2863" s="0" t="s">
        <v>8</v>
      </c>
      <c r="B2863" s="0" t="s">
        <v>4017</v>
      </c>
      <c r="C2863" s="0" t="s">
        <v>7192</v>
      </c>
    </row>
    <row r="2864" customFormat="false" ht="15" hidden="false" customHeight="false" outlineLevel="0" collapsed="false">
      <c r="A2864" s="0" t="s">
        <v>8</v>
      </c>
      <c r="B2864" s="0" t="s">
        <v>4020</v>
      </c>
      <c r="C2864" s="0" t="s">
        <v>7190</v>
      </c>
      <c r="D2864" s="0" t="n">
        <v>-7.8496</v>
      </c>
    </row>
    <row r="2865" customFormat="false" ht="15" hidden="false" customHeight="false" outlineLevel="0" collapsed="false">
      <c r="A2865" s="0" t="s">
        <v>8</v>
      </c>
      <c r="B2865" s="0" t="s">
        <v>4020</v>
      </c>
      <c r="C2865" s="0" t="s">
        <v>7191</v>
      </c>
    </row>
    <row r="2866" customFormat="false" ht="15" hidden="false" customHeight="false" outlineLevel="0" collapsed="false">
      <c r="A2866" s="0" t="s">
        <v>8</v>
      </c>
      <c r="B2866" s="0" t="s">
        <v>4020</v>
      </c>
      <c r="C2866" s="0" t="s">
        <v>7192</v>
      </c>
    </row>
    <row r="2867" customFormat="false" ht="15" hidden="false" customHeight="false" outlineLevel="0" collapsed="false">
      <c r="A2867" s="0" t="s">
        <v>8</v>
      </c>
      <c r="B2867" s="0" t="s">
        <v>4023</v>
      </c>
      <c r="C2867" s="0" t="s">
        <v>7190</v>
      </c>
      <c r="D2867" s="0" t="n">
        <v>-0.4856</v>
      </c>
    </row>
    <row r="2868" customFormat="false" ht="15" hidden="false" customHeight="false" outlineLevel="0" collapsed="false">
      <c r="A2868" s="0" t="s">
        <v>8</v>
      </c>
      <c r="B2868" s="0" t="s">
        <v>4023</v>
      </c>
      <c r="C2868" s="0" t="s">
        <v>7191</v>
      </c>
    </row>
    <row r="2869" customFormat="false" ht="15" hidden="false" customHeight="false" outlineLevel="0" collapsed="false">
      <c r="A2869" s="0" t="s">
        <v>8</v>
      </c>
      <c r="B2869" s="0" t="s">
        <v>4023</v>
      </c>
      <c r="C2869" s="0" t="s">
        <v>7192</v>
      </c>
    </row>
    <row r="2870" customFormat="false" ht="15" hidden="false" customHeight="false" outlineLevel="0" collapsed="false">
      <c r="A2870" s="0" t="s">
        <v>8</v>
      </c>
      <c r="B2870" s="0" t="s">
        <v>4026</v>
      </c>
      <c r="C2870" s="0" t="s">
        <v>7190</v>
      </c>
      <c r="D2870" s="0" t="n">
        <v>-1.3878</v>
      </c>
    </row>
    <row r="2871" customFormat="false" ht="15" hidden="false" customHeight="false" outlineLevel="0" collapsed="false">
      <c r="A2871" s="0" t="s">
        <v>8</v>
      </c>
      <c r="B2871" s="0" t="s">
        <v>4026</v>
      </c>
      <c r="C2871" s="0" t="s">
        <v>7191</v>
      </c>
    </row>
    <row r="2872" customFormat="false" ht="15" hidden="false" customHeight="false" outlineLevel="0" collapsed="false">
      <c r="A2872" s="0" t="s">
        <v>8</v>
      </c>
      <c r="B2872" s="0" t="s">
        <v>4026</v>
      </c>
      <c r="C2872" s="0" t="s">
        <v>7192</v>
      </c>
    </row>
    <row r="2873" customFormat="false" ht="15" hidden="false" customHeight="false" outlineLevel="0" collapsed="false">
      <c r="A2873" s="0" t="s">
        <v>8</v>
      </c>
      <c r="B2873" s="0" t="s">
        <v>4029</v>
      </c>
      <c r="C2873" s="0" t="s">
        <v>7190</v>
      </c>
      <c r="D2873" s="0" t="n">
        <v>-5.5637</v>
      </c>
    </row>
    <row r="2874" customFormat="false" ht="15" hidden="false" customHeight="false" outlineLevel="0" collapsed="false">
      <c r="A2874" s="0" t="s">
        <v>8</v>
      </c>
      <c r="B2874" s="0" t="s">
        <v>4029</v>
      </c>
      <c r="C2874" s="0" t="s">
        <v>7191</v>
      </c>
    </row>
    <row r="2875" customFormat="false" ht="15" hidden="false" customHeight="false" outlineLevel="0" collapsed="false">
      <c r="A2875" s="0" t="s">
        <v>8</v>
      </c>
      <c r="B2875" s="0" t="s">
        <v>4029</v>
      </c>
      <c r="C2875" s="0" t="s">
        <v>7192</v>
      </c>
    </row>
    <row r="2876" customFormat="false" ht="15" hidden="false" customHeight="false" outlineLevel="0" collapsed="false">
      <c r="A2876" s="0" t="s">
        <v>8</v>
      </c>
      <c r="B2876" s="0" t="s">
        <v>4032</v>
      </c>
      <c r="C2876" s="0" t="s">
        <v>7190</v>
      </c>
      <c r="D2876" s="0" t="n">
        <v>2.1893</v>
      </c>
    </row>
    <row r="2877" customFormat="false" ht="15" hidden="false" customHeight="false" outlineLevel="0" collapsed="false">
      <c r="A2877" s="0" t="s">
        <v>8</v>
      </c>
      <c r="B2877" s="0" t="s">
        <v>4032</v>
      </c>
      <c r="C2877" s="0" t="s">
        <v>7191</v>
      </c>
    </row>
    <row r="2878" customFormat="false" ht="15" hidden="false" customHeight="false" outlineLevel="0" collapsed="false">
      <c r="A2878" s="0" t="s">
        <v>8</v>
      </c>
      <c r="B2878" s="0" t="s">
        <v>4032</v>
      </c>
      <c r="C2878" s="0" t="s">
        <v>7192</v>
      </c>
    </row>
    <row r="2879" customFormat="false" ht="15" hidden="false" customHeight="false" outlineLevel="0" collapsed="false">
      <c r="A2879" s="0" t="s">
        <v>8</v>
      </c>
      <c r="B2879" s="0" t="s">
        <v>4035</v>
      </c>
      <c r="C2879" s="0" t="s">
        <v>7190</v>
      </c>
      <c r="D2879" s="0" t="n">
        <v>12.4917</v>
      </c>
    </row>
    <row r="2880" customFormat="false" ht="15" hidden="false" customHeight="false" outlineLevel="0" collapsed="false">
      <c r="A2880" s="0" t="s">
        <v>8</v>
      </c>
      <c r="B2880" s="0" t="s">
        <v>4035</v>
      </c>
      <c r="C2880" s="0" t="s">
        <v>7191</v>
      </c>
    </row>
    <row r="2881" customFormat="false" ht="15" hidden="false" customHeight="false" outlineLevel="0" collapsed="false">
      <c r="A2881" s="0" t="s">
        <v>8</v>
      </c>
      <c r="B2881" s="0" t="s">
        <v>4035</v>
      </c>
      <c r="C2881" s="0" t="s">
        <v>7192</v>
      </c>
    </row>
    <row r="2882" customFormat="false" ht="15" hidden="false" customHeight="false" outlineLevel="0" collapsed="false">
      <c r="A2882" s="0" t="s">
        <v>8</v>
      </c>
      <c r="B2882" s="0" t="s">
        <v>4038</v>
      </c>
      <c r="C2882" s="0" t="s">
        <v>7190</v>
      </c>
      <c r="D2882" s="0" t="n">
        <v>22.6816</v>
      </c>
    </row>
    <row r="2883" customFormat="false" ht="15" hidden="false" customHeight="false" outlineLevel="0" collapsed="false">
      <c r="A2883" s="0" t="s">
        <v>8</v>
      </c>
      <c r="B2883" s="0" t="s">
        <v>4038</v>
      </c>
      <c r="C2883" s="0" t="s">
        <v>7191</v>
      </c>
    </row>
    <row r="2884" customFormat="false" ht="15" hidden="false" customHeight="false" outlineLevel="0" collapsed="false">
      <c r="A2884" s="0" t="s">
        <v>8</v>
      </c>
      <c r="B2884" s="0" t="s">
        <v>4038</v>
      </c>
      <c r="C2884" s="0" t="s">
        <v>7192</v>
      </c>
    </row>
    <row r="2885" customFormat="false" ht="15" hidden="false" customHeight="false" outlineLevel="0" collapsed="false">
      <c r="A2885" s="0" t="s">
        <v>8</v>
      </c>
      <c r="B2885" s="0" t="s">
        <v>4041</v>
      </c>
      <c r="C2885" s="0" t="s">
        <v>7190</v>
      </c>
      <c r="D2885" s="0" t="n">
        <v>9.3207</v>
      </c>
    </row>
    <row r="2886" customFormat="false" ht="15" hidden="false" customHeight="false" outlineLevel="0" collapsed="false">
      <c r="A2886" s="0" t="s">
        <v>8</v>
      </c>
      <c r="B2886" s="0" t="s">
        <v>4041</v>
      </c>
      <c r="C2886" s="0" t="s">
        <v>7191</v>
      </c>
    </row>
    <row r="2887" customFormat="false" ht="15" hidden="false" customHeight="false" outlineLevel="0" collapsed="false">
      <c r="A2887" s="0" t="s">
        <v>8</v>
      </c>
      <c r="B2887" s="0" t="s">
        <v>4041</v>
      </c>
      <c r="C2887" s="0" t="s">
        <v>7192</v>
      </c>
    </row>
    <row r="2888" customFormat="false" ht="15" hidden="false" customHeight="false" outlineLevel="0" collapsed="false">
      <c r="A2888" s="0" t="s">
        <v>8</v>
      </c>
      <c r="B2888" s="0" t="s">
        <v>4044</v>
      </c>
      <c r="C2888" s="0" t="s">
        <v>7190</v>
      </c>
      <c r="D2888" s="0" t="n">
        <v>25.5197</v>
      </c>
    </row>
    <row r="2889" customFormat="false" ht="15" hidden="false" customHeight="false" outlineLevel="0" collapsed="false">
      <c r="A2889" s="0" t="s">
        <v>8</v>
      </c>
      <c r="B2889" s="0" t="s">
        <v>4044</v>
      </c>
      <c r="C2889" s="0" t="s">
        <v>7191</v>
      </c>
    </row>
    <row r="2890" customFormat="false" ht="15" hidden="false" customHeight="false" outlineLevel="0" collapsed="false">
      <c r="A2890" s="0" t="s">
        <v>8</v>
      </c>
      <c r="B2890" s="0" t="s">
        <v>4044</v>
      </c>
      <c r="C2890" s="0" t="s">
        <v>7192</v>
      </c>
    </row>
    <row r="2891" customFormat="false" ht="15" hidden="false" customHeight="false" outlineLevel="0" collapsed="false">
      <c r="A2891" s="0" t="s">
        <v>8</v>
      </c>
      <c r="B2891" s="0" t="s">
        <v>4047</v>
      </c>
      <c r="C2891" s="0" t="s">
        <v>7190</v>
      </c>
      <c r="D2891" s="0" t="n">
        <v>2.08</v>
      </c>
    </row>
    <row r="2892" customFormat="false" ht="15" hidden="false" customHeight="false" outlineLevel="0" collapsed="false">
      <c r="A2892" s="0" t="s">
        <v>8</v>
      </c>
      <c r="B2892" s="0" t="s">
        <v>4047</v>
      </c>
      <c r="C2892" s="0" t="s">
        <v>7191</v>
      </c>
    </row>
    <row r="2893" customFormat="false" ht="15" hidden="false" customHeight="false" outlineLevel="0" collapsed="false">
      <c r="A2893" s="0" t="s">
        <v>8</v>
      </c>
      <c r="B2893" s="0" t="s">
        <v>4047</v>
      </c>
      <c r="C2893" s="0" t="s">
        <v>7192</v>
      </c>
    </row>
    <row r="2894" customFormat="false" ht="15" hidden="false" customHeight="false" outlineLevel="0" collapsed="false">
      <c r="A2894" s="0" t="s">
        <v>8</v>
      </c>
      <c r="B2894" s="0" t="s">
        <v>4051</v>
      </c>
      <c r="C2894" s="0" t="s">
        <v>7190</v>
      </c>
      <c r="D2894" s="0" t="n">
        <v>24.1904</v>
      </c>
    </row>
    <row r="2895" customFormat="false" ht="15" hidden="false" customHeight="false" outlineLevel="0" collapsed="false">
      <c r="A2895" s="0" t="s">
        <v>8</v>
      </c>
      <c r="B2895" s="0" t="s">
        <v>4051</v>
      </c>
      <c r="C2895" s="0" t="s">
        <v>7191</v>
      </c>
    </row>
    <row r="2896" customFormat="false" ht="15" hidden="false" customHeight="false" outlineLevel="0" collapsed="false">
      <c r="A2896" s="0" t="s">
        <v>8</v>
      </c>
      <c r="B2896" s="0" t="s">
        <v>4051</v>
      </c>
      <c r="C2896" s="0" t="s">
        <v>7192</v>
      </c>
    </row>
    <row r="2897" customFormat="false" ht="15" hidden="false" customHeight="false" outlineLevel="0" collapsed="false">
      <c r="A2897" s="0" t="s">
        <v>8</v>
      </c>
      <c r="B2897" s="0" t="s">
        <v>4054</v>
      </c>
      <c r="C2897" s="0" t="s">
        <v>7190</v>
      </c>
      <c r="D2897" s="0" t="n">
        <v>30.1959</v>
      </c>
    </row>
    <row r="2898" customFormat="false" ht="15" hidden="false" customHeight="false" outlineLevel="0" collapsed="false">
      <c r="A2898" s="0" t="s">
        <v>8</v>
      </c>
      <c r="B2898" s="0" t="s">
        <v>4054</v>
      </c>
      <c r="C2898" s="0" t="s">
        <v>7191</v>
      </c>
    </row>
    <row r="2899" customFormat="false" ht="15" hidden="false" customHeight="false" outlineLevel="0" collapsed="false">
      <c r="A2899" s="0" t="s">
        <v>8</v>
      </c>
      <c r="B2899" s="0" t="s">
        <v>4054</v>
      </c>
      <c r="C2899" s="0" t="s">
        <v>7192</v>
      </c>
    </row>
    <row r="2900" customFormat="false" ht="15" hidden="false" customHeight="false" outlineLevel="0" collapsed="false">
      <c r="A2900" s="0" t="s">
        <v>8</v>
      </c>
      <c r="B2900" s="0" t="s">
        <v>4057</v>
      </c>
      <c r="C2900" s="0" t="s">
        <v>7190</v>
      </c>
      <c r="D2900" s="0" t="n">
        <v>8.9319</v>
      </c>
    </row>
    <row r="2901" customFormat="false" ht="15" hidden="false" customHeight="false" outlineLevel="0" collapsed="false">
      <c r="A2901" s="0" t="s">
        <v>8</v>
      </c>
      <c r="B2901" s="0" t="s">
        <v>4057</v>
      </c>
      <c r="C2901" s="0" t="s">
        <v>7191</v>
      </c>
    </row>
    <row r="2902" customFormat="false" ht="15" hidden="false" customHeight="false" outlineLevel="0" collapsed="false">
      <c r="A2902" s="0" t="s">
        <v>8</v>
      </c>
      <c r="B2902" s="0" t="s">
        <v>4057</v>
      </c>
      <c r="C2902" s="0" t="s">
        <v>7192</v>
      </c>
    </row>
    <row r="2903" customFormat="false" ht="15" hidden="false" customHeight="false" outlineLevel="0" collapsed="false">
      <c r="A2903" s="0" t="s">
        <v>8</v>
      </c>
      <c r="B2903" s="0" t="s">
        <v>4060</v>
      </c>
      <c r="C2903" s="0" t="s">
        <v>7190</v>
      </c>
      <c r="D2903" s="0" t="n">
        <v>16.25</v>
      </c>
    </row>
    <row r="2904" customFormat="false" ht="15" hidden="false" customHeight="false" outlineLevel="0" collapsed="false">
      <c r="A2904" s="0" t="s">
        <v>8</v>
      </c>
      <c r="B2904" s="0" t="s">
        <v>4060</v>
      </c>
      <c r="C2904" s="0" t="s">
        <v>7191</v>
      </c>
    </row>
    <row r="2905" customFormat="false" ht="15" hidden="false" customHeight="false" outlineLevel="0" collapsed="false">
      <c r="A2905" s="0" t="s">
        <v>8</v>
      </c>
      <c r="B2905" s="0" t="s">
        <v>4060</v>
      </c>
      <c r="C2905" s="0" t="s">
        <v>7192</v>
      </c>
    </row>
    <row r="2906" customFormat="false" ht="15" hidden="false" customHeight="false" outlineLevel="0" collapsed="false">
      <c r="A2906" s="0" t="s">
        <v>8</v>
      </c>
      <c r="B2906" s="0" t="s">
        <v>4063</v>
      </c>
      <c r="C2906" s="0" t="s">
        <v>7190</v>
      </c>
      <c r="D2906" s="0" t="n">
        <v>0</v>
      </c>
    </row>
    <row r="2907" customFormat="false" ht="15" hidden="false" customHeight="false" outlineLevel="0" collapsed="false">
      <c r="A2907" s="0" t="s">
        <v>8</v>
      </c>
      <c r="B2907" s="0" t="s">
        <v>4063</v>
      </c>
      <c r="C2907" s="0" t="s">
        <v>7191</v>
      </c>
    </row>
    <row r="2908" customFormat="false" ht="15" hidden="false" customHeight="false" outlineLevel="0" collapsed="false">
      <c r="A2908" s="0" t="s">
        <v>8</v>
      </c>
      <c r="B2908" s="0" t="s">
        <v>4063</v>
      </c>
      <c r="C2908" s="0" t="s">
        <v>7192</v>
      </c>
    </row>
    <row r="2909" customFormat="false" ht="15" hidden="false" customHeight="false" outlineLevel="0" collapsed="false">
      <c r="A2909" s="0" t="s">
        <v>8</v>
      </c>
      <c r="B2909" s="0" t="s">
        <v>4067</v>
      </c>
      <c r="C2909" s="0" t="s">
        <v>7190</v>
      </c>
      <c r="D2909" s="0" t="n">
        <v>0</v>
      </c>
    </row>
    <row r="2910" customFormat="false" ht="15" hidden="false" customHeight="false" outlineLevel="0" collapsed="false">
      <c r="A2910" s="0" t="s">
        <v>8</v>
      </c>
      <c r="B2910" s="0" t="s">
        <v>4067</v>
      </c>
      <c r="C2910" s="0" t="s">
        <v>7191</v>
      </c>
    </row>
    <row r="2911" customFormat="false" ht="15" hidden="false" customHeight="false" outlineLevel="0" collapsed="false">
      <c r="A2911" s="0" t="s">
        <v>8</v>
      </c>
      <c r="B2911" s="0" t="s">
        <v>4067</v>
      </c>
      <c r="C2911" s="0" t="s">
        <v>7192</v>
      </c>
    </row>
    <row r="2912" customFormat="false" ht="15" hidden="false" customHeight="false" outlineLevel="0" collapsed="false">
      <c r="A2912" s="0" t="s">
        <v>8</v>
      </c>
      <c r="B2912" s="0" t="s">
        <v>4069</v>
      </c>
      <c r="C2912" s="0" t="s">
        <v>7190</v>
      </c>
      <c r="D2912" s="0" t="n">
        <v>1.3</v>
      </c>
    </row>
    <row r="2913" customFormat="false" ht="15" hidden="false" customHeight="false" outlineLevel="0" collapsed="false">
      <c r="A2913" s="0" t="s">
        <v>8</v>
      </c>
      <c r="B2913" s="0" t="s">
        <v>4069</v>
      </c>
      <c r="C2913" s="0" t="s">
        <v>7191</v>
      </c>
    </row>
    <row r="2914" customFormat="false" ht="15" hidden="false" customHeight="false" outlineLevel="0" collapsed="false">
      <c r="A2914" s="0" t="s">
        <v>8</v>
      </c>
      <c r="B2914" s="0" t="s">
        <v>4069</v>
      </c>
      <c r="C2914" s="0" t="s">
        <v>7192</v>
      </c>
    </row>
    <row r="2915" customFormat="false" ht="15" hidden="false" customHeight="false" outlineLevel="0" collapsed="false">
      <c r="A2915" s="0" t="s">
        <v>8</v>
      </c>
      <c r="B2915" s="0" t="s">
        <v>4072</v>
      </c>
      <c r="C2915" s="0" t="s">
        <v>7190</v>
      </c>
      <c r="D2915" s="0" t="n">
        <v>0</v>
      </c>
    </row>
    <row r="2916" customFormat="false" ht="15" hidden="false" customHeight="false" outlineLevel="0" collapsed="false">
      <c r="A2916" s="0" t="s">
        <v>8</v>
      </c>
      <c r="B2916" s="0" t="s">
        <v>4072</v>
      </c>
      <c r="C2916" s="0" t="s">
        <v>7191</v>
      </c>
    </row>
    <row r="2917" customFormat="false" ht="15" hidden="false" customHeight="false" outlineLevel="0" collapsed="false">
      <c r="A2917" s="0" t="s">
        <v>8</v>
      </c>
      <c r="B2917" s="0" t="s">
        <v>4072</v>
      </c>
      <c r="C2917" s="0" t="s">
        <v>7192</v>
      </c>
    </row>
    <row r="2918" customFormat="false" ht="15" hidden="false" customHeight="false" outlineLevel="0" collapsed="false">
      <c r="A2918" s="0" t="s">
        <v>8</v>
      </c>
      <c r="B2918" s="0" t="s">
        <v>4074</v>
      </c>
      <c r="C2918" s="0" t="s">
        <v>7190</v>
      </c>
      <c r="D2918" s="0" t="n">
        <v>7</v>
      </c>
    </row>
    <row r="2919" customFormat="false" ht="15" hidden="false" customHeight="false" outlineLevel="0" collapsed="false">
      <c r="A2919" s="0" t="s">
        <v>8</v>
      </c>
      <c r="B2919" s="0" t="s">
        <v>4074</v>
      </c>
      <c r="C2919" s="0" t="s">
        <v>7191</v>
      </c>
    </row>
    <row r="2920" customFormat="false" ht="15" hidden="false" customHeight="false" outlineLevel="0" collapsed="false">
      <c r="A2920" s="0" t="s">
        <v>8</v>
      </c>
      <c r="B2920" s="0" t="s">
        <v>4074</v>
      </c>
      <c r="C2920" s="0" t="s">
        <v>7192</v>
      </c>
    </row>
    <row r="2921" customFormat="false" ht="15" hidden="false" customHeight="false" outlineLevel="0" collapsed="false">
      <c r="A2921" s="0" t="s">
        <v>8</v>
      </c>
      <c r="B2921" s="0" t="s">
        <v>4077</v>
      </c>
      <c r="C2921" s="0" t="s">
        <v>7190</v>
      </c>
      <c r="D2921" s="0" t="n">
        <v>0.001</v>
      </c>
    </row>
    <row r="2922" customFormat="false" ht="15" hidden="false" customHeight="false" outlineLevel="0" collapsed="false">
      <c r="A2922" s="0" t="s">
        <v>8</v>
      </c>
      <c r="B2922" s="0" t="s">
        <v>4077</v>
      </c>
      <c r="C2922" s="0" t="s">
        <v>7191</v>
      </c>
    </row>
    <row r="2923" customFormat="false" ht="15" hidden="false" customHeight="false" outlineLevel="0" collapsed="false">
      <c r="A2923" s="0" t="s">
        <v>8</v>
      </c>
      <c r="B2923" s="0" t="s">
        <v>4077</v>
      </c>
      <c r="C2923" s="0" t="s">
        <v>7192</v>
      </c>
    </row>
    <row r="2924" customFormat="false" ht="15" hidden="false" customHeight="false" outlineLevel="0" collapsed="false">
      <c r="A2924" s="0" t="s">
        <v>8</v>
      </c>
      <c r="B2924" s="0" t="s">
        <v>4082</v>
      </c>
      <c r="C2924" s="0" t="s">
        <v>7190</v>
      </c>
      <c r="D2924" s="0" t="n">
        <v>0.0022</v>
      </c>
    </row>
    <row r="2925" customFormat="false" ht="15" hidden="false" customHeight="false" outlineLevel="0" collapsed="false">
      <c r="A2925" s="0" t="s">
        <v>8</v>
      </c>
      <c r="B2925" s="0" t="s">
        <v>4082</v>
      </c>
      <c r="C2925" s="0" t="s">
        <v>7191</v>
      </c>
    </row>
    <row r="2926" customFormat="false" ht="15" hidden="false" customHeight="false" outlineLevel="0" collapsed="false">
      <c r="A2926" s="0" t="s">
        <v>8</v>
      </c>
      <c r="B2926" s="0" t="s">
        <v>4082</v>
      </c>
      <c r="C2926" s="0" t="s">
        <v>7192</v>
      </c>
    </row>
    <row r="2927" customFormat="false" ht="15" hidden="false" customHeight="false" outlineLevel="0" collapsed="false">
      <c r="A2927" s="0" t="s">
        <v>8</v>
      </c>
      <c r="B2927" s="0" t="s">
        <v>4085</v>
      </c>
      <c r="C2927" s="0" t="s">
        <v>7190</v>
      </c>
      <c r="D2927" s="0" t="n">
        <v>0.0106</v>
      </c>
    </row>
    <row r="2928" customFormat="false" ht="15" hidden="false" customHeight="false" outlineLevel="0" collapsed="false">
      <c r="A2928" s="0" t="s">
        <v>8</v>
      </c>
      <c r="B2928" s="0" t="s">
        <v>4085</v>
      </c>
      <c r="C2928" s="0" t="s">
        <v>7191</v>
      </c>
    </row>
    <row r="2929" customFormat="false" ht="15" hidden="false" customHeight="false" outlineLevel="0" collapsed="false">
      <c r="A2929" s="0" t="s">
        <v>8</v>
      </c>
      <c r="B2929" s="0" t="s">
        <v>4085</v>
      </c>
      <c r="C2929" s="0" t="s">
        <v>7192</v>
      </c>
    </row>
    <row r="2930" customFormat="false" ht="15" hidden="false" customHeight="false" outlineLevel="0" collapsed="false">
      <c r="A2930" s="0" t="s">
        <v>8</v>
      </c>
      <c r="B2930" s="0" t="s">
        <v>4088</v>
      </c>
      <c r="C2930" s="0" t="s">
        <v>7190</v>
      </c>
      <c r="D2930" s="0" t="n">
        <v>0.0415</v>
      </c>
    </row>
    <row r="2931" customFormat="false" ht="15" hidden="false" customHeight="false" outlineLevel="0" collapsed="false">
      <c r="A2931" s="0" t="s">
        <v>8</v>
      </c>
      <c r="B2931" s="0" t="s">
        <v>4088</v>
      </c>
      <c r="C2931" s="0" t="s">
        <v>7191</v>
      </c>
    </row>
    <row r="2932" customFormat="false" ht="15" hidden="false" customHeight="false" outlineLevel="0" collapsed="false">
      <c r="A2932" s="0" t="s">
        <v>8</v>
      </c>
      <c r="B2932" s="0" t="s">
        <v>4088</v>
      </c>
      <c r="C2932" s="0" t="s">
        <v>7192</v>
      </c>
    </row>
    <row r="2933" customFormat="false" ht="15" hidden="false" customHeight="false" outlineLevel="0" collapsed="false">
      <c r="A2933" s="0" t="s">
        <v>8</v>
      </c>
      <c r="B2933" s="0" t="s">
        <v>4091</v>
      </c>
      <c r="C2933" s="0" t="s">
        <v>7190</v>
      </c>
      <c r="D2933" s="0" t="n">
        <v>0</v>
      </c>
    </row>
    <row r="2934" customFormat="false" ht="15" hidden="false" customHeight="false" outlineLevel="0" collapsed="false">
      <c r="A2934" s="0" t="s">
        <v>8</v>
      </c>
      <c r="B2934" s="0" t="s">
        <v>4091</v>
      </c>
      <c r="C2934" s="0" t="s">
        <v>7191</v>
      </c>
    </row>
    <row r="2935" customFormat="false" ht="15" hidden="false" customHeight="false" outlineLevel="0" collapsed="false">
      <c r="A2935" s="0" t="s">
        <v>8</v>
      </c>
      <c r="B2935" s="0" t="s">
        <v>4091</v>
      </c>
      <c r="C2935" s="0" t="s">
        <v>7192</v>
      </c>
    </row>
    <row r="2936" customFormat="false" ht="15" hidden="false" customHeight="false" outlineLevel="0" collapsed="false">
      <c r="A2936" s="0" t="s">
        <v>8</v>
      </c>
      <c r="B2936" s="0" t="s">
        <v>4095</v>
      </c>
      <c r="C2936" s="0" t="s">
        <v>7190</v>
      </c>
      <c r="D2936" s="0" t="n">
        <v>0</v>
      </c>
    </row>
    <row r="2937" customFormat="false" ht="15" hidden="false" customHeight="false" outlineLevel="0" collapsed="false">
      <c r="A2937" s="0" t="s">
        <v>8</v>
      </c>
      <c r="B2937" s="0" t="s">
        <v>4095</v>
      </c>
      <c r="C2937" s="0" t="s">
        <v>7191</v>
      </c>
    </row>
    <row r="2938" customFormat="false" ht="15" hidden="false" customHeight="false" outlineLevel="0" collapsed="false">
      <c r="A2938" s="0" t="s">
        <v>8</v>
      </c>
      <c r="B2938" s="0" t="s">
        <v>4095</v>
      </c>
      <c r="C2938" s="0" t="s">
        <v>7192</v>
      </c>
    </row>
    <row r="2939" customFormat="false" ht="15" hidden="false" customHeight="false" outlineLevel="0" collapsed="false">
      <c r="A2939" s="0" t="s">
        <v>8</v>
      </c>
      <c r="B2939" s="0" t="s">
        <v>4097</v>
      </c>
      <c r="C2939" s="0" t="s">
        <v>7190</v>
      </c>
      <c r="D2939" s="0" t="n">
        <v>1.3725</v>
      </c>
    </row>
    <row r="2940" customFormat="false" ht="15" hidden="false" customHeight="false" outlineLevel="0" collapsed="false">
      <c r="A2940" s="0" t="s">
        <v>8</v>
      </c>
      <c r="B2940" s="0" t="s">
        <v>4097</v>
      </c>
      <c r="C2940" s="0" t="s">
        <v>7191</v>
      </c>
    </row>
    <row r="2941" customFormat="false" ht="15" hidden="false" customHeight="false" outlineLevel="0" collapsed="false">
      <c r="A2941" s="0" t="s">
        <v>8</v>
      </c>
      <c r="B2941" s="0" t="s">
        <v>4097</v>
      </c>
      <c r="C2941" s="0" t="s">
        <v>7192</v>
      </c>
    </row>
    <row r="2942" customFormat="false" ht="15" hidden="false" customHeight="false" outlineLevel="0" collapsed="false">
      <c r="A2942" s="0" t="s">
        <v>8</v>
      </c>
      <c r="B2942" s="0" t="s">
        <v>4100</v>
      </c>
      <c r="C2942" s="0" t="s">
        <v>7190</v>
      </c>
      <c r="D2942" s="0" t="n">
        <v>1.3721</v>
      </c>
    </row>
    <row r="2943" customFormat="false" ht="15" hidden="false" customHeight="false" outlineLevel="0" collapsed="false">
      <c r="A2943" s="0" t="s">
        <v>8</v>
      </c>
      <c r="B2943" s="0" t="s">
        <v>4100</v>
      </c>
      <c r="C2943" s="0" t="s">
        <v>7191</v>
      </c>
    </row>
    <row r="2944" customFormat="false" ht="15" hidden="false" customHeight="false" outlineLevel="0" collapsed="false">
      <c r="A2944" s="0" t="s">
        <v>8</v>
      </c>
      <c r="B2944" s="0" t="s">
        <v>4100</v>
      </c>
      <c r="C2944" s="0" t="s">
        <v>7192</v>
      </c>
    </row>
    <row r="2945" customFormat="false" ht="15" hidden="false" customHeight="false" outlineLevel="0" collapsed="false">
      <c r="A2945" s="0" t="s">
        <v>8</v>
      </c>
      <c r="B2945" s="0" t="s">
        <v>4103</v>
      </c>
      <c r="C2945" s="0" t="s">
        <v>7190</v>
      </c>
      <c r="D2945" s="0" t="n">
        <v>2.6837</v>
      </c>
    </row>
    <row r="2946" customFormat="false" ht="15" hidden="false" customHeight="false" outlineLevel="0" collapsed="false">
      <c r="A2946" s="0" t="s">
        <v>8</v>
      </c>
      <c r="B2946" s="0" t="s">
        <v>4103</v>
      </c>
      <c r="C2946" s="0" t="s">
        <v>7191</v>
      </c>
    </row>
    <row r="2947" customFormat="false" ht="15" hidden="false" customHeight="false" outlineLevel="0" collapsed="false">
      <c r="A2947" s="0" t="s">
        <v>8</v>
      </c>
      <c r="B2947" s="0" t="s">
        <v>4103</v>
      </c>
      <c r="C2947" s="0" t="s">
        <v>7192</v>
      </c>
    </row>
    <row r="2948" customFormat="false" ht="15" hidden="false" customHeight="false" outlineLevel="0" collapsed="false">
      <c r="A2948" s="0" t="s">
        <v>8</v>
      </c>
      <c r="B2948" s="0" t="s">
        <v>4106</v>
      </c>
      <c r="C2948" s="0" t="s">
        <v>7190</v>
      </c>
      <c r="D2948" s="0" t="n">
        <v>2.65</v>
      </c>
    </row>
    <row r="2949" customFormat="false" ht="15" hidden="false" customHeight="false" outlineLevel="0" collapsed="false">
      <c r="A2949" s="0" t="s">
        <v>8</v>
      </c>
      <c r="B2949" s="0" t="s">
        <v>4106</v>
      </c>
      <c r="C2949" s="0" t="s">
        <v>7191</v>
      </c>
    </row>
    <row r="2950" customFormat="false" ht="15" hidden="false" customHeight="false" outlineLevel="0" collapsed="false">
      <c r="A2950" s="0" t="s">
        <v>8</v>
      </c>
      <c r="B2950" s="0" t="s">
        <v>4106</v>
      </c>
      <c r="C2950" s="0" t="s">
        <v>7192</v>
      </c>
    </row>
    <row r="2951" customFormat="false" ht="15" hidden="false" customHeight="false" outlineLevel="0" collapsed="false">
      <c r="A2951" s="0" t="s">
        <v>8</v>
      </c>
      <c r="B2951" s="0" t="s">
        <v>4110</v>
      </c>
      <c r="C2951" s="0" t="s">
        <v>7190</v>
      </c>
    </row>
    <row r="2952" customFormat="false" ht="15" hidden="false" customHeight="false" outlineLevel="0" collapsed="false">
      <c r="A2952" s="0" t="s">
        <v>8</v>
      </c>
      <c r="B2952" s="0" t="s">
        <v>4110</v>
      </c>
      <c r="C2952" s="0" t="s">
        <v>7191</v>
      </c>
      <c r="D2952" s="0" t="n">
        <v>2.11</v>
      </c>
    </row>
    <row r="2953" customFormat="false" ht="15" hidden="false" customHeight="false" outlineLevel="0" collapsed="false">
      <c r="A2953" s="0" t="s">
        <v>8</v>
      </c>
      <c r="B2953" s="0" t="s">
        <v>4110</v>
      </c>
      <c r="C2953" s="0" t="s">
        <v>7192</v>
      </c>
      <c r="D2953" s="0" t="n">
        <v>2.2</v>
      </c>
    </row>
    <row r="2954" customFormat="false" ht="15" hidden="false" customHeight="false" outlineLevel="0" collapsed="false">
      <c r="A2954" s="0" t="s">
        <v>8</v>
      </c>
      <c r="B2954" s="0" t="s">
        <v>4115</v>
      </c>
      <c r="C2954" s="0" t="s">
        <v>7190</v>
      </c>
      <c r="D2954" s="0" t="n">
        <v>61.305</v>
      </c>
    </row>
    <row r="2955" customFormat="false" ht="15" hidden="false" customHeight="false" outlineLevel="0" collapsed="false">
      <c r="A2955" s="0" t="s">
        <v>8</v>
      </c>
      <c r="B2955" s="0" t="s">
        <v>4115</v>
      </c>
      <c r="C2955" s="0" t="s">
        <v>7191</v>
      </c>
    </row>
    <row r="2956" customFormat="false" ht="15" hidden="false" customHeight="false" outlineLevel="0" collapsed="false">
      <c r="A2956" s="0" t="s">
        <v>8</v>
      </c>
      <c r="B2956" s="0" t="s">
        <v>4115</v>
      </c>
      <c r="C2956" s="0" t="s">
        <v>7192</v>
      </c>
    </row>
    <row r="2957" customFormat="false" ht="15" hidden="false" customHeight="false" outlineLevel="0" collapsed="false">
      <c r="A2957" s="0" t="s">
        <v>8</v>
      </c>
      <c r="B2957" s="0" t="s">
        <v>4120</v>
      </c>
      <c r="C2957" s="0" t="s">
        <v>7190</v>
      </c>
      <c r="D2957" s="0" t="n">
        <v>12</v>
      </c>
    </row>
    <row r="2958" customFormat="false" ht="15" hidden="false" customHeight="false" outlineLevel="0" collapsed="false">
      <c r="A2958" s="0" t="s">
        <v>8</v>
      </c>
      <c r="B2958" s="0" t="s">
        <v>4120</v>
      </c>
      <c r="C2958" s="0" t="s">
        <v>7191</v>
      </c>
    </row>
    <row r="2959" customFormat="false" ht="15" hidden="false" customHeight="false" outlineLevel="0" collapsed="false">
      <c r="A2959" s="0" t="s">
        <v>8</v>
      </c>
      <c r="B2959" s="0" t="s">
        <v>4120</v>
      </c>
      <c r="C2959" s="0" t="s">
        <v>7192</v>
      </c>
    </row>
    <row r="2960" customFormat="false" ht="15" hidden="false" customHeight="false" outlineLevel="0" collapsed="false">
      <c r="A2960" s="0" t="s">
        <v>8</v>
      </c>
      <c r="B2960" s="0" t="s">
        <v>4126</v>
      </c>
      <c r="C2960" s="0" t="s">
        <v>7190</v>
      </c>
      <c r="D2960" s="0" t="n">
        <v>0.0005</v>
      </c>
    </row>
    <row r="2961" customFormat="false" ht="15" hidden="false" customHeight="false" outlineLevel="0" collapsed="false">
      <c r="A2961" s="0" t="s">
        <v>8</v>
      </c>
      <c r="B2961" s="0" t="s">
        <v>4126</v>
      </c>
      <c r="C2961" s="0" t="s">
        <v>7191</v>
      </c>
    </row>
    <row r="2962" customFormat="false" ht="15" hidden="false" customHeight="false" outlineLevel="0" collapsed="false">
      <c r="A2962" s="0" t="s">
        <v>8</v>
      </c>
      <c r="B2962" s="0" t="s">
        <v>4126</v>
      </c>
      <c r="C2962" s="0" t="s">
        <v>7192</v>
      </c>
    </row>
    <row r="2963" customFormat="false" ht="15" hidden="false" customHeight="false" outlineLevel="0" collapsed="false">
      <c r="A2963" s="0" t="s">
        <v>8</v>
      </c>
      <c r="B2963" s="0" t="s">
        <v>4132</v>
      </c>
      <c r="C2963" s="0" t="s">
        <v>7190</v>
      </c>
      <c r="D2963" s="0" t="n">
        <v>0.0021</v>
      </c>
    </row>
    <row r="2964" customFormat="false" ht="15" hidden="false" customHeight="false" outlineLevel="0" collapsed="false">
      <c r="A2964" s="0" t="s">
        <v>8</v>
      </c>
      <c r="B2964" s="0" t="s">
        <v>4132</v>
      </c>
      <c r="C2964" s="0" t="s">
        <v>7191</v>
      </c>
    </row>
    <row r="2965" customFormat="false" ht="15" hidden="false" customHeight="false" outlineLevel="0" collapsed="false">
      <c r="A2965" s="0" t="s">
        <v>8</v>
      </c>
      <c r="B2965" s="0" t="s">
        <v>4132</v>
      </c>
      <c r="C2965" s="0" t="s">
        <v>7192</v>
      </c>
    </row>
    <row r="2966" customFormat="false" ht="15" hidden="false" customHeight="false" outlineLevel="0" collapsed="false">
      <c r="A2966" s="0" t="s">
        <v>8</v>
      </c>
      <c r="B2966" s="0" t="s">
        <v>4136</v>
      </c>
      <c r="C2966" s="0" t="s">
        <v>7190</v>
      </c>
      <c r="D2966" s="0" t="n">
        <v>0.2</v>
      </c>
    </row>
    <row r="2967" customFormat="false" ht="15" hidden="false" customHeight="false" outlineLevel="0" collapsed="false">
      <c r="A2967" s="0" t="s">
        <v>8</v>
      </c>
      <c r="B2967" s="0" t="s">
        <v>4136</v>
      </c>
      <c r="C2967" s="0" t="s">
        <v>7191</v>
      </c>
    </row>
    <row r="2968" customFormat="false" ht="15" hidden="false" customHeight="false" outlineLevel="0" collapsed="false">
      <c r="A2968" s="0" t="s">
        <v>8</v>
      </c>
      <c r="B2968" s="0" t="s">
        <v>4136</v>
      </c>
      <c r="C2968" s="0" t="s">
        <v>7192</v>
      </c>
    </row>
    <row r="2969" customFormat="false" ht="15" hidden="false" customHeight="false" outlineLevel="0" collapsed="false">
      <c r="A2969" s="0" t="s">
        <v>8</v>
      </c>
      <c r="B2969" s="0" t="s">
        <v>4139</v>
      </c>
      <c r="C2969" s="0" t="s">
        <v>7190</v>
      </c>
      <c r="D2969" s="0" t="n">
        <v>4.6</v>
      </c>
    </row>
    <row r="2970" customFormat="false" ht="15" hidden="false" customHeight="false" outlineLevel="0" collapsed="false">
      <c r="A2970" s="0" t="s">
        <v>8</v>
      </c>
      <c r="B2970" s="0" t="s">
        <v>4139</v>
      </c>
      <c r="C2970" s="0" t="s">
        <v>7191</v>
      </c>
    </row>
    <row r="2971" customFormat="false" ht="15" hidden="false" customHeight="false" outlineLevel="0" collapsed="false">
      <c r="A2971" s="0" t="s">
        <v>8</v>
      </c>
      <c r="B2971" s="0" t="s">
        <v>4139</v>
      </c>
      <c r="C2971" s="0" t="s">
        <v>7192</v>
      </c>
    </row>
    <row r="2972" customFormat="false" ht="15" hidden="false" customHeight="false" outlineLevel="0" collapsed="false">
      <c r="A2972" s="0" t="s">
        <v>8</v>
      </c>
      <c r="B2972" s="0" t="s">
        <v>4142</v>
      </c>
      <c r="C2972" s="0" t="s">
        <v>7190</v>
      </c>
      <c r="D2972" s="0" t="n">
        <v>4.2</v>
      </c>
    </row>
    <row r="2973" customFormat="false" ht="15" hidden="false" customHeight="false" outlineLevel="0" collapsed="false">
      <c r="A2973" s="0" t="s">
        <v>8</v>
      </c>
      <c r="B2973" s="0" t="s">
        <v>4142</v>
      </c>
      <c r="C2973" s="0" t="s">
        <v>7191</v>
      </c>
    </row>
    <row r="2974" customFormat="false" ht="15" hidden="false" customHeight="false" outlineLevel="0" collapsed="false">
      <c r="A2974" s="0" t="s">
        <v>8</v>
      </c>
      <c r="B2974" s="0" t="s">
        <v>4142</v>
      </c>
      <c r="C2974" s="0" t="s">
        <v>7192</v>
      </c>
    </row>
    <row r="2975" customFormat="false" ht="15" hidden="false" customHeight="false" outlineLevel="0" collapsed="false">
      <c r="A2975" s="0" t="s">
        <v>8</v>
      </c>
      <c r="B2975" s="0" t="s">
        <v>4147</v>
      </c>
      <c r="C2975" s="0" t="s">
        <v>7190</v>
      </c>
      <c r="D2975" s="0" t="n">
        <v>48</v>
      </c>
    </row>
    <row r="2976" customFormat="false" ht="15" hidden="false" customHeight="false" outlineLevel="0" collapsed="false">
      <c r="A2976" s="0" t="s">
        <v>8</v>
      </c>
      <c r="B2976" s="0" t="s">
        <v>4147</v>
      </c>
      <c r="C2976" s="0" t="s">
        <v>7191</v>
      </c>
    </row>
    <row r="2977" customFormat="false" ht="15" hidden="false" customHeight="false" outlineLevel="0" collapsed="false">
      <c r="A2977" s="0" t="s">
        <v>8</v>
      </c>
      <c r="B2977" s="0" t="s">
        <v>4147</v>
      </c>
      <c r="C2977" s="0" t="s">
        <v>7192</v>
      </c>
    </row>
    <row r="2978" customFormat="false" ht="15" hidden="false" customHeight="false" outlineLevel="0" collapsed="false">
      <c r="A2978" s="0" t="s">
        <v>8</v>
      </c>
      <c r="B2978" s="0" t="s">
        <v>4152</v>
      </c>
      <c r="C2978" s="0" t="s">
        <v>7190</v>
      </c>
      <c r="D2978" s="0" t="n">
        <v>0</v>
      </c>
    </row>
    <row r="2979" customFormat="false" ht="15" hidden="false" customHeight="false" outlineLevel="0" collapsed="false">
      <c r="A2979" s="0" t="s">
        <v>8</v>
      </c>
      <c r="B2979" s="0" t="s">
        <v>4152</v>
      </c>
      <c r="C2979" s="0" t="s">
        <v>7191</v>
      </c>
    </row>
    <row r="2980" customFormat="false" ht="15" hidden="false" customHeight="false" outlineLevel="0" collapsed="false">
      <c r="A2980" s="0" t="s">
        <v>8</v>
      </c>
      <c r="B2980" s="0" t="s">
        <v>4152</v>
      </c>
      <c r="C2980" s="0" t="s">
        <v>7192</v>
      </c>
    </row>
    <row r="2981" customFormat="false" ht="15" hidden="false" customHeight="false" outlineLevel="0" collapsed="false">
      <c r="A2981" s="0" t="s">
        <v>8</v>
      </c>
      <c r="B2981" s="0" t="s">
        <v>4156</v>
      </c>
      <c r="C2981" s="0" t="s">
        <v>7190</v>
      </c>
      <c r="D2981" s="0" t="n">
        <v>48</v>
      </c>
    </row>
    <row r="2982" customFormat="false" ht="15" hidden="false" customHeight="false" outlineLevel="0" collapsed="false">
      <c r="A2982" s="0" t="s">
        <v>8</v>
      </c>
      <c r="B2982" s="0" t="s">
        <v>4156</v>
      </c>
      <c r="C2982" s="0" t="s">
        <v>7191</v>
      </c>
    </row>
    <row r="2983" customFormat="false" ht="15" hidden="false" customHeight="false" outlineLevel="0" collapsed="false">
      <c r="A2983" s="0" t="s">
        <v>8</v>
      </c>
      <c r="B2983" s="0" t="s">
        <v>4156</v>
      </c>
      <c r="C2983" s="0" t="s">
        <v>7192</v>
      </c>
    </row>
    <row r="2984" customFormat="false" ht="15" hidden="false" customHeight="false" outlineLevel="0" collapsed="false">
      <c r="A2984" s="0" t="s">
        <v>8</v>
      </c>
      <c r="B2984" s="0" t="s">
        <v>4159</v>
      </c>
      <c r="C2984" s="0" t="s">
        <v>7190</v>
      </c>
      <c r="D2984" s="0" t="n">
        <v>2873</v>
      </c>
    </row>
    <row r="2985" customFormat="false" ht="15" hidden="false" customHeight="false" outlineLevel="0" collapsed="false">
      <c r="A2985" s="0" t="s">
        <v>8</v>
      </c>
      <c r="B2985" s="0" t="s">
        <v>4159</v>
      </c>
      <c r="C2985" s="0" t="s">
        <v>7191</v>
      </c>
    </row>
    <row r="2986" customFormat="false" ht="15" hidden="false" customHeight="false" outlineLevel="0" collapsed="false">
      <c r="A2986" s="0" t="s">
        <v>8</v>
      </c>
      <c r="B2986" s="0" t="s">
        <v>4159</v>
      </c>
      <c r="C2986" s="0" t="s">
        <v>7192</v>
      </c>
    </row>
    <row r="2987" customFormat="false" ht="15" hidden="false" customHeight="false" outlineLevel="0" collapsed="false">
      <c r="A2987" s="0" t="s">
        <v>8</v>
      </c>
      <c r="B2987" s="0" t="s">
        <v>4162</v>
      </c>
      <c r="C2987" s="0" t="s">
        <v>7190</v>
      </c>
      <c r="D2987" s="0" t="n">
        <v>2812</v>
      </c>
    </row>
    <row r="2988" customFormat="false" ht="15" hidden="false" customHeight="false" outlineLevel="0" collapsed="false">
      <c r="A2988" s="0" t="s">
        <v>8</v>
      </c>
      <c r="B2988" s="0" t="s">
        <v>4162</v>
      </c>
      <c r="C2988" s="0" t="s">
        <v>7191</v>
      </c>
    </row>
    <row r="2989" customFormat="false" ht="15" hidden="false" customHeight="false" outlineLevel="0" collapsed="false">
      <c r="A2989" s="0" t="s">
        <v>8</v>
      </c>
      <c r="B2989" s="0" t="s">
        <v>4162</v>
      </c>
      <c r="C2989" s="0" t="s">
        <v>7192</v>
      </c>
    </row>
    <row r="2990" customFormat="false" ht="15" hidden="false" customHeight="false" outlineLevel="0" collapsed="false">
      <c r="A2990" s="0" t="s">
        <v>8</v>
      </c>
      <c r="B2990" s="0" t="s">
        <v>4164</v>
      </c>
      <c r="C2990" s="0" t="s">
        <v>7190</v>
      </c>
      <c r="D2990" s="0" t="n">
        <v>61</v>
      </c>
    </row>
    <row r="2991" customFormat="false" ht="15" hidden="false" customHeight="false" outlineLevel="0" collapsed="false">
      <c r="A2991" s="0" t="s">
        <v>8</v>
      </c>
      <c r="B2991" s="0" t="s">
        <v>4164</v>
      </c>
      <c r="C2991" s="0" t="s">
        <v>7191</v>
      </c>
    </row>
    <row r="2992" customFormat="false" ht="15" hidden="false" customHeight="false" outlineLevel="0" collapsed="false">
      <c r="A2992" s="0" t="s">
        <v>8</v>
      </c>
      <c r="B2992" s="0" t="s">
        <v>4164</v>
      </c>
      <c r="C2992" s="0" t="s">
        <v>7192</v>
      </c>
    </row>
    <row r="2993" customFormat="false" ht="15" hidden="false" customHeight="false" outlineLevel="0" collapsed="false">
      <c r="A2993" s="0" t="s">
        <v>8</v>
      </c>
      <c r="B2993" s="0" t="s">
        <v>4166</v>
      </c>
      <c r="C2993" s="0" t="s">
        <v>7190</v>
      </c>
      <c r="D2993" s="0" t="n">
        <v>5580</v>
      </c>
    </row>
    <row r="2994" customFormat="false" ht="15" hidden="false" customHeight="false" outlineLevel="0" collapsed="false">
      <c r="A2994" s="0" t="s">
        <v>8</v>
      </c>
      <c r="B2994" s="0" t="s">
        <v>4166</v>
      </c>
      <c r="C2994" s="0" t="s">
        <v>7191</v>
      </c>
    </row>
    <row r="2995" customFormat="false" ht="15" hidden="false" customHeight="false" outlineLevel="0" collapsed="false">
      <c r="A2995" s="0" t="s">
        <v>8</v>
      </c>
      <c r="B2995" s="0" t="s">
        <v>4166</v>
      </c>
      <c r="C2995" s="0" t="s">
        <v>7192</v>
      </c>
    </row>
    <row r="2996" customFormat="false" ht="15" hidden="false" customHeight="false" outlineLevel="0" collapsed="false">
      <c r="A2996" s="0" t="s">
        <v>8</v>
      </c>
      <c r="B2996" s="0" t="s">
        <v>4169</v>
      </c>
      <c r="C2996" s="0" t="s">
        <v>7190</v>
      </c>
      <c r="D2996" s="0" t="n">
        <v>5457</v>
      </c>
    </row>
    <row r="2997" customFormat="false" ht="15" hidden="false" customHeight="false" outlineLevel="0" collapsed="false">
      <c r="A2997" s="0" t="s">
        <v>8</v>
      </c>
      <c r="B2997" s="0" t="s">
        <v>4169</v>
      </c>
      <c r="C2997" s="0" t="s">
        <v>7191</v>
      </c>
    </row>
    <row r="2998" customFormat="false" ht="15" hidden="false" customHeight="false" outlineLevel="0" collapsed="false">
      <c r="A2998" s="0" t="s">
        <v>8</v>
      </c>
      <c r="B2998" s="0" t="s">
        <v>4169</v>
      </c>
      <c r="C2998" s="0" t="s">
        <v>7192</v>
      </c>
    </row>
    <row r="2999" customFormat="false" ht="15" hidden="false" customHeight="false" outlineLevel="0" collapsed="false">
      <c r="A2999" s="0" t="s">
        <v>8</v>
      </c>
      <c r="B2999" s="0" t="s">
        <v>4171</v>
      </c>
      <c r="C2999" s="0" t="s">
        <v>7190</v>
      </c>
      <c r="D2999" s="0" t="n">
        <v>123</v>
      </c>
    </row>
    <row r="3000" customFormat="false" ht="15" hidden="false" customHeight="false" outlineLevel="0" collapsed="false">
      <c r="A3000" s="0" t="s">
        <v>8</v>
      </c>
      <c r="B3000" s="0" t="s">
        <v>4171</v>
      </c>
      <c r="C3000" s="0" t="s">
        <v>7191</v>
      </c>
    </row>
    <row r="3001" customFormat="false" ht="15" hidden="false" customHeight="false" outlineLevel="0" collapsed="false">
      <c r="A3001" s="0" t="s">
        <v>8</v>
      </c>
      <c r="B3001" s="0" t="s">
        <v>4171</v>
      </c>
      <c r="C3001" s="0" t="s">
        <v>7192</v>
      </c>
    </row>
    <row r="3002" customFormat="false" ht="15" hidden="false" customHeight="false" outlineLevel="0" collapsed="false">
      <c r="A3002" s="0" t="s">
        <v>8</v>
      </c>
      <c r="B3002" s="0" t="s">
        <v>4173</v>
      </c>
      <c r="C3002" s="0" t="s">
        <v>7190</v>
      </c>
      <c r="D3002" s="0" t="n">
        <v>3156</v>
      </c>
    </row>
    <row r="3003" customFormat="false" ht="15" hidden="false" customHeight="false" outlineLevel="0" collapsed="false">
      <c r="A3003" s="0" t="s">
        <v>8</v>
      </c>
      <c r="B3003" s="0" t="s">
        <v>4173</v>
      </c>
      <c r="C3003" s="0" t="s">
        <v>7191</v>
      </c>
    </row>
    <row r="3004" customFormat="false" ht="15" hidden="false" customHeight="false" outlineLevel="0" collapsed="false">
      <c r="A3004" s="0" t="s">
        <v>8</v>
      </c>
      <c r="B3004" s="0" t="s">
        <v>4173</v>
      </c>
      <c r="C3004" s="0" t="s">
        <v>7192</v>
      </c>
    </row>
    <row r="3005" customFormat="false" ht="15" hidden="false" customHeight="false" outlineLevel="0" collapsed="false">
      <c r="A3005" s="0" t="s">
        <v>8</v>
      </c>
      <c r="B3005" s="0" t="s">
        <v>4176</v>
      </c>
      <c r="C3005" s="0" t="s">
        <v>7190</v>
      </c>
      <c r="D3005" s="0" t="n">
        <v>3061</v>
      </c>
    </row>
    <row r="3006" customFormat="false" ht="15" hidden="false" customHeight="false" outlineLevel="0" collapsed="false">
      <c r="A3006" s="0" t="s">
        <v>8</v>
      </c>
      <c r="B3006" s="0" t="s">
        <v>4176</v>
      </c>
      <c r="C3006" s="0" t="s">
        <v>7191</v>
      </c>
    </row>
    <row r="3007" customFormat="false" ht="15" hidden="false" customHeight="false" outlineLevel="0" collapsed="false">
      <c r="A3007" s="0" t="s">
        <v>8</v>
      </c>
      <c r="B3007" s="0" t="s">
        <v>4176</v>
      </c>
      <c r="C3007" s="0" t="s">
        <v>7192</v>
      </c>
    </row>
    <row r="3008" customFormat="false" ht="15" hidden="false" customHeight="false" outlineLevel="0" collapsed="false">
      <c r="A3008" s="0" t="s">
        <v>8</v>
      </c>
      <c r="B3008" s="0" t="s">
        <v>4178</v>
      </c>
      <c r="C3008" s="0" t="s">
        <v>7190</v>
      </c>
      <c r="D3008" s="0" t="n">
        <v>95</v>
      </c>
    </row>
    <row r="3009" customFormat="false" ht="15" hidden="false" customHeight="false" outlineLevel="0" collapsed="false">
      <c r="A3009" s="0" t="s">
        <v>8</v>
      </c>
      <c r="B3009" s="0" t="s">
        <v>4178</v>
      </c>
      <c r="C3009" s="0" t="s">
        <v>7191</v>
      </c>
    </row>
    <row r="3010" customFormat="false" ht="15" hidden="false" customHeight="false" outlineLevel="0" collapsed="false">
      <c r="A3010" s="0" t="s">
        <v>8</v>
      </c>
      <c r="B3010" s="0" t="s">
        <v>4178</v>
      </c>
      <c r="C3010" s="0" t="s">
        <v>7192</v>
      </c>
    </row>
    <row r="3011" customFormat="false" ht="15" hidden="false" customHeight="false" outlineLevel="0" collapsed="false">
      <c r="A3011" s="0" t="s">
        <v>8</v>
      </c>
      <c r="B3011" s="0" t="s">
        <v>4180</v>
      </c>
      <c r="C3011" s="0" t="s">
        <v>7190</v>
      </c>
      <c r="D3011" s="0" t="n">
        <v>45</v>
      </c>
    </row>
    <row r="3012" customFormat="false" ht="15" hidden="false" customHeight="false" outlineLevel="0" collapsed="false">
      <c r="A3012" s="0" t="s">
        <v>8</v>
      </c>
      <c r="B3012" s="0" t="s">
        <v>4180</v>
      </c>
      <c r="C3012" s="0" t="s">
        <v>7191</v>
      </c>
    </row>
    <row r="3013" customFormat="false" ht="15" hidden="false" customHeight="false" outlineLevel="0" collapsed="false">
      <c r="A3013" s="0" t="s">
        <v>8</v>
      </c>
      <c r="B3013" s="0" t="s">
        <v>4180</v>
      </c>
      <c r="C3013" s="0" t="s">
        <v>7192</v>
      </c>
    </row>
    <row r="3014" customFormat="false" ht="15" hidden="false" customHeight="false" outlineLevel="0" collapsed="false">
      <c r="A3014" s="0" t="s">
        <v>8</v>
      </c>
      <c r="B3014" s="0" t="s">
        <v>4186</v>
      </c>
      <c r="C3014" s="0" t="s">
        <v>7190</v>
      </c>
      <c r="D3014" s="0" t="n">
        <v>100</v>
      </c>
    </row>
    <row r="3015" customFormat="false" ht="15" hidden="false" customHeight="false" outlineLevel="0" collapsed="false">
      <c r="A3015" s="0" t="s">
        <v>8</v>
      </c>
      <c r="B3015" s="0" t="s">
        <v>4186</v>
      </c>
      <c r="C3015" s="0" t="s">
        <v>7191</v>
      </c>
    </row>
    <row r="3016" customFormat="false" ht="15" hidden="false" customHeight="false" outlineLevel="0" collapsed="false">
      <c r="A3016" s="0" t="s">
        <v>8</v>
      </c>
      <c r="B3016" s="0" t="s">
        <v>4186</v>
      </c>
      <c r="C3016" s="0" t="s">
        <v>7192</v>
      </c>
    </row>
    <row r="3017" customFormat="false" ht="15" hidden="false" customHeight="false" outlineLevel="0" collapsed="false">
      <c r="A3017" s="0" t="s">
        <v>8</v>
      </c>
      <c r="B3017" s="0" t="s">
        <v>4191</v>
      </c>
      <c r="C3017" s="0" t="s">
        <v>7190</v>
      </c>
      <c r="D3017" s="0" t="n">
        <v>60</v>
      </c>
    </row>
    <row r="3018" customFormat="false" ht="15" hidden="false" customHeight="false" outlineLevel="0" collapsed="false">
      <c r="A3018" s="0" t="s">
        <v>8</v>
      </c>
      <c r="B3018" s="0" t="s">
        <v>4191</v>
      </c>
      <c r="C3018" s="0" t="s">
        <v>7191</v>
      </c>
    </row>
    <row r="3019" customFormat="false" ht="15" hidden="false" customHeight="false" outlineLevel="0" collapsed="false">
      <c r="A3019" s="0" t="s">
        <v>8</v>
      </c>
      <c r="B3019" s="0" t="s">
        <v>4191</v>
      </c>
      <c r="C3019" s="0" t="s">
        <v>7192</v>
      </c>
    </row>
    <row r="3020" customFormat="false" ht="15" hidden="false" customHeight="false" outlineLevel="0" collapsed="false">
      <c r="A3020" s="0" t="s">
        <v>8</v>
      </c>
      <c r="B3020" s="0" t="s">
        <v>4198</v>
      </c>
      <c r="C3020" s="0" t="s">
        <v>7190</v>
      </c>
      <c r="D3020" s="0" t="n">
        <v>0.7653</v>
      </c>
    </row>
    <row r="3021" customFormat="false" ht="15" hidden="false" customHeight="false" outlineLevel="0" collapsed="false">
      <c r="A3021" s="0" t="s">
        <v>8</v>
      </c>
      <c r="B3021" s="0" t="s">
        <v>4198</v>
      </c>
      <c r="C3021" s="0" t="s">
        <v>7191</v>
      </c>
    </row>
    <row r="3022" customFormat="false" ht="15" hidden="false" customHeight="false" outlineLevel="0" collapsed="false">
      <c r="A3022" s="0" t="s">
        <v>8</v>
      </c>
      <c r="B3022" s="0" t="s">
        <v>4198</v>
      </c>
      <c r="C3022" s="0" t="s">
        <v>7192</v>
      </c>
    </row>
    <row r="3023" customFormat="false" ht="15" hidden="false" customHeight="false" outlineLevel="0" collapsed="false">
      <c r="A3023" s="0" t="s">
        <v>8</v>
      </c>
      <c r="B3023" s="0" t="s">
        <v>4202</v>
      </c>
      <c r="C3023" s="0" t="s">
        <v>7190</v>
      </c>
      <c r="D3023" s="0" t="n">
        <v>1.4219</v>
      </c>
    </row>
    <row r="3024" customFormat="false" ht="15" hidden="false" customHeight="false" outlineLevel="0" collapsed="false">
      <c r="A3024" s="0" t="s">
        <v>8</v>
      </c>
      <c r="B3024" s="0" t="s">
        <v>4202</v>
      </c>
      <c r="C3024" s="0" t="s">
        <v>7191</v>
      </c>
    </row>
    <row r="3025" customFormat="false" ht="15" hidden="false" customHeight="false" outlineLevel="0" collapsed="false">
      <c r="A3025" s="0" t="s">
        <v>8</v>
      </c>
      <c r="B3025" s="0" t="s">
        <v>4202</v>
      </c>
      <c r="C3025" s="0" t="s">
        <v>7192</v>
      </c>
    </row>
    <row r="3026" customFormat="false" ht="15" hidden="false" customHeight="false" outlineLevel="0" collapsed="false">
      <c r="A3026" s="0" t="s">
        <v>8</v>
      </c>
      <c r="B3026" s="0" t="s">
        <v>4205</v>
      </c>
      <c r="C3026" s="0" t="s">
        <v>7190</v>
      </c>
      <c r="D3026" s="0" t="n">
        <v>0.7663</v>
      </c>
    </row>
    <row r="3027" customFormat="false" ht="15" hidden="false" customHeight="false" outlineLevel="0" collapsed="false">
      <c r="A3027" s="0" t="s">
        <v>8</v>
      </c>
      <c r="B3027" s="0" t="s">
        <v>4205</v>
      </c>
      <c r="C3027" s="0" t="s">
        <v>7191</v>
      </c>
    </row>
    <row r="3028" customFormat="false" ht="15" hidden="false" customHeight="false" outlineLevel="0" collapsed="false">
      <c r="A3028" s="0" t="s">
        <v>8</v>
      </c>
      <c r="B3028" s="0" t="s">
        <v>4205</v>
      </c>
      <c r="C3028" s="0" t="s">
        <v>7192</v>
      </c>
    </row>
    <row r="3029" customFormat="false" ht="15" hidden="false" customHeight="false" outlineLevel="0" collapsed="false">
      <c r="A3029" s="0" t="s">
        <v>8</v>
      </c>
      <c r="B3029" s="0" t="s">
        <v>4208</v>
      </c>
      <c r="C3029" s="0" t="s">
        <v>7190</v>
      </c>
      <c r="D3029" s="0" t="n">
        <v>0.3182</v>
      </c>
    </row>
    <row r="3030" customFormat="false" ht="15" hidden="false" customHeight="false" outlineLevel="0" collapsed="false">
      <c r="A3030" s="0" t="s">
        <v>8</v>
      </c>
      <c r="B3030" s="0" t="s">
        <v>4208</v>
      </c>
      <c r="C3030" s="0" t="s">
        <v>7191</v>
      </c>
    </row>
    <row r="3031" customFormat="false" ht="15" hidden="false" customHeight="false" outlineLevel="0" collapsed="false">
      <c r="A3031" s="0" t="s">
        <v>8</v>
      </c>
      <c r="B3031" s="0" t="s">
        <v>4208</v>
      </c>
      <c r="C3031" s="0" t="s">
        <v>7192</v>
      </c>
    </row>
    <row r="3032" customFormat="false" ht="15" hidden="false" customHeight="false" outlineLevel="0" collapsed="false">
      <c r="A3032" s="0" t="s">
        <v>8</v>
      </c>
      <c r="B3032" s="0" t="s">
        <v>4211</v>
      </c>
      <c r="C3032" s="0" t="s">
        <v>7190</v>
      </c>
      <c r="D3032" s="0" t="n">
        <v>0.2098</v>
      </c>
    </row>
    <row r="3033" customFormat="false" ht="15" hidden="false" customHeight="false" outlineLevel="0" collapsed="false">
      <c r="A3033" s="0" t="s">
        <v>8</v>
      </c>
      <c r="B3033" s="0" t="s">
        <v>4211</v>
      </c>
      <c r="C3033" s="0" t="s">
        <v>7191</v>
      </c>
    </row>
    <row r="3034" customFormat="false" ht="15" hidden="false" customHeight="false" outlineLevel="0" collapsed="false">
      <c r="A3034" s="0" t="s">
        <v>8</v>
      </c>
      <c r="B3034" s="0" t="s">
        <v>4211</v>
      </c>
      <c r="C3034" s="0" t="s">
        <v>7192</v>
      </c>
    </row>
    <row r="3035" customFormat="false" ht="15" hidden="false" customHeight="false" outlineLevel="0" collapsed="false">
      <c r="A3035" s="0" t="s">
        <v>8</v>
      </c>
      <c r="B3035" s="0" t="s">
        <v>4216</v>
      </c>
      <c r="C3035" s="0" t="s">
        <v>7190</v>
      </c>
      <c r="D3035" s="0" t="n">
        <v>0.5947</v>
      </c>
    </row>
    <row r="3036" customFormat="false" ht="15" hidden="false" customHeight="false" outlineLevel="0" collapsed="false">
      <c r="A3036" s="0" t="s">
        <v>8</v>
      </c>
      <c r="B3036" s="0" t="s">
        <v>4216</v>
      </c>
      <c r="C3036" s="0" t="s">
        <v>7191</v>
      </c>
    </row>
    <row r="3037" customFormat="false" ht="15" hidden="false" customHeight="false" outlineLevel="0" collapsed="false">
      <c r="A3037" s="0" t="s">
        <v>8</v>
      </c>
      <c r="B3037" s="0" t="s">
        <v>4216</v>
      </c>
      <c r="C3037" s="0" t="s">
        <v>7192</v>
      </c>
    </row>
    <row r="3038" customFormat="false" ht="15" hidden="false" customHeight="false" outlineLevel="0" collapsed="false">
      <c r="A3038" s="0" t="s">
        <v>8</v>
      </c>
      <c r="B3038" s="0" t="s">
        <v>4220</v>
      </c>
      <c r="C3038" s="0" t="s">
        <v>7190</v>
      </c>
      <c r="D3038" s="0" t="n">
        <v>74.9</v>
      </c>
    </row>
    <row r="3039" customFormat="false" ht="15" hidden="false" customHeight="false" outlineLevel="0" collapsed="false">
      <c r="A3039" s="0" t="s">
        <v>8</v>
      </c>
      <c r="B3039" s="0" t="s">
        <v>4220</v>
      </c>
      <c r="C3039" s="0" t="s">
        <v>7191</v>
      </c>
    </row>
    <row r="3040" customFormat="false" ht="15" hidden="false" customHeight="false" outlineLevel="0" collapsed="false">
      <c r="A3040" s="0" t="s">
        <v>8</v>
      </c>
      <c r="B3040" s="0" t="s">
        <v>4220</v>
      </c>
      <c r="C3040" s="0" t="s">
        <v>7192</v>
      </c>
    </row>
    <row r="3041" customFormat="false" ht="15" hidden="false" customHeight="false" outlineLevel="0" collapsed="false">
      <c r="A3041" s="0" t="s">
        <v>8</v>
      </c>
      <c r="B3041" s="0" t="s">
        <v>4225</v>
      </c>
      <c r="C3041" s="0" t="s">
        <v>7190</v>
      </c>
      <c r="D3041" s="0" t="n">
        <v>75.3</v>
      </c>
    </row>
    <row r="3042" customFormat="false" ht="15" hidden="false" customHeight="false" outlineLevel="0" collapsed="false">
      <c r="A3042" s="0" t="s">
        <v>8</v>
      </c>
      <c r="B3042" s="0" t="s">
        <v>4225</v>
      </c>
      <c r="C3042" s="0" t="s">
        <v>7191</v>
      </c>
    </row>
    <row r="3043" customFormat="false" ht="15" hidden="false" customHeight="false" outlineLevel="0" collapsed="false">
      <c r="A3043" s="0" t="s">
        <v>8</v>
      </c>
      <c r="B3043" s="0" t="s">
        <v>4225</v>
      </c>
      <c r="C3043" s="0" t="s">
        <v>7192</v>
      </c>
    </row>
    <row r="3044" customFormat="false" ht="15" hidden="false" customHeight="false" outlineLevel="0" collapsed="false">
      <c r="A3044" s="0" t="s">
        <v>8</v>
      </c>
      <c r="B3044" s="0" t="s">
        <v>4227</v>
      </c>
      <c r="C3044" s="0" t="s">
        <v>7190</v>
      </c>
      <c r="D3044" s="0" t="n">
        <v>50.9</v>
      </c>
    </row>
    <row r="3045" customFormat="false" ht="15" hidden="false" customHeight="false" outlineLevel="0" collapsed="false">
      <c r="A3045" s="0" t="s">
        <v>8</v>
      </c>
      <c r="B3045" s="0" t="s">
        <v>4227</v>
      </c>
      <c r="C3045" s="0" t="s">
        <v>7191</v>
      </c>
    </row>
    <row r="3046" customFormat="false" ht="15" hidden="false" customHeight="false" outlineLevel="0" collapsed="false">
      <c r="A3046" s="0" t="s">
        <v>8</v>
      </c>
      <c r="B3046" s="0" t="s">
        <v>4227</v>
      </c>
      <c r="C3046" s="0" t="s">
        <v>7192</v>
      </c>
    </row>
    <row r="3047" customFormat="false" ht="15" hidden="false" customHeight="false" outlineLevel="0" collapsed="false">
      <c r="A3047" s="0" t="s">
        <v>8</v>
      </c>
      <c r="B3047" s="0" t="s">
        <v>4229</v>
      </c>
      <c r="C3047" s="0" t="s">
        <v>7190</v>
      </c>
      <c r="D3047" s="0" t="n">
        <v>39</v>
      </c>
    </row>
    <row r="3048" customFormat="false" ht="15" hidden="false" customHeight="false" outlineLevel="0" collapsed="false">
      <c r="A3048" s="0" t="s">
        <v>8</v>
      </c>
      <c r="B3048" s="0" t="s">
        <v>4229</v>
      </c>
      <c r="C3048" s="0" t="s">
        <v>7191</v>
      </c>
    </row>
    <row r="3049" customFormat="false" ht="15" hidden="false" customHeight="false" outlineLevel="0" collapsed="false">
      <c r="A3049" s="0" t="s">
        <v>8</v>
      </c>
      <c r="B3049" s="0" t="s">
        <v>4229</v>
      </c>
      <c r="C3049" s="0" t="s">
        <v>7192</v>
      </c>
    </row>
    <row r="3050" customFormat="false" ht="15" hidden="false" customHeight="false" outlineLevel="0" collapsed="false">
      <c r="A3050" s="0" t="s">
        <v>8</v>
      </c>
      <c r="B3050" s="0" t="s">
        <v>4231</v>
      </c>
      <c r="C3050" s="0" t="s">
        <v>7190</v>
      </c>
    </row>
    <row r="3051" customFormat="false" ht="15" hidden="false" customHeight="false" outlineLevel="0" collapsed="false">
      <c r="A3051" s="0" t="s">
        <v>8</v>
      </c>
      <c r="B3051" s="0" t="s">
        <v>4231</v>
      </c>
      <c r="C3051" s="0" t="s">
        <v>7191</v>
      </c>
    </row>
    <row r="3052" customFormat="false" ht="15" hidden="false" customHeight="false" outlineLevel="0" collapsed="false">
      <c r="A3052" s="0" t="s">
        <v>8</v>
      </c>
      <c r="B3052" s="0" t="s">
        <v>4231</v>
      </c>
      <c r="C3052" s="0" t="s">
        <v>7192</v>
      </c>
    </row>
    <row r="3053" customFormat="false" ht="15" hidden="false" customHeight="false" outlineLevel="0" collapsed="false">
      <c r="A3053" s="0" t="s">
        <v>8</v>
      </c>
      <c r="B3053" s="0" t="s">
        <v>4236</v>
      </c>
      <c r="C3053" s="0" t="s">
        <v>7190</v>
      </c>
      <c r="D3053" s="0" t="n">
        <v>0</v>
      </c>
    </row>
    <row r="3054" customFormat="false" ht="15" hidden="false" customHeight="false" outlineLevel="0" collapsed="false">
      <c r="A3054" s="0" t="s">
        <v>8</v>
      </c>
      <c r="B3054" s="0" t="s">
        <v>4236</v>
      </c>
      <c r="C3054" s="0" t="s">
        <v>7191</v>
      </c>
    </row>
    <row r="3055" customFormat="false" ht="15" hidden="false" customHeight="false" outlineLevel="0" collapsed="false">
      <c r="A3055" s="0" t="s">
        <v>8</v>
      </c>
      <c r="B3055" s="0" t="s">
        <v>4236</v>
      </c>
      <c r="C3055" s="0" t="s">
        <v>7192</v>
      </c>
    </row>
    <row r="3056" customFormat="false" ht="15" hidden="false" customHeight="false" outlineLevel="0" collapsed="false">
      <c r="A3056" s="0" t="s">
        <v>8</v>
      </c>
      <c r="B3056" s="0" t="s">
        <v>4241</v>
      </c>
      <c r="C3056" s="0" t="s">
        <v>7190</v>
      </c>
      <c r="D3056" s="0" t="n">
        <v>0</v>
      </c>
    </row>
    <row r="3057" customFormat="false" ht="15" hidden="false" customHeight="false" outlineLevel="0" collapsed="false">
      <c r="A3057" s="0" t="s">
        <v>8</v>
      </c>
      <c r="B3057" s="0" t="s">
        <v>4241</v>
      </c>
      <c r="C3057" s="0" t="s">
        <v>7191</v>
      </c>
    </row>
    <row r="3058" customFormat="false" ht="15" hidden="false" customHeight="false" outlineLevel="0" collapsed="false">
      <c r="A3058" s="0" t="s">
        <v>8</v>
      </c>
      <c r="B3058" s="0" t="s">
        <v>4241</v>
      </c>
      <c r="C3058" s="0" t="s">
        <v>7192</v>
      </c>
    </row>
    <row r="3059" customFormat="false" ht="15" hidden="false" customHeight="false" outlineLevel="0" collapsed="false">
      <c r="A3059" s="0" t="s">
        <v>8</v>
      </c>
      <c r="B3059" s="0" t="s">
        <v>4243</v>
      </c>
      <c r="C3059" s="0" t="s">
        <v>7190</v>
      </c>
      <c r="D3059" s="0" t="n">
        <v>0.3786</v>
      </c>
    </row>
    <row r="3060" customFormat="false" ht="15" hidden="false" customHeight="false" outlineLevel="0" collapsed="false">
      <c r="A3060" s="0" t="s">
        <v>8</v>
      </c>
      <c r="B3060" s="0" t="s">
        <v>4243</v>
      </c>
      <c r="C3060" s="0" t="s">
        <v>7191</v>
      </c>
    </row>
    <row r="3061" customFormat="false" ht="15" hidden="false" customHeight="false" outlineLevel="0" collapsed="false">
      <c r="A3061" s="0" t="s">
        <v>8</v>
      </c>
      <c r="B3061" s="0" t="s">
        <v>4243</v>
      </c>
      <c r="C3061" s="0" t="s">
        <v>7192</v>
      </c>
    </row>
    <row r="3062" customFormat="false" ht="15" hidden="false" customHeight="false" outlineLevel="0" collapsed="false">
      <c r="A3062" s="0" t="s">
        <v>8</v>
      </c>
      <c r="B3062" s="0" t="s">
        <v>4246</v>
      </c>
      <c r="C3062" s="0" t="s">
        <v>7190</v>
      </c>
      <c r="D3062" s="0" t="n">
        <v>0</v>
      </c>
    </row>
    <row r="3063" customFormat="false" ht="15" hidden="false" customHeight="false" outlineLevel="0" collapsed="false">
      <c r="A3063" s="0" t="s">
        <v>8</v>
      </c>
      <c r="B3063" s="0" t="s">
        <v>4246</v>
      </c>
      <c r="C3063" s="0" t="s">
        <v>7191</v>
      </c>
    </row>
    <row r="3064" customFormat="false" ht="15" hidden="false" customHeight="false" outlineLevel="0" collapsed="false">
      <c r="A3064" s="0" t="s">
        <v>8</v>
      </c>
      <c r="B3064" s="0" t="s">
        <v>4246</v>
      </c>
      <c r="C3064" s="0" t="s">
        <v>7192</v>
      </c>
    </row>
    <row r="3065" customFormat="false" ht="15" hidden="false" customHeight="false" outlineLevel="0" collapsed="false">
      <c r="A3065" s="0" t="s">
        <v>8</v>
      </c>
      <c r="B3065" s="0" t="s">
        <v>4248</v>
      </c>
      <c r="C3065" s="0" t="s">
        <v>7190</v>
      </c>
      <c r="D3065" s="0" t="n">
        <v>0.2972</v>
      </c>
    </row>
    <row r="3066" customFormat="false" ht="15" hidden="false" customHeight="false" outlineLevel="0" collapsed="false">
      <c r="A3066" s="0" t="s">
        <v>8</v>
      </c>
      <c r="B3066" s="0" t="s">
        <v>4248</v>
      </c>
      <c r="C3066" s="0" t="s">
        <v>7191</v>
      </c>
    </row>
    <row r="3067" customFormat="false" ht="15" hidden="false" customHeight="false" outlineLevel="0" collapsed="false">
      <c r="A3067" s="0" t="s">
        <v>8</v>
      </c>
      <c r="B3067" s="0" t="s">
        <v>4248</v>
      </c>
      <c r="C3067" s="0" t="s">
        <v>7192</v>
      </c>
    </row>
    <row r="3068" customFormat="false" ht="15" hidden="false" customHeight="false" outlineLevel="0" collapsed="false">
      <c r="A3068" s="0" t="s">
        <v>8</v>
      </c>
      <c r="B3068" s="0" t="s">
        <v>4251</v>
      </c>
      <c r="C3068" s="0" t="s">
        <v>7190</v>
      </c>
      <c r="D3068" s="0" t="n">
        <v>4173.4</v>
      </c>
    </row>
    <row r="3069" customFormat="false" ht="15" hidden="false" customHeight="false" outlineLevel="0" collapsed="false">
      <c r="A3069" s="0" t="s">
        <v>8</v>
      </c>
      <c r="B3069" s="0" t="s">
        <v>4251</v>
      </c>
      <c r="C3069" s="0" t="s">
        <v>7191</v>
      </c>
    </row>
    <row r="3070" customFormat="false" ht="15" hidden="false" customHeight="false" outlineLevel="0" collapsed="false">
      <c r="A3070" s="0" t="s">
        <v>8</v>
      </c>
      <c r="B3070" s="0" t="s">
        <v>4251</v>
      </c>
      <c r="C3070" s="0" t="s">
        <v>7192</v>
      </c>
    </row>
    <row r="3071" customFormat="false" ht="15" hidden="false" customHeight="false" outlineLevel="0" collapsed="false">
      <c r="A3071" s="0" t="s">
        <v>8</v>
      </c>
      <c r="B3071" s="0" t="s">
        <v>4257</v>
      </c>
      <c r="C3071" s="0" t="s">
        <v>7190</v>
      </c>
      <c r="D3071" s="0" t="n">
        <v>70</v>
      </c>
    </row>
    <row r="3072" customFormat="false" ht="15" hidden="false" customHeight="false" outlineLevel="0" collapsed="false">
      <c r="A3072" s="0" t="s">
        <v>8</v>
      </c>
      <c r="B3072" s="0" t="s">
        <v>4257</v>
      </c>
      <c r="C3072" s="0" t="s">
        <v>7191</v>
      </c>
    </row>
    <row r="3073" customFormat="false" ht="15" hidden="false" customHeight="false" outlineLevel="0" collapsed="false">
      <c r="A3073" s="0" t="s">
        <v>8</v>
      </c>
      <c r="B3073" s="0" t="s">
        <v>4257</v>
      </c>
      <c r="C3073" s="0" t="s">
        <v>7192</v>
      </c>
    </row>
    <row r="3074" customFormat="false" ht="15" hidden="false" customHeight="false" outlineLevel="0" collapsed="false">
      <c r="A3074" s="0" t="s">
        <v>8</v>
      </c>
      <c r="B3074" s="0" t="s">
        <v>4264</v>
      </c>
      <c r="C3074" s="0" t="s">
        <v>7190</v>
      </c>
      <c r="D3074" s="0" t="n">
        <v>60</v>
      </c>
    </row>
    <row r="3075" customFormat="false" ht="15" hidden="false" customHeight="false" outlineLevel="0" collapsed="false">
      <c r="A3075" s="0" t="s">
        <v>8</v>
      </c>
      <c r="B3075" s="0" t="s">
        <v>4264</v>
      </c>
      <c r="C3075" s="0" t="s">
        <v>7191</v>
      </c>
    </row>
    <row r="3076" customFormat="false" ht="15" hidden="false" customHeight="false" outlineLevel="0" collapsed="false">
      <c r="A3076" s="0" t="s">
        <v>8</v>
      </c>
      <c r="B3076" s="0" t="s">
        <v>4264</v>
      </c>
      <c r="C3076" s="0" t="s">
        <v>7192</v>
      </c>
    </row>
    <row r="3077" customFormat="false" ht="15" hidden="false" customHeight="false" outlineLevel="0" collapsed="false">
      <c r="A3077" s="0" t="s">
        <v>8</v>
      </c>
      <c r="B3077" s="0" t="s">
        <v>4268</v>
      </c>
      <c r="C3077" s="0" t="s">
        <v>7190</v>
      </c>
      <c r="D3077" s="0" t="n">
        <v>10</v>
      </c>
    </row>
    <row r="3078" customFormat="false" ht="15" hidden="false" customHeight="false" outlineLevel="0" collapsed="false">
      <c r="A3078" s="0" t="s">
        <v>8</v>
      </c>
      <c r="B3078" s="0" t="s">
        <v>4268</v>
      </c>
      <c r="C3078" s="0" t="s">
        <v>7191</v>
      </c>
    </row>
    <row r="3079" customFormat="false" ht="15" hidden="false" customHeight="false" outlineLevel="0" collapsed="false">
      <c r="A3079" s="0" t="s">
        <v>8</v>
      </c>
      <c r="B3079" s="0" t="s">
        <v>4268</v>
      </c>
      <c r="C3079" s="0" t="s">
        <v>7192</v>
      </c>
    </row>
    <row r="3080" customFormat="false" ht="15" hidden="false" customHeight="false" outlineLevel="0" collapsed="false">
      <c r="A3080" s="0" t="s">
        <v>8</v>
      </c>
      <c r="B3080" s="0" t="s">
        <v>4272</v>
      </c>
      <c r="C3080" s="0" t="s">
        <v>7190</v>
      </c>
      <c r="D3080" s="0" t="n">
        <v>10</v>
      </c>
    </row>
    <row r="3081" customFormat="false" ht="15" hidden="false" customHeight="false" outlineLevel="0" collapsed="false">
      <c r="A3081" s="0" t="s">
        <v>8</v>
      </c>
      <c r="B3081" s="0" t="s">
        <v>4272</v>
      </c>
      <c r="C3081" s="0" t="s">
        <v>7191</v>
      </c>
    </row>
    <row r="3082" customFormat="false" ht="15" hidden="false" customHeight="false" outlineLevel="0" collapsed="false">
      <c r="A3082" s="0" t="s">
        <v>8</v>
      </c>
      <c r="B3082" s="0" t="s">
        <v>4272</v>
      </c>
      <c r="C3082" s="0" t="s">
        <v>7192</v>
      </c>
    </row>
    <row r="3083" customFormat="false" ht="15" hidden="false" customHeight="false" outlineLevel="0" collapsed="false">
      <c r="A3083" s="0" t="s">
        <v>8</v>
      </c>
      <c r="B3083" s="0" t="s">
        <v>4276</v>
      </c>
      <c r="C3083" s="0" t="s">
        <v>7190</v>
      </c>
      <c r="D3083" s="0" t="n">
        <v>10</v>
      </c>
    </row>
    <row r="3084" customFormat="false" ht="15" hidden="false" customHeight="false" outlineLevel="0" collapsed="false">
      <c r="A3084" s="0" t="s">
        <v>8</v>
      </c>
      <c r="B3084" s="0" t="s">
        <v>4276</v>
      </c>
      <c r="C3084" s="0" t="s">
        <v>7191</v>
      </c>
    </row>
    <row r="3085" customFormat="false" ht="15" hidden="false" customHeight="false" outlineLevel="0" collapsed="false">
      <c r="A3085" s="0" t="s">
        <v>8</v>
      </c>
      <c r="B3085" s="0" t="s">
        <v>4276</v>
      </c>
      <c r="C3085" s="0" t="s">
        <v>7192</v>
      </c>
    </row>
    <row r="3086" customFormat="false" ht="15" hidden="false" customHeight="false" outlineLevel="0" collapsed="false">
      <c r="A3086" s="0" t="s">
        <v>8</v>
      </c>
      <c r="B3086" s="0" t="s">
        <v>4280</v>
      </c>
      <c r="C3086" s="0" t="s">
        <v>7190</v>
      </c>
      <c r="D3086" s="0" t="n">
        <v>10</v>
      </c>
    </row>
    <row r="3087" customFormat="false" ht="15" hidden="false" customHeight="false" outlineLevel="0" collapsed="false">
      <c r="A3087" s="0" t="s">
        <v>8</v>
      </c>
      <c r="B3087" s="0" t="s">
        <v>4280</v>
      </c>
      <c r="C3087" s="0" t="s">
        <v>7191</v>
      </c>
    </row>
    <row r="3088" customFormat="false" ht="15" hidden="false" customHeight="false" outlineLevel="0" collapsed="false">
      <c r="A3088" s="0" t="s">
        <v>8</v>
      </c>
      <c r="B3088" s="0" t="s">
        <v>4280</v>
      </c>
      <c r="C3088" s="0" t="s">
        <v>7192</v>
      </c>
    </row>
    <row r="3089" customFormat="false" ht="15" hidden="false" customHeight="false" outlineLevel="0" collapsed="false">
      <c r="A3089" s="0" t="s">
        <v>8</v>
      </c>
      <c r="B3089" s="0" t="s">
        <v>4284</v>
      </c>
      <c r="C3089" s="0" t="s">
        <v>7190</v>
      </c>
      <c r="D3089" s="0" t="n">
        <v>632.6</v>
      </c>
    </row>
    <row r="3090" customFormat="false" ht="15" hidden="false" customHeight="false" outlineLevel="0" collapsed="false">
      <c r="A3090" s="0" t="s">
        <v>8</v>
      </c>
      <c r="B3090" s="0" t="s">
        <v>4284</v>
      </c>
      <c r="C3090" s="0" t="s">
        <v>7191</v>
      </c>
    </row>
    <row r="3091" customFormat="false" ht="15" hidden="false" customHeight="false" outlineLevel="0" collapsed="false">
      <c r="A3091" s="0" t="s">
        <v>8</v>
      </c>
      <c r="B3091" s="0" t="s">
        <v>4284</v>
      </c>
      <c r="C3091" s="0" t="s">
        <v>7192</v>
      </c>
    </row>
    <row r="3092" customFormat="false" ht="15" hidden="false" customHeight="false" outlineLevel="0" collapsed="false">
      <c r="A3092" s="0" t="s">
        <v>8</v>
      </c>
      <c r="B3092" s="0" t="s">
        <v>4289</v>
      </c>
      <c r="C3092" s="0" t="s">
        <v>7190</v>
      </c>
      <c r="D3092" s="0" t="n">
        <v>158.5</v>
      </c>
    </row>
    <row r="3093" customFormat="false" ht="15" hidden="false" customHeight="false" outlineLevel="0" collapsed="false">
      <c r="A3093" s="0" t="s">
        <v>8</v>
      </c>
      <c r="B3093" s="0" t="s">
        <v>4289</v>
      </c>
      <c r="C3093" s="0" t="s">
        <v>7191</v>
      </c>
    </row>
    <row r="3094" customFormat="false" ht="15" hidden="false" customHeight="false" outlineLevel="0" collapsed="false">
      <c r="A3094" s="0" t="s">
        <v>8</v>
      </c>
      <c r="B3094" s="0" t="s">
        <v>4289</v>
      </c>
      <c r="C3094" s="0" t="s">
        <v>7192</v>
      </c>
    </row>
    <row r="3095" customFormat="false" ht="15" hidden="false" customHeight="false" outlineLevel="0" collapsed="false">
      <c r="A3095" s="0" t="s">
        <v>8</v>
      </c>
      <c r="B3095" s="0" t="s">
        <v>4294</v>
      </c>
      <c r="C3095" s="0" t="s">
        <v>7190</v>
      </c>
      <c r="D3095" s="0" t="n">
        <v>27.3</v>
      </c>
    </row>
    <row r="3096" customFormat="false" ht="15" hidden="false" customHeight="false" outlineLevel="0" collapsed="false">
      <c r="A3096" s="0" t="s">
        <v>8</v>
      </c>
      <c r="B3096" s="0" t="s">
        <v>4294</v>
      </c>
      <c r="C3096" s="0" t="s">
        <v>7191</v>
      </c>
      <c r="D3096" s="0" t="n">
        <v>27.3</v>
      </c>
    </row>
    <row r="3097" customFormat="false" ht="15" hidden="false" customHeight="false" outlineLevel="0" collapsed="false">
      <c r="A3097" s="0" t="s">
        <v>8</v>
      </c>
      <c r="B3097" s="0" t="s">
        <v>4294</v>
      </c>
      <c r="C3097" s="0" t="s">
        <v>7192</v>
      </c>
      <c r="D3097" s="0" t="n">
        <v>38.9</v>
      </c>
    </row>
    <row r="3098" customFormat="false" ht="15" hidden="false" customHeight="false" outlineLevel="0" collapsed="false">
      <c r="A3098" s="0" t="s">
        <v>8</v>
      </c>
      <c r="B3098" s="0" t="s">
        <v>4300</v>
      </c>
      <c r="C3098" s="0" t="s">
        <v>7190</v>
      </c>
      <c r="D3098" s="0" t="n">
        <v>0.029</v>
      </c>
    </row>
    <row r="3099" customFormat="false" ht="15" hidden="false" customHeight="false" outlineLevel="0" collapsed="false">
      <c r="A3099" s="0" t="s">
        <v>8</v>
      </c>
      <c r="B3099" s="0" t="s">
        <v>4300</v>
      </c>
      <c r="C3099" s="0" t="s">
        <v>7191</v>
      </c>
    </row>
    <row r="3100" customFormat="false" ht="15" hidden="false" customHeight="false" outlineLevel="0" collapsed="false">
      <c r="A3100" s="0" t="s">
        <v>8</v>
      </c>
      <c r="B3100" s="0" t="s">
        <v>4300</v>
      </c>
      <c r="C3100" s="0" t="s">
        <v>7192</v>
      </c>
    </row>
    <row r="3101" customFormat="false" ht="15" hidden="false" customHeight="false" outlineLevel="0" collapsed="false">
      <c r="A3101" s="0" t="s">
        <v>8</v>
      </c>
      <c r="B3101" s="0" t="s">
        <v>4305</v>
      </c>
      <c r="C3101" s="0" t="s">
        <v>7190</v>
      </c>
      <c r="D3101" s="0" t="n">
        <v>0.112</v>
      </c>
    </row>
    <row r="3102" customFormat="false" ht="15" hidden="false" customHeight="false" outlineLevel="0" collapsed="false">
      <c r="A3102" s="0" t="s">
        <v>8</v>
      </c>
      <c r="B3102" s="0" t="s">
        <v>4305</v>
      </c>
      <c r="C3102" s="0" t="s">
        <v>7191</v>
      </c>
    </row>
    <row r="3103" customFormat="false" ht="15" hidden="false" customHeight="false" outlineLevel="0" collapsed="false">
      <c r="A3103" s="0" t="s">
        <v>8</v>
      </c>
      <c r="B3103" s="0" t="s">
        <v>4305</v>
      </c>
      <c r="C3103" s="0" t="s">
        <v>7192</v>
      </c>
    </row>
    <row r="3104" customFormat="false" ht="15" hidden="false" customHeight="false" outlineLevel="0" collapsed="false">
      <c r="A3104" s="0" t="s">
        <v>8</v>
      </c>
      <c r="B3104" s="0" t="s">
        <v>4308</v>
      </c>
      <c r="C3104" s="0" t="s">
        <v>7190</v>
      </c>
      <c r="D3104" s="0" t="n">
        <v>0.363</v>
      </c>
    </row>
    <row r="3105" customFormat="false" ht="15" hidden="false" customHeight="false" outlineLevel="0" collapsed="false">
      <c r="A3105" s="0" t="s">
        <v>8</v>
      </c>
      <c r="B3105" s="0" t="s">
        <v>4308</v>
      </c>
      <c r="C3105" s="0" t="s">
        <v>7191</v>
      </c>
    </row>
    <row r="3106" customFormat="false" ht="15" hidden="false" customHeight="false" outlineLevel="0" collapsed="false">
      <c r="A3106" s="0" t="s">
        <v>8</v>
      </c>
      <c r="B3106" s="0" t="s">
        <v>4308</v>
      </c>
      <c r="C3106" s="0" t="s">
        <v>7192</v>
      </c>
    </row>
    <row r="3107" customFormat="false" ht="15" hidden="false" customHeight="false" outlineLevel="0" collapsed="false">
      <c r="A3107" s="0" t="s">
        <v>8</v>
      </c>
      <c r="B3107" s="0" t="s">
        <v>4311</v>
      </c>
      <c r="C3107" s="0" t="s">
        <v>7190</v>
      </c>
      <c r="D3107" s="0" t="n">
        <v>0.057</v>
      </c>
    </row>
    <row r="3108" customFormat="false" ht="15" hidden="false" customHeight="false" outlineLevel="0" collapsed="false">
      <c r="A3108" s="0" t="s">
        <v>8</v>
      </c>
      <c r="B3108" s="0" t="s">
        <v>4311</v>
      </c>
      <c r="C3108" s="0" t="s">
        <v>7191</v>
      </c>
    </row>
    <row r="3109" customFormat="false" ht="15" hidden="false" customHeight="false" outlineLevel="0" collapsed="false">
      <c r="A3109" s="0" t="s">
        <v>8</v>
      </c>
      <c r="B3109" s="0" t="s">
        <v>4311</v>
      </c>
      <c r="C3109" s="0" t="s">
        <v>7192</v>
      </c>
    </row>
    <row r="3110" customFormat="false" ht="15" hidden="false" customHeight="false" outlineLevel="0" collapsed="false">
      <c r="A3110" s="0" t="s">
        <v>8</v>
      </c>
      <c r="B3110" s="0" t="s">
        <v>4314</v>
      </c>
      <c r="C3110" s="0" t="s">
        <v>7190</v>
      </c>
      <c r="D3110" s="0" t="n">
        <v>0.1031</v>
      </c>
    </row>
    <row r="3111" customFormat="false" ht="15" hidden="false" customHeight="false" outlineLevel="0" collapsed="false">
      <c r="A3111" s="0" t="s">
        <v>8</v>
      </c>
      <c r="B3111" s="0" t="s">
        <v>4314</v>
      </c>
      <c r="C3111" s="0" t="s">
        <v>7191</v>
      </c>
    </row>
    <row r="3112" customFormat="false" ht="15" hidden="false" customHeight="false" outlineLevel="0" collapsed="false">
      <c r="A3112" s="0" t="s">
        <v>8</v>
      </c>
      <c r="B3112" s="0" t="s">
        <v>4314</v>
      </c>
      <c r="C3112" s="0" t="s">
        <v>7192</v>
      </c>
    </row>
    <row r="3113" customFormat="false" ht="15" hidden="false" customHeight="false" outlineLevel="0" collapsed="false">
      <c r="A3113" s="0" t="s">
        <v>8</v>
      </c>
      <c r="B3113" s="0" t="s">
        <v>4318</v>
      </c>
      <c r="C3113" s="0" t="s">
        <v>7190</v>
      </c>
      <c r="D3113" s="0" t="n">
        <v>0.2974</v>
      </c>
    </row>
    <row r="3114" customFormat="false" ht="15" hidden="false" customHeight="false" outlineLevel="0" collapsed="false">
      <c r="A3114" s="0" t="s">
        <v>8</v>
      </c>
      <c r="B3114" s="0" t="s">
        <v>4318</v>
      </c>
      <c r="C3114" s="0" t="s">
        <v>7191</v>
      </c>
    </row>
    <row r="3115" customFormat="false" ht="15" hidden="false" customHeight="false" outlineLevel="0" collapsed="false">
      <c r="A3115" s="0" t="s">
        <v>8</v>
      </c>
      <c r="B3115" s="0" t="s">
        <v>4318</v>
      </c>
      <c r="C3115" s="0" t="s">
        <v>7192</v>
      </c>
    </row>
    <row r="3116" customFormat="false" ht="15" hidden="false" customHeight="false" outlineLevel="0" collapsed="false">
      <c r="A3116" s="0" t="s">
        <v>8</v>
      </c>
      <c r="B3116" s="0" t="s">
        <v>4321</v>
      </c>
      <c r="C3116" s="0" t="s">
        <v>7190</v>
      </c>
      <c r="D3116" s="0" t="n">
        <v>0.3475</v>
      </c>
    </row>
    <row r="3117" customFormat="false" ht="15" hidden="false" customHeight="false" outlineLevel="0" collapsed="false">
      <c r="A3117" s="0" t="s">
        <v>8</v>
      </c>
      <c r="B3117" s="0" t="s">
        <v>4321</v>
      </c>
      <c r="C3117" s="0" t="s">
        <v>7191</v>
      </c>
    </row>
    <row r="3118" customFormat="false" ht="15" hidden="false" customHeight="false" outlineLevel="0" collapsed="false">
      <c r="A3118" s="0" t="s">
        <v>8</v>
      </c>
      <c r="B3118" s="0" t="s">
        <v>4321</v>
      </c>
      <c r="C3118" s="0" t="s">
        <v>7192</v>
      </c>
    </row>
    <row r="3119" customFormat="false" ht="15" hidden="false" customHeight="false" outlineLevel="0" collapsed="false">
      <c r="A3119" s="0" t="s">
        <v>8</v>
      </c>
      <c r="B3119" s="0" t="s">
        <v>4324</v>
      </c>
      <c r="C3119" s="0" t="s">
        <v>7190</v>
      </c>
      <c r="D3119" s="0" t="n">
        <v>0.362</v>
      </c>
    </row>
    <row r="3120" customFormat="false" ht="15" hidden="false" customHeight="false" outlineLevel="0" collapsed="false">
      <c r="A3120" s="0" t="s">
        <v>8</v>
      </c>
      <c r="B3120" s="0" t="s">
        <v>4324</v>
      </c>
      <c r="C3120" s="0" t="s">
        <v>7191</v>
      </c>
    </row>
    <row r="3121" customFormat="false" ht="15" hidden="false" customHeight="false" outlineLevel="0" collapsed="false">
      <c r="A3121" s="0" t="s">
        <v>8</v>
      </c>
      <c r="B3121" s="0" t="s">
        <v>4324</v>
      </c>
      <c r="C3121" s="0" t="s">
        <v>7192</v>
      </c>
    </row>
    <row r="3122" customFormat="false" ht="15" hidden="false" customHeight="false" outlineLevel="0" collapsed="false">
      <c r="A3122" s="0" t="s">
        <v>8</v>
      </c>
      <c r="B3122" s="0" t="s">
        <v>4327</v>
      </c>
      <c r="C3122" s="0" t="s">
        <v>7190</v>
      </c>
      <c r="D3122" s="0" t="n">
        <v>0.098</v>
      </c>
    </row>
    <row r="3123" customFormat="false" ht="15" hidden="false" customHeight="false" outlineLevel="0" collapsed="false">
      <c r="A3123" s="0" t="s">
        <v>8</v>
      </c>
      <c r="B3123" s="0" t="s">
        <v>4327</v>
      </c>
      <c r="C3123" s="0" t="s">
        <v>7191</v>
      </c>
    </row>
    <row r="3124" customFormat="false" ht="15" hidden="false" customHeight="false" outlineLevel="0" collapsed="false">
      <c r="A3124" s="0" t="s">
        <v>8</v>
      </c>
      <c r="B3124" s="0" t="s">
        <v>4327</v>
      </c>
      <c r="C3124" s="0" t="s">
        <v>7192</v>
      </c>
    </row>
    <row r="3125" customFormat="false" ht="15" hidden="false" customHeight="false" outlineLevel="0" collapsed="false">
      <c r="A3125" s="0" t="s">
        <v>8</v>
      </c>
      <c r="B3125" s="0" t="s">
        <v>4332</v>
      </c>
      <c r="C3125" s="0" t="s">
        <v>7190</v>
      </c>
      <c r="D3125" s="0" t="n">
        <v>0.306</v>
      </c>
    </row>
    <row r="3126" customFormat="false" ht="15" hidden="false" customHeight="false" outlineLevel="0" collapsed="false">
      <c r="A3126" s="0" t="s">
        <v>8</v>
      </c>
      <c r="B3126" s="0" t="s">
        <v>4332</v>
      </c>
      <c r="C3126" s="0" t="s">
        <v>7191</v>
      </c>
    </row>
    <row r="3127" customFormat="false" ht="15" hidden="false" customHeight="false" outlineLevel="0" collapsed="false">
      <c r="A3127" s="0" t="s">
        <v>8</v>
      </c>
      <c r="B3127" s="0" t="s">
        <v>4332</v>
      </c>
      <c r="C3127" s="0" t="s">
        <v>7192</v>
      </c>
    </row>
    <row r="3128" customFormat="false" ht="15" hidden="false" customHeight="false" outlineLevel="0" collapsed="false">
      <c r="A3128" s="0" t="s">
        <v>8</v>
      </c>
      <c r="B3128" s="0" t="s">
        <v>4335</v>
      </c>
      <c r="C3128" s="0" t="s">
        <v>7190</v>
      </c>
      <c r="D3128" s="0" t="n">
        <v>0.413</v>
      </c>
    </row>
    <row r="3129" customFormat="false" ht="15" hidden="false" customHeight="false" outlineLevel="0" collapsed="false">
      <c r="A3129" s="0" t="s">
        <v>8</v>
      </c>
      <c r="B3129" s="0" t="s">
        <v>4335</v>
      </c>
      <c r="C3129" s="0" t="s">
        <v>7191</v>
      </c>
    </row>
    <row r="3130" customFormat="false" ht="15" hidden="false" customHeight="false" outlineLevel="0" collapsed="false">
      <c r="A3130" s="0" t="s">
        <v>8</v>
      </c>
      <c r="B3130" s="0" t="s">
        <v>4335</v>
      </c>
      <c r="C3130" s="0" t="s">
        <v>7192</v>
      </c>
    </row>
    <row r="3131" customFormat="false" ht="15" hidden="false" customHeight="false" outlineLevel="0" collapsed="false">
      <c r="A3131" s="0" t="s">
        <v>8</v>
      </c>
      <c r="B3131" s="0" t="s">
        <v>4338</v>
      </c>
      <c r="C3131" s="0" t="s">
        <v>7190</v>
      </c>
      <c r="D3131" s="0" t="n">
        <v>0.072</v>
      </c>
    </row>
    <row r="3132" customFormat="false" ht="15" hidden="false" customHeight="false" outlineLevel="0" collapsed="false">
      <c r="A3132" s="0" t="s">
        <v>8</v>
      </c>
      <c r="B3132" s="0" t="s">
        <v>4338</v>
      </c>
      <c r="C3132" s="0" t="s">
        <v>7191</v>
      </c>
    </row>
    <row r="3133" customFormat="false" ht="15" hidden="false" customHeight="false" outlineLevel="0" collapsed="false">
      <c r="A3133" s="0" t="s">
        <v>8</v>
      </c>
      <c r="B3133" s="0" t="s">
        <v>4338</v>
      </c>
      <c r="C3133" s="0" t="s">
        <v>7192</v>
      </c>
    </row>
    <row r="3134" customFormat="false" ht="15" hidden="false" customHeight="false" outlineLevel="0" collapsed="false">
      <c r="A3134" s="0" t="s">
        <v>8</v>
      </c>
      <c r="B3134" s="0" t="s">
        <v>4341</v>
      </c>
      <c r="C3134" s="0" t="s">
        <v>7190</v>
      </c>
      <c r="D3134" s="0" t="n">
        <v>0.0143</v>
      </c>
    </row>
    <row r="3135" customFormat="false" ht="15" hidden="false" customHeight="false" outlineLevel="0" collapsed="false">
      <c r="A3135" s="0" t="s">
        <v>8</v>
      </c>
      <c r="B3135" s="0" t="s">
        <v>4341</v>
      </c>
      <c r="C3135" s="0" t="s">
        <v>7191</v>
      </c>
    </row>
    <row r="3136" customFormat="false" ht="15" hidden="false" customHeight="false" outlineLevel="0" collapsed="false">
      <c r="A3136" s="0" t="s">
        <v>8</v>
      </c>
      <c r="B3136" s="0" t="s">
        <v>4341</v>
      </c>
      <c r="C3136" s="0" t="s">
        <v>7192</v>
      </c>
    </row>
    <row r="3137" customFormat="false" ht="15" hidden="false" customHeight="false" outlineLevel="0" collapsed="false">
      <c r="A3137" s="0" t="s">
        <v>8</v>
      </c>
      <c r="B3137" s="0" t="s">
        <v>4346</v>
      </c>
      <c r="C3137" s="0" t="s">
        <v>7190</v>
      </c>
      <c r="D3137" s="0" t="n">
        <v>0.1124</v>
      </c>
    </row>
    <row r="3138" customFormat="false" ht="15" hidden="false" customHeight="false" outlineLevel="0" collapsed="false">
      <c r="A3138" s="0" t="s">
        <v>8</v>
      </c>
      <c r="B3138" s="0" t="s">
        <v>4346</v>
      </c>
      <c r="C3138" s="0" t="s">
        <v>7191</v>
      </c>
    </row>
    <row r="3139" customFormat="false" ht="15" hidden="false" customHeight="false" outlineLevel="0" collapsed="false">
      <c r="A3139" s="0" t="s">
        <v>8</v>
      </c>
      <c r="B3139" s="0" t="s">
        <v>4346</v>
      </c>
      <c r="C3139" s="0" t="s">
        <v>7192</v>
      </c>
    </row>
    <row r="3140" customFormat="false" ht="15" hidden="false" customHeight="false" outlineLevel="0" collapsed="false">
      <c r="A3140" s="0" t="s">
        <v>8</v>
      </c>
      <c r="B3140" s="0" t="s">
        <v>4349</v>
      </c>
      <c r="C3140" s="0" t="s">
        <v>7190</v>
      </c>
      <c r="D3140" s="0" t="n">
        <v>0.1341</v>
      </c>
    </row>
    <row r="3141" customFormat="false" ht="15" hidden="false" customHeight="false" outlineLevel="0" collapsed="false">
      <c r="A3141" s="0" t="s">
        <v>8</v>
      </c>
      <c r="B3141" s="0" t="s">
        <v>4349</v>
      </c>
      <c r="C3141" s="0" t="s">
        <v>7191</v>
      </c>
    </row>
    <row r="3142" customFormat="false" ht="15" hidden="false" customHeight="false" outlineLevel="0" collapsed="false">
      <c r="A3142" s="0" t="s">
        <v>8</v>
      </c>
      <c r="B3142" s="0" t="s">
        <v>4349</v>
      </c>
      <c r="C3142" s="0" t="s">
        <v>7192</v>
      </c>
    </row>
    <row r="3143" customFormat="false" ht="15" hidden="false" customHeight="false" outlineLevel="0" collapsed="false">
      <c r="A3143" s="0" t="s">
        <v>8</v>
      </c>
      <c r="B3143" s="0" t="s">
        <v>4352</v>
      </c>
      <c r="C3143" s="0" t="s">
        <v>7190</v>
      </c>
      <c r="D3143" s="0" t="n">
        <v>0.0416</v>
      </c>
    </row>
    <row r="3144" customFormat="false" ht="15" hidden="false" customHeight="false" outlineLevel="0" collapsed="false">
      <c r="A3144" s="0" t="s">
        <v>8</v>
      </c>
      <c r="B3144" s="0" t="s">
        <v>4352</v>
      </c>
      <c r="C3144" s="0" t="s">
        <v>7191</v>
      </c>
    </row>
    <row r="3145" customFormat="false" ht="15" hidden="false" customHeight="false" outlineLevel="0" collapsed="false">
      <c r="A3145" s="0" t="s">
        <v>8</v>
      </c>
      <c r="B3145" s="0" t="s">
        <v>4352</v>
      </c>
      <c r="C3145" s="0" t="s">
        <v>7192</v>
      </c>
    </row>
    <row r="3146" customFormat="false" ht="15" hidden="false" customHeight="false" outlineLevel="0" collapsed="false">
      <c r="A3146" s="0" t="s">
        <v>8</v>
      </c>
      <c r="B3146" s="0" t="s">
        <v>4355</v>
      </c>
      <c r="C3146" s="0" t="s">
        <v>7190</v>
      </c>
      <c r="D3146" s="0" t="n">
        <v>0.0461</v>
      </c>
    </row>
    <row r="3147" customFormat="false" ht="15" hidden="false" customHeight="false" outlineLevel="0" collapsed="false">
      <c r="A3147" s="0" t="s">
        <v>8</v>
      </c>
      <c r="B3147" s="0" t="s">
        <v>4355</v>
      </c>
      <c r="C3147" s="0" t="s">
        <v>7191</v>
      </c>
    </row>
    <row r="3148" customFormat="false" ht="15" hidden="false" customHeight="false" outlineLevel="0" collapsed="false">
      <c r="A3148" s="0" t="s">
        <v>8</v>
      </c>
      <c r="B3148" s="0" t="s">
        <v>4355</v>
      </c>
      <c r="C3148" s="0" t="s">
        <v>7192</v>
      </c>
    </row>
    <row r="3149" customFormat="false" ht="15" hidden="false" customHeight="false" outlineLevel="0" collapsed="false">
      <c r="A3149" s="0" t="s">
        <v>8</v>
      </c>
      <c r="B3149" s="0" t="s">
        <v>4358</v>
      </c>
      <c r="C3149" s="0" t="s">
        <v>7190</v>
      </c>
    </row>
    <row r="3150" customFormat="false" ht="15" hidden="false" customHeight="false" outlineLevel="0" collapsed="false">
      <c r="A3150" s="0" t="s">
        <v>8</v>
      </c>
      <c r="B3150" s="0" t="s">
        <v>4358</v>
      </c>
      <c r="C3150" s="0" t="s">
        <v>7191</v>
      </c>
    </row>
    <row r="3151" customFormat="false" ht="15" hidden="false" customHeight="false" outlineLevel="0" collapsed="false">
      <c r="A3151" s="0" t="s">
        <v>8</v>
      </c>
      <c r="B3151" s="0" t="s">
        <v>4358</v>
      </c>
      <c r="C3151" s="0" t="s">
        <v>7192</v>
      </c>
    </row>
    <row r="3152" customFormat="false" ht="15" hidden="false" customHeight="false" outlineLevel="0" collapsed="false">
      <c r="A3152" s="0" t="s">
        <v>8</v>
      </c>
      <c r="B3152" s="0" t="s">
        <v>4363</v>
      </c>
      <c r="C3152" s="0" t="s">
        <v>7190</v>
      </c>
      <c r="D3152" s="0" t="n">
        <v>0</v>
      </c>
    </row>
    <row r="3153" customFormat="false" ht="15" hidden="false" customHeight="false" outlineLevel="0" collapsed="false">
      <c r="A3153" s="0" t="s">
        <v>8</v>
      </c>
      <c r="B3153" s="0" t="s">
        <v>4363</v>
      </c>
      <c r="C3153" s="0" t="s">
        <v>7191</v>
      </c>
    </row>
    <row r="3154" customFormat="false" ht="15" hidden="false" customHeight="false" outlineLevel="0" collapsed="false">
      <c r="A3154" s="0" t="s">
        <v>8</v>
      </c>
      <c r="B3154" s="0" t="s">
        <v>4363</v>
      </c>
      <c r="C3154" s="0" t="s">
        <v>7192</v>
      </c>
    </row>
    <row r="3155" customFormat="false" ht="15" hidden="false" customHeight="false" outlineLevel="0" collapsed="false">
      <c r="A3155" s="0" t="s">
        <v>8</v>
      </c>
      <c r="B3155" s="0" t="s">
        <v>4369</v>
      </c>
      <c r="C3155" s="0" t="s">
        <v>7190</v>
      </c>
      <c r="D3155" s="0" t="n">
        <v>40</v>
      </c>
    </row>
    <row r="3156" customFormat="false" ht="15" hidden="false" customHeight="false" outlineLevel="0" collapsed="false">
      <c r="A3156" s="0" t="s">
        <v>8</v>
      </c>
      <c r="B3156" s="0" t="s">
        <v>4369</v>
      </c>
      <c r="C3156" s="0" t="s">
        <v>7191</v>
      </c>
    </row>
    <row r="3157" customFormat="false" ht="15" hidden="false" customHeight="false" outlineLevel="0" collapsed="false">
      <c r="A3157" s="0" t="s">
        <v>8</v>
      </c>
      <c r="B3157" s="0" t="s">
        <v>4369</v>
      </c>
      <c r="C3157" s="0" t="s">
        <v>7192</v>
      </c>
    </row>
    <row r="3158" customFormat="false" ht="15" hidden="false" customHeight="false" outlineLevel="0" collapsed="false">
      <c r="A3158" s="0" t="s">
        <v>8</v>
      </c>
      <c r="B3158" s="0" t="s">
        <v>4375</v>
      </c>
      <c r="C3158" s="0" t="s">
        <v>7190</v>
      </c>
      <c r="D3158" s="0" t="n">
        <v>2.0269</v>
      </c>
    </row>
    <row r="3159" customFormat="false" ht="15" hidden="false" customHeight="false" outlineLevel="0" collapsed="false">
      <c r="A3159" s="0" t="s">
        <v>8</v>
      </c>
      <c r="B3159" s="0" t="s">
        <v>4375</v>
      </c>
      <c r="C3159" s="0" t="s">
        <v>7191</v>
      </c>
    </row>
    <row r="3160" customFormat="false" ht="15" hidden="false" customHeight="false" outlineLevel="0" collapsed="false">
      <c r="A3160" s="0" t="s">
        <v>8</v>
      </c>
      <c r="B3160" s="0" t="s">
        <v>4375</v>
      </c>
      <c r="C3160" s="0" t="s">
        <v>7192</v>
      </c>
    </row>
    <row r="3161" customFormat="false" ht="15" hidden="false" customHeight="false" outlineLevel="0" collapsed="false">
      <c r="A3161" s="0" t="s">
        <v>8</v>
      </c>
      <c r="B3161" s="0" t="s">
        <v>4379</v>
      </c>
      <c r="C3161" s="0" t="s">
        <v>7190</v>
      </c>
      <c r="D3161" s="0" t="n">
        <v>25000</v>
      </c>
    </row>
    <row r="3162" customFormat="false" ht="15" hidden="false" customHeight="false" outlineLevel="0" collapsed="false">
      <c r="A3162" s="0" t="s">
        <v>8</v>
      </c>
      <c r="B3162" s="0" t="s">
        <v>4379</v>
      </c>
      <c r="C3162" s="0" t="s">
        <v>7191</v>
      </c>
    </row>
    <row r="3163" customFormat="false" ht="15" hidden="false" customHeight="false" outlineLevel="0" collapsed="false">
      <c r="A3163" s="0" t="s">
        <v>8</v>
      </c>
      <c r="B3163" s="0" t="s">
        <v>4379</v>
      </c>
      <c r="C3163" s="0" t="s">
        <v>7192</v>
      </c>
    </row>
    <row r="3164" customFormat="false" ht="15" hidden="false" customHeight="false" outlineLevel="0" collapsed="false">
      <c r="A3164" s="0" t="s">
        <v>14</v>
      </c>
      <c r="B3164" s="0" t="s">
        <v>4747</v>
      </c>
      <c r="C3164" s="0" t="s">
        <v>7192</v>
      </c>
      <c r="D3164" s="0" t="n">
        <v>2025</v>
      </c>
    </row>
    <row r="3165" customFormat="false" ht="15" hidden="false" customHeight="false" outlineLevel="0" collapsed="false">
      <c r="A3165" s="0" t="s">
        <v>14</v>
      </c>
      <c r="B3165" s="0" t="s">
        <v>4747</v>
      </c>
      <c r="C3165" s="0" t="s">
        <v>7193</v>
      </c>
      <c r="D3165" s="0" t="n">
        <v>2025</v>
      </c>
    </row>
    <row r="3166" customFormat="false" ht="15" hidden="false" customHeight="false" outlineLevel="0" collapsed="false">
      <c r="A3166" s="0" t="s">
        <v>14</v>
      </c>
      <c r="B3166" s="0" t="s">
        <v>4747</v>
      </c>
      <c r="C3166" s="0" t="s">
        <v>7194</v>
      </c>
      <c r="D3166" s="0" t="n">
        <v>2025</v>
      </c>
    </row>
    <row r="3167" customFormat="false" ht="15" hidden="false" customHeight="false" outlineLevel="0" collapsed="false">
      <c r="A3167" s="0" t="s">
        <v>14</v>
      </c>
      <c r="B3167" s="0" t="s">
        <v>4754</v>
      </c>
      <c r="C3167" s="0" t="s">
        <v>7192</v>
      </c>
      <c r="D3167" s="0" t="n">
        <v>2026</v>
      </c>
    </row>
    <row r="3168" customFormat="false" ht="15" hidden="false" customHeight="false" outlineLevel="0" collapsed="false">
      <c r="A3168" s="0" t="s">
        <v>14</v>
      </c>
      <c r="B3168" s="0" t="s">
        <v>4754</v>
      </c>
      <c r="C3168" s="0" t="s">
        <v>7193</v>
      </c>
      <c r="D3168" s="0" t="n">
        <v>2026</v>
      </c>
    </row>
    <row r="3169" customFormat="false" ht="15" hidden="false" customHeight="false" outlineLevel="0" collapsed="false">
      <c r="A3169" s="0" t="s">
        <v>14</v>
      </c>
      <c r="B3169" s="0" t="s">
        <v>4754</v>
      </c>
      <c r="C3169" s="0" t="s">
        <v>7194</v>
      </c>
      <c r="D3169" s="0" t="n">
        <v>2026</v>
      </c>
    </row>
    <row r="3170" customFormat="false" ht="15" hidden="false" customHeight="false" outlineLevel="0" collapsed="false">
      <c r="A3170" s="0" t="s">
        <v>14</v>
      </c>
      <c r="B3170" s="0" t="s">
        <v>4758</v>
      </c>
      <c r="C3170" s="0" t="s">
        <v>7192</v>
      </c>
      <c r="D3170" s="0" t="n">
        <v>2027</v>
      </c>
    </row>
    <row r="3171" customFormat="false" ht="15" hidden="false" customHeight="false" outlineLevel="0" collapsed="false">
      <c r="A3171" s="0" t="s">
        <v>14</v>
      </c>
      <c r="B3171" s="0" t="s">
        <v>4758</v>
      </c>
      <c r="C3171" s="0" t="s">
        <v>7193</v>
      </c>
      <c r="D3171" s="0" t="n">
        <v>2027</v>
      </c>
    </row>
    <row r="3172" customFormat="false" ht="15" hidden="false" customHeight="false" outlineLevel="0" collapsed="false">
      <c r="A3172" s="0" t="s">
        <v>14</v>
      </c>
      <c r="B3172" s="0" t="s">
        <v>4758</v>
      </c>
      <c r="C3172" s="0" t="s">
        <v>7194</v>
      </c>
      <c r="D3172" s="0" t="n">
        <v>2027</v>
      </c>
    </row>
    <row r="3173" customFormat="false" ht="15" hidden="false" customHeight="false" outlineLevel="0" collapsed="false">
      <c r="A3173" s="0" t="s">
        <v>14</v>
      </c>
      <c r="B3173" s="0" t="s">
        <v>4761</v>
      </c>
      <c r="C3173" s="0" t="s">
        <v>7192</v>
      </c>
      <c r="D3173" s="0" t="n">
        <v>2028</v>
      </c>
    </row>
    <row r="3174" customFormat="false" ht="15" hidden="false" customHeight="false" outlineLevel="0" collapsed="false">
      <c r="A3174" s="0" t="s">
        <v>14</v>
      </c>
      <c r="B3174" s="0" t="s">
        <v>4761</v>
      </c>
      <c r="C3174" s="0" t="s">
        <v>7193</v>
      </c>
      <c r="D3174" s="0" t="n">
        <v>2028</v>
      </c>
    </row>
    <row r="3175" customFormat="false" ht="15" hidden="false" customHeight="false" outlineLevel="0" collapsed="false">
      <c r="A3175" s="0" t="s">
        <v>14</v>
      </c>
      <c r="B3175" s="0" t="s">
        <v>4761</v>
      </c>
      <c r="C3175" s="0" t="s">
        <v>7194</v>
      </c>
      <c r="D3175" s="0" t="n">
        <v>2028</v>
      </c>
    </row>
    <row r="3176" customFormat="false" ht="15" hidden="false" customHeight="false" outlineLevel="0" collapsed="false">
      <c r="A3176" s="0" t="s">
        <v>14</v>
      </c>
      <c r="B3176" s="0" t="s">
        <v>4764</v>
      </c>
      <c r="C3176" s="0" t="s">
        <v>7192</v>
      </c>
      <c r="D3176" s="0" t="n">
        <v>2029</v>
      </c>
    </row>
    <row r="3177" customFormat="false" ht="15" hidden="false" customHeight="false" outlineLevel="0" collapsed="false">
      <c r="A3177" s="0" t="s">
        <v>14</v>
      </c>
      <c r="B3177" s="0" t="s">
        <v>4764</v>
      </c>
      <c r="C3177" s="0" t="s">
        <v>7193</v>
      </c>
      <c r="D3177" s="0" t="n">
        <v>2029</v>
      </c>
    </row>
    <row r="3178" customFormat="false" ht="15" hidden="false" customHeight="false" outlineLevel="0" collapsed="false">
      <c r="A3178" s="0" t="s">
        <v>14</v>
      </c>
      <c r="B3178" s="0" t="s">
        <v>4764</v>
      </c>
      <c r="C3178" s="0" t="s">
        <v>7194</v>
      </c>
      <c r="D3178" s="0" t="n">
        <v>2029</v>
      </c>
    </row>
    <row r="3179" customFormat="false" ht="15" hidden="false" customHeight="false" outlineLevel="0" collapsed="false">
      <c r="A3179" s="0" t="s">
        <v>14</v>
      </c>
      <c r="B3179" s="0" t="s">
        <v>4767</v>
      </c>
      <c r="C3179" s="0" t="s">
        <v>7192</v>
      </c>
      <c r="D3179" s="0" t="n">
        <v>2030</v>
      </c>
    </row>
    <row r="3180" customFormat="false" ht="15" hidden="false" customHeight="false" outlineLevel="0" collapsed="false">
      <c r="A3180" s="0" t="s">
        <v>14</v>
      </c>
      <c r="B3180" s="0" t="s">
        <v>4767</v>
      </c>
      <c r="C3180" s="0" t="s">
        <v>7193</v>
      </c>
      <c r="D3180" s="0" t="n">
        <v>2030</v>
      </c>
    </row>
    <row r="3181" customFormat="false" ht="15" hidden="false" customHeight="false" outlineLevel="0" collapsed="false">
      <c r="A3181" s="0" t="s">
        <v>14</v>
      </c>
      <c r="B3181" s="0" t="s">
        <v>4767</v>
      </c>
      <c r="C3181" s="0" t="s">
        <v>7194</v>
      </c>
      <c r="D3181" s="0" t="n">
        <v>2030</v>
      </c>
    </row>
    <row r="3182" customFormat="false" ht="15" hidden="false" customHeight="false" outlineLevel="0" collapsed="false">
      <c r="A3182" s="0" t="s">
        <v>14</v>
      </c>
      <c r="B3182" s="0" t="s">
        <v>4770</v>
      </c>
      <c r="C3182" s="0" t="s">
        <v>7192</v>
      </c>
      <c r="D3182" s="0" t="n">
        <v>365</v>
      </c>
    </row>
    <row r="3183" customFormat="false" ht="15" hidden="false" customHeight="false" outlineLevel="0" collapsed="false">
      <c r="A3183" s="0" t="s">
        <v>14</v>
      </c>
      <c r="B3183" s="0" t="s">
        <v>4770</v>
      </c>
      <c r="C3183" s="0" t="s">
        <v>7193</v>
      </c>
      <c r="D3183" s="0" t="n">
        <v>365</v>
      </c>
    </row>
    <row r="3184" customFormat="false" ht="15" hidden="false" customHeight="false" outlineLevel="0" collapsed="false">
      <c r="A3184" s="0" t="s">
        <v>14</v>
      </c>
      <c r="B3184" s="0" t="s">
        <v>4770</v>
      </c>
      <c r="C3184" s="0" t="s">
        <v>7194</v>
      </c>
      <c r="D3184" s="0" t="n">
        <v>365</v>
      </c>
    </row>
    <row r="3185" customFormat="false" ht="15" hidden="false" customHeight="false" outlineLevel="0" collapsed="false">
      <c r="A3185" s="0" t="s">
        <v>14</v>
      </c>
      <c r="B3185" s="0" t="s">
        <v>4775</v>
      </c>
      <c r="C3185" s="0" t="s">
        <v>7192</v>
      </c>
      <c r="D3185" s="0" t="n">
        <v>181</v>
      </c>
    </row>
    <row r="3186" customFormat="false" ht="15" hidden="false" customHeight="false" outlineLevel="0" collapsed="false">
      <c r="A3186" s="0" t="s">
        <v>14</v>
      </c>
      <c r="B3186" s="0" t="s">
        <v>4775</v>
      </c>
      <c r="C3186" s="0" t="s">
        <v>7193</v>
      </c>
      <c r="D3186" s="0" t="n">
        <v>181</v>
      </c>
    </row>
    <row r="3187" customFormat="false" ht="15" hidden="false" customHeight="false" outlineLevel="0" collapsed="false">
      <c r="A3187" s="0" t="s">
        <v>14</v>
      </c>
      <c r="B3187" s="0" t="s">
        <v>4775</v>
      </c>
      <c r="C3187" s="0" t="s">
        <v>7194</v>
      </c>
      <c r="D3187" s="0" t="n">
        <v>181</v>
      </c>
    </row>
    <row r="3188" customFormat="false" ht="15" hidden="false" customHeight="false" outlineLevel="0" collapsed="false">
      <c r="A3188" s="0" t="s">
        <v>14</v>
      </c>
      <c r="B3188" s="0" t="s">
        <v>4779</v>
      </c>
      <c r="C3188" s="0" t="s">
        <v>7192</v>
      </c>
      <c r="D3188" s="0" t="n">
        <v>184</v>
      </c>
    </row>
    <row r="3189" customFormat="false" ht="15" hidden="false" customHeight="false" outlineLevel="0" collapsed="false">
      <c r="A3189" s="0" t="s">
        <v>14</v>
      </c>
      <c r="B3189" s="0" t="s">
        <v>4779</v>
      </c>
      <c r="C3189" s="0" t="s">
        <v>7193</v>
      </c>
      <c r="D3189" s="0" t="n">
        <v>184</v>
      </c>
    </row>
    <row r="3190" customFormat="false" ht="15" hidden="false" customHeight="false" outlineLevel="0" collapsed="false">
      <c r="A3190" s="0" t="s">
        <v>14</v>
      </c>
      <c r="B3190" s="0" t="s">
        <v>4779</v>
      </c>
      <c r="C3190" s="0" t="s">
        <v>7194</v>
      </c>
      <c r="D3190" s="0" t="n">
        <v>184</v>
      </c>
    </row>
    <row r="3191" customFormat="false" ht="15" hidden="false" customHeight="false" outlineLevel="0" collapsed="false">
      <c r="A3191" s="0" t="s">
        <v>14</v>
      </c>
      <c r="B3191" s="0" t="s">
        <v>4784</v>
      </c>
      <c r="C3191" s="0" t="s">
        <v>7192</v>
      </c>
      <c r="D3191" s="0" t="n">
        <v>12</v>
      </c>
    </row>
    <row r="3192" customFormat="false" ht="15" hidden="false" customHeight="false" outlineLevel="0" collapsed="false">
      <c r="A3192" s="0" t="s">
        <v>14</v>
      </c>
      <c r="B3192" s="0" t="s">
        <v>4784</v>
      </c>
      <c r="C3192" s="0" t="s">
        <v>7193</v>
      </c>
      <c r="D3192" s="0" t="n">
        <v>12</v>
      </c>
    </row>
    <row r="3193" customFormat="false" ht="15" hidden="false" customHeight="false" outlineLevel="0" collapsed="false">
      <c r="A3193" s="0" t="s">
        <v>14</v>
      </c>
      <c r="B3193" s="0" t="s">
        <v>4784</v>
      </c>
      <c r="C3193" s="0" t="s">
        <v>7194</v>
      </c>
      <c r="D3193" s="0" t="n">
        <v>12</v>
      </c>
    </row>
    <row r="3194" customFormat="false" ht="15" hidden="false" customHeight="false" outlineLevel="0" collapsed="false">
      <c r="A3194" s="0" t="s">
        <v>14</v>
      </c>
      <c r="B3194" s="0" t="s">
        <v>4788</v>
      </c>
      <c r="C3194" s="0" t="s">
        <v>7192</v>
      </c>
      <c r="D3194" s="0" t="n">
        <v>6</v>
      </c>
    </row>
    <row r="3195" customFormat="false" ht="15" hidden="false" customHeight="false" outlineLevel="0" collapsed="false">
      <c r="A3195" s="0" t="s">
        <v>14</v>
      </c>
      <c r="B3195" s="0" t="s">
        <v>4788</v>
      </c>
      <c r="C3195" s="0" t="s">
        <v>7193</v>
      </c>
      <c r="D3195" s="0" t="n">
        <v>6</v>
      </c>
    </row>
    <row r="3196" customFormat="false" ht="15" hidden="false" customHeight="false" outlineLevel="0" collapsed="false">
      <c r="A3196" s="0" t="s">
        <v>14</v>
      </c>
      <c r="B3196" s="0" t="s">
        <v>4788</v>
      </c>
      <c r="C3196" s="0" t="s">
        <v>7194</v>
      </c>
      <c r="D3196" s="0" t="n">
        <v>6</v>
      </c>
    </row>
    <row r="3197" customFormat="false" ht="15" hidden="false" customHeight="false" outlineLevel="0" collapsed="false">
      <c r="A3197" s="0" t="s">
        <v>14</v>
      </c>
      <c r="B3197" s="0" t="s">
        <v>4791</v>
      </c>
      <c r="C3197" s="0" t="s">
        <v>7192</v>
      </c>
      <c r="D3197" s="0" t="n">
        <v>3</v>
      </c>
    </row>
    <row r="3198" customFormat="false" ht="15" hidden="false" customHeight="false" outlineLevel="0" collapsed="false">
      <c r="A3198" s="0" t="s">
        <v>14</v>
      </c>
      <c r="B3198" s="0" t="s">
        <v>4791</v>
      </c>
      <c r="C3198" s="0" t="s">
        <v>7193</v>
      </c>
      <c r="D3198" s="0" t="n">
        <v>3</v>
      </c>
    </row>
    <row r="3199" customFormat="false" ht="15" hidden="false" customHeight="false" outlineLevel="0" collapsed="false">
      <c r="A3199" s="0" t="s">
        <v>14</v>
      </c>
      <c r="B3199" s="0" t="s">
        <v>4791</v>
      </c>
      <c r="C3199" s="0" t="s">
        <v>7194</v>
      </c>
      <c r="D3199" s="0" t="n">
        <v>3</v>
      </c>
    </row>
    <row r="3200" customFormat="false" ht="15" hidden="false" customHeight="false" outlineLevel="0" collapsed="false">
      <c r="A3200" s="0" t="s">
        <v>14</v>
      </c>
      <c r="B3200" s="0" t="s">
        <v>4795</v>
      </c>
      <c r="C3200" s="0" t="s">
        <v>7192</v>
      </c>
      <c r="D3200" s="0" t="n">
        <v>2</v>
      </c>
    </row>
    <row r="3201" customFormat="false" ht="15" hidden="false" customHeight="false" outlineLevel="0" collapsed="false">
      <c r="A3201" s="0" t="s">
        <v>14</v>
      </c>
      <c r="B3201" s="0" t="s">
        <v>4795</v>
      </c>
      <c r="C3201" s="0" t="s">
        <v>7193</v>
      </c>
      <c r="D3201" s="0" t="n">
        <v>2</v>
      </c>
    </row>
    <row r="3202" customFormat="false" ht="15" hidden="false" customHeight="false" outlineLevel="0" collapsed="false">
      <c r="A3202" s="0" t="s">
        <v>14</v>
      </c>
      <c r="B3202" s="0" t="s">
        <v>4795</v>
      </c>
      <c r="C3202" s="0" t="s">
        <v>7194</v>
      </c>
      <c r="D3202" s="0" t="n">
        <v>2</v>
      </c>
    </row>
    <row r="3203" customFormat="false" ht="15" hidden="false" customHeight="false" outlineLevel="0" collapsed="false">
      <c r="A3203" s="0" t="s">
        <v>14</v>
      </c>
      <c r="B3203" s="0" t="s">
        <v>4799</v>
      </c>
      <c r="C3203" s="0" t="s">
        <v>7192</v>
      </c>
      <c r="D3203" s="0" t="n">
        <v>100</v>
      </c>
    </row>
    <row r="3204" customFormat="false" ht="15" hidden="false" customHeight="false" outlineLevel="0" collapsed="false">
      <c r="A3204" s="0" t="s">
        <v>14</v>
      </c>
      <c r="B3204" s="0" t="s">
        <v>4799</v>
      </c>
      <c r="C3204" s="0" t="s">
        <v>7193</v>
      </c>
      <c r="D3204" s="0" t="n">
        <v>100</v>
      </c>
    </row>
    <row r="3205" customFormat="false" ht="15" hidden="false" customHeight="false" outlineLevel="0" collapsed="false">
      <c r="A3205" s="0" t="s">
        <v>14</v>
      </c>
      <c r="B3205" s="0" t="s">
        <v>4799</v>
      </c>
      <c r="C3205" s="0" t="s">
        <v>7194</v>
      </c>
      <c r="D3205" s="0" t="n">
        <v>100</v>
      </c>
    </row>
    <row r="3206" customFormat="false" ht="15" hidden="false" customHeight="false" outlineLevel="0" collapsed="false">
      <c r="A3206" s="0" t="s">
        <v>14</v>
      </c>
      <c r="B3206" s="0" t="s">
        <v>4804</v>
      </c>
      <c r="C3206" s="0" t="s">
        <v>7192</v>
      </c>
      <c r="D3206" s="0" t="n">
        <v>100</v>
      </c>
    </row>
    <row r="3207" customFormat="false" ht="15" hidden="false" customHeight="false" outlineLevel="0" collapsed="false">
      <c r="A3207" s="0" t="s">
        <v>14</v>
      </c>
      <c r="B3207" s="0" t="s">
        <v>4804</v>
      </c>
      <c r="C3207" s="0" t="s">
        <v>7193</v>
      </c>
      <c r="D3207" s="0" t="n">
        <v>100</v>
      </c>
    </row>
    <row r="3208" customFormat="false" ht="15" hidden="false" customHeight="false" outlineLevel="0" collapsed="false">
      <c r="A3208" s="0" t="s">
        <v>14</v>
      </c>
      <c r="B3208" s="0" t="s">
        <v>4804</v>
      </c>
      <c r="C3208" s="0" t="s">
        <v>7194</v>
      </c>
      <c r="D3208" s="0" t="n">
        <v>100</v>
      </c>
    </row>
    <row r="3209" customFormat="false" ht="15" hidden="false" customHeight="false" outlineLevel="0" collapsed="false">
      <c r="A3209" s="0" t="s">
        <v>14</v>
      </c>
      <c r="B3209" s="0" t="s">
        <v>4808</v>
      </c>
      <c r="C3209" s="0" t="s">
        <v>7192</v>
      </c>
      <c r="D3209" s="0" t="n">
        <v>100</v>
      </c>
    </row>
    <row r="3210" customFormat="false" ht="15" hidden="false" customHeight="false" outlineLevel="0" collapsed="false">
      <c r="A3210" s="0" t="s">
        <v>14</v>
      </c>
      <c r="B3210" s="0" t="s">
        <v>4808</v>
      </c>
      <c r="C3210" s="0" t="s">
        <v>7193</v>
      </c>
      <c r="D3210" s="0" t="n">
        <v>100</v>
      </c>
    </row>
    <row r="3211" customFormat="false" ht="15" hidden="false" customHeight="false" outlineLevel="0" collapsed="false">
      <c r="A3211" s="0" t="s">
        <v>14</v>
      </c>
      <c r="B3211" s="0" t="s">
        <v>4808</v>
      </c>
      <c r="C3211" s="0" t="s">
        <v>7194</v>
      </c>
      <c r="D3211" s="0" t="n">
        <v>100</v>
      </c>
    </row>
    <row r="3212" customFormat="false" ht="15" hidden="false" customHeight="false" outlineLevel="0" collapsed="false">
      <c r="A3212" s="0" t="s">
        <v>14</v>
      </c>
      <c r="B3212" s="0" t="s">
        <v>4812</v>
      </c>
      <c r="C3212" s="0" t="s">
        <v>7192</v>
      </c>
      <c r="D3212" s="0" t="n">
        <v>10000</v>
      </c>
    </row>
    <row r="3213" customFormat="false" ht="15" hidden="false" customHeight="false" outlineLevel="0" collapsed="false">
      <c r="A3213" s="0" t="s">
        <v>14</v>
      </c>
      <c r="B3213" s="0" t="s">
        <v>4812</v>
      </c>
      <c r="C3213" s="0" t="s">
        <v>7193</v>
      </c>
      <c r="D3213" s="0" t="n">
        <v>10000</v>
      </c>
    </row>
    <row r="3214" customFormat="false" ht="15" hidden="false" customHeight="false" outlineLevel="0" collapsed="false">
      <c r="A3214" s="0" t="s">
        <v>14</v>
      </c>
      <c r="B3214" s="0" t="s">
        <v>4812</v>
      </c>
      <c r="C3214" s="0" t="s">
        <v>7194</v>
      </c>
      <c r="D3214" s="0" t="n">
        <v>10000</v>
      </c>
    </row>
    <row r="3215" customFormat="false" ht="15" hidden="false" customHeight="false" outlineLevel="0" collapsed="false">
      <c r="A3215" s="0" t="s">
        <v>14</v>
      </c>
      <c r="B3215" s="0" t="s">
        <v>4816</v>
      </c>
      <c r="C3215" s="0" t="s">
        <v>7192</v>
      </c>
      <c r="D3215" s="0" t="n">
        <v>1000</v>
      </c>
    </row>
    <row r="3216" customFormat="false" ht="15" hidden="false" customHeight="false" outlineLevel="0" collapsed="false">
      <c r="A3216" s="0" t="s">
        <v>14</v>
      </c>
      <c r="B3216" s="0" t="s">
        <v>4816</v>
      </c>
      <c r="C3216" s="0" t="s">
        <v>7193</v>
      </c>
      <c r="D3216" s="0" t="n">
        <v>1000</v>
      </c>
    </row>
    <row r="3217" customFormat="false" ht="15" hidden="false" customHeight="false" outlineLevel="0" collapsed="false">
      <c r="A3217" s="0" t="s">
        <v>14</v>
      </c>
      <c r="B3217" s="0" t="s">
        <v>4816</v>
      </c>
      <c r="C3217" s="0" t="s">
        <v>7194</v>
      </c>
      <c r="D3217" s="0" t="n">
        <v>1000</v>
      </c>
    </row>
    <row r="3218" customFormat="false" ht="15" hidden="false" customHeight="false" outlineLevel="0" collapsed="false">
      <c r="A3218" s="0" t="s">
        <v>14</v>
      </c>
      <c r="B3218" s="0" t="s">
        <v>4820</v>
      </c>
      <c r="C3218" s="0" t="s">
        <v>7192</v>
      </c>
      <c r="D3218" s="0" t="n">
        <v>1000</v>
      </c>
    </row>
    <row r="3219" customFormat="false" ht="15" hidden="false" customHeight="false" outlineLevel="0" collapsed="false">
      <c r="A3219" s="0" t="s">
        <v>14</v>
      </c>
      <c r="B3219" s="0" t="s">
        <v>4820</v>
      </c>
      <c r="C3219" s="0" t="s">
        <v>7193</v>
      </c>
      <c r="D3219" s="0" t="n">
        <v>1000</v>
      </c>
    </row>
    <row r="3220" customFormat="false" ht="15" hidden="false" customHeight="false" outlineLevel="0" collapsed="false">
      <c r="A3220" s="0" t="s">
        <v>14</v>
      </c>
      <c r="B3220" s="0" t="s">
        <v>4820</v>
      </c>
      <c r="C3220" s="0" t="s">
        <v>7194</v>
      </c>
      <c r="D3220" s="0" t="n">
        <v>1000</v>
      </c>
    </row>
    <row r="3221" customFormat="false" ht="15" hidden="false" customHeight="false" outlineLevel="0" collapsed="false">
      <c r="A3221" s="0" t="s">
        <v>14</v>
      </c>
      <c r="B3221" s="0" t="s">
        <v>4823</v>
      </c>
      <c r="C3221" s="0" t="s">
        <v>7192</v>
      </c>
      <c r="D3221" s="0" t="n">
        <v>100</v>
      </c>
    </row>
    <row r="3222" customFormat="false" ht="15" hidden="false" customHeight="false" outlineLevel="0" collapsed="false">
      <c r="A3222" s="0" t="s">
        <v>14</v>
      </c>
      <c r="B3222" s="0" t="s">
        <v>4823</v>
      </c>
      <c r="C3222" s="0" t="s">
        <v>7193</v>
      </c>
      <c r="D3222" s="0" t="n">
        <v>100</v>
      </c>
    </row>
    <row r="3223" customFormat="false" ht="15" hidden="false" customHeight="false" outlineLevel="0" collapsed="false">
      <c r="A3223" s="0" t="s">
        <v>14</v>
      </c>
      <c r="B3223" s="0" t="s">
        <v>4823</v>
      </c>
      <c r="C3223" s="0" t="s">
        <v>7194</v>
      </c>
      <c r="D3223" s="0" t="n">
        <v>100</v>
      </c>
    </row>
    <row r="3224" customFormat="false" ht="15" hidden="false" customHeight="false" outlineLevel="0" collapsed="false">
      <c r="A3224" s="0" t="s">
        <v>14</v>
      </c>
      <c r="B3224" s="0" t="s">
        <v>4827</v>
      </c>
      <c r="C3224" s="0" t="s">
        <v>7192</v>
      </c>
      <c r="D3224" s="0" t="n">
        <v>10</v>
      </c>
    </row>
    <row r="3225" customFormat="false" ht="15" hidden="false" customHeight="false" outlineLevel="0" collapsed="false">
      <c r="A3225" s="0" t="s">
        <v>14</v>
      </c>
      <c r="B3225" s="0" t="s">
        <v>4827</v>
      </c>
      <c r="C3225" s="0" t="s">
        <v>7193</v>
      </c>
      <c r="D3225" s="0" t="n">
        <v>10</v>
      </c>
    </row>
    <row r="3226" customFormat="false" ht="15" hidden="false" customHeight="false" outlineLevel="0" collapsed="false">
      <c r="A3226" s="0" t="s">
        <v>14</v>
      </c>
      <c r="B3226" s="0" t="s">
        <v>4827</v>
      </c>
      <c r="C3226" s="0" t="s">
        <v>7194</v>
      </c>
      <c r="D3226" s="0" t="n">
        <v>10</v>
      </c>
    </row>
    <row r="3227" customFormat="false" ht="15" hidden="false" customHeight="false" outlineLevel="0" collapsed="false">
      <c r="A3227" s="0" t="s">
        <v>14</v>
      </c>
      <c r="B3227" s="0" t="s">
        <v>4831</v>
      </c>
      <c r="C3227" s="0" t="s">
        <v>7192</v>
      </c>
      <c r="D3227" s="0" t="n">
        <v>4.8</v>
      </c>
    </row>
    <row r="3228" customFormat="false" ht="15" hidden="false" customHeight="false" outlineLevel="0" collapsed="false">
      <c r="A3228" s="0" t="s">
        <v>14</v>
      </c>
      <c r="B3228" s="0" t="s">
        <v>4831</v>
      </c>
      <c r="C3228" s="0" t="s">
        <v>7193</v>
      </c>
      <c r="D3228" s="0" t="n">
        <v>4.8</v>
      </c>
    </row>
    <row r="3229" customFormat="false" ht="15" hidden="false" customHeight="false" outlineLevel="0" collapsed="false">
      <c r="A3229" s="0" t="s">
        <v>14</v>
      </c>
      <c r="B3229" s="0" t="s">
        <v>4831</v>
      </c>
      <c r="C3229" s="0" t="s">
        <v>7194</v>
      </c>
      <c r="D3229" s="0" t="n">
        <v>4.8</v>
      </c>
    </row>
    <row r="3230" customFormat="false" ht="15" hidden="false" customHeight="false" outlineLevel="0" collapsed="false">
      <c r="A3230" s="0" t="s">
        <v>14</v>
      </c>
      <c r="B3230" s="0" t="s">
        <v>4836</v>
      </c>
      <c r="C3230" s="0" t="s">
        <v>7192</v>
      </c>
      <c r="D3230" s="0" t="n">
        <v>6.7399</v>
      </c>
    </row>
    <row r="3231" customFormat="false" ht="15" hidden="false" customHeight="false" outlineLevel="0" collapsed="false">
      <c r="A3231" s="0" t="s">
        <v>14</v>
      </c>
      <c r="B3231" s="0" t="s">
        <v>4836</v>
      </c>
      <c r="C3231" s="0" t="s">
        <v>7193</v>
      </c>
      <c r="D3231" s="0" t="n">
        <v>6.4029</v>
      </c>
    </row>
    <row r="3232" customFormat="false" ht="15" hidden="false" customHeight="false" outlineLevel="0" collapsed="false">
      <c r="A3232" s="0" t="s">
        <v>14</v>
      </c>
      <c r="B3232" s="0" t="s">
        <v>4836</v>
      </c>
      <c r="C3232" s="0" t="s">
        <v>7194</v>
      </c>
      <c r="D3232" s="0" t="n">
        <v>7.0769</v>
      </c>
    </row>
    <row r="3233" customFormat="false" ht="15" hidden="false" customHeight="false" outlineLevel="0" collapsed="false">
      <c r="A3233" s="0" t="s">
        <v>14</v>
      </c>
      <c r="B3233" s="0" t="s">
        <v>4842</v>
      </c>
      <c r="C3233" s="0" t="s">
        <v>7192</v>
      </c>
      <c r="D3233" s="0" t="n">
        <v>0.85923</v>
      </c>
    </row>
    <row r="3234" customFormat="false" ht="15" hidden="false" customHeight="false" outlineLevel="0" collapsed="false">
      <c r="A3234" s="0" t="s">
        <v>14</v>
      </c>
      <c r="B3234" s="0" t="s">
        <v>4842</v>
      </c>
      <c r="C3234" s="0" t="s">
        <v>7193</v>
      </c>
      <c r="D3234" s="0" t="n">
        <v>0.81627</v>
      </c>
    </row>
    <row r="3235" customFormat="false" ht="15" hidden="false" customHeight="false" outlineLevel="0" collapsed="false">
      <c r="A3235" s="0" t="s">
        <v>14</v>
      </c>
      <c r="B3235" s="0" t="s">
        <v>4842</v>
      </c>
      <c r="C3235" s="0" t="s">
        <v>7194</v>
      </c>
      <c r="D3235" s="0" t="n">
        <v>0.90219</v>
      </c>
    </row>
    <row r="3236" customFormat="false" ht="15" hidden="false" customHeight="false" outlineLevel="0" collapsed="false">
      <c r="A3236" s="0" t="s">
        <v>14</v>
      </c>
      <c r="B3236" s="0" t="s">
        <v>4847</v>
      </c>
      <c r="C3236" s="0" t="s">
        <v>7192</v>
      </c>
      <c r="D3236" s="0" t="n">
        <v>0.6</v>
      </c>
    </row>
    <row r="3237" customFormat="false" ht="15" hidden="false" customHeight="false" outlineLevel="0" collapsed="false">
      <c r="A3237" s="0" t="s">
        <v>14</v>
      </c>
      <c r="B3237" s="0" t="s">
        <v>4847</v>
      </c>
      <c r="C3237" s="0" t="s">
        <v>7193</v>
      </c>
      <c r="D3237" s="0" t="n">
        <v>0.3</v>
      </c>
    </row>
    <row r="3238" customFormat="false" ht="15" hidden="false" customHeight="false" outlineLevel="0" collapsed="false">
      <c r="A3238" s="0" t="s">
        <v>14</v>
      </c>
      <c r="B3238" s="0" t="s">
        <v>4847</v>
      </c>
      <c r="C3238" s="0" t="s">
        <v>7194</v>
      </c>
      <c r="D3238" s="0" t="n">
        <v>0.9</v>
      </c>
    </row>
    <row r="3239" customFormat="false" ht="15" hidden="false" customHeight="false" outlineLevel="0" collapsed="false">
      <c r="A3239" s="0" t="s">
        <v>14</v>
      </c>
      <c r="B3239" s="0" t="s">
        <v>4853</v>
      </c>
      <c r="C3239" s="0" t="s">
        <v>7192</v>
      </c>
      <c r="D3239" s="0" t="n">
        <v>42</v>
      </c>
    </row>
    <row r="3240" customFormat="false" ht="15" hidden="false" customHeight="false" outlineLevel="0" collapsed="false">
      <c r="A3240" s="0" t="s">
        <v>14</v>
      </c>
      <c r="B3240" s="0" t="s">
        <v>4853</v>
      </c>
      <c r="C3240" s="0" t="s">
        <v>7193</v>
      </c>
      <c r="D3240" s="0" t="n">
        <v>42</v>
      </c>
    </row>
    <row r="3241" customFormat="false" ht="15" hidden="false" customHeight="false" outlineLevel="0" collapsed="false">
      <c r="A3241" s="0" t="s">
        <v>14</v>
      </c>
      <c r="B3241" s="0" t="s">
        <v>4853</v>
      </c>
      <c r="C3241" s="0" t="s">
        <v>7194</v>
      </c>
      <c r="D3241" s="0" t="n">
        <v>42</v>
      </c>
    </row>
    <row r="3242" customFormat="false" ht="15" hidden="false" customHeight="false" outlineLevel="0" collapsed="false">
      <c r="A3242" s="0" t="s">
        <v>14</v>
      </c>
      <c r="B3242" s="0" t="s">
        <v>4858</v>
      </c>
      <c r="C3242" s="0" t="s">
        <v>7192</v>
      </c>
      <c r="D3242" s="0" t="n">
        <v>54</v>
      </c>
    </row>
    <row r="3243" customFormat="false" ht="15" hidden="false" customHeight="false" outlineLevel="0" collapsed="false">
      <c r="A3243" s="0" t="s">
        <v>14</v>
      </c>
      <c r="B3243" s="0" t="s">
        <v>4858</v>
      </c>
      <c r="C3243" s="0" t="s">
        <v>7193</v>
      </c>
      <c r="D3243" s="0" t="n">
        <v>54</v>
      </c>
    </row>
    <row r="3244" customFormat="false" ht="15" hidden="false" customHeight="false" outlineLevel="0" collapsed="false">
      <c r="A3244" s="0" t="s">
        <v>14</v>
      </c>
      <c r="B3244" s="0" t="s">
        <v>4858</v>
      </c>
      <c r="C3244" s="0" t="s">
        <v>7194</v>
      </c>
      <c r="D3244" s="0" t="n">
        <v>54</v>
      </c>
    </row>
    <row r="3245" customFormat="false" ht="15" hidden="false" customHeight="false" outlineLevel="0" collapsed="false">
      <c r="A3245" s="0" t="s">
        <v>14</v>
      </c>
      <c r="B3245" s="0" t="s">
        <v>4862</v>
      </c>
      <c r="C3245" s="0" t="s">
        <v>7192</v>
      </c>
      <c r="D3245" s="0" t="n">
        <v>128</v>
      </c>
    </row>
    <row r="3246" customFormat="false" ht="15" hidden="false" customHeight="false" outlineLevel="0" collapsed="false">
      <c r="A3246" s="0" t="s">
        <v>14</v>
      </c>
      <c r="B3246" s="0" t="s">
        <v>4862</v>
      </c>
      <c r="C3246" s="0" t="s">
        <v>7193</v>
      </c>
      <c r="D3246" s="0" t="n">
        <v>128</v>
      </c>
    </row>
    <row r="3247" customFormat="false" ht="15" hidden="false" customHeight="false" outlineLevel="0" collapsed="false">
      <c r="A3247" s="0" t="s">
        <v>14</v>
      </c>
      <c r="B3247" s="0" t="s">
        <v>4862</v>
      </c>
      <c r="C3247" s="0" t="s">
        <v>7194</v>
      </c>
      <c r="D3247" s="0" t="n">
        <v>128</v>
      </c>
    </row>
    <row r="3248" customFormat="false" ht="15" hidden="false" customHeight="false" outlineLevel="0" collapsed="false">
      <c r="A3248" s="0" t="s">
        <v>14</v>
      </c>
      <c r="B3248" s="0" t="s">
        <v>4866</v>
      </c>
      <c r="C3248" s="0" t="s">
        <v>7192</v>
      </c>
      <c r="D3248" s="0" t="n">
        <v>0.15</v>
      </c>
    </row>
    <row r="3249" customFormat="false" ht="15" hidden="false" customHeight="false" outlineLevel="0" collapsed="false">
      <c r="A3249" s="0" t="s">
        <v>14</v>
      </c>
      <c r="B3249" s="0" t="s">
        <v>4866</v>
      </c>
      <c r="C3249" s="0" t="s">
        <v>7193</v>
      </c>
      <c r="D3249" s="0" t="n">
        <v>0.05</v>
      </c>
    </row>
    <row r="3250" customFormat="false" ht="15" hidden="false" customHeight="false" outlineLevel="0" collapsed="false">
      <c r="A3250" s="0" t="s">
        <v>14</v>
      </c>
      <c r="B3250" s="0" t="s">
        <v>4866</v>
      </c>
      <c r="C3250" s="0" t="s">
        <v>7194</v>
      </c>
      <c r="D3250" s="0" t="n">
        <v>0.3</v>
      </c>
    </row>
    <row r="3251" customFormat="false" ht="15" hidden="false" customHeight="false" outlineLevel="0" collapsed="false">
      <c r="A3251" s="0" t="s">
        <v>14</v>
      </c>
      <c r="B3251" s="0" t="s">
        <v>4871</v>
      </c>
      <c r="C3251" s="0" t="s">
        <v>7192</v>
      </c>
      <c r="D3251" s="0" t="n">
        <v>0.5</v>
      </c>
    </row>
    <row r="3252" customFormat="false" ht="15" hidden="false" customHeight="false" outlineLevel="0" collapsed="false">
      <c r="A3252" s="0" t="s">
        <v>14</v>
      </c>
      <c r="B3252" s="0" t="s">
        <v>4871</v>
      </c>
      <c r="C3252" s="0" t="s">
        <v>7193</v>
      </c>
      <c r="D3252" s="0" t="n">
        <v>0.3</v>
      </c>
    </row>
    <row r="3253" customFormat="false" ht="15" hidden="false" customHeight="false" outlineLevel="0" collapsed="false">
      <c r="A3253" s="0" t="s">
        <v>14</v>
      </c>
      <c r="B3253" s="0" t="s">
        <v>4871</v>
      </c>
      <c r="C3253" s="0" t="s">
        <v>7194</v>
      </c>
      <c r="D3253" s="0" t="n">
        <v>0.75</v>
      </c>
    </row>
    <row r="3254" customFormat="false" ht="15" hidden="false" customHeight="false" outlineLevel="0" collapsed="false">
      <c r="A3254" s="0" t="s">
        <v>14</v>
      </c>
      <c r="B3254" s="0" t="s">
        <v>4876</v>
      </c>
      <c r="C3254" s="0" t="s">
        <v>7192</v>
      </c>
      <c r="D3254" s="0" t="n">
        <v>0.25</v>
      </c>
    </row>
    <row r="3255" customFormat="false" ht="15" hidden="false" customHeight="false" outlineLevel="0" collapsed="false">
      <c r="A3255" s="0" t="s">
        <v>14</v>
      </c>
      <c r="B3255" s="0" t="s">
        <v>4876</v>
      </c>
      <c r="C3255" s="0" t="s">
        <v>7193</v>
      </c>
      <c r="D3255" s="0" t="n">
        <v>0.1</v>
      </c>
    </row>
    <row r="3256" customFormat="false" ht="15" hidden="false" customHeight="false" outlineLevel="0" collapsed="false">
      <c r="A3256" s="0" t="s">
        <v>14</v>
      </c>
      <c r="B3256" s="0" t="s">
        <v>4876</v>
      </c>
      <c r="C3256" s="0" t="s">
        <v>7194</v>
      </c>
      <c r="D3256" s="0" t="n">
        <v>0.4</v>
      </c>
    </row>
    <row r="3257" customFormat="false" ht="15" hidden="false" customHeight="false" outlineLevel="0" collapsed="false">
      <c r="A3257" s="0" t="s">
        <v>14</v>
      </c>
      <c r="B3257" s="0" t="s">
        <v>4881</v>
      </c>
      <c r="C3257" s="0" t="s">
        <v>7192</v>
      </c>
      <c r="D3257" s="0" t="n">
        <v>0.6</v>
      </c>
    </row>
    <row r="3258" customFormat="false" ht="15" hidden="false" customHeight="false" outlineLevel="0" collapsed="false">
      <c r="A3258" s="0" t="s">
        <v>14</v>
      </c>
      <c r="B3258" s="0" t="s">
        <v>4881</v>
      </c>
      <c r="C3258" s="0" t="s">
        <v>7193</v>
      </c>
      <c r="D3258" s="0" t="n">
        <v>0.4</v>
      </c>
    </row>
    <row r="3259" customFormat="false" ht="15" hidden="false" customHeight="false" outlineLevel="0" collapsed="false">
      <c r="A3259" s="0" t="s">
        <v>14</v>
      </c>
      <c r="B3259" s="0" t="s">
        <v>4881</v>
      </c>
      <c r="C3259" s="0" t="s">
        <v>7194</v>
      </c>
      <c r="D3259" s="0" t="n">
        <v>0.8</v>
      </c>
    </row>
    <row r="3260" customFormat="false" ht="15" hidden="false" customHeight="false" outlineLevel="0" collapsed="false">
      <c r="A3260" s="0" t="s">
        <v>14</v>
      </c>
      <c r="B3260" s="0" t="s">
        <v>4886</v>
      </c>
      <c r="C3260" s="0" t="s">
        <v>7192</v>
      </c>
      <c r="D3260" s="0" t="n">
        <v>0.7</v>
      </c>
    </row>
    <row r="3261" customFormat="false" ht="15" hidden="false" customHeight="false" outlineLevel="0" collapsed="false">
      <c r="A3261" s="0" t="s">
        <v>14</v>
      </c>
      <c r="B3261" s="0" t="s">
        <v>4886</v>
      </c>
      <c r="C3261" s="0" t="s">
        <v>7193</v>
      </c>
      <c r="D3261" s="0" t="n">
        <v>0.5</v>
      </c>
    </row>
    <row r="3262" customFormat="false" ht="15" hidden="false" customHeight="false" outlineLevel="0" collapsed="false">
      <c r="A3262" s="0" t="s">
        <v>14</v>
      </c>
      <c r="B3262" s="0" t="s">
        <v>4886</v>
      </c>
      <c r="C3262" s="0" t="s">
        <v>7194</v>
      </c>
      <c r="D3262" s="0" t="n">
        <v>0.85</v>
      </c>
    </row>
    <row r="3263" customFormat="false" ht="15" hidden="false" customHeight="false" outlineLevel="0" collapsed="false">
      <c r="A3263" s="0" t="s">
        <v>14</v>
      </c>
      <c r="B3263" s="0" t="s">
        <v>4890</v>
      </c>
      <c r="C3263" s="0" t="s">
        <v>7192</v>
      </c>
      <c r="D3263" s="0" t="n">
        <v>0.7</v>
      </c>
    </row>
    <row r="3264" customFormat="false" ht="15" hidden="false" customHeight="false" outlineLevel="0" collapsed="false">
      <c r="A3264" s="0" t="s">
        <v>14</v>
      </c>
      <c r="B3264" s="0" t="s">
        <v>4890</v>
      </c>
      <c r="C3264" s="0" t="s">
        <v>7193</v>
      </c>
      <c r="D3264" s="0" t="n">
        <v>0.5</v>
      </c>
    </row>
    <row r="3265" customFormat="false" ht="15" hidden="false" customHeight="false" outlineLevel="0" collapsed="false">
      <c r="A3265" s="0" t="s">
        <v>14</v>
      </c>
      <c r="B3265" s="0" t="s">
        <v>4890</v>
      </c>
      <c r="C3265" s="0" t="s">
        <v>7194</v>
      </c>
      <c r="D3265" s="0" t="n">
        <v>0.85</v>
      </c>
    </row>
    <row r="3266" customFormat="false" ht="15" hidden="false" customHeight="false" outlineLevel="0" collapsed="false">
      <c r="A3266" s="0" t="s">
        <v>14</v>
      </c>
      <c r="B3266" s="0" t="s">
        <v>4894</v>
      </c>
      <c r="C3266" s="0" t="s">
        <v>7192</v>
      </c>
      <c r="D3266" s="0" t="n">
        <v>-0.2</v>
      </c>
    </row>
    <row r="3267" customFormat="false" ht="15" hidden="false" customHeight="false" outlineLevel="0" collapsed="false">
      <c r="A3267" s="0" t="s">
        <v>14</v>
      </c>
      <c r="B3267" s="0" t="s">
        <v>4894</v>
      </c>
      <c r="C3267" s="0" t="s">
        <v>7193</v>
      </c>
      <c r="D3267" s="0" t="n">
        <v>-0.4</v>
      </c>
    </row>
    <row r="3268" customFormat="false" ht="15" hidden="false" customHeight="false" outlineLevel="0" collapsed="false">
      <c r="A3268" s="0" t="s">
        <v>14</v>
      </c>
      <c r="B3268" s="0" t="s">
        <v>4894</v>
      </c>
      <c r="C3268" s="0" t="s">
        <v>7194</v>
      </c>
      <c r="D3268" s="0" t="n">
        <v>0.2</v>
      </c>
    </row>
    <row r="3269" customFormat="false" ht="15" hidden="false" customHeight="false" outlineLevel="0" collapsed="false">
      <c r="A3269" s="0" t="s">
        <v>14</v>
      </c>
      <c r="B3269" s="0" t="s">
        <v>4900</v>
      </c>
      <c r="C3269" s="0" t="s">
        <v>7192</v>
      </c>
      <c r="D3269" s="0" t="n">
        <v>-0.2</v>
      </c>
    </row>
    <row r="3270" customFormat="false" ht="15" hidden="false" customHeight="false" outlineLevel="0" collapsed="false">
      <c r="A3270" s="0" t="s">
        <v>14</v>
      </c>
      <c r="B3270" s="0" t="s">
        <v>4900</v>
      </c>
      <c r="C3270" s="0" t="s">
        <v>7193</v>
      </c>
      <c r="D3270" s="0" t="n">
        <v>-0.4</v>
      </c>
    </row>
    <row r="3271" customFormat="false" ht="15" hidden="false" customHeight="false" outlineLevel="0" collapsed="false">
      <c r="A3271" s="0" t="s">
        <v>14</v>
      </c>
      <c r="B3271" s="0" t="s">
        <v>4900</v>
      </c>
      <c r="C3271" s="0" t="s">
        <v>7194</v>
      </c>
      <c r="D3271" s="0" t="n">
        <v>0.2</v>
      </c>
    </row>
    <row r="3272" customFormat="false" ht="15" hidden="false" customHeight="false" outlineLevel="0" collapsed="false">
      <c r="A3272" s="0" t="s">
        <v>14</v>
      </c>
      <c r="B3272" s="0" t="s">
        <v>4904</v>
      </c>
      <c r="C3272" s="0" t="s">
        <v>7192</v>
      </c>
      <c r="D3272" s="0" t="n">
        <v>20</v>
      </c>
    </row>
    <row r="3273" customFormat="false" ht="15" hidden="false" customHeight="false" outlineLevel="0" collapsed="false">
      <c r="A3273" s="0" t="s">
        <v>14</v>
      </c>
      <c r="B3273" s="0" t="s">
        <v>4904</v>
      </c>
      <c r="C3273" s="0" t="s">
        <v>7193</v>
      </c>
      <c r="D3273" s="0" t="n">
        <v>5</v>
      </c>
    </row>
    <row r="3274" customFormat="false" ht="15" hidden="false" customHeight="false" outlineLevel="0" collapsed="false">
      <c r="A3274" s="0" t="s">
        <v>14</v>
      </c>
      <c r="B3274" s="0" t="s">
        <v>4904</v>
      </c>
      <c r="C3274" s="0" t="s">
        <v>7194</v>
      </c>
      <c r="D3274" s="0" t="n">
        <v>50</v>
      </c>
    </row>
    <row r="3275" customFormat="false" ht="15" hidden="false" customHeight="false" outlineLevel="0" collapsed="false">
      <c r="A3275" s="0" t="s">
        <v>14</v>
      </c>
      <c r="B3275" s="0" t="s">
        <v>4910</v>
      </c>
      <c r="C3275" s="0" t="s">
        <v>7192</v>
      </c>
      <c r="D3275" s="0" t="n">
        <v>2.24</v>
      </c>
    </row>
    <row r="3276" customFormat="false" ht="15" hidden="false" customHeight="false" outlineLevel="0" collapsed="false">
      <c r="A3276" s="0" t="s">
        <v>14</v>
      </c>
      <c r="B3276" s="0" t="s">
        <v>4910</v>
      </c>
      <c r="C3276" s="0" t="s">
        <v>7193</v>
      </c>
      <c r="D3276" s="0" t="n">
        <v>1.3</v>
      </c>
    </row>
    <row r="3277" customFormat="false" ht="15" hidden="false" customHeight="false" outlineLevel="0" collapsed="false">
      <c r="A3277" s="0" t="s">
        <v>14</v>
      </c>
      <c r="B3277" s="0" t="s">
        <v>4910</v>
      </c>
      <c r="C3277" s="0" t="s">
        <v>7194</v>
      </c>
      <c r="D3277" s="0" t="n">
        <v>3</v>
      </c>
    </row>
    <row r="3278" customFormat="false" ht="15" hidden="false" customHeight="false" outlineLevel="0" collapsed="false">
      <c r="A3278" s="0" t="s">
        <v>14</v>
      </c>
      <c r="B3278" s="0" t="s">
        <v>4916</v>
      </c>
      <c r="C3278" s="0" t="s">
        <v>7192</v>
      </c>
      <c r="D3278" s="0" t="n">
        <v>0.1</v>
      </c>
    </row>
    <row r="3279" customFormat="false" ht="15" hidden="false" customHeight="false" outlineLevel="0" collapsed="false">
      <c r="A3279" s="0" t="s">
        <v>14</v>
      </c>
      <c r="B3279" s="0" t="s">
        <v>4916</v>
      </c>
      <c r="C3279" s="0" t="s">
        <v>7193</v>
      </c>
      <c r="D3279" s="0" t="n">
        <v>0</v>
      </c>
    </row>
    <row r="3280" customFormat="false" ht="15" hidden="false" customHeight="false" outlineLevel="0" collapsed="false">
      <c r="A3280" s="0" t="s">
        <v>14</v>
      </c>
      <c r="B3280" s="0" t="s">
        <v>4916</v>
      </c>
      <c r="C3280" s="0" t="s">
        <v>7194</v>
      </c>
      <c r="D3280" s="0" t="n">
        <v>0.3</v>
      </c>
    </row>
    <row r="3281" customFormat="false" ht="15" hidden="false" customHeight="false" outlineLevel="0" collapsed="false">
      <c r="A3281" s="0" t="s">
        <v>14</v>
      </c>
      <c r="B3281" s="0" t="s">
        <v>4921</v>
      </c>
      <c r="C3281" s="0" t="s">
        <v>7192</v>
      </c>
      <c r="D3281" s="0" t="n">
        <v>0.8</v>
      </c>
    </row>
    <row r="3282" customFormat="false" ht="15" hidden="false" customHeight="false" outlineLevel="0" collapsed="false">
      <c r="A3282" s="0" t="s">
        <v>14</v>
      </c>
      <c r="B3282" s="0" t="s">
        <v>4921</v>
      </c>
      <c r="C3282" s="0" t="s">
        <v>7193</v>
      </c>
      <c r="D3282" s="0" t="n">
        <v>0.4</v>
      </c>
    </row>
    <row r="3283" customFormat="false" ht="15" hidden="false" customHeight="false" outlineLevel="0" collapsed="false">
      <c r="A3283" s="0" t="s">
        <v>14</v>
      </c>
      <c r="B3283" s="0" t="s">
        <v>4921</v>
      </c>
      <c r="C3283" s="0" t="s">
        <v>7194</v>
      </c>
      <c r="D3283" s="0" t="n">
        <v>1.6</v>
      </c>
    </row>
    <row r="3284" customFormat="false" ht="15" hidden="false" customHeight="false" outlineLevel="0" collapsed="false">
      <c r="A3284" s="0" t="s">
        <v>14</v>
      </c>
      <c r="B3284" s="0" t="s">
        <v>4926</v>
      </c>
      <c r="C3284" s="0" t="s">
        <v>7192</v>
      </c>
      <c r="D3284" s="0" t="n">
        <v>0.5</v>
      </c>
    </row>
    <row r="3285" customFormat="false" ht="15" hidden="false" customHeight="false" outlineLevel="0" collapsed="false">
      <c r="A3285" s="0" t="s">
        <v>14</v>
      </c>
      <c r="B3285" s="0" t="s">
        <v>4926</v>
      </c>
      <c r="C3285" s="0" t="s">
        <v>7193</v>
      </c>
      <c r="D3285" s="0" t="n">
        <v>0.25</v>
      </c>
    </row>
    <row r="3286" customFormat="false" ht="15" hidden="false" customHeight="false" outlineLevel="0" collapsed="false">
      <c r="A3286" s="0" t="s">
        <v>14</v>
      </c>
      <c r="B3286" s="0" t="s">
        <v>4926</v>
      </c>
      <c r="C3286" s="0" t="s">
        <v>7194</v>
      </c>
      <c r="D3286" s="0" t="n">
        <v>1</v>
      </c>
    </row>
    <row r="3287" customFormat="false" ht="15" hidden="false" customHeight="false" outlineLevel="0" collapsed="false">
      <c r="A3287" s="0" t="s">
        <v>14</v>
      </c>
      <c r="B3287" s="0" t="s">
        <v>4929</v>
      </c>
      <c r="C3287" s="0" t="s">
        <v>7192</v>
      </c>
      <c r="D3287" s="0" t="n">
        <v>0.35</v>
      </c>
    </row>
    <row r="3288" customFormat="false" ht="15" hidden="false" customHeight="false" outlineLevel="0" collapsed="false">
      <c r="A3288" s="0" t="s">
        <v>14</v>
      </c>
      <c r="B3288" s="0" t="s">
        <v>4929</v>
      </c>
      <c r="C3288" s="0" t="s">
        <v>7193</v>
      </c>
      <c r="D3288" s="0" t="n">
        <v>0.175</v>
      </c>
    </row>
    <row r="3289" customFormat="false" ht="15" hidden="false" customHeight="false" outlineLevel="0" collapsed="false">
      <c r="A3289" s="0" t="s">
        <v>14</v>
      </c>
      <c r="B3289" s="0" t="s">
        <v>4929</v>
      </c>
      <c r="C3289" s="0" t="s">
        <v>7194</v>
      </c>
      <c r="D3289" s="0" t="n">
        <v>0.7</v>
      </c>
    </row>
    <row r="3290" customFormat="false" ht="15" hidden="false" customHeight="false" outlineLevel="0" collapsed="false">
      <c r="A3290" s="0" t="s">
        <v>14</v>
      </c>
      <c r="B3290" s="0" t="s">
        <v>4932</v>
      </c>
      <c r="C3290" s="0" t="s">
        <v>7192</v>
      </c>
      <c r="D3290" s="0" t="n">
        <v>0.25</v>
      </c>
    </row>
    <row r="3291" customFormat="false" ht="15" hidden="false" customHeight="false" outlineLevel="0" collapsed="false">
      <c r="A3291" s="0" t="s">
        <v>14</v>
      </c>
      <c r="B3291" s="0" t="s">
        <v>4932</v>
      </c>
      <c r="C3291" s="0" t="s">
        <v>7193</v>
      </c>
      <c r="D3291" s="0" t="n">
        <v>0.125</v>
      </c>
    </row>
    <row r="3292" customFormat="false" ht="15" hidden="false" customHeight="false" outlineLevel="0" collapsed="false">
      <c r="A3292" s="0" t="s">
        <v>14</v>
      </c>
      <c r="B3292" s="0" t="s">
        <v>4932</v>
      </c>
      <c r="C3292" s="0" t="s">
        <v>7194</v>
      </c>
      <c r="D3292" s="0" t="n">
        <v>0.5</v>
      </c>
    </row>
    <row r="3293" customFormat="false" ht="15" hidden="false" customHeight="false" outlineLevel="0" collapsed="false">
      <c r="A3293" s="0" t="s">
        <v>14</v>
      </c>
      <c r="B3293" s="0" t="s">
        <v>4935</v>
      </c>
      <c r="C3293" s="0" t="s">
        <v>7192</v>
      </c>
      <c r="D3293" s="0" t="n">
        <v>0.15</v>
      </c>
    </row>
    <row r="3294" customFormat="false" ht="15" hidden="false" customHeight="false" outlineLevel="0" collapsed="false">
      <c r="A3294" s="0" t="s">
        <v>14</v>
      </c>
      <c r="B3294" s="0" t="s">
        <v>4935</v>
      </c>
      <c r="C3294" s="0" t="s">
        <v>7193</v>
      </c>
      <c r="D3294" s="0" t="n">
        <v>0.05</v>
      </c>
    </row>
    <row r="3295" customFormat="false" ht="15" hidden="false" customHeight="false" outlineLevel="0" collapsed="false">
      <c r="A3295" s="0" t="s">
        <v>14</v>
      </c>
      <c r="B3295" s="0" t="s">
        <v>4935</v>
      </c>
      <c r="C3295" s="0" t="s">
        <v>7194</v>
      </c>
      <c r="D3295" s="0" t="n">
        <v>0.25</v>
      </c>
    </row>
    <row r="3296" customFormat="false" ht="15" hidden="false" customHeight="false" outlineLevel="0" collapsed="false">
      <c r="A3296" s="0" t="s">
        <v>14</v>
      </c>
      <c r="B3296" s="0" t="s">
        <v>4940</v>
      </c>
      <c r="C3296" s="0" t="s">
        <v>7192</v>
      </c>
      <c r="D3296" s="0" t="n">
        <v>-0.7</v>
      </c>
    </row>
    <row r="3297" customFormat="false" ht="15" hidden="false" customHeight="false" outlineLevel="0" collapsed="false">
      <c r="A3297" s="0" t="s">
        <v>14</v>
      </c>
      <c r="B3297" s="0" t="s">
        <v>4940</v>
      </c>
      <c r="C3297" s="0" t="s">
        <v>7193</v>
      </c>
      <c r="D3297" s="0" t="n">
        <v>-1.05</v>
      </c>
    </row>
    <row r="3298" customFormat="false" ht="15" hidden="false" customHeight="false" outlineLevel="0" collapsed="false">
      <c r="A3298" s="0" t="s">
        <v>14</v>
      </c>
      <c r="B3298" s="0" t="s">
        <v>4940</v>
      </c>
      <c r="C3298" s="0" t="s">
        <v>7194</v>
      </c>
      <c r="D3298" s="0" t="n">
        <v>-0.35</v>
      </c>
    </row>
    <row r="3299" customFormat="false" ht="15" hidden="false" customHeight="false" outlineLevel="0" collapsed="false">
      <c r="A3299" s="0" t="s">
        <v>14</v>
      </c>
      <c r="B3299" s="0" t="s">
        <v>4946</v>
      </c>
      <c r="C3299" s="0" t="s">
        <v>7192</v>
      </c>
      <c r="D3299" s="0" t="n">
        <v>-0.3</v>
      </c>
    </row>
    <row r="3300" customFormat="false" ht="15" hidden="false" customHeight="false" outlineLevel="0" collapsed="false">
      <c r="A3300" s="0" t="s">
        <v>14</v>
      </c>
      <c r="B3300" s="0" t="s">
        <v>4946</v>
      </c>
      <c r="C3300" s="0" t="s">
        <v>7193</v>
      </c>
      <c r="D3300" s="0" t="n">
        <v>-0.45</v>
      </c>
    </row>
    <row r="3301" customFormat="false" ht="15" hidden="false" customHeight="false" outlineLevel="0" collapsed="false">
      <c r="A3301" s="0" t="s">
        <v>14</v>
      </c>
      <c r="B3301" s="0" t="s">
        <v>4946</v>
      </c>
      <c r="C3301" s="0" t="s">
        <v>7194</v>
      </c>
      <c r="D3301" s="0" t="n">
        <v>-0.15</v>
      </c>
    </row>
    <row r="3302" customFormat="false" ht="15" hidden="false" customHeight="false" outlineLevel="0" collapsed="false">
      <c r="A3302" s="0" t="s">
        <v>14</v>
      </c>
      <c r="B3302" s="0" t="s">
        <v>4950</v>
      </c>
      <c r="C3302" s="0" t="s">
        <v>7192</v>
      </c>
      <c r="D3302" s="0" t="n">
        <v>0.3</v>
      </c>
    </row>
    <row r="3303" customFormat="false" ht="15" hidden="false" customHeight="false" outlineLevel="0" collapsed="false">
      <c r="A3303" s="0" t="s">
        <v>14</v>
      </c>
      <c r="B3303" s="0" t="s">
        <v>4950</v>
      </c>
      <c r="C3303" s="0" t="s">
        <v>7193</v>
      </c>
      <c r="D3303" s="0" t="n">
        <v>0.1</v>
      </c>
    </row>
    <row r="3304" customFormat="false" ht="15" hidden="false" customHeight="false" outlineLevel="0" collapsed="false">
      <c r="A3304" s="0" t="s">
        <v>14</v>
      </c>
      <c r="B3304" s="0" t="s">
        <v>4950</v>
      </c>
      <c r="C3304" s="0" t="s">
        <v>7194</v>
      </c>
      <c r="D3304" s="0" t="n">
        <v>1</v>
      </c>
    </row>
    <row r="3305" customFormat="false" ht="15" hidden="false" customHeight="false" outlineLevel="0" collapsed="false">
      <c r="A3305" s="0" t="s">
        <v>14</v>
      </c>
      <c r="B3305" s="0" t="s">
        <v>4955</v>
      </c>
      <c r="C3305" s="0" t="s">
        <v>7192</v>
      </c>
      <c r="D3305" s="0" t="n">
        <v>1</v>
      </c>
    </row>
    <row r="3306" customFormat="false" ht="15" hidden="false" customHeight="false" outlineLevel="0" collapsed="false">
      <c r="A3306" s="0" t="s">
        <v>14</v>
      </c>
      <c r="B3306" s="0" t="s">
        <v>4955</v>
      </c>
      <c r="C3306" s="0" t="s">
        <v>7193</v>
      </c>
      <c r="D3306" s="0" t="n">
        <v>0.7</v>
      </c>
    </row>
    <row r="3307" customFormat="false" ht="15" hidden="false" customHeight="false" outlineLevel="0" collapsed="false">
      <c r="A3307" s="0" t="s">
        <v>14</v>
      </c>
      <c r="B3307" s="0" t="s">
        <v>4955</v>
      </c>
      <c r="C3307" s="0" t="s">
        <v>7194</v>
      </c>
      <c r="D3307" s="0" t="n">
        <v>1.5</v>
      </c>
    </row>
    <row r="3308" customFormat="false" ht="15" hidden="false" customHeight="false" outlineLevel="0" collapsed="false">
      <c r="A3308" s="0" t="s">
        <v>14</v>
      </c>
      <c r="B3308" s="0" t="s">
        <v>4960</v>
      </c>
      <c r="C3308" s="0" t="s">
        <v>7192</v>
      </c>
      <c r="D3308" s="0" t="n">
        <v>0.15</v>
      </c>
    </row>
    <row r="3309" customFormat="false" ht="15" hidden="false" customHeight="false" outlineLevel="0" collapsed="false">
      <c r="A3309" s="0" t="s">
        <v>14</v>
      </c>
      <c r="B3309" s="0" t="s">
        <v>4960</v>
      </c>
      <c r="C3309" s="0" t="s">
        <v>7193</v>
      </c>
      <c r="D3309" s="0" t="n">
        <v>0.05</v>
      </c>
    </row>
    <row r="3310" customFormat="false" ht="15" hidden="false" customHeight="false" outlineLevel="0" collapsed="false">
      <c r="A3310" s="0" t="s">
        <v>14</v>
      </c>
      <c r="B3310" s="0" t="s">
        <v>4960</v>
      </c>
      <c r="C3310" s="0" t="s">
        <v>7194</v>
      </c>
      <c r="D3310" s="0" t="n">
        <v>0.3</v>
      </c>
    </row>
    <row r="3311" customFormat="false" ht="15" hidden="false" customHeight="false" outlineLevel="0" collapsed="false">
      <c r="A3311" s="0" t="s">
        <v>14</v>
      </c>
      <c r="B3311" s="0" t="s">
        <v>4965</v>
      </c>
      <c r="C3311" s="0" t="s">
        <v>7192</v>
      </c>
      <c r="D3311" s="0" t="n">
        <v>0.5</v>
      </c>
    </row>
    <row r="3312" customFormat="false" ht="15" hidden="false" customHeight="false" outlineLevel="0" collapsed="false">
      <c r="A3312" s="0" t="s">
        <v>14</v>
      </c>
      <c r="B3312" s="0" t="s">
        <v>4965</v>
      </c>
      <c r="C3312" s="0" t="s">
        <v>7193</v>
      </c>
      <c r="D3312" s="0" t="n">
        <v>0</v>
      </c>
    </row>
    <row r="3313" customFormat="false" ht="15" hidden="false" customHeight="false" outlineLevel="0" collapsed="false">
      <c r="A3313" s="0" t="s">
        <v>14</v>
      </c>
      <c r="B3313" s="0" t="s">
        <v>4965</v>
      </c>
      <c r="C3313" s="0" t="s">
        <v>7194</v>
      </c>
      <c r="D3313" s="0" t="n">
        <v>1.5</v>
      </c>
    </row>
    <row r="3314" customFormat="false" ht="15" hidden="false" customHeight="false" outlineLevel="0" collapsed="false">
      <c r="A3314" s="0" t="s">
        <v>14</v>
      </c>
      <c r="B3314" s="0" t="s">
        <v>4970</v>
      </c>
      <c r="C3314" s="0" t="s">
        <v>7192</v>
      </c>
      <c r="D3314" s="0" t="n">
        <v>0.5</v>
      </c>
    </row>
    <row r="3315" customFormat="false" ht="15" hidden="false" customHeight="false" outlineLevel="0" collapsed="false">
      <c r="A3315" s="0" t="s">
        <v>14</v>
      </c>
      <c r="B3315" s="0" t="s">
        <v>4970</v>
      </c>
      <c r="C3315" s="0" t="s">
        <v>7193</v>
      </c>
      <c r="D3315" s="0" t="n">
        <v>0.2</v>
      </c>
    </row>
    <row r="3316" customFormat="false" ht="15" hidden="false" customHeight="false" outlineLevel="0" collapsed="false">
      <c r="A3316" s="0" t="s">
        <v>14</v>
      </c>
      <c r="B3316" s="0" t="s">
        <v>4970</v>
      </c>
      <c r="C3316" s="0" t="s">
        <v>7194</v>
      </c>
      <c r="D3316" s="0" t="n">
        <v>1</v>
      </c>
    </row>
    <row r="3317" customFormat="false" ht="15" hidden="false" customHeight="false" outlineLevel="0" collapsed="false">
      <c r="A3317" s="0" t="s">
        <v>14</v>
      </c>
      <c r="B3317" s="0" t="s">
        <v>4975</v>
      </c>
      <c r="C3317" s="0" t="s">
        <v>7192</v>
      </c>
      <c r="D3317" s="0" t="n">
        <v>0.3</v>
      </c>
    </row>
    <row r="3318" customFormat="false" ht="15" hidden="false" customHeight="false" outlineLevel="0" collapsed="false">
      <c r="A3318" s="0" t="s">
        <v>14</v>
      </c>
      <c r="B3318" s="0" t="s">
        <v>4975</v>
      </c>
      <c r="C3318" s="0" t="s">
        <v>7193</v>
      </c>
      <c r="D3318" s="0" t="n">
        <v>0.1</v>
      </c>
    </row>
    <row r="3319" customFormat="false" ht="15" hidden="false" customHeight="false" outlineLevel="0" collapsed="false">
      <c r="A3319" s="0" t="s">
        <v>14</v>
      </c>
      <c r="B3319" s="0" t="s">
        <v>4975</v>
      </c>
      <c r="C3319" s="0" t="s">
        <v>7194</v>
      </c>
      <c r="D3319" s="0" t="n">
        <v>0.6</v>
      </c>
    </row>
    <row r="3320" customFormat="false" ht="15" hidden="false" customHeight="false" outlineLevel="0" collapsed="false">
      <c r="A3320" s="0" t="s">
        <v>14</v>
      </c>
      <c r="B3320" s="0" t="s">
        <v>4978</v>
      </c>
      <c r="C3320" s="0" t="s">
        <v>7192</v>
      </c>
      <c r="D3320" s="0" t="n">
        <v>0.2</v>
      </c>
    </row>
    <row r="3321" customFormat="false" ht="15" hidden="false" customHeight="false" outlineLevel="0" collapsed="false">
      <c r="A3321" s="0" t="s">
        <v>14</v>
      </c>
      <c r="B3321" s="0" t="s">
        <v>4978</v>
      </c>
      <c r="C3321" s="0" t="s">
        <v>7193</v>
      </c>
      <c r="D3321" s="0" t="n">
        <v>0.05</v>
      </c>
    </row>
    <row r="3322" customFormat="false" ht="15" hidden="false" customHeight="false" outlineLevel="0" collapsed="false">
      <c r="A3322" s="0" t="s">
        <v>14</v>
      </c>
      <c r="B3322" s="0" t="s">
        <v>4978</v>
      </c>
      <c r="C3322" s="0" t="s">
        <v>7194</v>
      </c>
      <c r="D3322" s="0" t="n">
        <v>0.4</v>
      </c>
    </row>
    <row r="3323" customFormat="false" ht="15" hidden="false" customHeight="false" outlineLevel="0" collapsed="false">
      <c r="A3323" s="0" t="s">
        <v>14</v>
      </c>
      <c r="B3323" s="0" t="s">
        <v>4981</v>
      </c>
      <c r="C3323" s="0" t="s">
        <v>7192</v>
      </c>
      <c r="D3323" s="0" t="n">
        <v>0.15</v>
      </c>
    </row>
    <row r="3324" customFormat="false" ht="15" hidden="false" customHeight="false" outlineLevel="0" collapsed="false">
      <c r="A3324" s="0" t="s">
        <v>14</v>
      </c>
      <c r="B3324" s="0" t="s">
        <v>4981</v>
      </c>
      <c r="C3324" s="0" t="s">
        <v>7193</v>
      </c>
      <c r="D3324" s="0" t="n">
        <v>0</v>
      </c>
    </row>
    <row r="3325" customFormat="false" ht="15" hidden="false" customHeight="false" outlineLevel="0" collapsed="false">
      <c r="A3325" s="0" t="s">
        <v>14</v>
      </c>
      <c r="B3325" s="0" t="s">
        <v>4981</v>
      </c>
      <c r="C3325" s="0" t="s">
        <v>7194</v>
      </c>
      <c r="D3325" s="0" t="n">
        <v>0.3</v>
      </c>
    </row>
    <row r="3326" customFormat="false" ht="15" hidden="false" customHeight="false" outlineLevel="0" collapsed="false">
      <c r="A3326" s="0" t="s">
        <v>14</v>
      </c>
      <c r="B3326" s="0" t="s">
        <v>4983</v>
      </c>
      <c r="C3326" s="0" t="s">
        <v>7192</v>
      </c>
      <c r="D3326" s="0" t="n">
        <v>0.6</v>
      </c>
    </row>
    <row r="3327" customFormat="false" ht="15" hidden="false" customHeight="false" outlineLevel="0" collapsed="false">
      <c r="A3327" s="0" t="s">
        <v>14</v>
      </c>
      <c r="B3327" s="0" t="s">
        <v>4983</v>
      </c>
      <c r="C3327" s="0" t="s">
        <v>7193</v>
      </c>
      <c r="D3327" s="0" t="n">
        <v>0.4</v>
      </c>
    </row>
    <row r="3328" customFormat="false" ht="15" hidden="false" customHeight="false" outlineLevel="0" collapsed="false">
      <c r="A3328" s="0" t="s">
        <v>14</v>
      </c>
      <c r="B3328" s="0" t="s">
        <v>4983</v>
      </c>
      <c r="C3328" s="0" t="s">
        <v>7194</v>
      </c>
      <c r="D3328" s="0" t="n">
        <v>0.8</v>
      </c>
    </row>
    <row r="3329" customFormat="false" ht="15" hidden="false" customHeight="false" outlineLevel="0" collapsed="false">
      <c r="A3329" s="0" t="s">
        <v>14</v>
      </c>
      <c r="B3329" s="0" t="s">
        <v>4987</v>
      </c>
      <c r="C3329" s="0" t="s">
        <v>7192</v>
      </c>
      <c r="D3329" s="0" t="n">
        <v>0.3</v>
      </c>
    </row>
    <row r="3330" customFormat="false" ht="15" hidden="false" customHeight="false" outlineLevel="0" collapsed="false">
      <c r="A3330" s="0" t="s">
        <v>14</v>
      </c>
      <c r="B3330" s="0" t="s">
        <v>4987</v>
      </c>
      <c r="C3330" s="0" t="s">
        <v>7193</v>
      </c>
      <c r="D3330" s="0" t="n">
        <v>0.15</v>
      </c>
    </row>
    <row r="3331" customFormat="false" ht="15" hidden="false" customHeight="false" outlineLevel="0" collapsed="false">
      <c r="A3331" s="0" t="s">
        <v>14</v>
      </c>
      <c r="B3331" s="0" t="s">
        <v>4987</v>
      </c>
      <c r="C3331" s="0" t="s">
        <v>7194</v>
      </c>
      <c r="D3331" s="0" t="n">
        <v>0.45</v>
      </c>
    </row>
    <row r="3332" customFormat="false" ht="15" hidden="false" customHeight="false" outlineLevel="0" collapsed="false">
      <c r="A3332" s="0" t="s">
        <v>14</v>
      </c>
      <c r="B3332" s="0" t="s">
        <v>4992</v>
      </c>
      <c r="C3332" s="0" t="s">
        <v>7192</v>
      </c>
      <c r="D3332" s="0" t="n">
        <v>0.3</v>
      </c>
    </row>
    <row r="3333" customFormat="false" ht="15" hidden="false" customHeight="false" outlineLevel="0" collapsed="false">
      <c r="A3333" s="0" t="s">
        <v>14</v>
      </c>
      <c r="B3333" s="0" t="s">
        <v>4992</v>
      </c>
      <c r="C3333" s="0" t="s">
        <v>7193</v>
      </c>
      <c r="D3333" s="0" t="n">
        <v>0.1</v>
      </c>
    </row>
    <row r="3334" customFormat="false" ht="15" hidden="false" customHeight="false" outlineLevel="0" collapsed="false">
      <c r="A3334" s="0" t="s">
        <v>14</v>
      </c>
      <c r="B3334" s="0" t="s">
        <v>4992</v>
      </c>
      <c r="C3334" s="0" t="s">
        <v>7194</v>
      </c>
      <c r="D3334" s="0" t="n">
        <v>0.5</v>
      </c>
    </row>
    <row r="3335" customFormat="false" ht="15" hidden="false" customHeight="false" outlineLevel="0" collapsed="false">
      <c r="A3335" s="0" t="s">
        <v>14</v>
      </c>
      <c r="B3335" s="0" t="s">
        <v>4997</v>
      </c>
      <c r="C3335" s="0" t="s">
        <v>7192</v>
      </c>
      <c r="D3335" s="0" t="n">
        <v>0.2</v>
      </c>
    </row>
    <row r="3336" customFormat="false" ht="15" hidden="false" customHeight="false" outlineLevel="0" collapsed="false">
      <c r="A3336" s="0" t="s">
        <v>14</v>
      </c>
      <c r="B3336" s="0" t="s">
        <v>4997</v>
      </c>
      <c r="C3336" s="0" t="s">
        <v>7193</v>
      </c>
      <c r="D3336" s="0" t="n">
        <v>0.1</v>
      </c>
    </row>
    <row r="3337" customFormat="false" ht="15" hidden="false" customHeight="false" outlineLevel="0" collapsed="false">
      <c r="A3337" s="0" t="s">
        <v>14</v>
      </c>
      <c r="B3337" s="0" t="s">
        <v>4997</v>
      </c>
      <c r="C3337" s="0" t="s">
        <v>7194</v>
      </c>
      <c r="D3337" s="0" t="n">
        <v>0.3</v>
      </c>
    </row>
    <row r="3338" customFormat="false" ht="15" hidden="false" customHeight="false" outlineLevel="0" collapsed="false">
      <c r="A3338" s="0" t="s">
        <v>14</v>
      </c>
      <c r="B3338" s="0" t="s">
        <v>5002</v>
      </c>
      <c r="C3338" s="0" t="s">
        <v>7192</v>
      </c>
      <c r="D3338" s="0" t="n">
        <v>0</v>
      </c>
    </row>
    <row r="3339" customFormat="false" ht="15" hidden="false" customHeight="false" outlineLevel="0" collapsed="false">
      <c r="A3339" s="0" t="s">
        <v>14</v>
      </c>
      <c r="B3339" s="0" t="s">
        <v>5002</v>
      </c>
      <c r="C3339" s="0" t="s">
        <v>7193</v>
      </c>
      <c r="D3339" s="0" t="n">
        <v>-0.2</v>
      </c>
    </row>
    <row r="3340" customFormat="false" ht="15" hidden="false" customHeight="false" outlineLevel="0" collapsed="false">
      <c r="A3340" s="0" t="s">
        <v>14</v>
      </c>
      <c r="B3340" s="0" t="s">
        <v>5002</v>
      </c>
      <c r="C3340" s="0" t="s">
        <v>7194</v>
      </c>
      <c r="D3340" s="0" t="n">
        <v>0.2</v>
      </c>
    </row>
    <row r="3341" customFormat="false" ht="15" hidden="false" customHeight="false" outlineLevel="0" collapsed="false">
      <c r="A3341" s="0" t="s">
        <v>14</v>
      </c>
      <c r="B3341" s="0" t="s">
        <v>5007</v>
      </c>
      <c r="C3341" s="0" t="s">
        <v>7192</v>
      </c>
      <c r="D3341" s="0" t="n">
        <v>0.15</v>
      </c>
    </row>
    <row r="3342" customFormat="false" ht="15" hidden="false" customHeight="false" outlineLevel="0" collapsed="false">
      <c r="A3342" s="0" t="s">
        <v>14</v>
      </c>
      <c r="B3342" s="0" t="s">
        <v>5007</v>
      </c>
      <c r="C3342" s="0" t="s">
        <v>7193</v>
      </c>
      <c r="D3342" s="0" t="n">
        <v>0.05</v>
      </c>
    </row>
    <row r="3343" customFormat="false" ht="15" hidden="false" customHeight="false" outlineLevel="0" collapsed="false">
      <c r="A3343" s="0" t="s">
        <v>14</v>
      </c>
      <c r="B3343" s="0" t="s">
        <v>5007</v>
      </c>
      <c r="C3343" s="0" t="s">
        <v>7194</v>
      </c>
      <c r="D3343" s="0" t="n">
        <v>0.4</v>
      </c>
    </row>
    <row r="3344" customFormat="false" ht="15" hidden="false" customHeight="false" outlineLevel="0" collapsed="false">
      <c r="A3344" s="0" t="s">
        <v>14</v>
      </c>
      <c r="B3344" s="0" t="s">
        <v>5011</v>
      </c>
      <c r="C3344" s="0" t="s">
        <v>7192</v>
      </c>
      <c r="D3344" s="0" t="n">
        <v>17.5</v>
      </c>
    </row>
    <row r="3345" customFormat="false" ht="15" hidden="false" customHeight="false" outlineLevel="0" collapsed="false">
      <c r="A3345" s="0" t="s">
        <v>14</v>
      </c>
      <c r="B3345" s="0" t="s">
        <v>5011</v>
      </c>
      <c r="C3345" s="0" t="s">
        <v>7193</v>
      </c>
      <c r="D3345" s="0" t="n">
        <v>15</v>
      </c>
    </row>
    <row r="3346" customFormat="false" ht="15" hidden="false" customHeight="false" outlineLevel="0" collapsed="false">
      <c r="A3346" s="0" t="s">
        <v>14</v>
      </c>
      <c r="B3346" s="0" t="s">
        <v>5011</v>
      </c>
      <c r="C3346" s="0" t="s">
        <v>7194</v>
      </c>
      <c r="D3346" s="0" t="n">
        <v>20</v>
      </c>
    </row>
    <row r="3347" customFormat="false" ht="15" hidden="false" customHeight="false" outlineLevel="0" collapsed="false">
      <c r="A3347" s="0" t="s">
        <v>14</v>
      </c>
      <c r="B3347" s="0" t="s">
        <v>5016</v>
      </c>
      <c r="C3347" s="0" t="s">
        <v>7192</v>
      </c>
      <c r="D3347" s="0" t="n">
        <v>20</v>
      </c>
    </row>
    <row r="3348" customFormat="false" ht="15" hidden="false" customHeight="false" outlineLevel="0" collapsed="false">
      <c r="A3348" s="0" t="s">
        <v>14</v>
      </c>
      <c r="B3348" s="0" t="s">
        <v>5016</v>
      </c>
      <c r="C3348" s="0" t="s">
        <v>7193</v>
      </c>
      <c r="D3348" s="0" t="n">
        <v>10</v>
      </c>
    </row>
    <row r="3349" customFormat="false" ht="15" hidden="false" customHeight="false" outlineLevel="0" collapsed="false">
      <c r="A3349" s="0" t="s">
        <v>14</v>
      </c>
      <c r="B3349" s="0" t="s">
        <v>5016</v>
      </c>
      <c r="C3349" s="0" t="s">
        <v>7194</v>
      </c>
      <c r="D3349" s="0" t="n">
        <v>40</v>
      </c>
    </row>
    <row r="3350" customFormat="false" ht="15" hidden="false" customHeight="false" outlineLevel="0" collapsed="false">
      <c r="A3350" s="0" t="s">
        <v>14</v>
      </c>
      <c r="B3350" s="0" t="s">
        <v>5022</v>
      </c>
      <c r="C3350" s="0" t="s">
        <v>7192</v>
      </c>
      <c r="D3350" s="0" t="n">
        <v>0.9</v>
      </c>
    </row>
    <row r="3351" customFormat="false" ht="15" hidden="false" customHeight="false" outlineLevel="0" collapsed="false">
      <c r="A3351" s="0" t="s">
        <v>14</v>
      </c>
      <c r="B3351" s="0" t="s">
        <v>5022</v>
      </c>
      <c r="C3351" s="0" t="s">
        <v>7193</v>
      </c>
      <c r="D3351" s="0" t="n">
        <v>0.7</v>
      </c>
    </row>
    <row r="3352" customFormat="false" ht="15" hidden="false" customHeight="false" outlineLevel="0" collapsed="false">
      <c r="A3352" s="0" t="s">
        <v>14</v>
      </c>
      <c r="B3352" s="0" t="s">
        <v>5022</v>
      </c>
      <c r="C3352" s="0" t="s">
        <v>7194</v>
      </c>
      <c r="D3352" s="0" t="n">
        <v>1</v>
      </c>
    </row>
    <row r="3353" customFormat="false" ht="15" hidden="false" customHeight="false" outlineLevel="0" collapsed="false">
      <c r="A3353" s="0" t="s">
        <v>14</v>
      </c>
      <c r="B3353" s="0" t="s">
        <v>5027</v>
      </c>
      <c r="C3353" s="0" t="s">
        <v>7192</v>
      </c>
      <c r="D3353" s="0" t="n">
        <v>10</v>
      </c>
    </row>
    <row r="3354" customFormat="false" ht="15" hidden="false" customHeight="false" outlineLevel="0" collapsed="false">
      <c r="A3354" s="0" t="s">
        <v>14</v>
      </c>
      <c r="B3354" s="0" t="s">
        <v>5027</v>
      </c>
      <c r="C3354" s="0" t="s">
        <v>7193</v>
      </c>
      <c r="D3354" s="0" t="n">
        <v>3</v>
      </c>
    </row>
    <row r="3355" customFormat="false" ht="15" hidden="false" customHeight="false" outlineLevel="0" collapsed="false">
      <c r="A3355" s="0" t="s">
        <v>14</v>
      </c>
      <c r="B3355" s="0" t="s">
        <v>5027</v>
      </c>
      <c r="C3355" s="0" t="s">
        <v>7194</v>
      </c>
      <c r="D3355" s="0" t="n">
        <v>30</v>
      </c>
    </row>
    <row r="3356" customFormat="false" ht="15" hidden="false" customHeight="false" outlineLevel="0" collapsed="false">
      <c r="A3356" s="0" t="s">
        <v>14</v>
      </c>
      <c r="B3356" s="0" t="s">
        <v>5033</v>
      </c>
      <c r="C3356" s="0" t="s">
        <v>7192</v>
      </c>
      <c r="D3356" s="0" t="n">
        <v>0.1</v>
      </c>
    </row>
    <row r="3357" customFormat="false" ht="15" hidden="false" customHeight="false" outlineLevel="0" collapsed="false">
      <c r="A3357" s="0" t="s">
        <v>14</v>
      </c>
      <c r="B3357" s="0" t="s">
        <v>5033</v>
      </c>
      <c r="C3357" s="0" t="s">
        <v>7193</v>
      </c>
      <c r="D3357" s="0" t="n">
        <v>-0.2</v>
      </c>
    </row>
    <row r="3358" customFormat="false" ht="15" hidden="false" customHeight="false" outlineLevel="0" collapsed="false">
      <c r="A3358" s="0" t="s">
        <v>14</v>
      </c>
      <c r="B3358" s="0" t="s">
        <v>5033</v>
      </c>
      <c r="C3358" s="0" t="s">
        <v>7194</v>
      </c>
      <c r="D3358" s="0" t="n">
        <v>0.5</v>
      </c>
    </row>
    <row r="3359" customFormat="false" ht="15" hidden="false" customHeight="false" outlineLevel="0" collapsed="false">
      <c r="A3359" s="0" t="s">
        <v>14</v>
      </c>
      <c r="B3359" s="0" t="s">
        <v>5039</v>
      </c>
      <c r="C3359" s="0" t="s">
        <v>7192</v>
      </c>
      <c r="D3359" s="0" t="n">
        <v>1</v>
      </c>
    </row>
    <row r="3360" customFormat="false" ht="15" hidden="false" customHeight="false" outlineLevel="0" collapsed="false">
      <c r="A3360" s="0" t="s">
        <v>14</v>
      </c>
      <c r="B3360" s="0" t="s">
        <v>5039</v>
      </c>
      <c r="C3360" s="0" t="s">
        <v>7193</v>
      </c>
      <c r="D3360" s="0" t="n">
        <v>0.3</v>
      </c>
    </row>
    <row r="3361" customFormat="false" ht="15" hidden="false" customHeight="false" outlineLevel="0" collapsed="false">
      <c r="A3361" s="0" t="s">
        <v>14</v>
      </c>
      <c r="B3361" s="0" t="s">
        <v>5039</v>
      </c>
      <c r="C3361" s="0" t="s">
        <v>7194</v>
      </c>
      <c r="D3361" s="0" t="n">
        <v>3</v>
      </c>
    </row>
    <row r="3362" customFormat="false" ht="15" hidden="false" customHeight="false" outlineLevel="0" collapsed="false">
      <c r="A3362" s="0" t="s">
        <v>14</v>
      </c>
      <c r="B3362" s="0" t="s">
        <v>5045</v>
      </c>
      <c r="C3362" s="0" t="s">
        <v>7192</v>
      </c>
      <c r="D3362" s="0" t="n">
        <v>3</v>
      </c>
    </row>
    <row r="3363" customFormat="false" ht="15" hidden="false" customHeight="false" outlineLevel="0" collapsed="false">
      <c r="A3363" s="0" t="s">
        <v>14</v>
      </c>
      <c r="B3363" s="0" t="s">
        <v>5045</v>
      </c>
      <c r="C3363" s="0" t="s">
        <v>7193</v>
      </c>
      <c r="D3363" s="0" t="n">
        <v>1</v>
      </c>
    </row>
    <row r="3364" customFormat="false" ht="15" hidden="false" customHeight="false" outlineLevel="0" collapsed="false">
      <c r="A3364" s="0" t="s">
        <v>14</v>
      </c>
      <c r="B3364" s="0" t="s">
        <v>5045</v>
      </c>
      <c r="C3364" s="0" t="s">
        <v>7194</v>
      </c>
      <c r="D3364" s="0" t="n">
        <v>10</v>
      </c>
    </row>
    <row r="3365" customFormat="false" ht="15" hidden="false" customHeight="false" outlineLevel="0" collapsed="false">
      <c r="A3365" s="0" t="s">
        <v>14</v>
      </c>
      <c r="B3365" s="0" t="s">
        <v>5050</v>
      </c>
      <c r="C3365" s="0" t="s">
        <v>7192</v>
      </c>
      <c r="D3365" s="0" t="n">
        <v>0.3</v>
      </c>
    </row>
    <row r="3366" customFormat="false" ht="15" hidden="false" customHeight="false" outlineLevel="0" collapsed="false">
      <c r="A3366" s="0" t="s">
        <v>14</v>
      </c>
      <c r="B3366" s="0" t="s">
        <v>5050</v>
      </c>
      <c r="C3366" s="0" t="s">
        <v>7193</v>
      </c>
      <c r="D3366" s="0" t="n">
        <v>0.1</v>
      </c>
    </row>
    <row r="3367" customFormat="false" ht="15" hidden="false" customHeight="false" outlineLevel="0" collapsed="false">
      <c r="A3367" s="0" t="s">
        <v>14</v>
      </c>
      <c r="B3367" s="0" t="s">
        <v>5050</v>
      </c>
      <c r="C3367" s="0" t="s">
        <v>7194</v>
      </c>
      <c r="D3367" s="0" t="n">
        <v>0.6</v>
      </c>
    </row>
    <row r="3368" customFormat="false" ht="15" hidden="false" customHeight="false" outlineLevel="0" collapsed="false">
      <c r="A3368" s="0" t="s">
        <v>14</v>
      </c>
      <c r="B3368" s="0" t="s">
        <v>5054</v>
      </c>
      <c r="C3368" s="0" t="s">
        <v>7192</v>
      </c>
      <c r="D3368" s="0" t="n">
        <v>0</v>
      </c>
    </row>
    <row r="3369" customFormat="false" ht="15" hidden="false" customHeight="false" outlineLevel="0" collapsed="false">
      <c r="A3369" s="0" t="s">
        <v>14</v>
      </c>
      <c r="B3369" s="0" t="s">
        <v>5054</v>
      </c>
      <c r="C3369" s="0" t="s">
        <v>7193</v>
      </c>
      <c r="D3369" s="0" t="n">
        <v>0</v>
      </c>
    </row>
    <row r="3370" customFormat="false" ht="15" hidden="false" customHeight="false" outlineLevel="0" collapsed="false">
      <c r="A3370" s="0" t="s">
        <v>14</v>
      </c>
      <c r="B3370" s="0" t="s">
        <v>5054</v>
      </c>
      <c r="C3370" s="0" t="s">
        <v>7194</v>
      </c>
      <c r="D3370" s="0" t="n">
        <v>1</v>
      </c>
    </row>
    <row r="3371" customFormat="false" ht="15" hidden="false" customHeight="false" outlineLevel="0" collapsed="false">
      <c r="A3371" s="0" t="s">
        <v>14</v>
      </c>
      <c r="B3371" s="0" t="s">
        <v>5059</v>
      </c>
      <c r="C3371" s="0" t="s">
        <v>7192</v>
      </c>
      <c r="D3371" s="0" t="n">
        <v>0</v>
      </c>
    </row>
    <row r="3372" customFormat="false" ht="15" hidden="false" customHeight="false" outlineLevel="0" collapsed="false">
      <c r="A3372" s="0" t="s">
        <v>14</v>
      </c>
      <c r="B3372" s="0" t="s">
        <v>5059</v>
      </c>
      <c r="C3372" s="0" t="s">
        <v>7193</v>
      </c>
      <c r="D3372" s="0" t="n">
        <v>-0.2</v>
      </c>
    </row>
    <row r="3373" customFormat="false" ht="15" hidden="false" customHeight="false" outlineLevel="0" collapsed="false">
      <c r="A3373" s="0" t="s">
        <v>14</v>
      </c>
      <c r="B3373" s="0" t="s">
        <v>5059</v>
      </c>
      <c r="C3373" s="0" t="s">
        <v>7194</v>
      </c>
      <c r="D3373" s="0" t="n">
        <v>0.2</v>
      </c>
    </row>
    <row r="3374" customFormat="false" ht="15" hidden="false" customHeight="false" outlineLevel="0" collapsed="false">
      <c r="A3374" s="0" t="s">
        <v>14</v>
      </c>
      <c r="B3374" s="0" t="s">
        <v>5064</v>
      </c>
      <c r="C3374" s="0" t="s">
        <v>7192</v>
      </c>
      <c r="D3374" s="0" t="n">
        <v>0</v>
      </c>
    </row>
    <row r="3375" customFormat="false" ht="15" hidden="false" customHeight="false" outlineLevel="0" collapsed="false">
      <c r="A3375" s="0" t="s">
        <v>14</v>
      </c>
      <c r="B3375" s="0" t="s">
        <v>5064</v>
      </c>
      <c r="C3375" s="0" t="s">
        <v>7193</v>
      </c>
      <c r="D3375" s="0" t="n">
        <v>0</v>
      </c>
    </row>
    <row r="3376" customFormat="false" ht="15" hidden="false" customHeight="false" outlineLevel="0" collapsed="false">
      <c r="A3376" s="0" t="s">
        <v>14</v>
      </c>
      <c r="B3376" s="0" t="s">
        <v>5064</v>
      </c>
      <c r="C3376" s="0" t="s">
        <v>7194</v>
      </c>
      <c r="D3376" s="0" t="n">
        <v>0</v>
      </c>
    </row>
    <row r="3377" customFormat="false" ht="15" hidden="false" customHeight="false" outlineLevel="0" collapsed="false">
      <c r="A3377" s="0" t="s">
        <v>14</v>
      </c>
      <c r="B3377" s="0" t="s">
        <v>5070</v>
      </c>
      <c r="C3377" s="0" t="s">
        <v>7192</v>
      </c>
      <c r="D3377" s="0" t="n">
        <v>0.25</v>
      </c>
    </row>
    <row r="3378" customFormat="false" ht="15" hidden="false" customHeight="false" outlineLevel="0" collapsed="false">
      <c r="A3378" s="0" t="s">
        <v>14</v>
      </c>
      <c r="B3378" s="0" t="s">
        <v>5070</v>
      </c>
      <c r="C3378" s="0" t="s">
        <v>7193</v>
      </c>
      <c r="D3378" s="0" t="n">
        <v>0.25</v>
      </c>
    </row>
    <row r="3379" customFormat="false" ht="15" hidden="false" customHeight="false" outlineLevel="0" collapsed="false">
      <c r="A3379" s="0" t="s">
        <v>14</v>
      </c>
      <c r="B3379" s="0" t="s">
        <v>5070</v>
      </c>
      <c r="C3379" s="0" t="s">
        <v>7194</v>
      </c>
      <c r="D3379" s="0" t="n">
        <v>0.25</v>
      </c>
    </row>
    <row r="3380" customFormat="false" ht="15" hidden="false" customHeight="false" outlineLevel="0" collapsed="false">
      <c r="A3380" s="0" t="s">
        <v>14</v>
      </c>
      <c r="B3380" s="0" t="s">
        <v>5075</v>
      </c>
      <c r="C3380" s="0" t="s">
        <v>7192</v>
      </c>
      <c r="D3380" s="0" t="n">
        <v>1000000</v>
      </c>
    </row>
    <row r="3381" customFormat="false" ht="15" hidden="false" customHeight="false" outlineLevel="0" collapsed="false">
      <c r="A3381" s="0" t="s">
        <v>14</v>
      </c>
      <c r="B3381" s="0" t="s">
        <v>5075</v>
      </c>
      <c r="C3381" s="0" t="s">
        <v>7193</v>
      </c>
      <c r="D3381" s="0" t="n">
        <v>1000000</v>
      </c>
    </row>
    <row r="3382" customFormat="false" ht="15" hidden="false" customHeight="false" outlineLevel="0" collapsed="false">
      <c r="A3382" s="0" t="s">
        <v>14</v>
      </c>
      <c r="B3382" s="0" t="s">
        <v>5075</v>
      </c>
      <c r="C3382" s="0" t="s">
        <v>7194</v>
      </c>
      <c r="D3382" s="0" t="n">
        <v>1000000</v>
      </c>
    </row>
    <row r="3383" customFormat="false" ht="15" hidden="false" customHeight="false" outlineLevel="0" collapsed="false">
      <c r="A3383" s="0" t="s">
        <v>14</v>
      </c>
      <c r="B3383" s="0" t="s">
        <v>5079</v>
      </c>
      <c r="C3383" s="0" t="s">
        <v>7192</v>
      </c>
      <c r="D3383" s="0" t="n">
        <v>1000000</v>
      </c>
    </row>
    <row r="3384" customFormat="false" ht="15" hidden="false" customHeight="false" outlineLevel="0" collapsed="false">
      <c r="A3384" s="0" t="s">
        <v>14</v>
      </c>
      <c r="B3384" s="0" t="s">
        <v>5079</v>
      </c>
      <c r="C3384" s="0" t="s">
        <v>7193</v>
      </c>
      <c r="D3384" s="0" t="n">
        <v>1000000</v>
      </c>
    </row>
    <row r="3385" customFormat="false" ht="15" hidden="false" customHeight="false" outlineLevel="0" collapsed="false">
      <c r="A3385" s="0" t="s">
        <v>14</v>
      </c>
      <c r="B3385" s="0" t="s">
        <v>5079</v>
      </c>
      <c r="C3385" s="0" t="s">
        <v>7194</v>
      </c>
      <c r="D3385" s="0" t="n">
        <v>1000000</v>
      </c>
    </row>
    <row r="3386" customFormat="false" ht="15" hidden="false" customHeight="false" outlineLevel="0" collapsed="false">
      <c r="A3386" s="0" t="s">
        <v>14</v>
      </c>
      <c r="B3386" s="0" t="s">
        <v>5083</v>
      </c>
      <c r="C3386" s="0" t="s">
        <v>7192</v>
      </c>
      <c r="D3386" s="0" t="n">
        <v>8760</v>
      </c>
    </row>
    <row r="3387" customFormat="false" ht="15" hidden="false" customHeight="false" outlineLevel="0" collapsed="false">
      <c r="A3387" s="0" t="s">
        <v>14</v>
      </c>
      <c r="B3387" s="0" t="s">
        <v>5083</v>
      </c>
      <c r="C3387" s="0" t="s">
        <v>7193</v>
      </c>
      <c r="D3387" s="0" t="n">
        <v>8760</v>
      </c>
    </row>
    <row r="3388" customFormat="false" ht="15" hidden="false" customHeight="false" outlineLevel="0" collapsed="false">
      <c r="A3388" s="0" t="s">
        <v>14</v>
      </c>
      <c r="B3388" s="0" t="s">
        <v>5083</v>
      </c>
      <c r="C3388" s="0" t="s">
        <v>7194</v>
      </c>
      <c r="D3388" s="0" t="n">
        <v>8760</v>
      </c>
    </row>
    <row r="3389" customFormat="false" ht="15" hidden="false" customHeight="false" outlineLevel="0" collapsed="false">
      <c r="A3389" s="0" t="s">
        <v>14</v>
      </c>
      <c r="B3389" s="0" t="s">
        <v>5088</v>
      </c>
      <c r="C3389" s="0" t="s">
        <v>7192</v>
      </c>
      <c r="D3389" s="0" t="n">
        <v>100000000</v>
      </c>
    </row>
    <row r="3390" customFormat="false" ht="15" hidden="false" customHeight="false" outlineLevel="0" collapsed="false">
      <c r="A3390" s="0" t="s">
        <v>14</v>
      </c>
      <c r="B3390" s="0" t="s">
        <v>5088</v>
      </c>
      <c r="C3390" s="0" t="s">
        <v>7193</v>
      </c>
      <c r="D3390" s="0" t="n">
        <v>100000000</v>
      </c>
    </row>
    <row r="3391" customFormat="false" ht="15" hidden="false" customHeight="false" outlineLevel="0" collapsed="false">
      <c r="A3391" s="0" t="s">
        <v>14</v>
      </c>
      <c r="B3391" s="0" t="s">
        <v>5088</v>
      </c>
      <c r="C3391" s="0" t="s">
        <v>7194</v>
      </c>
      <c r="D3391" s="0" t="n">
        <v>100000000</v>
      </c>
    </row>
    <row r="3392" customFormat="false" ht="15" hidden="false" customHeight="false" outlineLevel="0" collapsed="false">
      <c r="A3392" s="0" t="s">
        <v>14</v>
      </c>
      <c r="B3392" s="0" t="s">
        <v>5091</v>
      </c>
      <c r="C3392" s="0" t="s">
        <v>7192</v>
      </c>
      <c r="D3392" s="0" t="n">
        <v>1000000000</v>
      </c>
    </row>
    <row r="3393" customFormat="false" ht="15" hidden="false" customHeight="false" outlineLevel="0" collapsed="false">
      <c r="A3393" s="0" t="s">
        <v>14</v>
      </c>
      <c r="B3393" s="0" t="s">
        <v>5091</v>
      </c>
      <c r="C3393" s="0" t="s">
        <v>7193</v>
      </c>
      <c r="D3393" s="0" t="n">
        <v>1000000000</v>
      </c>
    </row>
    <row r="3394" customFormat="false" ht="15" hidden="false" customHeight="false" outlineLevel="0" collapsed="false">
      <c r="A3394" s="0" t="s">
        <v>14</v>
      </c>
      <c r="B3394" s="0" t="s">
        <v>5091</v>
      </c>
      <c r="C3394" s="0" t="s">
        <v>7194</v>
      </c>
      <c r="D3394" s="0" t="n">
        <v>1000000000</v>
      </c>
    </row>
    <row r="3395" customFormat="false" ht="15" hidden="false" customHeight="false" outlineLevel="0" collapsed="false">
      <c r="A3395" s="0" t="s">
        <v>14</v>
      </c>
      <c r="B3395" s="0" t="s">
        <v>5095</v>
      </c>
      <c r="C3395" s="0" t="s">
        <v>7192</v>
      </c>
      <c r="D3395" s="0" t="n">
        <v>0.1</v>
      </c>
    </row>
    <row r="3396" customFormat="false" ht="15" hidden="false" customHeight="false" outlineLevel="0" collapsed="false">
      <c r="A3396" s="0" t="s">
        <v>14</v>
      </c>
      <c r="B3396" s="0" t="s">
        <v>5095</v>
      </c>
      <c r="C3396" s="0" t="s">
        <v>7193</v>
      </c>
      <c r="D3396" s="0" t="n">
        <v>0.1</v>
      </c>
    </row>
    <row r="3397" customFormat="false" ht="15" hidden="false" customHeight="false" outlineLevel="0" collapsed="false">
      <c r="A3397" s="0" t="s">
        <v>14</v>
      </c>
      <c r="B3397" s="0" t="s">
        <v>5095</v>
      </c>
      <c r="C3397" s="0" t="s">
        <v>7194</v>
      </c>
      <c r="D3397" s="0" t="n">
        <v>0.1</v>
      </c>
    </row>
    <row r="3398" customFormat="false" ht="15" hidden="false" customHeight="false" outlineLevel="0" collapsed="false">
      <c r="A3398" s="0" t="s">
        <v>14</v>
      </c>
      <c r="B3398" s="0" t="s">
        <v>5099</v>
      </c>
      <c r="C3398" s="0" t="s">
        <v>7192</v>
      </c>
      <c r="D3398" s="0" t="n">
        <v>1</v>
      </c>
    </row>
    <row r="3399" customFormat="false" ht="15" hidden="false" customHeight="false" outlineLevel="0" collapsed="false">
      <c r="A3399" s="0" t="s">
        <v>14</v>
      </c>
      <c r="B3399" s="0" t="s">
        <v>5099</v>
      </c>
      <c r="C3399" s="0" t="s">
        <v>7193</v>
      </c>
      <c r="D3399" s="0" t="n">
        <v>1</v>
      </c>
    </row>
    <row r="3400" customFormat="false" ht="15" hidden="false" customHeight="false" outlineLevel="0" collapsed="false">
      <c r="A3400" s="0" t="s">
        <v>14</v>
      </c>
      <c r="B3400" s="0" t="s">
        <v>5099</v>
      </c>
      <c r="C3400" s="0" t="s">
        <v>7194</v>
      </c>
      <c r="D3400" s="0" t="n">
        <v>1</v>
      </c>
    </row>
    <row r="3401" customFormat="false" ht="15" hidden="false" customHeight="false" outlineLevel="0" collapsed="false">
      <c r="A3401" s="0" t="s">
        <v>14</v>
      </c>
      <c r="B3401" s="0" t="s">
        <v>5103</v>
      </c>
      <c r="C3401" s="0" t="s">
        <v>7192</v>
      </c>
      <c r="D3401" s="0" t="n">
        <v>0.5</v>
      </c>
    </row>
    <row r="3402" customFormat="false" ht="15" hidden="false" customHeight="false" outlineLevel="0" collapsed="false">
      <c r="A3402" s="0" t="s">
        <v>14</v>
      </c>
      <c r="B3402" s="0" t="s">
        <v>5103</v>
      </c>
      <c r="C3402" s="0" t="s">
        <v>7193</v>
      </c>
      <c r="D3402" s="0" t="n">
        <v>0.5</v>
      </c>
    </row>
    <row r="3403" customFormat="false" ht="15" hidden="false" customHeight="false" outlineLevel="0" collapsed="false">
      <c r="A3403" s="0" t="s">
        <v>14</v>
      </c>
      <c r="B3403" s="0" t="s">
        <v>5103</v>
      </c>
      <c r="C3403" s="0" t="s">
        <v>7194</v>
      </c>
      <c r="D3403" s="0" t="n">
        <v>0.5</v>
      </c>
    </row>
    <row r="3404" customFormat="false" ht="15" hidden="false" customHeight="false" outlineLevel="0" collapsed="false">
      <c r="A3404" s="0" t="s">
        <v>14</v>
      </c>
      <c r="B3404" s="0" t="s">
        <v>5107</v>
      </c>
      <c r="C3404" s="0" t="s">
        <v>7192</v>
      </c>
      <c r="D3404" s="0" t="n">
        <v>0.34</v>
      </c>
    </row>
    <row r="3405" customFormat="false" ht="15" hidden="false" customHeight="false" outlineLevel="0" collapsed="false">
      <c r="A3405" s="0" t="s">
        <v>14</v>
      </c>
      <c r="B3405" s="0" t="s">
        <v>5107</v>
      </c>
      <c r="C3405" s="0" t="s">
        <v>7193</v>
      </c>
      <c r="D3405" s="0" t="n">
        <v>0.26</v>
      </c>
    </row>
    <row r="3406" customFormat="false" ht="15" hidden="false" customHeight="false" outlineLevel="0" collapsed="false">
      <c r="A3406" s="0" t="s">
        <v>14</v>
      </c>
      <c r="B3406" s="0" t="s">
        <v>5107</v>
      </c>
      <c r="C3406" s="0" t="s">
        <v>7194</v>
      </c>
      <c r="D3406" s="0" t="n">
        <v>0.42</v>
      </c>
    </row>
    <row r="3407" customFormat="false" ht="15" hidden="false" customHeight="false" outlineLevel="0" collapsed="false">
      <c r="A3407" s="0" t="s">
        <v>14</v>
      </c>
      <c r="B3407" s="0" t="s">
        <v>5111</v>
      </c>
      <c r="C3407" s="0" t="s">
        <v>7192</v>
      </c>
      <c r="D3407" s="0" t="n">
        <v>0.6</v>
      </c>
    </row>
    <row r="3408" customFormat="false" ht="15" hidden="false" customHeight="false" outlineLevel="0" collapsed="false">
      <c r="A3408" s="0" t="s">
        <v>14</v>
      </c>
      <c r="B3408" s="0" t="s">
        <v>5111</v>
      </c>
      <c r="C3408" s="0" t="s">
        <v>7193</v>
      </c>
      <c r="D3408" s="0" t="n">
        <v>0.4</v>
      </c>
    </row>
    <row r="3409" customFormat="false" ht="15" hidden="false" customHeight="false" outlineLevel="0" collapsed="false">
      <c r="A3409" s="0" t="s">
        <v>14</v>
      </c>
      <c r="B3409" s="0" t="s">
        <v>5111</v>
      </c>
      <c r="C3409" s="0" t="s">
        <v>7194</v>
      </c>
      <c r="D3409" s="0" t="n">
        <v>0.9</v>
      </c>
    </row>
    <row r="3410" customFormat="false" ht="15" hidden="false" customHeight="false" outlineLevel="0" collapsed="false">
      <c r="A3410" s="0" t="s">
        <v>14</v>
      </c>
      <c r="B3410" s="0" t="s">
        <v>5116</v>
      </c>
      <c r="C3410" s="0" t="s">
        <v>7192</v>
      </c>
      <c r="D3410" s="0" t="n">
        <v>0.3</v>
      </c>
    </row>
    <row r="3411" customFormat="false" ht="15" hidden="false" customHeight="false" outlineLevel="0" collapsed="false">
      <c r="A3411" s="0" t="s">
        <v>14</v>
      </c>
      <c r="B3411" s="0" t="s">
        <v>5116</v>
      </c>
      <c r="C3411" s="0" t="s">
        <v>7193</v>
      </c>
      <c r="D3411" s="0" t="n">
        <v>0.1</v>
      </c>
    </row>
    <row r="3412" customFormat="false" ht="15" hidden="false" customHeight="false" outlineLevel="0" collapsed="false">
      <c r="A3412" s="0" t="s">
        <v>14</v>
      </c>
      <c r="B3412" s="0" t="s">
        <v>5116</v>
      </c>
      <c r="C3412" s="0" t="s">
        <v>7194</v>
      </c>
      <c r="D3412" s="0" t="n">
        <v>0.5</v>
      </c>
    </row>
    <row r="3413" customFormat="false" ht="15" hidden="false" customHeight="false" outlineLevel="0" collapsed="false">
      <c r="A3413" s="0" t="s">
        <v>14</v>
      </c>
      <c r="B3413" s="0" t="s">
        <v>5120</v>
      </c>
      <c r="C3413" s="0" t="s">
        <v>7192</v>
      </c>
      <c r="D3413" s="0" t="n">
        <v>0.6</v>
      </c>
    </row>
    <row r="3414" customFormat="false" ht="15" hidden="false" customHeight="false" outlineLevel="0" collapsed="false">
      <c r="A3414" s="0" t="s">
        <v>14</v>
      </c>
      <c r="B3414" s="0" t="s">
        <v>5120</v>
      </c>
      <c r="C3414" s="0" t="s">
        <v>7193</v>
      </c>
      <c r="D3414" s="0" t="n">
        <v>0.4</v>
      </c>
    </row>
    <row r="3415" customFormat="false" ht="15" hidden="false" customHeight="false" outlineLevel="0" collapsed="false">
      <c r="A3415" s="0" t="s">
        <v>14</v>
      </c>
      <c r="B3415" s="0" t="s">
        <v>5120</v>
      </c>
      <c r="C3415" s="0" t="s">
        <v>7194</v>
      </c>
      <c r="D3415" s="0" t="n">
        <v>0.8</v>
      </c>
    </row>
    <row r="3416" customFormat="false" ht="15" hidden="false" customHeight="false" outlineLevel="0" collapsed="false">
      <c r="A3416" s="0" t="s">
        <v>14</v>
      </c>
      <c r="B3416" s="0" t="s">
        <v>5123</v>
      </c>
      <c r="C3416" s="0" t="s">
        <v>7192</v>
      </c>
      <c r="D3416" s="0" t="n">
        <v>0.75</v>
      </c>
    </row>
    <row r="3417" customFormat="false" ht="15" hidden="false" customHeight="false" outlineLevel="0" collapsed="false">
      <c r="A3417" s="0" t="s">
        <v>14</v>
      </c>
      <c r="B3417" s="0" t="s">
        <v>5123</v>
      </c>
      <c r="C3417" s="0" t="s">
        <v>7193</v>
      </c>
      <c r="D3417" s="0" t="n">
        <v>0.5</v>
      </c>
    </row>
    <row r="3418" customFormat="false" ht="15" hidden="false" customHeight="false" outlineLevel="0" collapsed="false">
      <c r="A3418" s="0" t="s">
        <v>14</v>
      </c>
      <c r="B3418" s="0" t="s">
        <v>5123</v>
      </c>
      <c r="C3418" s="0" t="s">
        <v>7194</v>
      </c>
      <c r="D3418" s="0" t="n">
        <v>0.9</v>
      </c>
    </row>
    <row r="3419" customFormat="false" ht="15" hidden="false" customHeight="false" outlineLevel="0" collapsed="false">
      <c r="A3419" s="0" t="s">
        <v>14</v>
      </c>
      <c r="B3419" s="0" t="s">
        <v>5127</v>
      </c>
      <c r="C3419" s="0" t="s">
        <v>7192</v>
      </c>
      <c r="D3419" s="0" t="n">
        <v>0.85</v>
      </c>
    </row>
    <row r="3420" customFormat="false" ht="15" hidden="false" customHeight="false" outlineLevel="0" collapsed="false">
      <c r="A3420" s="0" t="s">
        <v>14</v>
      </c>
      <c r="B3420" s="0" t="s">
        <v>5127</v>
      </c>
      <c r="C3420" s="0" t="s">
        <v>7193</v>
      </c>
      <c r="D3420" s="0" t="n">
        <v>0.6</v>
      </c>
    </row>
    <row r="3421" customFormat="false" ht="15" hidden="false" customHeight="false" outlineLevel="0" collapsed="false">
      <c r="A3421" s="0" t="s">
        <v>14</v>
      </c>
      <c r="B3421" s="0" t="s">
        <v>5127</v>
      </c>
      <c r="C3421" s="0" t="s">
        <v>7194</v>
      </c>
      <c r="D3421" s="0" t="n">
        <v>0.95</v>
      </c>
    </row>
    <row r="3422" customFormat="false" ht="15" hidden="false" customHeight="false" outlineLevel="0" collapsed="false">
      <c r="A3422" s="0" t="s">
        <v>14</v>
      </c>
      <c r="B3422" s="0" t="s">
        <v>5130</v>
      </c>
      <c r="C3422" s="0" t="s">
        <v>7192</v>
      </c>
      <c r="D3422" s="0" t="n">
        <v>0.9</v>
      </c>
    </row>
    <row r="3423" customFormat="false" ht="15" hidden="false" customHeight="false" outlineLevel="0" collapsed="false">
      <c r="A3423" s="0" t="s">
        <v>14</v>
      </c>
      <c r="B3423" s="0" t="s">
        <v>5130</v>
      </c>
      <c r="C3423" s="0" t="s">
        <v>7193</v>
      </c>
      <c r="D3423" s="0" t="n">
        <v>0.7</v>
      </c>
    </row>
    <row r="3424" customFormat="false" ht="15" hidden="false" customHeight="false" outlineLevel="0" collapsed="false">
      <c r="A3424" s="0" t="s">
        <v>14</v>
      </c>
      <c r="B3424" s="0" t="s">
        <v>5130</v>
      </c>
      <c r="C3424" s="0" t="s">
        <v>7194</v>
      </c>
      <c r="D3424" s="0" t="n">
        <v>1</v>
      </c>
    </row>
    <row r="3425" customFormat="false" ht="15" hidden="false" customHeight="false" outlineLevel="0" collapsed="false">
      <c r="A3425" s="0" t="s">
        <v>14</v>
      </c>
      <c r="B3425" s="0" t="s">
        <v>5132</v>
      </c>
      <c r="C3425" s="0" t="s">
        <v>7192</v>
      </c>
      <c r="D3425" s="0" t="n">
        <v>0.95</v>
      </c>
    </row>
    <row r="3426" customFormat="false" ht="15" hidden="false" customHeight="false" outlineLevel="0" collapsed="false">
      <c r="A3426" s="0" t="s">
        <v>14</v>
      </c>
      <c r="B3426" s="0" t="s">
        <v>5132</v>
      </c>
      <c r="C3426" s="0" t="s">
        <v>7193</v>
      </c>
      <c r="D3426" s="0" t="n">
        <v>0.75</v>
      </c>
    </row>
    <row r="3427" customFormat="false" ht="15" hidden="false" customHeight="false" outlineLevel="0" collapsed="false">
      <c r="A3427" s="0" t="s">
        <v>14</v>
      </c>
      <c r="B3427" s="0" t="s">
        <v>5132</v>
      </c>
      <c r="C3427" s="0" t="s">
        <v>7194</v>
      </c>
      <c r="D3427" s="0" t="n">
        <v>1</v>
      </c>
    </row>
    <row r="3428" customFormat="false" ht="15" hidden="false" customHeight="false" outlineLevel="0" collapsed="false">
      <c r="A3428" s="0" t="s">
        <v>14</v>
      </c>
      <c r="B3428" s="0" t="s">
        <v>5135</v>
      </c>
      <c r="C3428" s="0" t="s">
        <v>7192</v>
      </c>
      <c r="D3428" s="0" t="n">
        <v>0.2</v>
      </c>
    </row>
    <row r="3429" customFormat="false" ht="15" hidden="false" customHeight="false" outlineLevel="0" collapsed="false">
      <c r="A3429" s="0" t="s">
        <v>14</v>
      </c>
      <c r="B3429" s="0" t="s">
        <v>5135</v>
      </c>
      <c r="C3429" s="0" t="s">
        <v>7193</v>
      </c>
      <c r="D3429" s="0" t="n">
        <v>0.1</v>
      </c>
    </row>
    <row r="3430" customFormat="false" ht="15" hidden="false" customHeight="false" outlineLevel="0" collapsed="false">
      <c r="A3430" s="0" t="s">
        <v>14</v>
      </c>
      <c r="B3430" s="0" t="s">
        <v>5135</v>
      </c>
      <c r="C3430" s="0" t="s">
        <v>7194</v>
      </c>
      <c r="D3430" s="0" t="n">
        <v>0.4</v>
      </c>
    </row>
    <row r="3431" customFormat="false" ht="15" hidden="false" customHeight="false" outlineLevel="0" collapsed="false">
      <c r="A3431" s="0" t="s">
        <v>14</v>
      </c>
      <c r="B3431" s="0" t="s">
        <v>5139</v>
      </c>
      <c r="C3431" s="0" t="s">
        <v>7192</v>
      </c>
      <c r="D3431" s="0" t="n">
        <v>0.15</v>
      </c>
    </row>
    <row r="3432" customFormat="false" ht="15" hidden="false" customHeight="false" outlineLevel="0" collapsed="false">
      <c r="A3432" s="0" t="s">
        <v>14</v>
      </c>
      <c r="B3432" s="0" t="s">
        <v>5139</v>
      </c>
      <c r="C3432" s="0" t="s">
        <v>7193</v>
      </c>
      <c r="D3432" s="0" t="n">
        <v>0.05</v>
      </c>
    </row>
    <row r="3433" customFormat="false" ht="15" hidden="false" customHeight="false" outlineLevel="0" collapsed="false">
      <c r="A3433" s="0" t="s">
        <v>14</v>
      </c>
      <c r="B3433" s="0" t="s">
        <v>5139</v>
      </c>
      <c r="C3433" s="0" t="s">
        <v>7194</v>
      </c>
      <c r="D3433" s="0" t="n">
        <v>0.3</v>
      </c>
    </row>
    <row r="3434" customFormat="false" ht="15" hidden="false" customHeight="false" outlineLevel="0" collapsed="false">
      <c r="A3434" s="0" t="s">
        <v>14</v>
      </c>
      <c r="B3434" s="0" t="s">
        <v>5142</v>
      </c>
      <c r="C3434" s="0" t="s">
        <v>7192</v>
      </c>
      <c r="D3434" s="0" t="n">
        <v>0.1</v>
      </c>
    </row>
    <row r="3435" customFormat="false" ht="15" hidden="false" customHeight="false" outlineLevel="0" collapsed="false">
      <c r="A3435" s="0" t="s">
        <v>14</v>
      </c>
      <c r="B3435" s="0" t="s">
        <v>5142</v>
      </c>
      <c r="C3435" s="0" t="s">
        <v>7193</v>
      </c>
      <c r="D3435" s="0" t="n">
        <v>0</v>
      </c>
    </row>
    <row r="3436" customFormat="false" ht="15" hidden="false" customHeight="false" outlineLevel="0" collapsed="false">
      <c r="A3436" s="0" t="s">
        <v>14</v>
      </c>
      <c r="B3436" s="0" t="s">
        <v>5142</v>
      </c>
      <c r="C3436" s="0" t="s">
        <v>7194</v>
      </c>
      <c r="D3436" s="0" t="n">
        <v>0.2</v>
      </c>
    </row>
    <row r="3437" customFormat="false" ht="15" hidden="false" customHeight="false" outlineLevel="0" collapsed="false">
      <c r="A3437" s="0" t="s">
        <v>14</v>
      </c>
      <c r="B3437" s="0" t="s">
        <v>5145</v>
      </c>
      <c r="C3437" s="0" t="s">
        <v>7192</v>
      </c>
      <c r="D3437" s="0" t="n">
        <v>0.05</v>
      </c>
    </row>
    <row r="3438" customFormat="false" ht="15" hidden="false" customHeight="false" outlineLevel="0" collapsed="false">
      <c r="A3438" s="0" t="s">
        <v>14</v>
      </c>
      <c r="B3438" s="0" t="s">
        <v>5145</v>
      </c>
      <c r="C3438" s="0" t="s">
        <v>7193</v>
      </c>
      <c r="D3438" s="0" t="n">
        <v>0</v>
      </c>
    </row>
    <row r="3439" customFormat="false" ht="15" hidden="false" customHeight="false" outlineLevel="0" collapsed="false">
      <c r="A3439" s="0" t="s">
        <v>14</v>
      </c>
      <c r="B3439" s="0" t="s">
        <v>5145</v>
      </c>
      <c r="C3439" s="0" t="s">
        <v>7194</v>
      </c>
      <c r="D3439" s="0" t="n">
        <v>0.15</v>
      </c>
    </row>
    <row r="3440" customFormat="false" ht="15" hidden="false" customHeight="false" outlineLevel="0" collapsed="false">
      <c r="A3440" s="0" t="s">
        <v>14</v>
      </c>
      <c r="B3440" s="0" t="s">
        <v>5148</v>
      </c>
      <c r="C3440" s="0" t="s">
        <v>7192</v>
      </c>
      <c r="D3440" s="0" t="n">
        <v>0.05</v>
      </c>
    </row>
    <row r="3441" customFormat="false" ht="15" hidden="false" customHeight="false" outlineLevel="0" collapsed="false">
      <c r="A3441" s="0" t="s">
        <v>14</v>
      </c>
      <c r="B3441" s="0" t="s">
        <v>5148</v>
      </c>
      <c r="C3441" s="0" t="s">
        <v>7193</v>
      </c>
      <c r="D3441" s="0" t="n">
        <v>0</v>
      </c>
    </row>
    <row r="3442" customFormat="false" ht="15" hidden="false" customHeight="false" outlineLevel="0" collapsed="false">
      <c r="A3442" s="0" t="s">
        <v>14</v>
      </c>
      <c r="B3442" s="0" t="s">
        <v>5148</v>
      </c>
      <c r="C3442" s="0" t="s">
        <v>7194</v>
      </c>
      <c r="D3442" s="0" t="n">
        <v>0.1</v>
      </c>
    </row>
    <row r="3443" customFormat="false" ht="15" hidden="false" customHeight="false" outlineLevel="0" collapsed="false">
      <c r="A3443" s="0" t="s">
        <v>14</v>
      </c>
      <c r="B3443" s="0" t="s">
        <v>5151</v>
      </c>
      <c r="C3443" s="0" t="s">
        <v>7192</v>
      </c>
      <c r="D3443" s="0" t="n">
        <v>0</v>
      </c>
    </row>
    <row r="3444" customFormat="false" ht="15" hidden="false" customHeight="false" outlineLevel="0" collapsed="false">
      <c r="A3444" s="0" t="s">
        <v>14</v>
      </c>
      <c r="B3444" s="0" t="s">
        <v>5151</v>
      </c>
      <c r="C3444" s="0" t="s">
        <v>7193</v>
      </c>
      <c r="D3444" s="0" t="n">
        <v>0</v>
      </c>
    </row>
    <row r="3445" customFormat="false" ht="15" hidden="false" customHeight="false" outlineLevel="0" collapsed="false">
      <c r="A3445" s="0" t="s">
        <v>14</v>
      </c>
      <c r="B3445" s="0" t="s">
        <v>5151</v>
      </c>
      <c r="C3445" s="0" t="s">
        <v>7194</v>
      </c>
      <c r="D3445" s="0" t="n">
        <v>0.1</v>
      </c>
    </row>
    <row r="3446" customFormat="false" ht="15" hidden="false" customHeight="false" outlineLevel="0" collapsed="false">
      <c r="A3446" s="0" t="s">
        <v>14</v>
      </c>
      <c r="B3446" s="0" t="s">
        <v>5153</v>
      </c>
      <c r="C3446" s="0" t="s">
        <v>7192</v>
      </c>
      <c r="D3446" s="0" t="n">
        <v>1.393</v>
      </c>
    </row>
    <row r="3447" customFormat="false" ht="15" hidden="false" customHeight="false" outlineLevel="0" collapsed="false">
      <c r="A3447" s="0" t="s">
        <v>14</v>
      </c>
      <c r="B3447" s="0" t="s">
        <v>5153</v>
      </c>
      <c r="C3447" s="0" t="s">
        <v>7193</v>
      </c>
      <c r="D3447" s="0" t="n">
        <v>1.2</v>
      </c>
    </row>
    <row r="3448" customFormat="false" ht="15" hidden="false" customHeight="false" outlineLevel="0" collapsed="false">
      <c r="A3448" s="0" t="s">
        <v>14</v>
      </c>
      <c r="B3448" s="0" t="s">
        <v>5153</v>
      </c>
      <c r="C3448" s="0" t="s">
        <v>7194</v>
      </c>
      <c r="D3448" s="0" t="n">
        <v>1.6</v>
      </c>
    </row>
    <row r="3449" customFormat="false" ht="15" hidden="false" customHeight="false" outlineLevel="0" collapsed="false">
      <c r="A3449" s="0" t="s">
        <v>14</v>
      </c>
      <c r="B3449" s="0" t="s">
        <v>5159</v>
      </c>
      <c r="C3449" s="0" t="s">
        <v>7192</v>
      </c>
      <c r="D3449" s="0" t="n">
        <v>1.09</v>
      </c>
    </row>
    <row r="3450" customFormat="false" ht="15" hidden="false" customHeight="false" outlineLevel="0" collapsed="false">
      <c r="A3450" s="0" t="s">
        <v>14</v>
      </c>
      <c r="B3450" s="0" t="s">
        <v>5159</v>
      </c>
      <c r="C3450" s="0" t="s">
        <v>7193</v>
      </c>
      <c r="D3450" s="0" t="n">
        <v>0.9</v>
      </c>
    </row>
    <row r="3451" customFormat="false" ht="15" hidden="false" customHeight="false" outlineLevel="0" collapsed="false">
      <c r="A3451" s="0" t="s">
        <v>14</v>
      </c>
      <c r="B3451" s="0" t="s">
        <v>5159</v>
      </c>
      <c r="C3451" s="0" t="s">
        <v>7194</v>
      </c>
      <c r="D3451" s="0" t="n">
        <v>1.393</v>
      </c>
    </row>
    <row r="3452" customFormat="false" ht="15" hidden="false" customHeight="false" outlineLevel="0" collapsed="false">
      <c r="A3452" s="0" t="s">
        <v>14</v>
      </c>
      <c r="B3452" s="0" t="s">
        <v>5164</v>
      </c>
      <c r="C3452" s="0" t="s">
        <v>7192</v>
      </c>
      <c r="D3452" s="0" t="n">
        <v>1</v>
      </c>
    </row>
    <row r="3453" customFormat="false" ht="15" hidden="false" customHeight="false" outlineLevel="0" collapsed="false">
      <c r="A3453" s="0" t="s">
        <v>14</v>
      </c>
      <c r="B3453" s="0" t="s">
        <v>5164</v>
      </c>
      <c r="C3453" s="0" t="s">
        <v>7193</v>
      </c>
      <c r="D3453" s="0" t="n">
        <v>0.65</v>
      </c>
    </row>
    <row r="3454" customFormat="false" ht="15" hidden="false" customHeight="false" outlineLevel="0" collapsed="false">
      <c r="A3454" s="0" t="s">
        <v>14</v>
      </c>
      <c r="B3454" s="0" t="s">
        <v>5164</v>
      </c>
      <c r="C3454" s="0" t="s">
        <v>7194</v>
      </c>
      <c r="D3454" s="0" t="n">
        <v>1.4</v>
      </c>
    </row>
    <row r="3455" customFormat="false" ht="15" hidden="false" customHeight="false" outlineLevel="0" collapsed="false">
      <c r="A3455" s="0" t="s">
        <v>14</v>
      </c>
      <c r="B3455" s="0" t="s">
        <v>5169</v>
      </c>
      <c r="C3455" s="0" t="s">
        <v>7192</v>
      </c>
      <c r="D3455" s="0" t="n">
        <v>1.5</v>
      </c>
    </row>
    <row r="3456" customFormat="false" ht="15" hidden="false" customHeight="false" outlineLevel="0" collapsed="false">
      <c r="A3456" s="0" t="s">
        <v>14</v>
      </c>
      <c r="B3456" s="0" t="s">
        <v>5169</v>
      </c>
      <c r="C3456" s="0" t="s">
        <v>7193</v>
      </c>
      <c r="D3456" s="0" t="n">
        <v>1</v>
      </c>
    </row>
    <row r="3457" customFormat="false" ht="15" hidden="false" customHeight="false" outlineLevel="0" collapsed="false">
      <c r="A3457" s="0" t="s">
        <v>14</v>
      </c>
      <c r="B3457" s="0" t="s">
        <v>5169</v>
      </c>
      <c r="C3457" s="0" t="s">
        <v>7194</v>
      </c>
      <c r="D3457" s="0" t="n">
        <v>2</v>
      </c>
    </row>
    <row r="3458" customFormat="false" ht="15" hidden="false" customHeight="false" outlineLevel="0" collapsed="false">
      <c r="A3458" s="0" t="s">
        <v>14</v>
      </c>
      <c r="B3458" s="0" t="s">
        <v>5174</v>
      </c>
      <c r="C3458" s="0" t="s">
        <v>7192</v>
      </c>
      <c r="D3458" s="0" t="n">
        <v>-0.1</v>
      </c>
    </row>
    <row r="3459" customFormat="false" ht="15" hidden="false" customHeight="false" outlineLevel="0" collapsed="false">
      <c r="A3459" s="0" t="s">
        <v>14</v>
      </c>
      <c r="B3459" s="0" t="s">
        <v>5174</v>
      </c>
      <c r="C3459" s="0" t="s">
        <v>7193</v>
      </c>
      <c r="D3459" s="0" t="n">
        <v>-0.25</v>
      </c>
    </row>
    <row r="3460" customFormat="false" ht="15" hidden="false" customHeight="false" outlineLevel="0" collapsed="false">
      <c r="A3460" s="0" t="s">
        <v>14</v>
      </c>
      <c r="B3460" s="0" t="s">
        <v>5174</v>
      </c>
      <c r="C3460" s="0" t="s">
        <v>7194</v>
      </c>
      <c r="D3460" s="0" t="n">
        <v>0</v>
      </c>
    </row>
    <row r="3461" customFormat="false" ht="15" hidden="false" customHeight="false" outlineLevel="0" collapsed="false">
      <c r="A3461" s="0" t="s">
        <v>14</v>
      </c>
      <c r="B3461" s="0" t="s">
        <v>5178</v>
      </c>
      <c r="C3461" s="0" t="s">
        <v>7192</v>
      </c>
      <c r="D3461" s="0" t="n">
        <v>1.3</v>
      </c>
    </row>
    <row r="3462" customFormat="false" ht="15" hidden="false" customHeight="false" outlineLevel="0" collapsed="false">
      <c r="A3462" s="0" t="s">
        <v>14</v>
      </c>
      <c r="B3462" s="0" t="s">
        <v>5178</v>
      </c>
      <c r="C3462" s="0" t="s">
        <v>7193</v>
      </c>
      <c r="D3462" s="0" t="n">
        <v>1.15</v>
      </c>
    </row>
    <row r="3463" customFormat="false" ht="15" hidden="false" customHeight="false" outlineLevel="0" collapsed="false">
      <c r="A3463" s="0" t="s">
        <v>14</v>
      </c>
      <c r="B3463" s="0" t="s">
        <v>5178</v>
      </c>
      <c r="C3463" s="0" t="s">
        <v>7194</v>
      </c>
      <c r="D3463" s="0" t="n">
        <v>1.5</v>
      </c>
    </row>
    <row r="3464" customFormat="false" ht="15" hidden="false" customHeight="false" outlineLevel="0" collapsed="false">
      <c r="A3464" s="0" t="s">
        <v>14</v>
      </c>
      <c r="B3464" s="0" t="s">
        <v>5182</v>
      </c>
      <c r="C3464" s="0" t="s">
        <v>7192</v>
      </c>
      <c r="D3464" s="0" t="n">
        <v>1</v>
      </c>
    </row>
    <row r="3465" customFormat="false" ht="15" hidden="false" customHeight="false" outlineLevel="0" collapsed="false">
      <c r="A3465" s="0" t="s">
        <v>14</v>
      </c>
      <c r="B3465" s="0" t="s">
        <v>5182</v>
      </c>
      <c r="C3465" s="0" t="s">
        <v>7193</v>
      </c>
      <c r="D3465" s="0" t="n">
        <v>0.22</v>
      </c>
    </row>
    <row r="3466" customFormat="false" ht="15" hidden="false" customHeight="false" outlineLevel="0" collapsed="false">
      <c r="A3466" s="0" t="s">
        <v>14</v>
      </c>
      <c r="B3466" s="0" t="s">
        <v>5182</v>
      </c>
      <c r="C3466" s="0" t="s">
        <v>7194</v>
      </c>
      <c r="D3466" s="0" t="n">
        <v>1</v>
      </c>
    </row>
    <row r="3467" customFormat="false" ht="15" hidden="false" customHeight="false" outlineLevel="0" collapsed="false">
      <c r="A3467" s="0" t="s">
        <v>14</v>
      </c>
      <c r="B3467" s="0" t="s">
        <v>5188</v>
      </c>
      <c r="C3467" s="0" t="s">
        <v>7192</v>
      </c>
      <c r="D3467" s="0" t="n">
        <v>0.707</v>
      </c>
    </row>
    <row r="3468" customFormat="false" ht="15" hidden="false" customHeight="false" outlineLevel="0" collapsed="false">
      <c r="A3468" s="0" t="s">
        <v>14</v>
      </c>
      <c r="B3468" s="0" t="s">
        <v>5188</v>
      </c>
      <c r="C3468" s="0" t="s">
        <v>7193</v>
      </c>
      <c r="D3468" s="0" t="n">
        <v>0.6</v>
      </c>
    </row>
    <row r="3469" customFormat="false" ht="15" hidden="false" customHeight="false" outlineLevel="0" collapsed="false">
      <c r="A3469" s="0" t="s">
        <v>14</v>
      </c>
      <c r="B3469" s="0" t="s">
        <v>5188</v>
      </c>
      <c r="C3469" s="0" t="s">
        <v>7194</v>
      </c>
      <c r="D3469" s="0" t="n">
        <v>0.8</v>
      </c>
    </row>
    <row r="3470" customFormat="false" ht="15" hidden="false" customHeight="false" outlineLevel="0" collapsed="false">
      <c r="A3470" s="0" t="s">
        <v>14</v>
      </c>
      <c r="B3470" s="0" t="s">
        <v>5193</v>
      </c>
      <c r="C3470" s="0" t="s">
        <v>7192</v>
      </c>
      <c r="D3470" s="0" t="n">
        <v>0.744</v>
      </c>
    </row>
    <row r="3471" customFormat="false" ht="15" hidden="false" customHeight="false" outlineLevel="0" collapsed="false">
      <c r="A3471" s="0" t="s">
        <v>14</v>
      </c>
      <c r="B3471" s="0" t="s">
        <v>5193</v>
      </c>
      <c r="C3471" s="0" t="s">
        <v>7193</v>
      </c>
      <c r="D3471" s="0" t="n">
        <v>0.5</v>
      </c>
    </row>
    <row r="3472" customFormat="false" ht="15" hidden="false" customHeight="false" outlineLevel="0" collapsed="false">
      <c r="A3472" s="0" t="s">
        <v>14</v>
      </c>
      <c r="B3472" s="0" t="s">
        <v>5193</v>
      </c>
      <c r="C3472" s="0" t="s">
        <v>7194</v>
      </c>
      <c r="D3472" s="0" t="n">
        <v>0.9</v>
      </c>
    </row>
    <row r="3473" customFormat="false" ht="15" hidden="false" customHeight="false" outlineLevel="0" collapsed="false">
      <c r="A3473" s="0" t="s">
        <v>14</v>
      </c>
      <c r="B3473" s="0" t="s">
        <v>5197</v>
      </c>
      <c r="C3473" s="0" t="s">
        <v>7192</v>
      </c>
      <c r="D3473" s="0" t="n">
        <v>0</v>
      </c>
    </row>
    <row r="3474" customFormat="false" ht="15" hidden="false" customHeight="false" outlineLevel="0" collapsed="false">
      <c r="A3474" s="0" t="s">
        <v>14</v>
      </c>
      <c r="B3474" s="0" t="s">
        <v>5197</v>
      </c>
      <c r="C3474" s="0" t="s">
        <v>7193</v>
      </c>
      <c r="D3474" s="0" t="n">
        <v>0</v>
      </c>
    </row>
    <row r="3475" customFormat="false" ht="15" hidden="false" customHeight="false" outlineLevel="0" collapsed="false">
      <c r="A3475" s="0" t="s">
        <v>14</v>
      </c>
      <c r="B3475" s="0" t="s">
        <v>5197</v>
      </c>
      <c r="C3475" s="0" t="s">
        <v>7194</v>
      </c>
      <c r="D3475" s="0" t="n">
        <v>1</v>
      </c>
    </row>
    <row r="3476" customFormat="false" ht="15" hidden="false" customHeight="false" outlineLevel="0" collapsed="false">
      <c r="A3476" s="0" t="s">
        <v>14</v>
      </c>
      <c r="B3476" s="0" t="s">
        <v>5202</v>
      </c>
      <c r="C3476" s="0" t="s">
        <v>7192</v>
      </c>
      <c r="D3476" s="0" t="n">
        <v>1</v>
      </c>
    </row>
    <row r="3477" customFormat="false" ht="15" hidden="false" customHeight="false" outlineLevel="0" collapsed="false">
      <c r="A3477" s="0" t="s">
        <v>14</v>
      </c>
      <c r="B3477" s="0" t="s">
        <v>5202</v>
      </c>
      <c r="C3477" s="0" t="s">
        <v>7193</v>
      </c>
      <c r="D3477" s="0" t="n">
        <v>0</v>
      </c>
    </row>
    <row r="3478" customFormat="false" ht="15" hidden="false" customHeight="false" outlineLevel="0" collapsed="false">
      <c r="A3478" s="0" t="s">
        <v>14</v>
      </c>
      <c r="B3478" s="0" t="s">
        <v>5202</v>
      </c>
      <c r="C3478" s="0" t="s">
        <v>7194</v>
      </c>
      <c r="D3478" s="0" t="n">
        <v>1</v>
      </c>
    </row>
    <row r="3479" customFormat="false" ht="15" hidden="false" customHeight="false" outlineLevel="0" collapsed="false">
      <c r="A3479" s="0" t="s">
        <v>14</v>
      </c>
      <c r="B3479" s="0" t="s">
        <v>5206</v>
      </c>
      <c r="C3479" s="0" t="s">
        <v>7192</v>
      </c>
      <c r="D3479" s="0" t="n">
        <v>1</v>
      </c>
    </row>
    <row r="3480" customFormat="false" ht="15" hidden="false" customHeight="false" outlineLevel="0" collapsed="false">
      <c r="A3480" s="0" t="s">
        <v>14</v>
      </c>
      <c r="B3480" s="0" t="s">
        <v>5206</v>
      </c>
      <c r="C3480" s="0" t="s">
        <v>7193</v>
      </c>
      <c r="D3480" s="0" t="n">
        <v>1</v>
      </c>
    </row>
    <row r="3481" customFormat="false" ht="15" hidden="false" customHeight="false" outlineLevel="0" collapsed="false">
      <c r="A3481" s="0" t="s">
        <v>14</v>
      </c>
      <c r="B3481" s="0" t="s">
        <v>5206</v>
      </c>
      <c r="C3481" s="0" t="s">
        <v>7194</v>
      </c>
      <c r="D3481" s="0" t="n">
        <v>1</v>
      </c>
    </row>
    <row r="3482" customFormat="false" ht="15" hidden="false" customHeight="false" outlineLevel="0" collapsed="false">
      <c r="A3482" s="0" t="s">
        <v>14</v>
      </c>
      <c r="B3482" s="0" t="s">
        <v>5210</v>
      </c>
      <c r="C3482" s="0" t="s">
        <v>7192</v>
      </c>
      <c r="D3482" s="0" t="n">
        <v>2030</v>
      </c>
    </row>
    <row r="3483" customFormat="false" ht="15" hidden="false" customHeight="false" outlineLevel="0" collapsed="false">
      <c r="A3483" s="0" t="s">
        <v>14</v>
      </c>
      <c r="B3483" s="0" t="s">
        <v>5210</v>
      </c>
      <c r="C3483" s="0" t="s">
        <v>7193</v>
      </c>
      <c r="D3483" s="0" t="n">
        <v>2030</v>
      </c>
    </row>
    <row r="3484" customFormat="false" ht="15" hidden="false" customHeight="false" outlineLevel="0" collapsed="false">
      <c r="A3484" s="0" t="s">
        <v>14</v>
      </c>
      <c r="B3484" s="0" t="s">
        <v>5210</v>
      </c>
      <c r="C3484" s="0" t="s">
        <v>7194</v>
      </c>
      <c r="D3484" s="0" t="n">
        <v>2030</v>
      </c>
    </row>
    <row r="3485" customFormat="false" ht="15" hidden="false" customHeight="false" outlineLevel="0" collapsed="false">
      <c r="A3485" s="0" t="s">
        <v>14</v>
      </c>
      <c r="B3485" s="0" t="s">
        <v>5214</v>
      </c>
      <c r="C3485" s="0" t="s">
        <v>7192</v>
      </c>
      <c r="D3485" s="0" t="n">
        <v>0.1</v>
      </c>
    </row>
    <row r="3486" customFormat="false" ht="15" hidden="false" customHeight="false" outlineLevel="0" collapsed="false">
      <c r="A3486" s="0" t="s">
        <v>14</v>
      </c>
      <c r="B3486" s="0" t="s">
        <v>5214</v>
      </c>
      <c r="C3486" s="0" t="s">
        <v>7193</v>
      </c>
      <c r="D3486" s="0" t="n">
        <v>0.05</v>
      </c>
    </row>
    <row r="3487" customFormat="false" ht="15" hidden="false" customHeight="false" outlineLevel="0" collapsed="false">
      <c r="A3487" s="0" t="s">
        <v>14</v>
      </c>
      <c r="B3487" s="0" t="s">
        <v>5214</v>
      </c>
      <c r="C3487" s="0" t="s">
        <v>7194</v>
      </c>
      <c r="D3487" s="0" t="n">
        <v>0.2</v>
      </c>
    </row>
    <row r="3488" customFormat="false" ht="15" hidden="false" customHeight="false" outlineLevel="0" collapsed="false">
      <c r="A3488" s="0" t="s">
        <v>14</v>
      </c>
      <c r="B3488" s="0" t="s">
        <v>5219</v>
      </c>
      <c r="C3488" s="0" t="s">
        <v>7192</v>
      </c>
      <c r="D3488" s="0" t="n">
        <v>0.3</v>
      </c>
    </row>
    <row r="3489" customFormat="false" ht="15" hidden="false" customHeight="false" outlineLevel="0" collapsed="false">
      <c r="A3489" s="0" t="s">
        <v>14</v>
      </c>
      <c r="B3489" s="0" t="s">
        <v>5219</v>
      </c>
      <c r="C3489" s="0" t="s">
        <v>7193</v>
      </c>
      <c r="D3489" s="0" t="n">
        <v>0.2</v>
      </c>
    </row>
    <row r="3490" customFormat="false" ht="15" hidden="false" customHeight="false" outlineLevel="0" collapsed="false">
      <c r="A3490" s="0" t="s">
        <v>14</v>
      </c>
      <c r="B3490" s="0" t="s">
        <v>5219</v>
      </c>
      <c r="C3490" s="0" t="s">
        <v>7194</v>
      </c>
      <c r="D3490" s="0" t="n">
        <v>0.4</v>
      </c>
    </row>
    <row r="3491" customFormat="false" ht="15" hidden="false" customHeight="false" outlineLevel="0" collapsed="false">
      <c r="A3491" s="0" t="s">
        <v>14</v>
      </c>
      <c r="B3491" s="0" t="s">
        <v>5224</v>
      </c>
      <c r="C3491" s="0" t="s">
        <v>7192</v>
      </c>
      <c r="D3491" s="0" t="n">
        <v>0</v>
      </c>
    </row>
    <row r="3492" customFormat="false" ht="15" hidden="false" customHeight="false" outlineLevel="0" collapsed="false">
      <c r="A3492" s="0" t="s">
        <v>14</v>
      </c>
      <c r="B3492" s="0" t="s">
        <v>5224</v>
      </c>
      <c r="C3492" s="0" t="s">
        <v>7193</v>
      </c>
      <c r="D3492" s="0" t="n">
        <v>0</v>
      </c>
    </row>
    <row r="3493" customFormat="false" ht="15" hidden="false" customHeight="false" outlineLevel="0" collapsed="false">
      <c r="A3493" s="0" t="s">
        <v>14</v>
      </c>
      <c r="B3493" s="0" t="s">
        <v>5224</v>
      </c>
      <c r="C3493" s="0" t="s">
        <v>7194</v>
      </c>
      <c r="D3493" s="0" t="n">
        <v>1</v>
      </c>
    </row>
    <row r="3494" customFormat="false" ht="15" hidden="false" customHeight="false" outlineLevel="0" collapsed="false">
      <c r="A3494" s="0" t="s">
        <v>14</v>
      </c>
      <c r="B3494" s="0" t="s">
        <v>5228</v>
      </c>
      <c r="C3494" s="0" t="s">
        <v>7192</v>
      </c>
      <c r="D3494" s="0" t="n">
        <v>0.5</v>
      </c>
    </row>
    <row r="3495" customFormat="false" ht="15" hidden="false" customHeight="false" outlineLevel="0" collapsed="false">
      <c r="A3495" s="0" t="s">
        <v>14</v>
      </c>
      <c r="B3495" s="0" t="s">
        <v>5228</v>
      </c>
      <c r="C3495" s="0" t="s">
        <v>7193</v>
      </c>
      <c r="D3495" s="0" t="n">
        <v>0.3</v>
      </c>
    </row>
    <row r="3496" customFormat="false" ht="15" hidden="false" customHeight="false" outlineLevel="0" collapsed="false">
      <c r="A3496" s="0" t="s">
        <v>14</v>
      </c>
      <c r="B3496" s="0" t="s">
        <v>5228</v>
      </c>
      <c r="C3496" s="0" t="s">
        <v>7194</v>
      </c>
      <c r="D3496" s="0" t="n">
        <v>0.7</v>
      </c>
    </row>
    <row r="3497" customFormat="false" ht="15" hidden="false" customHeight="false" outlineLevel="0" collapsed="false">
      <c r="A3497" s="0" t="s">
        <v>14</v>
      </c>
      <c r="B3497" s="0" t="s">
        <v>5233</v>
      </c>
      <c r="C3497" s="0" t="s">
        <v>7192</v>
      </c>
      <c r="D3497" s="0" t="n">
        <v>0</v>
      </c>
    </row>
    <row r="3498" customFormat="false" ht="15" hidden="false" customHeight="false" outlineLevel="0" collapsed="false">
      <c r="A3498" s="0" t="s">
        <v>14</v>
      </c>
      <c r="B3498" s="0" t="s">
        <v>5233</v>
      </c>
      <c r="C3498" s="0" t="s">
        <v>7193</v>
      </c>
      <c r="D3498" s="0" t="n">
        <v>0</v>
      </c>
    </row>
    <row r="3499" customFormat="false" ht="15" hidden="false" customHeight="false" outlineLevel="0" collapsed="false">
      <c r="A3499" s="0" t="s">
        <v>14</v>
      </c>
      <c r="B3499" s="0" t="s">
        <v>5233</v>
      </c>
      <c r="C3499" s="0" t="s">
        <v>7194</v>
      </c>
      <c r="D3499" s="0" t="n">
        <v>50</v>
      </c>
    </row>
    <row r="3500" customFormat="false" ht="15" hidden="false" customHeight="false" outlineLevel="0" collapsed="false">
      <c r="A3500" s="0" t="s">
        <v>14</v>
      </c>
      <c r="B3500" s="0" t="s">
        <v>5239</v>
      </c>
      <c r="C3500" s="0" t="s">
        <v>7192</v>
      </c>
      <c r="D3500" s="0" t="n">
        <v>0</v>
      </c>
    </row>
    <row r="3501" customFormat="false" ht="15" hidden="false" customHeight="false" outlineLevel="0" collapsed="false">
      <c r="A3501" s="0" t="s">
        <v>14</v>
      </c>
      <c r="B3501" s="0" t="s">
        <v>5239</v>
      </c>
      <c r="C3501" s="0" t="s">
        <v>7193</v>
      </c>
      <c r="D3501" s="0" t="n">
        <v>0</v>
      </c>
    </row>
    <row r="3502" customFormat="false" ht="15" hidden="false" customHeight="false" outlineLevel="0" collapsed="false">
      <c r="A3502" s="0" t="s">
        <v>14</v>
      </c>
      <c r="B3502" s="0" t="s">
        <v>5239</v>
      </c>
      <c r="C3502" s="0" t="s">
        <v>7194</v>
      </c>
      <c r="D3502" s="0" t="n">
        <v>1</v>
      </c>
    </row>
    <row r="3503" customFormat="false" ht="15" hidden="false" customHeight="false" outlineLevel="0" collapsed="false">
      <c r="A3503" s="0" t="s">
        <v>14</v>
      </c>
      <c r="B3503" s="0" t="s">
        <v>5243</v>
      </c>
      <c r="C3503" s="0" t="s">
        <v>7192</v>
      </c>
      <c r="D3503" s="0" t="n">
        <v>2028</v>
      </c>
    </row>
    <row r="3504" customFormat="false" ht="15" hidden="false" customHeight="false" outlineLevel="0" collapsed="false">
      <c r="A3504" s="0" t="s">
        <v>14</v>
      </c>
      <c r="B3504" s="0" t="s">
        <v>5243</v>
      </c>
      <c r="C3504" s="0" t="s">
        <v>7193</v>
      </c>
      <c r="D3504" s="0" t="n">
        <v>2027</v>
      </c>
    </row>
    <row r="3505" customFormat="false" ht="15" hidden="false" customHeight="false" outlineLevel="0" collapsed="false">
      <c r="A3505" s="0" t="s">
        <v>14</v>
      </c>
      <c r="B3505" s="0" t="s">
        <v>5243</v>
      </c>
      <c r="C3505" s="0" t="s">
        <v>7194</v>
      </c>
      <c r="D3505" s="0" t="n">
        <v>2030</v>
      </c>
    </row>
    <row r="3506" customFormat="false" ht="15" hidden="false" customHeight="false" outlineLevel="0" collapsed="false">
      <c r="A3506" s="0" t="s">
        <v>14</v>
      </c>
      <c r="B3506" s="0" t="s">
        <v>5248</v>
      </c>
      <c r="C3506" s="0" t="s">
        <v>7192</v>
      </c>
      <c r="D3506" s="0" t="n">
        <v>0.6</v>
      </c>
    </row>
    <row r="3507" customFormat="false" ht="15" hidden="false" customHeight="false" outlineLevel="0" collapsed="false">
      <c r="A3507" s="0" t="s">
        <v>14</v>
      </c>
      <c r="B3507" s="0" t="s">
        <v>5248</v>
      </c>
      <c r="C3507" s="0" t="s">
        <v>7193</v>
      </c>
      <c r="D3507" s="0" t="n">
        <v>0.4</v>
      </c>
    </row>
    <row r="3508" customFormat="false" ht="15" hidden="false" customHeight="false" outlineLevel="0" collapsed="false">
      <c r="A3508" s="0" t="s">
        <v>14</v>
      </c>
      <c r="B3508" s="0" t="s">
        <v>5248</v>
      </c>
      <c r="C3508" s="0" t="s">
        <v>7194</v>
      </c>
      <c r="D3508" s="0" t="n">
        <v>0.8</v>
      </c>
    </row>
    <row r="3509" customFormat="false" ht="15" hidden="false" customHeight="false" outlineLevel="0" collapsed="false">
      <c r="A3509" s="0" t="s">
        <v>14</v>
      </c>
      <c r="B3509" s="0" t="s">
        <v>5252</v>
      </c>
      <c r="C3509" s="0" t="s">
        <v>7192</v>
      </c>
      <c r="D3509" s="0" t="n">
        <v>0.6</v>
      </c>
    </row>
    <row r="3510" customFormat="false" ht="15" hidden="false" customHeight="false" outlineLevel="0" collapsed="false">
      <c r="A3510" s="0" t="s">
        <v>14</v>
      </c>
      <c r="B3510" s="0" t="s">
        <v>5252</v>
      </c>
      <c r="C3510" s="0" t="s">
        <v>7193</v>
      </c>
      <c r="D3510" s="0" t="n">
        <v>0.4</v>
      </c>
    </row>
    <row r="3511" customFormat="false" ht="15" hidden="false" customHeight="false" outlineLevel="0" collapsed="false">
      <c r="A3511" s="0" t="s">
        <v>14</v>
      </c>
      <c r="B3511" s="0" t="s">
        <v>5252</v>
      </c>
      <c r="C3511" s="0" t="s">
        <v>7194</v>
      </c>
      <c r="D3511" s="0" t="n">
        <v>0.9</v>
      </c>
    </row>
    <row r="3512" customFormat="false" ht="15" hidden="false" customHeight="false" outlineLevel="0" collapsed="false">
      <c r="A3512" s="0" t="s">
        <v>14</v>
      </c>
      <c r="B3512" s="0" t="s">
        <v>5257</v>
      </c>
      <c r="C3512" s="0" t="s">
        <v>7192</v>
      </c>
      <c r="D3512" s="0" t="n">
        <v>0</v>
      </c>
    </row>
    <row r="3513" customFormat="false" ht="15" hidden="false" customHeight="false" outlineLevel="0" collapsed="false">
      <c r="A3513" s="0" t="s">
        <v>14</v>
      </c>
      <c r="B3513" s="0" t="s">
        <v>5257</v>
      </c>
      <c r="C3513" s="0" t="s">
        <v>7193</v>
      </c>
      <c r="D3513" s="0" t="n">
        <v>-0.1</v>
      </c>
    </row>
    <row r="3514" customFormat="false" ht="15" hidden="false" customHeight="false" outlineLevel="0" collapsed="false">
      <c r="A3514" s="0" t="s">
        <v>14</v>
      </c>
      <c r="B3514" s="0" t="s">
        <v>5257</v>
      </c>
      <c r="C3514" s="0" t="s">
        <v>7194</v>
      </c>
      <c r="D3514" s="0" t="n">
        <v>0.15</v>
      </c>
    </row>
    <row r="3515" customFormat="false" ht="15" hidden="false" customHeight="false" outlineLevel="0" collapsed="false">
      <c r="A3515" s="0" t="s">
        <v>14</v>
      </c>
      <c r="B3515" s="0" t="s">
        <v>5262</v>
      </c>
      <c r="C3515" s="0" t="s">
        <v>7192</v>
      </c>
      <c r="D3515" s="0" t="n">
        <v>0.1</v>
      </c>
    </row>
    <row r="3516" customFormat="false" ht="15" hidden="false" customHeight="false" outlineLevel="0" collapsed="false">
      <c r="A3516" s="0" t="s">
        <v>14</v>
      </c>
      <c r="B3516" s="0" t="s">
        <v>5262</v>
      </c>
      <c r="C3516" s="0" t="s">
        <v>7193</v>
      </c>
      <c r="D3516" s="0" t="n">
        <v>0</v>
      </c>
    </row>
    <row r="3517" customFormat="false" ht="15" hidden="false" customHeight="false" outlineLevel="0" collapsed="false">
      <c r="A3517" s="0" t="s">
        <v>14</v>
      </c>
      <c r="B3517" s="0" t="s">
        <v>5262</v>
      </c>
      <c r="C3517" s="0" t="s">
        <v>7194</v>
      </c>
      <c r="D3517" s="0" t="n">
        <v>0.3</v>
      </c>
    </row>
    <row r="3518" customFormat="false" ht="15" hidden="false" customHeight="false" outlineLevel="0" collapsed="false">
      <c r="A3518" s="0" t="s">
        <v>14</v>
      </c>
      <c r="B3518" s="0" t="s">
        <v>5266</v>
      </c>
      <c r="C3518" s="0" t="s">
        <v>7192</v>
      </c>
      <c r="D3518" s="0" t="n">
        <v>0.03</v>
      </c>
    </row>
    <row r="3519" customFormat="false" ht="15" hidden="false" customHeight="false" outlineLevel="0" collapsed="false">
      <c r="A3519" s="0" t="s">
        <v>14</v>
      </c>
      <c r="B3519" s="0" t="s">
        <v>5266</v>
      </c>
      <c r="C3519" s="0" t="s">
        <v>7193</v>
      </c>
      <c r="D3519" s="0" t="n">
        <v>0</v>
      </c>
    </row>
    <row r="3520" customFormat="false" ht="15" hidden="false" customHeight="false" outlineLevel="0" collapsed="false">
      <c r="A3520" s="0" t="s">
        <v>14</v>
      </c>
      <c r="B3520" s="0" t="s">
        <v>5266</v>
      </c>
      <c r="C3520" s="0" t="s">
        <v>7194</v>
      </c>
      <c r="D3520" s="0" t="n">
        <v>0.08</v>
      </c>
    </row>
    <row r="3521" customFormat="false" ht="15" hidden="false" customHeight="false" outlineLevel="0" collapsed="false">
      <c r="A3521" s="0" t="s">
        <v>14</v>
      </c>
      <c r="B3521" s="0" t="s">
        <v>5270</v>
      </c>
      <c r="C3521" s="0" t="s">
        <v>7192</v>
      </c>
      <c r="D3521" s="0" t="n">
        <v>0</v>
      </c>
    </row>
    <row r="3522" customFormat="false" ht="15" hidden="false" customHeight="false" outlineLevel="0" collapsed="false">
      <c r="A3522" s="0" t="s">
        <v>14</v>
      </c>
      <c r="B3522" s="0" t="s">
        <v>5270</v>
      </c>
      <c r="C3522" s="0" t="s">
        <v>7193</v>
      </c>
      <c r="D3522" s="0" t="n">
        <v>-0.2</v>
      </c>
    </row>
    <row r="3523" customFormat="false" ht="15" hidden="false" customHeight="false" outlineLevel="0" collapsed="false">
      <c r="A3523" s="0" t="s">
        <v>14</v>
      </c>
      <c r="B3523" s="0" t="s">
        <v>5270</v>
      </c>
      <c r="C3523" s="0" t="s">
        <v>7194</v>
      </c>
      <c r="D3523" s="0" t="n">
        <v>0.2</v>
      </c>
    </row>
    <row r="3524" customFormat="false" ht="15" hidden="false" customHeight="false" outlineLevel="0" collapsed="false">
      <c r="A3524" s="0" t="s">
        <v>14</v>
      </c>
      <c r="B3524" s="0" t="s">
        <v>5274</v>
      </c>
      <c r="C3524" s="0" t="s">
        <v>7192</v>
      </c>
      <c r="D3524" s="0" t="n">
        <v>0.9</v>
      </c>
    </row>
    <row r="3525" customFormat="false" ht="15" hidden="false" customHeight="false" outlineLevel="0" collapsed="false">
      <c r="A3525" s="0" t="s">
        <v>14</v>
      </c>
      <c r="B3525" s="0" t="s">
        <v>5274</v>
      </c>
      <c r="C3525" s="0" t="s">
        <v>7193</v>
      </c>
      <c r="D3525" s="0" t="n">
        <v>0.8</v>
      </c>
    </row>
    <row r="3526" customFormat="false" ht="15" hidden="false" customHeight="false" outlineLevel="0" collapsed="false">
      <c r="A3526" s="0" t="s">
        <v>14</v>
      </c>
      <c r="B3526" s="0" t="s">
        <v>5274</v>
      </c>
      <c r="C3526" s="0" t="s">
        <v>7194</v>
      </c>
      <c r="D3526" s="0" t="n">
        <v>0.97</v>
      </c>
    </row>
    <row r="3527" customFormat="false" ht="15" hidden="false" customHeight="false" outlineLevel="0" collapsed="false">
      <c r="A3527" s="0" t="s">
        <v>14</v>
      </c>
      <c r="B3527" s="0" t="s">
        <v>5279</v>
      </c>
      <c r="C3527" s="0" t="s">
        <v>7192</v>
      </c>
      <c r="D3527" s="0" t="n">
        <v>0.03</v>
      </c>
    </row>
    <row r="3528" customFormat="false" ht="15" hidden="false" customHeight="false" outlineLevel="0" collapsed="false">
      <c r="A3528" s="0" t="s">
        <v>14</v>
      </c>
      <c r="B3528" s="0" t="s">
        <v>5279</v>
      </c>
      <c r="C3528" s="0" t="s">
        <v>7193</v>
      </c>
      <c r="D3528" s="0" t="n">
        <v>0.01</v>
      </c>
    </row>
    <row r="3529" customFormat="false" ht="15" hidden="false" customHeight="false" outlineLevel="0" collapsed="false">
      <c r="A3529" s="0" t="s">
        <v>14</v>
      </c>
      <c r="B3529" s="0" t="s">
        <v>5279</v>
      </c>
      <c r="C3529" s="0" t="s">
        <v>7194</v>
      </c>
      <c r="D3529" s="0" t="n">
        <v>0.08</v>
      </c>
    </row>
    <row r="3530" customFormat="false" ht="15" hidden="false" customHeight="false" outlineLevel="0" collapsed="false">
      <c r="A3530" s="0" t="s">
        <v>14</v>
      </c>
      <c r="B3530" s="0" t="s">
        <v>5284</v>
      </c>
      <c r="C3530" s="0" t="s">
        <v>7192</v>
      </c>
      <c r="D3530" s="0" t="n">
        <v>6</v>
      </c>
    </row>
    <row r="3531" customFormat="false" ht="15" hidden="false" customHeight="false" outlineLevel="0" collapsed="false">
      <c r="A3531" s="0" t="s">
        <v>14</v>
      </c>
      <c r="B3531" s="0" t="s">
        <v>5284</v>
      </c>
      <c r="C3531" s="0" t="s">
        <v>7193</v>
      </c>
      <c r="D3531" s="0" t="n">
        <v>3</v>
      </c>
    </row>
    <row r="3532" customFormat="false" ht="15" hidden="false" customHeight="false" outlineLevel="0" collapsed="false">
      <c r="A3532" s="0" t="s">
        <v>14</v>
      </c>
      <c r="B3532" s="0" t="s">
        <v>5284</v>
      </c>
      <c r="C3532" s="0" t="s">
        <v>7194</v>
      </c>
      <c r="D3532" s="0" t="n">
        <v>12</v>
      </c>
    </row>
    <row r="3533" customFormat="false" ht="15" hidden="false" customHeight="false" outlineLevel="0" collapsed="false">
      <c r="A3533" s="0" t="s">
        <v>14</v>
      </c>
      <c r="B3533" s="0" t="s">
        <v>5289</v>
      </c>
      <c r="C3533" s="0" t="s">
        <v>7192</v>
      </c>
      <c r="D3533" s="0" t="n">
        <v>0</v>
      </c>
    </row>
    <row r="3534" customFormat="false" ht="15" hidden="false" customHeight="false" outlineLevel="0" collapsed="false">
      <c r="A3534" s="0" t="s">
        <v>14</v>
      </c>
      <c r="B3534" s="0" t="s">
        <v>5289</v>
      </c>
      <c r="C3534" s="0" t="s">
        <v>7193</v>
      </c>
      <c r="D3534" s="0" t="n">
        <v>0</v>
      </c>
    </row>
    <row r="3535" customFormat="false" ht="15" hidden="false" customHeight="false" outlineLevel="0" collapsed="false">
      <c r="A3535" s="0" t="s">
        <v>14</v>
      </c>
      <c r="B3535" s="0" t="s">
        <v>5289</v>
      </c>
      <c r="C3535" s="0" t="s">
        <v>7194</v>
      </c>
      <c r="D3535" s="0" t="n">
        <v>0.83</v>
      </c>
    </row>
    <row r="3536" customFormat="false" ht="15" hidden="false" customHeight="false" outlineLevel="0" collapsed="false">
      <c r="A3536" s="0" t="s">
        <v>14</v>
      </c>
      <c r="B3536" s="0" t="s">
        <v>5294</v>
      </c>
      <c r="C3536" s="0" t="s">
        <v>7192</v>
      </c>
      <c r="D3536" s="0" t="n">
        <v>0.03</v>
      </c>
    </row>
    <row r="3537" customFormat="false" ht="15" hidden="false" customHeight="false" outlineLevel="0" collapsed="false">
      <c r="A3537" s="0" t="s">
        <v>14</v>
      </c>
      <c r="B3537" s="0" t="s">
        <v>5294</v>
      </c>
      <c r="C3537" s="0" t="s">
        <v>7193</v>
      </c>
      <c r="D3537" s="0" t="n">
        <v>0.025</v>
      </c>
    </row>
    <row r="3538" customFormat="false" ht="15" hidden="false" customHeight="false" outlineLevel="0" collapsed="false">
      <c r="A3538" s="0" t="s">
        <v>14</v>
      </c>
      <c r="B3538" s="0" t="s">
        <v>5294</v>
      </c>
      <c r="C3538" s="0" t="s">
        <v>7194</v>
      </c>
      <c r="D3538" s="0" t="n">
        <v>0.045</v>
      </c>
    </row>
    <row r="3539" customFormat="false" ht="15" hidden="false" customHeight="false" outlineLevel="0" collapsed="false">
      <c r="A3539" s="0" t="s">
        <v>14</v>
      </c>
      <c r="B3539" s="0" t="s">
        <v>5299</v>
      </c>
      <c r="C3539" s="0" t="s">
        <v>7192</v>
      </c>
      <c r="D3539" s="0" t="n">
        <v>0</v>
      </c>
    </row>
    <row r="3540" customFormat="false" ht="15" hidden="false" customHeight="false" outlineLevel="0" collapsed="false">
      <c r="A3540" s="0" t="s">
        <v>14</v>
      </c>
      <c r="B3540" s="0" t="s">
        <v>5299</v>
      </c>
      <c r="C3540" s="0" t="s">
        <v>7193</v>
      </c>
      <c r="D3540" s="0" t="n">
        <v>0</v>
      </c>
    </row>
    <row r="3541" customFormat="false" ht="15" hidden="false" customHeight="false" outlineLevel="0" collapsed="false">
      <c r="A3541" s="0" t="s">
        <v>14</v>
      </c>
      <c r="B3541" s="0" t="s">
        <v>5299</v>
      </c>
      <c r="C3541" s="0" t="s">
        <v>7194</v>
      </c>
      <c r="D3541" s="0" t="n">
        <v>1</v>
      </c>
    </row>
    <row r="3542" customFormat="false" ht="15" hidden="false" customHeight="false" outlineLevel="0" collapsed="false">
      <c r="A3542" s="0" t="s">
        <v>14</v>
      </c>
      <c r="B3542" s="0" t="s">
        <v>5303</v>
      </c>
      <c r="C3542" s="0" t="s">
        <v>7192</v>
      </c>
      <c r="D3542" s="0" t="n">
        <v>0</v>
      </c>
    </row>
    <row r="3543" customFormat="false" ht="15" hidden="false" customHeight="false" outlineLevel="0" collapsed="false">
      <c r="A3543" s="0" t="s">
        <v>14</v>
      </c>
      <c r="B3543" s="0" t="s">
        <v>5303</v>
      </c>
      <c r="C3543" s="0" t="s">
        <v>7193</v>
      </c>
      <c r="D3543" s="0" t="n">
        <v>0</v>
      </c>
    </row>
    <row r="3544" customFormat="false" ht="15" hidden="false" customHeight="false" outlineLevel="0" collapsed="false">
      <c r="A3544" s="0" t="s">
        <v>14</v>
      </c>
      <c r="B3544" s="0" t="s">
        <v>5303</v>
      </c>
      <c r="C3544" s="0" t="s">
        <v>7194</v>
      </c>
      <c r="D3544" s="0" t="n">
        <v>1</v>
      </c>
    </row>
    <row r="3545" customFormat="false" ht="15" hidden="false" customHeight="false" outlineLevel="0" collapsed="false">
      <c r="A3545" s="0" t="s">
        <v>14</v>
      </c>
      <c r="B3545" s="0" t="s">
        <v>5307</v>
      </c>
      <c r="C3545" s="0" t="s">
        <v>7192</v>
      </c>
      <c r="D3545" s="0" t="n">
        <v>1</v>
      </c>
    </row>
    <row r="3546" customFormat="false" ht="15" hidden="false" customHeight="false" outlineLevel="0" collapsed="false">
      <c r="A3546" s="0" t="s">
        <v>14</v>
      </c>
      <c r="B3546" s="0" t="s">
        <v>5307</v>
      </c>
      <c r="C3546" s="0" t="s">
        <v>7193</v>
      </c>
      <c r="D3546" s="0" t="n">
        <v>1</v>
      </c>
    </row>
    <row r="3547" customFormat="false" ht="15" hidden="false" customHeight="false" outlineLevel="0" collapsed="false">
      <c r="A3547" s="0" t="s">
        <v>14</v>
      </c>
      <c r="B3547" s="0" t="s">
        <v>5307</v>
      </c>
      <c r="C3547" s="0" t="s">
        <v>7194</v>
      </c>
      <c r="D3547" s="0" t="n">
        <v>1</v>
      </c>
    </row>
    <row r="3548" customFormat="false" ht="15" hidden="false" customHeight="false" outlineLevel="0" collapsed="false">
      <c r="A3548" s="0" t="s">
        <v>14</v>
      </c>
      <c r="B3548" s="0" t="s">
        <v>5311</v>
      </c>
      <c r="C3548" s="0" t="s">
        <v>7192</v>
      </c>
      <c r="D3548" s="0" t="n">
        <v>2027</v>
      </c>
    </row>
    <row r="3549" customFormat="false" ht="15" hidden="false" customHeight="false" outlineLevel="0" collapsed="false">
      <c r="A3549" s="0" t="s">
        <v>14</v>
      </c>
      <c r="B3549" s="0" t="s">
        <v>5311</v>
      </c>
      <c r="C3549" s="0" t="s">
        <v>7193</v>
      </c>
      <c r="D3549" s="0" t="n">
        <v>2027</v>
      </c>
    </row>
    <row r="3550" customFormat="false" ht="15" hidden="false" customHeight="false" outlineLevel="0" collapsed="false">
      <c r="A3550" s="0" t="s">
        <v>14</v>
      </c>
      <c r="B3550" s="0" t="s">
        <v>5311</v>
      </c>
      <c r="C3550" s="0" t="s">
        <v>7194</v>
      </c>
      <c r="D3550" s="0" t="n">
        <v>2027</v>
      </c>
    </row>
    <row r="3551" customFormat="false" ht="15" hidden="false" customHeight="false" outlineLevel="0" collapsed="false">
      <c r="A3551" s="0" t="s">
        <v>14</v>
      </c>
      <c r="B3551" s="0" t="s">
        <v>5315</v>
      </c>
      <c r="C3551" s="0" t="s">
        <v>7192</v>
      </c>
      <c r="D3551" s="0" t="n">
        <v>0.75</v>
      </c>
    </row>
    <row r="3552" customFormat="false" ht="15" hidden="false" customHeight="false" outlineLevel="0" collapsed="false">
      <c r="A3552" s="0" t="s">
        <v>14</v>
      </c>
      <c r="B3552" s="0" t="s">
        <v>5315</v>
      </c>
      <c r="C3552" s="0" t="s">
        <v>7193</v>
      </c>
      <c r="D3552" s="0" t="n">
        <v>0</v>
      </c>
    </row>
    <row r="3553" customFormat="false" ht="15" hidden="false" customHeight="false" outlineLevel="0" collapsed="false">
      <c r="A3553" s="0" t="s">
        <v>14</v>
      </c>
      <c r="B3553" s="0" t="s">
        <v>5315</v>
      </c>
      <c r="C3553" s="0" t="s">
        <v>7194</v>
      </c>
      <c r="D3553" s="0" t="n">
        <v>1.5</v>
      </c>
    </row>
    <row r="3554" customFormat="false" ht="15" hidden="false" customHeight="false" outlineLevel="0" collapsed="false">
      <c r="A3554" s="0" t="s">
        <v>14</v>
      </c>
      <c r="B3554" s="0" t="s">
        <v>5320</v>
      </c>
      <c r="C3554" s="0" t="s">
        <v>7192</v>
      </c>
      <c r="D3554" s="0" t="n">
        <v>3</v>
      </c>
    </row>
    <row r="3555" customFormat="false" ht="15" hidden="false" customHeight="false" outlineLevel="0" collapsed="false">
      <c r="A3555" s="0" t="s">
        <v>14</v>
      </c>
      <c r="B3555" s="0" t="s">
        <v>5320</v>
      </c>
      <c r="C3555" s="0" t="s">
        <v>7193</v>
      </c>
      <c r="D3555" s="0" t="n">
        <v>1</v>
      </c>
    </row>
    <row r="3556" customFormat="false" ht="15" hidden="false" customHeight="false" outlineLevel="0" collapsed="false">
      <c r="A3556" s="0" t="s">
        <v>14</v>
      </c>
      <c r="B3556" s="0" t="s">
        <v>5320</v>
      </c>
      <c r="C3556" s="0" t="s">
        <v>7194</v>
      </c>
      <c r="D3556" s="0" t="n">
        <v>5</v>
      </c>
    </row>
    <row r="3557" customFormat="false" ht="15" hidden="false" customHeight="false" outlineLevel="0" collapsed="false">
      <c r="A3557" s="0" t="s">
        <v>14</v>
      </c>
      <c r="B3557" s="0" t="s">
        <v>5325</v>
      </c>
      <c r="C3557" s="0" t="s">
        <v>7192</v>
      </c>
      <c r="D3557" s="0" t="n">
        <v>62</v>
      </c>
    </row>
    <row r="3558" customFormat="false" ht="15" hidden="false" customHeight="false" outlineLevel="0" collapsed="false">
      <c r="A3558" s="0" t="s">
        <v>14</v>
      </c>
      <c r="B3558" s="0" t="s">
        <v>5325</v>
      </c>
      <c r="C3558" s="0" t="s">
        <v>7193</v>
      </c>
      <c r="D3558" s="0" t="n">
        <v>62</v>
      </c>
    </row>
    <row r="3559" customFormat="false" ht="15" hidden="false" customHeight="false" outlineLevel="0" collapsed="false">
      <c r="A3559" s="0" t="s">
        <v>14</v>
      </c>
      <c r="B3559" s="0" t="s">
        <v>5325</v>
      </c>
      <c r="C3559" s="0" t="s">
        <v>7194</v>
      </c>
      <c r="D3559" s="0" t="n">
        <v>62</v>
      </c>
    </row>
    <row r="3560" customFormat="false" ht="15" hidden="false" customHeight="false" outlineLevel="0" collapsed="false">
      <c r="A3560" s="0" t="s">
        <v>14</v>
      </c>
      <c r="B3560" s="0" t="s">
        <v>5329</v>
      </c>
      <c r="C3560" s="0" t="s">
        <v>7192</v>
      </c>
      <c r="D3560" s="0" t="n">
        <v>0</v>
      </c>
    </row>
    <row r="3561" customFormat="false" ht="15" hidden="false" customHeight="false" outlineLevel="0" collapsed="false">
      <c r="A3561" s="0" t="s">
        <v>14</v>
      </c>
      <c r="B3561" s="0" t="s">
        <v>5329</v>
      </c>
      <c r="C3561" s="0" t="s">
        <v>7193</v>
      </c>
      <c r="D3561" s="0" t="n">
        <v>0</v>
      </c>
    </row>
    <row r="3562" customFormat="false" ht="15" hidden="false" customHeight="false" outlineLevel="0" collapsed="false">
      <c r="A3562" s="0" t="s">
        <v>14</v>
      </c>
      <c r="B3562" s="0" t="s">
        <v>5329</v>
      </c>
      <c r="C3562" s="0" t="s">
        <v>7194</v>
      </c>
      <c r="D3562" s="0" t="n">
        <v>0.25</v>
      </c>
    </row>
    <row r="3563" customFormat="false" ht="15" hidden="false" customHeight="false" outlineLevel="0" collapsed="false">
      <c r="A3563" s="0" t="s">
        <v>14</v>
      </c>
      <c r="B3563" s="0" t="s">
        <v>5335</v>
      </c>
      <c r="C3563" s="0" t="s">
        <v>7192</v>
      </c>
      <c r="D3563" s="0" t="n">
        <v>1</v>
      </c>
    </row>
    <row r="3564" customFormat="false" ht="15" hidden="false" customHeight="false" outlineLevel="0" collapsed="false">
      <c r="A3564" s="0" t="s">
        <v>14</v>
      </c>
      <c r="B3564" s="0" t="s">
        <v>5335</v>
      </c>
      <c r="C3564" s="0" t="s">
        <v>7193</v>
      </c>
      <c r="D3564" s="0" t="n">
        <v>0.5</v>
      </c>
    </row>
    <row r="3565" customFormat="false" ht="15" hidden="false" customHeight="false" outlineLevel="0" collapsed="false">
      <c r="A3565" s="0" t="s">
        <v>14</v>
      </c>
      <c r="B3565" s="0" t="s">
        <v>5335</v>
      </c>
      <c r="C3565" s="0" t="s">
        <v>7194</v>
      </c>
      <c r="D3565" s="0" t="n">
        <v>2</v>
      </c>
    </row>
    <row r="3566" customFormat="false" ht="15" hidden="false" customHeight="false" outlineLevel="0" collapsed="false">
      <c r="A3566" s="0" t="s">
        <v>14</v>
      </c>
      <c r="B3566" s="0" t="s">
        <v>5340</v>
      </c>
      <c r="C3566" s="0" t="s">
        <v>7192</v>
      </c>
      <c r="D3566" s="0" t="n">
        <v>0</v>
      </c>
    </row>
    <row r="3567" customFormat="false" ht="15" hidden="false" customHeight="false" outlineLevel="0" collapsed="false">
      <c r="A3567" s="0" t="s">
        <v>14</v>
      </c>
      <c r="B3567" s="0" t="s">
        <v>5340</v>
      </c>
      <c r="C3567" s="0" t="s">
        <v>7193</v>
      </c>
      <c r="D3567" s="0" t="n">
        <v>0</v>
      </c>
    </row>
    <row r="3568" customFormat="false" ht="15" hidden="false" customHeight="false" outlineLevel="0" collapsed="false">
      <c r="A3568" s="0" t="s">
        <v>14</v>
      </c>
      <c r="B3568" s="0" t="s">
        <v>5340</v>
      </c>
      <c r="C3568" s="0" t="s">
        <v>7194</v>
      </c>
      <c r="D3568" s="0" t="n">
        <v>0.2</v>
      </c>
    </row>
    <row r="3569" customFormat="false" ht="15" hidden="false" customHeight="false" outlineLevel="0" collapsed="false">
      <c r="A3569" s="0" t="s">
        <v>14</v>
      </c>
      <c r="B3569" s="0" t="s">
        <v>5345</v>
      </c>
      <c r="C3569" s="0" t="s">
        <v>7192</v>
      </c>
      <c r="D3569" s="0" t="n">
        <v>0.718</v>
      </c>
    </row>
    <row r="3570" customFormat="false" ht="15" hidden="false" customHeight="false" outlineLevel="0" collapsed="false">
      <c r="A3570" s="0" t="s">
        <v>14</v>
      </c>
      <c r="B3570" s="0" t="s">
        <v>5345</v>
      </c>
      <c r="C3570" s="0" t="s">
        <v>7193</v>
      </c>
      <c r="D3570" s="0" t="n">
        <v>0.6</v>
      </c>
    </row>
    <row r="3571" customFormat="false" ht="15" hidden="false" customHeight="false" outlineLevel="0" collapsed="false">
      <c r="A3571" s="0" t="s">
        <v>14</v>
      </c>
      <c r="B3571" s="0" t="s">
        <v>5345</v>
      </c>
      <c r="C3571" s="0" t="s">
        <v>7194</v>
      </c>
      <c r="D3571" s="0" t="n">
        <v>0.8</v>
      </c>
    </row>
    <row r="3572" customFormat="false" ht="15" hidden="false" customHeight="false" outlineLevel="0" collapsed="false">
      <c r="A3572" s="0" t="s">
        <v>14</v>
      </c>
      <c r="B3572" s="0" t="s">
        <v>5350</v>
      </c>
      <c r="C3572" s="0" t="s">
        <v>7192</v>
      </c>
      <c r="D3572" s="0" t="n">
        <v>1</v>
      </c>
    </row>
    <row r="3573" customFormat="false" ht="15" hidden="false" customHeight="false" outlineLevel="0" collapsed="false">
      <c r="A3573" s="0" t="s">
        <v>14</v>
      </c>
      <c r="B3573" s="0" t="s">
        <v>5350</v>
      </c>
      <c r="C3573" s="0" t="s">
        <v>7193</v>
      </c>
      <c r="D3573" s="0" t="n">
        <v>1</v>
      </c>
    </row>
    <row r="3574" customFormat="false" ht="15" hidden="false" customHeight="false" outlineLevel="0" collapsed="false">
      <c r="A3574" s="0" t="s">
        <v>14</v>
      </c>
      <c r="B3574" s="0" t="s">
        <v>5350</v>
      </c>
      <c r="C3574" s="0" t="s">
        <v>7194</v>
      </c>
      <c r="D3574" s="0" t="n">
        <v>1</v>
      </c>
    </row>
    <row r="3575" customFormat="false" ht="15" hidden="false" customHeight="false" outlineLevel="0" collapsed="false">
      <c r="A3575" s="0" t="s">
        <v>14</v>
      </c>
      <c r="B3575" s="0" t="s">
        <v>5354</v>
      </c>
      <c r="C3575" s="0" t="s">
        <v>7192</v>
      </c>
      <c r="D3575" s="0" t="n">
        <v>0</v>
      </c>
    </row>
    <row r="3576" customFormat="false" ht="15" hidden="false" customHeight="false" outlineLevel="0" collapsed="false">
      <c r="A3576" s="0" t="s">
        <v>14</v>
      </c>
      <c r="B3576" s="0" t="s">
        <v>5354</v>
      </c>
      <c r="C3576" s="0" t="s">
        <v>7193</v>
      </c>
      <c r="D3576" s="0" t="n">
        <v>0</v>
      </c>
    </row>
    <row r="3577" customFormat="false" ht="15" hidden="false" customHeight="false" outlineLevel="0" collapsed="false">
      <c r="A3577" s="0" t="s">
        <v>14</v>
      </c>
      <c r="B3577" s="0" t="s">
        <v>5354</v>
      </c>
      <c r="C3577" s="0" t="s">
        <v>7194</v>
      </c>
      <c r="D3577" s="0" t="n">
        <v>1</v>
      </c>
    </row>
    <row r="3578" customFormat="false" ht="15" hidden="false" customHeight="false" outlineLevel="0" collapsed="false">
      <c r="A3578" s="0" t="s">
        <v>14</v>
      </c>
      <c r="B3578" s="0" t="s">
        <v>5358</v>
      </c>
      <c r="C3578" s="0" t="s">
        <v>7192</v>
      </c>
      <c r="D3578" s="0" t="n">
        <v>0</v>
      </c>
    </row>
    <row r="3579" customFormat="false" ht="15" hidden="false" customHeight="false" outlineLevel="0" collapsed="false">
      <c r="A3579" s="0" t="s">
        <v>14</v>
      </c>
      <c r="B3579" s="0" t="s">
        <v>5358</v>
      </c>
      <c r="C3579" s="0" t="s">
        <v>7193</v>
      </c>
      <c r="D3579" s="0" t="n">
        <v>0</v>
      </c>
    </row>
    <row r="3580" customFormat="false" ht="15" hidden="false" customHeight="false" outlineLevel="0" collapsed="false">
      <c r="A3580" s="0" t="s">
        <v>14</v>
      </c>
      <c r="B3580" s="0" t="s">
        <v>5358</v>
      </c>
      <c r="C3580" s="0" t="s">
        <v>7194</v>
      </c>
      <c r="D3580" s="0" t="n">
        <v>0</v>
      </c>
    </row>
    <row r="3581" customFormat="false" ht="15" hidden="false" customHeight="false" outlineLevel="0" collapsed="false">
      <c r="A3581" s="0" t="s">
        <v>14</v>
      </c>
      <c r="B3581" s="0" t="s">
        <v>5363</v>
      </c>
      <c r="C3581" s="0" t="s">
        <v>7192</v>
      </c>
      <c r="D3581" s="0" t="n">
        <v>0.001</v>
      </c>
    </row>
    <row r="3582" customFormat="false" ht="15" hidden="false" customHeight="false" outlineLevel="0" collapsed="false">
      <c r="A3582" s="0" t="s">
        <v>14</v>
      </c>
      <c r="B3582" s="0" t="s">
        <v>5363</v>
      </c>
      <c r="C3582" s="0" t="s">
        <v>7193</v>
      </c>
      <c r="D3582" s="0" t="n">
        <v>0.001</v>
      </c>
    </row>
    <row r="3583" customFormat="false" ht="15" hidden="false" customHeight="false" outlineLevel="0" collapsed="false">
      <c r="A3583" s="0" t="s">
        <v>14</v>
      </c>
      <c r="B3583" s="0" t="s">
        <v>5363</v>
      </c>
      <c r="C3583" s="0" t="s">
        <v>7194</v>
      </c>
      <c r="D3583" s="0" t="n">
        <v>0.001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2026-10-29T23:58:41Z</dcterms:created>
  <dc:creator>openpyxl</dc:creator>
  <dc:description/>
  <dc:language>en-US</dc:language>
  <cp:lastModifiedBy/>
  <dcterms:modified xsi:type="dcterms:W3CDTF">2026-10-29T23:58:42Z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