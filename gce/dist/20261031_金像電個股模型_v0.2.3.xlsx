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In!$E$47</definedName>
    <definedName function="false" hidden="false" name="ai_25_hi" vbProcedure="false">In!$F$47</definedName>
    <definedName function="false" hidden="false" name="ai_25_lo" vbProcedure="false">In!$D$47</definedName>
    <definedName function="false" hidden="false" name="CAPHI_27" vbProcedure="false">In!$F$43</definedName>
    <definedName function="false" hidden="false" name="CAPHI_28" vbProcedure="false">In!$F$44</definedName>
    <definedName function="false" hidden="false" name="CAPHI_29" vbProcedure="false">In!$F$45</definedName>
    <definedName function="false" hidden="false" name="CAPLO_27" vbProcedure="false">In!$D$43</definedName>
    <definedName function="false" hidden="false" name="CAPLO_28" vbProcedure="false">In!$D$44</definedName>
    <definedName function="false" hidden="false" name="CAPLO_29" vbProcedure="false">In!$D$45</definedName>
    <definedName function="false" hidden="false" name="cons_eps26" vbProcedure="false">In!$E$80</definedName>
    <definedName function="false" hidden="false" name="cons_eps27" vbProcedure="false">In!$E$82</definedName>
    <definedName function="false" hidden="false" name="cons_eps28" vbProcedure="false">In!$E$84</definedName>
    <definedName function="false" hidden="false" name="cons_feps" vbProcedure="false">In!$E$108</definedName>
    <definedName function="false" hidden="false" name="cons_rev26" vbProcedure="false">In!$E$79</definedName>
    <definedName function="false" hidden="false" name="cons_rev27" vbProcedure="false">In!$E$81</definedName>
    <definedName function="false" hidden="false" name="cons_rev28" vbProcedure="false">In!$E$83</definedName>
    <definedName function="false" hidden="false" name="cons_tp" vbProcedure="false">In!$E$109</definedName>
    <definedName function="false" hidden="false" name="cx_27" vbProcedure="false">In!$E$43</definedName>
    <definedName function="false" hidden="false" name="cx_27_hi" vbProcedure="false">In!$F$43</definedName>
    <definedName function="false" hidden="false" name="cx_27_lo" vbProcedure="false">In!$D$43</definedName>
    <definedName function="false" hidden="false" name="cx_28" vbProcedure="false">In!$E$44</definedName>
    <definedName function="false" hidden="false" name="cx_28_hi" vbProcedure="false">In!$F$44</definedName>
    <definedName function="false" hidden="false" name="cx_28_lo" vbProcedure="false">In!$D$44</definedName>
    <definedName function="false" hidden="false" name="cx_29" vbProcedure="false">In!$E$45</definedName>
    <definedName function="false" hidden="false" name="cx_29_hi" vbProcedure="false">In!$F$45</definedName>
    <definedName function="false" hidden="false" name="cx_29_lo" vbProcedure="false">In!$D$45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emc_ccl26" vbProcedure="false">In!$E$89</definedName>
    <definedName function="false" hidden="false" name="emc_ccl27" vbProcedure="false">In!$E$91</definedName>
    <definedName function="false" hidden="false" name="emc_ccl28" vbProcedure="false">In!$E$93</definedName>
    <definedName function="false" hidden="false" name="emc_ccl29" vbProcedure="false">In!$E$95</definedName>
    <definedName function="false" hidden="false" name="emc_pg26" vbProcedure="false">In!$E$97</definedName>
    <definedName function="false" hidden="false" name="emc_pg27" vbProcedure="false">In!$E$99</definedName>
    <definedName function="false" hidden="false" name="emc_pg28" vbProcedure="false">In!$E$101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fb_eps27" vbProcedure="false">In!$E$88</definedName>
    <definedName function="false" hidden="false" name="fpe" vbProcedure="false">In!$E$107</definedName>
    <definedName function="false" hidden="false" name="fs_eps26" vbProcedure="false">In!$E$85</definedName>
    <definedName function="false" hidden="false" name="fs_eps27" vbProcedure="false">In!$E$86</definedName>
    <definedName function="false" hidden="false" name="fs_eps28" vbProcedure="false">In!$E$87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In!$E$58</definedName>
    <definedName function="false" hidden="false" name="gmu_27_A" vbProcedure="false">In!$E$133</definedName>
    <definedName function="false" hidden="false" name="gmu_27_C" vbProcedure="false">In!$E$142</definedName>
    <definedName function="false" hidden="false" name="gmu_27_hi" vbProcedure="false">In!$F$58</definedName>
    <definedName function="false" hidden="false" name="gmu_27_lo" vbProcedure="false">In!$D$58</definedName>
    <definedName function="false" hidden="false" name="gmu_28" vbProcedure="false">In!$E$59</definedName>
    <definedName function="false" hidden="false" name="gmu_28_A" vbProcedure="false">In!$E$134</definedName>
    <definedName function="false" hidden="false" name="gmu_28_C" vbProcedure="false">In!$E$143</definedName>
    <definedName function="false" hidden="false" name="gmu_28_hi" vbProcedure="false">In!$F$59</definedName>
    <definedName function="false" hidden="false" name="gmu_28_lo" vbProcedure="false">In!$D$59</definedName>
    <definedName function="false" hidden="false" name="gmu_29" vbProcedure="false">In!$E$60</definedName>
    <definedName function="false" hidden="false" name="gmu_29_A" vbProcedure="false">In!$E$135</definedName>
    <definedName function="false" hidden="false" name="gmu_29_C" vbProcedure="false">In!$E$144</definedName>
    <definedName function="false" hidden="false" name="gmu_29_hi" vbProcedure="false">In!$F$60</definedName>
    <definedName function="false" hidden="false" name="gmu_29_lo" vbProcedure="false">In!$D$60</definedName>
    <definedName function="false" hidden="false" name="GNHI27" vbProcedure="false">In!$F$49</definedName>
    <definedName function="false" hidden="false" name="GNHI28" vbProcedure="false">In!$F$50</definedName>
    <definedName function="false" hidden="false" name="GNHI29" vbProcedure="false">In!$F$51</definedName>
    <definedName function="false" hidden="false" name="GNLO27" vbProcedure="false">In!$D$49</definedName>
    <definedName function="false" hidden="false" name="GNLO28" vbProcedure="false">In!$D$50</definedName>
    <definedName function="false" hidden="false" name="GNLO29" vbProcedure="false">In!$D$51</definedName>
    <definedName function="false" hidden="false" name="GUHI_27" vbProcedure="false">In!$F$58</definedName>
    <definedName function="false" hidden="false" name="GUHI_28" vbProcedure="false">In!$F$59</definedName>
    <definedName function="false" hidden="false" name="GUHI_29" vbProcedure="false">In!$F$60</definedName>
    <definedName function="false" hidden="false" name="GULO_27" vbProcedure="false">In!$D$58</definedName>
    <definedName function="false" hidden="false" name="GULO_28" vbProcedure="false">In!$D$59</definedName>
    <definedName function="false" hidden="false" name="GULO_29" vbProcedure="false">In!$D$60</definedName>
    <definedName function="false" hidden="false" name="g_nai26" vbProcedure="false">In!$E$48</definedName>
    <definedName function="false" hidden="false" name="g_nai26_hi" vbProcedure="false">In!$F$48</definedName>
    <definedName function="false" hidden="false" name="g_nai26_lo" vbProcedure="false">In!$D$48</definedName>
    <definedName function="false" hidden="false" name="g_nai27" vbProcedure="false">In!$E$49</definedName>
    <definedName function="false" hidden="false" name="g_nai27_hi" vbProcedure="false">In!$F$49</definedName>
    <definedName function="false" hidden="false" name="g_nai27_lo" vbProcedure="false">In!$D$49</definedName>
    <definedName function="false" hidden="false" name="g_nai28" vbProcedure="false">In!$E$50</definedName>
    <definedName function="false" hidden="false" name="g_nai28_hi" vbProcedure="false">In!$F$50</definedName>
    <definedName function="false" hidden="false" name="g_nai28_lo" vbProcedure="false">In!$D$50</definedName>
    <definedName function="false" hidden="false" name="g_nai29" vbProcedure="false">In!$E$51</definedName>
    <definedName function="false" hidden="false" name="g_nai29_hi" vbProcedure="false">In!$F$51</definedName>
    <definedName function="false" hidden="false" name="g_nai29_lo" vbProcedure="false">In!$D$51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In!$E$77</definedName>
    <definedName function="false" hidden="false" name="mf_hi" vbProcedure="false">In!$F$77</definedName>
    <definedName function="false" hidden="false" name="mf_lo" vbProcedure="false">In!$D$77</definedName>
    <definedName function="false" hidden="false" name="net25" vbProcedure="false">In!$E$53</definedName>
    <definedName function="false" hidden="false" name="net25_hi" vbProcedure="false">In!$F$53</definedName>
    <definedName function="false" hidden="false" name="net25_lo" vbProcedure="false">In!$D$53</definedName>
    <definedName function="false" hidden="false" name="net26" vbProcedure="false">In!$E$55</definedName>
    <definedName function="false" hidden="false" name="net26_hi" vbProcedure="false">In!$F$55</definedName>
    <definedName function="false" hidden="false" name="net26_lo" vbProcedure="false">In!$D$55</definedName>
    <definedName function="false" hidden="false" name="nim_avg" vbProcedure="false">In!$E$110</definedName>
    <definedName function="false" hidden="false" name="nir_f" vbProcedure="false">In!$E$75</definedName>
    <definedName function="false" hidden="false" name="nir_f_hi" vbProcedure="false">In!$F$75</definedName>
    <definedName function="false" hidden="false" name="nir_f_lo" vbProcedure="false">In!$D$75</definedName>
    <definedName function="false" hidden="false" name="nop_f" vbProcedure="false">In!$E$74</definedName>
    <definedName function="false" hidden="false" name="nop_f_hi" vbProcedure="false">In!$F$74</definedName>
    <definedName function="false" hidden="false" name="nop_f_lo" vbProcedure="false">In!$D$74</definedName>
    <definedName function="false" hidden="false" name="opx_adj" vbProcedure="false">In!$E$73</definedName>
    <definedName function="false" hidden="false" name="opx_adj_hi" vbProcedure="false">In!$F$73</definedName>
    <definedName function="false" hidden="false" name="opx_adj_lo" vbProcedure="false">In!$D$73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In!$E$106</definedName>
    <definedName function="false" hidden="false" name="pgwf" vbProcedure="false">In!$E$35</definedName>
    <definedName function="false" hidden="false" name="pgwf_hi" vbProcedure="false">In!$F$35</definedName>
    <definedName function="false" hidden="false" name="pgwf_lo" vbProcedure="false">In!$D$35</definedName>
    <definedName function="false" hidden="false" name="phi" vbProcedure="false">In!$E$72</definedName>
    <definedName function="false" hidden="false" name="phi_hi" vbProcedure="false">In!$F$72</definedName>
    <definedName function="false" hidden="false" name="phi_lo" vbProcedure="false">In!$D$72</definedName>
    <definedName function="false" hidden="false" name="PPHI_27" vbProcedure="false">In!$F$39</definedName>
    <definedName function="false" hidden="false" name="PPHI_28" vbProcedure="false">In!$F$40</definedName>
    <definedName function="false" hidden="false" name="PPHI_29" vbProcedure="false">In!$F$41</definedName>
    <definedName function="false" hidden="false" name="PPLO_27" vbProcedure="false">In!$D$39</definedName>
    <definedName function="false" hidden="false" name="PPLO_28" vbProcedure="false">In!$D$40</definedName>
    <definedName function="false" hidden="false" name="PPLO_29" vbProcedure="false">In!$D$41</definedName>
    <definedName function="false" hidden="false" name="pp_27" vbProcedure="false">In!$E$39</definedName>
    <definedName function="false" hidden="false" name="pp_27_A" vbProcedure="false">In!$E$127</definedName>
    <definedName function="false" hidden="false" name="pp_27_C" vbProcedure="false">In!$E$136</definedName>
    <definedName function="false" hidden="false" name="pp_27_hi" vbProcedure="false">In!$F$39</definedName>
    <definedName function="false" hidden="false" name="pp_27_lo" vbProcedure="false">In!$D$39</definedName>
    <definedName function="false" hidden="false" name="pp_28" vbProcedure="false">In!$E$40</definedName>
    <definedName function="false" hidden="false" name="pp_28_A" vbProcedure="false">In!$E$128</definedName>
    <definedName function="false" hidden="false" name="pp_28_C" vbProcedure="false">In!$E$137</definedName>
    <definedName function="false" hidden="false" name="pp_28_hi" vbProcedure="false">In!$F$40</definedName>
    <definedName function="false" hidden="false" name="pp_28_lo" vbProcedure="false">In!$D$40</definedName>
    <definedName function="false" hidden="false" name="pp_29" vbProcedure="false">In!$E$41</definedName>
    <definedName function="false" hidden="false" name="pp_29_A" vbProcedure="false">In!$E$129</definedName>
    <definedName function="false" hidden="false" name="pp_29_C" vbProcedure="false">In!$E$138</definedName>
    <definedName function="false" hidden="false" name="pp_29_hi" vbProcedure="false">In!$F$41</definedName>
    <definedName function="false" hidden="false" name="pp_29_lo" vbProcedure="false">In!$D$41</definedName>
    <definedName function="false" hidden="false" name="px" vbProcedure="false">In!$E$105</definedName>
    <definedName function="false" hidden="false" name="q1_rev" vbProcedure="false">In!$E$62</definedName>
    <definedName function="false" hidden="false" name="q3_rev" vbProcedure="false">In!$E$63</definedName>
    <definedName function="false" hidden="false" name="q4g" vbProcedure="false">In!$E$64</definedName>
    <definedName function="false" hidden="false" name="q4g_hi" vbProcedure="false">In!$F$64</definedName>
    <definedName function="false" hidden="false" name="q4g_lo" vbProcedure="false">In!$D$64</definedName>
    <definedName function="false" hidden="false" name="q_gm" vbProcedure="false">In!$E$65</definedName>
    <definedName function="false" hidden="false" name="q_gm_hi" vbProcedure="false">In!$F$65</definedName>
    <definedName function="false" hidden="false" name="q_gm_lo" vbProcedure="false">In!$D$65</definedName>
    <definedName function="false" hidden="false" name="q_nir" vbProcedure="false">In!$E$68</definedName>
    <definedName function="false" hidden="false" name="q_nir_hi" vbProcedure="false">In!$F$68</definedName>
    <definedName function="false" hidden="false" name="q_nir_lo" vbProcedure="false">In!$D$68</definedName>
    <definedName function="false" hidden="false" name="q_nop" vbProcedure="false">In!$E$67</definedName>
    <definedName function="false" hidden="false" name="q_nop_hi" vbProcedure="false">In!$F$67</definedName>
    <definedName function="false" hidden="false" name="q_nop_lo" vbProcedure="false">In!$D$67</definedName>
    <definedName function="false" hidden="false" name="q_opx" vbProcedure="false">In!$E$66</definedName>
    <definedName function="false" hidden="false" name="q_opx_hi" vbProcedure="false">In!$F$66</definedName>
    <definedName function="false" hidden="false" name="q_opx_lo" vbProcedure="false">In!$D$66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A" vbProcedure="false">In!$E$130</definedName>
    <definedName function="false" hidden="false" name="rel_27_C" vbProcedure="false">In!$E$139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A" vbProcedure="false">In!$E$131</definedName>
    <definedName function="false" hidden="false" name="rel_28_C" vbProcedure="false">In!$E$140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A" vbProcedure="false">In!$E$132</definedName>
    <definedName function="false" hidden="false" name="rel_29_C" vbProcedure="false">In!$E$141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rm_factor" vbProcedure="false">Val!$B$138</definedName>
    <definedName function="false" hidden="false" name="sh_1h" vbProcedure="false">In!$E$69</definedName>
    <definedName function="false" hidden="false" name="sh_g" vbProcedure="false">In!$E$76</definedName>
    <definedName function="false" hidden="false" name="sh_g_hi" vbProcedure="false">In!$F$76</definedName>
    <definedName function="false" hidden="false" name="sh_g_lo" vbProcedure="false">In!$D$76</definedName>
    <definedName function="false" hidden="false" name="sh_h2" vbProcedure="false">In!$E$70</definedName>
    <definedName function="false" hidden="false" name="srv25" vbProcedure="false">In!$E$52</definedName>
    <definedName function="false" hidden="false" name="srv25_hi" vbProcedure="false">In!$F$52</definedName>
    <definedName function="false" hidden="false" name="srv25_lo" vbProcedure="false">In!$D$52</definedName>
    <definedName function="false" hidden="false" name="srv26" vbProcedure="false">In!$E$54</definedName>
    <definedName function="false" hidden="false" name="srv26_hi" vbProcedure="false">In!$F$54</definedName>
    <definedName function="false" hidden="false" name="srv26_lo" vbProcedure="false">In!$D$54</definedName>
    <definedName function="false" hidden="false" name="tp_comp_adj" vbProcedure="false">Val!$B$139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In!$E$112</definedName>
    <definedName function="false" hidden="false" name="tp_wB" vbProcedure="false">In!$E$113</definedName>
    <definedName function="false" hidden="false" name="tp_wC" vbProcedure="false">In!$E$114</definedName>
    <definedName function="false" hidden="false" name="tp_w_dcf" vbProcedure="false">In!$E$118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g_cmp26" vbProcedure="false">In!$E$22</definedName>
    <definedName function="false" hidden="false" name="vg_cmp27" vbProcedure="false">In!$E$23</definedName>
    <definedName function="false" hidden="false" name="vg_cmp28" vbProcedure="false">In!$E$24</definedName>
    <definedName function="false" hidden="false" name="vg_cmp29" vbProcedure="false">In!$E$25</definedName>
    <definedName function="false" hidden="false" name="vg_mid26" vbProcedure="false">In!$E$30</definedName>
    <definedName function="false" hidden="false" name="vg_mid27" vbProcedure="false">In!$E$31</definedName>
    <definedName function="false" hidden="false" name="vg_mid28" vbProcedure="false">In!$E$32</definedName>
    <definedName function="false" hidden="false" name="vg_mid29" vbProcedure="false">In!$E$33</definedName>
    <definedName function="false" hidden="false" name="vg_pge26" vbProcedure="false">In!$E$98</definedName>
    <definedName function="false" hidden="false" name="vg_pge27" vbProcedure="false">In!$E$100</definedName>
    <definedName function="false" hidden="false" name="vg_pge28" vbProcedure="false">In!$E$102</definedName>
    <definedName function="false" hidden="false" name="vg_pgw26" vbProcedure="false">In!$E$90</definedName>
    <definedName function="false" hidden="false" name="vg_pgw27" vbProcedure="false">In!$E$92</definedName>
    <definedName function="false" hidden="false" name="vg_pgw28" vbProcedure="false">In!$E$94</definedName>
    <definedName function="false" hidden="false" name="vg_pgw29" vbProcedure="false">In!$E$96</definedName>
    <definedName function="false" hidden="false" name="vg_sh26" vbProcedure="false">In!$E$103</definedName>
    <definedName function="false" hidden="false" name="vg_sw26" vbProcedure="false">In!$E$26</definedName>
    <definedName function="false" hidden="false" name="vg_sw27" vbProcedure="false">In!$E$27</definedName>
    <definedName function="false" hidden="false" name="vg_sw28" vbProcedure="false">In!$E$28</definedName>
    <definedName function="false" hidden="false" name="vg_sw29" vbProcedure="false">In!$E$29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w_mid" vbProcedure="false">In!$E$34</definedName>
    <definedName function="false" hidden="false" name="w_mid_hi" vbProcedure="false">In!$F$34</definedName>
    <definedName function="false" hidden="false" name="w_mid_lo" vbProcedure="false">In!$D$34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<sst xmlns="http://schemas.openxmlformats.org/spreadsheetml/2006/main" count="4485" uniqueCount="1051">
  <si>
    <r>
      <rPr>
        <b val="true"/>
        <sz val="11"/>
        <rFont val="Noto Sans CJK SC"/>
        <family val="2"/>
      </rPr>
      <t xml:space="preserve">金像電（</t>
    </r>
    <r>
      <rPr>
        <b val="true"/>
        <sz val="11"/>
        <rFont val="Cambria"/>
        <family val="0"/>
        <charset val="1"/>
      </rPr>
      <t xml:space="preserve">2368.TW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次產業；伺服器與交換器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、高層數板）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</si>
  <si>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victory_giant/dist Units </t>
    </r>
    <r>
      <rPr>
        <sz val="11"/>
        <rFont val="Noto Sans CJK SC"/>
        <family val="2"/>
      </rPr>
      <t xml:space="preserve">頁，本專案權威，口徑一致），本模型只加金像電對中板／背板的參與係數；金像電份額與產值產能在本模型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頁對照勝宏模型與台光電每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金額。</t>
    </r>
  </si>
  <si>
    <r>
      <rPr>
        <sz val="11"/>
        <rFont val="Noto Sans CJK SC"/>
        <family val="2"/>
      </rPr>
      <t xml:space="preserve">模型命題：金像電的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可參與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金額（勝宏模型三項，中板／背板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參與係數）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金像電份額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（一般伺服器、網通、筆電）另設成長率。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</si>
  <si>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億元資本支出（台灣、蘇州、泰國二廠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下半年開出）能讓產能在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主板改 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HLC </t>
    </r>
    <r>
      <rPr>
        <sz val="11"/>
        <rFont val="Noto Sans CJK SC"/>
        <family val="2"/>
      </rPr>
      <t xml:space="preserve">混壓後份額守不守得住；現價約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</si>
  <si>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</si>
  <si>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</si>
  <si>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金額（勝宏模型，</t>
    </r>
    <r>
      <rPr>
        <sz val="11"/>
        <rFont val="Cambria"/>
        <family val="0"/>
        <charset val="1"/>
      </rPr>
      <t xml:space="preserve">US$450M → 682M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</si>
  <si>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營收（產能吃緊、滿載）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2027 1.45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2028 1.90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億元資本支出與各廠時程）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</si>
  <si>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10pt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0.685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</si>
  <si>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297.19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</si>
  <si>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目標價（臺美同業健鼎、華通、臻鼎</t>
    </r>
    <r>
      <rPr>
        <sz val="11"/>
        <rFont val="Cambria"/>
        <family val="0"/>
        <charset val="1"/>
      </rPr>
      <t xml:space="preserve">-KY</t>
    </r>
    <r>
      <rPr>
        <sz val="11"/>
        <rFont val="Noto Sans CJK SC"/>
        <family val="2"/>
      </rPr>
      <t xml:space="preserve">、博智、</t>
    </r>
    <r>
      <rPr>
        <sz val="11"/>
        <rFont val="Cambria"/>
        <family val="0"/>
        <charset val="1"/>
      </rPr>
      <t xml:space="preserve">TTM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</si>
  <si>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頁灰底）。十年平均淨利率未找到（</t>
    </r>
    <r>
      <rPr>
        <sz val="11"/>
        <rFont val="Cambria"/>
        <family val="0"/>
        <charset val="1"/>
      </rPr>
      <t xml:space="preserve">2016–2020 </t>
    </r>
    <r>
      <rPr>
        <sz val="11"/>
        <rFont val="Noto Sans CJK SC"/>
        <family val="2"/>
      </rPr>
      <t xml:space="preserve">營收與淨利缺），依工作單以情境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</si>
  <si>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、份額相對值／價格指數／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、取低值）；產能、非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金額各情境相同。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</si>
  <si>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</si>
  <si>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水準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、世代指數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），其升級主要來自 </t>
    </r>
    <r>
      <rPr>
        <sz val="11"/>
        <rFont val="Cambria"/>
        <family val="0"/>
        <charset val="1"/>
      </rPr>
      <t xml:space="preserve">NVIDIA VR200 </t>
    </r>
    <r>
      <rPr>
        <sz val="11"/>
        <rFont val="Noto Sans CJK SC"/>
        <family val="2"/>
      </rPr>
      <t xml:space="preserve">中板與 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背板；金像電以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與交換器為主，參與係數 </t>
    </r>
    <r>
      <rPr>
        <sz val="11"/>
        <rFont val="Cambria"/>
        <family val="0"/>
        <charset val="1"/>
      </rPr>
      <t xml:space="preserve">w_mid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，公司未揭露產能（萬㎡）；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取媒體轉述（約兩成到三成），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成長假設反推；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億、折舊約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稅前約 </t>
    </r>
    <r>
      <rPr>
        <sz val="11"/>
        <rFont val="Cambria"/>
        <family val="0"/>
        <charset val="1"/>
      </rPr>
      <t xml:space="preserve">0.68</t>
    </r>
    <r>
      <rPr>
        <sz val="11"/>
        <rFont val="Noto Sans CJK SC"/>
        <family val="2"/>
      </rPr>
      <t xml:space="preserve">（稅負偏高，含中國子公司），未拆分；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年低獲利使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臺股同業前瞻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8–9 </t>
    </r>
    <r>
      <rPr>
        <sz val="11"/>
        <rFont val="Noto Sans CJK SC"/>
        <family val="2"/>
      </rPr>
      <t xml:space="preserve">月快取值；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</si>
  <si>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</si>
  <si>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：擴產進度最敏感：擴產延遲（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年產能指數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−18.3%</t>
    </r>
    <r>
      <rPr>
        <sz val="11"/>
        <color theme="1"/>
        <rFont val="Noto Sans CJK SC"/>
        <family val="2"/>
      </rPr>
      <t xml:space="preserve">、價格回落快 −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10.7%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45.31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B 76.56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40.8%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1,723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</si>
  <si>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60.15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62.80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 76.56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95.35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</si>
  <si>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</si>
  <si>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</si>
  <si>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</si>
  <si>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</si>
  <si>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未使用。公司原文＝金像電財報（公開資訊觀測站）、月營收公告與法說會（經媒體轉述）；公司的訂單、產品組合與產能說法為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</si>
  <si>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</si>
  <si>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</si>
  <si>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</si>
  <si>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</si>
  <si>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</si>
  <si>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</si>
  <si>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</si>
  <si>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</si>
  <si>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</si>
  <si>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</si>
  <si>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</si>
  <si>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</si>
  <si>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</si>
  <si>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</si>
  <si>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</si>
  <si>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（與勝宏、台光電模型相同）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</si>
  <si>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</si>
  <si>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</si>
  <si>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</si>
  <si>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</si>
  <si>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</si>
  <si>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</si>
  <si>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</si>
  <si>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</si>
  <si>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</si>
  <si>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</si>
  <si>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</si>
  <si>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</si>
  <si>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</si>
  <si>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</si>
  <si>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</si>
  <si>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</si>
  <si>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</si>
  <si>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</si>
  <si>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；與勝宏、台光電模型相同）</t>
    </r>
  </si>
  <si>
    <t xml:space="preserve">—</t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</si>
  <si>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</si>
  <si>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</si>
  <si>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</si>
  <si>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</si>
  <si>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</si>
  <si>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</si>
  <si>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</si>
  <si>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頁每架等值金額用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</si>
  <si>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</si>
  <si>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</si>
  <si>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</si>
  <si>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</si>
  <si>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</si>
  <si>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＝不如預期；與台積電、勝宏模型相同（＝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</si>
  <si>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</si>
  <si>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</si>
  <si>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</si>
  <si>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</si>
  <si>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</si>
  <si>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</si>
  <si>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</si>
  <si>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</si>
  <si>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</si>
  <si>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</si>
  <si>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</si>
  <si>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</si>
  <si>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</si>
  <si>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</si>
  <si>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</si>
  <si>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</si>
  <si>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</si>
  <si>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</si>
  <si>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與台光電、台達電、廣達模型相同（</t>
    </r>
    <r>
      <rPr>
        <sz val="11"/>
        <color theme="1"/>
        <rFont val="Calibri"/>
        <family val="2"/>
        <charset val="1"/>
      </rPr>
      <t xml:space="preserve">emc/dist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</si>
  <si>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</si>
  <si>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金額（口徑與勝宏一致：唯讀 </t>
    </r>
    <r>
      <rPr>
        <b val="true"/>
        <sz val="11"/>
        <rFont val="Cambria"/>
        <family val="0"/>
        <charset val="1"/>
      </rPr>
      <t xml:space="preserve">victory_giant/dist Units </t>
    </r>
    <r>
      <rPr>
        <b val="true"/>
        <sz val="11"/>
        <rFont val="Noto Sans CJK SC"/>
        <family val="2"/>
      </rPr>
      <t xml:space="preserve">頁）與金像電份額</t>
    </r>
  </si>
  <si>
    <t xml:space="preserve">vg_cmp26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</si>
  <si>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</si>
  <si>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</si>
  <si>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victory_giant/dist/20261031_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Units!C5:F5</t>
    </r>
  </si>
  <si>
    <r>
      <rPr>
        <sz val="11"/>
        <color theme="1"/>
        <rFont val="Noto Sans CJK SC"/>
        <family val="2"/>
      </rPr>
      <t xml:space="preserve">唯讀勝宏模型成品（本專案每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金額權威；</t>
    </r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</si>
  <si>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vg_cmp27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</si>
  <si>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</si>
  <si>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vg_cmp28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</si>
  <si>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</si>
  <si>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vg_cmp29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</si>
  <si>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</si>
  <si>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vg_sw26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</si>
  <si>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</si>
  <si>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victory_giant/dist/20261031_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</si>
  <si>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t xml:space="preserve">vg_sw27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</si>
  <si>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</si>
  <si>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vg_sw28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</si>
  <si>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</si>
  <si>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vg_sw29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</si>
  <si>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</si>
  <si>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vg_mid26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</si>
  <si>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</si>
  <si>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victory_giant/dist/20261031_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</si>
  <si>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vg_mid27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</si>
  <si>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</si>
  <si>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vg_mid28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</si>
  <si>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</si>
  <si>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vg_mid29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</si>
  <si>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</si>
  <si>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w_mid</t>
  </si>
  <si>
    <r>
      <rPr>
        <sz val="11"/>
        <color theme="1"/>
        <rFont val="Noto Sans CJK SC"/>
        <family val="2"/>
      </rPr>
      <t xml:space="preserve">金像電對中板／背板／其他的參與係數（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＝與加速器卡、交換器板相同）</t>
    </r>
  </si>
  <si>
    <r>
      <rPr>
        <sz val="11"/>
        <color theme="1"/>
        <rFont val="Noto Sans CJK SC"/>
        <family val="2"/>
      </rPr>
      <t xml:space="preserve">金像電以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伺服器主板（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交換器板為主（優分析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正交背板的參與度：未找到</t>
    </r>
  </si>
  <si>
    <t xml:space="preserve">低＝不參與、高＝與其他兩項相同</t>
  </si>
  <si>
    <t xml:space="preserve">pgwf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</si>
  <si>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金額成長倍率（套在勝宏模型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的增量上；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</si>
  <si>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勝宏模型的世代升級主要來自 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背板；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主板改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混壓也提高每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</si>
  <si>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基準＝與勝宏模型相同</t>
  </si>
  <si>
    <t xml:space="preserve">rel_27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</si>
  <si>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</si>
  <si>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風險：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主板設計由高層數（</t>
    </r>
    <r>
      <rPr>
        <sz val="11"/>
        <color theme="1"/>
        <rFont val="Calibri"/>
        <family val="2"/>
        <charset val="1"/>
      </rPr>
      <t xml:space="preserve">HLC</t>
    </r>
    <r>
      <rPr>
        <sz val="11"/>
        <color theme="1"/>
        <rFont val="Noto Sans CJK SC"/>
        <family val="2"/>
      </rPr>
      <t xml:space="preserve">）轉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混壓（</t>
    </r>
    <r>
      <rPr>
        <sz val="11"/>
        <color theme="1"/>
        <rFont val="Calibri"/>
        <family val="2"/>
        <charset val="1"/>
      </rPr>
      <t xml:space="preserve">Trainium4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新世代），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股價修正逾五成；公司以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混壓因應（優分析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</si>
  <si>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利多：另一家美國雲端業者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主板訂單、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私募入股（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）；對手健鼎、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、勝宏、沪电擴產</t>
    </r>
  </si>
  <si>
    <t xml:space="preserve">rel_28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</si>
  <si>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</si>
  <si>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</si>
  <si>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</si>
  <si>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</si>
  <si>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</si>
  <si>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成長動能含價格改善、產能吃緊（優分析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</si>
  <si>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新產能（中壢、蘇州二廠、泰國二廠）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年下半年起開出後價格回落（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</si>
  <si>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</si>
  <si>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</si>
  <si>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</si>
  <si>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</si>
  <si>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價格指數；各情境相同）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</si>
  <si>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</si>
  <si>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</si>
  <si>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億）；台灣、蘇州、常熟、泰國同步擴產；台灣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下半年產能較去年增約五成、泰國產能年增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倍（理財周刊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</si>
  <si>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蘇州二廠、泰國二廠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年下半年量產；中壢新廠投資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董事會）；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每年一座新廠（優分析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再通過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億元土地與資本支出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</si>
  <si>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</si>
  <si>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</si>
  <si>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指數下限據此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</si>
  <si>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</si>
  <si>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</si>
  <si>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t xml:space="preserve">同上；每年一座新廠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</si>
  <si>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</si>
  <si>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</si>
  <si>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</si>
  <si>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https://uanalyze.com.tw/articles/6187254928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</si>
  <si>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公司法說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伺服器（一般＋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未單獨揭露（富果整理）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</si>
  <si>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</si>
  <si>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營收年增（一般伺服器、網通、筆電、其他）</t>
    </r>
  </si>
  <si>
    <r>
      <rPr>
        <sz val="11"/>
        <color theme="1"/>
        <rFont val="Noto Sans CJK SC"/>
        <family val="2"/>
      </rPr>
      <t xml:space="preserve">一般伺服器平台換代與價格改善（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</si>
  <si>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：分析師稱 </t>
    </r>
    <r>
      <rPr>
        <sz val="11"/>
        <color theme="1"/>
        <rFont val="Calibri"/>
        <family val="2"/>
        <charset val="1"/>
      </rPr>
      <t xml:space="preserve">2Q26 AI </t>
    </r>
    <r>
      <rPr>
        <sz val="11"/>
        <color theme="1"/>
        <rFont val="Noto Sans CJK SC"/>
        <family val="2"/>
      </rPr>
      <t xml:space="preserve">相關約占 </t>
    </r>
    <r>
      <rPr>
        <sz val="11"/>
        <color theme="1"/>
        <rFont val="Calibri"/>
        <family val="2"/>
        <charset val="1"/>
      </rPr>
      <t xml:space="preserve">40–50%</t>
    </r>
    <r>
      <rPr>
        <sz val="11"/>
        <color theme="1"/>
        <rFont val="Noto Sans CJK SC"/>
        <family val="2"/>
      </rPr>
      <t xml:space="preserve">、伺服器約 </t>
    </r>
    <r>
      <rPr>
        <sz val="11"/>
        <color theme="1"/>
        <rFont val="Calibri"/>
        <family val="2"/>
        <charset val="1"/>
      </rPr>
      <t xml:space="preserve">78%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</si>
  <si>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</si>
  <si>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</si>
  <si>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與高階板（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</si>
  <si>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</si>
  <si>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</si>
  <si>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</si>
  <si>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</si>
  <si>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srv25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</si>
  <si>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</si>
  <si>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）：伺服器（一般型與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</si>
  <si>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全年比例未揭露，以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同期伺服器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</si>
  <si>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t xml:space="preserve">net25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</si>
  <si>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</si>
  <si>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t xml:space="preserve">srv26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</si>
  <si>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</si>
  <si>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：現階段伺服器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、網通約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，合計逾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</si>
  <si>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分部原則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：營收列改為伺服器／網通／筆電與其他（公司應用別）</t>
    </r>
  </si>
  <si>
    <t xml:space="preserve">net26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</si>
  <si>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</si>
  <si>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三項合計（每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</si>
  <si>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</si>
  <si>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</si>
  <si>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相關（高層數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</si>
  <si>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</si>
  <si>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FY2024 29.3% → FY2025 32.8% → 1H26 34.7%</t>
    </r>
    <r>
      <rPr>
        <sz val="11"/>
        <color theme="1"/>
        <rFont val="Noto Sans CJK SC"/>
        <family val="2"/>
      </rPr>
      <t xml:space="preserve">，同期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</t>
    </r>
  </si>
  <si>
    <r>
      <rPr>
        <sz val="11"/>
        <color theme="1"/>
        <rFont val="Noto Sans CJK SC"/>
        <family val="2"/>
      </rPr>
      <t xml:space="preserve">泰國廠由一般伺服器板轉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高單價板（優分析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</si>
  <si>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</si>
  <si>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</si>
  <si>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起毛利率逐季上升（優分析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）；新廠（楊梅租賃廠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、中壢、泰國二廠）爬坡期折舊與良率壓力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</si>
  <si>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</si>
  <si>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</si>
  <si>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</si>
  <si>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</si>
  <si>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上旬，截至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</si>
  <si>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</si>
  <si>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</si>
  <si>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</si>
  <si>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</si>
  <si>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https://stockanalysis.com/quote/tpe/2368/financials/?p=quarterly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19,313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5,185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3,484 </t>
    </r>
    <r>
      <rPr>
        <sz val="11"/>
        <color theme="1"/>
        <rFont val="Noto Sans CJK SC"/>
        <family val="2"/>
      </rPr>
      <t xml:space="preserve">百萬元、稅前淨利率 </t>
    </r>
    <r>
      <rPr>
        <sz val="11"/>
        <color theme="1"/>
        <rFont val="Calibri"/>
        <family val="2"/>
        <charset val="1"/>
      </rPr>
      <t xml:space="preserve">26.34%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</si>
  <si>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2Q26 242.79 </t>
    </r>
    <r>
      <rPr>
        <sz val="11"/>
        <color theme="1"/>
        <rFont val="Noto Sans CJK SC"/>
        <family val="2"/>
      </rPr>
      <t xml:space="preserve">億（相減得 </t>
    </r>
    <r>
      <rPr>
        <sz val="11"/>
        <color theme="1"/>
        <rFont val="Calibri"/>
        <family val="2"/>
        <charset val="1"/>
      </rPr>
      <t xml:space="preserve">1Q26 193.13 </t>
    </r>
    <r>
      <rPr>
        <sz val="11"/>
        <color theme="1"/>
        <rFont val="Noto Sans CJK SC"/>
        <family val="2"/>
      </rPr>
      <t xml:space="preserve">億）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</si>
  <si>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</si>
  <si>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</si>
  <si>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https://finance.technews.tw/2026/10/08/gce-2368-202609-financial-report/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103.84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</si>
  <si>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297.18 </t>
    </r>
    <r>
      <rPr>
        <sz val="11"/>
        <color theme="1"/>
        <rFont val="Noto Sans CJK SC"/>
        <family val="2"/>
      </rPr>
      <t xml:space="preserve">億（同值）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</si>
  <si>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</si>
  <si>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</si>
  <si>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開始出貨、楊梅租賃廠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開出（優分析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</si>
  <si>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月營收月減 </t>
    </r>
    <r>
      <rPr>
        <sz val="11"/>
        <color theme="1"/>
        <rFont val="Calibri"/>
        <family val="2"/>
        <charset val="1"/>
      </rPr>
      <t xml:space="preserve">10.2%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</si>
  <si>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</si>
  <si>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</si>
  <si>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34.81%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</si>
  <si>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起逐季上升（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</si>
  <si>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</si>
  <si>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</si>
  <si>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：毛利 </t>
    </r>
    <r>
      <rPr>
        <sz val="11"/>
        <color theme="1"/>
        <rFont val="Calibri"/>
        <family val="2"/>
        <charset val="1"/>
      </rPr>
      <t xml:space="preserve">151.35 −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116.02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35.33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</si>
  <si>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</si>
  <si>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</si>
  <si>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</si>
  <si>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− 營業利益＝−</t>
    </r>
    <r>
      <rPr>
        <sz val="11"/>
        <color theme="1"/>
        <rFont val="Calibri"/>
        <family val="2"/>
        <charset val="1"/>
      </rPr>
      <t xml:space="preserve">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由淨利 </t>
    </r>
    <r>
      <rPr>
        <sz val="11"/>
        <color theme="1"/>
        <rFont val="Calibri"/>
        <family val="2"/>
        <charset val="1"/>
      </rPr>
      <t xml:space="preserve">÷ q_nir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+0.57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</si>
  <si>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可轉債利息、匯兌損益不外推</t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</si>
  <si>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</si>
  <si>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</si>
  <si>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34.84 ÷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193.13 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26.34%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0.685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</si>
  <si>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96.07 ÷ 141.73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）；含中國子公司盈餘匯回與未分配盈餘稅（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</si>
  <si>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</si>
  <si>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</si>
  <si>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</si>
  <si>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16.14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</si>
  <si>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理財周刊引 </t>
    </r>
    <r>
      <rPr>
        <sz val="11"/>
        <color theme="1"/>
        <rFont val="Calibri"/>
        <family val="2"/>
        <charset val="1"/>
      </rPr>
      <t xml:space="preserve">1H26 EPS 16.17</t>
    </r>
    <r>
      <rPr>
        <sz val="11"/>
        <color theme="1"/>
        <rFont val="Noto Sans CJK SC"/>
        <family val="2"/>
      </rPr>
      <t xml:space="preserve">（差異未說明）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</si>
  <si>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</si>
  <si>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下半年股數（十億股；含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185.6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</si>
  <si>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511.90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</si>
  <si>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1,856,308 </t>
    </r>
    <r>
      <rPr>
        <sz val="11"/>
        <color theme="1"/>
        <rFont val="Noto Sans CJK SC"/>
        <family val="2"/>
      </rPr>
      <t xml:space="preserve">股、每股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Noto Sans CJK SC"/>
        <family val="2"/>
      </rPr>
      <t xml:space="preserve">元（理財周刊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</si>
  <si>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</si>
  <si>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</si>
  <si>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</si>
  <si>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9.4% → 1H26 8.1%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+68%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</si>
  <si>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外資：成長三支柱含嚴格費用控制（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</si>
  <si>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</si>
  <si>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</si>
  <si>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</si>
  <si>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</si>
  <si>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</si>
  <si>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</si>
  <si>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+1.30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</si>
  <si>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年發行逾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億元無擔保可轉債（鉅亨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</si>
  <si>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</si>
  <si>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</si>
  <si>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0.685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0.678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</si>
  <si>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</si>
  <si>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股數年變動（可轉債轉換、員工酬勞）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</si>
  <si>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</si>
  <si>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提示可轉債稀釋風險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</si>
  <si>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</si>
  <si>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</si>
  <si>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</si>
  <si>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</si>
  <si>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共識、券商與上游（只作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</si>
  <si>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</si>
  <si>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</si>
  <si>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https://www.marketscreener.com/quote/stock/GOLD-CIRCUIT-ELECTRONICS--6496480/valuation/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擷取，參考價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</si>
  <si>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</si>
  <si>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</si>
  <si>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</si>
  <si>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</si>
  <si>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https://www.marketscreener.com/quote/stock/GOLD-CIRCUIT-ELECTRONICS--6496480/valuation/</t>
  </si>
  <si>
    <r>
      <rPr>
        <sz val="11"/>
        <color theme="1"/>
        <rFont val="Calibri"/>
        <family val="2"/>
        <charset val="1"/>
      </rPr>
      <t xml:space="preserve">stockanalysis FY2026 41.45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37.24–46.54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</si>
  <si>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</si>
  <si>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</si>
  <si>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</si>
  <si>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</si>
  <si>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</si>
  <si>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</si>
  <si>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</si>
  <si>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</si>
  <si>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</si>
  <si>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</si>
  <si>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https://www.moneyweekly.com.tw/_Article?AID=255441</t>
    </r>
    <r>
      <rPr>
        <sz val="11"/>
        <color theme="1"/>
        <rFont val="Noto Sans CJK SC"/>
        <family val="2"/>
      </rPr>
      <t xml:space="preserve">（理財周刊轉引）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</si>
  <si>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</si>
  <si>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</si>
  <si>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67.32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</si>
  <si>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</si>
  <si>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</si>
  <si>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</si>
  <si>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，目標價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</si>
  <si>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https://finance.technews.tw/2026/05/13/three-pillars/</t>
  </si>
  <si>
    <t xml:space="preserve">券商名未載明</t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</si>
  <si>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</si>
  <si>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</si>
  <si>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</si>
  <si>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</si>
  <si>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vg_pgw26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</si>
  <si>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</si>
  <si>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victory_giant/dist/20261031_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</si>
  <si>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唯讀勝宏成品（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</si>
  <si>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</si>
  <si>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</si>
  <si>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vg_pgw27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</si>
  <si>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</si>
  <si>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</si>
  <si>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</si>
  <si>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vg_pgw28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</si>
  <si>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</si>
  <si>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</si>
  <si>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</si>
  <si>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vg_pgw29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</si>
  <si>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</si>
  <si>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</si>
  <si>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</si>
  <si>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</si>
  <si>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</si>
  <si>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vg_pge26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</si>
  <si>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</si>
  <si>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victory_giant/dist/20261031_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Units!C16:F16</t>
    </r>
  </si>
  <si>
    <t xml:space="preserve">唯讀勝宏成品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</si>
  <si>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</si>
  <si>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</si>
  <si>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vg_pge27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</si>
  <si>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</si>
  <si>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</si>
  <si>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</si>
  <si>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vg_pge28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</si>
  <si>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</si>
  <si>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vg_sh26</t>
  </si>
  <si>
    <r>
      <rPr>
        <sz val="11"/>
        <color theme="1"/>
        <rFont val="Noto Sans CJK SC"/>
        <family val="2"/>
      </rPr>
      <t xml:space="preserve">勝宏模型：勝宏有效份額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</si>
  <si>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victory_giant/dist/20261031_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</si>
  <si>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</si>
  <si>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</si>
  <si>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</si>
  <si>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6.69%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1,195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</si>
  <si>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、聚財網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</si>
  <si>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</si>
  <si>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</si>
  <si>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https://stockanalysis.com/quote/tpe/2368/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</si>
  <si>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28.02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</si>
  <si>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</si>
  <si>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</si>
  <si>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</si>
  <si>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</si>
  <si>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</si>
  <si>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</si>
  <si>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</si>
  <si>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</si>
  <si>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</si>
  <si>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https://stockanalysis.com/quote/tpe/2368/forecast/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850–1,955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</si>
  <si>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</si>
  <si>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</si>
  <si>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</si>
  <si>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</si>
  <si>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</si>
  <si>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</si>
  <si>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</si>
  <si>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</si>
  <si>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</si>
  <si>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</si>
  <si>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</si>
  <si>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</si>
  <si>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</si>
  <si>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</si>
  <si>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</si>
  <si>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</si>
  <si>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</si>
  <si>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</si>
  <si>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</si>
  <si>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</si>
  <si>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</si>
  <si>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</si>
  <si>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</si>
  <si>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</si>
  <si>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</si>
  <si>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22.65%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35.07%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</si>
  <si>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ROE 45.95%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</si>
  <si>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</si>
  <si>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</si>
  <si>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</si>
  <si>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</si>
  <si>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</si>
  <si>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</si>
  <si>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</si>
  <si>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</si>
  <si>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</si>
  <si>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</si>
  <si>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</si>
  <si>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</si>
  <si>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</si>
  <si>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</si>
  <si>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</si>
  <si>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</si>
  <si>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</si>
  <si>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</si>
  <si>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</si>
  <si>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</si>
  <si>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</si>
  <si>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pp_27_A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</si>
  <si>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</si>
  <si>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</si>
  <si>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</si>
  <si>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</si>
  <si>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</si>
  <si>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</si>
  <si>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</si>
  <si>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</si>
  <si>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</si>
  <si>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</si>
  <si>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</si>
  <si>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</si>
  <si>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</si>
  <si>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</si>
  <si>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</si>
  <si>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</si>
  <si>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</si>
  <si>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</si>
  <si>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</si>
  <si>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</si>
  <si>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</si>
  <si>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</si>
  <si>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</si>
  <si>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</si>
  <si>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</si>
  <si>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</si>
  <si>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</si>
  <si>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</si>
  <si>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</si>
  <si>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</si>
  <si>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</si>
  <si>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</si>
  <si>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pp_29_C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</si>
  <si>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</si>
  <si>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pp_29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</si>
  <si>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</si>
  <si>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</si>
  <si>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</si>
  <si>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</si>
  <si>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</si>
  <si>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</si>
  <si>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</si>
  <si>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</si>
  <si>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</si>
  <si>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</si>
  <si>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</si>
  <si>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</si>
  <si>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</si>
  <si>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</si>
  <si>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</si>
  <si>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</si>
  <si>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</si>
  <si>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In!D60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</si>
  <si>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</si>
  <si>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</si>
  <si>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</si>
  <si>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</si>
  <si>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</si>
  <si>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</si>
  <si>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</si>
  <si>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</si>
  <si>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</si>
  <si>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</si>
  <si>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</si>
  <si>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</si>
  <si>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</si>
  <si>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</si>
  <si>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</si>
  <si>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</si>
  <si>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</si>
  <si>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</si>
  <si>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pp_27_A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</si>
  <si>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</si>
  <si>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pp_28_A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</si>
  <si>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</si>
  <si>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pp_29_A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pp_29_C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</si>
  <si>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</si>
  <si>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</si>
  <si>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</si>
  <si>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</si>
  <si>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</si>
  <si>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</si>
  <si>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</si>
  <si>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</si>
  <si>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</si>
  <si>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</si>
  <si>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</si>
  <si>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</si>
  <si>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</si>
  <si>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</si>
  <si>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</si>
  <si>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為新台幣；股數為十億股）。藍字＝輸入；黑字＝公式。實績取自金像電財報與月營收公告（經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</si>
  <si>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月）＋假設（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毛利與營業利益＝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；截至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</si>
  <si>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</si>
  <si>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</si>
  <si>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</si>
  <si>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</si>
  <si>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</si>
  <si>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</si>
  <si>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</si>
  <si>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年度損益（營收 </t>
    </r>
    <r>
      <rPr>
        <sz val="11"/>
        <color theme="1"/>
        <rFont val="Calibri"/>
        <family val="2"/>
        <charset val="1"/>
      </rPr>
      <t xml:space="preserve">600.04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196.83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140.43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96.07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34.72%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</si>
  <si>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、優分析）；月營收與財報營收口徑可能略有差異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</si>
  <si>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</si>
  <si>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</si>
  <si>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67.22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</si>
  <si>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</si>
  <si>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FY2025 32.8%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</si>
  <si>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</si>
  <si>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</si>
  <si>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</si>
  <si>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</si>
  <si>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</si>
  <si>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</si>
  <si>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</si>
  <si>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</si>
  <si>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</si>
  <si>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</si>
  <si>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23.62%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26.34%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q_nir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</si>
  <si>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稅前：未找到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</si>
  <si>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</si>
  <si>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</si>
  <si>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96.07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82.67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2Q26 47.83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</si>
  <si>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</si>
  <si>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</si>
  <si>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</si>
  <si>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</si>
  <si>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</si>
  <si>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</si>
  <si>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19.47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19.00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1H26 16.14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</si>
  <si>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</si>
  <si>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</si>
  <si>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</si>
  <si>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</si>
  <si>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</si>
  <si>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t xml:space="preserve">一般伺服器、網通、筆電、其他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</si>
  <si>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</si>
  <si>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</si>
  <si>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</si>
  <si>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</si>
  <si>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</si>
  <si>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</si>
  <si>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</si>
  <si>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金額（口徑與勝宏模型一致，唯讀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；本專案權威在勝宏模型）、金像電參與係數、份額與產能。部署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</si>
  <si>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</si>
  <si>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</si>
  <si>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</si>
  <si>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</si>
  <si>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</si>
  <si>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</si>
  <si>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</si>
  <si>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</si>
  <si>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（口徑來源）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</si>
  <si>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</si>
  <si>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勝宏模型值；成長倍率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時相同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</si>
  <si>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</si>
  <si>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參與係數</t>
    </r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</si>
  <si>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</si>
  <si>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金額（不含價格指數）</t>
    </r>
  </si>
  <si>
    <r>
      <rPr>
        <sz val="11"/>
        <color theme="1"/>
        <rFont val="Noto Sans CJK SC"/>
        <family val="2"/>
      </rPr>
      <t xml:space="preserve">每架等值可參與金額（以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</si>
  <si>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</si>
  <si>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</si>
  <si>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Recon 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</si>
  <si>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</si>
  <si>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</si>
  <si>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金像電有效份額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</si>
  <si>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</si>
  <si>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</si>
  <si>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</si>
  <si>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</si>
  <si>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對照勝宏、台光電（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</si>
  <si>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</si>
  <si>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</si>
  <si>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</si>
  <si>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</si>
  <si>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</si>
  <si>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</si>
  <si>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其他廠商（健鼎、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、勝宏、沪电、華通等）＝ 可參與市場 − 金像電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</si>
  <si>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</si>
  <si>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份額低），不影響營收；影響營收的是金額成長（勝宏模型世代指數 </t>
    </r>
    <r>
      <rPr>
        <b val="true"/>
        <sz val="11"/>
        <rFont val="Cambria"/>
        <family val="0"/>
        <charset val="1"/>
      </rPr>
      <t xml:space="preserve">× pgwf</t>
    </r>
    <r>
      <rPr>
        <b val="true"/>
        <sz val="11"/>
        <rFont val="Noto Sans CJK SC"/>
        <family val="2"/>
      </rPr>
      <t xml:space="preserve">）、參與係數與份額相對值。產能受限的年度，營收由產值產能指數決定；擴產趕上需求後，份額與每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</si>
  <si>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金像電損益（十億新台幣；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</si>
  <si>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</si>
  <si>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</si>
  <si>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</si>
  <si>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</si>
  <si>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</si>
  <si>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</si>
  <si>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</si>
  <si>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</si>
  <si>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</si>
  <si>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</si>
  <si>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</si>
  <si>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</si>
  <si>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</si>
  <si>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</si>
  <si>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</si>
  <si>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</si>
  <si>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</si>
  <si>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</si>
  <si>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</si>
  <si>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</si>
  <si>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</si>
  <si>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</si>
  <si>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</si>
  <si>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</si>
  <si>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金額取自勝宏模型）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</si>
  <si>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</si>
  <si>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</si>
  <si>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</si>
  <si>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金像電參與係數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</si>
  <si>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</si>
  <si>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</si>
  <si>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</si>
  <si>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</si>
  <si>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金像電有效份額（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可參與市場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</si>
  <si>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；分母為本模型的可參與市場（含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</si>
  <si>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</si>
  <si>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</si>
  <si>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</si>
  <si>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</si>
  <si>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校準：公司稱產能吃緊、產線滿載，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</si>
  <si>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</si>
  <si>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</si>
  <si>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</si>
  <si>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</si>
  <si>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</si>
  <si>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</si>
  <si>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</si>
  <si>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Noto Sans CJK SC"/>
        <family val="2"/>
      </rPr>
      <t xml:space="preserve">  伺服器：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（加速器卡、運算板、中板背板）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</si>
  <si>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金額組成拆分</t>
    </r>
  </si>
  <si>
    <r>
      <rPr>
        <sz val="11"/>
        <color theme="1"/>
        <rFont val="Noto Sans CJK SC"/>
        <family val="2"/>
      </rPr>
      <t xml:space="preserve">  網通：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（交換器板）</t>
    </r>
  </si>
  <si>
    <t xml:space="preserve">  伺服器：一般型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</si>
  <si>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＝伺服器占比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；之後占非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比例固定</t>
    </r>
  </si>
  <si>
    <r>
      <rPr>
        <sz val="11"/>
        <color theme="1"/>
        <rFont val="Noto Sans CJK SC"/>
        <family val="2"/>
      </rPr>
      <t xml:space="preserve">  網通：非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</si>
  <si>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伺服器營收（一般型＋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</si>
  <si>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公司應用別：伺服器</t>
  </si>
  <si>
    <t xml:space="preserve">網通營收</t>
  </si>
  <si>
    <t xml:space="preserve">公司應用別：網通</t>
  </si>
  <si>
    <t xml:space="preserve">筆電與其他營收（＝營收 − 伺服器 − 網通）</t>
  </si>
  <si>
    <t xml:space="preserve">公司應用別：筆電、其他</t>
  </si>
  <si>
    <r>
      <rPr>
        <sz val="11"/>
        <color theme="1"/>
        <rFont val="Noto Sans CJK SC"/>
        <family val="2"/>
      </rPr>
      <t xml:space="preserve">檢查：分部合計 − 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 − 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</si>
  <si>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</si>
  <si>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</si>
  <si>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</si>
  <si>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</si>
  <si>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</si>
  <si>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</si>
  <si>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</si>
  <si>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</si>
  <si>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</si>
  <si>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</si>
  <si>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</si>
  <si>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</si>
  <si>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起＝期末股數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</si>
  <si>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</si>
  <si>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</si>
  <si>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</si>
  <si>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</si>
  <si>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</si>
  <si>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循環位置：金像電不是設備股，不套設備市場見頂年；以本模型營收最高的會計年度為見頂年（比照勝宏、台光電；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</si>
  <si>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</si>
  <si>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</si>
  <si>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</si>
  <si>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</si>
  <si>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</si>
  <si>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</si>
  <si>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</si>
  <si>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</si>
  <si>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</si>
  <si>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</si>
  <si>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</si>
  <si>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</si>
  <si>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</si>
  <si>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</si>
  <si>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</si>
  <si>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</si>
  <si>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</si>
  <si>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</si>
  <si>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</si>
  <si>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</si>
  <si>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</si>
  <si>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</si>
  <si>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</si>
  <si>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</si>
  <si>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</si>
  <si>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</si>
  <si>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</si>
  <si>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健鼎（</t>
    </r>
    <r>
      <rPr>
        <sz val="11"/>
        <color theme="1"/>
        <rFont val="Calibri"/>
        <family val="2"/>
        <charset val="1"/>
      </rPr>
      <t xml:space="preserve">Tripod Technology</t>
    </r>
    <r>
      <rPr>
        <sz val="11"/>
        <color theme="1"/>
        <rFont val="Noto Sans CJK SC"/>
        <family val="2"/>
      </rPr>
      <t xml:space="preserve">）</t>
    </r>
  </si>
  <si>
    <t xml:space="preserve">3044.TW</t>
  </si>
  <si>
    <t xml:space="preserve">2026-09-10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</si>
  <si>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</si>
  <si>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華通（</t>
    </r>
    <r>
      <rPr>
        <sz val="11"/>
        <color theme="1"/>
        <rFont val="Calibri"/>
        <family val="2"/>
        <charset val="1"/>
      </rPr>
      <t xml:space="preserve">Compeq</t>
    </r>
    <r>
      <rPr>
        <sz val="11"/>
        <color theme="1"/>
        <rFont val="Noto Sans CJK SC"/>
        <family val="2"/>
      </rPr>
      <t xml:space="preserve">）</t>
    </r>
  </si>
  <si>
    <t xml:space="preserve">2313.TW</t>
  </si>
  <si>
    <t xml:space="preserve">2026-08-20</t>
  </si>
  <si>
    <r>
      <rPr>
        <sz val="11"/>
        <color theme="1"/>
        <rFont val="Noto Sans CJK SC"/>
        <family val="2"/>
      </rPr>
      <t xml:space="preserve">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Zhen Ding</t>
    </r>
    <r>
      <rPr>
        <sz val="11"/>
        <color theme="1"/>
        <rFont val="Noto Sans CJK SC"/>
        <family val="2"/>
      </rPr>
      <t xml:space="preserve">）</t>
    </r>
  </si>
  <si>
    <t xml:space="preserve">4958.TW</t>
  </si>
  <si>
    <t xml:space="preserve">2026-08-31</t>
  </si>
  <si>
    <r>
      <rPr>
        <sz val="11"/>
        <color theme="1"/>
        <rFont val="Noto Sans CJK SC"/>
        <family val="2"/>
      </rPr>
      <t xml:space="preserve">博智（</t>
    </r>
    <r>
      <rPr>
        <sz val="11"/>
        <color theme="1"/>
        <rFont val="Calibri"/>
        <family val="2"/>
        <charset val="1"/>
      </rPr>
      <t xml:space="preserve">Allied Circuit</t>
    </r>
    <r>
      <rPr>
        <sz val="11"/>
        <color theme="1"/>
        <rFont val="Noto Sans CJK SC"/>
        <family val="2"/>
      </rPr>
      <t xml:space="preserve">）</t>
    </r>
  </si>
  <si>
    <t xml:space="preserve">8155.TWO</t>
  </si>
  <si>
    <t xml:space="preserve">2026-08-14</t>
  </si>
  <si>
    <t xml:space="preserve">TTM Technologies</t>
  </si>
  <si>
    <t xml:space="preserve">TTMI</t>
  </si>
  <si>
    <t xml:space="preserve">2026-10-23</t>
  </si>
  <si>
    <r>
      <rPr>
        <sz val="11"/>
        <color theme="1"/>
        <rFont val="Noto Sans CJK SC"/>
        <family val="2"/>
      </rPr>
      <t xml:space="preserve">並列參考（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股，不進目標價）：勝宏科技 </t>
    </r>
    <r>
      <rPr>
        <sz val="11"/>
        <color theme="1"/>
        <rFont val="Calibri"/>
        <family val="2"/>
        <charset val="1"/>
      </rPr>
      <t xml:space="preserve">300476.SZ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）、沪电股份 </t>
    </r>
    <r>
      <rPr>
        <sz val="11"/>
        <color theme="1"/>
        <rFont val="Calibri"/>
        <family val="2"/>
        <charset val="1"/>
      </rPr>
      <t xml:space="preserve">002463.SZ 20.7x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</si>
  <si>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</si>
  <si>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臺美伺服器、網通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（臺股媒體與券商常用比較組）；定穎投控、瀚宇博前瞻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</si>
  <si>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</si>
  <si>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</si>
  <si>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</si>
  <si>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</si>
  <si>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</si>
  <si>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</si>
  <si>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</si>
  <si>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</si>
  <si>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</si>
  <si>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</si>
  <si>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</si>
  <si>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</si>
  <si>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</si>
  <si>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</si>
  <si>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</si>
  <si>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</si>
  <si>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</si>
  <si>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</si>
  <si>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</si>
  <si>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</si>
  <si>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</si>
  <si>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</si>
  <si>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明確期＋永續；金像電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，折舊約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億），本模型未建資本支出與折舊，未改用淨利＋折舊－資本支出，擴產期現金流偏高估。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股；臺股同業價格多為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月快取，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倍數低），方向不確定。情境對應：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＝順利（顆數基準、份額價格高值）、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</si>
  <si>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</si>
  <si>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</si>
  <si>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</si>
  <si>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</si>
  <si>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</si>
  <si>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</si>
  <si>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</si>
  <si>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</si>
  <si>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</si>
  <si>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</si>
  <si>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</si>
  <si>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</si>
  <si>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</si>
  <si>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</si>
  <si>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</si>
  <si>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</si>
  <si>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</si>
  <si>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</si>
  <si>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</si>
  <si>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</si>
  <si>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</si>
  <si>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</si>
  <si>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</si>
  <si>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</si>
  <si>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</si>
  <si>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</si>
  <si>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</si>
  <si>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</si>
  <si>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</si>
  <si>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</si>
  <si>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</si>
  <si>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</si>
  <si>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</si>
  <si>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</si>
  <si>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</si>
  <si>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年虧損留空）；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43.2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被低獲利放大（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69x</t>
    </r>
    <r>
      <rPr>
        <sz val="11"/>
        <color theme="1"/>
        <rFont val="Noto Sans CJK SC"/>
        <family val="2"/>
      </rPr>
      <t xml:space="preserve">），十年分布偏高。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</si>
  <si>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</si>
  <si>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</si>
  <si>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</si>
  <si>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MarketScreener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</si>
  <si>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</si>
  <si>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</si>
  <si>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聚財網、</t>
    </r>
    <r>
      <rPr>
        <sz val="11"/>
        <color theme="1"/>
        <rFont val="Calibri"/>
        <family val="2"/>
        <charset val="1"/>
      </rPr>
      <t xml:space="preserve">2021–2025 stockanalysis</t>
    </r>
    <r>
      <rPr>
        <sz val="11"/>
        <color theme="1"/>
        <rFont val="Noto Sans CJK SC"/>
        <family val="2"/>
      </rPr>
      <t xml:space="preserve">／公司；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−0.50 </t>
    </r>
    <r>
      <rPr>
        <sz val="11"/>
        <color theme="1"/>
        <rFont val="Noto Sans CJK SC"/>
        <family val="2"/>
      </rPr>
      <t xml:space="preserve">為虧損，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無意義，留空；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</si>
  <si>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</si>
  <si>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</si>
  <si>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</si>
  <si>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</si>
  <si>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</si>
  <si>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</si>
  <si>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</si>
  <si>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</si>
  <si>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</si>
  <si>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</si>
  <si>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</si>
  <si>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</si>
  <si>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</si>
  <si>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</si>
  <si>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</si>
  <si>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</si>
  <si>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</si>
  <si>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</si>
  <si>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</si>
  <si>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</si>
  <si>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</si>
  <si>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</si>
  <si>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</si>
  <si>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</si>
  <si>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</si>
  <si>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</si>
  <si>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</si>
  <si>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</si>
  <si>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</si>
  <si>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</si>
  <si>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</si>
  <si>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</si>
  <si>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</si>
  <si>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</si>
  <si>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</si>
  <si>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</si>
  <si>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</si>
  <si>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</si>
  <si>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</si>
  <si>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</si>
  <si>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</si>
  <si>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</si>
  <si>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</si>
  <si>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</si>
  <si>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</si>
  <si>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</si>
  <si>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</si>
  <si>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</si>
  <si>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</si>
  <si>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</si>
  <si>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</si>
  <si>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</si>
  <si>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</si>
  <si>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</si>
  <si>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金像電</t>
  </si>
  <si>
    <t xml:space="preserve">2368.TW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</si>
  <si>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</si>
  <si>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2368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</si>
  <si>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</si>
  <si>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3044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</si>
  <si>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</si>
  <si>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4958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</si>
  <si>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8155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</si>
  <si>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TTMI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</si>
  <si>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</si>
  <si>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</si>
  <si>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</si>
  <si>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</si>
  <si>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</si>
  <si>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</si>
  <si>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</si>
  <si>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</si>
  <si>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</si>
  <si>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</si>
  <si>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</si>
  <si>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</si>
  <si>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</si>
  <si>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</si>
  <si>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</si>
  <si>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</si>
  <si>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</si>
  <si>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</si>
  <si>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</si>
  <si>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</si>
  <si>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</si>
  <si>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</si>
  <si>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</si>
  <si>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</si>
  <si>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</si>
  <si>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</si>
  <si>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億；共識隱含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</si>
  <si>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</si>
  <si>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</si>
  <si>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</si>
  <si>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</si>
  <si>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</si>
  <si>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</si>
  <si>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</si>
  <si>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</si>
  <si>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</si>
  <si>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</si>
  <si>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（外資，名稱未載明）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</si>
  <si>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1,310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</si>
  <si>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</si>
  <si>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</si>
  <si>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</si>
  <si>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勝宏模型、台光電每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</si>
  <si>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</si>
  <si>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victory_giant/dist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</si>
  <si>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差距只來自中板／背板參與係數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（與成長倍率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</si>
  <si>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</si>
  <si>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</si>
  <si>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</si>
  <si>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</si>
  <si>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；勝宏模型已註明 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倍，低於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每架口徑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倍（範圍不同）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</si>
  <si>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</si>
  <si>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CCL</t>
    </r>
  </si>
  <si>
    <t xml:space="preserve">emc/dist</t>
  </si>
  <si>
    <t xml:space="preserve">世代升級幅度的對照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</si>
  <si>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</si>
  <si>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victory_giant/dist</t>
  </si>
  <si>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廠；勝宏較偏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HDI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</si>
  <si>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</si>
  <si>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</si>
  <si>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</si>
  <si>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</si>
  <si>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金像電有效份額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勝宏有效份額（勝宏模型）</t>
    </r>
  </si>
  <si>
    <r>
      <rPr>
        <sz val="11"/>
        <color theme="1"/>
        <rFont val="Noto Sans CJK SC"/>
        <family val="2"/>
      </rPr>
      <t xml:space="preserve">分母不同：本模型為可參與市場（中板 </t>
    </r>
    <r>
      <rPr>
        <sz val="11"/>
        <color theme="1"/>
        <rFont val="Calibri"/>
        <family val="2"/>
        <charset val="1"/>
      </rPr>
      <t xml:space="preserve">× w_mid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</si>
  <si>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</si>
  <si>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</si>
  <si>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</si>
  <si>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</si>
  <si>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</si>
  <si>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</si>
  <si>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</si>
  <si>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</si>
  <si>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</si>
  <si>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</si>
  <si>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</si>
  <si>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</si>
  <si>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</si>
  <si>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</si>
  <si>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</si>
  <si>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</si>
  <si>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</si>
  <si>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</si>
  <si>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</si>
  <si>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</si>
  <si>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</si>
  <si>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</si>
  <si>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</si>
  <si>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</si>
  <si>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</si>
  <si>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</si>
  <si>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</si>
  <si>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</si>
  <si>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</si>
  <si>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</si>
  <si>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金額增量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</si>
  <si>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</si>
  <si>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×1.3</t>
    </r>
  </si>
  <si>
    <t xml:space="preserve">中板／背板不參與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</si>
  <si>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0</t>
    </r>
  </si>
  <si>
    <t xml:space="preserve">中板／背板全參與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</si>
  <si>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1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</si>
  <si>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</si>
  <si>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混壓情境）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</si>
  <si>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</si>
  <si>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</si>
  <si>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</si>
  <si>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</si>
  <si>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</si>
  <si>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</si>
  <si>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</si>
  <si>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2029 1.90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</si>
  <si>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</si>
  <si>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</si>
  <si>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</si>
  <si>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</si>
  <si>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</si>
  <si>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</si>
  <si>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</si>
  <si>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</si>
  <si>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</si>
  <si>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</si>
  <si>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</si>
  <si>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</si>
  <si>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14pt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</si>
  <si>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</si>
  <si>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</si>
  <si>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</si>
  <si>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</si>
  <si>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+8%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</si>
  <si>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</si>
  <si>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</si>
  <si>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</si>
  <si>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</si>
  <si>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</si>
  <si>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</si>
  <si>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</si>
  <si>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</si>
  <si>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</si>
  <si>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</si>
  <si>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</si>
  <si>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</si>
  <si>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</si>
  <si>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</si>
  <si>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</si>
  <si>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</si>
  <si>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</si>
  <si>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</si>
  <si>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</si>
  <si>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</si>
  <si>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</si>
  <si>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</si>
  <si>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</si>
  <si>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</si>
  <si>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</si>
  <si>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</si>
  <si>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</si>
  <si>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案例區塊：中板／背板不參與（情境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</si>
  <si>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案例區塊：中板／背板全參與（情境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</si>
  <si>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</si>
  <si>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</si>
  <si>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</si>
  <si>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</si>
  <si>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</si>
  <si>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</si>
  <si>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</si>
  <si>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</si>
  <si>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</si>
  <si>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</si>
  <si>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</si>
  <si>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</si>
  <si>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</si>
  <si>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</si>
  <si>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</si>
  <si>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</si>
  <si>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</si>
  <si>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來源（公司原文＝金像電財報、月營收公告與法說會，經資料商與媒體轉述；券商與媒體估計皆為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</si>
  <si>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月營收）</t>
    </r>
  </si>
  <si>
    <t xml:space="preserve">https://uanalyze.com.tw/articles/7465753217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</si>
  <si>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1Q25–1Q26 </t>
    </r>
    <r>
      <rPr>
        <sz val="11"/>
        <color theme="1"/>
        <rFont val="Noto Sans CJK SC"/>
        <family val="2"/>
      </rPr>
      <t xml:space="preserve">營收、毛利、營業利益、稅前淨利率、淨利）</t>
    </r>
  </si>
  <si>
    <t xml:space="preserve">https://stockanalysis.com/quote/tpe/2368/financials/?p=quarterly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</si>
  <si>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</si>
  <si>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https://finance.technews.tw/2026/10/08/gce-2368-202609-financial-report/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</si>
  <si>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占比約五成、泰國廠產值、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資本支出、中壢新廠、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設計風險）</t>
    </r>
  </si>
  <si>
    <t xml:space="preserve">https://uanalyze.com.tw/articles/6187254928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</si>
  <si>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私募、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億元資本支出）</t>
    </r>
  </si>
  <si>
    <t xml:space="preserve">https://uanalyze.com.tw/articles/9313556134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</si>
  <si>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營業利益率與淨利率、</t>
    </r>
    <r>
      <rPr>
        <sz val="11"/>
        <color theme="1"/>
        <rFont val="Calibri"/>
        <family val="2"/>
        <charset val="1"/>
      </rPr>
      <t xml:space="preserve">FactSet EPS </t>
    </r>
    <r>
      <rPr>
        <sz val="11"/>
        <color theme="1"/>
        <rFont val="Noto Sans CJK SC"/>
        <family val="2"/>
      </rPr>
      <t xml:space="preserve">中位數、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私募股數）</t>
    </r>
  </si>
  <si>
    <t xml:space="preserve">https://www.moneyweekly.com.tw/_Article?AID=255441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</si>
  <si>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億、各廠擴產時程、產能年增）</t>
    </r>
  </si>
  <si>
    <t xml:space="preserve">https://www.moneyweekly.com.tw/_Article?AID=250910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</si>
  <si>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 19.47</t>
    </r>
    <r>
      <rPr>
        <sz val="11"/>
        <color theme="1"/>
        <rFont val="Noto Sans CJK SC"/>
        <family val="2"/>
      </rPr>
      <t xml:space="preserve">、股利、擴產）</t>
    </r>
  </si>
  <si>
    <t xml:space="preserve">https://uanalyze.com.tw/articles/8548248766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</si>
  <si>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</si>
  <si>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https://money.udn.com/money/amp/story/5607/9371693</t>
  </si>
  <si>
    <r>
      <rPr>
        <sz val="11"/>
        <color theme="1"/>
        <rFont val="Noto Sans CJK SC"/>
        <family val="2"/>
      </rPr>
      <t xml:space="preserve">公司法說（富果整理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產品組合、資本支出、生產基地）</t>
    </r>
  </si>
  <si>
    <t xml:space="preserve">https://blog.fugle.tw/post/earnings-call-2368-2025-11-28</t>
  </si>
  <si>
    <r>
      <rPr>
        <sz val="11"/>
        <color theme="1"/>
        <rFont val="Noto Sans CJK SC"/>
        <family val="2"/>
      </rPr>
      <t xml:space="preserve">二手：鉅亨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（可轉債逾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億元、泰國一二期）</t>
    </r>
  </si>
  <si>
    <t xml:space="preserve">https://m.cnyes.com/news/id/6169890</t>
  </si>
  <si>
    <r>
      <rPr>
        <sz val="11"/>
        <color theme="1"/>
        <rFont val="Noto Sans CJK SC"/>
        <family val="2"/>
      </rPr>
      <t xml:space="preserve">券商：外資（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EPS 65.39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</si>
  <si>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</si>
  <si>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8 </t>
    </r>
    <r>
      <rPr>
        <sz val="11"/>
        <color theme="1"/>
        <rFont val="Noto Sans CJK SC"/>
        <family val="2"/>
      </rPr>
      <t xml:space="preserve">家）</t>
    </r>
  </si>
  <si>
    <t xml:space="preserve">https://stockanalysis.com/quote/tpe/2368/forecast/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</si>
  <si>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FY2021–25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</si>
  <si>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2014–2020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</si>
  <si>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https://stock.wearn.com/financial.asp?kind=2368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</si>
  <si>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月收盤）</t>
    </r>
  </si>
  <si>
    <t xml:space="preserve">https://www.digrin.com/stocks/detail/2368.TW/price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</si>
  <si>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；年度 </t>
    </r>
    <r>
      <rPr>
        <sz val="11"/>
        <color theme="1"/>
        <rFont val="Calibri"/>
        <family val="2"/>
        <charset val="1"/>
      </rPr>
      <t xml:space="preserve">EPS 2018–2025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</si>
  <si>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https://histock.tw/stock/2368/%E6%9C%AC%E7%9B%8A%E6%AF%94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</si>
  <si>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victory_giant </t>
    </r>
    <r>
      <rPr>
        <sz val="11"/>
        <color theme="1"/>
        <rFont val="Noto Sans CJK SC"/>
        <family val="2"/>
      </rPr>
      <t xml:space="preserve">成品（每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金額）、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</si>
  <si>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</si>
  <si>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</si>
  <si>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前後）；分產品（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伺服器、交換器）營收與毛利率；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營收與淨利；產能（萬㎡）與產值的公司原文；可轉債轉換價；資本支出與折舊路徑；前瞻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</si>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</sst>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"投資建議："&amp;Val!B119&amp;"（依上檔空間固定規則）"</f>
        <v>投資建議：強力買進（依上檔空間固定規則）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倍。"</f>
        <v>重點觀察 1：目標價 NT$1724.02（DCF 1203.07、Comparable（相對倍數調整後）2244.96；DCF 權重 50%），比現價 1115.00（2026-10-22）高 54.6%，級距 大於 50%、投資建議 強力買進。相對倍數調整係數 1.69（本公司 10 年前瞻倍數中位數 ÷ 同業的中位數，夾在 0.5–2.0；Val 第 0.5 節），調整前加權上檔空間 +13.7%；Comparable 單獨（市場主流同業法、未調整）為 +19.4%。以下為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3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3" t="s">
        <v>22</v>
      </c>
    </row>
    <row r="3" customFormat="false" ht="17.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5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6" t="n">
        <v>781.872916666666</v>
      </c>
      <c r="G5" s="7" t="s">
        <v>36</v>
      </c>
      <c r="H5" s="7" t="s">
        <v>37</v>
      </c>
      <c r="I5" s="3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6" t="n">
        <v>1565.35</v>
      </c>
      <c r="G6" s="7" t="s">
        <v>36</v>
      </c>
      <c r="H6" s="7" t="s">
        <v>37</v>
      </c>
      <c r="I6" s="3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6" t="n">
        <v>1984.26388888889</v>
      </c>
      <c r="G7" s="7" t="s">
        <v>36</v>
      </c>
      <c r="H7" s="7" t="s">
        <v>37</v>
      </c>
      <c r="I7" s="3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6" t="n">
        <v>2260.39027777778</v>
      </c>
      <c r="G8" s="7" t="s">
        <v>36</v>
      </c>
      <c r="H8" s="7" t="s">
        <v>37</v>
      </c>
      <c r="I8" s="3" t="s">
        <v>41</v>
      </c>
    </row>
    <row r="9" customFormat="false" ht="17.15" hidden="false" customHeight="false" outlineLevel="0" collapsed="false">
      <c r="A9" s="0" t="s">
        <v>46</v>
      </c>
      <c r="B9" s="3" t="s">
        <v>47</v>
      </c>
      <c r="C9" s="0" t="s">
        <v>35</v>
      </c>
      <c r="E9" s="6" t="n">
        <v>32.237224</v>
      </c>
      <c r="G9" s="7" t="s">
        <v>36</v>
      </c>
      <c r="H9" s="7" t="s">
        <v>48</v>
      </c>
      <c r="I9" s="7" t="s">
        <v>49</v>
      </c>
    </row>
    <row r="10" customFormat="false" ht="17.15" hidden="false" customHeight="false" outlineLevel="0" collapsed="false">
      <c r="A10" s="0" t="s">
        <v>50</v>
      </c>
      <c r="B10" s="3" t="s">
        <v>51</v>
      </c>
      <c r="C10" s="0" t="s">
        <v>35</v>
      </c>
      <c r="E10" s="6" t="n">
        <v>37.586352</v>
      </c>
      <c r="G10" s="7" t="s">
        <v>36</v>
      </c>
      <c r="H10" s="7" t="s">
        <v>48</v>
      </c>
      <c r="I10" s="3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55</v>
      </c>
      <c r="D11" s="6" t="n">
        <v>0.15</v>
      </c>
      <c r="E11" s="6" t="n">
        <v>0.22</v>
      </c>
      <c r="F11" s="6" t="n">
        <v>0.3</v>
      </c>
      <c r="G11" s="7" t="s">
        <v>56</v>
      </c>
      <c r="H11" s="7" t="s">
        <v>57</v>
      </c>
      <c r="I11" s="7" t="s">
        <v>58</v>
      </c>
    </row>
    <row r="12" customFormat="false" ht="17.15" hidden="false" customHeight="false" outlineLevel="0" collapsed="false">
      <c r="A12" s="0" t="s">
        <v>59</v>
      </c>
      <c r="B12" s="3" t="s">
        <v>60</v>
      </c>
      <c r="C12" s="3" t="s">
        <v>61</v>
      </c>
      <c r="E12" s="6" t="n">
        <v>6764</v>
      </c>
      <c r="G12" s="7" t="s">
        <v>36</v>
      </c>
      <c r="H12" s="7" t="s">
        <v>62</v>
      </c>
      <c r="I12" s="7" t="s">
        <v>63</v>
      </c>
    </row>
    <row r="13" customFormat="false" ht="17.15" hidden="false" customHeight="false" outlineLevel="0" collapsed="false">
      <c r="A13" s="0" t="s">
        <v>64</v>
      </c>
      <c r="B13" s="3" t="s">
        <v>65</v>
      </c>
      <c r="C13" s="3" t="s">
        <v>61</v>
      </c>
      <c r="E13" s="6" t="n">
        <v>4052</v>
      </c>
      <c r="G13" s="7" t="s">
        <v>36</v>
      </c>
      <c r="H13" s="7" t="s">
        <v>62</v>
      </c>
      <c r="I13" s="7" t="s">
        <v>66</v>
      </c>
    </row>
    <row r="14" customFormat="false" ht="17.15" hidden="false" customHeight="false" outlineLevel="0" collapsed="false">
      <c r="A14" s="0" t="s">
        <v>67</v>
      </c>
      <c r="B14" s="3" t="s">
        <v>68</v>
      </c>
      <c r="C14" s="0" t="s">
        <v>69</v>
      </c>
      <c r="E14" s="6" t="n">
        <v>1</v>
      </c>
      <c r="G14" s="7" t="s">
        <v>70</v>
      </c>
      <c r="H14" s="7" t="s">
        <v>71</v>
      </c>
      <c r="I14" s="7" t="s">
        <v>72</v>
      </c>
    </row>
    <row r="15" customFormat="false" ht="17.15" hidden="false" customHeight="false" outlineLevel="0" collapsed="false">
      <c r="A15" s="0" t="s">
        <v>73</v>
      </c>
      <c r="B15" s="3" t="s">
        <v>74</v>
      </c>
      <c r="C15" s="0" t="s">
        <v>69</v>
      </c>
      <c r="E15" s="6" t="n">
        <v>1</v>
      </c>
      <c r="G15" s="7" t="s">
        <v>70</v>
      </c>
      <c r="H15" s="7" t="s">
        <v>75</v>
      </c>
      <c r="I15" s="3" t="s">
        <v>41</v>
      </c>
    </row>
    <row r="16" customFormat="false" ht="17.15" hidden="false" customHeight="false" outlineLevel="0" collapsed="false">
      <c r="A16" s="0" t="s">
        <v>76</v>
      </c>
      <c r="B16" s="3" t="s">
        <v>77</v>
      </c>
      <c r="C16" s="0" t="s">
        <v>69</v>
      </c>
      <c r="E16" s="6" t="n">
        <v>0.8</v>
      </c>
      <c r="G16" s="7" t="s">
        <v>70</v>
      </c>
      <c r="H16" s="7" t="s">
        <v>78</v>
      </c>
      <c r="I16" s="7" t="s">
        <v>72</v>
      </c>
    </row>
    <row r="17" customFormat="false" ht="17.15" hidden="false" customHeight="false" outlineLevel="0" collapsed="false">
      <c r="A17" s="0" t="s">
        <v>79</v>
      </c>
      <c r="B17" s="3" t="s">
        <v>80</v>
      </c>
      <c r="C17" s="0" t="s">
        <v>69</v>
      </c>
      <c r="E17" s="6" t="n">
        <v>0.85</v>
      </c>
      <c r="G17" s="7" t="s">
        <v>70</v>
      </c>
      <c r="H17" s="7" t="s">
        <v>81</v>
      </c>
      <c r="I17" s="3" t="s">
        <v>41</v>
      </c>
    </row>
    <row r="18" customFormat="false" ht="17.15" hidden="false" customHeight="false" outlineLevel="0" collapsed="false">
      <c r="A18" s="0" t="s">
        <v>82</v>
      </c>
      <c r="B18" s="3" t="s">
        <v>83</v>
      </c>
      <c r="C18" s="0" t="s">
        <v>69</v>
      </c>
      <c r="E18" s="6" t="n">
        <v>0.6</v>
      </c>
      <c r="G18" s="7" t="s">
        <v>70</v>
      </c>
      <c r="H18" s="7" t="s">
        <v>84</v>
      </c>
      <c r="I18" s="7" t="s">
        <v>72</v>
      </c>
    </row>
    <row r="19" customFormat="false" ht="17.15" hidden="false" customHeight="false" outlineLevel="0" collapsed="false">
      <c r="A19" s="0" t="s">
        <v>85</v>
      </c>
      <c r="B19" s="3" t="s">
        <v>86</v>
      </c>
      <c r="C19" s="0" t="s">
        <v>69</v>
      </c>
      <c r="E19" s="6" t="n">
        <v>0.6</v>
      </c>
      <c r="G19" s="7" t="s">
        <v>70</v>
      </c>
      <c r="H19" s="7" t="s">
        <v>87</v>
      </c>
      <c r="I19" s="3" t="s">
        <v>41</v>
      </c>
    </row>
    <row r="20" customFormat="false" ht="17.15" hidden="false" customHeight="false" outlineLevel="0" collapsed="false">
      <c r="A20" s="0" t="s">
        <v>88</v>
      </c>
      <c r="B20" s="3" t="s">
        <v>89</v>
      </c>
      <c r="C20" s="0" t="s">
        <v>90</v>
      </c>
      <c r="D20" s="6" t="n">
        <v>30.5</v>
      </c>
      <c r="E20" s="6" t="n">
        <v>32</v>
      </c>
      <c r="F20" s="6" t="n">
        <v>33</v>
      </c>
      <c r="G20" s="7" t="s">
        <v>36</v>
      </c>
      <c r="H20" s="3" t="s">
        <v>91</v>
      </c>
      <c r="I20" s="7" t="s">
        <v>92</v>
      </c>
    </row>
    <row r="21" customFormat="false" ht="17.15" hidden="false" customHeight="false" outlineLevel="0" collapsed="false">
      <c r="A21" s="5" t="s">
        <v>93</v>
      </c>
    </row>
    <row r="22" customFormat="false" ht="17.15" hidden="false" customHeight="false" outlineLevel="0" collapsed="false">
      <c r="A22" s="0" t="s">
        <v>94</v>
      </c>
      <c r="B22" s="3" t="s">
        <v>95</v>
      </c>
      <c r="C22" s="0" t="s">
        <v>96</v>
      </c>
      <c r="E22" s="6" t="n">
        <v>280</v>
      </c>
      <c r="G22" s="7" t="s">
        <v>36</v>
      </c>
      <c r="H22" s="7" t="s">
        <v>97</v>
      </c>
      <c r="I22" s="3" t="s">
        <v>98</v>
      </c>
    </row>
    <row r="23" customFormat="false" ht="17.15" hidden="false" customHeight="false" outlineLevel="0" collapsed="false">
      <c r="A23" s="0" t="s">
        <v>99</v>
      </c>
      <c r="B23" s="3" t="s">
        <v>100</v>
      </c>
      <c r="C23" s="0" t="s">
        <v>96</v>
      </c>
      <c r="E23" s="6" t="n">
        <v>420</v>
      </c>
      <c r="G23" s="7" t="s">
        <v>36</v>
      </c>
      <c r="H23" s="7" t="s">
        <v>97</v>
      </c>
      <c r="I23" s="3" t="s">
        <v>41</v>
      </c>
    </row>
    <row r="24" customFormat="false" ht="17.15" hidden="false" customHeight="false" outlineLevel="0" collapsed="false">
      <c r="A24" s="0" t="s">
        <v>101</v>
      </c>
      <c r="B24" s="3" t="s">
        <v>102</v>
      </c>
      <c r="C24" s="0" t="s">
        <v>96</v>
      </c>
      <c r="E24" s="6" t="n">
        <v>462</v>
      </c>
      <c r="G24" s="7" t="s">
        <v>36</v>
      </c>
      <c r="H24" s="7" t="s">
        <v>97</v>
      </c>
      <c r="I24" s="3" t="s">
        <v>41</v>
      </c>
    </row>
    <row r="25" customFormat="false" ht="17.15" hidden="false" customHeight="false" outlineLevel="0" collapsed="false">
      <c r="A25" s="0" t="s">
        <v>103</v>
      </c>
      <c r="B25" s="3" t="s">
        <v>104</v>
      </c>
      <c r="C25" s="0" t="s">
        <v>96</v>
      </c>
      <c r="E25" s="6" t="n">
        <v>504</v>
      </c>
      <c r="G25" s="7" t="s">
        <v>36</v>
      </c>
      <c r="H25" s="7" t="s">
        <v>97</v>
      </c>
      <c r="I25" s="3" t="s">
        <v>41</v>
      </c>
    </row>
    <row r="26" customFormat="false" ht="17.15" hidden="false" customHeight="false" outlineLevel="0" collapsed="false">
      <c r="A26" s="0" t="s">
        <v>105</v>
      </c>
      <c r="B26" s="3" t="s">
        <v>106</v>
      </c>
      <c r="C26" s="0" t="s">
        <v>96</v>
      </c>
      <c r="E26" s="6" t="n">
        <v>120</v>
      </c>
      <c r="G26" s="7" t="s">
        <v>36</v>
      </c>
      <c r="H26" s="7" t="s">
        <v>107</v>
      </c>
      <c r="I26" s="3" t="s">
        <v>98</v>
      </c>
    </row>
    <row r="27" customFormat="false" ht="17.15" hidden="false" customHeight="false" outlineLevel="0" collapsed="false">
      <c r="A27" s="0" t="s">
        <v>108</v>
      </c>
      <c r="B27" s="3" t="s">
        <v>109</v>
      </c>
      <c r="C27" s="0" t="s">
        <v>96</v>
      </c>
      <c r="E27" s="6" t="n">
        <v>162</v>
      </c>
      <c r="G27" s="7" t="s">
        <v>36</v>
      </c>
      <c r="H27" s="7" t="s">
        <v>107</v>
      </c>
      <c r="I27" s="3" t="s">
        <v>41</v>
      </c>
    </row>
    <row r="28" customFormat="false" ht="17.15" hidden="false" customHeight="false" outlineLevel="0" collapsed="false">
      <c r="A28" s="0" t="s">
        <v>110</v>
      </c>
      <c r="B28" s="3" t="s">
        <v>111</v>
      </c>
      <c r="C28" s="0" t="s">
        <v>96</v>
      </c>
      <c r="E28" s="6" t="n">
        <v>180</v>
      </c>
      <c r="G28" s="7" t="s">
        <v>36</v>
      </c>
      <c r="H28" s="7" t="s">
        <v>107</v>
      </c>
      <c r="I28" s="3" t="s">
        <v>41</v>
      </c>
    </row>
    <row r="29" customFormat="false" ht="17.15" hidden="false" customHeight="false" outlineLevel="0" collapsed="false">
      <c r="A29" s="0" t="s">
        <v>112</v>
      </c>
      <c r="B29" s="3" t="s">
        <v>113</v>
      </c>
      <c r="C29" s="0" t="s">
        <v>96</v>
      </c>
      <c r="E29" s="6" t="n">
        <v>198</v>
      </c>
      <c r="G29" s="7" t="s">
        <v>36</v>
      </c>
      <c r="H29" s="7" t="s">
        <v>107</v>
      </c>
      <c r="I29" s="3" t="s">
        <v>41</v>
      </c>
    </row>
    <row r="30" customFormat="false" ht="17.15" hidden="false" customHeight="false" outlineLevel="0" collapsed="false">
      <c r="A30" s="0" t="s">
        <v>114</v>
      </c>
      <c r="B30" s="3" t="s">
        <v>115</v>
      </c>
      <c r="C30" s="0" t="s">
        <v>96</v>
      </c>
      <c r="E30" s="6" t="n">
        <v>50</v>
      </c>
      <c r="G30" s="7" t="s">
        <v>36</v>
      </c>
      <c r="H30" s="7" t="s">
        <v>116</v>
      </c>
      <c r="I30" s="3" t="s">
        <v>98</v>
      </c>
    </row>
    <row r="31" customFormat="false" ht="17.15" hidden="false" customHeight="false" outlineLevel="0" collapsed="false">
      <c r="A31" s="0" t="s">
        <v>117</v>
      </c>
      <c r="B31" s="3" t="s">
        <v>118</v>
      </c>
      <c r="C31" s="0" t="s">
        <v>96</v>
      </c>
      <c r="E31" s="6" t="n">
        <v>100</v>
      </c>
      <c r="G31" s="7" t="s">
        <v>36</v>
      </c>
      <c r="H31" s="7" t="s">
        <v>116</v>
      </c>
      <c r="I31" s="3" t="s">
        <v>41</v>
      </c>
    </row>
    <row r="32" customFormat="false" ht="17.15" hidden="false" customHeight="false" outlineLevel="0" collapsed="false">
      <c r="A32" s="0" t="s">
        <v>119</v>
      </c>
      <c r="B32" s="3" t="s">
        <v>120</v>
      </c>
      <c r="C32" s="0" t="s">
        <v>96</v>
      </c>
      <c r="E32" s="6" t="n">
        <v>150</v>
      </c>
      <c r="G32" s="7" t="s">
        <v>36</v>
      </c>
      <c r="H32" s="7" t="s">
        <v>116</v>
      </c>
      <c r="I32" s="3" t="s">
        <v>41</v>
      </c>
    </row>
    <row r="33" customFormat="false" ht="17.15" hidden="false" customHeight="false" outlineLevel="0" collapsed="false">
      <c r="A33" s="0" t="s">
        <v>121</v>
      </c>
      <c r="B33" s="3" t="s">
        <v>122</v>
      </c>
      <c r="C33" s="0" t="s">
        <v>96</v>
      </c>
      <c r="E33" s="6" t="n">
        <v>175</v>
      </c>
      <c r="G33" s="7" t="s">
        <v>36</v>
      </c>
      <c r="H33" s="7" t="s">
        <v>116</v>
      </c>
      <c r="I33" s="3" t="s">
        <v>41</v>
      </c>
    </row>
    <row r="34" customFormat="false" ht="17.15" hidden="false" customHeight="false" outlineLevel="0" collapsed="false">
      <c r="A34" s="0" t="s">
        <v>123</v>
      </c>
      <c r="B34" s="3" t="s">
        <v>124</v>
      </c>
      <c r="C34" s="0" t="s">
        <v>69</v>
      </c>
      <c r="D34" s="6" t="n">
        <v>0</v>
      </c>
      <c r="E34" s="6" t="n">
        <v>0.5</v>
      </c>
      <c r="F34" s="6" t="n">
        <v>1</v>
      </c>
      <c r="G34" s="7" t="s">
        <v>70</v>
      </c>
      <c r="H34" s="3" t="s">
        <v>125</v>
      </c>
      <c r="I34" s="3" t="s">
        <v>126</v>
      </c>
    </row>
    <row r="35" customFormat="false" ht="17.15" hidden="false" customHeight="false" outlineLevel="0" collapsed="false">
      <c r="A35" s="0" t="s">
        <v>127</v>
      </c>
      <c r="B35" s="3" t="s">
        <v>128</v>
      </c>
      <c r="C35" s="0" t="s">
        <v>69</v>
      </c>
      <c r="D35" s="6" t="n">
        <v>0.7</v>
      </c>
      <c r="E35" s="6" t="n">
        <v>1</v>
      </c>
      <c r="F35" s="6" t="n">
        <v>1.3</v>
      </c>
      <c r="G35" s="7" t="s">
        <v>70</v>
      </c>
      <c r="H35" s="3" t="s">
        <v>129</v>
      </c>
      <c r="I35" s="3" t="s">
        <v>130</v>
      </c>
    </row>
    <row r="36" customFormat="false" ht="17.15" hidden="false" customHeight="false" outlineLevel="0" collapsed="false">
      <c r="A36" s="0" t="s">
        <v>131</v>
      </c>
      <c r="B36" s="3" t="s">
        <v>132</v>
      </c>
      <c r="C36" s="0" t="s">
        <v>69</v>
      </c>
      <c r="D36" s="6" t="n">
        <v>0.85</v>
      </c>
      <c r="E36" s="6" t="n">
        <v>1</v>
      </c>
      <c r="F36" s="6" t="n">
        <v>1.08</v>
      </c>
      <c r="G36" s="7" t="s">
        <v>70</v>
      </c>
      <c r="H36" s="3" t="s">
        <v>133</v>
      </c>
      <c r="I36" s="3" t="s">
        <v>134</v>
      </c>
    </row>
    <row r="37" customFormat="false" ht="17.15" hidden="false" customHeight="false" outlineLevel="0" collapsed="false">
      <c r="A37" s="0" t="s">
        <v>135</v>
      </c>
      <c r="B37" s="3" t="s">
        <v>136</v>
      </c>
      <c r="C37" s="0" t="s">
        <v>69</v>
      </c>
      <c r="D37" s="6" t="n">
        <v>0.75</v>
      </c>
      <c r="E37" s="6" t="n">
        <v>0.95</v>
      </c>
      <c r="F37" s="6" t="n">
        <v>1.08</v>
      </c>
      <c r="G37" s="7" t="s">
        <v>70</v>
      </c>
      <c r="H37" s="3" t="s">
        <v>41</v>
      </c>
      <c r="I37" s="7" t="s">
        <v>58</v>
      </c>
    </row>
    <row r="38" customFormat="false" ht="17.15" hidden="false" customHeight="false" outlineLevel="0" collapsed="false">
      <c r="A38" s="0" t="s">
        <v>137</v>
      </c>
      <c r="B38" s="3" t="s">
        <v>138</v>
      </c>
      <c r="C38" s="0" t="s">
        <v>69</v>
      </c>
      <c r="D38" s="6" t="n">
        <v>0.7</v>
      </c>
      <c r="E38" s="6" t="n">
        <v>0.9</v>
      </c>
      <c r="F38" s="6" t="n">
        <v>1.05</v>
      </c>
      <c r="G38" s="7" t="s">
        <v>70</v>
      </c>
      <c r="H38" s="3" t="s">
        <v>41</v>
      </c>
      <c r="I38" s="7" t="s">
        <v>58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69</v>
      </c>
      <c r="D39" s="6" t="n">
        <v>0.96</v>
      </c>
      <c r="E39" s="6" t="n">
        <v>1</v>
      </c>
      <c r="F39" s="6" t="n">
        <v>1.03</v>
      </c>
      <c r="G39" s="7" t="s">
        <v>70</v>
      </c>
      <c r="H39" s="3" t="s">
        <v>141</v>
      </c>
      <c r="I39" s="3" t="s">
        <v>142</v>
      </c>
    </row>
    <row r="40" customFormat="false" ht="17.15" hidden="false" customHeight="false" outlineLevel="0" collapsed="false">
      <c r="A40" s="0" t="s">
        <v>143</v>
      </c>
      <c r="B40" s="0" t="s">
        <v>144</v>
      </c>
      <c r="C40" s="0" t="s">
        <v>69</v>
      </c>
      <c r="D40" s="6" t="n">
        <v>0.92</v>
      </c>
      <c r="E40" s="6" t="n">
        <v>0.97</v>
      </c>
      <c r="F40" s="6" t="n">
        <v>1.02</v>
      </c>
      <c r="G40" s="7" t="s">
        <v>70</v>
      </c>
      <c r="H40" s="3" t="s">
        <v>41</v>
      </c>
      <c r="I40" s="7" t="s">
        <v>58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69</v>
      </c>
      <c r="D41" s="6" t="n">
        <v>0.88</v>
      </c>
      <c r="E41" s="6" t="n">
        <v>0.94</v>
      </c>
      <c r="F41" s="6" t="n">
        <v>1</v>
      </c>
      <c r="G41" s="7" t="s">
        <v>70</v>
      </c>
      <c r="H41" s="3" t="s">
        <v>41</v>
      </c>
      <c r="I41" s="7" t="s">
        <v>58</v>
      </c>
    </row>
    <row r="42" customFormat="false" ht="17.15" hidden="false" customHeight="false" outlineLevel="0" collapsed="false">
      <c r="A42" s="5" t="s">
        <v>147</v>
      </c>
    </row>
    <row r="43" customFormat="false" ht="17.15" hidden="false" customHeight="false" outlineLevel="0" collapsed="false">
      <c r="A43" s="0" t="s">
        <v>148</v>
      </c>
      <c r="B43" s="3" t="s">
        <v>149</v>
      </c>
      <c r="C43" s="0" t="s">
        <v>69</v>
      </c>
      <c r="D43" s="6" t="n">
        <v>1.3</v>
      </c>
      <c r="E43" s="6" t="n">
        <v>1.45</v>
      </c>
      <c r="F43" s="6" t="n">
        <v>1.6</v>
      </c>
      <c r="G43" s="7" t="s">
        <v>70</v>
      </c>
      <c r="H43" s="3" t="s">
        <v>150</v>
      </c>
      <c r="I43" s="3" t="s">
        <v>151</v>
      </c>
    </row>
    <row r="44" customFormat="false" ht="17.15" hidden="false" customHeight="false" outlineLevel="0" collapsed="false">
      <c r="A44" s="0" t="s">
        <v>152</v>
      </c>
      <c r="B44" s="3" t="s">
        <v>153</v>
      </c>
      <c r="C44" s="0" t="s">
        <v>69</v>
      </c>
      <c r="D44" s="6" t="n">
        <v>1.6</v>
      </c>
      <c r="E44" s="6" t="n">
        <v>1.9</v>
      </c>
      <c r="F44" s="6" t="n">
        <v>2.15</v>
      </c>
      <c r="G44" s="7" t="s">
        <v>70</v>
      </c>
      <c r="H44" s="3" t="s">
        <v>41</v>
      </c>
      <c r="I44" s="7" t="s">
        <v>154</v>
      </c>
    </row>
    <row r="45" customFormat="false" ht="17.15" hidden="false" customHeight="false" outlineLevel="0" collapsed="false">
      <c r="A45" s="0" t="s">
        <v>155</v>
      </c>
      <c r="B45" s="3" t="s">
        <v>156</v>
      </c>
      <c r="C45" s="0" t="s">
        <v>69</v>
      </c>
      <c r="D45" s="6" t="n">
        <v>1.9</v>
      </c>
      <c r="E45" s="6" t="n">
        <v>2.3</v>
      </c>
      <c r="F45" s="6" t="n">
        <v>2.6</v>
      </c>
      <c r="G45" s="7" t="s">
        <v>70</v>
      </c>
      <c r="H45" s="3" t="s">
        <v>157</v>
      </c>
      <c r="I45" s="7" t="s">
        <v>58</v>
      </c>
    </row>
    <row r="46" customFormat="false" ht="17.15" hidden="false" customHeight="false" outlineLevel="0" collapsed="false">
      <c r="A46" s="5" t="s">
        <v>158</v>
      </c>
    </row>
    <row r="47" customFormat="false" ht="17.15" hidden="false" customHeight="false" outlineLevel="0" collapsed="false">
      <c r="A47" s="0" t="s">
        <v>159</v>
      </c>
      <c r="B47" s="0" t="s">
        <v>160</v>
      </c>
      <c r="C47" s="0" t="s">
        <v>55</v>
      </c>
      <c r="D47" s="6" t="n">
        <v>0.2</v>
      </c>
      <c r="E47" s="6" t="n">
        <v>0.3</v>
      </c>
      <c r="F47" s="6" t="n">
        <v>0.4</v>
      </c>
      <c r="G47" s="7" t="s">
        <v>56</v>
      </c>
      <c r="H47" s="7" t="s">
        <v>161</v>
      </c>
      <c r="I47" s="3" t="s">
        <v>162</v>
      </c>
    </row>
    <row r="48" customFormat="false" ht="17.15" hidden="false" customHeight="false" outlineLevel="0" collapsed="false">
      <c r="A48" s="0" t="s">
        <v>163</v>
      </c>
      <c r="B48" s="0" t="s">
        <v>164</v>
      </c>
      <c r="C48" s="0" t="s">
        <v>55</v>
      </c>
      <c r="D48" s="6" t="n">
        <v>0.1</v>
      </c>
      <c r="E48" s="6" t="n">
        <v>0.2</v>
      </c>
      <c r="F48" s="6" t="n">
        <v>0.3</v>
      </c>
      <c r="G48" s="7" t="s">
        <v>70</v>
      </c>
      <c r="H48" s="3" t="s">
        <v>165</v>
      </c>
      <c r="I48" s="3" t="s">
        <v>166</v>
      </c>
    </row>
    <row r="49" customFormat="false" ht="17.15" hidden="false" customHeight="false" outlineLevel="0" collapsed="false">
      <c r="A49" s="0" t="s">
        <v>167</v>
      </c>
      <c r="B49" s="3" t="s">
        <v>168</v>
      </c>
      <c r="C49" s="0" t="s">
        <v>55</v>
      </c>
      <c r="D49" s="6" t="n">
        <v>-0.05</v>
      </c>
      <c r="E49" s="6" t="n">
        <v>0.05</v>
      </c>
      <c r="F49" s="6" t="n">
        <v>0.1</v>
      </c>
      <c r="G49" s="7" t="s">
        <v>70</v>
      </c>
      <c r="H49" s="3" t="s">
        <v>169</v>
      </c>
      <c r="I49" s="7" t="s">
        <v>58</v>
      </c>
    </row>
    <row r="50" customFormat="false" ht="17.15" hidden="false" customHeight="false" outlineLevel="0" collapsed="false">
      <c r="A50" s="0" t="s">
        <v>170</v>
      </c>
      <c r="B50" s="3" t="s">
        <v>171</v>
      </c>
      <c r="C50" s="0" t="s">
        <v>55</v>
      </c>
      <c r="D50" s="6" t="n">
        <v>-0.05</v>
      </c>
      <c r="E50" s="6" t="n">
        <v>0.03</v>
      </c>
      <c r="F50" s="6" t="n">
        <v>0.08</v>
      </c>
      <c r="G50" s="7" t="s">
        <v>70</v>
      </c>
      <c r="H50" s="3" t="s">
        <v>41</v>
      </c>
      <c r="I50" s="7" t="s">
        <v>58</v>
      </c>
    </row>
    <row r="51" customFormat="false" ht="17.15" hidden="false" customHeight="false" outlineLevel="0" collapsed="false">
      <c r="A51" s="0" t="s">
        <v>172</v>
      </c>
      <c r="B51" s="3" t="s">
        <v>173</v>
      </c>
      <c r="C51" s="0" t="s">
        <v>55</v>
      </c>
      <c r="D51" s="6" t="n">
        <v>-0.05</v>
      </c>
      <c r="E51" s="6" t="n">
        <v>0.03</v>
      </c>
      <c r="F51" s="6" t="n">
        <v>0.08</v>
      </c>
      <c r="G51" s="7" t="s">
        <v>70</v>
      </c>
      <c r="H51" s="3" t="s">
        <v>41</v>
      </c>
      <c r="I51" s="7" t="s">
        <v>58</v>
      </c>
    </row>
    <row r="52" customFormat="false" ht="17.15" hidden="false" customHeight="false" outlineLevel="0" collapsed="false">
      <c r="A52" s="0" t="s">
        <v>174</v>
      </c>
      <c r="B52" s="0" t="s">
        <v>175</v>
      </c>
      <c r="C52" s="0" t="s">
        <v>55</v>
      </c>
      <c r="D52" s="6" t="n">
        <v>0.75</v>
      </c>
      <c r="E52" s="6" t="n">
        <v>0.8</v>
      </c>
      <c r="F52" s="6" t="n">
        <v>0.82</v>
      </c>
      <c r="G52" s="7" t="s">
        <v>56</v>
      </c>
      <c r="H52" s="3" t="s">
        <v>176</v>
      </c>
      <c r="I52" s="3" t="s">
        <v>177</v>
      </c>
    </row>
    <row r="53" customFormat="false" ht="17.15" hidden="false" customHeight="false" outlineLevel="0" collapsed="false">
      <c r="A53" s="0" t="s">
        <v>178</v>
      </c>
      <c r="B53" s="0" t="s">
        <v>179</v>
      </c>
      <c r="C53" s="0" t="s">
        <v>55</v>
      </c>
      <c r="D53" s="6" t="n">
        <v>0.08</v>
      </c>
      <c r="E53" s="6" t="n">
        <v>0.1</v>
      </c>
      <c r="F53" s="6" t="n">
        <v>0.12</v>
      </c>
      <c r="G53" s="7" t="s">
        <v>56</v>
      </c>
      <c r="H53" s="3" t="s">
        <v>41</v>
      </c>
      <c r="I53" s="7" t="s">
        <v>58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0" t="s">
        <v>55</v>
      </c>
      <c r="D54" s="6" t="n">
        <v>0.75</v>
      </c>
      <c r="E54" s="6" t="n">
        <v>0.78</v>
      </c>
      <c r="F54" s="6" t="n">
        <v>0.82</v>
      </c>
      <c r="G54" s="7" t="s">
        <v>56</v>
      </c>
      <c r="H54" s="3" t="s">
        <v>182</v>
      </c>
      <c r="I54" s="3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55</v>
      </c>
      <c r="D55" s="6" t="n">
        <v>0.12</v>
      </c>
      <c r="E55" s="6" t="n">
        <v>0.15</v>
      </c>
      <c r="F55" s="6" t="n">
        <v>0.18</v>
      </c>
      <c r="G55" s="7" t="s">
        <v>56</v>
      </c>
      <c r="H55" s="3" t="s">
        <v>41</v>
      </c>
      <c r="I55" s="7" t="s">
        <v>186</v>
      </c>
    </row>
    <row r="56" customFormat="false" ht="17.15" hidden="false" customHeight="false" outlineLevel="0" collapsed="false">
      <c r="A56" s="5" t="s">
        <v>187</v>
      </c>
    </row>
    <row r="57" customFormat="false" ht="17.15" hidden="false" customHeight="false" outlineLevel="0" collapsed="false">
      <c r="A57" s="0" t="s">
        <v>188</v>
      </c>
      <c r="B57" s="0" t="s">
        <v>189</v>
      </c>
      <c r="C57" s="0" t="s">
        <v>190</v>
      </c>
      <c r="D57" s="6" t="n">
        <v>0.06</v>
      </c>
      <c r="E57" s="6" t="n">
        <v>0.1</v>
      </c>
      <c r="F57" s="6" t="n">
        <v>0.14</v>
      </c>
      <c r="G57" s="7" t="s">
        <v>70</v>
      </c>
      <c r="H57" s="3" t="s">
        <v>191</v>
      </c>
      <c r="I57" s="3" t="s">
        <v>192</v>
      </c>
    </row>
    <row r="58" customFormat="false" ht="17.15" hidden="false" customHeight="false" outlineLevel="0" collapsed="false">
      <c r="A58" s="0" t="s">
        <v>193</v>
      </c>
      <c r="B58" s="0" t="s">
        <v>194</v>
      </c>
      <c r="C58" s="0" t="s">
        <v>190</v>
      </c>
      <c r="D58" s="6" t="n">
        <v>-0.01</v>
      </c>
      <c r="E58" s="6" t="n">
        <v>0.01</v>
      </c>
      <c r="F58" s="6" t="n">
        <v>0.02</v>
      </c>
      <c r="G58" s="7" t="s">
        <v>70</v>
      </c>
      <c r="H58" s="3" t="s">
        <v>195</v>
      </c>
      <c r="I58" s="7" t="s">
        <v>58</v>
      </c>
    </row>
    <row r="59" customFormat="false" ht="17.15" hidden="false" customHeight="false" outlineLevel="0" collapsed="false">
      <c r="A59" s="0" t="s">
        <v>196</v>
      </c>
      <c r="B59" s="0" t="s">
        <v>197</v>
      </c>
      <c r="C59" s="0" t="s">
        <v>190</v>
      </c>
      <c r="D59" s="6" t="n">
        <v>-0.01</v>
      </c>
      <c r="E59" s="6" t="n">
        <v>0.015</v>
      </c>
      <c r="F59" s="6" t="n">
        <v>0.03</v>
      </c>
      <c r="G59" s="7" t="s">
        <v>70</v>
      </c>
      <c r="H59" s="3" t="s">
        <v>41</v>
      </c>
      <c r="I59" s="7" t="s">
        <v>58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190</v>
      </c>
      <c r="D60" s="6" t="n">
        <v>-0.01</v>
      </c>
      <c r="E60" s="6" t="n">
        <v>0.02</v>
      </c>
      <c r="F60" s="6" t="n">
        <v>0.035</v>
      </c>
      <c r="G60" s="7" t="s">
        <v>70</v>
      </c>
      <c r="H60" s="3" t="s">
        <v>41</v>
      </c>
      <c r="I60" s="7" t="s">
        <v>58</v>
      </c>
    </row>
    <row r="61" customFormat="false" ht="17.15" hidden="false" customHeight="false" outlineLevel="0" collapsed="false">
      <c r="A61" s="5" t="s">
        <v>200</v>
      </c>
    </row>
    <row r="62" customFormat="false" ht="17.15" hidden="false" customHeight="false" outlineLevel="0" collapsed="false">
      <c r="A62" s="0" t="s">
        <v>201</v>
      </c>
      <c r="B62" s="0" t="s">
        <v>202</v>
      </c>
      <c r="C62" s="0" t="s">
        <v>203</v>
      </c>
      <c r="E62" s="6" t="n">
        <v>19.313</v>
      </c>
      <c r="G62" s="7" t="s">
        <v>204</v>
      </c>
      <c r="H62" s="7" t="s">
        <v>205</v>
      </c>
      <c r="I62" s="3" t="s">
        <v>206</v>
      </c>
    </row>
    <row r="63" customFormat="false" ht="17.15" hidden="false" customHeight="false" outlineLevel="0" collapsed="false">
      <c r="A63" s="0" t="s">
        <v>207</v>
      </c>
      <c r="B63" s="0" t="s">
        <v>208</v>
      </c>
      <c r="C63" s="0" t="s">
        <v>203</v>
      </c>
      <c r="E63" s="0" t="n">
        <f aca="false">10.015+10.384+9.32</f>
        <v>29.719</v>
      </c>
      <c r="G63" s="0" t="s">
        <v>204</v>
      </c>
      <c r="H63" s="0" t="s">
        <v>209</v>
      </c>
      <c r="I63" s="3" t="s">
        <v>210</v>
      </c>
    </row>
    <row r="64" customFormat="false" ht="17.15" hidden="false" customHeight="false" outlineLevel="0" collapsed="false">
      <c r="A64" s="0" t="s">
        <v>211</v>
      </c>
      <c r="B64" s="0" t="s">
        <v>212</v>
      </c>
      <c r="C64" s="0" t="s">
        <v>55</v>
      </c>
      <c r="D64" s="6" t="n">
        <v>0</v>
      </c>
      <c r="E64" s="6" t="n">
        <v>0.08</v>
      </c>
      <c r="F64" s="6" t="n">
        <v>0.15</v>
      </c>
      <c r="G64" s="7" t="s">
        <v>70</v>
      </c>
      <c r="H64" s="3" t="s">
        <v>213</v>
      </c>
      <c r="I64" s="7" t="s">
        <v>214</v>
      </c>
    </row>
    <row r="65" customFormat="false" ht="17.15" hidden="false" customHeight="false" outlineLevel="0" collapsed="false">
      <c r="A65" s="0" t="s">
        <v>215</v>
      </c>
      <c r="B65" s="0" t="s">
        <v>216</v>
      </c>
      <c r="C65" s="0" t="s">
        <v>55</v>
      </c>
      <c r="D65" s="6" t="n">
        <v>0.34</v>
      </c>
      <c r="E65" s="6" t="n">
        <v>0.35</v>
      </c>
      <c r="F65" s="6" t="n">
        <v>0.365</v>
      </c>
      <c r="G65" s="7" t="s">
        <v>70</v>
      </c>
      <c r="H65" s="7" t="s">
        <v>217</v>
      </c>
      <c r="I65" s="3" t="s">
        <v>218</v>
      </c>
    </row>
    <row r="66" customFormat="false" ht="17.15" hidden="false" customHeight="false" outlineLevel="0" collapsed="false">
      <c r="A66" s="0" t="s">
        <v>219</v>
      </c>
      <c r="B66" s="0" t="s">
        <v>220</v>
      </c>
      <c r="C66" s="0" t="s">
        <v>55</v>
      </c>
      <c r="D66" s="6" t="n">
        <v>0.075</v>
      </c>
      <c r="E66" s="6" t="n">
        <v>0.08</v>
      </c>
      <c r="F66" s="6" t="n">
        <v>0.085</v>
      </c>
      <c r="G66" s="7" t="s">
        <v>70</v>
      </c>
      <c r="H66" s="7" t="s">
        <v>221</v>
      </c>
      <c r="I66" s="7" t="s">
        <v>222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0" t="s">
        <v>203</v>
      </c>
      <c r="D67" s="6" t="n">
        <v>-0.2</v>
      </c>
      <c r="E67" s="6" t="n">
        <v>0</v>
      </c>
      <c r="F67" s="6" t="n">
        <v>0.3</v>
      </c>
      <c r="G67" s="7" t="s">
        <v>70</v>
      </c>
      <c r="H67" s="7" t="s">
        <v>225</v>
      </c>
      <c r="I67" s="3" t="s">
        <v>226</v>
      </c>
    </row>
    <row r="68" customFormat="false" ht="17.15" hidden="false" customHeight="false" outlineLevel="0" collapsed="false">
      <c r="A68" s="0" t="s">
        <v>227</v>
      </c>
      <c r="B68" s="3" t="s">
        <v>228</v>
      </c>
      <c r="C68" s="0" t="s">
        <v>55</v>
      </c>
      <c r="D68" s="6" t="n">
        <v>0.65</v>
      </c>
      <c r="E68" s="7" t="n">
        <f aca="false">3.484/(19.313*0.2634)</f>
        <v>0.684877084417706</v>
      </c>
      <c r="F68" s="6" t="n">
        <v>0.75</v>
      </c>
      <c r="G68" s="7" t="s">
        <v>36</v>
      </c>
      <c r="H68" s="7" t="s">
        <v>229</v>
      </c>
      <c r="I68" s="7" t="s">
        <v>230</v>
      </c>
    </row>
    <row r="69" customFormat="false" ht="17.15" hidden="false" customHeight="false" outlineLevel="0" collapsed="false">
      <c r="A69" s="0" t="s">
        <v>231</v>
      </c>
      <c r="B69" s="0" t="s">
        <v>232</v>
      </c>
      <c r="C69" s="3" t="s">
        <v>233</v>
      </c>
      <c r="E69" s="0" t="n">
        <f aca="false">8.267/16.14</f>
        <v>0.512205700123916</v>
      </c>
      <c r="G69" s="0" t="s">
        <v>36</v>
      </c>
      <c r="H69" s="0" t="s">
        <v>234</v>
      </c>
      <c r="I69" s="3" t="s">
        <v>235</v>
      </c>
    </row>
    <row r="70" customFormat="false" ht="17.15" hidden="false" customHeight="false" outlineLevel="0" collapsed="false">
      <c r="A70" s="0" t="s">
        <v>236</v>
      </c>
      <c r="B70" s="3" t="s">
        <v>237</v>
      </c>
      <c r="C70" s="3" t="s">
        <v>233</v>
      </c>
      <c r="E70" s="0" t="n">
        <f aca="false">0.5119+0.001856</f>
        <v>0.513756</v>
      </c>
      <c r="G70" s="0" t="s">
        <v>36</v>
      </c>
      <c r="H70" s="0" t="s">
        <v>238</v>
      </c>
      <c r="I70" s="0" t="s">
        <v>239</v>
      </c>
    </row>
    <row r="71" customFormat="false" ht="17.15" hidden="false" customHeight="false" outlineLevel="0" collapsed="false">
      <c r="A71" s="5" t="s">
        <v>240</v>
      </c>
    </row>
    <row r="72" customFormat="false" ht="17.15" hidden="false" customHeight="false" outlineLevel="0" collapsed="false">
      <c r="A72" s="0" t="s">
        <v>241</v>
      </c>
      <c r="B72" s="3" t="s">
        <v>242</v>
      </c>
      <c r="C72" s="0" t="s">
        <v>69</v>
      </c>
      <c r="D72" s="6" t="n">
        <v>0.4</v>
      </c>
      <c r="E72" s="6" t="n">
        <v>0.6</v>
      </c>
      <c r="F72" s="6" t="n">
        <v>1</v>
      </c>
      <c r="G72" s="7" t="s">
        <v>70</v>
      </c>
      <c r="H72" s="3" t="s">
        <v>243</v>
      </c>
      <c r="I72" s="3" t="s">
        <v>244</v>
      </c>
    </row>
    <row r="73" customFormat="false" ht="17.15" hidden="false" customHeight="false" outlineLevel="0" collapsed="false">
      <c r="A73" s="0" t="s">
        <v>245</v>
      </c>
      <c r="B73" s="3" t="s">
        <v>246</v>
      </c>
      <c r="C73" s="0" t="s">
        <v>190</v>
      </c>
      <c r="D73" s="6" t="n">
        <v>-0.01</v>
      </c>
      <c r="E73" s="6" t="n">
        <v>0</v>
      </c>
      <c r="F73" s="6" t="n">
        <v>0.01</v>
      </c>
      <c r="G73" s="7" t="s">
        <v>70</v>
      </c>
      <c r="H73" s="3" t="s">
        <v>247</v>
      </c>
      <c r="I73" s="7" t="s">
        <v>248</v>
      </c>
    </row>
    <row r="74" customFormat="false" ht="17.15" hidden="false" customHeight="false" outlineLevel="0" collapsed="false">
      <c r="A74" s="0" t="s">
        <v>249</v>
      </c>
      <c r="B74" s="3" t="s">
        <v>250</v>
      </c>
      <c r="C74" s="0" t="s">
        <v>203</v>
      </c>
      <c r="D74" s="6" t="n">
        <v>-1</v>
      </c>
      <c r="E74" s="6" t="n">
        <v>0</v>
      </c>
      <c r="F74" s="6" t="n">
        <v>1</v>
      </c>
      <c r="G74" s="7" t="s">
        <v>70</v>
      </c>
      <c r="H74" s="7" t="s">
        <v>251</v>
      </c>
      <c r="I74" s="7" t="s">
        <v>252</v>
      </c>
    </row>
    <row r="75" customFormat="false" ht="17.15" hidden="false" customHeight="false" outlineLevel="0" collapsed="false">
      <c r="A75" s="0" t="s">
        <v>253</v>
      </c>
      <c r="B75" s="3" t="s">
        <v>254</v>
      </c>
      <c r="C75" s="0" t="s">
        <v>55</v>
      </c>
      <c r="D75" s="6" t="n">
        <v>0.65</v>
      </c>
      <c r="E75" s="6" t="n">
        <v>0.685</v>
      </c>
      <c r="F75" s="6" t="n">
        <v>0.75</v>
      </c>
      <c r="G75" s="7" t="s">
        <v>36</v>
      </c>
      <c r="H75" s="3" t="s">
        <v>255</v>
      </c>
      <c r="I75" s="7" t="s">
        <v>58</v>
      </c>
    </row>
    <row r="76" customFormat="false" ht="17.15" hidden="false" customHeight="false" outlineLevel="0" collapsed="false">
      <c r="A76" s="0" t="s">
        <v>256</v>
      </c>
      <c r="B76" s="3" t="s">
        <v>257</v>
      </c>
      <c r="C76" s="0" t="s">
        <v>55</v>
      </c>
      <c r="D76" s="6" t="n">
        <v>0</v>
      </c>
      <c r="E76" s="6" t="n">
        <v>0.01</v>
      </c>
      <c r="F76" s="6" t="n">
        <v>0.03</v>
      </c>
      <c r="G76" s="7" t="s">
        <v>70</v>
      </c>
      <c r="H76" s="7" t="s">
        <v>258</v>
      </c>
      <c r="I76" s="3" t="s">
        <v>259</v>
      </c>
    </row>
    <row r="77" customFormat="false" ht="17.15" hidden="false" customHeight="false" outlineLevel="0" collapsed="false">
      <c r="A77" s="0" t="s">
        <v>260</v>
      </c>
      <c r="B77" s="0" t="s">
        <v>261</v>
      </c>
      <c r="C77" s="0" t="s">
        <v>69</v>
      </c>
      <c r="D77" s="6" t="n">
        <v>0.8</v>
      </c>
      <c r="E77" s="6" t="n">
        <v>1</v>
      </c>
      <c r="F77" s="6" t="n">
        <v>1.2</v>
      </c>
      <c r="G77" s="7" t="s">
        <v>70</v>
      </c>
      <c r="H77" s="3" t="s">
        <v>262</v>
      </c>
      <c r="I77" s="7" t="s">
        <v>263</v>
      </c>
    </row>
    <row r="78" customFormat="false" ht="17.15" hidden="false" customHeight="false" outlineLevel="0" collapsed="false">
      <c r="A78" s="5" t="s">
        <v>264</v>
      </c>
    </row>
    <row r="79" customFormat="false" ht="17.15" hidden="false" customHeight="false" outlineLevel="0" collapsed="false">
      <c r="A79" s="0" t="s">
        <v>265</v>
      </c>
      <c r="B79" s="3" t="s">
        <v>266</v>
      </c>
      <c r="C79" s="0" t="s">
        <v>203</v>
      </c>
      <c r="E79" s="6" t="n">
        <v>106.371</v>
      </c>
      <c r="G79" s="7" t="s">
        <v>56</v>
      </c>
      <c r="H79" s="7" t="s">
        <v>267</v>
      </c>
      <c r="I79" s="7" t="s">
        <v>268</v>
      </c>
    </row>
    <row r="80" customFormat="false" ht="17.15" hidden="false" customHeight="false" outlineLevel="0" collapsed="false">
      <c r="A80" s="0" t="s">
        <v>269</v>
      </c>
      <c r="B80" s="3" t="s">
        <v>270</v>
      </c>
      <c r="C80" s="0" t="s">
        <v>271</v>
      </c>
      <c r="E80" s="6" t="n">
        <v>41.22</v>
      </c>
      <c r="G80" s="7" t="s">
        <v>56</v>
      </c>
      <c r="H80" s="7" t="s">
        <v>272</v>
      </c>
      <c r="I80" s="7" t="s">
        <v>273</v>
      </c>
    </row>
    <row r="81" customFormat="false" ht="17.15" hidden="false" customHeight="false" outlineLevel="0" collapsed="false">
      <c r="A81" s="0" t="s">
        <v>274</v>
      </c>
      <c r="B81" s="3" t="s">
        <v>275</v>
      </c>
      <c r="C81" s="0" t="s">
        <v>203</v>
      </c>
      <c r="E81" s="6" t="n">
        <v>159.967</v>
      </c>
      <c r="G81" s="7" t="s">
        <v>56</v>
      </c>
      <c r="H81" s="7" t="s">
        <v>267</v>
      </c>
      <c r="I81" s="7" t="s">
        <v>58</v>
      </c>
    </row>
    <row r="82" customFormat="false" ht="17.15" hidden="false" customHeight="false" outlineLevel="0" collapsed="false">
      <c r="A82" s="0" t="s">
        <v>276</v>
      </c>
      <c r="B82" s="3" t="s">
        <v>277</v>
      </c>
      <c r="C82" s="0" t="s">
        <v>271</v>
      </c>
      <c r="E82" s="6" t="n">
        <v>62.8</v>
      </c>
      <c r="G82" s="7" t="s">
        <v>56</v>
      </c>
      <c r="H82" s="7" t="s">
        <v>272</v>
      </c>
      <c r="I82" s="7" t="s">
        <v>58</v>
      </c>
    </row>
    <row r="83" customFormat="false" ht="17.15" hidden="false" customHeight="false" outlineLevel="0" collapsed="false">
      <c r="A83" s="0" t="s">
        <v>278</v>
      </c>
      <c r="B83" s="3" t="s">
        <v>279</v>
      </c>
      <c r="C83" s="0" t="s">
        <v>203</v>
      </c>
      <c r="E83" s="6" t="n">
        <v>214.339</v>
      </c>
      <c r="G83" s="7" t="s">
        <v>56</v>
      </c>
      <c r="H83" s="7" t="s">
        <v>267</v>
      </c>
      <c r="I83" s="7" t="s">
        <v>58</v>
      </c>
    </row>
    <row r="84" customFormat="false" ht="17.15" hidden="false" customHeight="false" outlineLevel="0" collapsed="false">
      <c r="A84" s="0" t="s">
        <v>280</v>
      </c>
      <c r="B84" s="3" t="s">
        <v>281</v>
      </c>
      <c r="C84" s="0" t="s">
        <v>271</v>
      </c>
      <c r="E84" s="6" t="n">
        <v>95.35</v>
      </c>
      <c r="G84" s="7" t="s">
        <v>56</v>
      </c>
      <c r="H84" s="7" t="s">
        <v>272</v>
      </c>
      <c r="I84" s="7" t="s">
        <v>58</v>
      </c>
    </row>
    <row r="85" customFormat="false" ht="17.15" hidden="false" customHeight="false" outlineLevel="0" collapsed="false">
      <c r="A85" s="0" t="s">
        <v>282</v>
      </c>
      <c r="B85" s="0" t="s">
        <v>283</v>
      </c>
      <c r="C85" s="0" t="s">
        <v>271</v>
      </c>
      <c r="E85" s="6" t="n">
        <v>41.57</v>
      </c>
      <c r="G85" s="7" t="s">
        <v>56</v>
      </c>
      <c r="H85" s="7" t="s">
        <v>284</v>
      </c>
      <c r="I85" s="7" t="s">
        <v>58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271</v>
      </c>
      <c r="E86" s="6" t="n">
        <v>69.1</v>
      </c>
      <c r="G86" s="7" t="s">
        <v>56</v>
      </c>
      <c r="H86" s="7" t="s">
        <v>284</v>
      </c>
      <c r="I86" s="3" t="s">
        <v>287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271</v>
      </c>
      <c r="E87" s="6" t="n">
        <v>95.07</v>
      </c>
      <c r="G87" s="7" t="s">
        <v>56</v>
      </c>
      <c r="H87" s="7" t="s">
        <v>284</v>
      </c>
      <c r="I87" s="7" t="s">
        <v>58</v>
      </c>
    </row>
    <row r="88" customFormat="false" ht="17.15" hidden="false" customHeight="false" outlineLevel="0" collapsed="false">
      <c r="A88" s="0" t="s">
        <v>290</v>
      </c>
      <c r="B88" s="3" t="s">
        <v>291</v>
      </c>
      <c r="C88" s="0" t="s">
        <v>271</v>
      </c>
      <c r="E88" s="6" t="n">
        <v>65.39</v>
      </c>
      <c r="G88" s="7" t="s">
        <v>56</v>
      </c>
      <c r="H88" s="7" t="s">
        <v>292</v>
      </c>
      <c r="I88" s="3" t="s">
        <v>293</v>
      </c>
    </row>
    <row r="89" customFormat="false" ht="17.15" hidden="false" customHeight="false" outlineLevel="0" collapsed="false">
      <c r="A89" s="0" t="s">
        <v>294</v>
      </c>
      <c r="B89" s="3" t="s">
        <v>295</v>
      </c>
      <c r="C89" s="0" t="s">
        <v>96</v>
      </c>
      <c r="E89" s="6" t="n">
        <v>350</v>
      </c>
      <c r="G89" s="7" t="s">
        <v>36</v>
      </c>
      <c r="H89" s="7" t="s">
        <v>296</v>
      </c>
      <c r="I89" s="3" t="s">
        <v>297</v>
      </c>
    </row>
    <row r="90" customFormat="false" ht="17.15" hidden="false" customHeight="false" outlineLevel="0" collapsed="false">
      <c r="A90" s="0" t="s">
        <v>298</v>
      </c>
      <c r="B90" s="3" t="s">
        <v>299</v>
      </c>
      <c r="C90" s="0" t="s">
        <v>96</v>
      </c>
      <c r="E90" s="6" t="n">
        <v>450</v>
      </c>
      <c r="G90" s="7" t="s">
        <v>36</v>
      </c>
      <c r="H90" s="7" t="s">
        <v>300</v>
      </c>
      <c r="I90" s="3" t="s">
        <v>301</v>
      </c>
    </row>
    <row r="91" customFormat="false" ht="17.15" hidden="false" customHeight="false" outlineLevel="0" collapsed="false">
      <c r="A91" s="0" t="s">
        <v>302</v>
      </c>
      <c r="B91" s="3" t="s">
        <v>303</v>
      </c>
      <c r="C91" s="0" t="s">
        <v>96</v>
      </c>
      <c r="E91" s="6" t="n">
        <v>527.5</v>
      </c>
      <c r="G91" s="7" t="s">
        <v>36</v>
      </c>
      <c r="H91" s="7" t="s">
        <v>296</v>
      </c>
      <c r="I91" s="3" t="s">
        <v>41</v>
      </c>
    </row>
    <row r="92" customFormat="false" ht="17.15" hidden="false" customHeight="false" outlineLevel="0" collapsed="false">
      <c r="A92" s="0" t="s">
        <v>304</v>
      </c>
      <c r="B92" s="3" t="s">
        <v>305</v>
      </c>
      <c r="C92" s="0" t="s">
        <v>96</v>
      </c>
      <c r="E92" s="6" t="n">
        <v>682</v>
      </c>
      <c r="G92" s="7" t="s">
        <v>36</v>
      </c>
      <c r="H92" s="7" t="s">
        <v>300</v>
      </c>
      <c r="I92" s="3" t="s">
        <v>41</v>
      </c>
    </row>
    <row r="93" customFormat="false" ht="17.15" hidden="false" customHeight="false" outlineLevel="0" collapsed="false">
      <c r="A93" s="0" t="s">
        <v>306</v>
      </c>
      <c r="B93" s="3" t="s">
        <v>307</v>
      </c>
      <c r="C93" s="0" t="s">
        <v>96</v>
      </c>
      <c r="E93" s="6" t="n">
        <v>609</v>
      </c>
      <c r="G93" s="7" t="s">
        <v>36</v>
      </c>
      <c r="H93" s="7" t="s">
        <v>296</v>
      </c>
      <c r="I93" s="3" t="s">
        <v>41</v>
      </c>
    </row>
    <row r="94" customFormat="false" ht="17.15" hidden="false" customHeight="false" outlineLevel="0" collapsed="false">
      <c r="A94" s="0" t="s">
        <v>308</v>
      </c>
      <c r="B94" s="3" t="s">
        <v>309</v>
      </c>
      <c r="C94" s="0" t="s">
        <v>96</v>
      </c>
      <c r="E94" s="6" t="n">
        <v>792</v>
      </c>
      <c r="G94" s="7" t="s">
        <v>36</v>
      </c>
      <c r="H94" s="7" t="s">
        <v>300</v>
      </c>
      <c r="I94" s="3" t="s">
        <v>41</v>
      </c>
    </row>
    <row r="95" customFormat="false" ht="17.15" hidden="false" customHeight="false" outlineLevel="0" collapsed="false">
      <c r="A95" s="0" t="s">
        <v>310</v>
      </c>
      <c r="B95" s="3" t="s">
        <v>311</v>
      </c>
      <c r="C95" s="0" t="s">
        <v>96</v>
      </c>
      <c r="E95" s="6" t="n">
        <v>662.5</v>
      </c>
      <c r="G95" s="7" t="s">
        <v>36</v>
      </c>
      <c r="H95" s="7" t="s">
        <v>296</v>
      </c>
      <c r="I95" s="3" t="s">
        <v>41</v>
      </c>
    </row>
    <row r="96" customFormat="false" ht="17.15" hidden="false" customHeight="false" outlineLevel="0" collapsed="false">
      <c r="A96" s="0" t="s">
        <v>312</v>
      </c>
      <c r="B96" s="3" t="s">
        <v>313</v>
      </c>
      <c r="C96" s="0" t="s">
        <v>96</v>
      </c>
      <c r="E96" s="6" t="n">
        <v>877</v>
      </c>
      <c r="G96" s="7" t="s">
        <v>36</v>
      </c>
      <c r="H96" s="7" t="s">
        <v>300</v>
      </c>
      <c r="I96" s="3" t="s">
        <v>41</v>
      </c>
    </row>
    <row r="97" customFormat="false" ht="17.15" hidden="false" customHeight="false" outlineLevel="0" collapsed="false">
      <c r="A97" s="0" t="s">
        <v>314</v>
      </c>
      <c r="B97" s="3" t="s">
        <v>315</v>
      </c>
      <c r="C97" s="0" t="s">
        <v>96</v>
      </c>
      <c r="E97" s="6" t="n">
        <v>160.757158009399</v>
      </c>
      <c r="G97" s="7" t="s">
        <v>36</v>
      </c>
      <c r="H97" s="7" t="s">
        <v>316</v>
      </c>
      <c r="I97" s="3" t="s">
        <v>317</v>
      </c>
    </row>
    <row r="98" customFormat="false" ht="17.15" hidden="false" customHeight="false" outlineLevel="0" collapsed="false">
      <c r="A98" s="0" t="s">
        <v>318</v>
      </c>
      <c r="B98" s="3" t="s">
        <v>319</v>
      </c>
      <c r="C98" s="0" t="s">
        <v>96</v>
      </c>
      <c r="E98" s="6" t="n">
        <v>104.220553125242</v>
      </c>
      <c r="G98" s="7" t="s">
        <v>36</v>
      </c>
      <c r="H98" s="7" t="s">
        <v>320</v>
      </c>
      <c r="I98" s="3" t="s">
        <v>321</v>
      </c>
    </row>
    <row r="99" customFormat="false" ht="17.15" hidden="false" customHeight="false" outlineLevel="0" collapsed="false">
      <c r="A99" s="0" t="s">
        <v>322</v>
      </c>
      <c r="B99" s="3" t="s">
        <v>323</v>
      </c>
      <c r="C99" s="0" t="s">
        <v>96</v>
      </c>
      <c r="E99" s="6" t="n">
        <v>180.408412082255</v>
      </c>
      <c r="G99" s="7" t="s">
        <v>36</v>
      </c>
      <c r="H99" s="7" t="s">
        <v>316</v>
      </c>
      <c r="I99" s="3" t="s">
        <v>317</v>
      </c>
    </row>
    <row r="100" customFormat="false" ht="17.15" hidden="false" customHeight="false" outlineLevel="0" collapsed="false">
      <c r="A100" s="0" t="s">
        <v>324</v>
      </c>
      <c r="B100" s="3" t="s">
        <v>325</v>
      </c>
      <c r="C100" s="0" t="s">
        <v>96</v>
      </c>
      <c r="E100" s="6" t="n">
        <v>126.086203457351</v>
      </c>
      <c r="G100" s="7" t="s">
        <v>36</v>
      </c>
      <c r="H100" s="7" t="s">
        <v>320</v>
      </c>
      <c r="I100" s="3" t="s">
        <v>321</v>
      </c>
    </row>
    <row r="101" customFormat="false" ht="17.15" hidden="false" customHeight="false" outlineLevel="0" collapsed="false">
      <c r="A101" s="0" t="s">
        <v>326</v>
      </c>
      <c r="B101" s="3" t="s">
        <v>327</v>
      </c>
      <c r="C101" s="0" t="s">
        <v>96</v>
      </c>
      <c r="E101" s="6" t="n">
        <v>226.080719682557</v>
      </c>
      <c r="G101" s="7" t="s">
        <v>36</v>
      </c>
      <c r="H101" s="7" t="s">
        <v>316</v>
      </c>
      <c r="I101" s="3" t="s">
        <v>317</v>
      </c>
    </row>
    <row r="102" customFormat="false" ht="17.15" hidden="false" customHeight="false" outlineLevel="0" collapsed="false">
      <c r="A102" s="0" t="s">
        <v>328</v>
      </c>
      <c r="B102" s="3" t="s">
        <v>329</v>
      </c>
      <c r="C102" s="0" t="s">
        <v>96</v>
      </c>
      <c r="E102" s="6" t="n">
        <v>142.340262636331</v>
      </c>
      <c r="G102" s="7" t="s">
        <v>36</v>
      </c>
      <c r="H102" s="7" t="s">
        <v>320</v>
      </c>
      <c r="I102" s="3" t="s">
        <v>321</v>
      </c>
    </row>
    <row r="103" customFormat="false" ht="17.15" hidden="false" customHeight="false" outlineLevel="0" collapsed="false">
      <c r="A103" s="0" t="s">
        <v>330</v>
      </c>
      <c r="B103" s="3" t="s">
        <v>331</v>
      </c>
      <c r="C103" s="0" t="s">
        <v>55</v>
      </c>
      <c r="E103" s="6" t="n">
        <v>0.231601229167205</v>
      </c>
      <c r="G103" s="7" t="s">
        <v>36</v>
      </c>
      <c r="H103" s="7" t="s">
        <v>332</v>
      </c>
      <c r="I103" s="3" t="s">
        <v>321</v>
      </c>
    </row>
    <row r="104" customFormat="false" ht="17.15" hidden="false" customHeight="false" outlineLevel="0" collapsed="false">
      <c r="A104" s="5" t="s">
        <v>333</v>
      </c>
    </row>
    <row r="105" customFormat="false" ht="17.15" hidden="false" customHeight="false" outlineLevel="0" collapsed="false">
      <c r="A105" s="0" t="s">
        <v>334</v>
      </c>
      <c r="B105" s="3" t="s">
        <v>335</v>
      </c>
      <c r="C105" s="0" t="s">
        <v>271</v>
      </c>
      <c r="E105" s="6" t="n">
        <v>1115</v>
      </c>
      <c r="G105" s="7" t="s">
        <v>56</v>
      </c>
      <c r="H105" s="7" t="s">
        <v>336</v>
      </c>
      <c r="I105" s="7" t="s">
        <v>337</v>
      </c>
    </row>
    <row r="106" customFormat="false" ht="17.15" hidden="false" customHeight="false" outlineLevel="0" collapsed="false">
      <c r="A106" s="0" t="s">
        <v>338</v>
      </c>
      <c r="B106" s="3" t="s">
        <v>339</v>
      </c>
      <c r="C106" s="0" t="s">
        <v>69</v>
      </c>
      <c r="E106" s="6" t="n">
        <v>39.79</v>
      </c>
      <c r="G106" s="7" t="s">
        <v>56</v>
      </c>
      <c r="H106" s="7" t="s">
        <v>340</v>
      </c>
      <c r="I106" s="3" t="s">
        <v>341</v>
      </c>
    </row>
    <row r="107" customFormat="false" ht="17.15" hidden="false" customHeight="false" outlineLevel="0" collapsed="false">
      <c r="A107" s="0" t="s">
        <v>342</v>
      </c>
      <c r="B107" s="3" t="s">
        <v>343</v>
      </c>
      <c r="C107" s="0" t="s">
        <v>69</v>
      </c>
      <c r="E107" s="6" t="n">
        <v>19.57</v>
      </c>
      <c r="G107" s="7" t="s">
        <v>56</v>
      </c>
      <c r="H107" s="7" t="s">
        <v>340</v>
      </c>
      <c r="I107" s="3" t="s">
        <v>344</v>
      </c>
    </row>
    <row r="108" customFormat="false" ht="17.15" hidden="false" customHeight="false" outlineLevel="0" collapsed="false">
      <c r="A108" s="0" t="s">
        <v>345</v>
      </c>
      <c r="B108" s="3" t="s">
        <v>346</v>
      </c>
      <c r="C108" s="0" t="s">
        <v>271</v>
      </c>
      <c r="E108" s="0" t="n">
        <f aca="false">px/fpe</f>
        <v>56.9749616760347</v>
      </c>
      <c r="G108" s="0" t="s">
        <v>36</v>
      </c>
      <c r="H108" s="0" t="s">
        <v>347</v>
      </c>
      <c r="I108" s="3" t="s">
        <v>348</v>
      </c>
    </row>
    <row r="109" customFormat="false" ht="17.15" hidden="false" customHeight="false" outlineLevel="0" collapsed="false">
      <c r="A109" s="0" t="s">
        <v>349</v>
      </c>
      <c r="B109" s="3" t="s">
        <v>350</v>
      </c>
      <c r="C109" s="0" t="s">
        <v>271</v>
      </c>
      <c r="E109" s="6" t="n">
        <v>1554</v>
      </c>
      <c r="G109" s="7" t="s">
        <v>56</v>
      </c>
      <c r="H109" s="7" t="s">
        <v>351</v>
      </c>
      <c r="I109" s="3" t="s">
        <v>352</v>
      </c>
    </row>
    <row r="110" customFormat="false" ht="17.15" hidden="false" customHeight="false" outlineLevel="0" collapsed="false">
      <c r="A110" s="0" t="s">
        <v>353</v>
      </c>
      <c r="B110" s="3" t="s">
        <v>354</v>
      </c>
      <c r="C110" s="0" t="s">
        <v>55</v>
      </c>
      <c r="E110" s="8" t="n">
        <f aca="false">PL!G39*0.8</f>
        <v>0.125878531868141</v>
      </c>
      <c r="G110" s="7" t="s">
        <v>70</v>
      </c>
      <c r="H110" s="3" t="s">
        <v>355</v>
      </c>
      <c r="I110" s="3" t="s">
        <v>356</v>
      </c>
    </row>
    <row r="111" customFormat="false" ht="17.15" hidden="false" customHeight="false" outlineLevel="0" collapsed="false">
      <c r="A111" s="5" t="s">
        <v>357</v>
      </c>
    </row>
    <row r="112" customFormat="false" ht="17.15" hidden="false" customHeight="false" outlineLevel="0" collapsed="false">
      <c r="A112" s="9" t="s">
        <v>358</v>
      </c>
      <c r="B112" s="10" t="s">
        <v>359</v>
      </c>
      <c r="C112" s="9" t="s">
        <v>55</v>
      </c>
      <c r="D112" s="9"/>
      <c r="E112" s="11" t="n">
        <v>0.3</v>
      </c>
      <c r="F112" s="9"/>
      <c r="G112" s="9" t="s">
        <v>360</v>
      </c>
      <c r="H112" s="9" t="s">
        <v>361</v>
      </c>
      <c r="I112" s="10" t="s">
        <v>362</v>
      </c>
    </row>
    <row r="113" customFormat="false" ht="17.15" hidden="false" customHeight="false" outlineLevel="0" collapsed="false">
      <c r="A113" s="9" t="s">
        <v>363</v>
      </c>
      <c r="B113" s="10" t="s">
        <v>364</v>
      </c>
      <c r="C113" s="9" t="s">
        <v>55</v>
      </c>
      <c r="D113" s="9"/>
      <c r="E113" s="11" t="n">
        <v>0.5</v>
      </c>
      <c r="F113" s="9"/>
      <c r="G113" s="9" t="s">
        <v>360</v>
      </c>
      <c r="H113" s="9" t="s">
        <v>361</v>
      </c>
      <c r="I113" s="10" t="s">
        <v>362</v>
      </c>
    </row>
    <row r="114" customFormat="false" ht="17.15" hidden="false" customHeight="false" outlineLevel="0" collapsed="false">
      <c r="A114" s="9" t="s">
        <v>365</v>
      </c>
      <c r="B114" s="10" t="s">
        <v>366</v>
      </c>
      <c r="C114" s="9" t="s">
        <v>55</v>
      </c>
      <c r="D114" s="9"/>
      <c r="E114" s="11" t="n">
        <v>0.2</v>
      </c>
      <c r="F114" s="9"/>
      <c r="G114" s="9" t="s">
        <v>360</v>
      </c>
      <c r="H114" s="9" t="s">
        <v>361</v>
      </c>
      <c r="I114" s="10" t="s">
        <v>362</v>
      </c>
    </row>
    <row r="115" customFormat="false" ht="17.15" hidden="false" customHeight="false" outlineLevel="0" collapsed="false">
      <c r="A115" s="9" t="s">
        <v>367</v>
      </c>
      <c r="B115" s="10" t="s">
        <v>368</v>
      </c>
      <c r="C115" s="9" t="s">
        <v>55</v>
      </c>
      <c r="D115" s="9"/>
      <c r="E115" s="11" t="n">
        <v>0.1</v>
      </c>
      <c r="F115" s="9"/>
      <c r="G115" s="9" t="s">
        <v>360</v>
      </c>
      <c r="H115" s="9" t="s">
        <v>369</v>
      </c>
      <c r="I115" s="9" t="s">
        <v>370</v>
      </c>
    </row>
    <row r="116" customFormat="false" ht="17.15" hidden="false" customHeight="false" outlineLevel="0" collapsed="false">
      <c r="A116" s="9" t="s">
        <v>371</v>
      </c>
      <c r="B116" s="10" t="s">
        <v>372</v>
      </c>
      <c r="C116" s="9" t="s">
        <v>55</v>
      </c>
      <c r="D116" s="9"/>
      <c r="E116" s="11" t="n">
        <v>0.04</v>
      </c>
      <c r="F116" s="9"/>
      <c r="G116" s="9" t="s">
        <v>360</v>
      </c>
      <c r="H116" s="9" t="s">
        <v>373</v>
      </c>
      <c r="I116" s="9" t="s">
        <v>374</v>
      </c>
    </row>
    <row r="117" customFormat="false" ht="17.15" hidden="false" customHeight="false" outlineLevel="0" collapsed="false">
      <c r="A117" s="9" t="s">
        <v>375</v>
      </c>
      <c r="B117" s="9" t="s">
        <v>376</v>
      </c>
      <c r="C117" s="9" t="s">
        <v>55</v>
      </c>
      <c r="D117" s="9"/>
      <c r="E117" s="9" t="n">
        <f aca="false">AVERAGE(0.2265,0.2945,0.3507)</f>
        <v>0.290566666666667</v>
      </c>
      <c r="F117" s="9"/>
      <c r="G117" s="9" t="s">
        <v>36</v>
      </c>
      <c r="H117" s="9" t="s">
        <v>377</v>
      </c>
      <c r="I117" s="9" t="s">
        <v>378</v>
      </c>
    </row>
    <row r="118" customFormat="false" ht="17.15" hidden="false" customHeight="false" outlineLevel="0" collapsed="false">
      <c r="A118" s="9" t="s">
        <v>379</v>
      </c>
      <c r="B118" s="10" t="s">
        <v>380</v>
      </c>
      <c r="C118" s="9" t="s">
        <v>55</v>
      </c>
      <c r="D118" s="9"/>
      <c r="E118" s="11" t="n">
        <v>0.5</v>
      </c>
      <c r="F118" s="9"/>
      <c r="G118" s="9" t="s">
        <v>360</v>
      </c>
      <c r="H118" s="9" t="s">
        <v>381</v>
      </c>
      <c r="I118" s="9" t="s">
        <v>58</v>
      </c>
    </row>
    <row r="119" customFormat="false" ht="17.15" hidden="false" customHeight="false" outlineLevel="0" collapsed="false">
      <c r="A119" s="9" t="s">
        <v>382</v>
      </c>
      <c r="B119" s="10" t="s">
        <v>383</v>
      </c>
      <c r="C119" s="9" t="s">
        <v>55</v>
      </c>
      <c r="D119" s="9"/>
      <c r="E119" s="9" t="n">
        <f aca="false">tp_g+0.02</f>
        <v>0.06</v>
      </c>
      <c r="F119" s="9"/>
      <c r="G119" s="9" t="s">
        <v>360</v>
      </c>
      <c r="H119" s="10" t="s">
        <v>384</v>
      </c>
      <c r="I119" s="9" t="s">
        <v>385</v>
      </c>
    </row>
    <row r="120" customFormat="false" ht="17.15" hidden="false" customHeight="false" outlineLevel="0" collapsed="false">
      <c r="A120" s="9" t="s">
        <v>386</v>
      </c>
      <c r="B120" s="10" t="s">
        <v>387</v>
      </c>
      <c r="C120" s="9" t="s">
        <v>55</v>
      </c>
      <c r="D120" s="9"/>
      <c r="E120" s="9" t="n">
        <f aca="false">tp_g</f>
        <v>0.04</v>
      </c>
      <c r="F120" s="9"/>
      <c r="G120" s="9" t="s">
        <v>360</v>
      </c>
      <c r="H120" s="10" t="s">
        <v>41</v>
      </c>
      <c r="I120" s="9" t="s">
        <v>58</v>
      </c>
    </row>
    <row r="121" customFormat="false" ht="17.15" hidden="false" customHeight="false" outlineLevel="0" collapsed="false">
      <c r="A121" s="9" t="s">
        <v>388</v>
      </c>
      <c r="B121" s="10" t="s">
        <v>389</v>
      </c>
      <c r="C121" s="9" t="s">
        <v>55</v>
      </c>
      <c r="D121" s="9"/>
      <c r="E121" s="9" t="n">
        <f aca="false">tp_g-0.02</f>
        <v>0.02</v>
      </c>
      <c r="F121" s="9"/>
      <c r="G121" s="9" t="s">
        <v>360</v>
      </c>
      <c r="H121" s="10" t="s">
        <v>41</v>
      </c>
      <c r="I121" s="9" t="s">
        <v>58</v>
      </c>
    </row>
    <row r="122" customFormat="false" ht="17.15" hidden="false" customHeight="false" outlineLevel="0" collapsed="false">
      <c r="A122" s="9" t="s">
        <v>390</v>
      </c>
      <c r="B122" s="10" t="s">
        <v>391</v>
      </c>
      <c r="C122" s="9" t="s">
        <v>55</v>
      </c>
      <c r="D122" s="9"/>
      <c r="E122" s="12" t="n">
        <f aca="false">PL!G13</f>
        <v>0.233575018056783</v>
      </c>
      <c r="F122" s="9"/>
      <c r="G122" s="9" t="s">
        <v>36</v>
      </c>
      <c r="H122" s="9" t="s">
        <v>392</v>
      </c>
      <c r="I122" s="9" t="s">
        <v>58</v>
      </c>
    </row>
    <row r="123" customFormat="false" ht="17.15" hidden="false" customHeight="false" outlineLevel="0" collapsed="false">
      <c r="A123" s="9" t="s">
        <v>393</v>
      </c>
      <c r="B123" s="10" t="s">
        <v>394</v>
      </c>
      <c r="C123" s="9" t="s">
        <v>55</v>
      </c>
      <c r="D123" s="9"/>
      <c r="E123" s="13" t="n">
        <f aca="false">(PL!G26+nim_avg)/2</f>
        <v>0.164810036470462</v>
      </c>
      <c r="F123" s="9"/>
      <c r="G123" s="9" t="s">
        <v>360</v>
      </c>
      <c r="H123" s="9" t="s">
        <v>395</v>
      </c>
      <c r="I123" s="9" t="s">
        <v>58</v>
      </c>
    </row>
    <row r="124" customFormat="false" ht="17.15" hidden="false" customHeight="false" outlineLevel="0" collapsed="false">
      <c r="A124" s="9" t="s">
        <v>396</v>
      </c>
      <c r="B124" s="10" t="s">
        <v>397</v>
      </c>
      <c r="C124" s="9" t="s">
        <v>55</v>
      </c>
      <c r="D124" s="9"/>
      <c r="E124" s="9" t="n">
        <f aca="false">nim_avg</f>
        <v>0.125878531868141</v>
      </c>
      <c r="F124" s="9"/>
      <c r="G124" s="9" t="s">
        <v>360</v>
      </c>
      <c r="H124" s="9" t="s">
        <v>398</v>
      </c>
      <c r="I124" s="9" t="s">
        <v>58</v>
      </c>
    </row>
    <row r="126" customFormat="false" ht="17.15" hidden="false" customHeight="false" outlineLevel="0" collapsed="false">
      <c r="A126" s="1" t="s">
        <v>399</v>
      </c>
    </row>
    <row r="127" customFormat="false" ht="17.15" hidden="false" customHeight="false" outlineLevel="0" collapsed="false">
      <c r="A127" s="0" t="s">
        <v>400</v>
      </c>
      <c r="B127" s="3" t="s">
        <v>401</v>
      </c>
      <c r="C127" s="0" t="s">
        <v>69</v>
      </c>
      <c r="E127" s="6" t="n">
        <v>1.03</v>
      </c>
      <c r="G127" s="7" t="s">
        <v>70</v>
      </c>
      <c r="H127" s="3" t="s">
        <v>402</v>
      </c>
    </row>
    <row r="128" customFormat="false" ht="17.15" hidden="false" customHeight="false" outlineLevel="0" collapsed="false">
      <c r="A128" s="0" t="s">
        <v>403</v>
      </c>
      <c r="B128" s="3" t="s">
        <v>404</v>
      </c>
      <c r="C128" s="0" t="s">
        <v>69</v>
      </c>
      <c r="E128" s="6" t="n">
        <v>1.02</v>
      </c>
      <c r="G128" s="7" t="s">
        <v>70</v>
      </c>
      <c r="H128" s="3" t="s">
        <v>405</v>
      </c>
    </row>
    <row r="129" customFormat="false" ht="17.15" hidden="false" customHeight="false" outlineLevel="0" collapsed="false">
      <c r="A129" s="0" t="s">
        <v>406</v>
      </c>
      <c r="B129" s="3" t="s">
        <v>407</v>
      </c>
      <c r="C129" s="0" t="s">
        <v>69</v>
      </c>
      <c r="E129" s="6" t="n">
        <v>1</v>
      </c>
      <c r="G129" s="7" t="s">
        <v>70</v>
      </c>
      <c r="H129" s="3" t="s">
        <v>408</v>
      </c>
    </row>
    <row r="130" customFormat="false" ht="17.15" hidden="false" customHeight="false" outlineLevel="0" collapsed="false">
      <c r="A130" s="0" t="s">
        <v>409</v>
      </c>
      <c r="B130" s="3" t="s">
        <v>410</v>
      </c>
      <c r="C130" s="0" t="s">
        <v>69</v>
      </c>
      <c r="E130" s="6" t="n">
        <v>1.08</v>
      </c>
      <c r="G130" s="7" t="s">
        <v>70</v>
      </c>
      <c r="H130" s="3" t="s">
        <v>411</v>
      </c>
    </row>
    <row r="131" customFormat="false" ht="17.15" hidden="false" customHeight="false" outlineLevel="0" collapsed="false">
      <c r="A131" s="0" t="s">
        <v>412</v>
      </c>
      <c r="B131" s="3" t="s">
        <v>413</v>
      </c>
      <c r="C131" s="0" t="s">
        <v>69</v>
      </c>
      <c r="E131" s="6" t="n">
        <v>1.08</v>
      </c>
      <c r="G131" s="7" t="s">
        <v>70</v>
      </c>
      <c r="H131" s="3" t="s">
        <v>414</v>
      </c>
    </row>
    <row r="132" customFormat="false" ht="17.15" hidden="false" customHeight="false" outlineLevel="0" collapsed="false">
      <c r="A132" s="0" t="s">
        <v>415</v>
      </c>
      <c r="B132" s="3" t="s">
        <v>416</v>
      </c>
      <c r="C132" s="0" t="s">
        <v>69</v>
      </c>
      <c r="E132" s="6" t="n">
        <v>1.05</v>
      </c>
      <c r="G132" s="7" t="s">
        <v>70</v>
      </c>
      <c r="H132" s="3" t="s">
        <v>417</v>
      </c>
    </row>
    <row r="133" customFormat="false" ht="17.15" hidden="false" customHeight="false" outlineLevel="0" collapsed="false">
      <c r="A133" s="0" t="s">
        <v>418</v>
      </c>
      <c r="B133" s="3" t="s">
        <v>419</v>
      </c>
      <c r="C133" s="0" t="s">
        <v>190</v>
      </c>
      <c r="E133" s="6" t="n">
        <v>0.02</v>
      </c>
      <c r="G133" s="7" t="s">
        <v>70</v>
      </c>
      <c r="H133" s="3" t="s">
        <v>420</v>
      </c>
    </row>
    <row r="134" customFormat="false" ht="17.15" hidden="false" customHeight="false" outlineLevel="0" collapsed="false">
      <c r="A134" s="0" t="s">
        <v>421</v>
      </c>
      <c r="B134" s="3" t="s">
        <v>422</v>
      </c>
      <c r="C134" s="0" t="s">
        <v>190</v>
      </c>
      <c r="E134" s="6" t="n">
        <v>0.03</v>
      </c>
      <c r="G134" s="7" t="s">
        <v>70</v>
      </c>
      <c r="H134" s="3" t="s">
        <v>423</v>
      </c>
    </row>
    <row r="135" customFormat="false" ht="17.15" hidden="false" customHeight="false" outlineLevel="0" collapsed="false">
      <c r="A135" s="0" t="s">
        <v>424</v>
      </c>
      <c r="B135" s="3" t="s">
        <v>425</v>
      </c>
      <c r="C135" s="0" t="s">
        <v>190</v>
      </c>
      <c r="E135" s="6" t="n">
        <v>0.035</v>
      </c>
      <c r="G135" s="7" t="s">
        <v>70</v>
      </c>
      <c r="H135" s="3" t="s">
        <v>426</v>
      </c>
    </row>
    <row r="136" customFormat="false" ht="17.15" hidden="false" customHeight="false" outlineLevel="0" collapsed="false">
      <c r="A136" s="0" t="s">
        <v>427</v>
      </c>
      <c r="B136" s="3" t="s">
        <v>428</v>
      </c>
      <c r="C136" s="0" t="s">
        <v>69</v>
      </c>
      <c r="E136" s="6" t="n">
        <v>0.96</v>
      </c>
      <c r="G136" s="7" t="s">
        <v>70</v>
      </c>
      <c r="H136" s="3" t="s">
        <v>429</v>
      </c>
    </row>
    <row r="137" customFormat="false" ht="17.15" hidden="false" customHeight="false" outlineLevel="0" collapsed="false">
      <c r="A137" s="0" t="s">
        <v>430</v>
      </c>
      <c r="B137" s="3" t="s">
        <v>431</v>
      </c>
      <c r="C137" s="0" t="s">
        <v>69</v>
      </c>
      <c r="E137" s="6" t="n">
        <v>0.92</v>
      </c>
      <c r="G137" s="7" t="s">
        <v>70</v>
      </c>
      <c r="H137" s="3" t="s">
        <v>432</v>
      </c>
    </row>
    <row r="138" customFormat="false" ht="17.15" hidden="false" customHeight="false" outlineLevel="0" collapsed="false">
      <c r="A138" s="0" t="s">
        <v>433</v>
      </c>
      <c r="B138" s="3" t="s">
        <v>434</v>
      </c>
      <c r="C138" s="0" t="s">
        <v>69</v>
      </c>
      <c r="E138" s="6" t="n">
        <v>0.88</v>
      </c>
      <c r="G138" s="7" t="s">
        <v>70</v>
      </c>
      <c r="H138" s="3" t="s">
        <v>435</v>
      </c>
    </row>
    <row r="139" customFormat="false" ht="17.15" hidden="false" customHeight="false" outlineLevel="0" collapsed="false">
      <c r="A139" s="0" t="s">
        <v>436</v>
      </c>
      <c r="B139" s="3" t="s">
        <v>437</v>
      </c>
      <c r="C139" s="0" t="s">
        <v>69</v>
      </c>
      <c r="E139" s="6" t="n">
        <v>0.85</v>
      </c>
      <c r="G139" s="7" t="s">
        <v>70</v>
      </c>
      <c r="H139" s="3" t="s">
        <v>438</v>
      </c>
    </row>
    <row r="140" customFormat="false" ht="17.15" hidden="false" customHeight="false" outlineLevel="0" collapsed="false">
      <c r="A140" s="0" t="s">
        <v>439</v>
      </c>
      <c r="B140" s="3" t="s">
        <v>440</v>
      </c>
      <c r="C140" s="0" t="s">
        <v>69</v>
      </c>
      <c r="E140" s="6" t="n">
        <v>0.75</v>
      </c>
      <c r="G140" s="7" t="s">
        <v>70</v>
      </c>
      <c r="H140" s="3" t="s">
        <v>441</v>
      </c>
    </row>
    <row r="141" customFormat="false" ht="17.15" hidden="false" customHeight="false" outlineLevel="0" collapsed="false">
      <c r="A141" s="0" t="s">
        <v>442</v>
      </c>
      <c r="B141" s="3" t="s">
        <v>443</v>
      </c>
      <c r="C141" s="0" t="s">
        <v>69</v>
      </c>
      <c r="E141" s="6" t="n">
        <v>0.7</v>
      </c>
      <c r="G141" s="7" t="s">
        <v>70</v>
      </c>
      <c r="H141" s="3" t="s">
        <v>444</v>
      </c>
    </row>
    <row r="142" customFormat="false" ht="17.15" hidden="false" customHeight="false" outlineLevel="0" collapsed="false">
      <c r="A142" s="0" t="s">
        <v>445</v>
      </c>
      <c r="B142" s="3" t="s">
        <v>446</v>
      </c>
      <c r="C142" s="0" t="s">
        <v>190</v>
      </c>
      <c r="E142" s="6" t="n">
        <v>-0.01</v>
      </c>
      <c r="G142" s="7" t="s">
        <v>70</v>
      </c>
      <c r="H142" s="3" t="s">
        <v>447</v>
      </c>
    </row>
    <row r="143" customFormat="false" ht="17.15" hidden="false" customHeight="false" outlineLevel="0" collapsed="false">
      <c r="A143" s="0" t="s">
        <v>448</v>
      </c>
      <c r="B143" s="3" t="s">
        <v>449</v>
      </c>
      <c r="C143" s="0" t="s">
        <v>190</v>
      </c>
      <c r="E143" s="6" t="n">
        <v>-0.01</v>
      </c>
      <c r="G143" s="7" t="s">
        <v>70</v>
      </c>
      <c r="H143" s="3" t="s">
        <v>450</v>
      </c>
    </row>
    <row r="144" customFormat="false" ht="17.15" hidden="false" customHeight="false" outlineLevel="0" collapsed="false">
      <c r="A144" s="0" t="s">
        <v>451</v>
      </c>
      <c r="B144" s="3" t="s">
        <v>452</v>
      </c>
      <c r="C144" s="0" t="s">
        <v>190</v>
      </c>
      <c r="E144" s="6" t="n">
        <v>-0.01</v>
      </c>
      <c r="G144" s="7" t="s">
        <v>70</v>
      </c>
      <c r="H144" s="3" t="s">
        <v>453</v>
      </c>
    </row>
    <row r="146" customFormat="false" ht="17.15" hidden="false" customHeight="false" outlineLevel="0" collapsed="false">
      <c r="A146" s="1" t="s">
        <v>454</v>
      </c>
    </row>
    <row r="147" customFormat="false" ht="17.15" hidden="false" customHeight="false" outlineLevel="0" collapsed="false">
      <c r="A147" s="1" t="s">
        <v>23</v>
      </c>
      <c r="B147" s="1" t="s">
        <v>24</v>
      </c>
      <c r="C147" s="1" t="s">
        <v>25</v>
      </c>
      <c r="D147" s="1" t="s">
        <v>455</v>
      </c>
      <c r="E147" s="1" t="s">
        <v>456</v>
      </c>
      <c r="F147" s="1" t="s">
        <v>457</v>
      </c>
      <c r="G147" s="1" t="s">
        <v>29</v>
      </c>
      <c r="H147" s="1" t="s">
        <v>458</v>
      </c>
    </row>
    <row r="148" customFormat="false" ht="17.15" hidden="false" customHeight="false" outlineLevel="0" collapsed="false">
      <c r="A148" s="0" t="s">
        <v>459</v>
      </c>
      <c r="B148" s="0" t="s">
        <v>460</v>
      </c>
      <c r="C148" s="0" t="s">
        <v>69</v>
      </c>
      <c r="D148" s="0" t="n">
        <f aca="false">E14</f>
        <v>1</v>
      </c>
      <c r="E148" s="0" t="n">
        <f aca="false">E16</f>
        <v>0.8</v>
      </c>
      <c r="F148" s="0" t="n">
        <f aca="false">E18</f>
        <v>0.6</v>
      </c>
      <c r="G148" s="0" t="s">
        <v>36</v>
      </c>
      <c r="H148" s="3" t="s">
        <v>461</v>
      </c>
    </row>
    <row r="149" customFormat="false" ht="17.15" hidden="false" customHeight="false" outlineLevel="0" collapsed="false">
      <c r="A149" s="0" t="s">
        <v>462</v>
      </c>
      <c r="B149" s="0" t="s">
        <v>463</v>
      </c>
      <c r="C149" s="0" t="s">
        <v>69</v>
      </c>
      <c r="D149" s="0" t="n">
        <f aca="false">E15</f>
        <v>1</v>
      </c>
      <c r="E149" s="0" t="n">
        <f aca="false">E17</f>
        <v>0.85</v>
      </c>
      <c r="F149" s="0" t="n">
        <f aca="false">E19</f>
        <v>0.6</v>
      </c>
      <c r="G149" s="0" t="s">
        <v>36</v>
      </c>
      <c r="H149" s="3" t="s">
        <v>464</v>
      </c>
    </row>
    <row r="150" customFormat="false" ht="17.15" hidden="false" customHeight="false" outlineLevel="0" collapsed="false">
      <c r="A150" s="0" t="s">
        <v>465</v>
      </c>
      <c r="B150" s="0" t="s">
        <v>466</v>
      </c>
      <c r="C150" s="0" t="s">
        <v>55</v>
      </c>
      <c r="D150" s="0" t="n">
        <f aca="false">E119</f>
        <v>0.06</v>
      </c>
      <c r="E150" s="0" t="n">
        <f aca="false">E120</f>
        <v>0.04</v>
      </c>
      <c r="F150" s="0" t="n">
        <f aca="false">E121</f>
        <v>0.02</v>
      </c>
      <c r="G150" s="0" t="s">
        <v>36</v>
      </c>
      <c r="H150" s="3" t="s">
        <v>467</v>
      </c>
    </row>
    <row r="151" customFormat="false" ht="17.15" hidden="false" customHeight="false" outlineLevel="0" collapsed="false">
      <c r="A151" s="0" t="s">
        <v>468</v>
      </c>
      <c r="B151" s="0" t="s">
        <v>469</v>
      </c>
      <c r="C151" s="0" t="s">
        <v>55</v>
      </c>
      <c r="D151" s="14" t="n">
        <f aca="false">E122</f>
        <v>0.233575018056783</v>
      </c>
      <c r="E151" s="7" t="n">
        <f aca="false">E123</f>
        <v>0.164810036470462</v>
      </c>
      <c r="F151" s="7" t="n">
        <f aca="false">E124</f>
        <v>0.125878531868141</v>
      </c>
      <c r="G151" s="7" t="s">
        <v>36</v>
      </c>
      <c r="H151" s="3" t="s">
        <v>470</v>
      </c>
    </row>
    <row r="152" customFormat="false" ht="17.15" hidden="false" customHeight="false" outlineLevel="0" collapsed="false">
      <c r="A152" s="0" t="s">
        <v>471</v>
      </c>
      <c r="B152" s="0" t="s">
        <v>140</v>
      </c>
      <c r="C152" s="0" t="s">
        <v>69</v>
      </c>
      <c r="D152" s="0" t="n">
        <f aca="false">E127</f>
        <v>1.03</v>
      </c>
      <c r="E152" s="0" t="n">
        <f aca="false">E39</f>
        <v>1</v>
      </c>
      <c r="F152" s="0" t="n">
        <f aca="false">E136</f>
        <v>0.96</v>
      </c>
      <c r="G152" s="0" t="s">
        <v>36</v>
      </c>
      <c r="H152" s="3" t="s">
        <v>472</v>
      </c>
    </row>
    <row r="153" customFormat="false" ht="17.15" hidden="false" customHeight="false" outlineLevel="0" collapsed="false">
      <c r="A153" s="0" t="s">
        <v>473</v>
      </c>
      <c r="B153" s="0" t="s">
        <v>144</v>
      </c>
      <c r="C153" s="0" t="s">
        <v>69</v>
      </c>
      <c r="D153" s="0" t="n">
        <f aca="false">E128</f>
        <v>1.02</v>
      </c>
      <c r="E153" s="0" t="n">
        <f aca="false">E40</f>
        <v>0.97</v>
      </c>
      <c r="F153" s="0" t="n">
        <f aca="false">E137</f>
        <v>0.92</v>
      </c>
      <c r="G153" s="0" t="s">
        <v>36</v>
      </c>
      <c r="H153" s="3" t="s">
        <v>474</v>
      </c>
    </row>
    <row r="154" customFormat="false" ht="17.15" hidden="false" customHeight="false" outlineLevel="0" collapsed="false">
      <c r="A154" s="0" t="s">
        <v>475</v>
      </c>
      <c r="B154" s="0" t="s">
        <v>146</v>
      </c>
      <c r="C154" s="0" t="s">
        <v>69</v>
      </c>
      <c r="D154" s="0" t="n">
        <f aca="false">E129</f>
        <v>1</v>
      </c>
      <c r="E154" s="0" t="n">
        <f aca="false">E41</f>
        <v>0.94</v>
      </c>
      <c r="F154" s="0" t="n">
        <f aca="false">E138</f>
        <v>0.88</v>
      </c>
      <c r="G154" s="0" t="s">
        <v>36</v>
      </c>
      <c r="H154" s="3" t="s">
        <v>476</v>
      </c>
    </row>
    <row r="155" customFormat="false" ht="17.15" hidden="false" customHeight="false" outlineLevel="0" collapsed="false">
      <c r="A155" s="0" t="s">
        <v>477</v>
      </c>
      <c r="B155" s="3" t="s">
        <v>132</v>
      </c>
      <c r="C155" s="0" t="s">
        <v>69</v>
      </c>
      <c r="D155" s="0" t="n">
        <f aca="false">E130</f>
        <v>1.08</v>
      </c>
      <c r="E155" s="0" t="n">
        <f aca="false">E36</f>
        <v>1</v>
      </c>
      <c r="F155" s="0" t="n">
        <f aca="false">E139</f>
        <v>0.85</v>
      </c>
      <c r="G155" s="0" t="s">
        <v>36</v>
      </c>
      <c r="H155" s="3" t="s">
        <v>478</v>
      </c>
    </row>
    <row r="156" customFormat="false" ht="17.15" hidden="false" customHeight="false" outlineLevel="0" collapsed="false">
      <c r="A156" s="0" t="s">
        <v>479</v>
      </c>
      <c r="B156" s="3" t="s">
        <v>136</v>
      </c>
      <c r="C156" s="0" t="s">
        <v>69</v>
      </c>
      <c r="D156" s="0" t="n">
        <f aca="false">E131</f>
        <v>1.08</v>
      </c>
      <c r="E156" s="0" t="n">
        <f aca="false">E37</f>
        <v>0.95</v>
      </c>
      <c r="F156" s="0" t="n">
        <f aca="false">E140</f>
        <v>0.75</v>
      </c>
      <c r="G156" s="0" t="s">
        <v>36</v>
      </c>
      <c r="H156" s="3" t="s">
        <v>480</v>
      </c>
    </row>
    <row r="157" customFormat="false" ht="17.15" hidden="false" customHeight="false" outlineLevel="0" collapsed="false">
      <c r="A157" s="0" t="s">
        <v>481</v>
      </c>
      <c r="B157" s="3" t="s">
        <v>138</v>
      </c>
      <c r="C157" s="0" t="s">
        <v>69</v>
      </c>
      <c r="D157" s="0" t="n">
        <f aca="false">E132</f>
        <v>1.05</v>
      </c>
      <c r="E157" s="0" t="n">
        <f aca="false">E38</f>
        <v>0.9</v>
      </c>
      <c r="F157" s="0" t="n">
        <f aca="false">E141</f>
        <v>0.7</v>
      </c>
      <c r="G157" s="0" t="s">
        <v>36</v>
      </c>
      <c r="H157" s="3" t="s">
        <v>482</v>
      </c>
    </row>
    <row r="158" customFormat="false" ht="17.15" hidden="false" customHeight="false" outlineLevel="0" collapsed="false">
      <c r="A158" s="0" t="s">
        <v>483</v>
      </c>
      <c r="B158" s="0" t="s">
        <v>194</v>
      </c>
      <c r="C158" s="0" t="s">
        <v>190</v>
      </c>
      <c r="D158" s="0" t="n">
        <f aca="false">E133</f>
        <v>0.02</v>
      </c>
      <c r="E158" s="0" t="n">
        <f aca="false">E58</f>
        <v>0.01</v>
      </c>
      <c r="F158" s="0" t="n">
        <f aca="false">E142</f>
        <v>-0.01</v>
      </c>
      <c r="G158" s="0" t="s">
        <v>36</v>
      </c>
      <c r="H158" s="3" t="s">
        <v>484</v>
      </c>
    </row>
    <row r="159" customFormat="false" ht="17.15" hidden="false" customHeight="false" outlineLevel="0" collapsed="false">
      <c r="A159" s="0" t="s">
        <v>485</v>
      </c>
      <c r="B159" s="0" t="s">
        <v>197</v>
      </c>
      <c r="C159" s="0" t="s">
        <v>190</v>
      </c>
      <c r="D159" s="0" t="n">
        <f aca="false">E134</f>
        <v>0.03</v>
      </c>
      <c r="E159" s="0" t="n">
        <f aca="false">E59</f>
        <v>0.015</v>
      </c>
      <c r="F159" s="0" t="n">
        <f aca="false">E143</f>
        <v>-0.01</v>
      </c>
      <c r="G159" s="0" t="s">
        <v>36</v>
      </c>
      <c r="H159" s="3" t="s">
        <v>486</v>
      </c>
    </row>
    <row r="160" customFormat="false" ht="17.15" hidden="false" customHeight="false" outlineLevel="0" collapsed="false">
      <c r="A160" s="0" t="s">
        <v>487</v>
      </c>
      <c r="B160" s="0" t="s">
        <v>199</v>
      </c>
      <c r="C160" s="0" t="s">
        <v>190</v>
      </c>
      <c r="D160" s="0" t="n">
        <f aca="false">E135</f>
        <v>0.035</v>
      </c>
      <c r="E160" s="0" t="n">
        <f aca="false">E60</f>
        <v>0.02</v>
      </c>
      <c r="F160" s="0" t="n">
        <f aca="false">E144</f>
        <v>-0.01</v>
      </c>
      <c r="G160" s="0" t="s">
        <v>36</v>
      </c>
      <c r="H160" s="3" t="s">
        <v>488</v>
      </c>
    </row>
    <row r="161" customFormat="false" ht="17.15" hidden="false" customHeight="false" outlineLevel="0" collapsed="false">
      <c r="A161" s="0" t="s">
        <v>489</v>
      </c>
      <c r="B161" s="3" t="s">
        <v>490</v>
      </c>
      <c r="C161" s="0" t="s">
        <v>55</v>
      </c>
      <c r="D161" s="0" t="n">
        <f aca="false">E112</f>
        <v>0.3</v>
      </c>
      <c r="E161" s="0" t="n">
        <f aca="false">E113</f>
        <v>0.5</v>
      </c>
      <c r="F161" s="0" t="n">
        <f aca="false">E114</f>
        <v>0.2</v>
      </c>
      <c r="G161" s="0" t="s">
        <v>36</v>
      </c>
      <c r="H161" s="3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0" t="s">
        <v>493</v>
      </c>
    </row>
    <row r="3" customFormat="false" ht="17.15" hidden="false" customHeight="false" outlineLevel="0" collapsed="false">
      <c r="A3" s="4" t="s">
        <v>24</v>
      </c>
      <c r="B3" s="15" t="s">
        <v>494</v>
      </c>
      <c r="C3" s="15" t="s">
        <v>495</v>
      </c>
      <c r="D3" s="15" t="s">
        <v>496</v>
      </c>
      <c r="E3" s="15" t="s">
        <v>497</v>
      </c>
      <c r="F3" s="15" t="s">
        <v>498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3" t="s">
        <v>499</v>
      </c>
      <c r="B4" s="16" t="n">
        <v>60.004</v>
      </c>
      <c r="C4" s="16" t="n">
        <v>43.592</v>
      </c>
      <c r="D4" s="17" t="n">
        <f aca="false">q3_rev</f>
        <v>29.719</v>
      </c>
      <c r="E4" s="17" t="n">
        <f aca="false">D4*(1+q4g)</f>
        <v>32.09652</v>
      </c>
      <c r="F4" s="17" t="n">
        <f aca="false">SUM(C4:E4)</f>
        <v>105.40752</v>
      </c>
      <c r="G4" s="7" t="s">
        <v>500</v>
      </c>
      <c r="H4" s="7" t="s">
        <v>501</v>
      </c>
      <c r="I4" s="7" t="s">
        <v>502</v>
      </c>
    </row>
    <row r="5" customFormat="false" ht="17.15" hidden="false" customHeight="false" outlineLevel="0" collapsed="false">
      <c r="A5" s="3" t="s">
        <v>503</v>
      </c>
      <c r="B5" s="16" t="n">
        <v>19.683</v>
      </c>
      <c r="C5" s="17" t="n">
        <f aca="false">6.722+24.279*0.3465</f>
        <v>15.1346735</v>
      </c>
      <c r="D5" s="17" t="n">
        <f aca="false">D4*q_gm</f>
        <v>10.40165</v>
      </c>
      <c r="E5" s="17" t="n">
        <f aca="false">E4*q_gm</f>
        <v>11.233782</v>
      </c>
      <c r="F5" s="17" t="n">
        <f aca="false">SUM(C5:E5)</f>
        <v>36.7701055</v>
      </c>
      <c r="G5" s="7" t="s">
        <v>504</v>
      </c>
      <c r="H5" s="7" t="s">
        <v>501</v>
      </c>
      <c r="I5" s="7" t="s">
        <v>505</v>
      </c>
    </row>
    <row r="6" customFormat="false" ht="17.15" hidden="false" customHeight="false" outlineLevel="0" collapsed="false">
      <c r="A6" s="3" t="s">
        <v>506</v>
      </c>
      <c r="B6" s="14" t="n">
        <f aca="false">B5/B4</f>
        <v>0.328028131457903</v>
      </c>
      <c r="C6" s="14" t="n">
        <f aca="false">C5/C4</f>
        <v>0.347189243439163</v>
      </c>
      <c r="D6" s="14" t="n">
        <f aca="false">D5/D4</f>
        <v>0.35</v>
      </c>
      <c r="E6" s="14" t="n">
        <f aca="false">E5/E4</f>
        <v>0.35</v>
      </c>
      <c r="F6" s="14" t="n">
        <f aca="false">F5/F4</f>
        <v>0.348837592422248</v>
      </c>
      <c r="G6" s="7" t="s">
        <v>36</v>
      </c>
      <c r="H6" s="7" t="s">
        <v>58</v>
      </c>
      <c r="I6" s="7" t="s">
        <v>507</v>
      </c>
    </row>
    <row r="7" customFormat="false" ht="17.15" hidden="false" customHeight="false" outlineLevel="0" collapsed="false">
      <c r="A7" s="3" t="s">
        <v>508</v>
      </c>
      <c r="B7" s="17" t="n">
        <f aca="false">B5-B8</f>
        <v>5.64</v>
      </c>
      <c r="C7" s="17" t="n">
        <f aca="false">C5-C8</f>
        <v>3.5327338</v>
      </c>
      <c r="D7" s="17" t="n">
        <f aca="false">D4*q_opx</f>
        <v>2.37752</v>
      </c>
      <c r="E7" s="17" t="n">
        <f aca="false">E4*q_opx</f>
        <v>2.5677216</v>
      </c>
      <c r="F7" s="17" t="n">
        <f aca="false">SUM(C7:E7)</f>
        <v>8.4779754</v>
      </c>
      <c r="G7" s="7" t="s">
        <v>509</v>
      </c>
      <c r="H7" s="7" t="s">
        <v>501</v>
      </c>
      <c r="I7" s="3" t="s">
        <v>510</v>
      </c>
    </row>
    <row r="8" customFormat="false" ht="17.15" hidden="false" customHeight="false" outlineLevel="0" collapsed="false">
      <c r="A8" s="3" t="s">
        <v>511</v>
      </c>
      <c r="B8" s="16" t="n">
        <v>14.043</v>
      </c>
      <c r="C8" s="17" t="n">
        <f aca="false">5.185+24.279*0.2643</f>
        <v>11.6019397</v>
      </c>
      <c r="D8" s="17" t="n">
        <f aca="false">D5-D7</f>
        <v>8.02413</v>
      </c>
      <c r="E8" s="17" t="n">
        <f aca="false">E5-E7</f>
        <v>8.6660604</v>
      </c>
      <c r="F8" s="17" t="n">
        <f aca="false">SUM(C8:E8)</f>
        <v>28.2921301</v>
      </c>
      <c r="G8" s="7" t="s">
        <v>512</v>
      </c>
      <c r="H8" s="7" t="s">
        <v>501</v>
      </c>
      <c r="I8" s="7" t="s">
        <v>513</v>
      </c>
    </row>
    <row r="9" customFormat="false" ht="15" hidden="false" customHeight="false" outlineLevel="0" collapsed="false">
      <c r="A9" s="3" t="s">
        <v>514</v>
      </c>
      <c r="B9" s="14" t="n">
        <f aca="false">B8/B4</f>
        <v>0.23403439770682</v>
      </c>
      <c r="C9" s="14" t="n">
        <f aca="false">C8/C4</f>
        <v>0.266148368966783</v>
      </c>
      <c r="D9" s="14" t="n">
        <f aca="false">D8/D4</f>
        <v>0.27</v>
      </c>
      <c r="E9" s="14" t="n">
        <f aca="false">E8/E4</f>
        <v>0.27</v>
      </c>
      <c r="F9" s="14" t="n">
        <f aca="false">F8/F4</f>
        <v>0.268407131673338</v>
      </c>
      <c r="G9" s="7" t="s">
        <v>36</v>
      </c>
      <c r="H9" s="7" t="s">
        <v>58</v>
      </c>
      <c r="I9" s="7" t="s">
        <v>58</v>
      </c>
    </row>
    <row r="10" customFormat="false" ht="17.15" hidden="false" customHeight="false" outlineLevel="0" collapsed="false">
      <c r="A10" s="3" t="s">
        <v>515</v>
      </c>
      <c r="B10" s="17" t="n">
        <f aca="false">B11-B8</f>
        <v>0.129944800000001</v>
      </c>
      <c r="C10" s="17" t="n">
        <f aca="false">C11-C8</f>
        <v>0.46883940487945</v>
      </c>
      <c r="D10" s="17" t="n">
        <f aca="false">q_nop</f>
        <v>0</v>
      </c>
      <c r="E10" s="17" t="n">
        <f aca="false">q_nop</f>
        <v>0</v>
      </c>
      <c r="F10" s="17" t="n">
        <f aca="false">SUM(C10:E10)</f>
        <v>0.46883940487945</v>
      </c>
      <c r="G10" s="7" t="s">
        <v>509</v>
      </c>
      <c r="H10" s="3" t="s">
        <v>516</v>
      </c>
      <c r="I10" s="7" t="s">
        <v>58</v>
      </c>
    </row>
    <row r="11" customFormat="false" ht="17.15" hidden="false" customHeight="false" outlineLevel="0" collapsed="false">
      <c r="A11" s="3" t="s">
        <v>517</v>
      </c>
      <c r="B11" s="17" t="n">
        <f aca="false">60.004*0.2362</f>
        <v>14.1729448</v>
      </c>
      <c r="C11" s="17" t="n">
        <f aca="false">19.313*0.2634+4.783/q_nir</f>
        <v>12.0707791048794</v>
      </c>
      <c r="D11" s="17" t="n">
        <f aca="false">D8+D10</f>
        <v>8.02413</v>
      </c>
      <c r="E11" s="17" t="n">
        <f aca="false">E8+E10</f>
        <v>8.6660604</v>
      </c>
      <c r="F11" s="17" t="n">
        <f aca="false">SUM(C11:E11)</f>
        <v>28.7609695048794</v>
      </c>
      <c r="G11" s="7" t="s">
        <v>36</v>
      </c>
      <c r="H11" s="7" t="s">
        <v>518</v>
      </c>
      <c r="I11" s="7" t="s">
        <v>519</v>
      </c>
    </row>
    <row r="12" customFormat="false" ht="17.15" hidden="false" customHeight="false" outlineLevel="0" collapsed="false">
      <c r="A12" s="3" t="s">
        <v>520</v>
      </c>
      <c r="B12" s="16" t="n">
        <v>9.607</v>
      </c>
      <c r="C12" s="16" t="n">
        <v>8.267</v>
      </c>
      <c r="D12" s="17" t="n">
        <f aca="false">D11*q_nir</f>
        <v>5.49554275938864</v>
      </c>
      <c r="E12" s="17" t="n">
        <f aca="false">E11*q_nir</f>
        <v>5.93518618013974</v>
      </c>
      <c r="F12" s="17" t="n">
        <f aca="false">SUM(C12:E12)</f>
        <v>19.6977289395284</v>
      </c>
      <c r="G12" s="7" t="s">
        <v>521</v>
      </c>
      <c r="H12" s="7" t="s">
        <v>501</v>
      </c>
      <c r="I12" s="7" t="s">
        <v>522</v>
      </c>
    </row>
    <row r="13" customFormat="false" ht="17.15" hidden="false" customHeight="false" outlineLevel="0" collapsed="false">
      <c r="A13" s="3" t="s">
        <v>523</v>
      </c>
      <c r="B13" s="14" t="n">
        <f aca="false">B12/B8</f>
        <v>0.684113081250445</v>
      </c>
      <c r="C13" s="14" t="n">
        <f aca="false">C12/C8</f>
        <v>0.71255326383053</v>
      </c>
      <c r="D13" s="14" t="n">
        <f aca="false">D12/D8</f>
        <v>0.684877084417706</v>
      </c>
      <c r="E13" s="14" t="n">
        <f aca="false">E12/E8</f>
        <v>0.684877084417706</v>
      </c>
      <c r="F13" s="14" t="n">
        <f aca="false">F12/F8</f>
        <v>0.696226437171953</v>
      </c>
      <c r="G13" s="7" t="s">
        <v>36</v>
      </c>
      <c r="H13" s="7" t="s">
        <v>58</v>
      </c>
      <c r="I13" s="7" t="s">
        <v>58</v>
      </c>
    </row>
    <row r="14" customFormat="false" ht="17.15" hidden="false" customHeight="false" outlineLevel="0" collapsed="false">
      <c r="A14" s="3" t="s">
        <v>524</v>
      </c>
      <c r="B14" s="17" t="n">
        <f aca="false">9.607/19.47</f>
        <v>0.493425783256292</v>
      </c>
      <c r="C14" s="17" t="n">
        <f aca="false">sh_1h</f>
        <v>0.512205700123916</v>
      </c>
      <c r="D14" s="17" t="n">
        <f aca="false">sh_h2</f>
        <v>0.513756</v>
      </c>
      <c r="E14" s="17" t="n">
        <f aca="false">sh_h2</f>
        <v>0.513756</v>
      </c>
      <c r="F14" s="17" t="n">
        <f aca="false">(sh_1h+sh_h2)/2</f>
        <v>0.512980850061958</v>
      </c>
      <c r="G14" s="7" t="s">
        <v>36</v>
      </c>
      <c r="H14" s="7" t="s">
        <v>501</v>
      </c>
      <c r="I14" s="3" t="s">
        <v>525</v>
      </c>
    </row>
    <row r="15" customFormat="false" ht="17.15" hidden="false" customHeight="false" outlineLevel="0" collapsed="false">
      <c r="A15" s="0" t="s">
        <v>526</v>
      </c>
      <c r="B15" s="18" t="n">
        <f aca="false">B12/B14</f>
        <v>19.47</v>
      </c>
      <c r="C15" s="18" t="n">
        <f aca="false">C12/C14</f>
        <v>16.14</v>
      </c>
      <c r="D15" s="18" t="n">
        <f aca="false">D12/D14</f>
        <v>10.6967952868456</v>
      </c>
      <c r="E15" s="18" t="n">
        <f aca="false">E12/E14</f>
        <v>11.5525389097932</v>
      </c>
      <c r="F15" s="18" t="n">
        <f aca="false">F12/F14</f>
        <v>38.3985658278458</v>
      </c>
      <c r="G15" s="7" t="s">
        <v>36</v>
      </c>
      <c r="H15" s="3" t="s">
        <v>527</v>
      </c>
      <c r="I15" s="7" t="s">
        <v>58</v>
      </c>
    </row>
    <row r="16" customFormat="false" ht="17.15" hidden="false" customHeight="false" outlineLevel="0" collapsed="false">
      <c r="A16" s="3" t="s">
        <v>528</v>
      </c>
      <c r="B16" s="19" t="n">
        <v>19.47</v>
      </c>
      <c r="C16" s="19" t="n">
        <v>16.14</v>
      </c>
      <c r="G16" s="7" t="s">
        <v>204</v>
      </c>
      <c r="H16" s="7" t="s">
        <v>501</v>
      </c>
      <c r="I16" s="7" t="s">
        <v>529</v>
      </c>
    </row>
    <row r="17" customFormat="false" ht="17.15" hidden="false" customHeight="false" outlineLevel="0" collapsed="false">
      <c r="A17" s="0" t="s">
        <v>530</v>
      </c>
      <c r="B17" s="17" t="n">
        <f aca="false">B4*ai_25</f>
        <v>18.0012</v>
      </c>
      <c r="F17" s="17" t="n">
        <f aca="false">F4-F18</f>
        <v>55.00416</v>
      </c>
      <c r="G17" s="7" t="s">
        <v>531</v>
      </c>
      <c r="H17" s="7" t="s">
        <v>532</v>
      </c>
      <c r="I17" s="3" t="s">
        <v>533</v>
      </c>
    </row>
    <row r="18" customFormat="false" ht="17.15" hidden="false" customHeight="false" outlineLevel="0" collapsed="false">
      <c r="A18" s="3" t="s">
        <v>534</v>
      </c>
      <c r="B18" s="17" t="n">
        <f aca="false">B4-B17</f>
        <v>42.0028</v>
      </c>
      <c r="F18" s="17" t="n">
        <f aca="false">B18*(1+g_nai26)</f>
        <v>50.40336</v>
      </c>
      <c r="G18" s="7" t="s">
        <v>509</v>
      </c>
      <c r="H18" s="7" t="s">
        <v>58</v>
      </c>
      <c r="I18" s="3" t="s">
        <v>535</v>
      </c>
    </row>
    <row r="23" customFormat="false" ht="17.15" hidden="false" customHeight="false" outlineLevel="0" collapsed="false">
      <c r="A23" s="5" t="s">
        <v>536</v>
      </c>
    </row>
    <row r="24" customFormat="false" ht="17.15" hidden="false" customHeight="false" outlineLevel="0" collapsed="false">
      <c r="A24" s="0" t="s">
        <v>537</v>
      </c>
      <c r="B24" s="14" t="n">
        <f aca="false">F4/B4-1</f>
        <v>0.756674888340778</v>
      </c>
    </row>
    <row r="25" customFormat="false" ht="17.15" hidden="false" customHeight="false" outlineLevel="0" collapsed="false">
      <c r="A25" s="0" t="s">
        <v>538</v>
      </c>
      <c r="B25" s="14" t="n">
        <f aca="false">F17/F4</f>
        <v>0.521823869871903</v>
      </c>
    </row>
    <row r="26" customFormat="false" ht="17.15" hidden="false" customHeight="false" outlineLevel="0" collapsed="false">
      <c r="A26" s="0" t="s">
        <v>539</v>
      </c>
      <c r="B26" s="14" t="n">
        <f aca="false">F7/F4</f>
        <v>0.0804304607489105</v>
      </c>
    </row>
    <row r="27" customFormat="false" ht="17.15" hidden="false" customHeight="false" outlineLevel="0" collapsed="false">
      <c r="A27" s="0" t="s">
        <v>540</v>
      </c>
      <c r="B27" s="14" t="n">
        <f aca="false">F4/cons_rev26-1</f>
        <v>-0.00905773190061188</v>
      </c>
    </row>
    <row r="28" customFormat="false" ht="17.15" hidden="false" customHeight="false" outlineLevel="0" collapsed="false">
      <c r="A28" s="0" t="s">
        <v>541</v>
      </c>
      <c r="B28" s="14" t="n">
        <f aca="false">F15/cons_eps26-1</f>
        <v>-0.0684481846713779</v>
      </c>
    </row>
    <row r="29" customFormat="false" ht="17.15" hidden="false" customHeight="false" outlineLevel="0" collapsed="false">
      <c r="A29" s="0" t="s">
        <v>542</v>
      </c>
      <c r="B29" s="18" t="n">
        <f aca="false">E4*4/F4</f>
        <v>1.21799734971471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543</v>
      </c>
    </row>
    <row r="3" customFormat="false" ht="15" hidden="false" customHeight="false" outlineLevel="0" collapsed="false">
      <c r="A3" s="4" t="s">
        <v>24</v>
      </c>
      <c r="B3" s="4" t="s">
        <v>25</v>
      </c>
      <c r="C3" s="15" t="s">
        <v>544</v>
      </c>
      <c r="D3" s="15" t="s">
        <v>545</v>
      </c>
      <c r="E3" s="15" t="s">
        <v>546</v>
      </c>
      <c r="F3" s="15" t="s">
        <v>547</v>
      </c>
      <c r="G3" s="4" t="s">
        <v>458</v>
      </c>
    </row>
    <row r="4" customFormat="false" ht="17.15" hidden="false" customHeight="false" outlineLevel="0" collapsed="false">
      <c r="A4" s="3" t="s">
        <v>548</v>
      </c>
      <c r="B4" s="0" t="s">
        <v>549</v>
      </c>
      <c r="C4" s="20" t="n">
        <f aca="false">PL!D119</f>
        <v>23.3995380420639</v>
      </c>
      <c r="D4" s="20" t="n">
        <f aca="false">PL!E119</f>
        <v>41.6467658260637</v>
      </c>
      <c r="E4" s="20" t="n">
        <f aca="false">PL!F119</f>
        <v>42.2337105529984</v>
      </c>
      <c r="F4" s="20" t="n">
        <f aca="false">PL!G119</f>
        <v>51.1178029756948</v>
      </c>
      <c r="G4" s="7" t="s">
        <v>550</v>
      </c>
    </row>
    <row r="5" customFormat="false" ht="17.15" hidden="false" customHeight="false" outlineLevel="0" collapsed="false">
      <c r="A5" s="3" t="s">
        <v>551</v>
      </c>
      <c r="B5" s="0" t="s">
        <v>96</v>
      </c>
      <c r="C5" s="21" t="n">
        <f aca="false">vg_pgw26</f>
        <v>450</v>
      </c>
      <c r="D5" s="21" t="n">
        <f aca="false">vg_pgw27</f>
        <v>682</v>
      </c>
      <c r="E5" s="21" t="n">
        <f aca="false">vg_pgw28</f>
        <v>792</v>
      </c>
      <c r="F5" s="21" t="n">
        <f aca="false">vg_pgw29</f>
        <v>877</v>
      </c>
      <c r="G5" s="3" t="s">
        <v>552</v>
      </c>
    </row>
    <row r="6" customFormat="false" ht="17.15" hidden="false" customHeight="false" outlineLevel="0" collapsed="false">
      <c r="A6" s="3" t="s">
        <v>553</v>
      </c>
      <c r="B6" s="0" t="s">
        <v>96</v>
      </c>
      <c r="C6" s="21" t="n">
        <f aca="false">PL!D120</f>
        <v>280</v>
      </c>
      <c r="D6" s="21" t="n">
        <f aca="false">PL!E120</f>
        <v>420</v>
      </c>
      <c r="E6" s="21" t="n">
        <f aca="false">PL!F120</f>
        <v>462</v>
      </c>
      <c r="F6" s="21" t="n">
        <f aca="false">PL!G120</f>
        <v>504</v>
      </c>
      <c r="G6" s="3" t="s">
        <v>554</v>
      </c>
    </row>
    <row r="7" customFormat="false" ht="17.15" hidden="false" customHeight="false" outlineLevel="0" collapsed="false">
      <c r="A7" s="3" t="s">
        <v>555</v>
      </c>
      <c r="B7" s="0" t="s">
        <v>96</v>
      </c>
      <c r="C7" s="21" t="n">
        <f aca="false">PL!D121</f>
        <v>120</v>
      </c>
      <c r="D7" s="21" t="n">
        <f aca="false">PL!E121</f>
        <v>162</v>
      </c>
      <c r="E7" s="21" t="n">
        <f aca="false">PL!F121</f>
        <v>180</v>
      </c>
      <c r="F7" s="21" t="n">
        <f aca="false">PL!G121</f>
        <v>198</v>
      </c>
      <c r="G7" s="3" t="s">
        <v>41</v>
      </c>
    </row>
    <row r="8" customFormat="false" ht="17.15" hidden="false" customHeight="false" outlineLevel="0" collapsed="false">
      <c r="A8" s="3" t="s">
        <v>556</v>
      </c>
      <c r="B8" s="0" t="s">
        <v>96</v>
      </c>
      <c r="C8" s="21" t="n">
        <f aca="false">PL!D122</f>
        <v>25</v>
      </c>
      <c r="D8" s="21" t="n">
        <f aca="false">PL!E122</f>
        <v>50</v>
      </c>
      <c r="E8" s="21" t="n">
        <f aca="false">PL!F122</f>
        <v>75</v>
      </c>
      <c r="F8" s="21" t="n">
        <f aca="false">PL!G122</f>
        <v>87.5</v>
      </c>
      <c r="G8" s="3" t="s">
        <v>557</v>
      </c>
    </row>
    <row r="9" customFormat="false" ht="17.15" hidden="false" customHeight="false" outlineLevel="0" collapsed="false">
      <c r="A9" s="3" t="s">
        <v>558</v>
      </c>
      <c r="B9" s="0" t="s">
        <v>96</v>
      </c>
      <c r="C9" s="21" t="n">
        <f aca="false">PL!D123</f>
        <v>425</v>
      </c>
      <c r="D9" s="21" t="n">
        <f aca="false">PL!E123</f>
        <v>632</v>
      </c>
      <c r="E9" s="21" t="n">
        <f aca="false">PL!F123</f>
        <v>717</v>
      </c>
      <c r="F9" s="21" t="n">
        <f aca="false">PL!G123</f>
        <v>789.5</v>
      </c>
    </row>
    <row r="10" customFormat="false" ht="17.15" hidden="false" customHeight="false" outlineLevel="0" collapsed="false">
      <c r="A10" s="3" t="s">
        <v>559</v>
      </c>
      <c r="B10" s="0" t="s">
        <v>560</v>
      </c>
      <c r="C10" s="22" t="n">
        <f aca="false">PL!D123*1000/racks_vr</f>
        <v>104.886475814413</v>
      </c>
      <c r="D10" s="22" t="n">
        <f aca="false">PL!E123*1000/racks_vr</f>
        <v>155.972359328727</v>
      </c>
      <c r="E10" s="22" t="n">
        <f aca="false">PL!F123*1000/racks_vr</f>
        <v>176.949654491609</v>
      </c>
      <c r="F10" s="22" t="n">
        <f aca="false">PL!G123*1000/racks_vr</f>
        <v>194.842053307009</v>
      </c>
    </row>
    <row r="11" customFormat="false" ht="17.15" hidden="false" customHeight="false" outlineLevel="0" collapsed="false">
      <c r="A11" s="3" t="s">
        <v>561</v>
      </c>
      <c r="B11" s="0" t="s">
        <v>69</v>
      </c>
      <c r="C11" s="18" t="n">
        <f aca="false">PL!D123/emc_ccl26</f>
        <v>1.21428571428571</v>
      </c>
      <c r="D11" s="18" t="n">
        <f aca="false">PL!E123/emc_ccl27</f>
        <v>1.19810426540284</v>
      </c>
      <c r="E11" s="18" t="n">
        <f aca="false">PL!F123/emc_ccl28</f>
        <v>1.17733990147783</v>
      </c>
      <c r="F11" s="18" t="n">
        <f aca="false">PL!G123/emc_ccl29</f>
        <v>1.19169811320755</v>
      </c>
      <c r="G11" s="3" t="s">
        <v>562</v>
      </c>
    </row>
    <row r="12" customFormat="false" ht="17.15" hidden="false" customHeight="false" outlineLevel="0" collapsed="false">
      <c r="A12" s="3" t="s">
        <v>563</v>
      </c>
      <c r="B12" s="0" t="s">
        <v>35</v>
      </c>
      <c r="C12" s="22" t="n">
        <f aca="false">PL!D124*PL!D126</f>
        <v>9.94480366787715</v>
      </c>
      <c r="D12" s="22" t="n">
        <f aca="false">PL!E124*PL!E126</f>
        <v>26.3207560020722</v>
      </c>
      <c r="E12" s="22" t="n">
        <f aca="false">PL!F124*PL!F126</f>
        <v>29.3731233525049</v>
      </c>
      <c r="F12" s="22" t="n">
        <f aca="false">PL!G124*PL!G126</f>
        <v>37.9360551223524</v>
      </c>
      <c r="G12" s="3" t="s">
        <v>564</v>
      </c>
    </row>
    <row r="13" customFormat="false" ht="17.15" hidden="false" customHeight="false" outlineLevel="0" collapsed="false">
      <c r="A13" s="3" t="s">
        <v>565</v>
      </c>
      <c r="B13" s="0" t="s">
        <v>55</v>
      </c>
      <c r="C13" s="14" t="n">
        <f aca="false">PL!D129</f>
        <v>0.172842024579347</v>
      </c>
      <c r="D13" s="14" t="n">
        <f aca="false">PL!E129</f>
        <v>0.172842024579347</v>
      </c>
      <c r="E13" s="14" t="n">
        <f aca="false">PL!F129</f>
        <v>0.164199923350379</v>
      </c>
      <c r="F13" s="14" t="n">
        <f aca="false">PL!G129</f>
        <v>0.155557822121412</v>
      </c>
      <c r="G13" s="7" t="s">
        <v>566</v>
      </c>
    </row>
    <row r="14" customFormat="false" ht="17.15" hidden="false" customHeight="false" outlineLevel="0" collapsed="false">
      <c r="A14" s="3" t="s">
        <v>567</v>
      </c>
      <c r="B14" s="0" t="s">
        <v>35</v>
      </c>
      <c r="C14" s="23" t="n">
        <f aca="false">PL!D130/fx</f>
        <v>1.71888</v>
      </c>
      <c r="D14" s="23" t="n">
        <f aca="false">PL!E130/fx</f>
        <v>4.54933275585716</v>
      </c>
      <c r="E14" s="23" t="n">
        <f aca="false">PL!F130/fx</f>
        <v>4.82306460304254</v>
      </c>
      <c r="F14" s="23" t="n">
        <f aca="false">PL!G130/fx</f>
        <v>5.90125011471098</v>
      </c>
    </row>
    <row r="15" customFormat="false" ht="17.15" hidden="false" customHeight="false" outlineLevel="0" collapsed="false">
      <c r="A15" s="3" t="s">
        <v>568</v>
      </c>
      <c r="B15" s="0" t="s">
        <v>35</v>
      </c>
      <c r="C15" s="23" t="n">
        <f aca="false">PL!D135/fx</f>
        <v>1.71888</v>
      </c>
      <c r="D15" s="23" t="n">
        <f aca="false">PL!E135/fx</f>
        <v>3.122418</v>
      </c>
      <c r="E15" s="23" t="n">
        <f aca="false">PL!F135/fx</f>
        <v>4.3673382975</v>
      </c>
      <c r="F15" s="23" t="n">
        <f aca="false">PL!G135/fx</f>
        <v>5.367015230775</v>
      </c>
    </row>
    <row r="16" customFormat="false" ht="17.15" hidden="false" customHeight="false" outlineLevel="0" collapsed="false">
      <c r="A16" s="3" t="s">
        <v>569</v>
      </c>
      <c r="B16" s="0" t="s">
        <v>96</v>
      </c>
      <c r="C16" s="21" t="n">
        <f aca="false">PL!D149</f>
        <v>73.4578604462224</v>
      </c>
      <c r="D16" s="21" t="n">
        <f aca="false">PL!E149</f>
        <v>74.9738410190283</v>
      </c>
      <c r="E16" s="21" t="n">
        <f aca="false">PL!F149</f>
        <v>103.408822959553</v>
      </c>
      <c r="F16" s="21" t="n">
        <f aca="false">PL!G149</f>
        <v>104.993073222002</v>
      </c>
      <c r="G16" s="3" t="s">
        <v>570</v>
      </c>
    </row>
    <row r="17" customFormat="false" ht="17.15" hidden="false" customHeight="false" outlineLevel="0" collapsed="false">
      <c r="A17" s="3" t="s">
        <v>571</v>
      </c>
      <c r="B17" s="0" t="s">
        <v>69</v>
      </c>
      <c r="C17" s="18" t="n">
        <f aca="false">PL!D132</f>
        <v>1</v>
      </c>
      <c r="D17" s="18" t="n">
        <f aca="false">PL!E132</f>
        <v>1.45</v>
      </c>
      <c r="E17" s="18" t="n">
        <f aca="false">PL!F132</f>
        <v>1.9</v>
      </c>
      <c r="F17" s="18" t="n">
        <f aca="false">PL!G132</f>
        <v>2.3</v>
      </c>
      <c r="G17" s="3" t="s">
        <v>572</v>
      </c>
    </row>
    <row r="18" customFormat="false" ht="17.15" hidden="false" customHeight="false" outlineLevel="0" collapsed="false">
      <c r="A18" s="3" t="s">
        <v>573</v>
      </c>
      <c r="B18" s="0" t="s">
        <v>203</v>
      </c>
      <c r="C18" s="22" t="n">
        <f aca="false">PL!D133</f>
        <v>105.40752</v>
      </c>
      <c r="D18" s="22" t="n">
        <f aca="false">PL!E133</f>
        <v>152.840904</v>
      </c>
      <c r="E18" s="22" t="n">
        <f aca="false">PL!F133</f>
        <v>194.26605936</v>
      </c>
      <c r="F18" s="22" t="n">
        <f aca="false">PL!G133</f>
        <v>227.89105824</v>
      </c>
      <c r="G18" s="7" t="s">
        <v>574</v>
      </c>
    </row>
    <row r="19" customFormat="false" ht="17.15" hidden="false" customHeight="false" outlineLevel="0" collapsed="false">
      <c r="A19" s="3" t="s">
        <v>575</v>
      </c>
      <c r="B19" s="0" t="s">
        <v>55</v>
      </c>
      <c r="C19" s="14" t="n">
        <f aca="false">PL!D148</f>
        <v>1</v>
      </c>
      <c r="D19" s="14" t="n">
        <f aca="false">PL!E148</f>
        <v>1.29875034099137</v>
      </c>
      <c r="E19" s="14" t="n">
        <f aca="false">PL!F148</f>
        <v>1.07506839756468</v>
      </c>
      <c r="F19" s="14" t="n">
        <f aca="false">PL!G148</f>
        <v>1.07501617842306</v>
      </c>
      <c r="G19" s="3" t="s">
        <v>576</v>
      </c>
    </row>
    <row r="20" customFormat="false" ht="17.15" hidden="false" customHeight="false" outlineLevel="0" collapsed="false">
      <c r="A20" s="3" t="s">
        <v>577</v>
      </c>
      <c r="B20" s="0" t="s">
        <v>35</v>
      </c>
      <c r="C20" s="22" t="n">
        <f aca="false">PL!D124*PL!D126-PL!D135/fx</f>
        <v>8.22592366787715</v>
      </c>
      <c r="D20" s="22" t="n">
        <f aca="false">PL!E124*PL!E126-PL!E135/fx</f>
        <v>23.1983380020722</v>
      </c>
      <c r="E20" s="22" t="n">
        <f aca="false">PL!F124*PL!F126-PL!F135/fx</f>
        <v>25.0057850550049</v>
      </c>
      <c r="F20" s="22" t="n">
        <f aca="false">PL!G124*PL!G126-PL!G135/fx</f>
        <v>32.5690398915774</v>
      </c>
      <c r="G20" s="3" t="s">
        <v>578</v>
      </c>
    </row>
    <row r="22" customFormat="false" ht="17.15" hidden="false" customHeight="false" outlineLevel="0" collapsed="false">
      <c r="A22" s="1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580</v>
      </c>
    </row>
    <row r="2" customFormat="false" ht="17.15" hidden="false" customHeight="false" outlineLevel="0" collapsed="false">
      <c r="A2" s="3" t="s">
        <v>581</v>
      </c>
    </row>
    <row r="3" customFormat="false" ht="17.15" hidden="false" customHeight="false" outlineLevel="0" collapsed="false">
      <c r="A3" s="4" t="s">
        <v>582</v>
      </c>
      <c r="B3" s="4" t="s">
        <v>25</v>
      </c>
      <c r="C3" s="15" t="s">
        <v>494</v>
      </c>
      <c r="D3" s="15" t="s">
        <v>583</v>
      </c>
      <c r="E3" s="15" t="s">
        <v>584</v>
      </c>
      <c r="F3" s="15" t="s">
        <v>585</v>
      </c>
      <c r="G3" s="15" t="s">
        <v>586</v>
      </c>
      <c r="H3" s="15" t="s">
        <v>587</v>
      </c>
      <c r="I3" s="15" t="s">
        <v>588</v>
      </c>
      <c r="J3" s="15" t="s">
        <v>589</v>
      </c>
      <c r="K3" s="4" t="s">
        <v>458</v>
      </c>
    </row>
    <row r="4" customFormat="false" ht="17.15" hidden="false" customHeight="false" outlineLevel="0" collapsed="false">
      <c r="A4" s="1" t="s">
        <v>590</v>
      </c>
    </row>
    <row r="5" customFormat="false" ht="15" hidden="false" customHeight="false" outlineLevel="0" collapsed="false">
      <c r="A5" s="3" t="s">
        <v>499</v>
      </c>
      <c r="B5" s="0" t="s">
        <v>203</v>
      </c>
      <c r="C5" s="22" t="n">
        <f aca="false">C83</f>
        <v>60.004</v>
      </c>
      <c r="D5" s="22" t="n">
        <f aca="false">D83</f>
        <v>105.40752</v>
      </c>
      <c r="E5" s="22" t="n">
        <f aca="false">E83</f>
        <v>157.42613112</v>
      </c>
      <c r="F5" s="22" t="n">
        <f aca="false">F83</f>
        <v>204.27977376</v>
      </c>
      <c r="G5" s="22" t="n">
        <f aca="false">G83</f>
        <v>242.437296</v>
      </c>
      <c r="H5" s="24" t="n">
        <f aca="false">H83</f>
        <v>277.476031996367</v>
      </c>
      <c r="I5" s="24" t="n">
        <f aca="false">I83</f>
        <v>305.851702719408</v>
      </c>
      <c r="J5" s="24" t="n">
        <f aca="false">J83</f>
        <v>324.202804882573</v>
      </c>
    </row>
    <row r="6" customFormat="false" ht="15" hidden="false" customHeight="false" outlineLevel="0" collapsed="false">
      <c r="A6" s="3" t="s">
        <v>591</v>
      </c>
      <c r="B6" s="0" t="s">
        <v>55</v>
      </c>
      <c r="D6" s="14" t="n">
        <f aca="false">D84</f>
        <v>0.756674888340778</v>
      </c>
      <c r="E6" s="14" t="n">
        <f aca="false">E84</f>
        <v>0.4935</v>
      </c>
      <c r="F6" s="14" t="n">
        <f aca="false">F84</f>
        <v>0.297623033143623</v>
      </c>
      <c r="G6" s="14" t="n">
        <f aca="false">G84</f>
        <v>0.186790505675954</v>
      </c>
      <c r="H6" s="25" t="n">
        <f aca="false">H84</f>
        <v>0.14452700378397</v>
      </c>
      <c r="I6" s="25" t="n">
        <f aca="false">I84</f>
        <v>0.102263501891985</v>
      </c>
      <c r="J6" s="25" t="n">
        <f aca="false">J84</f>
        <v>0.06</v>
      </c>
    </row>
    <row r="7" customFormat="false" ht="17.15" hidden="false" customHeight="false" outlineLevel="0" collapsed="false">
      <c r="A7" s="0" t="s">
        <v>592</v>
      </c>
      <c r="B7" s="0" t="s">
        <v>203</v>
      </c>
      <c r="C7" s="22" t="n">
        <f aca="false">C81</f>
        <v>18.0012</v>
      </c>
      <c r="D7" s="22" t="n">
        <f aca="false">D81</f>
        <v>55.00416</v>
      </c>
      <c r="E7" s="22" t="n">
        <f aca="false">E81</f>
        <v>104.50260312</v>
      </c>
      <c r="F7" s="22" t="n">
        <f aca="false">F81</f>
        <v>149.76853992</v>
      </c>
      <c r="G7" s="22" t="n">
        <f aca="false">G81</f>
        <v>186.2907251448</v>
      </c>
    </row>
    <row r="8" customFormat="false" ht="17.15" hidden="false" customHeight="false" outlineLevel="0" collapsed="false">
      <c r="A8" s="3" t="s">
        <v>593</v>
      </c>
      <c r="B8" s="0" t="s">
        <v>203</v>
      </c>
      <c r="C8" s="22" t="n">
        <f aca="false">C80</f>
        <v>42.0028</v>
      </c>
      <c r="D8" s="22" t="n">
        <f aca="false">D80</f>
        <v>50.40336</v>
      </c>
      <c r="E8" s="22" t="n">
        <f aca="false">E80</f>
        <v>52.923528</v>
      </c>
      <c r="F8" s="22" t="n">
        <f aca="false">F80</f>
        <v>54.51123384</v>
      </c>
      <c r="G8" s="22" t="n">
        <f aca="false">G80</f>
        <v>56.1465708552</v>
      </c>
    </row>
    <row r="9" customFormat="false" ht="17.15" hidden="false" customHeight="false" outlineLevel="0" collapsed="false">
      <c r="A9" s="3" t="s">
        <v>594</v>
      </c>
      <c r="B9" s="0" t="s">
        <v>55</v>
      </c>
      <c r="D9" s="14" t="n">
        <f aca="false">D94</f>
        <v>1</v>
      </c>
      <c r="E9" s="14" t="n">
        <f aca="false">E94</f>
        <v>1.36486372824542</v>
      </c>
      <c r="F9" s="14" t="n">
        <f aca="false">F94</f>
        <v>1.39582607539974</v>
      </c>
      <c r="G9" s="14" t="n">
        <f aca="false">G94</f>
        <v>1.3689433052541</v>
      </c>
    </row>
    <row r="10" customFormat="false" ht="15" hidden="false" customHeight="false" outlineLevel="0" collapsed="false">
      <c r="A10" s="3" t="s">
        <v>506</v>
      </c>
      <c r="B10" s="0" t="s">
        <v>55</v>
      </c>
      <c r="C10" s="14" t="n">
        <f aca="false">C100</f>
        <v>0.328028131457903</v>
      </c>
      <c r="D10" s="14" t="n">
        <f aca="false">D100</f>
        <v>0.348837592422248</v>
      </c>
      <c r="E10" s="14" t="n">
        <f aca="false">E100</f>
        <v>0.387979003618137</v>
      </c>
      <c r="F10" s="14" t="n">
        <f aca="false">F100</f>
        <v>0.400638654565425</v>
      </c>
      <c r="G10" s="14" t="n">
        <f aca="false">G100</f>
        <v>0.400390267281929</v>
      </c>
    </row>
    <row r="11" customFormat="false" ht="15" hidden="false" customHeight="false" outlineLevel="0" collapsed="false">
      <c r="A11" s="3" t="s">
        <v>514</v>
      </c>
      <c r="B11" s="0" t="s">
        <v>55</v>
      </c>
      <c r="C11" s="14" t="n">
        <f aca="false">C104</f>
        <v>0.23403439770682</v>
      </c>
      <c r="D11" s="14" t="n">
        <f aca="false">D104</f>
        <v>0.268407131673338</v>
      </c>
      <c r="E11" s="14" t="n">
        <f aca="false">E104</f>
        <v>0.318179257935738</v>
      </c>
      <c r="F11" s="14" t="n">
        <f aca="false">F104</f>
        <v>0.337242621361009</v>
      </c>
      <c r="G11" s="14" t="n">
        <f aca="false">G104</f>
        <v>0.340985427820121</v>
      </c>
    </row>
    <row r="12" customFormat="false" ht="15" hidden="false" customHeight="false" outlineLevel="0" collapsed="false">
      <c r="A12" s="3" t="s">
        <v>520</v>
      </c>
      <c r="B12" s="0" t="s">
        <v>203</v>
      </c>
      <c r="C12" s="22" t="n">
        <f aca="false">C106</f>
        <v>9.607</v>
      </c>
      <c r="D12" s="22" t="n">
        <f aca="false">D106</f>
        <v>19.6977289395284</v>
      </c>
      <c r="E12" s="22" t="n">
        <f aca="false">E106</f>
        <v>34.3114647619272</v>
      </c>
      <c r="F12" s="22" t="n">
        <f aca="false">F106</f>
        <v>47.1909147797915</v>
      </c>
      <c r="G12" s="22" t="n">
        <f aca="false">G106</f>
        <v>56.6272957908376</v>
      </c>
      <c r="H12" s="24" t="n">
        <f aca="false">H106</f>
        <v>64.8114691838759</v>
      </c>
      <c r="I12" s="24" t="n">
        <f aca="false">I106</f>
        <v>71.4393169853835</v>
      </c>
      <c r="J12" s="24" t="n">
        <f aca="false">J106</f>
        <v>75.7256760045065</v>
      </c>
    </row>
    <row r="13" customFormat="false" ht="15" hidden="false" customHeight="false" outlineLevel="0" collapsed="false">
      <c r="A13" s="3" t="s">
        <v>595</v>
      </c>
      <c r="B13" s="0" t="s">
        <v>55</v>
      </c>
      <c r="C13" s="14" t="n">
        <f aca="false">C111</f>
        <v>0.160105992933804</v>
      </c>
      <c r="D13" s="14" t="n">
        <f aca="false">D111</f>
        <v>0.186872140996471</v>
      </c>
      <c r="E13" s="14" t="n">
        <f aca="false">E111</f>
        <v>0.21795279168598</v>
      </c>
      <c r="F13" s="14" t="n">
        <f aca="false">F111</f>
        <v>0.231011195632291</v>
      </c>
      <c r="G13" s="14" t="n">
        <f aca="false">G111</f>
        <v>0.233575018056783</v>
      </c>
      <c r="H13" s="25" t="n">
        <f aca="false">H111</f>
        <v>0.233575018056783</v>
      </c>
      <c r="I13" s="25" t="n">
        <f aca="false">I111</f>
        <v>0.233575018056783</v>
      </c>
      <c r="J13" s="25" t="n">
        <f aca="false">J111</f>
        <v>0.233575018056783</v>
      </c>
    </row>
    <row r="14" customFormat="false" ht="15" hidden="false" customHeight="false" outlineLevel="0" collapsed="false">
      <c r="A14" s="0" t="s">
        <v>526</v>
      </c>
      <c r="B14" s="0" t="s">
        <v>271</v>
      </c>
      <c r="C14" s="18" t="n">
        <f aca="false">C109</f>
        <v>19.47</v>
      </c>
      <c r="D14" s="18" t="n">
        <f aca="false">D109</f>
        <v>38.3985658278458</v>
      </c>
      <c r="E14" s="18" t="n">
        <f aca="false">E109</f>
        <v>66.1242832960332</v>
      </c>
      <c r="F14" s="18" t="n">
        <f aca="false">F109</f>
        <v>90.0448215233073</v>
      </c>
      <c r="G14" s="18" t="n">
        <f aca="false">G109</f>
        <v>106.980542121886</v>
      </c>
      <c r="H14" s="26" t="n">
        <f aca="false">H109</f>
        <v>121.22982112668</v>
      </c>
      <c r="I14" s="26" t="n">
        <f aca="false">I109</f>
        <v>132.304165513696</v>
      </c>
      <c r="J14" s="26" t="n">
        <f aca="false">J109</f>
        <v>138.85387667774</v>
      </c>
    </row>
    <row r="15" customFormat="false" ht="17.15" hidden="false" customHeight="false" outlineLevel="0" collapsed="false">
      <c r="A15" s="0" t="s">
        <v>596</v>
      </c>
      <c r="B15" s="0" t="s">
        <v>55</v>
      </c>
      <c r="D15" s="14" t="n">
        <f aca="false">D110</f>
        <v>0.9721913624985</v>
      </c>
      <c r="E15" s="14" t="n">
        <f aca="false">E110</f>
        <v>0.722050859724592</v>
      </c>
      <c r="F15" s="14" t="n">
        <f aca="false">F110</f>
        <v>0.361751190862572</v>
      </c>
      <c r="G15" s="14" t="n">
        <f aca="false">G110</f>
        <v>0.188081005793262</v>
      </c>
      <c r="H15" s="25" t="n">
        <f aca="false">H110</f>
        <v>0.133195053251455</v>
      </c>
      <c r="I15" s="25" t="n">
        <f aca="false">I110</f>
        <v>0.0913500018732523</v>
      </c>
      <c r="J15" s="25" t="n">
        <f aca="false">J110</f>
        <v>0.0495049504950496</v>
      </c>
    </row>
    <row r="17" customFormat="false" ht="17.15" hidden="false" customHeight="false" outlineLevel="0" collapsed="false">
      <c r="A17" s="1" t="s">
        <v>597</v>
      </c>
    </row>
    <row r="18" customFormat="false" ht="15" hidden="false" customHeight="false" outlineLevel="0" collapsed="false">
      <c r="A18" s="3" t="s">
        <v>499</v>
      </c>
      <c r="B18" s="0" t="s">
        <v>203</v>
      </c>
      <c r="C18" s="22" t="n">
        <f aca="false">C137</f>
        <v>60.004</v>
      </c>
      <c r="D18" s="22" t="n">
        <f aca="false">D137</f>
        <v>105.40752</v>
      </c>
      <c r="E18" s="22" t="n">
        <f aca="false">E137</f>
        <v>152.840904</v>
      </c>
      <c r="F18" s="22" t="n">
        <f aca="false">F137</f>
        <v>194.26605936</v>
      </c>
      <c r="G18" s="22" t="n">
        <f aca="false">G137</f>
        <v>227.89105824</v>
      </c>
      <c r="H18" s="24" t="n">
        <f aca="false">H137</f>
        <v>257.226313072804</v>
      </c>
      <c r="I18" s="24" t="n">
        <f aca="false">I137</f>
        <v>278.92655569709</v>
      </c>
      <c r="J18" s="24" t="n">
        <f aca="false">J137</f>
        <v>290.083617924974</v>
      </c>
    </row>
    <row r="19" customFormat="false" ht="15" hidden="false" customHeight="false" outlineLevel="0" collapsed="false">
      <c r="A19" s="3" t="s">
        <v>591</v>
      </c>
      <c r="B19" s="0" t="s">
        <v>55</v>
      </c>
      <c r="D19" s="14" t="n">
        <f aca="false">D138</f>
        <v>0.756674888340778</v>
      </c>
      <c r="E19" s="14" t="n">
        <f aca="false">E138</f>
        <v>0.45</v>
      </c>
      <c r="F19" s="14" t="n">
        <f aca="false">F138</f>
        <v>0.271034482758621</v>
      </c>
      <c r="G19" s="14" t="n">
        <f aca="false">G138</f>
        <v>0.173087357569181</v>
      </c>
      <c r="H19" s="25" t="n">
        <f aca="false">H138</f>
        <v>0.12872490504612</v>
      </c>
      <c r="I19" s="25" t="n">
        <f aca="false">I138</f>
        <v>0.0843624525230602</v>
      </c>
      <c r="J19" s="25" t="n">
        <f aca="false">J138</f>
        <v>0.04</v>
      </c>
    </row>
    <row r="20" customFormat="false" ht="17.15" hidden="false" customHeight="false" outlineLevel="0" collapsed="false">
      <c r="A20" s="0" t="s">
        <v>592</v>
      </c>
      <c r="B20" s="0" t="s">
        <v>203</v>
      </c>
      <c r="C20" s="22" t="n">
        <f aca="false">C135</f>
        <v>18.0012</v>
      </c>
      <c r="D20" s="22" t="n">
        <f aca="false">D135</f>
        <v>55.00416</v>
      </c>
      <c r="E20" s="22" t="n">
        <f aca="false">E135</f>
        <v>99.917376</v>
      </c>
      <c r="F20" s="22" t="n">
        <f aca="false">F135</f>
        <v>139.75482552</v>
      </c>
      <c r="G20" s="22" t="n">
        <f aca="false">G135</f>
        <v>171.7444873848</v>
      </c>
    </row>
    <row r="21" customFormat="false" ht="17.15" hidden="false" customHeight="false" outlineLevel="0" collapsed="false">
      <c r="A21" s="3" t="s">
        <v>593</v>
      </c>
      <c r="B21" s="0" t="s">
        <v>203</v>
      </c>
      <c r="C21" s="22" t="n">
        <f aca="false">C134</f>
        <v>42.0028</v>
      </c>
      <c r="D21" s="22" t="n">
        <f aca="false">D134</f>
        <v>50.40336</v>
      </c>
      <c r="E21" s="22" t="n">
        <f aca="false">E134</f>
        <v>52.923528</v>
      </c>
      <c r="F21" s="22" t="n">
        <f aca="false">F134</f>
        <v>54.51123384</v>
      </c>
      <c r="G21" s="22" t="n">
        <f aca="false">G134</f>
        <v>56.1465708552</v>
      </c>
    </row>
    <row r="22" customFormat="false" ht="17.15" hidden="false" customHeight="false" outlineLevel="0" collapsed="false">
      <c r="A22" s="3" t="s">
        <v>594</v>
      </c>
      <c r="B22" s="0" t="s">
        <v>55</v>
      </c>
      <c r="D22" s="14" t="n">
        <f aca="false">D148</f>
        <v>1</v>
      </c>
      <c r="E22" s="14" t="n">
        <f aca="false">E148</f>
        <v>1.29875034099137</v>
      </c>
      <c r="F22" s="14" t="n">
        <f aca="false">F148</f>
        <v>1.07506839756468</v>
      </c>
      <c r="G22" s="14" t="n">
        <f aca="false">G148</f>
        <v>1.07501617842306</v>
      </c>
    </row>
    <row r="23" customFormat="false" ht="15" hidden="false" customHeight="false" outlineLevel="0" collapsed="false">
      <c r="A23" s="3" t="s">
        <v>506</v>
      </c>
      <c r="B23" s="0" t="s">
        <v>55</v>
      </c>
      <c r="C23" s="14" t="n">
        <f aca="false">C154</f>
        <v>0.328028131457903</v>
      </c>
      <c r="D23" s="14" t="n">
        <f aca="false">D154</f>
        <v>0.348837592422248</v>
      </c>
      <c r="E23" s="14" t="n">
        <f aca="false">E154</f>
        <v>0.368566003345544</v>
      </c>
      <c r="F23" s="14" t="n">
        <f aca="false">F154</f>
        <v>0.365962006691732</v>
      </c>
      <c r="G23" s="14" t="n">
        <f aca="false">G154</f>
        <v>0.358067106007922</v>
      </c>
    </row>
    <row r="24" customFormat="false" ht="15" hidden="false" customHeight="false" outlineLevel="0" collapsed="false">
      <c r="A24" s="3" t="s">
        <v>514</v>
      </c>
      <c r="B24" s="0" t="s">
        <v>55</v>
      </c>
      <c r="C24" s="14" t="n">
        <f aca="false">C158</f>
        <v>0.23403439770682</v>
      </c>
      <c r="D24" s="14" t="n">
        <f aca="false">D158</f>
        <v>0.268407131673338</v>
      </c>
      <c r="E24" s="14" t="n">
        <f aca="false">E158</f>
        <v>0.298120013586154</v>
      </c>
      <c r="F24" s="14" t="n">
        <f aca="false">F158</f>
        <v>0.301524757892828</v>
      </c>
      <c r="G24" s="14" t="n">
        <f aca="false">G158</f>
        <v>0.297432906675595</v>
      </c>
    </row>
    <row r="25" customFormat="false" ht="15" hidden="false" customHeight="false" outlineLevel="0" collapsed="false">
      <c r="A25" s="3" t="s">
        <v>520</v>
      </c>
      <c r="B25" s="0" t="s">
        <v>203</v>
      </c>
      <c r="C25" s="22" t="n">
        <f aca="false">C160</f>
        <v>9.607</v>
      </c>
      <c r="D25" s="22" t="n">
        <f aca="false">D160</f>
        <v>19.6977289395284</v>
      </c>
      <c r="E25" s="22" t="n">
        <f aca="false">E160</f>
        <v>31.211978678245</v>
      </c>
      <c r="F25" s="22" t="n">
        <f aca="false">F160</f>
        <v>40.1245781629926</v>
      </c>
      <c r="G25" s="22" t="n">
        <f aca="false">G160</f>
        <v>46.4308754025249</v>
      </c>
      <c r="H25" s="24" t="n">
        <f aca="false">H160</f>
        <v>49.0696162995125</v>
      </c>
      <c r="I25" s="24" t="n">
        <f aca="false">I160</f>
        <v>49.5895726459613</v>
      </c>
      <c r="J25" s="24" t="n">
        <f aca="false">J160</f>
        <v>47.8086916496984</v>
      </c>
    </row>
    <row r="26" customFormat="false" ht="15" hidden="false" customHeight="false" outlineLevel="0" collapsed="false">
      <c r="A26" s="3" t="s">
        <v>595</v>
      </c>
      <c r="B26" s="0" t="s">
        <v>55</v>
      </c>
      <c r="C26" s="14" t="n">
        <f aca="false">C165</f>
        <v>0.160105992933804</v>
      </c>
      <c r="D26" s="14" t="n">
        <f aca="false">D165</f>
        <v>0.186872140996471</v>
      </c>
      <c r="E26" s="14" t="n">
        <f aca="false">E165</f>
        <v>0.204212209306515</v>
      </c>
      <c r="F26" s="14" t="n">
        <f aca="false">F165</f>
        <v>0.206544459156587</v>
      </c>
      <c r="G26" s="14" t="n">
        <f aca="false">G165</f>
        <v>0.203741541072783</v>
      </c>
      <c r="H26" s="25" t="n">
        <f aca="false">H165</f>
        <v>0.190764372872009</v>
      </c>
      <c r="I26" s="25" t="n">
        <f aca="false">I165</f>
        <v>0.177787204671235</v>
      </c>
      <c r="J26" s="25" t="n">
        <f aca="false">J165</f>
        <v>0.164810036470462</v>
      </c>
    </row>
    <row r="27" customFormat="false" ht="15" hidden="false" customHeight="false" outlineLevel="0" collapsed="false">
      <c r="A27" s="0" t="s">
        <v>526</v>
      </c>
      <c r="B27" s="0" t="s">
        <v>271</v>
      </c>
      <c r="C27" s="18" t="n">
        <f aca="false">C163</f>
        <v>19.47</v>
      </c>
      <c r="D27" s="18" t="n">
        <f aca="false">D163</f>
        <v>38.3985658278458</v>
      </c>
      <c r="E27" s="18" t="n">
        <f aca="false">E163</f>
        <v>60.1510234165269</v>
      </c>
      <c r="F27" s="18" t="n">
        <f aca="false">F163</f>
        <v>76.5615690275167</v>
      </c>
      <c r="G27" s="18" t="n">
        <f aca="false">G163</f>
        <v>87.7174188240072</v>
      </c>
      <c r="H27" s="26" t="n">
        <f aca="false">H163</f>
        <v>91.7846930744266</v>
      </c>
      <c r="I27" s="26" t="n">
        <f aca="false">I163</f>
        <v>91.8388823404776</v>
      </c>
      <c r="J27" s="26" t="n">
        <f aca="false">J163</f>
        <v>87.6640860103551</v>
      </c>
    </row>
    <row r="28" customFormat="false" ht="17.15" hidden="false" customHeight="false" outlineLevel="0" collapsed="false">
      <c r="A28" s="0" t="s">
        <v>596</v>
      </c>
      <c r="B28" s="0" t="s">
        <v>55</v>
      </c>
      <c r="D28" s="14" t="n">
        <f aca="false">D164</f>
        <v>0.9721913624985</v>
      </c>
      <c r="E28" s="14" t="n">
        <f aca="false">E164</f>
        <v>0.566491407158407</v>
      </c>
      <c r="F28" s="14" t="n">
        <f aca="false">F164</f>
        <v>0.272822384040783</v>
      </c>
      <c r="G28" s="14" t="n">
        <f aca="false">G164</f>
        <v>0.145710830357735</v>
      </c>
      <c r="H28" s="25" t="n">
        <f aca="false">H164</f>
        <v>0.0463679199063061</v>
      </c>
      <c r="I28" s="25" t="n">
        <f aca="false">I164</f>
        <v>0.000590395459589166</v>
      </c>
      <c r="J28" s="25" t="n">
        <f aca="false">J164</f>
        <v>-0.0454578303190271</v>
      </c>
    </row>
    <row r="30" customFormat="false" ht="17.15" hidden="false" customHeight="false" outlineLevel="0" collapsed="false">
      <c r="A30" s="1" t="s">
        <v>598</v>
      </c>
    </row>
    <row r="31" customFormat="false" ht="15" hidden="false" customHeight="false" outlineLevel="0" collapsed="false">
      <c r="A31" s="3" t="s">
        <v>499</v>
      </c>
      <c r="B31" s="0" t="s">
        <v>203</v>
      </c>
      <c r="C31" s="22" t="n">
        <f aca="false">C191</f>
        <v>60.004</v>
      </c>
      <c r="D31" s="22" t="n">
        <f aca="false">D191</f>
        <v>105.40752</v>
      </c>
      <c r="E31" s="22" t="n">
        <f aca="false">E191</f>
        <v>146.72726784</v>
      </c>
      <c r="F31" s="22" t="n">
        <f aca="false">F191</f>
        <v>141.1850806402</v>
      </c>
      <c r="G31" s="22" t="n">
        <f aca="false">G191</f>
        <v>153.205763396863</v>
      </c>
      <c r="H31" s="24" t="n">
        <f aca="false">H191</f>
        <v>162.9232281108</v>
      </c>
      <c r="I31" s="24" t="n">
        <f aca="false">I191</f>
        <v>169.719370190681</v>
      </c>
      <c r="J31" s="24" t="n">
        <f aca="false">J191</f>
        <v>173.113757594494</v>
      </c>
    </row>
    <row r="32" customFormat="false" ht="15" hidden="false" customHeight="false" outlineLevel="0" collapsed="false">
      <c r="A32" s="3" t="s">
        <v>591</v>
      </c>
      <c r="B32" s="0" t="s">
        <v>55</v>
      </c>
      <c r="D32" s="14" t="n">
        <f aca="false">D192</f>
        <v>0.756674888340778</v>
      </c>
      <c r="E32" s="14" t="n">
        <f aca="false">E192</f>
        <v>0.392</v>
      </c>
      <c r="F32" s="14" t="n">
        <f aca="false">F192</f>
        <v>-0.0377720329791965</v>
      </c>
      <c r="G32" s="14" t="n">
        <f aca="false">G192</f>
        <v>0.0851413102726941</v>
      </c>
      <c r="H32" s="25" t="n">
        <f aca="false">H192</f>
        <v>0.0634275401817961</v>
      </c>
      <c r="I32" s="25" t="n">
        <f aca="false">I192</f>
        <v>0.041713770090898</v>
      </c>
      <c r="J32" s="25" t="n">
        <f aca="false">J192</f>
        <v>0.02</v>
      </c>
    </row>
    <row r="33" customFormat="false" ht="17.15" hidden="false" customHeight="false" outlineLevel="0" collapsed="false">
      <c r="A33" s="0" t="s">
        <v>592</v>
      </c>
      <c r="B33" s="0" t="s">
        <v>203</v>
      </c>
      <c r="C33" s="22" t="n">
        <f aca="false">C189</f>
        <v>18.0012</v>
      </c>
      <c r="D33" s="22" t="n">
        <f aca="false">D189</f>
        <v>55.00416</v>
      </c>
      <c r="E33" s="22" t="n">
        <f aca="false">E189</f>
        <v>93.80373984</v>
      </c>
      <c r="F33" s="22" t="n">
        <f aca="false">F189</f>
        <v>86.6738468002001</v>
      </c>
      <c r="G33" s="22" t="n">
        <f aca="false">G189</f>
        <v>97.0591925416627</v>
      </c>
    </row>
    <row r="34" customFormat="false" ht="17.15" hidden="false" customHeight="false" outlineLevel="0" collapsed="false">
      <c r="A34" s="3" t="s">
        <v>593</v>
      </c>
      <c r="B34" s="0" t="s">
        <v>203</v>
      </c>
      <c r="C34" s="22" t="n">
        <f aca="false">C188</f>
        <v>42.0028</v>
      </c>
      <c r="D34" s="22" t="n">
        <f aca="false">D188</f>
        <v>50.40336</v>
      </c>
      <c r="E34" s="22" t="n">
        <f aca="false">E188</f>
        <v>52.923528</v>
      </c>
      <c r="F34" s="22" t="n">
        <f aca="false">F188</f>
        <v>54.51123384</v>
      </c>
      <c r="G34" s="22" t="n">
        <f aca="false">G188</f>
        <v>56.1465708552</v>
      </c>
    </row>
    <row r="35" customFormat="false" ht="17.15" hidden="false" customHeight="false" outlineLevel="0" collapsed="false">
      <c r="A35" s="3" t="s">
        <v>594</v>
      </c>
      <c r="B35" s="0" t="s">
        <v>55</v>
      </c>
      <c r="D35" s="14" t="n">
        <f aca="false">D202</f>
        <v>1</v>
      </c>
      <c r="E35" s="14" t="n">
        <f aca="false">E202</f>
        <v>1.17030533893803</v>
      </c>
      <c r="F35" s="14" t="n">
        <f aca="false">F202</f>
        <v>0.766259342158443</v>
      </c>
      <c r="G35" s="14" t="n">
        <f aca="false">G202</f>
        <v>0.718113348391437</v>
      </c>
    </row>
    <row r="36" customFormat="false" ht="15" hidden="false" customHeight="false" outlineLevel="0" collapsed="false">
      <c r="A36" s="3" t="s">
        <v>506</v>
      </c>
      <c r="B36" s="0" t="s">
        <v>55</v>
      </c>
      <c r="C36" s="14" t="n">
        <f aca="false">C208</f>
        <v>0.328028131457903</v>
      </c>
      <c r="D36" s="14" t="n">
        <f aca="false">D208</f>
        <v>0.348837592422248</v>
      </c>
      <c r="E36" s="14" t="n">
        <f aca="false">E208</f>
        <v>0.338121049418025</v>
      </c>
      <c r="F36" s="14" t="n">
        <f aca="false">F208</f>
        <v>0.319698172973615</v>
      </c>
      <c r="G36" s="14" t="n">
        <f aca="false">G208</f>
        <v>0.301549611112003</v>
      </c>
    </row>
    <row r="37" customFormat="false" ht="15" hidden="false" customHeight="false" outlineLevel="0" collapsed="false">
      <c r="A37" s="3" t="s">
        <v>514</v>
      </c>
      <c r="B37" s="0" t="s">
        <v>55</v>
      </c>
      <c r="C37" s="14" t="n">
        <f aca="false">C212</f>
        <v>0.23403439770682</v>
      </c>
      <c r="D37" s="14" t="n">
        <f aca="false">D212</f>
        <v>0.268407131673338</v>
      </c>
      <c r="E37" s="14" t="n">
        <f aca="false">E212</f>
        <v>0.26675057160405</v>
      </c>
      <c r="F37" s="14" t="n">
        <f aca="false">F212</f>
        <v>0.245526063806024</v>
      </c>
      <c r="G37" s="14" t="n">
        <f aca="false">G212</f>
        <v>0.229705350124344</v>
      </c>
    </row>
    <row r="38" customFormat="false" ht="15" hidden="false" customHeight="false" outlineLevel="0" collapsed="false">
      <c r="A38" s="3" t="s">
        <v>520</v>
      </c>
      <c r="B38" s="0" t="s">
        <v>203</v>
      </c>
      <c r="C38" s="22" t="n">
        <f aca="false">C214</f>
        <v>9.607</v>
      </c>
      <c r="D38" s="22" t="n">
        <f aca="false">D214</f>
        <v>19.6977289395284</v>
      </c>
      <c r="E38" s="22" t="n">
        <f aca="false">E214</f>
        <v>26.810614057861</v>
      </c>
      <c r="F38" s="22" t="n">
        <f aca="false">F214</f>
        <v>23.7452627256412</v>
      </c>
      <c r="G38" s="22" t="n">
        <f aca="false">G214</f>
        <v>24.1066457126685</v>
      </c>
      <c r="H38" s="24" t="n">
        <f aca="false">H214</f>
        <v>23.9266262221067</v>
      </c>
      <c r="I38" s="24" t="n">
        <f aca="false">I214</f>
        <v>23.1443605782874</v>
      </c>
      <c r="J38" s="24" t="n">
        <f aca="false">J214</f>
        <v>21.7913056521722</v>
      </c>
    </row>
    <row r="39" customFormat="false" ht="15" hidden="false" customHeight="false" outlineLevel="0" collapsed="false">
      <c r="A39" s="3" t="s">
        <v>595</v>
      </c>
      <c r="B39" s="0" t="s">
        <v>55</v>
      </c>
      <c r="C39" s="14" t="n">
        <f aca="false">C219</f>
        <v>0.160105992933804</v>
      </c>
      <c r="D39" s="14" t="n">
        <f aca="false">D219</f>
        <v>0.186872140996471</v>
      </c>
      <c r="E39" s="14" t="n">
        <f aca="false">E219</f>
        <v>0.182724141548774</v>
      </c>
      <c r="F39" s="14" t="n">
        <f aca="false">F219</f>
        <v>0.168185353707127</v>
      </c>
      <c r="G39" s="14" t="n">
        <f aca="false">G219</f>
        <v>0.157348164835176</v>
      </c>
      <c r="H39" s="25" t="n">
        <f aca="false">H219</f>
        <v>0.146858287179498</v>
      </c>
      <c r="I39" s="25" t="n">
        <f aca="false">I219</f>
        <v>0.136368409523819</v>
      </c>
      <c r="J39" s="25" t="n">
        <f aca="false">J219</f>
        <v>0.125878531868141</v>
      </c>
    </row>
    <row r="40" customFormat="false" ht="15" hidden="false" customHeight="false" outlineLevel="0" collapsed="false">
      <c r="A40" s="0" t="s">
        <v>526</v>
      </c>
      <c r="B40" s="0" t="s">
        <v>271</v>
      </c>
      <c r="C40" s="18" t="n">
        <f aca="false">C217</f>
        <v>19.47</v>
      </c>
      <c r="D40" s="18" t="n">
        <f aca="false">D217</f>
        <v>38.3985658278458</v>
      </c>
      <c r="E40" s="18" t="n">
        <f aca="false">E217</f>
        <v>51.6688124976171</v>
      </c>
      <c r="F40" s="18" t="n">
        <f aca="false">F217</f>
        <v>45.3082538054554</v>
      </c>
      <c r="G40" s="18" t="n">
        <f aca="false">G217</f>
        <v>45.5423835990203</v>
      </c>
      <c r="H40" s="26" t="n">
        <f aca="false">H217</f>
        <v>44.7547425416572</v>
      </c>
      <c r="I40" s="26" t="n">
        <f aca="false">I217</f>
        <v>42.8628861791177</v>
      </c>
      <c r="J40" s="26" t="n">
        <f aca="false">J217</f>
        <v>39.9574810991927</v>
      </c>
    </row>
    <row r="41" customFormat="false" ht="17.15" hidden="false" customHeight="false" outlineLevel="0" collapsed="false">
      <c r="A41" s="0" t="s">
        <v>596</v>
      </c>
      <c r="B41" s="0" t="s">
        <v>55</v>
      </c>
      <c r="D41" s="14" t="n">
        <f aca="false">D218</f>
        <v>0.9721913624985</v>
      </c>
      <c r="E41" s="14" t="n">
        <f aca="false">E218</f>
        <v>0.345592247618478</v>
      </c>
      <c r="F41" s="14" t="n">
        <f aca="false">F218</f>
        <v>-0.123102474872151</v>
      </c>
      <c r="G41" s="14" t="n">
        <f aca="false">G218</f>
        <v>0.00516748658136801</v>
      </c>
      <c r="H41" s="25" t="n">
        <f aca="false">H218</f>
        <v>-0.0172946823402542</v>
      </c>
      <c r="I41" s="25" t="n">
        <f aca="false">I218</f>
        <v>-0.0422716399447191</v>
      </c>
      <c r="J41" s="25" t="n">
        <f aca="false">J218</f>
        <v>-0.0677837014470676</v>
      </c>
    </row>
    <row r="43" customFormat="false" ht="17.15" hidden="false" customHeight="false" outlineLevel="0" collapsed="false">
      <c r="A43" s="1" t="s">
        <v>599</v>
      </c>
    </row>
    <row r="44" customFormat="false" ht="17.15" hidden="false" customHeight="false" outlineLevel="0" collapsed="false">
      <c r="A44" s="3" t="s">
        <v>600</v>
      </c>
      <c r="D44" s="27" t="n">
        <f aca="false">ABS(D83-a26_rev)+ABS(D137-a26_rev)+ABS(D191-a26_rev)</f>
        <v>0</v>
      </c>
    </row>
    <row r="45" customFormat="false" ht="17.15" hidden="false" customHeight="false" outlineLevel="0" collapsed="false">
      <c r="A45" s="3" t="s">
        <v>601</v>
      </c>
      <c r="D45" s="27" t="n">
        <f aca="false">D135-a26_ai</f>
        <v>0</v>
      </c>
    </row>
    <row r="46" customFormat="false" ht="17.15" hidden="false" customHeight="false" outlineLevel="0" collapsed="false">
      <c r="A46" s="3" t="s">
        <v>602</v>
      </c>
      <c r="D46" s="27" t="n">
        <f aca="false">D152*D135+D151*D134-a26_gp</f>
        <v>0</v>
      </c>
    </row>
    <row r="47" customFormat="false" ht="17.15" hidden="false" customHeight="false" outlineLevel="0" collapsed="false">
      <c r="A47" s="3" t="s">
        <v>603</v>
      </c>
      <c r="D47" s="27" t="n">
        <f aca="false">D133-D137</f>
        <v>0</v>
      </c>
    </row>
    <row r="60" customFormat="false" ht="17.15" hidden="false" customHeight="false" outlineLevel="0" collapsed="false">
      <c r="A60" s="1" t="s">
        <v>604</v>
      </c>
    </row>
    <row r="61" customFormat="false" ht="17.15" hidden="false" customHeight="false" outlineLevel="0" collapsed="false">
      <c r="A61" s="4" t="s">
        <v>24</v>
      </c>
      <c r="B61" s="4" t="s">
        <v>25</v>
      </c>
      <c r="C61" s="15" t="s">
        <v>494</v>
      </c>
      <c r="D61" s="15" t="s">
        <v>583</v>
      </c>
      <c r="E61" s="15" t="s">
        <v>584</v>
      </c>
      <c r="F61" s="15" t="s">
        <v>585</v>
      </c>
      <c r="G61" s="15" t="s">
        <v>586</v>
      </c>
      <c r="H61" s="15" t="s">
        <v>587</v>
      </c>
      <c r="I61" s="15" t="s">
        <v>588</v>
      </c>
      <c r="J61" s="15" t="s">
        <v>589</v>
      </c>
      <c r="K61" s="4" t="s">
        <v>458</v>
      </c>
    </row>
    <row r="62" customFormat="false" ht="17.15" hidden="false" customHeight="false" outlineLevel="0" collapsed="false">
      <c r="A62" s="5" t="s">
        <v>605</v>
      </c>
    </row>
    <row r="63" customFormat="false" ht="17.15" hidden="false" customHeight="false" outlineLevel="0" collapsed="false">
      <c r="A63" s="0" t="s">
        <v>606</v>
      </c>
      <c r="B63" s="0" t="s">
        <v>35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607</v>
      </c>
      <c r="B64" s="0" t="s">
        <v>35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608</v>
      </c>
      <c r="B65" s="0" t="s">
        <v>549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553</v>
      </c>
      <c r="B66" s="0" t="s">
        <v>96</v>
      </c>
      <c r="D66" s="21" t="n">
        <f aca="false">vg_cmp26</f>
        <v>280</v>
      </c>
      <c r="E66" s="21" t="n">
        <f aca="false">(vg_cmp26+(vg_cmp27-vg_cmp26)*pgwf)</f>
        <v>420</v>
      </c>
      <c r="F66" s="21" t="n">
        <f aca="false">(vg_cmp26+(vg_cmp28-vg_cmp26)*pgwf)</f>
        <v>462</v>
      </c>
      <c r="G66" s="21" t="n">
        <f aca="false">(vg_cmp26+(vg_cmp29-vg_cmp26)*pgwf)</f>
        <v>504</v>
      </c>
    </row>
    <row r="67" customFormat="false" ht="17.15" hidden="false" customHeight="false" outlineLevel="0" collapsed="false">
      <c r="A67" s="3" t="s">
        <v>555</v>
      </c>
      <c r="B67" s="0" t="s">
        <v>96</v>
      </c>
      <c r="D67" s="21" t="n">
        <f aca="false">vg_sw26</f>
        <v>120</v>
      </c>
      <c r="E67" s="21" t="n">
        <f aca="false">(vg_sw26+(vg_sw27-vg_sw26)*pgwf)</f>
        <v>162</v>
      </c>
      <c r="F67" s="21" t="n">
        <f aca="false">(vg_sw26+(vg_sw28-vg_sw26)*pgwf)</f>
        <v>180</v>
      </c>
      <c r="G67" s="21" t="n">
        <f aca="false">(vg_sw26+(vg_sw29-vg_sw26)*pgwf)</f>
        <v>198</v>
      </c>
    </row>
    <row r="68" customFormat="false" ht="17.15" hidden="false" customHeight="false" outlineLevel="0" collapsed="false">
      <c r="A68" s="3" t="s">
        <v>609</v>
      </c>
      <c r="B68" s="0" t="s">
        <v>96</v>
      </c>
      <c r="D68" s="21" t="n">
        <f aca="false">vg_mid26*w_mid</f>
        <v>25</v>
      </c>
      <c r="E68" s="21" t="n">
        <f aca="false">(vg_mid26+(vg_mid27-vg_mid26)*pgwf)*w_mid</f>
        <v>50</v>
      </c>
      <c r="F68" s="21" t="n">
        <f aca="false">(vg_mid26+(vg_mid28-vg_mid26)*pgwf)*w_mid</f>
        <v>75</v>
      </c>
      <c r="G68" s="21" t="n">
        <f aca="false">(vg_mid26+(vg_mid29-vg_mid26)*pgwf)*w_mid</f>
        <v>87.5</v>
      </c>
    </row>
    <row r="69" customFormat="false" ht="17.15" hidden="false" customHeight="false" outlineLevel="0" collapsed="false">
      <c r="A69" s="3" t="s">
        <v>610</v>
      </c>
      <c r="B69" s="0" t="s">
        <v>96</v>
      </c>
      <c r="D69" s="21" t="n">
        <f aca="false">D66+D67+D68</f>
        <v>425</v>
      </c>
      <c r="E69" s="21" t="n">
        <f aca="false">E66+E67+E68</f>
        <v>632</v>
      </c>
      <c r="F69" s="21" t="n">
        <f aca="false">F66+F67+F68</f>
        <v>717</v>
      </c>
      <c r="G69" s="21" t="n">
        <f aca="false">G66+G67+G68</f>
        <v>789.5</v>
      </c>
    </row>
    <row r="70" customFormat="false" ht="17.15" hidden="false" customHeight="false" outlineLevel="0" collapsed="false">
      <c r="A70" s="3" t="s">
        <v>611</v>
      </c>
      <c r="B70" s="0" t="s">
        <v>35</v>
      </c>
      <c r="D70" s="23" t="n">
        <f aca="false">D65*D69/1000</f>
        <v>9.94480366787715</v>
      </c>
      <c r="E70" s="23" t="n">
        <f aca="false">E65*E69/1000</f>
        <v>26.3207560020722</v>
      </c>
      <c r="F70" s="23" t="n">
        <f aca="false">F65*F69/1000</f>
        <v>37.8519630831248</v>
      </c>
      <c r="G70" s="23" t="n">
        <f aca="false">G65*G69/1000</f>
        <v>47.4794181756601</v>
      </c>
    </row>
    <row r="71" customFormat="false" ht="17.15" hidden="false" customHeight="false" outlineLevel="0" collapsed="false">
      <c r="A71" s="3" t="s">
        <v>612</v>
      </c>
      <c r="B71" s="0" t="s">
        <v>203</v>
      </c>
      <c r="D71" s="22" t="n">
        <f aca="false">D70*fx</f>
        <v>318.233717372069</v>
      </c>
      <c r="E71" s="22" t="n">
        <f aca="false">E70*fx</f>
        <v>842.264192066312</v>
      </c>
      <c r="F71" s="22" t="n">
        <f aca="false">F70*fx</f>
        <v>1211.26281865999</v>
      </c>
      <c r="G71" s="22" t="n">
        <f aca="false">G70*fx</f>
        <v>1519.34138162112</v>
      </c>
    </row>
    <row r="72" customFormat="false" ht="17.15" hidden="false" customHeight="false" outlineLevel="0" collapsed="false">
      <c r="A72" s="0" t="s">
        <v>613</v>
      </c>
      <c r="B72" s="0" t="s">
        <v>69</v>
      </c>
      <c r="D72" s="18" t="n">
        <f aca="false">1</f>
        <v>1</v>
      </c>
      <c r="E72" s="18" t="n">
        <f aca="false">pp_27_A</f>
        <v>1.03</v>
      </c>
      <c r="F72" s="18" t="n">
        <f aca="false">pp_28_A</f>
        <v>1.02</v>
      </c>
      <c r="G72" s="18" t="n">
        <f aca="false">pp_29_A</f>
        <v>1</v>
      </c>
    </row>
    <row r="73" customFormat="false" ht="17.15" hidden="false" customHeight="false" outlineLevel="0" collapsed="false">
      <c r="A73" s="3" t="s">
        <v>614</v>
      </c>
      <c r="B73" s="0" t="s">
        <v>55</v>
      </c>
      <c r="D73" s="14" t="n">
        <f aca="false">a26_ai/D71</f>
        <v>0.172842024579347</v>
      </c>
      <c r="K73" s="7" t="s">
        <v>615</v>
      </c>
    </row>
    <row r="74" customFormat="false" ht="17.15" hidden="false" customHeight="false" outlineLevel="0" collapsed="false">
      <c r="A74" s="3" t="s">
        <v>616</v>
      </c>
      <c r="B74" s="0" t="s">
        <v>69</v>
      </c>
      <c r="D74" s="18" t="n">
        <f aca="false">1</f>
        <v>1</v>
      </c>
      <c r="E74" s="18" t="n">
        <f aca="false">rel_27_A</f>
        <v>1.08</v>
      </c>
      <c r="F74" s="18" t="n">
        <f aca="false">rel_28_A</f>
        <v>1.08</v>
      </c>
      <c r="G74" s="18" t="n">
        <f aca="false">rel_29_A</f>
        <v>1.05</v>
      </c>
    </row>
    <row r="75" customFormat="false" ht="15" hidden="false" customHeight="false" outlineLevel="0" collapsed="false">
      <c r="A75" s="3" t="s">
        <v>565</v>
      </c>
      <c r="B75" s="0" t="s">
        <v>55</v>
      </c>
      <c r="D75" s="14" t="n">
        <f aca="false">$D$73*D74</f>
        <v>0.172842024579347</v>
      </c>
      <c r="E75" s="14" t="n">
        <f aca="false">$D$73*E74</f>
        <v>0.186669386545695</v>
      </c>
      <c r="F75" s="14" t="n">
        <f aca="false">$D$73*F74</f>
        <v>0.186669386545695</v>
      </c>
      <c r="G75" s="14" t="n">
        <f aca="false">$D$73*G74</f>
        <v>0.181484125808314</v>
      </c>
    </row>
    <row r="76" customFormat="false" ht="17.15" hidden="false" customHeight="false" outlineLevel="0" collapsed="false">
      <c r="A76" s="0" t="s">
        <v>617</v>
      </c>
      <c r="B76" s="0" t="s">
        <v>203</v>
      </c>
      <c r="D76" s="22" t="n">
        <f aca="false">D71*D75*D72</f>
        <v>55.00416</v>
      </c>
      <c r="E76" s="22" t="n">
        <f aca="false">E71*E75*E72</f>
        <v>161.941688243696</v>
      </c>
      <c r="F76" s="22" t="n">
        <f aca="false">F71*F75*F72</f>
        <v>230.627801050967</v>
      </c>
      <c r="G76" s="22" t="n">
        <f aca="false">G71*G75*G72</f>
        <v>275.736342447906</v>
      </c>
    </row>
    <row r="77" customFormat="false" ht="17.15" hidden="false" customHeight="false" outlineLevel="0" collapsed="false">
      <c r="A77" s="5" t="s">
        <v>618</v>
      </c>
    </row>
    <row r="78" customFormat="false" ht="17.15" hidden="false" customHeight="false" outlineLevel="0" collapsed="false">
      <c r="A78" s="3" t="s">
        <v>619</v>
      </c>
      <c r="B78" s="0" t="s">
        <v>69</v>
      </c>
      <c r="D78" s="18" t="n">
        <f aca="false">1</f>
        <v>1</v>
      </c>
      <c r="E78" s="18" t="n">
        <f aca="false">cx_27</f>
        <v>1.45</v>
      </c>
      <c r="F78" s="18" t="n">
        <f aca="false">cx_28</f>
        <v>1.9</v>
      </c>
      <c r="G78" s="18" t="n">
        <f aca="false">cx_29</f>
        <v>2.3</v>
      </c>
      <c r="K78" s="7" t="s">
        <v>620</v>
      </c>
    </row>
    <row r="79" customFormat="false" ht="17.15" hidden="false" customHeight="false" outlineLevel="0" collapsed="false">
      <c r="A79" s="3" t="s">
        <v>621</v>
      </c>
      <c r="B79" s="0" t="s">
        <v>203</v>
      </c>
      <c r="D79" s="22" t="n">
        <f aca="false">a26_rev*D78*D72</f>
        <v>105.40752</v>
      </c>
      <c r="E79" s="22" t="n">
        <f aca="false">a26_rev*E78*E72</f>
        <v>157.42613112</v>
      </c>
      <c r="F79" s="22" t="n">
        <f aca="false">a26_rev*F78*F72</f>
        <v>204.27977376</v>
      </c>
      <c r="G79" s="22" t="n">
        <f aca="false">a26_rev*G78*G72</f>
        <v>242.437296</v>
      </c>
    </row>
    <row r="80" customFormat="false" ht="17.15" hidden="false" customHeight="false" outlineLevel="0" collapsed="false">
      <c r="A80" s="3" t="s">
        <v>622</v>
      </c>
      <c r="B80" s="0" t="s">
        <v>203</v>
      </c>
      <c r="C80" s="22" t="n">
        <f aca="false">a25_nai</f>
        <v>42.0028</v>
      </c>
      <c r="D80" s="22" t="n">
        <f aca="false">a26_nai</f>
        <v>50.40336</v>
      </c>
      <c r="E80" s="22" t="n">
        <f aca="false">D80*(1+g_nai27)</f>
        <v>52.923528</v>
      </c>
      <c r="F80" s="22" t="n">
        <f aca="false">E80*(1+g_nai28)</f>
        <v>54.51123384</v>
      </c>
      <c r="G80" s="22" t="n">
        <f aca="false">F80*(1+g_nai29)</f>
        <v>56.1465708552</v>
      </c>
    </row>
    <row r="81" customFormat="false" ht="17.15" hidden="false" customHeight="false" outlineLevel="0" collapsed="false">
      <c r="A81" s="0" t="s">
        <v>623</v>
      </c>
      <c r="B81" s="0" t="s">
        <v>203</v>
      </c>
      <c r="C81" s="22" t="n">
        <f aca="false">a25_ai</f>
        <v>18.0012</v>
      </c>
      <c r="D81" s="22" t="n">
        <f aca="false">D76</f>
        <v>55.00416</v>
      </c>
      <c r="E81" s="22" t="n">
        <f aca="false">MIN(E76,E79-E80)</f>
        <v>104.50260312</v>
      </c>
      <c r="F81" s="22" t="n">
        <f aca="false">MIN(F76,F79-F80)</f>
        <v>149.76853992</v>
      </c>
      <c r="G81" s="22" t="n">
        <f aca="false">MIN(G76,G79-G80)</f>
        <v>186.2907251448</v>
      </c>
      <c r="K81" s="3" t="s">
        <v>624</v>
      </c>
    </row>
    <row r="82" customFormat="false" ht="15" hidden="false" customHeight="false" outlineLevel="0" collapsed="false">
      <c r="A82" s="3" t="s">
        <v>625</v>
      </c>
      <c r="E82" s="0" t="str">
        <f aca="false">IF(E76&gt;E79-E80+0.0001,"受限","未受限")</f>
        <v>受限</v>
      </c>
      <c r="F82" s="0" t="str">
        <f aca="false">IF(F76&gt;F79-F80+0.0001,"受限","未受限")</f>
        <v>受限</v>
      </c>
      <c r="G82" s="0" t="str">
        <f aca="false">IF(G76&gt;G79-G80+0.0001,"受限","未受限")</f>
        <v>受限</v>
      </c>
    </row>
    <row r="83" customFormat="false" ht="17.15" hidden="false" customHeight="false" outlineLevel="0" collapsed="false">
      <c r="A83" s="3" t="s">
        <v>499</v>
      </c>
      <c r="B83" s="0" t="s">
        <v>203</v>
      </c>
      <c r="C83" s="22" t="n">
        <f aca="false">C81+C80</f>
        <v>60.004</v>
      </c>
      <c r="D83" s="22" t="n">
        <f aca="false">D81+D80</f>
        <v>105.40752</v>
      </c>
      <c r="E83" s="22" t="n">
        <f aca="false">E81+E80</f>
        <v>157.42613112</v>
      </c>
      <c r="F83" s="22" t="n">
        <f aca="false">F81+F80</f>
        <v>204.27977376</v>
      </c>
      <c r="G83" s="22" t="n">
        <f aca="false">G81+G80</f>
        <v>242.437296</v>
      </c>
      <c r="H83" s="24" t="n">
        <f aca="false">G83*(1+H84)</f>
        <v>277.476031996367</v>
      </c>
      <c r="I83" s="24" t="n">
        <f aca="false">H83*(1+I84)</f>
        <v>305.851702719408</v>
      </c>
      <c r="J83" s="24" t="n">
        <f aca="false">I83*(1+J84)</f>
        <v>324.202804882573</v>
      </c>
      <c r="K83" s="7" t="s">
        <v>626</v>
      </c>
    </row>
    <row r="84" customFormat="false" ht="15" hidden="false" customHeight="false" outlineLevel="0" collapsed="false">
      <c r="A84" s="3" t="s">
        <v>627</v>
      </c>
      <c r="B84" s="0" t="s">
        <v>55</v>
      </c>
      <c r="D84" s="14" t="n">
        <f aca="false">D83/C83-1</f>
        <v>0.756674888340778</v>
      </c>
      <c r="E84" s="14" t="n">
        <f aca="false">E83/D83-1</f>
        <v>0.4935</v>
      </c>
      <c r="F84" s="14" t="n">
        <f aca="false">F83/E83-1</f>
        <v>0.297623033143623</v>
      </c>
      <c r="G84" s="14" t="n">
        <f aca="false">G83/F83-1</f>
        <v>0.186790505675954</v>
      </c>
      <c r="H84" s="25" t="n">
        <f aca="false">$G84+(fade_gA-$G84)*1/3</f>
        <v>0.14452700378397</v>
      </c>
      <c r="I84" s="25" t="n">
        <f aca="false">$G84+(fade_gA-$G84)*2/3</f>
        <v>0.102263501891985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3" t="s">
        <v>628</v>
      </c>
      <c r="B85" s="0" t="s">
        <v>203</v>
      </c>
      <c r="D85" s="22" t="n">
        <f aca="false">D81*(D66+D68)/D69</f>
        <v>39.4735736470588</v>
      </c>
      <c r="E85" s="22" t="n">
        <f aca="false">E81*(E66+E68)/E69</f>
        <v>77.7155434594937</v>
      </c>
      <c r="F85" s="22" t="n">
        <f aca="false">F81*(F66+F68)/F69</f>
        <v>112.169743287364</v>
      </c>
      <c r="G85" s="22" t="n">
        <f aca="false">G81*(G66+G68)/G69</f>
        <v>139.570568617035</v>
      </c>
      <c r="K85" s="7" t="s">
        <v>629</v>
      </c>
    </row>
    <row r="86" customFormat="false" ht="17.15" hidden="false" customHeight="false" outlineLevel="0" collapsed="false">
      <c r="A86" s="3" t="s">
        <v>630</v>
      </c>
      <c r="B86" s="0" t="s">
        <v>203</v>
      </c>
      <c r="D86" s="22" t="n">
        <f aca="false">D81*D67/D69</f>
        <v>15.5305863529412</v>
      </c>
      <c r="E86" s="22" t="n">
        <f aca="false">E81*E67/E69</f>
        <v>26.7870596605063</v>
      </c>
      <c r="F86" s="22" t="n">
        <f aca="false">F81*F67/F69</f>
        <v>37.598796632636</v>
      </c>
      <c r="G86" s="22" t="n">
        <f aca="false">G81*G67/G69</f>
        <v>46.7201565277649</v>
      </c>
    </row>
    <row r="87" customFormat="false" ht="17.15" hidden="false" customHeight="false" outlineLevel="0" collapsed="false">
      <c r="A87" s="3" t="s">
        <v>631</v>
      </c>
      <c r="B87" s="0" t="s">
        <v>203</v>
      </c>
      <c r="D87" s="22" t="n">
        <f aca="false">srv26*D83-D85</f>
        <v>42.7442919529412</v>
      </c>
      <c r="E87" s="22" t="n">
        <f aca="false">E80*$D87/$D80</f>
        <v>44.8815065505883</v>
      </c>
      <c r="F87" s="22" t="n">
        <f aca="false">F80*$D87/$D80</f>
        <v>46.2279517471059</v>
      </c>
      <c r="G87" s="22" t="n">
        <f aca="false">G80*$D87/$D80</f>
        <v>47.6147902995191</v>
      </c>
      <c r="K87" s="7" t="s">
        <v>632</v>
      </c>
    </row>
    <row r="88" customFormat="false" ht="17.15" hidden="false" customHeight="false" outlineLevel="0" collapsed="false">
      <c r="A88" s="3" t="s">
        <v>633</v>
      </c>
      <c r="B88" s="0" t="s">
        <v>203</v>
      </c>
      <c r="D88" s="22" t="n">
        <f aca="false">net26*D83-D86</f>
        <v>0.28054164705882</v>
      </c>
      <c r="E88" s="22" t="n">
        <f aca="false">E80*$D88/$D80</f>
        <v>0.294568729411761</v>
      </c>
      <c r="F88" s="22" t="n">
        <f aca="false">F80*$D88/$D80</f>
        <v>0.303405791294114</v>
      </c>
      <c r="G88" s="22" t="n">
        <f aca="false">G80*$D88/$D80</f>
        <v>0.312507965032938</v>
      </c>
    </row>
    <row r="89" customFormat="false" ht="17.15" hidden="false" customHeight="false" outlineLevel="0" collapsed="false">
      <c r="A89" s="3" t="s">
        <v>634</v>
      </c>
      <c r="B89" s="0" t="s">
        <v>203</v>
      </c>
      <c r="C89" s="22" t="n">
        <f aca="false">srv25*C83</f>
        <v>48.0032</v>
      </c>
      <c r="D89" s="22" t="n">
        <f aca="false">D85+D87</f>
        <v>82.2178656</v>
      </c>
      <c r="E89" s="22" t="n">
        <f aca="false">E85+E87</f>
        <v>122.597050010082</v>
      </c>
      <c r="F89" s="22" t="n">
        <f aca="false">F85+F87</f>
        <v>158.39769503447</v>
      </c>
      <c r="G89" s="22" t="n">
        <f aca="false">G85+G87</f>
        <v>187.185358916554</v>
      </c>
      <c r="K89" s="3" t="s">
        <v>635</v>
      </c>
    </row>
    <row r="90" customFormat="false" ht="15" hidden="false" customHeight="false" outlineLevel="0" collapsed="false">
      <c r="A90" s="3" t="s">
        <v>636</v>
      </c>
      <c r="B90" s="0" t="s">
        <v>203</v>
      </c>
      <c r="C90" s="22" t="n">
        <f aca="false">net25*C83</f>
        <v>6.0004</v>
      </c>
      <c r="D90" s="22" t="n">
        <f aca="false">D86+D88</f>
        <v>15.811128</v>
      </c>
      <c r="E90" s="22" t="n">
        <f aca="false">E86+E88</f>
        <v>27.0816283899181</v>
      </c>
      <c r="F90" s="22" t="n">
        <f aca="false">F86+F88</f>
        <v>37.9022024239301</v>
      </c>
      <c r="G90" s="22" t="n">
        <f aca="false">G86+G88</f>
        <v>47.0326644927979</v>
      </c>
      <c r="K90" s="3" t="s">
        <v>637</v>
      </c>
    </row>
    <row r="91" customFormat="false" ht="15" hidden="false" customHeight="false" outlineLevel="0" collapsed="false">
      <c r="A91" s="3" t="s">
        <v>638</v>
      </c>
      <c r="B91" s="0" t="s">
        <v>203</v>
      </c>
      <c r="C91" s="22" t="n">
        <f aca="false">C83-C89-C90</f>
        <v>6.0004</v>
      </c>
      <c r="D91" s="22" t="n">
        <f aca="false">D83-D89-D90</f>
        <v>7.3785264</v>
      </c>
      <c r="E91" s="22" t="n">
        <f aca="false">E83-E89-E90</f>
        <v>7.74745272</v>
      </c>
      <c r="F91" s="22" t="n">
        <f aca="false">F83-F89-F90</f>
        <v>7.97987630160001</v>
      </c>
      <c r="G91" s="22" t="n">
        <f aca="false">G83-G89-G90</f>
        <v>8.219272590648</v>
      </c>
      <c r="K91" s="3" t="s">
        <v>639</v>
      </c>
    </row>
    <row r="92" customFormat="false" ht="17.15" hidden="false" customHeight="false" outlineLevel="0" collapsed="false">
      <c r="A92" s="3" t="s">
        <v>640</v>
      </c>
      <c r="B92" s="0" t="s">
        <v>203</v>
      </c>
      <c r="C92" s="28" t="n">
        <f aca="false">C89+C90+C91-C83</f>
        <v>0</v>
      </c>
      <c r="D92" s="28" t="n">
        <f aca="false">ROUND(D87+D88+D91-D80,9)</f>
        <v>0</v>
      </c>
      <c r="E92" s="28" t="n">
        <f aca="false">ROUND(E87+E88+E91-E80,9)</f>
        <v>0</v>
      </c>
      <c r="F92" s="28" t="n">
        <f aca="false">ROUND(F87+F88+F91-F80,9)</f>
        <v>0</v>
      </c>
      <c r="G92" s="28" t="n">
        <f aca="false">ROUND(G87+G88+G91-G80,9)</f>
        <v>0</v>
      </c>
    </row>
    <row r="93" customFormat="false" ht="17.15" hidden="false" customHeight="false" outlineLevel="0" collapsed="false">
      <c r="A93" s="0" t="s">
        <v>641</v>
      </c>
      <c r="B93" s="0" t="s">
        <v>55</v>
      </c>
      <c r="C93" s="14" t="n">
        <f aca="false">C81/C83</f>
        <v>0.3</v>
      </c>
      <c r="D93" s="14" t="n">
        <f aca="false">D81/D83</f>
        <v>0.521823869871903</v>
      </c>
      <c r="E93" s="14" t="n">
        <f aca="false">E81/E83</f>
        <v>0.663819928600936</v>
      </c>
      <c r="F93" s="14" t="n">
        <f aca="false">F81/F83</f>
        <v>0.733154032645234</v>
      </c>
      <c r="G93" s="14" t="n">
        <f aca="false">G81/G83</f>
        <v>0.768407865532373</v>
      </c>
    </row>
    <row r="94" customFormat="false" ht="17.15" hidden="false" customHeight="false" outlineLevel="0" collapsed="false">
      <c r="A94" s="3" t="s">
        <v>642</v>
      </c>
      <c r="B94" s="0" t="s">
        <v>55</v>
      </c>
      <c r="D94" s="14" t="n">
        <f aca="false">(D76+D80)/D79</f>
        <v>1</v>
      </c>
      <c r="E94" s="14" t="n">
        <f aca="false">(E76+E80)/E79</f>
        <v>1.36486372824542</v>
      </c>
      <c r="F94" s="14" t="n">
        <f aca="false">(F76+F80)/F79</f>
        <v>1.39582607539974</v>
      </c>
      <c r="G94" s="14" t="n">
        <f aca="false">(G76+G80)/G79</f>
        <v>1.3689433052541</v>
      </c>
      <c r="K94" s="3" t="s">
        <v>643</v>
      </c>
    </row>
    <row r="95" customFormat="false" ht="17.15" hidden="false" customHeight="false" outlineLevel="0" collapsed="false">
      <c r="A95" s="3" t="s">
        <v>569</v>
      </c>
      <c r="B95" s="0" t="s">
        <v>96</v>
      </c>
      <c r="D95" s="21" t="n">
        <f aca="false">D81/fx/D65*1000</f>
        <v>73.4578604462224</v>
      </c>
      <c r="E95" s="21" t="n">
        <f aca="false">E81/fx/E65*1000</f>
        <v>78.4144046416261</v>
      </c>
      <c r="F95" s="21" t="n">
        <f aca="false">F81/fx/F65*1000</f>
        <v>88.6546185256786</v>
      </c>
      <c r="G95" s="21" t="n">
        <f aca="false">G81/fx/G65*1000</f>
        <v>96.8028181690743</v>
      </c>
    </row>
    <row r="96" customFormat="false" ht="17.15" hidden="false" customHeight="false" outlineLevel="0" collapsed="false">
      <c r="A96" s="5" t="s">
        <v>644</v>
      </c>
    </row>
    <row r="97" customFormat="false" ht="17.15" hidden="false" customHeight="false" outlineLevel="0" collapsed="false">
      <c r="A97" s="3" t="s">
        <v>645</v>
      </c>
      <c r="B97" s="0" t="s">
        <v>55</v>
      </c>
      <c r="D97" s="14" t="n">
        <f aca="false">a26_gp/D83-d_ai*D93</f>
        <v>0.296655205435058</v>
      </c>
      <c r="K97" s="7" t="s">
        <v>646</v>
      </c>
    </row>
    <row r="98" customFormat="false" ht="17.15" hidden="false" customHeight="false" outlineLevel="0" collapsed="false">
      <c r="A98" s="0" t="s">
        <v>647</v>
      </c>
      <c r="B98" s="0" t="s">
        <v>55</v>
      </c>
      <c r="D98" s="14" t="n">
        <f aca="false">D97+d_ai</f>
        <v>0.396655205435058</v>
      </c>
      <c r="E98" s="14" t="n">
        <f aca="false">1-(1-$D$98)/E72+gmu_27_A</f>
        <v>0.434228354791319</v>
      </c>
      <c r="F98" s="14" t="n">
        <f aca="false">1-(1-$D$98)/F72+gmu_28_A</f>
        <v>0.438485495524567</v>
      </c>
      <c r="G98" s="14" t="n">
        <f aca="false">1-(1-$D$98)/G72+gmu_29_A</f>
        <v>0.431655205435058</v>
      </c>
      <c r="K98" s="7" t="s">
        <v>648</v>
      </c>
    </row>
    <row r="99" customFormat="false" ht="15" hidden="false" customHeight="false" outlineLevel="0" collapsed="false">
      <c r="A99" s="3" t="s">
        <v>503</v>
      </c>
      <c r="B99" s="0" t="s">
        <v>203</v>
      </c>
      <c r="C99" s="22" t="n">
        <f aca="false">a25_gp</f>
        <v>19.683</v>
      </c>
      <c r="D99" s="22" t="n">
        <f aca="false">a26_gp</f>
        <v>36.7701055</v>
      </c>
      <c r="E99" s="22" t="n">
        <f aca="false">E81*E98+E80*$D$97</f>
        <v>61.0780334953958</v>
      </c>
      <c r="F99" s="22" t="n">
        <f aca="false">F81*F98+F80*$D$97</f>
        <v>81.8423737141358</v>
      </c>
      <c r="G99" s="22" t="n">
        <f aca="false">G81*G98+G80*$D$97</f>
        <v>97.069533744548</v>
      </c>
    </row>
    <row r="100" customFormat="false" ht="15" hidden="false" customHeight="false" outlineLevel="0" collapsed="false">
      <c r="A100" s="3" t="s">
        <v>506</v>
      </c>
      <c r="B100" s="0" t="s">
        <v>55</v>
      </c>
      <c r="C100" s="14" t="n">
        <f aca="false">C99/C83</f>
        <v>0.328028131457903</v>
      </c>
      <c r="D100" s="14" t="n">
        <f aca="false">D99/D83</f>
        <v>0.348837592422248</v>
      </c>
      <c r="E100" s="14" t="n">
        <f aca="false">E99/E83</f>
        <v>0.387979003618137</v>
      </c>
      <c r="F100" s="14" t="n">
        <f aca="false">F99/F83</f>
        <v>0.400638654565425</v>
      </c>
      <c r="G100" s="14" t="n">
        <f aca="false">G99/G83</f>
        <v>0.400390267281929</v>
      </c>
    </row>
    <row r="101" customFormat="false" ht="15" hidden="false" customHeight="false" outlineLevel="0" collapsed="false">
      <c r="A101" s="3" t="s">
        <v>649</v>
      </c>
      <c r="B101" s="0" t="s">
        <v>203</v>
      </c>
      <c r="C101" s="22" t="n">
        <f aca="false">a25_opx</f>
        <v>5.64</v>
      </c>
      <c r="D101" s="22" t="n">
        <f aca="false">a26_opx</f>
        <v>8.4779754</v>
      </c>
      <c r="E101" s="22" t="n">
        <f aca="false">D101*(1+MAX(0,phi*E84))</f>
        <v>10.98830391594</v>
      </c>
      <c r="F101" s="22" t="n">
        <f aca="false">E101*(1+MAX(0,phi*F84))</f>
        <v>12.9505273202796</v>
      </c>
      <c r="G101" s="22" t="n">
        <f aca="false">F101*(1+MAX(0,phi*G84))</f>
        <v>14.4019486484348</v>
      </c>
    </row>
    <row r="102" customFormat="false" ht="15" hidden="false" customHeight="false" outlineLevel="0" collapsed="false">
      <c r="A102" s="3" t="s">
        <v>508</v>
      </c>
      <c r="B102" s="0" t="s">
        <v>203</v>
      </c>
      <c r="C102" s="22" t="n">
        <f aca="false">C101</f>
        <v>5.64</v>
      </c>
      <c r="D102" s="22" t="n">
        <f aca="false">D101</f>
        <v>8.4779754</v>
      </c>
      <c r="E102" s="22" t="n">
        <f aca="false">E101+0*E83</f>
        <v>10.98830391594</v>
      </c>
      <c r="F102" s="22" t="n">
        <f aca="false">F101+0*F83</f>
        <v>12.9505273202796</v>
      </c>
      <c r="G102" s="22" t="n">
        <f aca="false">G101+0*G83</f>
        <v>14.4019486484348</v>
      </c>
    </row>
    <row r="103" customFormat="false" ht="15" hidden="false" customHeight="false" outlineLevel="0" collapsed="false">
      <c r="A103" s="3" t="s">
        <v>650</v>
      </c>
      <c r="B103" s="0" t="s">
        <v>203</v>
      </c>
      <c r="C103" s="22" t="n">
        <f aca="false">C99-C102</f>
        <v>14.043</v>
      </c>
      <c r="D103" s="22" t="n">
        <f aca="false">D99-D102</f>
        <v>28.2921301</v>
      </c>
      <c r="E103" s="22" t="n">
        <f aca="false">E99-E102</f>
        <v>50.0897295794558</v>
      </c>
      <c r="F103" s="22" t="n">
        <f aca="false">F99-F102</f>
        <v>68.8918463938562</v>
      </c>
      <c r="G103" s="22" t="n">
        <f aca="false">G99-G102</f>
        <v>82.6675850961132</v>
      </c>
    </row>
    <row r="104" customFormat="false" ht="15" hidden="false" customHeight="false" outlineLevel="0" collapsed="false">
      <c r="A104" s="3" t="s">
        <v>514</v>
      </c>
      <c r="B104" s="0" t="s">
        <v>55</v>
      </c>
      <c r="C104" s="14" t="n">
        <f aca="false">C103/C83</f>
        <v>0.23403439770682</v>
      </c>
      <c r="D104" s="14" t="n">
        <f aca="false">D103/D83</f>
        <v>0.268407131673338</v>
      </c>
      <c r="E104" s="14" t="n">
        <f aca="false">E103/E83</f>
        <v>0.318179257935738</v>
      </c>
      <c r="F104" s="14" t="n">
        <f aca="false">F103/F83</f>
        <v>0.337242621361009</v>
      </c>
      <c r="G104" s="14" t="n">
        <f aca="false">G103/G83</f>
        <v>0.340985427820121</v>
      </c>
    </row>
    <row r="105" customFormat="false" ht="17.15" hidden="false" customHeight="false" outlineLevel="0" collapsed="false">
      <c r="A105" s="3" t="s">
        <v>515</v>
      </c>
      <c r="B105" s="0" t="s">
        <v>203</v>
      </c>
      <c r="E105" s="22" t="n">
        <f aca="false">nop_f</f>
        <v>0</v>
      </c>
      <c r="F105" s="22" t="n">
        <f aca="false">nop_f</f>
        <v>0</v>
      </c>
      <c r="G105" s="22" t="n">
        <f aca="false">nop_f</f>
        <v>0</v>
      </c>
      <c r="K105" s="7" t="s">
        <v>651</v>
      </c>
    </row>
    <row r="106" customFormat="false" ht="15" hidden="false" customHeight="false" outlineLevel="0" collapsed="false">
      <c r="A106" s="3" t="s">
        <v>520</v>
      </c>
      <c r="B106" s="0" t="s">
        <v>203</v>
      </c>
      <c r="C106" s="22" t="n">
        <f aca="false">a25_ni</f>
        <v>9.607</v>
      </c>
      <c r="D106" s="22" t="n">
        <f aca="false">a26_ni</f>
        <v>19.6977289395284</v>
      </c>
      <c r="E106" s="22" t="n">
        <f aca="false">(E103+E105)*nir_f</f>
        <v>34.3114647619272</v>
      </c>
      <c r="F106" s="22" t="n">
        <f aca="false">(F103+F105)*nir_f</f>
        <v>47.1909147797915</v>
      </c>
      <c r="G106" s="22" t="n">
        <f aca="false">(G103+G105)*nir_f</f>
        <v>56.6272957908376</v>
      </c>
      <c r="H106" s="24" t="n">
        <f aca="false">H83*H111</f>
        <v>64.8114691838759</v>
      </c>
      <c r="I106" s="24" t="n">
        <f aca="false">I83*I111</f>
        <v>71.4393169853835</v>
      </c>
      <c r="J106" s="24" t="n">
        <f aca="false">J83*J111</f>
        <v>75.7256760045065</v>
      </c>
    </row>
    <row r="107" customFormat="false" ht="17.15" hidden="false" customHeight="false" outlineLevel="0" collapsed="false">
      <c r="A107" s="3" t="s">
        <v>523</v>
      </c>
      <c r="B107" s="0" t="s">
        <v>55</v>
      </c>
      <c r="C107" s="14" t="n">
        <f aca="false">C106/C103</f>
        <v>0.684113081250445</v>
      </c>
      <c r="D107" s="14" t="n">
        <f aca="false">D106/D103</f>
        <v>0.696226437171953</v>
      </c>
      <c r="E107" s="14" t="n">
        <f aca="false">E106/E103</f>
        <v>0.685</v>
      </c>
      <c r="F107" s="14" t="n">
        <f aca="false">F106/F103</f>
        <v>0.685</v>
      </c>
      <c r="G107" s="14" t="n">
        <f aca="false">G106/G103</f>
        <v>0.685</v>
      </c>
    </row>
    <row r="108" customFormat="false" ht="17.15" hidden="false" customHeight="false" outlineLevel="0" collapsed="false">
      <c r="A108" s="3" t="s">
        <v>652</v>
      </c>
      <c r="B108" s="3" t="s">
        <v>233</v>
      </c>
      <c r="C108" s="27" t="n">
        <f aca="false">a25_sh</f>
        <v>0.493425783256292</v>
      </c>
      <c r="D108" s="27" t="n">
        <f aca="false">a26_sh</f>
        <v>0.512980850061958</v>
      </c>
      <c r="E108" s="27" t="n">
        <f aca="false">sh_h2*(1+sh_g)</f>
        <v>0.51889356</v>
      </c>
      <c r="F108" s="27" t="n">
        <f aca="false">E108*(1+sh_g)</f>
        <v>0.5240824956</v>
      </c>
      <c r="G108" s="27" t="n">
        <f aca="false">F108*(1+sh_g)</f>
        <v>0.529323320556</v>
      </c>
      <c r="H108" s="29" t="n">
        <f aca="false">G108*(1+sh_g)</f>
        <v>0.53461655376156</v>
      </c>
      <c r="I108" s="29" t="n">
        <f aca="false">H108*(1+sh_g)</f>
        <v>0.539962719299176</v>
      </c>
      <c r="J108" s="29" t="n">
        <f aca="false">I108*(1+sh_g)</f>
        <v>0.545362346492167</v>
      </c>
      <c r="K108" s="7" t="s">
        <v>653</v>
      </c>
    </row>
    <row r="109" customFormat="false" ht="15" hidden="false" customHeight="false" outlineLevel="0" collapsed="false">
      <c r="A109" s="0" t="s">
        <v>526</v>
      </c>
      <c r="B109" s="0" t="s">
        <v>271</v>
      </c>
      <c r="C109" s="23" t="n">
        <f aca="false">C106/C108</f>
        <v>19.47</v>
      </c>
      <c r="D109" s="23" t="n">
        <f aca="false">D106/D108</f>
        <v>38.3985658278458</v>
      </c>
      <c r="E109" s="23" t="n">
        <f aca="false">E106/E108</f>
        <v>66.1242832960332</v>
      </c>
      <c r="F109" s="23" t="n">
        <f aca="false">F106/F108</f>
        <v>90.0448215233073</v>
      </c>
      <c r="G109" s="23" t="n">
        <f aca="false">G106/G108</f>
        <v>106.980542121886</v>
      </c>
      <c r="H109" s="30" t="n">
        <f aca="false">H106/H108</f>
        <v>121.22982112668</v>
      </c>
      <c r="I109" s="30" t="n">
        <f aca="false">I106/I108</f>
        <v>132.304165513696</v>
      </c>
      <c r="J109" s="30" t="n">
        <f aca="false">J106/J108</f>
        <v>138.85387667774</v>
      </c>
    </row>
    <row r="110" customFormat="false" ht="17.15" hidden="false" customHeight="false" outlineLevel="0" collapsed="false">
      <c r="A110" s="0" t="s">
        <v>654</v>
      </c>
      <c r="B110" s="0" t="s">
        <v>55</v>
      </c>
      <c r="D110" s="14" t="n">
        <f aca="false">D109/C109-1</f>
        <v>0.9721913624985</v>
      </c>
      <c r="E110" s="14" t="n">
        <f aca="false">E109/D109-1</f>
        <v>0.722050859724592</v>
      </c>
      <c r="F110" s="14" t="n">
        <f aca="false">F109/E109-1</f>
        <v>0.361751190862572</v>
      </c>
      <c r="G110" s="14" t="n">
        <f aca="false">G109/F109-1</f>
        <v>0.188081005793262</v>
      </c>
      <c r="H110" s="25" t="n">
        <f aca="false">H109/G109-1</f>
        <v>0.133195053251455</v>
      </c>
      <c r="I110" s="25" t="n">
        <f aca="false">I109/H109-1</f>
        <v>0.0913500018732523</v>
      </c>
      <c r="J110" s="25" t="n">
        <f aca="false">J109/I109-1</f>
        <v>0.0495049504950496</v>
      </c>
    </row>
    <row r="111" customFormat="false" ht="17.15" hidden="false" customHeight="false" outlineLevel="0" collapsed="false">
      <c r="A111" s="3" t="s">
        <v>655</v>
      </c>
      <c r="B111" s="0" t="s">
        <v>55</v>
      </c>
      <c r="C111" s="14" t="n">
        <f aca="false">C106/C83</f>
        <v>0.160105992933804</v>
      </c>
      <c r="D111" s="14" t="n">
        <f aca="false">D106/D83</f>
        <v>0.186872140996471</v>
      </c>
      <c r="E111" s="14" t="n">
        <f aca="false">E106/E83</f>
        <v>0.21795279168598</v>
      </c>
      <c r="F111" s="14" t="n">
        <f aca="false">F106/F83</f>
        <v>0.231011195632291</v>
      </c>
      <c r="G111" s="14" t="n">
        <f aca="false">G106/G83</f>
        <v>0.233575018056783</v>
      </c>
      <c r="H111" s="25" t="n">
        <f aca="false">$G111+(fade_mA-$G111)*1/3</f>
        <v>0.233575018056783</v>
      </c>
      <c r="I111" s="25" t="n">
        <f aca="false">$G111+(fade_mA-$G111)*2/3</f>
        <v>0.233575018056783</v>
      </c>
      <c r="J111" s="25" t="n">
        <f aca="false">$G111+(fade_mA-$G111)*3/3</f>
        <v>0.233575018056783</v>
      </c>
    </row>
    <row r="114" customFormat="false" ht="17.15" hidden="false" customHeight="false" outlineLevel="0" collapsed="false">
      <c r="A114" s="1" t="s">
        <v>656</v>
      </c>
    </row>
    <row r="115" customFormat="false" ht="17.15" hidden="false" customHeight="false" outlineLevel="0" collapsed="false">
      <c r="A115" s="4" t="s">
        <v>24</v>
      </c>
      <c r="B115" s="4" t="s">
        <v>25</v>
      </c>
      <c r="C115" s="15" t="s">
        <v>494</v>
      </c>
      <c r="D115" s="15" t="s">
        <v>583</v>
      </c>
      <c r="E115" s="15" t="s">
        <v>584</v>
      </c>
      <c r="F115" s="15" t="s">
        <v>585</v>
      </c>
      <c r="G115" s="15" t="s">
        <v>586</v>
      </c>
      <c r="H115" s="15" t="s">
        <v>587</v>
      </c>
      <c r="I115" s="15" t="s">
        <v>588</v>
      </c>
      <c r="J115" s="15" t="s">
        <v>589</v>
      </c>
      <c r="K115" s="4" t="s">
        <v>458</v>
      </c>
    </row>
    <row r="116" customFormat="false" ht="17.15" hidden="false" customHeight="false" outlineLevel="0" collapsed="false">
      <c r="A116" s="5" t="s">
        <v>605</v>
      </c>
    </row>
    <row r="117" customFormat="false" ht="17.15" hidden="false" customHeight="false" outlineLevel="0" collapsed="false">
      <c r="A117" s="0" t="s">
        <v>606</v>
      </c>
      <c r="B117" s="0" t="s">
        <v>35</v>
      </c>
      <c r="D117" s="23" t="n">
        <f aca="false">itc_26*1</f>
        <v>781.872916666666</v>
      </c>
      <c r="E117" s="23" t="n">
        <f aca="false">itc_27*1*1</f>
        <v>1565.35</v>
      </c>
      <c r="F117" s="23" t="n">
        <f aca="false">itc_28*um28_B*1</f>
        <v>1587.41111111111</v>
      </c>
      <c r="G117" s="23" t="n">
        <f aca="false">itc_29*um29_B*1</f>
        <v>1921.33173611111</v>
      </c>
    </row>
    <row r="118" customFormat="false" ht="17.15" hidden="false" customHeight="false" outlineLevel="0" collapsed="false">
      <c r="A118" s="3" t="s">
        <v>607</v>
      </c>
      <c r="B118" s="0" t="s">
        <v>35</v>
      </c>
      <c r="D118" s="23" t="n">
        <f aca="false">itpg_gb*(1-vr26)+itpg_vr*vr26</f>
        <v>33.41403216</v>
      </c>
      <c r="E118" s="23" t="n">
        <f aca="false">itpg_vr</f>
        <v>37.586352</v>
      </c>
      <c r="F118" s="23" t="n">
        <f aca="false">itpg_vr</f>
        <v>37.586352</v>
      </c>
      <c r="G118" s="23" t="n">
        <f aca="false">itpg_vr</f>
        <v>37.586352</v>
      </c>
    </row>
    <row r="119" customFormat="false" ht="17.15" hidden="false" customHeight="false" outlineLevel="0" collapsed="false">
      <c r="A119" s="3" t="s">
        <v>608</v>
      </c>
      <c r="B119" s="0" t="s">
        <v>549</v>
      </c>
      <c r="D119" s="20" t="n">
        <f aca="false">D117/D118</f>
        <v>23.3995380420639</v>
      </c>
      <c r="E119" s="20" t="n">
        <f aca="false">E117/E118</f>
        <v>41.6467658260637</v>
      </c>
      <c r="F119" s="20" t="n">
        <f aca="false">F117/F118</f>
        <v>42.2337105529984</v>
      </c>
      <c r="G119" s="20" t="n">
        <f aca="false">G117/G118</f>
        <v>51.1178029756948</v>
      </c>
    </row>
    <row r="120" customFormat="false" ht="17.15" hidden="false" customHeight="false" outlineLevel="0" collapsed="false">
      <c r="A120" s="3" t="s">
        <v>553</v>
      </c>
      <c r="B120" s="0" t="s">
        <v>96</v>
      </c>
      <c r="D120" s="21" t="n">
        <f aca="false">vg_cmp26</f>
        <v>280</v>
      </c>
      <c r="E120" s="21" t="n">
        <f aca="false">(vg_cmp26+(vg_cmp27-vg_cmp26)*pgwf)</f>
        <v>420</v>
      </c>
      <c r="F120" s="21" t="n">
        <f aca="false">(vg_cmp26+(vg_cmp28-vg_cmp26)*pgwf)</f>
        <v>462</v>
      </c>
      <c r="G120" s="21" t="n">
        <f aca="false">(vg_cmp26+(vg_cmp29-vg_cmp26)*pgwf)</f>
        <v>504</v>
      </c>
    </row>
    <row r="121" customFormat="false" ht="17.15" hidden="false" customHeight="false" outlineLevel="0" collapsed="false">
      <c r="A121" s="3" t="s">
        <v>555</v>
      </c>
      <c r="B121" s="0" t="s">
        <v>96</v>
      </c>
      <c r="D121" s="21" t="n">
        <f aca="false">vg_sw26</f>
        <v>120</v>
      </c>
      <c r="E121" s="21" t="n">
        <f aca="false">(vg_sw26+(vg_sw27-vg_sw26)*pgwf)</f>
        <v>162</v>
      </c>
      <c r="F121" s="21" t="n">
        <f aca="false">(vg_sw26+(vg_sw28-vg_sw26)*pgwf)</f>
        <v>180</v>
      </c>
      <c r="G121" s="21" t="n">
        <f aca="false">(vg_sw26+(vg_sw29-vg_sw26)*pgwf)</f>
        <v>198</v>
      </c>
    </row>
    <row r="122" customFormat="false" ht="17.15" hidden="false" customHeight="false" outlineLevel="0" collapsed="false">
      <c r="A122" s="3" t="s">
        <v>609</v>
      </c>
      <c r="B122" s="0" t="s">
        <v>96</v>
      </c>
      <c r="D122" s="21" t="n">
        <f aca="false">vg_mid26*w_mid</f>
        <v>25</v>
      </c>
      <c r="E122" s="21" t="n">
        <f aca="false">(vg_mid26+(vg_mid27-vg_mid26)*pgwf)*w_mid</f>
        <v>50</v>
      </c>
      <c r="F122" s="21" t="n">
        <f aca="false">(vg_mid26+(vg_mid28-vg_mid26)*pgwf)*w_mid</f>
        <v>75</v>
      </c>
      <c r="G122" s="21" t="n">
        <f aca="false">(vg_mid26+(vg_mid29-vg_mid26)*pgwf)*w_mid</f>
        <v>87.5</v>
      </c>
    </row>
    <row r="123" customFormat="false" ht="17.15" hidden="false" customHeight="false" outlineLevel="0" collapsed="false">
      <c r="A123" s="3" t="s">
        <v>610</v>
      </c>
      <c r="B123" s="0" t="s">
        <v>96</v>
      </c>
      <c r="D123" s="21" t="n">
        <f aca="false">D120+D121+D122</f>
        <v>425</v>
      </c>
      <c r="E123" s="21" t="n">
        <f aca="false">E120+E121+E122</f>
        <v>632</v>
      </c>
      <c r="F123" s="21" t="n">
        <f aca="false">F120+F121+F122</f>
        <v>717</v>
      </c>
      <c r="G123" s="21" t="n">
        <f aca="false">G120+G121+G122</f>
        <v>789.5</v>
      </c>
    </row>
    <row r="124" customFormat="false" ht="17.15" hidden="false" customHeight="false" outlineLevel="0" collapsed="false">
      <c r="A124" s="3" t="s">
        <v>611</v>
      </c>
      <c r="B124" s="0" t="s">
        <v>35</v>
      </c>
      <c r="D124" s="23" t="n">
        <f aca="false">D119*D123/1000</f>
        <v>9.94480366787715</v>
      </c>
      <c r="E124" s="23" t="n">
        <f aca="false">E119*E123/1000</f>
        <v>26.3207560020722</v>
      </c>
      <c r="F124" s="23" t="n">
        <f aca="false">F119*F123/1000</f>
        <v>30.2815704664998</v>
      </c>
      <c r="G124" s="23" t="n">
        <f aca="false">G119*G123/1000</f>
        <v>40.3575054493111</v>
      </c>
    </row>
    <row r="125" customFormat="false" ht="17.15" hidden="false" customHeight="false" outlineLevel="0" collapsed="false">
      <c r="A125" s="3" t="s">
        <v>612</v>
      </c>
      <c r="B125" s="0" t="s">
        <v>203</v>
      </c>
      <c r="D125" s="22" t="n">
        <f aca="false">D124*fx</f>
        <v>318.233717372069</v>
      </c>
      <c r="E125" s="22" t="n">
        <f aca="false">E124*fx</f>
        <v>842.264192066312</v>
      </c>
      <c r="F125" s="22" t="n">
        <f aca="false">F124*fx</f>
        <v>969.010254927995</v>
      </c>
      <c r="G125" s="22" t="n">
        <f aca="false">G124*fx</f>
        <v>1291.44017437795</v>
      </c>
    </row>
    <row r="126" customFormat="false" ht="17.15" hidden="false" customHeight="false" outlineLevel="0" collapsed="false">
      <c r="A126" s="0" t="s">
        <v>613</v>
      </c>
      <c r="B126" s="0" t="s">
        <v>69</v>
      </c>
      <c r="D126" s="18" t="n">
        <f aca="false">1</f>
        <v>1</v>
      </c>
      <c r="E126" s="18" t="n">
        <f aca="false">pp_27</f>
        <v>1</v>
      </c>
      <c r="F126" s="18" t="n">
        <f aca="false">pp_28</f>
        <v>0.97</v>
      </c>
      <c r="G126" s="18" t="n">
        <f aca="false">pp_29</f>
        <v>0.94</v>
      </c>
    </row>
    <row r="127" customFormat="false" ht="17.15" hidden="false" customHeight="false" outlineLevel="0" collapsed="false">
      <c r="A127" s="3" t="s">
        <v>614</v>
      </c>
      <c r="B127" s="0" t="s">
        <v>55</v>
      </c>
      <c r="D127" s="14" t="n">
        <f aca="false">a26_ai/D125</f>
        <v>0.172842024579347</v>
      </c>
      <c r="K127" s="7" t="s">
        <v>615</v>
      </c>
    </row>
    <row r="128" customFormat="false" ht="17.15" hidden="false" customHeight="false" outlineLevel="0" collapsed="false">
      <c r="A128" s="3" t="s">
        <v>616</v>
      </c>
      <c r="B128" s="0" t="s">
        <v>69</v>
      </c>
      <c r="D128" s="18" t="n">
        <f aca="false">1</f>
        <v>1</v>
      </c>
      <c r="E128" s="18" t="n">
        <f aca="false">rel_27</f>
        <v>1</v>
      </c>
      <c r="F128" s="18" t="n">
        <f aca="false">rel_28</f>
        <v>0.95</v>
      </c>
      <c r="G128" s="18" t="n">
        <f aca="false">rel_29</f>
        <v>0.9</v>
      </c>
    </row>
    <row r="129" customFormat="false" ht="15" hidden="false" customHeight="false" outlineLevel="0" collapsed="false">
      <c r="A129" s="3" t="s">
        <v>565</v>
      </c>
      <c r="B129" s="0" t="s">
        <v>55</v>
      </c>
      <c r="D129" s="14" t="n">
        <f aca="false">$D$127*D128</f>
        <v>0.172842024579347</v>
      </c>
      <c r="E129" s="14" t="n">
        <f aca="false">$D$127*E128</f>
        <v>0.172842024579347</v>
      </c>
      <c r="F129" s="14" t="n">
        <f aca="false">$D$127*F128</f>
        <v>0.164199923350379</v>
      </c>
      <c r="G129" s="14" t="n">
        <f aca="false">$D$127*G128</f>
        <v>0.155557822121412</v>
      </c>
    </row>
    <row r="130" customFormat="false" ht="17.15" hidden="false" customHeight="false" outlineLevel="0" collapsed="false">
      <c r="A130" s="0" t="s">
        <v>617</v>
      </c>
      <c r="B130" s="0" t="s">
        <v>203</v>
      </c>
      <c r="D130" s="22" t="n">
        <f aca="false">D125*D129*D126</f>
        <v>55.00416</v>
      </c>
      <c r="E130" s="22" t="n">
        <f aca="false">E125*E129*E126</f>
        <v>145.578648187429</v>
      </c>
      <c r="F130" s="22" t="n">
        <f aca="false">F125*F129*F126</f>
        <v>154.338067297361</v>
      </c>
      <c r="G130" s="22" t="n">
        <f aca="false">G125*G129*G126</f>
        <v>188.840003670751</v>
      </c>
    </row>
    <row r="131" customFormat="false" ht="17.15" hidden="false" customHeight="false" outlineLevel="0" collapsed="false">
      <c r="A131" s="5" t="s">
        <v>618</v>
      </c>
    </row>
    <row r="132" customFormat="false" ht="17.15" hidden="false" customHeight="false" outlineLevel="0" collapsed="false">
      <c r="A132" s="3" t="s">
        <v>619</v>
      </c>
      <c r="B132" s="0" t="s">
        <v>69</v>
      </c>
      <c r="D132" s="18" t="n">
        <f aca="false">1</f>
        <v>1</v>
      </c>
      <c r="E132" s="18" t="n">
        <f aca="false">cx_27</f>
        <v>1.45</v>
      </c>
      <c r="F132" s="18" t="n">
        <f aca="false">cx_28</f>
        <v>1.9</v>
      </c>
      <c r="G132" s="18" t="n">
        <f aca="false">cx_29</f>
        <v>2.3</v>
      </c>
      <c r="K132" s="7" t="s">
        <v>620</v>
      </c>
    </row>
    <row r="133" customFormat="false" ht="17.15" hidden="false" customHeight="false" outlineLevel="0" collapsed="false">
      <c r="A133" s="3" t="s">
        <v>621</v>
      </c>
      <c r="B133" s="0" t="s">
        <v>203</v>
      </c>
      <c r="D133" s="22" t="n">
        <f aca="false">a26_rev*D132*D126</f>
        <v>105.40752</v>
      </c>
      <c r="E133" s="22" t="n">
        <f aca="false">a26_rev*E132*E126</f>
        <v>152.840904</v>
      </c>
      <c r="F133" s="22" t="n">
        <f aca="false">a26_rev*F132*F126</f>
        <v>194.26605936</v>
      </c>
      <c r="G133" s="22" t="n">
        <f aca="false">a26_rev*G132*G126</f>
        <v>227.89105824</v>
      </c>
    </row>
    <row r="134" customFormat="false" ht="17.15" hidden="false" customHeight="false" outlineLevel="0" collapsed="false">
      <c r="A134" s="3" t="s">
        <v>622</v>
      </c>
      <c r="B134" s="0" t="s">
        <v>203</v>
      </c>
      <c r="C134" s="22" t="n">
        <f aca="false">a25_nai</f>
        <v>42.0028</v>
      </c>
      <c r="D134" s="22" t="n">
        <f aca="false">a26_nai</f>
        <v>50.40336</v>
      </c>
      <c r="E134" s="22" t="n">
        <f aca="false">D134*(1+g_nai27)</f>
        <v>52.923528</v>
      </c>
      <c r="F134" s="22" t="n">
        <f aca="false">E134*(1+g_nai28)</f>
        <v>54.51123384</v>
      </c>
      <c r="G134" s="22" t="n">
        <f aca="false">F134*(1+g_nai29)</f>
        <v>56.1465708552</v>
      </c>
    </row>
    <row r="135" customFormat="false" ht="17.15" hidden="false" customHeight="false" outlineLevel="0" collapsed="false">
      <c r="A135" s="0" t="s">
        <v>623</v>
      </c>
      <c r="B135" s="0" t="s">
        <v>203</v>
      </c>
      <c r="C135" s="22" t="n">
        <f aca="false">a25_ai</f>
        <v>18.0012</v>
      </c>
      <c r="D135" s="22" t="n">
        <f aca="false">D130</f>
        <v>55.00416</v>
      </c>
      <c r="E135" s="22" t="n">
        <f aca="false">MIN(E130,E133-E134)</f>
        <v>99.917376</v>
      </c>
      <c r="F135" s="22" t="n">
        <f aca="false">MIN(F130,F133-F134)</f>
        <v>139.75482552</v>
      </c>
      <c r="G135" s="22" t="n">
        <f aca="false">MIN(G130,G133-G134)</f>
        <v>171.7444873848</v>
      </c>
      <c r="K135" s="3" t="s">
        <v>624</v>
      </c>
    </row>
    <row r="136" customFormat="false" ht="15" hidden="false" customHeight="false" outlineLevel="0" collapsed="false">
      <c r="A136" s="3" t="s">
        <v>625</v>
      </c>
      <c r="E136" s="0" t="str">
        <f aca="false">IF(E130&gt;E133-E134+0.0001,"受限","未受限")</f>
        <v>受限</v>
      </c>
      <c r="F136" s="0" t="str">
        <f aca="false">IF(F130&gt;F133-F134+0.0001,"受限","未受限")</f>
        <v>受限</v>
      </c>
      <c r="G136" s="0" t="str">
        <f aca="false">IF(G130&gt;G133-G134+0.0001,"受限","未受限")</f>
        <v>受限</v>
      </c>
    </row>
    <row r="137" customFormat="false" ht="17.15" hidden="false" customHeight="false" outlineLevel="0" collapsed="false">
      <c r="A137" s="3" t="s">
        <v>499</v>
      </c>
      <c r="B137" s="0" t="s">
        <v>203</v>
      </c>
      <c r="C137" s="22" t="n">
        <f aca="false">C135+C134</f>
        <v>60.004</v>
      </c>
      <c r="D137" s="22" t="n">
        <f aca="false">D135+D134</f>
        <v>105.40752</v>
      </c>
      <c r="E137" s="22" t="n">
        <f aca="false">E135+E134</f>
        <v>152.840904</v>
      </c>
      <c r="F137" s="22" t="n">
        <f aca="false">F135+F134</f>
        <v>194.26605936</v>
      </c>
      <c r="G137" s="22" t="n">
        <f aca="false">G135+G134</f>
        <v>227.89105824</v>
      </c>
      <c r="H137" s="24" t="n">
        <f aca="false">G137*(1+H138)</f>
        <v>257.226313072804</v>
      </c>
      <c r="I137" s="24" t="n">
        <f aca="false">H137*(1+I138)</f>
        <v>278.92655569709</v>
      </c>
      <c r="J137" s="24" t="n">
        <f aca="false">I137*(1+J138)</f>
        <v>290.083617924974</v>
      </c>
      <c r="K137" s="7" t="s">
        <v>626</v>
      </c>
    </row>
    <row r="138" customFormat="false" ht="15" hidden="false" customHeight="false" outlineLevel="0" collapsed="false">
      <c r="A138" s="3" t="s">
        <v>627</v>
      </c>
      <c r="B138" s="0" t="s">
        <v>55</v>
      </c>
      <c r="D138" s="14" t="n">
        <f aca="false">D137/C137-1</f>
        <v>0.756674888340778</v>
      </c>
      <c r="E138" s="14" t="n">
        <f aca="false">E137/D137-1</f>
        <v>0.45</v>
      </c>
      <c r="F138" s="14" t="n">
        <f aca="false">F137/E137-1</f>
        <v>0.271034482758621</v>
      </c>
      <c r="G138" s="14" t="n">
        <f aca="false">G137/F137-1</f>
        <v>0.173087357569181</v>
      </c>
      <c r="H138" s="25" t="n">
        <f aca="false">$G138+(fade_gB-$G138)*1/3</f>
        <v>0.12872490504612</v>
      </c>
      <c r="I138" s="25" t="n">
        <f aca="false">$G138+(fade_gB-$G138)*2/3</f>
        <v>0.0843624525230602</v>
      </c>
      <c r="J138" s="25" t="n">
        <f aca="false">$G138+(fade_gB-$G138)*3/3</f>
        <v>0.04</v>
      </c>
    </row>
    <row r="139" customFormat="false" ht="17.15" hidden="false" customHeight="false" outlineLevel="0" collapsed="false">
      <c r="A139" s="3" t="s">
        <v>628</v>
      </c>
      <c r="B139" s="0" t="s">
        <v>203</v>
      </c>
      <c r="D139" s="22" t="n">
        <f aca="false">D135*(D120+D122)/D123</f>
        <v>39.4735736470588</v>
      </c>
      <c r="E139" s="22" t="n">
        <f aca="false">E135*(E120+E122)/E123</f>
        <v>74.3056435443038</v>
      </c>
      <c r="F139" s="22" t="n">
        <f aca="false">F135*(F120+F122)/F123</f>
        <v>104.669932084017</v>
      </c>
      <c r="G139" s="22" t="n">
        <f aca="false">G135*(G120+G122)/G123</f>
        <v>128.672405684749</v>
      </c>
      <c r="K139" s="7" t="s">
        <v>629</v>
      </c>
    </row>
    <row r="140" customFormat="false" ht="17.15" hidden="false" customHeight="false" outlineLevel="0" collapsed="false">
      <c r="A140" s="3" t="s">
        <v>630</v>
      </c>
      <c r="B140" s="0" t="s">
        <v>203</v>
      </c>
      <c r="D140" s="22" t="n">
        <f aca="false">D135*D121/D123</f>
        <v>15.5305863529412</v>
      </c>
      <c r="E140" s="22" t="n">
        <f aca="false">E135*E121/E123</f>
        <v>25.6117324556962</v>
      </c>
      <c r="F140" s="22" t="n">
        <f aca="false">F135*F121/F123</f>
        <v>35.0848934359833</v>
      </c>
      <c r="G140" s="22" t="n">
        <f aca="false">G135*G121/G123</f>
        <v>43.0720817000512</v>
      </c>
    </row>
    <row r="141" customFormat="false" ht="17.15" hidden="false" customHeight="false" outlineLevel="0" collapsed="false">
      <c r="A141" s="3" t="s">
        <v>631</v>
      </c>
      <c r="B141" s="0" t="s">
        <v>203</v>
      </c>
      <c r="D141" s="22" t="n">
        <f aca="false">srv26*D137-D139</f>
        <v>42.7442919529412</v>
      </c>
      <c r="E141" s="22" t="n">
        <f aca="false">E134*$D141/$D134</f>
        <v>44.8815065505883</v>
      </c>
      <c r="F141" s="22" t="n">
        <f aca="false">F134*$D141/$D134</f>
        <v>46.2279517471059</v>
      </c>
      <c r="G141" s="22" t="n">
        <f aca="false">G134*$D141/$D134</f>
        <v>47.6147902995191</v>
      </c>
      <c r="K141" s="7" t="s">
        <v>632</v>
      </c>
    </row>
    <row r="142" customFormat="false" ht="17.15" hidden="false" customHeight="false" outlineLevel="0" collapsed="false">
      <c r="A142" s="3" t="s">
        <v>633</v>
      </c>
      <c r="B142" s="0" t="s">
        <v>203</v>
      </c>
      <c r="D142" s="22" t="n">
        <f aca="false">net26*D137-D140</f>
        <v>0.28054164705882</v>
      </c>
      <c r="E142" s="22" t="n">
        <f aca="false">E134*$D142/$D134</f>
        <v>0.294568729411761</v>
      </c>
      <c r="F142" s="22" t="n">
        <f aca="false">F134*$D142/$D134</f>
        <v>0.303405791294114</v>
      </c>
      <c r="G142" s="22" t="n">
        <f aca="false">G134*$D142/$D134</f>
        <v>0.312507965032938</v>
      </c>
    </row>
    <row r="143" customFormat="false" ht="17.15" hidden="false" customHeight="false" outlineLevel="0" collapsed="false">
      <c r="A143" s="3" t="s">
        <v>634</v>
      </c>
      <c r="B143" s="0" t="s">
        <v>203</v>
      </c>
      <c r="C143" s="22" t="n">
        <f aca="false">srv25*C137</f>
        <v>48.0032</v>
      </c>
      <c r="D143" s="22" t="n">
        <f aca="false">D139+D141</f>
        <v>82.2178656</v>
      </c>
      <c r="E143" s="22" t="n">
        <f aca="false">E139+E141</f>
        <v>119.187150094892</v>
      </c>
      <c r="F143" s="22" t="n">
        <f aca="false">F139+F141</f>
        <v>150.897883831123</v>
      </c>
      <c r="G143" s="22" t="n">
        <f aca="false">G139+G141</f>
        <v>176.287195984268</v>
      </c>
      <c r="K143" s="3" t="s">
        <v>635</v>
      </c>
    </row>
    <row r="144" customFormat="false" ht="15" hidden="false" customHeight="false" outlineLevel="0" collapsed="false">
      <c r="A144" s="3" t="s">
        <v>636</v>
      </c>
      <c r="B144" s="0" t="s">
        <v>203</v>
      </c>
      <c r="C144" s="22" t="n">
        <f aca="false">net25*C137</f>
        <v>6.0004</v>
      </c>
      <c r="D144" s="22" t="n">
        <f aca="false">D140+D142</f>
        <v>15.811128</v>
      </c>
      <c r="E144" s="22" t="n">
        <f aca="false">E140+E142</f>
        <v>25.906301185108</v>
      </c>
      <c r="F144" s="22" t="n">
        <f aca="false">F140+F142</f>
        <v>35.3882992272774</v>
      </c>
      <c r="G144" s="22" t="n">
        <f aca="false">G140+G142</f>
        <v>43.3845896650841</v>
      </c>
      <c r="K144" s="3" t="s">
        <v>637</v>
      </c>
    </row>
    <row r="145" customFormat="false" ht="15" hidden="false" customHeight="false" outlineLevel="0" collapsed="false">
      <c r="A145" s="3" t="s">
        <v>638</v>
      </c>
      <c r="B145" s="0" t="s">
        <v>203</v>
      </c>
      <c r="C145" s="22" t="n">
        <f aca="false">C137-C143-C144</f>
        <v>6.0004</v>
      </c>
      <c r="D145" s="22" t="n">
        <f aca="false">D137-D143-D144</f>
        <v>7.3785264</v>
      </c>
      <c r="E145" s="22" t="n">
        <f aca="false">E137-E143-E144</f>
        <v>7.74745271999998</v>
      </c>
      <c r="F145" s="22" t="n">
        <f aca="false">F137-F143-F144</f>
        <v>7.9798763016</v>
      </c>
      <c r="G145" s="22" t="n">
        <f aca="false">G137-G143-G144</f>
        <v>8.21927259064798</v>
      </c>
      <c r="K145" s="3" t="s">
        <v>639</v>
      </c>
    </row>
    <row r="146" customFormat="false" ht="17.15" hidden="false" customHeight="false" outlineLevel="0" collapsed="false">
      <c r="A146" s="3" t="s">
        <v>640</v>
      </c>
      <c r="B146" s="0" t="s">
        <v>203</v>
      </c>
      <c r="C146" s="28" t="n">
        <f aca="false">C143+C144+C145-C137</f>
        <v>0</v>
      </c>
      <c r="D146" s="28" t="n">
        <f aca="false">ROUND(D141+D142+D145-D134,9)</f>
        <v>0</v>
      </c>
      <c r="E146" s="28" t="n">
        <f aca="false">ROUND(E141+E142+E145-E134,9)</f>
        <v>0</v>
      </c>
      <c r="F146" s="28" t="n">
        <f aca="false">ROUND(F141+F142+F145-F134,9)</f>
        <v>0</v>
      </c>
      <c r="G146" s="28" t="n">
        <f aca="false">ROUND(G141+G142+G145-G134,9)</f>
        <v>0</v>
      </c>
    </row>
    <row r="147" customFormat="false" ht="17.15" hidden="false" customHeight="false" outlineLevel="0" collapsed="false">
      <c r="A147" s="0" t="s">
        <v>641</v>
      </c>
      <c r="B147" s="0" t="s">
        <v>55</v>
      </c>
      <c r="C147" s="14" t="n">
        <f aca="false">C135/C137</f>
        <v>0.3</v>
      </c>
      <c r="D147" s="14" t="n">
        <f aca="false">D135/D137</f>
        <v>0.521823869871903</v>
      </c>
      <c r="E147" s="14" t="n">
        <f aca="false">E135/E137</f>
        <v>0.653734526458964</v>
      </c>
      <c r="F147" s="14" t="n">
        <f aca="false">F135/F137</f>
        <v>0.71939908587437</v>
      </c>
      <c r="G147" s="14" t="n">
        <f aca="false">G135/G137</f>
        <v>0.753625388864226</v>
      </c>
    </row>
    <row r="148" customFormat="false" ht="17.15" hidden="false" customHeight="false" outlineLevel="0" collapsed="false">
      <c r="A148" s="3" t="s">
        <v>642</v>
      </c>
      <c r="B148" s="0" t="s">
        <v>55</v>
      </c>
      <c r="D148" s="14" t="n">
        <f aca="false">(D130+D134)/D133</f>
        <v>1</v>
      </c>
      <c r="E148" s="14" t="n">
        <f aca="false">(E130+E134)/E133</f>
        <v>1.29875034099137</v>
      </c>
      <c r="F148" s="14" t="n">
        <f aca="false">(F130+F134)/F133</f>
        <v>1.07506839756468</v>
      </c>
      <c r="G148" s="14" t="n">
        <f aca="false">(G130+G134)/G133</f>
        <v>1.07501617842306</v>
      </c>
      <c r="K148" s="3" t="s">
        <v>643</v>
      </c>
    </row>
    <row r="149" customFormat="false" ht="17.15" hidden="false" customHeight="false" outlineLevel="0" collapsed="false">
      <c r="A149" s="3" t="s">
        <v>569</v>
      </c>
      <c r="B149" s="0" t="s">
        <v>96</v>
      </c>
      <c r="D149" s="21" t="n">
        <f aca="false">D135/fx/D119*1000</f>
        <v>73.4578604462224</v>
      </c>
      <c r="E149" s="21" t="n">
        <f aca="false">E135/fx/E119*1000</f>
        <v>74.9738410190283</v>
      </c>
      <c r="F149" s="21" t="n">
        <f aca="false">F135/fx/F119*1000</f>
        <v>103.408822959553</v>
      </c>
      <c r="G149" s="21" t="n">
        <f aca="false">G135/fx/G119*1000</f>
        <v>104.993073222002</v>
      </c>
    </row>
    <row r="150" customFormat="false" ht="17.15" hidden="false" customHeight="false" outlineLevel="0" collapsed="false">
      <c r="A150" s="5" t="s">
        <v>644</v>
      </c>
    </row>
    <row r="151" customFormat="false" ht="17.15" hidden="false" customHeight="false" outlineLevel="0" collapsed="false">
      <c r="A151" s="3" t="s">
        <v>645</v>
      </c>
      <c r="B151" s="0" t="s">
        <v>55</v>
      </c>
      <c r="D151" s="14" t="n">
        <f aca="false">a26_gp/D137-d_ai*D147</f>
        <v>0.296655205435058</v>
      </c>
      <c r="K151" s="7" t="s">
        <v>646</v>
      </c>
    </row>
    <row r="152" customFormat="false" ht="17.15" hidden="false" customHeight="false" outlineLevel="0" collapsed="false">
      <c r="A152" s="0" t="s">
        <v>647</v>
      </c>
      <c r="B152" s="0" t="s">
        <v>55</v>
      </c>
      <c r="D152" s="14" t="n">
        <f aca="false">D151+d_ai</f>
        <v>0.396655205435058</v>
      </c>
      <c r="E152" s="14" t="n">
        <f aca="false">1-(1-$D$152)/E126+gmu_27</f>
        <v>0.406655205435058</v>
      </c>
      <c r="F152" s="14" t="n">
        <f aca="false">1-(1-$D$152)/F126+gmu_28</f>
        <v>0.392995057149545</v>
      </c>
      <c r="G152" s="14" t="n">
        <f aca="false">1-(1-$D$152)/G126+gmu_29</f>
        <v>0.378143835569211</v>
      </c>
      <c r="K152" s="7" t="s">
        <v>648</v>
      </c>
    </row>
    <row r="153" customFormat="false" ht="15" hidden="false" customHeight="false" outlineLevel="0" collapsed="false">
      <c r="A153" s="3" t="s">
        <v>503</v>
      </c>
      <c r="B153" s="0" t="s">
        <v>203</v>
      </c>
      <c r="C153" s="22" t="n">
        <f aca="false">a25_gp</f>
        <v>19.683</v>
      </c>
      <c r="D153" s="22" t="n">
        <f aca="false">a26_gp</f>
        <v>36.7701055</v>
      </c>
      <c r="E153" s="22" t="n">
        <f aca="false">E135*E152+E134*$D$151</f>
        <v>56.331961135</v>
      </c>
      <c r="F153" s="22" t="n">
        <f aca="false">F135*F152+F134*$D$151</f>
        <v>71.0939969154807</v>
      </c>
      <c r="G153" s="22" t="n">
        <f aca="false">G135*G152+G134*$D$151</f>
        <v>81.6002917090796</v>
      </c>
    </row>
    <row r="154" customFormat="false" ht="15" hidden="false" customHeight="false" outlineLevel="0" collapsed="false">
      <c r="A154" s="3" t="s">
        <v>506</v>
      </c>
      <c r="B154" s="0" t="s">
        <v>55</v>
      </c>
      <c r="C154" s="14" t="n">
        <f aca="false">C153/C137</f>
        <v>0.328028131457903</v>
      </c>
      <c r="D154" s="14" t="n">
        <f aca="false">D153/D137</f>
        <v>0.348837592422248</v>
      </c>
      <c r="E154" s="14" t="n">
        <f aca="false">E153/E137</f>
        <v>0.368566003345544</v>
      </c>
      <c r="F154" s="14" t="n">
        <f aca="false">F153/F137</f>
        <v>0.365962006691732</v>
      </c>
      <c r="G154" s="14" t="n">
        <f aca="false">G153/G137</f>
        <v>0.358067106007922</v>
      </c>
    </row>
    <row r="155" customFormat="false" ht="15" hidden="false" customHeight="false" outlineLevel="0" collapsed="false">
      <c r="A155" s="3" t="s">
        <v>649</v>
      </c>
      <c r="B155" s="0" t="s">
        <v>203</v>
      </c>
      <c r="C155" s="22" t="n">
        <f aca="false">a25_opx</f>
        <v>5.64</v>
      </c>
      <c r="D155" s="22" t="n">
        <f aca="false">a26_opx</f>
        <v>8.4779754</v>
      </c>
      <c r="E155" s="22" t="n">
        <f aca="false">D155*(1+MAX(0,phi*E138))</f>
        <v>10.767028758</v>
      </c>
      <c r="F155" s="22" t="n">
        <f aca="false">E155*(1+MAX(0,phi*F138))</f>
        <v>12.517970400163</v>
      </c>
      <c r="G155" s="22" t="n">
        <f aca="false">F155*(1+MAX(0,phi*G138))</f>
        <v>13.8179918513791</v>
      </c>
    </row>
    <row r="156" customFormat="false" ht="15" hidden="false" customHeight="false" outlineLevel="0" collapsed="false">
      <c r="A156" s="3" t="s">
        <v>508</v>
      </c>
      <c r="B156" s="0" t="s">
        <v>203</v>
      </c>
      <c r="C156" s="22" t="n">
        <f aca="false">C155</f>
        <v>5.64</v>
      </c>
      <c r="D156" s="22" t="n">
        <f aca="false">D155</f>
        <v>8.4779754</v>
      </c>
      <c r="E156" s="22" t="n">
        <f aca="false">E155+0*E137</f>
        <v>10.767028758</v>
      </c>
      <c r="F156" s="22" t="n">
        <f aca="false">F155+0*F137</f>
        <v>12.517970400163</v>
      </c>
      <c r="G156" s="22" t="n">
        <f aca="false">G155+0*G137</f>
        <v>13.8179918513791</v>
      </c>
    </row>
    <row r="157" customFormat="false" ht="15" hidden="false" customHeight="false" outlineLevel="0" collapsed="false">
      <c r="A157" s="3" t="s">
        <v>650</v>
      </c>
      <c r="B157" s="0" t="s">
        <v>203</v>
      </c>
      <c r="C157" s="22" t="n">
        <f aca="false">C153-C156</f>
        <v>14.043</v>
      </c>
      <c r="D157" s="22" t="n">
        <f aca="false">D153-D156</f>
        <v>28.2921301</v>
      </c>
      <c r="E157" s="22" t="n">
        <f aca="false">E153-E156</f>
        <v>45.564932377</v>
      </c>
      <c r="F157" s="22" t="n">
        <f aca="false">F153-F156</f>
        <v>58.5760265153177</v>
      </c>
      <c r="G157" s="22" t="n">
        <f aca="false">G153-G156</f>
        <v>67.7822998577005</v>
      </c>
    </row>
    <row r="158" customFormat="false" ht="15" hidden="false" customHeight="false" outlineLevel="0" collapsed="false">
      <c r="A158" s="3" t="s">
        <v>514</v>
      </c>
      <c r="B158" s="0" t="s">
        <v>55</v>
      </c>
      <c r="C158" s="14" t="n">
        <f aca="false">C157/C137</f>
        <v>0.23403439770682</v>
      </c>
      <c r="D158" s="14" t="n">
        <f aca="false">D157/D137</f>
        <v>0.268407131673338</v>
      </c>
      <c r="E158" s="14" t="n">
        <f aca="false">E157/E137</f>
        <v>0.298120013586154</v>
      </c>
      <c r="F158" s="14" t="n">
        <f aca="false">F157/F137</f>
        <v>0.301524757892828</v>
      </c>
      <c r="G158" s="14" t="n">
        <f aca="false">G157/G137</f>
        <v>0.297432906675595</v>
      </c>
    </row>
    <row r="159" customFormat="false" ht="17.15" hidden="false" customHeight="false" outlineLevel="0" collapsed="false">
      <c r="A159" s="3" t="s">
        <v>515</v>
      </c>
      <c r="B159" s="0" t="s">
        <v>203</v>
      </c>
      <c r="E159" s="22" t="n">
        <f aca="false">nop_f</f>
        <v>0</v>
      </c>
      <c r="F159" s="22" t="n">
        <f aca="false">nop_f</f>
        <v>0</v>
      </c>
      <c r="G159" s="22" t="n">
        <f aca="false">nop_f</f>
        <v>0</v>
      </c>
      <c r="K159" s="7" t="s">
        <v>651</v>
      </c>
    </row>
    <row r="160" customFormat="false" ht="15" hidden="false" customHeight="false" outlineLevel="0" collapsed="false">
      <c r="A160" s="3" t="s">
        <v>520</v>
      </c>
      <c r="B160" s="0" t="s">
        <v>203</v>
      </c>
      <c r="C160" s="22" t="n">
        <f aca="false">a25_ni</f>
        <v>9.607</v>
      </c>
      <c r="D160" s="22" t="n">
        <f aca="false">a26_ni</f>
        <v>19.6977289395284</v>
      </c>
      <c r="E160" s="22" t="n">
        <f aca="false">(E157+E159)*nir_f</f>
        <v>31.211978678245</v>
      </c>
      <c r="F160" s="22" t="n">
        <f aca="false">(F157+F159)*nir_f</f>
        <v>40.1245781629926</v>
      </c>
      <c r="G160" s="22" t="n">
        <f aca="false">(G157+G159)*nir_f</f>
        <v>46.4308754025249</v>
      </c>
      <c r="H160" s="24" t="n">
        <f aca="false">H137*H165</f>
        <v>49.0696162995125</v>
      </c>
      <c r="I160" s="24" t="n">
        <f aca="false">I137*I165</f>
        <v>49.5895726459613</v>
      </c>
      <c r="J160" s="24" t="n">
        <f aca="false">J137*J165</f>
        <v>47.8086916496984</v>
      </c>
    </row>
    <row r="161" customFormat="false" ht="17.15" hidden="false" customHeight="false" outlineLevel="0" collapsed="false">
      <c r="A161" s="3" t="s">
        <v>523</v>
      </c>
      <c r="B161" s="0" t="s">
        <v>55</v>
      </c>
      <c r="C161" s="14" t="n">
        <f aca="false">C160/C157</f>
        <v>0.684113081250445</v>
      </c>
      <c r="D161" s="14" t="n">
        <f aca="false">D160/D157</f>
        <v>0.696226437171953</v>
      </c>
      <c r="E161" s="14" t="n">
        <f aca="false">E160/E157</f>
        <v>0.685</v>
      </c>
      <c r="F161" s="14" t="n">
        <f aca="false">F160/F157</f>
        <v>0.685</v>
      </c>
      <c r="G161" s="14" t="n">
        <f aca="false">G160/G157</f>
        <v>0.685</v>
      </c>
    </row>
    <row r="162" customFormat="false" ht="17.15" hidden="false" customHeight="false" outlineLevel="0" collapsed="false">
      <c r="A162" s="3" t="s">
        <v>652</v>
      </c>
      <c r="B162" s="3" t="s">
        <v>233</v>
      </c>
      <c r="C162" s="27" t="n">
        <f aca="false">a25_sh</f>
        <v>0.493425783256292</v>
      </c>
      <c r="D162" s="27" t="n">
        <f aca="false">a26_sh</f>
        <v>0.512980850061958</v>
      </c>
      <c r="E162" s="27" t="n">
        <f aca="false">sh_h2*(1+sh_g)</f>
        <v>0.51889356</v>
      </c>
      <c r="F162" s="27" t="n">
        <f aca="false">E162*(1+sh_g)</f>
        <v>0.5240824956</v>
      </c>
      <c r="G162" s="27" t="n">
        <f aca="false">F162*(1+sh_g)</f>
        <v>0.529323320556</v>
      </c>
      <c r="H162" s="29" t="n">
        <f aca="false">G162*(1+sh_g)</f>
        <v>0.53461655376156</v>
      </c>
      <c r="I162" s="29" t="n">
        <f aca="false">H162*(1+sh_g)</f>
        <v>0.539962719299176</v>
      </c>
      <c r="J162" s="29" t="n">
        <f aca="false">I162*(1+sh_g)</f>
        <v>0.545362346492167</v>
      </c>
      <c r="K162" s="7" t="s">
        <v>653</v>
      </c>
    </row>
    <row r="163" customFormat="false" ht="15" hidden="false" customHeight="false" outlineLevel="0" collapsed="false">
      <c r="A163" s="0" t="s">
        <v>526</v>
      </c>
      <c r="B163" s="0" t="s">
        <v>271</v>
      </c>
      <c r="C163" s="23" t="n">
        <f aca="false">C160/C162</f>
        <v>19.47</v>
      </c>
      <c r="D163" s="23" t="n">
        <f aca="false">D160/D162</f>
        <v>38.3985658278458</v>
      </c>
      <c r="E163" s="23" t="n">
        <f aca="false">E160/E162</f>
        <v>60.1510234165269</v>
      </c>
      <c r="F163" s="23" t="n">
        <f aca="false">F160/F162</f>
        <v>76.5615690275167</v>
      </c>
      <c r="G163" s="23" t="n">
        <f aca="false">G160/G162</f>
        <v>87.7174188240072</v>
      </c>
      <c r="H163" s="30" t="n">
        <f aca="false">H160/H162</f>
        <v>91.7846930744266</v>
      </c>
      <c r="I163" s="30" t="n">
        <f aca="false">I160/I162</f>
        <v>91.8388823404776</v>
      </c>
      <c r="J163" s="30" t="n">
        <f aca="false">J160/J162</f>
        <v>87.6640860103551</v>
      </c>
    </row>
    <row r="164" customFormat="false" ht="17.15" hidden="false" customHeight="false" outlineLevel="0" collapsed="false">
      <c r="A164" s="0" t="s">
        <v>654</v>
      </c>
      <c r="B164" s="0" t="s">
        <v>55</v>
      </c>
      <c r="D164" s="14" t="n">
        <f aca="false">D163/C163-1</f>
        <v>0.9721913624985</v>
      </c>
      <c r="E164" s="14" t="n">
        <f aca="false">E163/D163-1</f>
        <v>0.566491407158407</v>
      </c>
      <c r="F164" s="14" t="n">
        <f aca="false">F163/E163-1</f>
        <v>0.272822384040783</v>
      </c>
      <c r="G164" s="14" t="n">
        <f aca="false">G163/F163-1</f>
        <v>0.145710830357735</v>
      </c>
      <c r="H164" s="25" t="n">
        <f aca="false">H163/G163-1</f>
        <v>0.0463679199063061</v>
      </c>
      <c r="I164" s="25" t="n">
        <f aca="false">I163/H163-1</f>
        <v>0.000590395459589166</v>
      </c>
      <c r="J164" s="25" t="n">
        <f aca="false">J163/I163-1</f>
        <v>-0.0454578303190271</v>
      </c>
    </row>
    <row r="165" customFormat="false" ht="17.15" hidden="false" customHeight="false" outlineLevel="0" collapsed="false">
      <c r="A165" s="3" t="s">
        <v>655</v>
      </c>
      <c r="B165" s="0" t="s">
        <v>55</v>
      </c>
      <c r="C165" s="14" t="n">
        <f aca="false">C160/C137</f>
        <v>0.160105992933804</v>
      </c>
      <c r="D165" s="14" t="n">
        <f aca="false">D160/D137</f>
        <v>0.186872140996471</v>
      </c>
      <c r="E165" s="14" t="n">
        <f aca="false">E160/E137</f>
        <v>0.204212209306515</v>
      </c>
      <c r="F165" s="14" t="n">
        <f aca="false">F160/F137</f>
        <v>0.206544459156587</v>
      </c>
      <c r="G165" s="14" t="n">
        <f aca="false">G160/G137</f>
        <v>0.203741541072783</v>
      </c>
      <c r="H165" s="25" t="n">
        <f aca="false">$G165+(fade_mB-$G165)*1/3</f>
        <v>0.190764372872009</v>
      </c>
      <c r="I165" s="25" t="n">
        <f aca="false">$G165+(fade_mB-$G165)*2/3</f>
        <v>0.177787204671235</v>
      </c>
      <c r="J165" s="25" t="n">
        <f aca="false">$G165+(fade_mB-$G165)*3/3</f>
        <v>0.164810036470462</v>
      </c>
    </row>
    <row r="168" customFormat="false" ht="17.15" hidden="false" customHeight="false" outlineLevel="0" collapsed="false">
      <c r="A168" s="1" t="s">
        <v>657</v>
      </c>
    </row>
    <row r="169" customFormat="false" ht="17.15" hidden="false" customHeight="false" outlineLevel="0" collapsed="false">
      <c r="A169" s="4" t="s">
        <v>24</v>
      </c>
      <c r="B169" s="4" t="s">
        <v>25</v>
      </c>
      <c r="C169" s="15" t="s">
        <v>494</v>
      </c>
      <c r="D169" s="15" t="s">
        <v>583</v>
      </c>
      <c r="E169" s="15" t="s">
        <v>584</v>
      </c>
      <c r="F169" s="15" t="s">
        <v>585</v>
      </c>
      <c r="G169" s="15" t="s">
        <v>586</v>
      </c>
      <c r="H169" s="15" t="s">
        <v>587</v>
      </c>
      <c r="I169" s="15" t="s">
        <v>588</v>
      </c>
      <c r="J169" s="15" t="s">
        <v>589</v>
      </c>
      <c r="K169" s="4" t="s">
        <v>458</v>
      </c>
    </row>
    <row r="170" customFormat="false" ht="17.15" hidden="false" customHeight="false" outlineLevel="0" collapsed="false">
      <c r="A170" s="5" t="s">
        <v>605</v>
      </c>
    </row>
    <row r="171" customFormat="false" ht="17.15" hidden="false" customHeight="false" outlineLevel="0" collapsed="false">
      <c r="A171" s="0" t="s">
        <v>606</v>
      </c>
      <c r="B171" s="0" t="s">
        <v>35</v>
      </c>
      <c r="D171" s="23" t="n">
        <f aca="false">itc_26*1</f>
        <v>781.872916666666</v>
      </c>
      <c r="E171" s="23" t="n">
        <f aca="false">itc_27*1*1</f>
        <v>1565.35</v>
      </c>
      <c r="F171" s="23" t="n">
        <f aca="false">itc_28*um28_C*1</f>
        <v>1190.55833333333</v>
      </c>
      <c r="G171" s="23" t="n">
        <f aca="false">itc_29*um29_C*1</f>
        <v>1356.23416666667</v>
      </c>
    </row>
    <row r="172" customFormat="false" ht="17.15" hidden="false" customHeight="false" outlineLevel="0" collapsed="false">
      <c r="A172" s="3" t="s">
        <v>607</v>
      </c>
      <c r="B172" s="0" t="s">
        <v>35</v>
      </c>
      <c r="D172" s="23" t="n">
        <f aca="false">itpg_gb*(1-vr26)+itpg_vr*vr26</f>
        <v>33.41403216</v>
      </c>
      <c r="E172" s="23" t="n">
        <f aca="false">itpg_vr</f>
        <v>37.586352</v>
      </c>
      <c r="F172" s="23" t="n">
        <f aca="false">itpg_vr</f>
        <v>37.586352</v>
      </c>
      <c r="G172" s="23" t="n">
        <f aca="false">itpg_vr</f>
        <v>37.586352</v>
      </c>
    </row>
    <row r="173" customFormat="false" ht="17.15" hidden="false" customHeight="false" outlineLevel="0" collapsed="false">
      <c r="A173" s="3" t="s">
        <v>608</v>
      </c>
      <c r="B173" s="0" t="s">
        <v>549</v>
      </c>
      <c r="D173" s="20" t="n">
        <f aca="false">D171/D172</f>
        <v>23.3995380420639</v>
      </c>
      <c r="E173" s="20" t="n">
        <f aca="false">E171/E172</f>
        <v>41.6467658260637</v>
      </c>
      <c r="F173" s="20" t="n">
        <f aca="false">F171/F172</f>
        <v>31.6752829147488</v>
      </c>
      <c r="G173" s="20" t="n">
        <f aca="false">G171/G172</f>
        <v>36.0831550416669</v>
      </c>
    </row>
    <row r="174" customFormat="false" ht="17.15" hidden="false" customHeight="false" outlineLevel="0" collapsed="false">
      <c r="A174" s="3" t="s">
        <v>553</v>
      </c>
      <c r="B174" s="0" t="s">
        <v>96</v>
      </c>
      <c r="D174" s="21" t="n">
        <f aca="false">vg_cmp26</f>
        <v>280</v>
      </c>
      <c r="E174" s="21" t="n">
        <f aca="false">(vg_cmp26+(vg_cmp27-vg_cmp26)*pgwf)</f>
        <v>420</v>
      </c>
      <c r="F174" s="21" t="n">
        <f aca="false">(vg_cmp26+(vg_cmp28-vg_cmp26)*pgwf)</f>
        <v>462</v>
      </c>
      <c r="G174" s="21" t="n">
        <f aca="false">(vg_cmp26+(vg_cmp29-vg_cmp26)*pgwf)</f>
        <v>504</v>
      </c>
    </row>
    <row r="175" customFormat="false" ht="17.15" hidden="false" customHeight="false" outlineLevel="0" collapsed="false">
      <c r="A175" s="3" t="s">
        <v>555</v>
      </c>
      <c r="B175" s="0" t="s">
        <v>96</v>
      </c>
      <c r="D175" s="21" t="n">
        <f aca="false">vg_sw26</f>
        <v>120</v>
      </c>
      <c r="E175" s="21" t="n">
        <f aca="false">(vg_sw26+(vg_sw27-vg_sw26)*pgwf)</f>
        <v>162</v>
      </c>
      <c r="F175" s="21" t="n">
        <f aca="false">(vg_sw26+(vg_sw28-vg_sw26)*pgwf)</f>
        <v>180</v>
      </c>
      <c r="G175" s="21" t="n">
        <f aca="false">(vg_sw26+(vg_sw29-vg_sw26)*pgwf)</f>
        <v>198</v>
      </c>
    </row>
    <row r="176" customFormat="false" ht="17.15" hidden="false" customHeight="false" outlineLevel="0" collapsed="false">
      <c r="A176" s="3" t="s">
        <v>609</v>
      </c>
      <c r="B176" s="0" t="s">
        <v>96</v>
      </c>
      <c r="D176" s="21" t="n">
        <f aca="false">vg_mid26*w_mid</f>
        <v>25</v>
      </c>
      <c r="E176" s="21" t="n">
        <f aca="false">(vg_mid26+(vg_mid27-vg_mid26)*pgwf)*w_mid</f>
        <v>50</v>
      </c>
      <c r="F176" s="21" t="n">
        <f aca="false">(vg_mid26+(vg_mid28-vg_mid26)*pgwf)*w_mid</f>
        <v>75</v>
      </c>
      <c r="G176" s="21" t="n">
        <f aca="false">(vg_mid26+(vg_mid29-vg_mid26)*pgwf)*w_mid</f>
        <v>87.5</v>
      </c>
    </row>
    <row r="177" customFormat="false" ht="17.15" hidden="false" customHeight="false" outlineLevel="0" collapsed="false">
      <c r="A177" s="3" t="s">
        <v>610</v>
      </c>
      <c r="B177" s="0" t="s">
        <v>96</v>
      </c>
      <c r="D177" s="21" t="n">
        <f aca="false">D174+D175+D176</f>
        <v>425</v>
      </c>
      <c r="E177" s="21" t="n">
        <f aca="false">E174+E175+E176</f>
        <v>632</v>
      </c>
      <c r="F177" s="21" t="n">
        <f aca="false">F174+F175+F176</f>
        <v>717</v>
      </c>
      <c r="G177" s="21" t="n">
        <f aca="false">G174+G175+G176</f>
        <v>789.5</v>
      </c>
    </row>
    <row r="178" customFormat="false" ht="17.15" hidden="false" customHeight="false" outlineLevel="0" collapsed="false">
      <c r="A178" s="3" t="s">
        <v>611</v>
      </c>
      <c r="B178" s="0" t="s">
        <v>35</v>
      </c>
      <c r="D178" s="23" t="n">
        <f aca="false">D173*D177/1000</f>
        <v>9.94480366787715</v>
      </c>
      <c r="E178" s="23" t="n">
        <f aca="false">E173*E177/1000</f>
        <v>26.3207560020722</v>
      </c>
      <c r="F178" s="23" t="n">
        <f aca="false">F173*F177/1000</f>
        <v>22.7111778498749</v>
      </c>
      <c r="G178" s="23" t="n">
        <f aca="false">G173*G177/1000</f>
        <v>28.487650905396</v>
      </c>
    </row>
    <row r="179" customFormat="false" ht="17.15" hidden="false" customHeight="false" outlineLevel="0" collapsed="false">
      <c r="A179" s="3" t="s">
        <v>612</v>
      </c>
      <c r="B179" s="0" t="s">
        <v>203</v>
      </c>
      <c r="D179" s="22" t="n">
        <f aca="false">D178*fx</f>
        <v>318.233717372069</v>
      </c>
      <c r="E179" s="22" t="n">
        <f aca="false">E178*fx</f>
        <v>842.264192066312</v>
      </c>
      <c r="F179" s="22" t="n">
        <f aca="false">F178*fx</f>
        <v>726.757691195996</v>
      </c>
      <c r="G179" s="22" t="n">
        <f aca="false">G178*fx</f>
        <v>911.604828972673</v>
      </c>
    </row>
    <row r="180" customFormat="false" ht="17.15" hidden="false" customHeight="false" outlineLevel="0" collapsed="false">
      <c r="A180" s="0" t="s">
        <v>613</v>
      </c>
      <c r="B180" s="0" t="s">
        <v>69</v>
      </c>
      <c r="D180" s="18" t="n">
        <f aca="false">1</f>
        <v>1</v>
      </c>
      <c r="E180" s="18" t="n">
        <f aca="false">pp_27_C</f>
        <v>0.96</v>
      </c>
      <c r="F180" s="18" t="n">
        <f aca="false">pp_28_C</f>
        <v>0.92</v>
      </c>
      <c r="G180" s="18" t="n">
        <f aca="false">pp_29_C</f>
        <v>0.88</v>
      </c>
    </row>
    <row r="181" customFormat="false" ht="17.15" hidden="false" customHeight="false" outlineLevel="0" collapsed="false">
      <c r="A181" s="3" t="s">
        <v>614</v>
      </c>
      <c r="B181" s="0" t="s">
        <v>55</v>
      </c>
      <c r="D181" s="14" t="n">
        <f aca="false">a26_ai/D179</f>
        <v>0.172842024579347</v>
      </c>
      <c r="K181" s="7" t="s">
        <v>615</v>
      </c>
    </row>
    <row r="182" customFormat="false" ht="17.15" hidden="false" customHeight="false" outlineLevel="0" collapsed="false">
      <c r="A182" s="3" t="s">
        <v>616</v>
      </c>
      <c r="B182" s="0" t="s">
        <v>69</v>
      </c>
      <c r="D182" s="18" t="n">
        <f aca="false">1</f>
        <v>1</v>
      </c>
      <c r="E182" s="18" t="n">
        <f aca="false">rel_27_C</f>
        <v>0.85</v>
      </c>
      <c r="F182" s="18" t="n">
        <f aca="false">rel_28_C</f>
        <v>0.75</v>
      </c>
      <c r="G182" s="18" t="n">
        <f aca="false">rel_29_C</f>
        <v>0.7</v>
      </c>
    </row>
    <row r="183" customFormat="false" ht="15" hidden="false" customHeight="false" outlineLevel="0" collapsed="false">
      <c r="A183" s="3" t="s">
        <v>565</v>
      </c>
      <c r="B183" s="0" t="s">
        <v>55</v>
      </c>
      <c r="D183" s="14" t="n">
        <f aca="false">$D$181*D182</f>
        <v>0.172842024579347</v>
      </c>
      <c r="E183" s="14" t="n">
        <f aca="false">$D$181*E182</f>
        <v>0.146915720892445</v>
      </c>
      <c r="F183" s="14" t="n">
        <f aca="false">$D$181*F182</f>
        <v>0.12963151843451</v>
      </c>
      <c r="G183" s="14" t="n">
        <f aca="false">$D$181*G182</f>
        <v>0.120989417205543</v>
      </c>
    </row>
    <row r="184" customFormat="false" ht="17.15" hidden="false" customHeight="false" outlineLevel="0" collapsed="false">
      <c r="A184" s="0" t="s">
        <v>617</v>
      </c>
      <c r="B184" s="0" t="s">
        <v>203</v>
      </c>
      <c r="D184" s="22" t="n">
        <f aca="false">D179*D183*D180</f>
        <v>55.00416</v>
      </c>
      <c r="E184" s="22" t="n">
        <f aca="false">E179*E183*E180</f>
        <v>118.792176920942</v>
      </c>
      <c r="F184" s="22" t="n">
        <f aca="false">F179*F183*F180</f>
        <v>86.6738468002001</v>
      </c>
      <c r="G184" s="22" t="n">
        <f aca="false">G179*G183*G180</f>
        <v>97.0591925416627</v>
      </c>
    </row>
    <row r="185" customFormat="false" ht="17.15" hidden="false" customHeight="false" outlineLevel="0" collapsed="false">
      <c r="A185" s="5" t="s">
        <v>618</v>
      </c>
    </row>
    <row r="186" customFormat="false" ht="17.15" hidden="false" customHeight="false" outlineLevel="0" collapsed="false">
      <c r="A186" s="3" t="s">
        <v>619</v>
      </c>
      <c r="B186" s="0" t="s">
        <v>69</v>
      </c>
      <c r="D186" s="18" t="n">
        <f aca="false">1</f>
        <v>1</v>
      </c>
      <c r="E186" s="18" t="n">
        <f aca="false">cx_27</f>
        <v>1.45</v>
      </c>
      <c r="F186" s="18" t="n">
        <f aca="false">cx_28</f>
        <v>1.9</v>
      </c>
      <c r="G186" s="18" t="n">
        <f aca="false">cx_29</f>
        <v>2.3</v>
      </c>
      <c r="K186" s="7" t="s">
        <v>620</v>
      </c>
    </row>
    <row r="187" customFormat="false" ht="17.15" hidden="false" customHeight="false" outlineLevel="0" collapsed="false">
      <c r="A187" s="3" t="s">
        <v>621</v>
      </c>
      <c r="B187" s="0" t="s">
        <v>203</v>
      </c>
      <c r="D187" s="22" t="n">
        <f aca="false">a26_rev*D186*D180</f>
        <v>105.40752</v>
      </c>
      <c r="E187" s="22" t="n">
        <f aca="false">a26_rev*E186*E180</f>
        <v>146.72726784</v>
      </c>
      <c r="F187" s="22" t="n">
        <f aca="false">a26_rev*F186*F180</f>
        <v>184.25234496</v>
      </c>
      <c r="G187" s="22" t="n">
        <f aca="false">a26_rev*G186*G180</f>
        <v>213.34482048</v>
      </c>
    </row>
    <row r="188" customFormat="false" ht="17.15" hidden="false" customHeight="false" outlineLevel="0" collapsed="false">
      <c r="A188" s="3" t="s">
        <v>622</v>
      </c>
      <c r="B188" s="0" t="s">
        <v>203</v>
      </c>
      <c r="C188" s="22" t="n">
        <f aca="false">a25_nai</f>
        <v>42.0028</v>
      </c>
      <c r="D188" s="22" t="n">
        <f aca="false">a26_nai</f>
        <v>50.40336</v>
      </c>
      <c r="E188" s="22" t="n">
        <f aca="false">D188*(1+g_nai27)</f>
        <v>52.923528</v>
      </c>
      <c r="F188" s="22" t="n">
        <f aca="false">E188*(1+g_nai28)</f>
        <v>54.51123384</v>
      </c>
      <c r="G188" s="22" t="n">
        <f aca="false">F188*(1+g_nai29)</f>
        <v>56.1465708552</v>
      </c>
    </row>
    <row r="189" customFormat="false" ht="17.15" hidden="false" customHeight="false" outlineLevel="0" collapsed="false">
      <c r="A189" s="0" t="s">
        <v>623</v>
      </c>
      <c r="B189" s="0" t="s">
        <v>203</v>
      </c>
      <c r="C189" s="22" t="n">
        <f aca="false">a25_ai</f>
        <v>18.0012</v>
      </c>
      <c r="D189" s="22" t="n">
        <f aca="false">D184</f>
        <v>55.00416</v>
      </c>
      <c r="E189" s="22" t="n">
        <f aca="false">MIN(E184,E187-E188)</f>
        <v>93.80373984</v>
      </c>
      <c r="F189" s="22" t="n">
        <f aca="false">MIN(F184,F187-F188)</f>
        <v>86.6738468002001</v>
      </c>
      <c r="G189" s="22" t="n">
        <f aca="false">MIN(G184,G187-G188)</f>
        <v>97.0591925416627</v>
      </c>
      <c r="K189" s="3" t="s">
        <v>624</v>
      </c>
    </row>
    <row r="190" customFormat="false" ht="15" hidden="false" customHeight="false" outlineLevel="0" collapsed="false">
      <c r="A190" s="3" t="s">
        <v>625</v>
      </c>
      <c r="E190" s="0" t="str">
        <f aca="false">IF(E184&gt;E187-E188+0.0001,"受限","未受限")</f>
        <v>受限</v>
      </c>
      <c r="F190" s="0" t="str">
        <f aca="false">IF(F184&gt;F187-F188+0.0001,"受限","未受限")</f>
        <v>未受限</v>
      </c>
      <c r="G190" s="0" t="str">
        <f aca="false">IF(G184&gt;G187-G188+0.0001,"受限","未受限")</f>
        <v>未受限</v>
      </c>
    </row>
    <row r="191" customFormat="false" ht="17.15" hidden="false" customHeight="false" outlineLevel="0" collapsed="false">
      <c r="A191" s="3" t="s">
        <v>499</v>
      </c>
      <c r="B191" s="0" t="s">
        <v>203</v>
      </c>
      <c r="C191" s="22" t="n">
        <f aca="false">C189+C188</f>
        <v>60.004</v>
      </c>
      <c r="D191" s="22" t="n">
        <f aca="false">D189+D188</f>
        <v>105.40752</v>
      </c>
      <c r="E191" s="22" t="n">
        <f aca="false">E189+E188</f>
        <v>146.72726784</v>
      </c>
      <c r="F191" s="22" t="n">
        <f aca="false">F189+F188</f>
        <v>141.1850806402</v>
      </c>
      <c r="G191" s="22" t="n">
        <f aca="false">G189+G188</f>
        <v>153.205763396863</v>
      </c>
      <c r="H191" s="24" t="n">
        <f aca="false">G191*(1+H192)</f>
        <v>162.9232281108</v>
      </c>
      <c r="I191" s="24" t="n">
        <f aca="false">H191*(1+I192)</f>
        <v>169.719370190681</v>
      </c>
      <c r="J191" s="24" t="n">
        <f aca="false">I191*(1+J192)</f>
        <v>173.113757594494</v>
      </c>
      <c r="K191" s="7" t="s">
        <v>626</v>
      </c>
    </row>
    <row r="192" customFormat="false" ht="15" hidden="false" customHeight="false" outlineLevel="0" collapsed="false">
      <c r="A192" s="3" t="s">
        <v>627</v>
      </c>
      <c r="B192" s="0" t="s">
        <v>55</v>
      </c>
      <c r="D192" s="14" t="n">
        <f aca="false">D191/C191-1</f>
        <v>0.756674888340778</v>
      </c>
      <c r="E192" s="14" t="n">
        <f aca="false">E191/D191-1</f>
        <v>0.392</v>
      </c>
      <c r="F192" s="14" t="n">
        <f aca="false">F191/E191-1</f>
        <v>-0.0377720329791965</v>
      </c>
      <c r="G192" s="14" t="n">
        <f aca="false">G191/F191-1</f>
        <v>0.0851413102726941</v>
      </c>
      <c r="H192" s="25" t="n">
        <f aca="false">$G192+(fade_gC-$G192)*1/3</f>
        <v>0.0634275401817961</v>
      </c>
      <c r="I192" s="25" t="n">
        <f aca="false">$G192+(fade_gC-$G192)*2/3</f>
        <v>0.041713770090898</v>
      </c>
      <c r="J192" s="25" t="n">
        <f aca="false">$G192+(fade_gC-$G192)*3/3</f>
        <v>0.02</v>
      </c>
    </row>
    <row r="193" customFormat="false" ht="17.15" hidden="false" customHeight="false" outlineLevel="0" collapsed="false">
      <c r="A193" s="3" t="s">
        <v>628</v>
      </c>
      <c r="B193" s="0" t="s">
        <v>203</v>
      </c>
      <c r="D193" s="22" t="n">
        <f aca="false">D189*(D174+D176)/D177</f>
        <v>39.4735736470588</v>
      </c>
      <c r="E193" s="22" t="n">
        <f aca="false">E189*(E174+E176)/E177</f>
        <v>69.7591103240506</v>
      </c>
      <c r="F193" s="22" t="n">
        <f aca="false">F189*(F174+F176)/F177</f>
        <v>64.9147220804846</v>
      </c>
      <c r="G193" s="22" t="n">
        <f aca="false">G189*(G174+G176)/G177</f>
        <v>72.7175584400171</v>
      </c>
      <c r="K193" s="7" t="s">
        <v>629</v>
      </c>
    </row>
    <row r="194" customFormat="false" ht="17.15" hidden="false" customHeight="false" outlineLevel="0" collapsed="false">
      <c r="A194" s="3" t="s">
        <v>630</v>
      </c>
      <c r="B194" s="0" t="s">
        <v>203</v>
      </c>
      <c r="D194" s="22" t="n">
        <f aca="false">D189*D175/D177</f>
        <v>15.5305863529412</v>
      </c>
      <c r="E194" s="22" t="n">
        <f aca="false">E189*E175/E177</f>
        <v>24.0446295159494</v>
      </c>
      <c r="F194" s="22" t="n">
        <f aca="false">F189*F175/F177</f>
        <v>21.7591247197155</v>
      </c>
      <c r="G194" s="22" t="n">
        <f aca="false">G189*G175/G177</f>
        <v>24.3416341016456</v>
      </c>
    </row>
    <row r="195" customFormat="false" ht="17.15" hidden="false" customHeight="false" outlineLevel="0" collapsed="false">
      <c r="A195" s="3" t="s">
        <v>631</v>
      </c>
      <c r="B195" s="0" t="s">
        <v>203</v>
      </c>
      <c r="D195" s="22" t="n">
        <f aca="false">srv26*D191-D193</f>
        <v>42.7442919529412</v>
      </c>
      <c r="E195" s="22" t="n">
        <f aca="false">E188*$D195/$D188</f>
        <v>44.8815065505883</v>
      </c>
      <c r="F195" s="22" t="n">
        <f aca="false">F188*$D195/$D188</f>
        <v>46.2279517471059</v>
      </c>
      <c r="G195" s="22" t="n">
        <f aca="false">G188*$D195/$D188</f>
        <v>47.6147902995191</v>
      </c>
      <c r="K195" s="7" t="s">
        <v>632</v>
      </c>
    </row>
    <row r="196" customFormat="false" ht="17.15" hidden="false" customHeight="false" outlineLevel="0" collapsed="false">
      <c r="A196" s="3" t="s">
        <v>633</v>
      </c>
      <c r="B196" s="0" t="s">
        <v>203</v>
      </c>
      <c r="D196" s="22" t="n">
        <f aca="false">net26*D191-D194</f>
        <v>0.28054164705882</v>
      </c>
      <c r="E196" s="22" t="n">
        <f aca="false">E188*$D196/$D188</f>
        <v>0.294568729411761</v>
      </c>
      <c r="F196" s="22" t="n">
        <f aca="false">F188*$D196/$D188</f>
        <v>0.303405791294114</v>
      </c>
      <c r="G196" s="22" t="n">
        <f aca="false">G188*$D196/$D188</f>
        <v>0.312507965032938</v>
      </c>
    </row>
    <row r="197" customFormat="false" ht="17.15" hidden="false" customHeight="false" outlineLevel="0" collapsed="false">
      <c r="A197" s="3" t="s">
        <v>634</v>
      </c>
      <c r="B197" s="0" t="s">
        <v>203</v>
      </c>
      <c r="C197" s="22" t="n">
        <f aca="false">srv25*C191</f>
        <v>48.0032</v>
      </c>
      <c r="D197" s="22" t="n">
        <f aca="false">D193+D195</f>
        <v>82.2178656</v>
      </c>
      <c r="E197" s="22" t="n">
        <f aca="false">E193+E195</f>
        <v>114.640616874639</v>
      </c>
      <c r="F197" s="22" t="n">
        <f aca="false">F193+F195</f>
        <v>111.14267382759</v>
      </c>
      <c r="G197" s="22" t="n">
        <f aca="false">G193+G195</f>
        <v>120.332348739536</v>
      </c>
      <c r="K197" s="3" t="s">
        <v>635</v>
      </c>
    </row>
    <row r="198" customFormat="false" ht="15" hidden="false" customHeight="false" outlineLevel="0" collapsed="false">
      <c r="A198" s="3" t="s">
        <v>636</v>
      </c>
      <c r="B198" s="0" t="s">
        <v>203</v>
      </c>
      <c r="C198" s="22" t="n">
        <f aca="false">net25*C191</f>
        <v>6.0004</v>
      </c>
      <c r="D198" s="22" t="n">
        <f aca="false">D194+D196</f>
        <v>15.811128</v>
      </c>
      <c r="E198" s="22" t="n">
        <f aca="false">E194+E196</f>
        <v>24.3391982453611</v>
      </c>
      <c r="F198" s="22" t="n">
        <f aca="false">F194+F196</f>
        <v>22.0625305110096</v>
      </c>
      <c r="G198" s="22" t="n">
        <f aca="false">G194+G196</f>
        <v>24.6541420666786</v>
      </c>
      <c r="K198" s="3" t="s">
        <v>637</v>
      </c>
    </row>
    <row r="199" customFormat="false" ht="15" hidden="false" customHeight="false" outlineLevel="0" collapsed="false">
      <c r="A199" s="3" t="s">
        <v>638</v>
      </c>
      <c r="B199" s="0" t="s">
        <v>203</v>
      </c>
      <c r="C199" s="22" t="n">
        <f aca="false">C191-C197-C198</f>
        <v>6.0004</v>
      </c>
      <c r="D199" s="22" t="n">
        <f aca="false">D191-D197-D198</f>
        <v>7.3785264</v>
      </c>
      <c r="E199" s="22" t="n">
        <f aca="false">E191-E197-E198</f>
        <v>7.74745271999999</v>
      </c>
      <c r="F199" s="22" t="n">
        <f aca="false">F191-F197-F198</f>
        <v>7.9798763016</v>
      </c>
      <c r="G199" s="22" t="n">
        <f aca="false">G191-G197-G198</f>
        <v>8.21927259064801</v>
      </c>
      <c r="K199" s="3" t="s">
        <v>639</v>
      </c>
    </row>
    <row r="200" customFormat="false" ht="17.15" hidden="false" customHeight="false" outlineLevel="0" collapsed="false">
      <c r="A200" s="3" t="s">
        <v>640</v>
      </c>
      <c r="B200" s="0" t="s">
        <v>203</v>
      </c>
      <c r="C200" s="28" t="n">
        <f aca="false">C197+C198+C199-C191</f>
        <v>0</v>
      </c>
      <c r="D200" s="28" t="n">
        <f aca="false">ROUND(D195+D196+D199-D188,9)</f>
        <v>0</v>
      </c>
      <c r="E200" s="28" t="n">
        <f aca="false">ROUND(E195+E196+E199-E188,9)</f>
        <v>0</v>
      </c>
      <c r="F200" s="28" t="n">
        <f aca="false">ROUND(F195+F196+F199-F188,9)</f>
        <v>0</v>
      </c>
      <c r="G200" s="28" t="n">
        <f aca="false">ROUND(G195+G196+G199-G188,9)</f>
        <v>0</v>
      </c>
    </row>
    <row r="201" customFormat="false" ht="17.15" hidden="false" customHeight="false" outlineLevel="0" collapsed="false">
      <c r="A201" s="0" t="s">
        <v>641</v>
      </c>
      <c r="B201" s="0" t="s">
        <v>55</v>
      </c>
      <c r="C201" s="14" t="n">
        <f aca="false">C189/C191</f>
        <v>0.3</v>
      </c>
      <c r="D201" s="14" t="n">
        <f aca="false">D189/D191</f>
        <v>0.521823869871903</v>
      </c>
      <c r="E201" s="14" t="n">
        <f aca="false">E189/E191</f>
        <v>0.639306798394754</v>
      </c>
      <c r="F201" s="14" t="n">
        <f aca="false">F189/F191</f>
        <v>0.613902307575133</v>
      </c>
      <c r="G201" s="14" t="n">
        <f aca="false">G189/G191</f>
        <v>0.633521810078656</v>
      </c>
    </row>
    <row r="202" customFormat="false" ht="17.15" hidden="false" customHeight="false" outlineLevel="0" collapsed="false">
      <c r="A202" s="3" t="s">
        <v>642</v>
      </c>
      <c r="B202" s="0" t="s">
        <v>55</v>
      </c>
      <c r="D202" s="14" t="n">
        <f aca="false">(D184+D188)/D187</f>
        <v>1</v>
      </c>
      <c r="E202" s="14" t="n">
        <f aca="false">(E184+E188)/E187</f>
        <v>1.17030533893803</v>
      </c>
      <c r="F202" s="14" t="n">
        <f aca="false">(F184+F188)/F187</f>
        <v>0.766259342158443</v>
      </c>
      <c r="G202" s="14" t="n">
        <f aca="false">(G184+G188)/G187</f>
        <v>0.718113348391437</v>
      </c>
      <c r="K202" s="3" t="s">
        <v>643</v>
      </c>
    </row>
    <row r="203" customFormat="false" ht="17.15" hidden="false" customHeight="false" outlineLevel="0" collapsed="false">
      <c r="A203" s="3" t="s">
        <v>569</v>
      </c>
      <c r="B203" s="0" t="s">
        <v>96</v>
      </c>
      <c r="D203" s="21" t="n">
        <f aca="false">D189/fx/D173*1000</f>
        <v>73.4578604462224</v>
      </c>
      <c r="E203" s="21" t="n">
        <f aca="false">E189/fx/E173*1000</f>
        <v>70.3864228555647</v>
      </c>
      <c r="F203" s="21" t="n">
        <f aca="false">F189/fx/F173*1000</f>
        <v>85.5101348201402</v>
      </c>
      <c r="G203" s="21" t="n">
        <f aca="false">G189/fx/G173*1000</f>
        <v>84.0586074977229</v>
      </c>
    </row>
    <row r="204" customFormat="false" ht="17.15" hidden="false" customHeight="false" outlineLevel="0" collapsed="false">
      <c r="A204" s="5" t="s">
        <v>644</v>
      </c>
    </row>
    <row r="205" customFormat="false" ht="17.15" hidden="false" customHeight="false" outlineLevel="0" collapsed="false">
      <c r="A205" s="3" t="s">
        <v>645</v>
      </c>
      <c r="B205" s="0" t="s">
        <v>55</v>
      </c>
      <c r="D205" s="14" t="n">
        <f aca="false">a26_gp/D191-d_ai*D201</f>
        <v>0.296655205435058</v>
      </c>
      <c r="K205" s="7" t="s">
        <v>646</v>
      </c>
    </row>
    <row r="206" customFormat="false" ht="17.15" hidden="false" customHeight="false" outlineLevel="0" collapsed="false">
      <c r="A206" s="0" t="s">
        <v>647</v>
      </c>
      <c r="B206" s="0" t="s">
        <v>55</v>
      </c>
      <c r="D206" s="14" t="n">
        <f aca="false">D205+d_ai</f>
        <v>0.396655205435058</v>
      </c>
      <c r="E206" s="14" t="n">
        <f aca="false">1-(1-$D$206)/E180+gmu_27_C</f>
        <v>0.361515838994852</v>
      </c>
      <c r="F206" s="14" t="n">
        <f aca="false">1-(1-$D$206)/F180+gmu_28_C</f>
        <v>0.334190440690281</v>
      </c>
      <c r="G206" s="14" t="n">
        <f aca="false">1-(1-$D$206)/G180+gmu_29_C</f>
        <v>0.304380915267112</v>
      </c>
      <c r="K206" s="7" t="s">
        <v>648</v>
      </c>
    </row>
    <row r="207" customFormat="false" ht="15" hidden="false" customHeight="false" outlineLevel="0" collapsed="false">
      <c r="A207" s="3" t="s">
        <v>503</v>
      </c>
      <c r="B207" s="0" t="s">
        <v>203</v>
      </c>
      <c r="C207" s="22" t="n">
        <f aca="false">a25_gp</f>
        <v>19.683</v>
      </c>
      <c r="D207" s="22" t="n">
        <f aca="false">a26_gp</f>
        <v>36.7701055</v>
      </c>
      <c r="E207" s="22" t="n">
        <f aca="false">E189*E206+E188*$D$205</f>
        <v>49.6115777803005</v>
      </c>
      <c r="F207" s="22" t="n">
        <f aca="false">F189*F206+F188*$D$205</f>
        <v>45.1366123318044</v>
      </c>
      <c r="G207" s="22" t="n">
        <f aca="false">G189*G206+G188*$D$205</f>
        <v>46.1991383724415</v>
      </c>
    </row>
    <row r="208" customFormat="false" ht="15" hidden="false" customHeight="false" outlineLevel="0" collapsed="false">
      <c r="A208" s="3" t="s">
        <v>506</v>
      </c>
      <c r="B208" s="0" t="s">
        <v>55</v>
      </c>
      <c r="C208" s="14" t="n">
        <f aca="false">C207/C191</f>
        <v>0.328028131457903</v>
      </c>
      <c r="D208" s="14" t="n">
        <f aca="false">D207/D191</f>
        <v>0.348837592422248</v>
      </c>
      <c r="E208" s="14" t="n">
        <f aca="false">E207/E191</f>
        <v>0.338121049418025</v>
      </c>
      <c r="F208" s="14" t="n">
        <f aca="false">F207/F191</f>
        <v>0.319698172973615</v>
      </c>
      <c r="G208" s="14" t="n">
        <f aca="false">G207/G191</f>
        <v>0.301549611112003</v>
      </c>
    </row>
    <row r="209" customFormat="false" ht="15" hidden="false" customHeight="false" outlineLevel="0" collapsed="false">
      <c r="A209" s="3" t="s">
        <v>649</v>
      </c>
      <c r="B209" s="0" t="s">
        <v>203</v>
      </c>
      <c r="C209" s="22" t="n">
        <f aca="false">a25_opx</f>
        <v>5.64</v>
      </c>
      <c r="D209" s="22" t="n">
        <f aca="false">a26_opx</f>
        <v>8.4779754</v>
      </c>
      <c r="E209" s="22" t="n">
        <f aca="false">D209*(1+MAX(0,phi*E192))</f>
        <v>10.47199521408</v>
      </c>
      <c r="F209" s="22" t="n">
        <f aca="false">E209*(1+MAX(0,phi*F192))</f>
        <v>10.47199521408</v>
      </c>
      <c r="G209" s="22" t="n">
        <f aca="false">F209*(1+MAX(0,phi*G192))</f>
        <v>11.0069548502977</v>
      </c>
    </row>
    <row r="210" customFormat="false" ht="15" hidden="false" customHeight="false" outlineLevel="0" collapsed="false">
      <c r="A210" s="3" t="s">
        <v>508</v>
      </c>
      <c r="B210" s="0" t="s">
        <v>203</v>
      </c>
      <c r="C210" s="22" t="n">
        <f aca="false">C209</f>
        <v>5.64</v>
      </c>
      <c r="D210" s="22" t="n">
        <f aca="false">D209</f>
        <v>8.4779754</v>
      </c>
      <c r="E210" s="22" t="n">
        <f aca="false">E209+0*E191</f>
        <v>10.47199521408</v>
      </c>
      <c r="F210" s="22" t="n">
        <f aca="false">F209+0*F191</f>
        <v>10.47199521408</v>
      </c>
      <c r="G210" s="22" t="n">
        <f aca="false">G209+0*G191</f>
        <v>11.0069548502977</v>
      </c>
    </row>
    <row r="211" customFormat="false" ht="15" hidden="false" customHeight="false" outlineLevel="0" collapsed="false">
      <c r="A211" s="3" t="s">
        <v>650</v>
      </c>
      <c r="B211" s="0" t="s">
        <v>203</v>
      </c>
      <c r="C211" s="22" t="n">
        <f aca="false">C207-C210</f>
        <v>14.043</v>
      </c>
      <c r="D211" s="22" t="n">
        <f aca="false">D207-D210</f>
        <v>28.2921301</v>
      </c>
      <c r="E211" s="22" t="n">
        <f aca="false">E207-E210</f>
        <v>39.1395825662205</v>
      </c>
      <c r="F211" s="22" t="n">
        <f aca="false">F207-F210</f>
        <v>34.6646171177244</v>
      </c>
      <c r="G211" s="22" t="n">
        <f aca="false">G207-G210</f>
        <v>35.1921835221438</v>
      </c>
    </row>
    <row r="212" customFormat="false" ht="15" hidden="false" customHeight="false" outlineLevel="0" collapsed="false">
      <c r="A212" s="3" t="s">
        <v>514</v>
      </c>
      <c r="B212" s="0" t="s">
        <v>55</v>
      </c>
      <c r="C212" s="14" t="n">
        <f aca="false">C211/C191</f>
        <v>0.23403439770682</v>
      </c>
      <c r="D212" s="14" t="n">
        <f aca="false">D211/D191</f>
        <v>0.268407131673338</v>
      </c>
      <c r="E212" s="14" t="n">
        <f aca="false">E211/E191</f>
        <v>0.26675057160405</v>
      </c>
      <c r="F212" s="14" t="n">
        <f aca="false">F211/F191</f>
        <v>0.245526063806024</v>
      </c>
      <c r="G212" s="14" t="n">
        <f aca="false">G211/G191</f>
        <v>0.229705350124344</v>
      </c>
    </row>
    <row r="213" customFormat="false" ht="17.15" hidden="false" customHeight="false" outlineLevel="0" collapsed="false">
      <c r="A213" s="3" t="s">
        <v>515</v>
      </c>
      <c r="B213" s="0" t="s">
        <v>203</v>
      </c>
      <c r="E213" s="22" t="n">
        <f aca="false">nop_f</f>
        <v>0</v>
      </c>
      <c r="F213" s="22" t="n">
        <f aca="false">nop_f</f>
        <v>0</v>
      </c>
      <c r="G213" s="22" t="n">
        <f aca="false">nop_f</f>
        <v>0</v>
      </c>
      <c r="K213" s="7" t="s">
        <v>651</v>
      </c>
    </row>
    <row r="214" customFormat="false" ht="15" hidden="false" customHeight="false" outlineLevel="0" collapsed="false">
      <c r="A214" s="3" t="s">
        <v>520</v>
      </c>
      <c r="B214" s="0" t="s">
        <v>203</v>
      </c>
      <c r="C214" s="22" t="n">
        <f aca="false">a25_ni</f>
        <v>9.607</v>
      </c>
      <c r="D214" s="22" t="n">
        <f aca="false">a26_ni</f>
        <v>19.6977289395284</v>
      </c>
      <c r="E214" s="22" t="n">
        <f aca="false">(E211+E213)*nir_f</f>
        <v>26.810614057861</v>
      </c>
      <c r="F214" s="22" t="n">
        <f aca="false">(F211+F213)*nir_f</f>
        <v>23.7452627256412</v>
      </c>
      <c r="G214" s="22" t="n">
        <f aca="false">(G211+G213)*nir_f</f>
        <v>24.1066457126685</v>
      </c>
      <c r="H214" s="24" t="n">
        <f aca="false">H191*H219</f>
        <v>23.9266262221067</v>
      </c>
      <c r="I214" s="24" t="n">
        <f aca="false">I191*I219</f>
        <v>23.1443605782874</v>
      </c>
      <c r="J214" s="24" t="n">
        <f aca="false">J191*J219</f>
        <v>21.7913056521722</v>
      </c>
    </row>
    <row r="215" customFormat="false" ht="17.15" hidden="false" customHeight="false" outlineLevel="0" collapsed="false">
      <c r="A215" s="3" t="s">
        <v>523</v>
      </c>
      <c r="B215" s="0" t="s">
        <v>55</v>
      </c>
      <c r="C215" s="14" t="n">
        <f aca="false">C214/C211</f>
        <v>0.684113081250445</v>
      </c>
      <c r="D215" s="14" t="n">
        <f aca="false">D214/D211</f>
        <v>0.696226437171953</v>
      </c>
      <c r="E215" s="14" t="n">
        <f aca="false">E214/E211</f>
        <v>0.685</v>
      </c>
      <c r="F215" s="14" t="n">
        <f aca="false">F214/F211</f>
        <v>0.685</v>
      </c>
      <c r="G215" s="14" t="n">
        <f aca="false">G214/G211</f>
        <v>0.685</v>
      </c>
    </row>
    <row r="216" customFormat="false" ht="17.15" hidden="false" customHeight="false" outlineLevel="0" collapsed="false">
      <c r="A216" s="3" t="s">
        <v>652</v>
      </c>
      <c r="B216" s="3" t="s">
        <v>233</v>
      </c>
      <c r="C216" s="27" t="n">
        <f aca="false">a25_sh</f>
        <v>0.493425783256292</v>
      </c>
      <c r="D216" s="27" t="n">
        <f aca="false">a26_sh</f>
        <v>0.512980850061958</v>
      </c>
      <c r="E216" s="27" t="n">
        <f aca="false">sh_h2*(1+sh_g)</f>
        <v>0.51889356</v>
      </c>
      <c r="F216" s="27" t="n">
        <f aca="false">E216*(1+sh_g)</f>
        <v>0.5240824956</v>
      </c>
      <c r="G216" s="27" t="n">
        <f aca="false">F216*(1+sh_g)</f>
        <v>0.529323320556</v>
      </c>
      <c r="H216" s="29" t="n">
        <f aca="false">G216*(1+sh_g)</f>
        <v>0.53461655376156</v>
      </c>
      <c r="I216" s="29" t="n">
        <f aca="false">H216*(1+sh_g)</f>
        <v>0.539962719299176</v>
      </c>
      <c r="J216" s="29" t="n">
        <f aca="false">I216*(1+sh_g)</f>
        <v>0.545362346492167</v>
      </c>
      <c r="K216" s="7" t="s">
        <v>653</v>
      </c>
    </row>
    <row r="217" customFormat="false" ht="15" hidden="false" customHeight="false" outlineLevel="0" collapsed="false">
      <c r="A217" s="0" t="s">
        <v>526</v>
      </c>
      <c r="B217" s="0" t="s">
        <v>271</v>
      </c>
      <c r="C217" s="23" t="n">
        <f aca="false">C214/C216</f>
        <v>19.47</v>
      </c>
      <c r="D217" s="23" t="n">
        <f aca="false">D214/D216</f>
        <v>38.3985658278458</v>
      </c>
      <c r="E217" s="23" t="n">
        <f aca="false">E214/E216</f>
        <v>51.6688124976171</v>
      </c>
      <c r="F217" s="23" t="n">
        <f aca="false">F214/F216</f>
        <v>45.3082538054554</v>
      </c>
      <c r="G217" s="23" t="n">
        <f aca="false">G214/G216</f>
        <v>45.5423835990203</v>
      </c>
      <c r="H217" s="30" t="n">
        <f aca="false">H214/H216</f>
        <v>44.7547425416572</v>
      </c>
      <c r="I217" s="30" t="n">
        <f aca="false">I214/I216</f>
        <v>42.8628861791177</v>
      </c>
      <c r="J217" s="30" t="n">
        <f aca="false">J214/J216</f>
        <v>39.9574810991927</v>
      </c>
    </row>
    <row r="218" customFormat="false" ht="17.15" hidden="false" customHeight="false" outlineLevel="0" collapsed="false">
      <c r="A218" s="0" t="s">
        <v>654</v>
      </c>
      <c r="B218" s="0" t="s">
        <v>55</v>
      </c>
      <c r="D218" s="14" t="n">
        <f aca="false">D217/C217-1</f>
        <v>0.9721913624985</v>
      </c>
      <c r="E218" s="14" t="n">
        <f aca="false">E217/D217-1</f>
        <v>0.345592247618478</v>
      </c>
      <c r="F218" s="14" t="n">
        <f aca="false">F217/E217-1</f>
        <v>-0.123102474872151</v>
      </c>
      <c r="G218" s="14" t="n">
        <f aca="false">G217/F217-1</f>
        <v>0.00516748658136801</v>
      </c>
      <c r="H218" s="25" t="n">
        <f aca="false">H217/G217-1</f>
        <v>-0.0172946823402542</v>
      </c>
      <c r="I218" s="25" t="n">
        <f aca="false">I217/H217-1</f>
        <v>-0.0422716399447191</v>
      </c>
      <c r="J218" s="25" t="n">
        <f aca="false">J217/I217-1</f>
        <v>-0.0677837014470676</v>
      </c>
    </row>
    <row r="219" customFormat="false" ht="17.15" hidden="false" customHeight="false" outlineLevel="0" collapsed="false">
      <c r="A219" s="3" t="s">
        <v>655</v>
      </c>
      <c r="B219" s="0" t="s">
        <v>55</v>
      </c>
      <c r="C219" s="14" t="n">
        <f aca="false">C214/C191</f>
        <v>0.160105992933804</v>
      </c>
      <c r="D219" s="14" t="n">
        <f aca="false">D214/D191</f>
        <v>0.186872140996471</v>
      </c>
      <c r="E219" s="14" t="n">
        <f aca="false">E214/E191</f>
        <v>0.182724141548774</v>
      </c>
      <c r="F219" s="14" t="n">
        <f aca="false">F214/F191</f>
        <v>0.168185353707127</v>
      </c>
      <c r="G219" s="14" t="n">
        <f aca="false">G214/G191</f>
        <v>0.157348164835176</v>
      </c>
      <c r="H219" s="25" t="n">
        <f aca="false">$G219+(fade_mC-$G219)*1/3</f>
        <v>0.146858287179498</v>
      </c>
      <c r="I219" s="25" t="n">
        <f aca="false">$G219+(fade_mC-$G219)*2/3</f>
        <v>0.136368409523819</v>
      </c>
      <c r="J219" s="25" t="n">
        <f aca="false">$G219+(fade_mC-$G219)*3/3</f>
        <v>0.125878531868141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658</v>
      </c>
    </row>
    <row r="2" customFormat="false" ht="17.15" hidden="false" customHeight="false" outlineLevel="0" collapsed="false">
      <c r="A2" s="3" t="s">
        <v>659</v>
      </c>
    </row>
    <row r="4" customFormat="false" ht="17.15" hidden="false" customHeight="false" outlineLevel="0" collapsed="false">
      <c r="A4" s="5" t="s">
        <v>660</v>
      </c>
    </row>
    <row r="5" customFormat="false" ht="17.15" hidden="false" customHeight="false" outlineLevel="0" collapsed="false">
      <c r="A5" s="5" t="s">
        <v>661</v>
      </c>
    </row>
    <row r="6" customFormat="false" ht="17.15" hidden="false" customHeight="false" outlineLevel="0" collapsed="false">
      <c r="A6" s="4" t="s">
        <v>24</v>
      </c>
      <c r="B6" s="15" t="s">
        <v>662</v>
      </c>
      <c r="C6" s="15" t="s">
        <v>663</v>
      </c>
      <c r="D6" s="15" t="s">
        <v>664</v>
      </c>
      <c r="E6" s="4" t="s">
        <v>458</v>
      </c>
    </row>
    <row r="7" customFormat="false" ht="17.15" hidden="false" customHeight="false" outlineLevel="0" collapsed="false">
      <c r="A7" s="3" t="s">
        <v>665</v>
      </c>
      <c r="E7" s="0" t="s">
        <v>666</v>
      </c>
    </row>
    <row r="8" customFormat="false" ht="15" hidden="false" customHeight="false" outlineLevel="0" collapsed="false">
      <c r="A8" s="0" t="s">
        <v>667</v>
      </c>
      <c r="B8" s="18" t="n">
        <f aca="false">PL!E14</f>
        <v>66.1242832960332</v>
      </c>
      <c r="C8" s="18" t="n">
        <f aca="false">PL!E27</f>
        <v>60.1510234165269</v>
      </c>
      <c r="D8" s="18" t="n">
        <f aca="false">PL!E40</f>
        <v>51.6688124976171</v>
      </c>
    </row>
    <row r="9" customFormat="false" ht="15" hidden="false" customHeight="false" outlineLevel="0" collapsed="false">
      <c r="A9" s="0" t="s">
        <v>668</v>
      </c>
      <c r="B9" s="18" t="n">
        <f aca="false">PL!F14</f>
        <v>90.0448215233073</v>
      </c>
      <c r="C9" s="18" t="n">
        <f aca="false">PL!F27</f>
        <v>76.5615690275167</v>
      </c>
      <c r="D9" s="18" t="n">
        <f aca="false">PL!F40</f>
        <v>45.3082538054554</v>
      </c>
    </row>
    <row r="10" customFormat="false" ht="15" hidden="false" customHeight="false" outlineLevel="0" collapsed="false">
      <c r="A10" s="0" t="s">
        <v>669</v>
      </c>
      <c r="B10" s="18" t="n">
        <f aca="false">PL!G14</f>
        <v>106.980542121886</v>
      </c>
      <c r="C10" s="18" t="n">
        <f aca="false">PL!G27</f>
        <v>87.7174188240072</v>
      </c>
      <c r="D10" s="18" t="n">
        <f aca="false">PL!G40</f>
        <v>45.5423835990203</v>
      </c>
    </row>
    <row r="11" customFormat="false" ht="15" hidden="false" customHeight="false" outlineLevel="0" collapsed="false">
      <c r="A11" s="0" t="s">
        <v>670</v>
      </c>
      <c r="B11" s="18" t="n">
        <f aca="false">PL!H14</f>
        <v>121.22982112668</v>
      </c>
      <c r="C11" s="18" t="n">
        <f aca="false">PL!H27</f>
        <v>91.7846930744266</v>
      </c>
      <c r="D11" s="18" t="n">
        <f aca="false">PL!H40</f>
        <v>44.7547425416572</v>
      </c>
    </row>
    <row r="12" customFormat="false" ht="15" hidden="false" customHeight="false" outlineLevel="0" collapsed="false">
      <c r="A12" s="0" t="s">
        <v>671</v>
      </c>
      <c r="B12" s="18" t="n">
        <f aca="false">PL!I14</f>
        <v>132.304165513696</v>
      </c>
      <c r="C12" s="18" t="n">
        <f aca="false">PL!I27</f>
        <v>91.8388823404776</v>
      </c>
      <c r="D12" s="18" t="n">
        <f aca="false">PL!I40</f>
        <v>42.8628861791177</v>
      </c>
    </row>
    <row r="13" customFormat="false" ht="15" hidden="false" customHeight="false" outlineLevel="0" collapsed="false">
      <c r="A13" s="0" t="s">
        <v>672</v>
      </c>
      <c r="B13" s="18" t="n">
        <f aca="false">PL!J14</f>
        <v>138.85387667774</v>
      </c>
      <c r="C13" s="18" t="n">
        <f aca="false">PL!J27</f>
        <v>87.6640860103551</v>
      </c>
      <c r="D13" s="18" t="n">
        <f aca="false">PL!J40</f>
        <v>39.9574810991927</v>
      </c>
    </row>
    <row r="14" customFormat="false" ht="17.15" hidden="false" customHeight="false" outlineLevel="0" collapsed="false">
      <c r="A14" s="3" t="s">
        <v>673</v>
      </c>
    </row>
    <row r="15" customFormat="false" ht="17.15" hidden="false" customHeight="false" outlineLevel="0" collapsed="false">
      <c r="A15" s="3" t="s">
        <v>674</v>
      </c>
      <c r="B15" s="14" t="n">
        <f aca="false">MIN(tp_g/tp_roe,0.8)</f>
        <v>0.137662039692555</v>
      </c>
      <c r="E15" s="7" t="s">
        <v>675</v>
      </c>
    </row>
    <row r="16" customFormat="false" ht="15" hidden="false" customHeight="false" outlineLevel="0" collapsed="false">
      <c r="A16" s="0" t="s">
        <v>667</v>
      </c>
      <c r="B16" s="18" t="n">
        <f aca="false">B8*(1-$B$15)</f>
        <v>57.021479584293</v>
      </c>
      <c r="C16" s="18" t="n">
        <f aca="false">C8*(1-$B$15)</f>
        <v>51.8705108434132</v>
      </c>
      <c r="D16" s="18" t="n">
        <f aca="false">D8*(1-$B$15)</f>
        <v>44.555978380703</v>
      </c>
    </row>
    <row r="17" customFormat="false" ht="15" hidden="false" customHeight="false" outlineLevel="0" collapsed="false">
      <c r="A17" s="0" t="s">
        <v>668</v>
      </c>
      <c r="B17" s="18" t="n">
        <f aca="false">B9*(1-$B$15)</f>
        <v>77.6490677286568</v>
      </c>
      <c r="C17" s="18" t="n">
        <f aca="false">C9*(1-$B$15)</f>
        <v>66.0219472731264</v>
      </c>
      <c r="D17" s="18" t="n">
        <f aca="false">D9*(1-$B$15)</f>
        <v>39.0710271716884</v>
      </c>
    </row>
    <row r="18" customFormat="false" ht="15" hidden="false" customHeight="false" outlineLevel="0" collapsed="false">
      <c r="A18" s="0" t="s">
        <v>669</v>
      </c>
      <c r="B18" s="18" t="n">
        <f aca="false">B10*(1-$B$15)</f>
        <v>92.2533824859717</v>
      </c>
      <c r="C18" s="18" t="n">
        <f aca="false">C10*(1-$B$15)</f>
        <v>75.6420600321282</v>
      </c>
      <c r="D18" s="18" t="n">
        <f aca="false">D10*(1-$B$15)</f>
        <v>39.2729261803184</v>
      </c>
    </row>
    <row r="19" customFormat="false" ht="15" hidden="false" customHeight="false" outlineLevel="0" collapsed="false">
      <c r="A19" s="0" t="s">
        <v>670</v>
      </c>
      <c r="B19" s="18" t="n">
        <f aca="false">B11*(1-$B$15)</f>
        <v>104.541076678818</v>
      </c>
      <c r="C19" s="18" t="n">
        <f aca="false">C11*(1-$B$15)</f>
        <v>79.149425013246</v>
      </c>
      <c r="D19" s="18" t="n">
        <f aca="false">D11*(1-$B$15)</f>
        <v>38.5937133974575</v>
      </c>
    </row>
    <row r="20" customFormat="false" ht="15" hidden="false" customHeight="false" outlineLevel="0" collapsed="false">
      <c r="A20" s="0" t="s">
        <v>671</v>
      </c>
      <c r="B20" s="18" t="n">
        <f aca="false">B12*(1-$B$15)</f>
        <v>114.090904229259</v>
      </c>
      <c r="C20" s="18" t="n">
        <f aca="false">C12*(1-$B$15)</f>
        <v>79.1961544744029</v>
      </c>
      <c r="D20" s="18" t="n">
        <f aca="false">D12*(1-$B$15)</f>
        <v>36.9622938405905</v>
      </c>
    </row>
    <row r="21" customFormat="false" ht="15" hidden="false" customHeight="false" outlineLevel="0" collapsed="false">
      <c r="A21" s="0" t="s">
        <v>672</v>
      </c>
      <c r="B21" s="18" t="n">
        <f aca="false">B13*(1-$B$15)</f>
        <v>119.738968795064</v>
      </c>
      <c r="C21" s="18" t="n">
        <f aca="false">C13*(1-$B$15)</f>
        <v>75.596069122386</v>
      </c>
      <c r="D21" s="18" t="n">
        <f aca="false">D13*(1-$B$15)</f>
        <v>34.4568527501011</v>
      </c>
    </row>
    <row r="22" customFormat="false" ht="17.15" hidden="false" customHeight="false" outlineLevel="0" collapsed="false">
      <c r="A22" s="0" t="s">
        <v>676</v>
      </c>
      <c r="B22" s="18" t="n">
        <f aca="false">MAX(0,SUMPRODUCT(B16:B21,1/(1+tp_r)^{1;2;3;4;5;6})+B21*(1+tp_g)/(tp_r-tp_g)/(1+tp_r)^6)</f>
        <v>1566.70757630063</v>
      </c>
      <c r="C22" s="18" t="n">
        <f aca="false">MAX(0,SUMPRODUCT(C16:C21,1/(1+tp_r)^{1;2;3;4;5;6})+C21*(1+tp_g)/(tp_r-tp_g)/(1+tp_r)^6)</f>
        <v>1044.1044928298</v>
      </c>
      <c r="D22" s="18" t="n">
        <f aca="false">MAX(0,SUMPRODUCT(D16:D21,1/(1+tp_r)^{1;2;3;4;5;6})+D21*(1+tp_g)/(tp_r-tp_g)/(1+tp_r)^6)</f>
        <v>508.195815944661</v>
      </c>
      <c r="E22" s="7" t="s">
        <v>677</v>
      </c>
    </row>
    <row r="23" customFormat="false" ht="17.15" hidden="false" customHeight="false" outlineLevel="0" collapsed="false">
      <c r="A23" s="0" t="s">
        <v>678</v>
      </c>
      <c r="B23" s="18" t="n">
        <f aca="false">B22*(1+tp_r)</f>
        <v>1723.37833393069</v>
      </c>
      <c r="C23" s="18" t="n">
        <f aca="false">C22*(1+tp_r)</f>
        <v>1148.51494211278</v>
      </c>
      <c r="D23" s="18" t="n">
        <f aca="false">D22*(1+tp_r)</f>
        <v>559.015397539127</v>
      </c>
    </row>
    <row r="24" customFormat="false" ht="17.15" hidden="false" customHeight="false" outlineLevel="0" collapsed="false">
      <c r="A24" s="0" t="s">
        <v>679</v>
      </c>
      <c r="B24" s="31" t="n">
        <f aca="false">tp_wA*B23+tp_wB*C23+tp_wC*D23</f>
        <v>1203.07405074342</v>
      </c>
      <c r="E24" s="7" t="s">
        <v>680</v>
      </c>
    </row>
    <row r="26" customFormat="false" ht="17.15" hidden="false" customHeight="false" outlineLevel="0" collapsed="false">
      <c r="A26" s="5" t="s">
        <v>681</v>
      </c>
    </row>
    <row r="27" customFormat="false" ht="17.15" hidden="false" customHeight="false" outlineLevel="0" collapsed="false">
      <c r="A27" s="4" t="s">
        <v>682</v>
      </c>
      <c r="B27" s="4" t="s">
        <v>683</v>
      </c>
      <c r="C27" s="4" t="s">
        <v>684</v>
      </c>
      <c r="D27" s="4" t="s">
        <v>685</v>
      </c>
      <c r="E27" s="4" t="s">
        <v>686</v>
      </c>
      <c r="F27" s="4" t="s">
        <v>29</v>
      </c>
    </row>
    <row r="28" customFormat="false" ht="17.15" hidden="false" customHeight="false" outlineLevel="0" collapsed="false">
      <c r="A28" s="3" t="s">
        <v>687</v>
      </c>
      <c r="B28" s="0" t="s">
        <v>688</v>
      </c>
      <c r="C28" s="32" t="n">
        <v>13.96</v>
      </c>
      <c r="D28" s="7" t="s">
        <v>689</v>
      </c>
      <c r="E28" s="7" t="s">
        <v>690</v>
      </c>
      <c r="F28" s="7" t="s">
        <v>56</v>
      </c>
    </row>
    <row r="29" customFormat="false" ht="17.15" hidden="false" customHeight="false" outlineLevel="0" collapsed="false">
      <c r="A29" s="3" t="s">
        <v>691</v>
      </c>
      <c r="B29" s="0" t="s">
        <v>692</v>
      </c>
      <c r="C29" s="32" t="n">
        <v>20.76</v>
      </c>
      <c r="D29" s="7" t="s">
        <v>693</v>
      </c>
      <c r="E29" s="7" t="s">
        <v>690</v>
      </c>
      <c r="F29" s="7" t="s">
        <v>56</v>
      </c>
    </row>
    <row r="30" customFormat="false" ht="17.15" hidden="false" customHeight="false" outlineLevel="0" collapsed="false">
      <c r="A30" s="3" t="s">
        <v>694</v>
      </c>
      <c r="B30" s="0" t="s">
        <v>695</v>
      </c>
      <c r="C30" s="32" t="n">
        <v>25.13</v>
      </c>
      <c r="D30" s="7" t="s">
        <v>696</v>
      </c>
      <c r="E30" s="7" t="s">
        <v>690</v>
      </c>
      <c r="F30" s="7" t="s">
        <v>56</v>
      </c>
    </row>
    <row r="31" customFormat="false" ht="17.15" hidden="false" customHeight="false" outlineLevel="0" collapsed="false">
      <c r="A31" s="3" t="s">
        <v>697</v>
      </c>
      <c r="B31" s="0" t="s">
        <v>698</v>
      </c>
      <c r="C31" s="32" t="n">
        <v>18.49</v>
      </c>
      <c r="D31" s="7" t="s">
        <v>699</v>
      </c>
      <c r="E31" s="7" t="s">
        <v>690</v>
      </c>
      <c r="F31" s="7" t="s">
        <v>56</v>
      </c>
    </row>
    <row r="32" customFormat="false" ht="17.15" hidden="false" customHeight="false" outlineLevel="0" collapsed="false">
      <c r="A32" s="0" t="s">
        <v>700</v>
      </c>
      <c r="B32" s="0" t="s">
        <v>701</v>
      </c>
      <c r="C32" s="32" t="n">
        <v>10.31</v>
      </c>
      <c r="D32" s="7" t="s">
        <v>702</v>
      </c>
      <c r="E32" s="7" t="s">
        <v>690</v>
      </c>
      <c r="F32" s="7" t="s">
        <v>56</v>
      </c>
    </row>
    <row r="33" customFormat="false" ht="17.15" hidden="false" customHeight="false" outlineLevel="0" collapsed="false">
      <c r="A33" s="3" t="s">
        <v>703</v>
      </c>
    </row>
    <row r="34" customFormat="false" ht="17.15" hidden="false" customHeight="false" outlineLevel="0" collapsed="false">
      <c r="A34" s="3" t="s">
        <v>704</v>
      </c>
      <c r="B34" s="20" t="n">
        <f aca="false">MEDIAN(C28:C32)</f>
        <v>18.49</v>
      </c>
      <c r="E34" s="3" t="s">
        <v>705</v>
      </c>
    </row>
    <row r="35" customFormat="false" ht="17.15" hidden="false" customHeight="false" outlineLevel="0" collapsed="false">
      <c r="A35" s="0" t="s">
        <v>706</v>
      </c>
      <c r="B35" s="18" t="n">
        <f aca="false">tp_wA*(2/12*B8+10/12*B9)+tp_wB*(2/12*C8+10/12*C9)+tp_wC*(2/12*D8+10/12*D9)</f>
        <v>72.0043279759675</v>
      </c>
      <c r="E35" s="3" t="s">
        <v>707</v>
      </c>
    </row>
    <row r="36" customFormat="false" ht="17.15" hidden="false" customHeight="false" outlineLevel="0" collapsed="false">
      <c r="A36" s="0" t="s">
        <v>708</v>
      </c>
      <c r="B36" s="31" t="n">
        <f aca="false">B34*B35</f>
        <v>1331.36002427564</v>
      </c>
      <c r="E36" s="3" t="s">
        <v>709</v>
      </c>
    </row>
    <row r="38" customFormat="false" ht="17.15" hidden="false" customHeight="false" outlineLevel="0" collapsed="false">
      <c r="A38" s="5" t="s">
        <v>710</v>
      </c>
    </row>
    <row r="39" customFormat="false" ht="15" hidden="false" customHeight="false" outlineLevel="0" collapsed="false">
      <c r="A39" s="4" t="s">
        <v>24</v>
      </c>
      <c r="B39" s="4" t="s">
        <v>711</v>
      </c>
      <c r="C39" s="4"/>
      <c r="D39" s="4"/>
      <c r="E39" s="4" t="s">
        <v>458</v>
      </c>
    </row>
    <row r="40" customFormat="false" ht="17.15" hidden="false" customHeight="false" outlineLevel="0" collapsed="false">
      <c r="A40" s="3" t="s">
        <v>712</v>
      </c>
      <c r="B40" s="31" t="n">
        <f aca="false">tp_w_dcf*B24+(1-tp_w_dcf)*tp_comp_adj</f>
        <v>1724.01557874675</v>
      </c>
      <c r="E40" s="7" t="s">
        <v>713</v>
      </c>
    </row>
    <row r="41" customFormat="false" ht="17.15" hidden="false" customHeight="false" outlineLevel="0" collapsed="false">
      <c r="A41" s="0" t="s">
        <v>714</v>
      </c>
      <c r="B41" s="18" t="n">
        <f aca="false">B36</f>
        <v>1331.36002427564</v>
      </c>
    </row>
    <row r="42" customFormat="false" ht="17.15" hidden="false" customHeight="false" outlineLevel="0" collapsed="false">
      <c r="A42" s="3" t="s">
        <v>715</v>
      </c>
      <c r="B42" s="18" t="n">
        <f aca="false">cons_tp</f>
        <v>1554</v>
      </c>
      <c r="E42" s="7" t="s">
        <v>716</v>
      </c>
    </row>
    <row r="43" customFormat="false" ht="17.15" hidden="false" customHeight="false" outlineLevel="0" collapsed="false">
      <c r="A43" s="3" t="s">
        <v>717</v>
      </c>
      <c r="B43" s="14" t="n">
        <f aca="false">B40/px-1</f>
        <v>0.546202312777358</v>
      </c>
      <c r="E43" s="3" t="s">
        <v>718</v>
      </c>
    </row>
    <row r="44" customFormat="false" ht="17.15" hidden="false" customHeight="false" outlineLevel="0" collapsed="false">
      <c r="A44" s="3" t="s">
        <v>719</v>
      </c>
      <c r="B44" s="14" t="n">
        <f aca="false">B41/px-1</f>
        <v>0.194044864821201</v>
      </c>
    </row>
    <row r="45" customFormat="false" ht="17.15" hidden="false" customHeight="false" outlineLevel="0" collapsed="false">
      <c r="A45" s="3" t="s">
        <v>720</v>
      </c>
      <c r="B45" s="14" t="n">
        <f aca="false">B35/cons_feps-1</f>
        <v>0.263788967255322</v>
      </c>
      <c r="E45" s="3" t="s">
        <v>721</v>
      </c>
    </row>
    <row r="46" customFormat="false" ht="17.15" hidden="false" customHeight="false" outlineLevel="0" collapsed="false">
      <c r="A46" s="3" t="s">
        <v>722</v>
      </c>
      <c r="B46" s="14" t="n">
        <f aca="false">(cons_tp/cons_feps)/B34-1</f>
        <v>0.475129205703241</v>
      </c>
      <c r="E46" s="0" t="str">
        <f aca="false">"共識目標價隱含 "&amp;TEXT(cons_tp/cons_feps,"0.0")&amp;"x，同業中位數 "&amp;TEXT(B34,"0.0")&amp;"x"</f>
        <v>共識目標價隱含 27.3x，同業中位數 18.5x</v>
      </c>
    </row>
    <row r="47" customFormat="false" ht="17.15" hidden="false" customHeight="false" outlineLevel="0" collapsed="false">
      <c r="A47" s="3" t="s">
        <v>723</v>
      </c>
      <c r="B47" s="33" t="str">
        <f aca="false">TEXT(D23,"0.00")&amp;"～"&amp;TEXT(B23,"0.00")</f>
        <v>559.02～1723.38</v>
      </c>
      <c r="E47" s="7" t="s">
        <v>724</v>
      </c>
    </row>
    <row r="48" customFormat="false" ht="17.15" hidden="false" customHeight="false" outlineLevel="0" collapsed="false">
      <c r="A48" s="3" t="s">
        <v>725</v>
      </c>
      <c r="B48" s="34" t="n">
        <f aca="false">IF(px/B9&lt;MIN($B$90:$B$99),0,IF(px/B9&gt;MAX($B$90:$B$99),1,PERCENTRANK($B$90:$B$99,px/B9)))</f>
        <v>0.111</v>
      </c>
      <c r="C48" s="34" t="n">
        <f aca="false">IF(px/C9&lt;MIN($B$90:$B$99),0,IF(px/C9&gt;MAX($B$90:$B$99),1,PERCENTRANK($B$90:$B$99,px/C9)))</f>
        <v>0.272</v>
      </c>
      <c r="D48" s="34" t="n">
        <f aca="false">IF(px/D9&lt;MIN($B$90:$B$99),0,IF(px/D9&gt;MAX($B$90:$B$99),1,PERCENTRANK($B$90:$B$99,px/D9)))</f>
        <v>0.425</v>
      </c>
      <c r="E48" s="3" t="s">
        <v>726</v>
      </c>
    </row>
    <row r="49" customFormat="false" ht="17.15" hidden="false" customHeight="false" outlineLevel="0" collapsed="false">
      <c r="A49" s="3" t="s">
        <v>727</v>
      </c>
      <c r="B49" s="0" t="s">
        <v>728</v>
      </c>
    </row>
    <row r="51" customFormat="false" ht="17.15" hidden="false" customHeight="false" outlineLevel="0" collapsed="false">
      <c r="A51" s="5" t="s">
        <v>729</v>
      </c>
    </row>
    <row r="52" customFormat="false" ht="15" hidden="false" customHeight="false" outlineLevel="0" collapsed="false">
      <c r="A52" s="4" t="s">
        <v>24</v>
      </c>
      <c r="B52" s="15" t="s">
        <v>730</v>
      </c>
      <c r="C52" s="15" t="s">
        <v>731</v>
      </c>
      <c r="D52" s="15" t="s">
        <v>732</v>
      </c>
      <c r="E52" s="4" t="s">
        <v>458</v>
      </c>
    </row>
    <row r="53" customFormat="false" ht="17.15" hidden="false" customHeight="false" outlineLevel="0" collapsed="false">
      <c r="A53" s="3" t="s">
        <v>733</v>
      </c>
      <c r="B53" s="18" t="n">
        <f aca="false">px</f>
        <v>1115</v>
      </c>
    </row>
    <row r="54" customFormat="false" ht="17.15" hidden="false" customHeight="false" outlineLevel="0" collapsed="false">
      <c r="A54" s="3" t="s">
        <v>734</v>
      </c>
      <c r="B54" s="20" t="n">
        <f aca="false">px/PL!D14</f>
        <v>29.0375428342541</v>
      </c>
      <c r="C54" s="20" t="n">
        <f aca="false">px/PL!D27</f>
        <v>29.0375428342541</v>
      </c>
      <c r="D54" s="20" t="n">
        <f aca="false">px/PL!D40</f>
        <v>29.0375428342541</v>
      </c>
      <c r="E54" s="7" t="s">
        <v>735</v>
      </c>
    </row>
    <row r="55" customFormat="false" ht="17.15" hidden="false" customHeight="false" outlineLevel="0" collapsed="false">
      <c r="A55" s="3" t="s">
        <v>736</v>
      </c>
      <c r="B55" s="20" t="n">
        <f aca="false">px/PL!E14</f>
        <v>16.8621865436066</v>
      </c>
      <c r="C55" s="20" t="n">
        <f aca="false">px/PL!E27</f>
        <v>18.5366754656687</v>
      </c>
      <c r="D55" s="20" t="n">
        <f aca="false">px/PL!E40</f>
        <v>21.579748906585</v>
      </c>
      <c r="E55" s="7" t="s">
        <v>737</v>
      </c>
    </row>
    <row r="56" customFormat="false" ht="17.15" hidden="false" customHeight="false" outlineLevel="0" collapsed="false">
      <c r="A56" s="3" t="s">
        <v>738</v>
      </c>
      <c r="B56" s="20" t="n">
        <f aca="false">px/PL!F14</f>
        <v>12.3827220837058</v>
      </c>
      <c r="C56" s="20" t="n">
        <f aca="false">px/PL!F27</f>
        <v>14.5634423923478</v>
      </c>
      <c r="D56" s="20" t="n">
        <f aca="false">px/PL!F40</f>
        <v>24.6092026584734</v>
      </c>
    </row>
    <row r="57" customFormat="false" ht="17.15" hidden="false" customHeight="false" outlineLevel="0" collapsed="false">
      <c r="A57" s="3" t="s">
        <v>739</v>
      </c>
      <c r="B57" s="20" t="n">
        <f aca="false">px/PL!G14</f>
        <v>10.4224560642967</v>
      </c>
      <c r="C57" s="20" t="n">
        <f aca="false">px/PL!G27</f>
        <v>12.7112723441748</v>
      </c>
      <c r="D57" s="20" t="n">
        <f aca="false">px/PL!G40</f>
        <v>24.4826886931756</v>
      </c>
    </row>
    <row r="58" customFormat="false" ht="17.15" hidden="false" customHeight="false" outlineLevel="0" collapsed="false">
      <c r="A58" s="3" t="s">
        <v>740</v>
      </c>
      <c r="B58" s="18" t="n">
        <f aca="false">0.2*PL!D27+0.8*PL!E27</f>
        <v>55.8005318987907</v>
      </c>
    </row>
    <row r="59" customFormat="false" ht="17.15" hidden="false" customHeight="false" outlineLevel="0" collapsed="false">
      <c r="A59" s="3" t="s">
        <v>741</v>
      </c>
      <c r="B59" s="20" t="n">
        <f aca="false">px/B58</f>
        <v>19.981888380963</v>
      </c>
    </row>
    <row r="60" customFormat="false" ht="17.15" hidden="false" customHeight="false" outlineLevel="0" collapsed="false">
      <c r="A60" s="3" t="s">
        <v>339</v>
      </c>
      <c r="B60" s="20" t="n">
        <f aca="false">pe_ttm</f>
        <v>39.79</v>
      </c>
    </row>
    <row r="61" customFormat="false" ht="17.15" hidden="false" customHeight="false" outlineLevel="0" collapsed="false">
      <c r="A61" s="3" t="s">
        <v>343</v>
      </c>
      <c r="B61" s="20" t="n">
        <f aca="false">fpe</f>
        <v>19.57</v>
      </c>
    </row>
    <row r="63" customFormat="false" ht="17.15" hidden="false" customHeight="false" outlineLevel="0" collapsed="false">
      <c r="A63" s="5" t="s">
        <v>742</v>
      </c>
    </row>
    <row r="64" customFormat="false" ht="17.15" hidden="false" customHeight="false" outlineLevel="0" collapsed="false">
      <c r="A64" s="4" t="s">
        <v>743</v>
      </c>
      <c r="B64" s="4" t="s">
        <v>744</v>
      </c>
      <c r="C64" s="15" t="s">
        <v>745</v>
      </c>
      <c r="D64" s="4" t="s">
        <v>746</v>
      </c>
      <c r="E64" s="4" t="s">
        <v>747</v>
      </c>
      <c r="F64" s="4" t="s">
        <v>458</v>
      </c>
    </row>
    <row r="65" customFormat="false" ht="17.15" hidden="false" customHeight="false" outlineLevel="0" collapsed="false">
      <c r="A65" s="0" t="s">
        <v>730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30.07</v>
      </c>
      <c r="E65" s="0" t="str">
        <f aca="false">IF(B65=2029,"是：營收到觀測期末仍在增加","否")</f>
        <v>是：營收到觀測期末仍在增加</v>
      </c>
      <c r="F65" s="7" t="s">
        <v>748</v>
      </c>
    </row>
    <row r="66" customFormat="false" ht="15" hidden="false" customHeight="false" outlineLevel="0" collapsed="false">
      <c r="A66" s="0" t="s">
        <v>731</v>
      </c>
      <c r="B66" s="0" t="n">
        <f aca="false">INDEX({2026,2027,2028,2029},MATCH(MAX(PL!D137:G137),PL!D137:G137,0))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30.07</v>
      </c>
      <c r="E66" s="0" t="str">
        <f aca="false">IF(B66=2029,"是：營收到觀測期末仍在增加","否")</f>
        <v>是：營收到觀測期末仍在增加</v>
      </c>
      <c r="F66" s="3" t="s">
        <v>41</v>
      </c>
    </row>
    <row r="67" customFormat="false" ht="15" hidden="false" customHeight="false" outlineLevel="0" collapsed="false">
      <c r="A67" s="0" t="s">
        <v>732</v>
      </c>
      <c r="B67" s="0" t="n">
        <f aca="false">INDEX({2026,2027,2028,2029},MATCH(MAX(PL!D191:G191),PL!D191:G191,0))</f>
        <v>2029</v>
      </c>
      <c r="C67" s="0" t="str">
        <f aca="false">IF(B67=2029,"中段",IF(2027&lt;B67,"中段",IF(2027=B67,"見頂","谷底")))</f>
        <v>中段</v>
      </c>
      <c r="D67" s="20" t="n">
        <f aca="false">IF(C67="見頂",pe_peak,IF(C67="谷底",pe_trough,pe_mid))</f>
        <v>30.07</v>
      </c>
      <c r="E67" s="0" t="str">
        <f aca="false">IF(B67=2029,"是：營收到觀測期末仍在增加","否")</f>
        <v>是：營收到觀測期末仍在增加</v>
      </c>
      <c r="F67" s="3" t="s">
        <v>41</v>
      </c>
    </row>
    <row r="69" customFormat="false" ht="17.15" hidden="false" customHeight="false" outlineLevel="0" collapsed="false">
      <c r="A69" s="5" t="s">
        <v>749</v>
      </c>
    </row>
    <row r="70" customFormat="false" ht="17.15" hidden="false" customHeight="false" outlineLevel="0" collapsed="false">
      <c r="A70" s="4" t="s">
        <v>743</v>
      </c>
      <c r="B70" s="15" t="s">
        <v>750</v>
      </c>
      <c r="C70" s="4" t="s">
        <v>751</v>
      </c>
      <c r="D70" s="4" t="s">
        <v>752</v>
      </c>
      <c r="E70" s="4" t="s">
        <v>753</v>
      </c>
      <c r="F70" s="4" t="s">
        <v>754</v>
      </c>
      <c r="G70" s="4" t="s">
        <v>755</v>
      </c>
    </row>
    <row r="71" customFormat="false" ht="15" hidden="false" customHeight="false" outlineLevel="0" collapsed="false">
      <c r="A71" s="9" t="s">
        <v>730</v>
      </c>
      <c r="B71" s="31" t="n">
        <f aca="false">PL!E14</f>
        <v>66.1242832960332</v>
      </c>
      <c r="C71" s="31" t="n">
        <f aca="false">B71</f>
        <v>66.1242832960332</v>
      </c>
      <c r="D71" s="35" t="n">
        <f aca="false">D65</f>
        <v>30.07</v>
      </c>
      <c r="E71" s="31" t="n">
        <f aca="false">C71*D71</f>
        <v>1988.35719871172</v>
      </c>
      <c r="F71" s="36" t="n">
        <f aca="false">E71/px-1</f>
        <v>0.783279998844591</v>
      </c>
      <c r="G71" s="35" t="n">
        <f aca="false">px/C71</f>
        <v>16.8621865436066</v>
      </c>
    </row>
    <row r="72" customFormat="false" ht="15" hidden="false" customHeight="false" outlineLevel="0" collapsed="false">
      <c r="A72" s="9" t="s">
        <v>731</v>
      </c>
      <c r="B72" s="31" t="n">
        <f aca="false">PL!E27</f>
        <v>60.1510234165269</v>
      </c>
      <c r="C72" s="31" t="n">
        <f aca="false">B72</f>
        <v>60.1510234165269</v>
      </c>
      <c r="D72" s="35" t="n">
        <f aca="false">D66</f>
        <v>30.07</v>
      </c>
      <c r="E72" s="31" t="n">
        <f aca="false">C72*D72</f>
        <v>1808.74127413496</v>
      </c>
      <c r="F72" s="36" t="n">
        <f aca="false">E72/px-1</f>
        <v>0.622189483529115</v>
      </c>
      <c r="G72" s="35" t="n">
        <f aca="false">px/C72</f>
        <v>18.5366754656687</v>
      </c>
    </row>
    <row r="73" customFormat="false" ht="15" hidden="false" customHeight="false" outlineLevel="0" collapsed="false">
      <c r="A73" s="9" t="s">
        <v>732</v>
      </c>
      <c r="B73" s="31" t="n">
        <f aca="false">PL!E40</f>
        <v>51.6688124976171</v>
      </c>
      <c r="C73" s="31" t="n">
        <f aca="false">B73</f>
        <v>51.6688124976171</v>
      </c>
      <c r="D73" s="35" t="n">
        <f aca="false">D67</f>
        <v>30.07</v>
      </c>
      <c r="E73" s="31" t="n">
        <f aca="false">C73*D73</f>
        <v>1553.68119180335</v>
      </c>
      <c r="F73" s="36" t="n">
        <f aca="false">E73/px-1</f>
        <v>0.393436046460401</v>
      </c>
      <c r="G73" s="35" t="n">
        <f aca="false">px/C73</f>
        <v>21.579748906585</v>
      </c>
    </row>
    <row r="75" customFormat="false" ht="17.15" hidden="false" customHeight="false" outlineLevel="0" collapsed="false">
      <c r="A75" s="5" t="s">
        <v>756</v>
      </c>
    </row>
    <row r="76" customFormat="false" ht="17.15" hidden="false" customHeight="false" outlineLevel="0" collapsed="false">
      <c r="A76" s="15" t="s">
        <v>757</v>
      </c>
      <c r="B76" s="4" t="s">
        <v>758</v>
      </c>
      <c r="C76" s="4" t="s">
        <v>759</v>
      </c>
      <c r="D76" s="4" t="s">
        <v>760</v>
      </c>
      <c r="E76" s="4" t="s">
        <v>761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12.3827220837058</v>
      </c>
      <c r="C77" s="20" t="n">
        <f aca="false">px*A77/PL!F27</f>
        <v>14.5634423923478</v>
      </c>
      <c r="D77" s="20" t="n">
        <f aca="false">px*A77/PL!F40</f>
        <v>24.6092026584734</v>
      </c>
      <c r="E77" s="20" t="n">
        <f aca="false">pe_mid</f>
        <v>30.07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13.6209942920763</v>
      </c>
      <c r="C78" s="20" t="n">
        <f aca="false">px*A78/PL!F27</f>
        <v>16.0197866315826</v>
      </c>
      <c r="D78" s="20" t="n">
        <f aca="false">px*A78/PL!F40</f>
        <v>27.0701229243208</v>
      </c>
      <c r="E78" s="20" t="n">
        <f aca="false">pe_mid</f>
        <v>30.07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14.983093721284</v>
      </c>
      <c r="C79" s="20" t="n">
        <f aca="false">px*A79/PL!F27</f>
        <v>17.6217652947409</v>
      </c>
      <c r="D79" s="20" t="n">
        <f aca="false">px*A79/PL!F40</f>
        <v>29.7771352167528</v>
      </c>
      <c r="E79" s="20" t="n">
        <f aca="false">pe_mid</f>
        <v>30.07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18.5740831255586</v>
      </c>
      <c r="C80" s="20" t="n">
        <f aca="false">px*A80/PL!F27</f>
        <v>21.8451635885217</v>
      </c>
      <c r="D80" s="20" t="n">
        <f aca="false">px*A80/PL!F40</f>
        <v>36.9138039877101</v>
      </c>
      <c r="E80" s="20" t="n">
        <f aca="false">pe_mid</f>
        <v>30.07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24.7654441674115</v>
      </c>
      <c r="C81" s="20" t="n">
        <f aca="false">px*A81/PL!F27</f>
        <v>29.1268847846956</v>
      </c>
      <c r="D81" s="20" t="n">
        <f aca="false">px*A81/PL!F40</f>
        <v>49.2184053169468</v>
      </c>
      <c r="E81" s="20" t="n">
        <f aca="false">pe_mid</f>
        <v>30.07</v>
      </c>
    </row>
    <row r="82" customFormat="false" ht="17.15" hidden="false" customHeight="false" outlineLevel="0" collapsed="false">
      <c r="A82" s="3" t="s">
        <v>762</v>
      </c>
    </row>
    <row r="85" customFormat="false" ht="17.15" hidden="false" customHeight="false" outlineLevel="0" collapsed="false">
      <c r="A85" s="5" t="s">
        <v>763</v>
      </c>
    </row>
    <row r="86" customFormat="false" ht="17.15" hidden="false" customHeight="false" outlineLevel="0" collapsed="false">
      <c r="A86" s="3" t="s">
        <v>764</v>
      </c>
    </row>
    <row r="88" customFormat="false" ht="17.15" hidden="false" customHeight="false" outlineLevel="0" collapsed="false">
      <c r="A88" s="5" t="s">
        <v>765</v>
      </c>
    </row>
    <row r="89" customFormat="false" ht="17.15" hidden="false" customHeight="false" outlineLevel="0" collapsed="false">
      <c r="A89" s="4" t="s">
        <v>766</v>
      </c>
      <c r="B89" s="4" t="s">
        <v>767</v>
      </c>
      <c r="C89" s="15" t="s">
        <v>768</v>
      </c>
      <c r="D89" s="4" t="s">
        <v>769</v>
      </c>
    </row>
    <row r="90" customFormat="false" ht="17.15" hidden="false" customHeight="false" outlineLevel="0" collapsed="false">
      <c r="A90" s="0" t="s">
        <v>770</v>
      </c>
      <c r="B90" s="18" t="n">
        <f aca="false">10.4/0.26</f>
        <v>40</v>
      </c>
      <c r="D90" s="3" t="s">
        <v>771</v>
      </c>
    </row>
    <row r="91" customFormat="false" ht="15" hidden="false" customHeight="false" outlineLevel="0" collapsed="false">
      <c r="A91" s="0" t="s">
        <v>772</v>
      </c>
    </row>
    <row r="92" customFormat="false" ht="15" hidden="false" customHeight="false" outlineLevel="0" collapsed="false">
      <c r="A92" s="0" t="s">
        <v>773</v>
      </c>
      <c r="B92" s="18" t="n">
        <f aca="false">13.1/0.42</f>
        <v>31.1904761904762</v>
      </c>
    </row>
    <row r="93" customFormat="false" ht="15" hidden="false" customHeight="false" outlineLevel="0" collapsed="false">
      <c r="A93" s="0" t="s">
        <v>774</v>
      </c>
      <c r="B93" s="18" t="n">
        <f aca="false">16.65/0.24</f>
        <v>69.375</v>
      </c>
    </row>
    <row r="94" customFormat="false" ht="15" hidden="false" customHeight="false" outlineLevel="0" collapsed="false">
      <c r="A94" s="0" t="s">
        <v>775</v>
      </c>
      <c r="B94" s="18" t="n">
        <f aca="false">50.5/3.82</f>
        <v>13.2198952879581</v>
      </c>
    </row>
    <row r="95" customFormat="false" ht="15" hidden="false" customHeight="false" outlineLevel="0" collapsed="false">
      <c r="A95" s="0" t="s">
        <v>776</v>
      </c>
      <c r="B95" s="18" t="n">
        <f aca="false">76/5.98</f>
        <v>12.7090301003344</v>
      </c>
      <c r="C95" s="19" t="n">
        <v>14.1</v>
      </c>
    </row>
    <row r="96" customFormat="false" ht="15" hidden="false" customHeight="false" outlineLevel="0" collapsed="false">
      <c r="A96" s="0" t="s">
        <v>777</v>
      </c>
      <c r="B96" s="18" t="n">
        <f aca="false">86.8/8.78</f>
        <v>9.88610478359909</v>
      </c>
      <c r="C96" s="19" t="n">
        <v>9.89</v>
      </c>
    </row>
    <row r="97" customFormat="false" ht="15" hidden="false" customHeight="false" outlineLevel="0" collapsed="false">
      <c r="A97" s="0" t="s">
        <v>778</v>
      </c>
      <c r="B97" s="18" t="n">
        <f aca="false">218/7.25</f>
        <v>30.0689655172414</v>
      </c>
      <c r="C97" s="19" t="n">
        <v>30.1</v>
      </c>
    </row>
    <row r="98" customFormat="false" ht="15" hidden="false" customHeight="false" outlineLevel="0" collapsed="false">
      <c r="A98" s="0" t="s">
        <v>779</v>
      </c>
      <c r="B98" s="18" t="n">
        <f aca="false">241.5/11.54</f>
        <v>20.9272097053726</v>
      </c>
      <c r="C98" s="19" t="n">
        <v>20.9</v>
      </c>
    </row>
    <row r="99" customFormat="false" ht="15" hidden="false" customHeight="false" outlineLevel="0" collapsed="false">
      <c r="A99" s="0" t="s">
        <v>780</v>
      </c>
      <c r="B99" s="18" t="n">
        <f aca="false">687/19.47</f>
        <v>35.2850539291217</v>
      </c>
      <c r="C99" s="19" t="n">
        <v>35.3</v>
      </c>
    </row>
    <row r="100" customFormat="false" ht="17.15" hidden="false" customHeight="false" outlineLevel="0" collapsed="false">
      <c r="A100" s="0" t="s">
        <v>781</v>
      </c>
      <c r="B100" s="18" t="n">
        <f aca="false">PERCENTILE(B90:B99,0.25)</f>
        <v>13.2198952879581</v>
      </c>
      <c r="C100" s="18" t="n">
        <f aca="false">PERCENTILE(C90:C99,0.25)</f>
        <v>14.1</v>
      </c>
    </row>
    <row r="101" customFormat="false" ht="15" hidden="false" customHeight="false" outlineLevel="0" collapsed="false">
      <c r="A101" s="3" t="s">
        <v>782</v>
      </c>
      <c r="B101" s="18" t="n">
        <f aca="false">MEDIAN(B90:B99)</f>
        <v>30.0689655172414</v>
      </c>
      <c r="C101" s="18" t="n">
        <f aca="false">MEDIAN(C90:C99)</f>
        <v>20.9</v>
      </c>
    </row>
    <row r="102" customFormat="false" ht="17.15" hidden="false" customHeight="false" outlineLevel="0" collapsed="false">
      <c r="A102" s="0" t="s">
        <v>783</v>
      </c>
      <c r="B102" s="18" t="n">
        <f aca="false">PERCENTILE(B90:B99,0.75)</f>
        <v>35.2850539291217</v>
      </c>
      <c r="C102" s="18" t="n">
        <f aca="false">PERCENTILE(C90:C99,0.75)</f>
        <v>30.1</v>
      </c>
    </row>
    <row r="103" customFormat="false" ht="15" hidden="false" customHeight="false" outlineLevel="0" collapsed="false">
      <c r="A103" s="3" t="s">
        <v>784</v>
      </c>
      <c r="B103" s="18" t="n">
        <f aca="false">MIN(B90:B99)</f>
        <v>9.88610478359909</v>
      </c>
      <c r="C103" s="18" t="n">
        <f aca="false">MIN(C90:C99)</f>
        <v>9.89</v>
      </c>
    </row>
    <row r="104" customFormat="false" ht="15" hidden="false" customHeight="false" outlineLevel="0" collapsed="false">
      <c r="A104" s="3" t="s">
        <v>785</v>
      </c>
      <c r="B104" s="18" t="n">
        <f aca="false">MAX(B90:B99)</f>
        <v>69.375</v>
      </c>
      <c r="C104" s="18" t="n">
        <f aca="false">MAX(C90:C99)</f>
        <v>35.3</v>
      </c>
    </row>
    <row r="105" customFormat="false" ht="17.15" hidden="false" customHeight="false" outlineLevel="0" collapsed="false">
      <c r="A105" s="1" t="s">
        <v>786</v>
      </c>
      <c r="B105" s="18" t="n">
        <f aca="false">ROUND(AVERAGE(B100),2)</f>
        <v>13.22</v>
      </c>
    </row>
    <row r="106" customFormat="false" ht="17.15" hidden="false" customHeight="false" outlineLevel="0" collapsed="false">
      <c r="A106" s="1" t="s">
        <v>787</v>
      </c>
      <c r="B106" s="18" t="n">
        <f aca="false">ROUND(AVERAGE(B101),2)</f>
        <v>30.07</v>
      </c>
    </row>
    <row r="107" customFormat="false" ht="17.15" hidden="false" customHeight="false" outlineLevel="0" collapsed="false">
      <c r="A107" s="1" t="s">
        <v>788</v>
      </c>
      <c r="B107" s="18" t="n">
        <f aca="false">ROUND(AVERAGE(B102),2)</f>
        <v>35.29</v>
      </c>
    </row>
    <row r="108" customFormat="false" ht="17.15" hidden="false" customHeight="false" outlineLevel="0" collapsed="false">
      <c r="A108" s="1" t="s">
        <v>789</v>
      </c>
      <c r="B108" s="18" t="n">
        <f aca="false">ROUND(MIN(B103),2)</f>
        <v>9.89</v>
      </c>
    </row>
    <row r="109" customFormat="false" ht="17.15" hidden="false" customHeight="false" outlineLevel="0" collapsed="false">
      <c r="A109" s="1" t="s">
        <v>790</v>
      </c>
      <c r="B109" s="18" t="n">
        <f aca="false">ROUND(MAX(B104),2)</f>
        <v>69.38</v>
      </c>
    </row>
    <row r="111" customFormat="false" ht="17.15" hidden="false" customHeight="false" outlineLevel="0" collapsed="false">
      <c r="A111" s="5" t="s">
        <v>791</v>
      </c>
    </row>
    <row r="112" customFormat="false" ht="17.15" hidden="false" customHeight="false" outlineLevel="0" collapsed="false">
      <c r="A112" s="4" t="s">
        <v>792</v>
      </c>
      <c r="B112" s="4" t="s">
        <v>793</v>
      </c>
      <c r="C112" s="4" t="s">
        <v>794</v>
      </c>
      <c r="D112" s="4" t="s">
        <v>27</v>
      </c>
      <c r="E112" s="4" t="s">
        <v>795</v>
      </c>
      <c r="F112" s="4" t="s">
        <v>753</v>
      </c>
      <c r="G112" s="4" t="s">
        <v>796</v>
      </c>
      <c r="H112" s="4" t="s">
        <v>797</v>
      </c>
    </row>
    <row r="113" customFormat="false" ht="17.15" hidden="false" customHeight="false" outlineLevel="0" collapsed="false">
      <c r="A113" s="3" t="s">
        <v>798</v>
      </c>
      <c r="B113" s="0" t="s">
        <v>799</v>
      </c>
      <c r="C113" s="18" t="n">
        <f aca="false">B105</f>
        <v>13.22</v>
      </c>
      <c r="D113" s="7" t="s">
        <v>800</v>
      </c>
      <c r="E113" s="18" t="n">
        <f aca="false">C72</f>
        <v>60.1510234165269</v>
      </c>
      <c r="F113" s="22" t="n">
        <f aca="false">C113*E113</f>
        <v>795.196529566486</v>
      </c>
      <c r="G113" s="14" t="n">
        <f aca="false">F113/px-1</f>
        <v>-0.286819255994183</v>
      </c>
      <c r="H113" s="18" t="n">
        <f aca="false">px/E113</f>
        <v>18.5366754656687</v>
      </c>
    </row>
    <row r="114" customFormat="false" ht="17.15" hidden="false" customHeight="false" outlineLevel="0" collapsed="false">
      <c r="A114" s="3" t="s">
        <v>801</v>
      </c>
      <c r="B114" s="3" t="s">
        <v>802</v>
      </c>
      <c r="C114" s="18" t="n">
        <f aca="false">B106</f>
        <v>30.07</v>
      </c>
      <c r="D114" s="7" t="s">
        <v>800</v>
      </c>
      <c r="E114" s="18" t="n">
        <f aca="false">C72</f>
        <v>60.1510234165269</v>
      </c>
      <c r="F114" s="22" t="n">
        <f aca="false">C114*E114</f>
        <v>1808.74127413496</v>
      </c>
      <c r="G114" s="14" t="n">
        <f aca="false">F114/px-1</f>
        <v>0.622189483529115</v>
      </c>
      <c r="H114" s="18" t="n">
        <f aca="false">px/E114</f>
        <v>18.5366754656687</v>
      </c>
    </row>
    <row r="115" customFormat="false" ht="17.15" hidden="false" customHeight="false" outlineLevel="0" collapsed="false">
      <c r="A115" s="3" t="s">
        <v>803</v>
      </c>
      <c r="B115" s="0" t="s">
        <v>804</v>
      </c>
      <c r="C115" s="18" t="n">
        <f aca="false">B107</f>
        <v>35.29</v>
      </c>
      <c r="D115" s="7" t="s">
        <v>800</v>
      </c>
      <c r="E115" s="18" t="n">
        <f aca="false">C72</f>
        <v>60.1510234165269</v>
      </c>
      <c r="F115" s="22" t="n">
        <f aca="false">C115*E115</f>
        <v>2122.72961636923</v>
      </c>
      <c r="G115" s="14" t="n">
        <f aca="false">F115/px-1</f>
        <v>0.903793377909627</v>
      </c>
      <c r="H115" s="18" t="n">
        <f aca="false">px/E115</f>
        <v>18.5366754656687</v>
      </c>
    </row>
    <row r="118" customFormat="false" ht="17.15" hidden="false" customHeight="false" outlineLevel="0" collapsed="false">
      <c r="A118" s="3" t="s">
        <v>805</v>
      </c>
      <c r="B118" s="33" t="str">
        <f aca="false">IF(B43&gt;0.5,"大於 50%",IF(B43&gt;0.25,"25%–50%",IF(B43&gt;=0,"0%–25%",IF(B43&gt;=-0.25,"0%～−25%",IF(B43&gt;=-0.5,"−25%～−50%","小於 −50%")))))</f>
        <v>大於 50%</v>
      </c>
      <c r="E118" s="3" t="s">
        <v>806</v>
      </c>
    </row>
    <row r="119" customFormat="false" ht="17.15" hidden="false" customHeight="false" outlineLevel="0" collapsed="false">
      <c r="A119" s="3" t="s">
        <v>807</v>
      </c>
      <c r="B119" s="33" t="str">
        <f aca="false">IF(B43&gt;0.5,"強力買進",IF(B43&gt;0.25,"買進",IF(B43&gt;=-0.25,"中立",IF(B43&gt;=-0.5,"放空","強力放空"))))</f>
        <v>強力買進</v>
      </c>
      <c r="E119" s="3" t="s">
        <v>808</v>
      </c>
    </row>
    <row r="122" customFormat="false" ht="17.15" hidden="false" customHeight="false" outlineLevel="0" collapsed="false">
      <c r="A122" s="5" t="s">
        <v>809</v>
      </c>
    </row>
    <row r="123" customFormat="false" ht="17.15" hidden="false" customHeight="false" outlineLevel="0" collapsed="false">
      <c r="A123" s="3" t="s">
        <v>810</v>
      </c>
    </row>
    <row r="124" customFormat="false" ht="17.15" hidden="false" customHeight="false" outlineLevel="0" collapsed="false">
      <c r="A124" s="4" t="s">
        <v>811</v>
      </c>
      <c r="B124" s="4" t="s">
        <v>683</v>
      </c>
      <c r="C124" s="4" t="s">
        <v>812</v>
      </c>
      <c r="D124" s="15" t="s">
        <v>813</v>
      </c>
      <c r="E124" s="15" t="s">
        <v>814</v>
      </c>
      <c r="F124" s="15" t="s">
        <v>815</v>
      </c>
      <c r="G124" s="15" t="s">
        <v>816</v>
      </c>
      <c r="H124" s="15" t="s">
        <v>817</v>
      </c>
      <c r="I124" s="15" t="s">
        <v>818</v>
      </c>
      <c r="J124" s="15" t="s">
        <v>819</v>
      </c>
      <c r="K124" s="15" t="s">
        <v>820</v>
      </c>
      <c r="L124" s="15" t="s">
        <v>821</v>
      </c>
      <c r="M124" s="15" t="s">
        <v>822</v>
      </c>
      <c r="N124" s="4" t="s">
        <v>823</v>
      </c>
      <c r="O124" s="15" t="s">
        <v>824</v>
      </c>
      <c r="P124" s="4" t="s">
        <v>825</v>
      </c>
      <c r="Q124" s="4" t="s">
        <v>686</v>
      </c>
    </row>
    <row r="125" customFormat="false" ht="17.15" hidden="false" customHeight="false" outlineLevel="0" collapsed="false">
      <c r="A125" s="3" t="s">
        <v>826</v>
      </c>
      <c r="B125" s="0" t="s">
        <v>827</v>
      </c>
      <c r="C125" s="3" t="s">
        <v>828</v>
      </c>
      <c r="D125" s="19" t="n">
        <v>124.787</v>
      </c>
      <c r="E125" s="19" t="n">
        <v>19.303</v>
      </c>
      <c r="F125" s="19" t="n">
        <v>19.303</v>
      </c>
      <c r="G125" s="19" t="n">
        <v>19.303</v>
      </c>
      <c r="H125" s="19" t="n">
        <v>10.0765</v>
      </c>
      <c r="I125" s="19" t="n">
        <v>10.779</v>
      </c>
      <c r="J125" s="19" t="n">
        <v>11.369</v>
      </c>
      <c r="K125" s="19" t="n">
        <v>15.5915</v>
      </c>
      <c r="L125" s="19" t="n">
        <v>15.535</v>
      </c>
      <c r="M125" s="19" t="n">
        <v>21.815</v>
      </c>
      <c r="N125" s="7" t="n">
        <f aca="false">COUNT(D125:M125)</f>
        <v>10</v>
      </c>
      <c r="O125" s="18" t="n">
        <f aca="false">IF(N125&gt;0,MEDIAN(D125:M125),"")</f>
        <v>17.44725</v>
      </c>
      <c r="P125" s="18" t="n">
        <f aca="false">IF(N125&gt;=7,O125,"")</f>
        <v>17.44725</v>
      </c>
      <c r="Q125" s="7" t="s">
        <v>829</v>
      </c>
    </row>
    <row r="126" customFormat="false" ht="17.15" hidden="false" customHeight="false" outlineLevel="0" collapsed="false">
      <c r="A126" s="3" t="s">
        <v>687</v>
      </c>
      <c r="B126" s="0" t="s">
        <v>688</v>
      </c>
      <c r="C126" s="3" t="s">
        <v>830</v>
      </c>
      <c r="D126" s="19" t="n">
        <v>11.9855</v>
      </c>
      <c r="E126" s="19" t="n">
        <v>9.975</v>
      </c>
      <c r="F126" s="19" t="n">
        <v>9.9585</v>
      </c>
      <c r="G126" s="19" t="n">
        <v>9.979</v>
      </c>
      <c r="H126" s="19" t="n">
        <v>10.11</v>
      </c>
      <c r="I126" s="19" t="n">
        <v>9.1575</v>
      </c>
      <c r="J126" s="19" t="n">
        <v>10.584</v>
      </c>
      <c r="K126" s="19" t="n">
        <v>12.7495</v>
      </c>
      <c r="L126" s="19" t="n">
        <v>11.4865</v>
      </c>
      <c r="M126" s="19" t="n">
        <v>13.4405</v>
      </c>
      <c r="N126" s="7" t="n">
        <f aca="false">COUNT(D126:M126)</f>
        <v>10</v>
      </c>
      <c r="O126" s="18" t="n">
        <f aca="false">IF(N126&gt;0,MEDIAN(D126:M126),"")</f>
        <v>10.347</v>
      </c>
      <c r="P126" s="18" t="n">
        <f aca="false">IF(N126&gt;=7,O126,"")</f>
        <v>10.347</v>
      </c>
      <c r="Q126" s="7" t="s">
        <v>831</v>
      </c>
    </row>
    <row r="127" customFormat="false" ht="17.15" hidden="false" customHeight="false" outlineLevel="0" collapsed="false">
      <c r="A127" s="3" t="s">
        <v>691</v>
      </c>
      <c r="B127" s="0" t="s">
        <v>692</v>
      </c>
      <c r="C127" s="3" t="s">
        <v>830</v>
      </c>
      <c r="D127" s="19" t="n">
        <v>9.354</v>
      </c>
      <c r="E127" s="19" t="n">
        <v>8.5355</v>
      </c>
      <c r="F127" s="19" t="n">
        <v>10.363</v>
      </c>
      <c r="G127" s="19" t="n">
        <v>9.8805</v>
      </c>
      <c r="H127" s="19" t="n">
        <v>9.4045</v>
      </c>
      <c r="I127" s="19" t="n">
        <v>8.974</v>
      </c>
      <c r="J127" s="19" t="n">
        <v>8.189</v>
      </c>
      <c r="K127" s="19" t="n">
        <v>12.634</v>
      </c>
      <c r="L127" s="19" t="n">
        <v>11.161</v>
      </c>
      <c r="M127" s="19" t="n">
        <v>21.737</v>
      </c>
      <c r="N127" s="7" t="n">
        <f aca="false">COUNT(D127:M127)</f>
        <v>10</v>
      </c>
      <c r="O127" s="18" t="n">
        <f aca="false">IF(N127&gt;0,MEDIAN(D127:M127),"")</f>
        <v>9.6425</v>
      </c>
      <c r="P127" s="18" t="n">
        <f aca="false">IF(N127&gt;=7,O127,"")</f>
        <v>9.6425</v>
      </c>
      <c r="Q127" s="7" t="s">
        <v>832</v>
      </c>
    </row>
    <row r="128" customFormat="false" ht="17.15" hidden="false" customHeight="false" outlineLevel="0" collapsed="false">
      <c r="A128" s="3" t="s">
        <v>694</v>
      </c>
      <c r="B128" s="0" t="s">
        <v>695</v>
      </c>
      <c r="C128" s="3" t="s">
        <v>830</v>
      </c>
      <c r="D128" s="19" t="n">
        <v>10.1155</v>
      </c>
      <c r="E128" s="19" t="n">
        <v>9.143</v>
      </c>
      <c r="F128" s="19" t="n">
        <v>9.8</v>
      </c>
      <c r="G128" s="19" t="n">
        <v>10.7915</v>
      </c>
      <c r="H128" s="19" t="n">
        <v>9.881</v>
      </c>
      <c r="I128" s="19" t="n">
        <v>8.7175</v>
      </c>
      <c r="J128" s="19" t="n">
        <v>8.6125</v>
      </c>
      <c r="K128" s="19" t="n">
        <v>11.4225</v>
      </c>
      <c r="L128" s="19" t="n">
        <v>10.5605</v>
      </c>
      <c r="M128" s="19" t="n">
        <v>20.7825</v>
      </c>
      <c r="N128" s="7" t="n">
        <f aca="false">COUNT(D128:M128)</f>
        <v>10</v>
      </c>
      <c r="O128" s="18" t="n">
        <f aca="false">IF(N128&gt;0,MEDIAN(D128:M128),"")</f>
        <v>9.99825</v>
      </c>
      <c r="P128" s="18" t="n">
        <f aca="false">IF(N128&gt;=7,O128,"")</f>
        <v>9.99825</v>
      </c>
      <c r="Q128" s="7" t="s">
        <v>833</v>
      </c>
    </row>
    <row r="129" customFormat="false" ht="17.15" hidden="false" customHeight="false" outlineLevel="0" collapsed="false">
      <c r="A129" s="3" t="s">
        <v>697</v>
      </c>
      <c r="B129" s="0" t="s">
        <v>698</v>
      </c>
      <c r="C129" s="3" t="s">
        <v>830</v>
      </c>
      <c r="E129" s="19" t="n">
        <v>10.321</v>
      </c>
      <c r="F129" s="19" t="n">
        <v>11.1765</v>
      </c>
      <c r="G129" s="19" t="n">
        <v>13.7</v>
      </c>
      <c r="H129" s="19" t="n">
        <v>10.3365</v>
      </c>
      <c r="I129" s="19" t="n">
        <v>13.08</v>
      </c>
      <c r="J129" s="19" t="n">
        <v>12.6515</v>
      </c>
      <c r="K129" s="19" t="n">
        <v>15.876</v>
      </c>
      <c r="L129" s="19" t="n">
        <v>15.876</v>
      </c>
      <c r="M129" s="19" t="n">
        <v>15.5575</v>
      </c>
      <c r="N129" s="7" t="n">
        <f aca="false">COUNT(D129:M129)</f>
        <v>9</v>
      </c>
      <c r="O129" s="18" t="n">
        <f aca="false">IF(N129&gt;0,MEDIAN(D129:M129),"")</f>
        <v>13.08</v>
      </c>
      <c r="P129" s="18" t="n">
        <f aca="false">IF(N129&gt;=7,O129,"")</f>
        <v>13.08</v>
      </c>
      <c r="Q129" s="7" t="s">
        <v>834</v>
      </c>
    </row>
    <row r="130" customFormat="false" ht="17.15" hidden="false" customHeight="false" outlineLevel="0" collapsed="false">
      <c r="A130" s="0" t="s">
        <v>700</v>
      </c>
      <c r="B130" s="0" t="s">
        <v>701</v>
      </c>
      <c r="C130" s="3" t="s">
        <v>830</v>
      </c>
      <c r="D130" s="19" t="n">
        <v>9.8595</v>
      </c>
      <c r="E130" s="19" t="n">
        <v>9.3285</v>
      </c>
      <c r="F130" s="19" t="n">
        <v>7.585</v>
      </c>
      <c r="G130" s="19" t="n">
        <v>11.232</v>
      </c>
      <c r="H130" s="19" t="n">
        <v>10.649</v>
      </c>
      <c r="I130" s="19" t="n">
        <v>9.6825</v>
      </c>
      <c r="J130" s="19" t="n">
        <v>10.651</v>
      </c>
      <c r="K130" s="19" t="n">
        <v>10.3695</v>
      </c>
      <c r="L130" s="19" t="n">
        <v>13.027</v>
      </c>
      <c r="M130" s="19" t="n">
        <v>26.34</v>
      </c>
      <c r="N130" s="7" t="n">
        <f aca="false">COUNT(D130:M130)</f>
        <v>10</v>
      </c>
      <c r="O130" s="18" t="n">
        <f aca="false">IF(N130&gt;0,MEDIAN(D130:M130),"")</f>
        <v>10.50925</v>
      </c>
      <c r="P130" s="18" t="n">
        <f aca="false">IF(N130&gt;=7,O130,"")</f>
        <v>10.50925</v>
      </c>
      <c r="Q130" s="7" t="s">
        <v>835</v>
      </c>
    </row>
    <row r="132" customFormat="false" ht="17.15" hidden="false" customHeight="false" outlineLevel="0" collapsed="false">
      <c r="A132" s="3" t="s">
        <v>836</v>
      </c>
      <c r="B132" s="18" t="n">
        <f aca="false">P125</f>
        <v>17.44725</v>
      </c>
      <c r="E132" s="3" t="s">
        <v>837</v>
      </c>
    </row>
    <row r="133" customFormat="false" ht="15" hidden="false" customHeight="false" outlineLevel="0" collapsed="false">
      <c r="A133" s="3" t="s">
        <v>838</v>
      </c>
      <c r="B133" s="37" t="n">
        <f aca="false">COUNT(P126:P130)</f>
        <v>5</v>
      </c>
    </row>
    <row r="134" customFormat="false" ht="17.15" hidden="false" customHeight="false" outlineLevel="0" collapsed="false">
      <c r="A134" s="3" t="s">
        <v>839</v>
      </c>
      <c r="B134" s="18" t="n">
        <f aca="false">IF(B133&gt;0,MEDIAN(P126:P130),"")</f>
        <v>10.347</v>
      </c>
    </row>
    <row r="135" customFormat="false" ht="17.15" hidden="false" customHeight="false" outlineLevel="0" collapsed="false">
      <c r="A135" s="3" t="s">
        <v>840</v>
      </c>
      <c r="B135" s="18" t="n">
        <f aca="false">IF(AND(ISNUMBER(B132),B133&gt;=2),B132/B134,"")</f>
        <v>1.68621339518701</v>
      </c>
      <c r="E135" s="3" t="s">
        <v>841</v>
      </c>
    </row>
    <row r="136" customFormat="false" ht="17.15" hidden="false" customHeight="false" outlineLevel="0" collapsed="false">
      <c r="A136" s="3" t="s">
        <v>842</v>
      </c>
      <c r="B136" s="19" t="n">
        <v>0.5</v>
      </c>
      <c r="E136" s="7" t="s">
        <v>843</v>
      </c>
    </row>
    <row r="137" customFormat="false" ht="17.15" hidden="false" customHeight="false" outlineLevel="0" collapsed="false">
      <c r="A137" s="3" t="s">
        <v>844</v>
      </c>
      <c r="B137" s="19" t="n">
        <v>2</v>
      </c>
      <c r="E137" s="7" t="s">
        <v>845</v>
      </c>
    </row>
    <row r="138" customFormat="false" ht="17.15" hidden="false" customHeight="false" outlineLevel="0" collapsed="false">
      <c r="A138" s="1" t="s">
        <v>846</v>
      </c>
      <c r="B138" s="31" t="n">
        <f aca="false">IF(ISNUMBER(B135),MIN(MAX(B135,B136),B137),1)</f>
        <v>1.68621339518701</v>
      </c>
      <c r="E138" s="3" t="s">
        <v>847</v>
      </c>
    </row>
    <row r="139" customFormat="false" ht="17.15" hidden="false" customHeight="false" outlineLevel="0" collapsed="false">
      <c r="A139" s="5" t="s">
        <v>848</v>
      </c>
      <c r="B139" s="31" t="n">
        <f aca="false">Val!$B$36*B138</f>
        <v>2244.95710675009</v>
      </c>
      <c r="E139" s="3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850</v>
      </c>
    </row>
    <row r="3" customFormat="false" ht="17.15" hidden="false" customHeight="false" outlineLevel="0" collapsed="false">
      <c r="A3" s="4" t="s">
        <v>24</v>
      </c>
      <c r="B3" s="4" t="s">
        <v>851</v>
      </c>
      <c r="C3" s="4" t="s">
        <v>852</v>
      </c>
      <c r="D3" s="4" t="s">
        <v>853</v>
      </c>
      <c r="E3" s="4" t="s">
        <v>854</v>
      </c>
      <c r="F3" s="4" t="s">
        <v>855</v>
      </c>
      <c r="G3" s="4" t="s">
        <v>856</v>
      </c>
      <c r="H3" s="4" t="s">
        <v>857</v>
      </c>
      <c r="I3" s="4" t="s">
        <v>858</v>
      </c>
      <c r="J3" s="4" t="s">
        <v>458</v>
      </c>
    </row>
    <row r="4" customFormat="false" ht="17.15" hidden="false" customHeight="false" outlineLevel="0" collapsed="false">
      <c r="A4" s="5" t="s">
        <v>859</v>
      </c>
    </row>
    <row r="5" customFormat="false" ht="17.15" hidden="false" customHeight="false" outlineLevel="0" collapsed="false">
      <c r="A5" s="0" t="s">
        <v>860</v>
      </c>
      <c r="B5" s="22" t="n">
        <f aca="false">cons_rev26</f>
        <v>106.371</v>
      </c>
      <c r="C5" s="22" t="n">
        <f aca="false">PL!D83</f>
        <v>105.40752</v>
      </c>
      <c r="D5" s="14" t="n">
        <f aca="false">C5/B5-1</f>
        <v>-0.00905773190061188</v>
      </c>
      <c r="E5" s="22" t="n">
        <f aca="false">PL!D137</f>
        <v>105.40752</v>
      </c>
      <c r="F5" s="14" t="n">
        <f aca="false">E5/B5-1</f>
        <v>-0.00905773190061188</v>
      </c>
      <c r="G5" s="22" t="n">
        <f aca="false">PL!D191</f>
        <v>105.40752</v>
      </c>
      <c r="H5" s="14" t="n">
        <f aca="false">G5/B5-1</f>
        <v>-0.00905773190061188</v>
      </c>
      <c r="I5" s="7" t="s">
        <v>861</v>
      </c>
      <c r="J5" s="7" t="s">
        <v>862</v>
      </c>
    </row>
    <row r="6" customFormat="false" ht="17.15" hidden="false" customHeight="false" outlineLevel="0" collapsed="false">
      <c r="A6" s="0" t="s">
        <v>863</v>
      </c>
      <c r="B6" s="23" t="n">
        <f aca="false">cons_eps26</f>
        <v>41.22</v>
      </c>
      <c r="C6" s="23" t="n">
        <f aca="false">PL!D109</f>
        <v>38.3985658278458</v>
      </c>
      <c r="D6" s="14" t="n">
        <f aca="false">C6/B6-1</f>
        <v>-0.0684481846713779</v>
      </c>
      <c r="E6" s="23" t="n">
        <f aca="false">PL!D163</f>
        <v>38.3985658278458</v>
      </c>
      <c r="F6" s="14" t="n">
        <f aca="false">E6/B6-1</f>
        <v>-0.0684481846713779</v>
      </c>
      <c r="G6" s="23" t="n">
        <f aca="false">PL!D217</f>
        <v>38.3985658278458</v>
      </c>
      <c r="H6" s="14" t="n">
        <f aca="false">G6/B6-1</f>
        <v>-0.0684481846713779</v>
      </c>
      <c r="I6" s="7" t="s">
        <v>864</v>
      </c>
      <c r="J6" s="7" t="s">
        <v>865</v>
      </c>
    </row>
    <row r="7" customFormat="false" ht="17.15" hidden="false" customHeight="false" outlineLevel="0" collapsed="false">
      <c r="A7" s="0" t="s">
        <v>866</v>
      </c>
      <c r="B7" s="23" t="n">
        <f aca="false">fs_eps26</f>
        <v>41.57</v>
      </c>
      <c r="C7" s="23" t="n">
        <f aca="false">PL!D109</f>
        <v>38.3985658278458</v>
      </c>
      <c r="D7" s="14" t="n">
        <f aca="false">C7/B7-1</f>
        <v>-0.0762914162173249</v>
      </c>
      <c r="E7" s="23" t="n">
        <f aca="false">PL!D163</f>
        <v>38.3985658278458</v>
      </c>
      <c r="F7" s="14" t="n">
        <f aca="false">E7/B7-1</f>
        <v>-0.0762914162173249</v>
      </c>
      <c r="G7" s="23" t="n">
        <f aca="false">PL!D217</f>
        <v>38.3985658278458</v>
      </c>
      <c r="H7" s="14" t="n">
        <f aca="false">G7/B7-1</f>
        <v>-0.0762914162173249</v>
      </c>
      <c r="I7" s="7" t="s">
        <v>867</v>
      </c>
    </row>
    <row r="8" customFormat="false" ht="17.15" hidden="false" customHeight="false" outlineLevel="0" collapsed="false">
      <c r="A8" s="0" t="s">
        <v>868</v>
      </c>
      <c r="B8" s="22" t="n">
        <f aca="false">cons_rev27</f>
        <v>159.967</v>
      </c>
      <c r="C8" s="22" t="n">
        <f aca="false">PL!E83</f>
        <v>157.42613112</v>
      </c>
      <c r="D8" s="14" t="n">
        <f aca="false">C8/B8-1</f>
        <v>-0.0158837065144687</v>
      </c>
      <c r="E8" s="22" t="n">
        <f aca="false">PL!E137</f>
        <v>152.840904</v>
      </c>
      <c r="F8" s="14" t="n">
        <f aca="false">E8/B8-1</f>
        <v>-0.044547287878125</v>
      </c>
      <c r="G8" s="22" t="n">
        <f aca="false">PL!E191</f>
        <v>146.72726784</v>
      </c>
      <c r="H8" s="14" t="n">
        <f aca="false">G8/B8-1</f>
        <v>-0.082765396363</v>
      </c>
      <c r="I8" s="7" t="s">
        <v>864</v>
      </c>
    </row>
    <row r="9" customFormat="false" ht="17.15" hidden="false" customHeight="false" outlineLevel="0" collapsed="false">
      <c r="A9" s="0" t="s">
        <v>869</v>
      </c>
      <c r="B9" s="23" t="n">
        <f aca="false">cons_eps27</f>
        <v>62.8</v>
      </c>
      <c r="C9" s="23" t="n">
        <f aca="false">PL!E109</f>
        <v>66.1242832960332</v>
      </c>
      <c r="D9" s="14" t="n">
        <f aca="false">C9/B9-1</f>
        <v>0.0529344473890638</v>
      </c>
      <c r="E9" s="23" t="n">
        <f aca="false">PL!E163</f>
        <v>60.1510234165269</v>
      </c>
      <c r="F9" s="14" t="n">
        <f aca="false">E9/B9-1</f>
        <v>-0.0421811557877884</v>
      </c>
      <c r="G9" s="23" t="n">
        <f aca="false">PL!E217</f>
        <v>51.6688124976171</v>
      </c>
      <c r="H9" s="14" t="n">
        <f aca="false">G9/B9-1</f>
        <v>-0.17724820863667</v>
      </c>
      <c r="I9" s="7" t="s">
        <v>864</v>
      </c>
    </row>
    <row r="10" customFormat="false" ht="17.15" hidden="false" customHeight="false" outlineLevel="0" collapsed="false">
      <c r="A10" s="0" t="s">
        <v>870</v>
      </c>
      <c r="B10" s="23" t="n">
        <f aca="false">fs_eps27</f>
        <v>69.1</v>
      </c>
      <c r="C10" s="23" t="n">
        <f aca="false">PL!E109</f>
        <v>66.1242832960332</v>
      </c>
      <c r="D10" s="14" t="n">
        <f aca="false">C10/B10-1</f>
        <v>-0.0430639175682602</v>
      </c>
      <c r="E10" s="23" t="n">
        <f aca="false">PL!E163</f>
        <v>60.1510234165269</v>
      </c>
      <c r="F10" s="14" t="n">
        <f aca="false">E10/B10-1</f>
        <v>-0.12950762060019</v>
      </c>
      <c r="G10" s="23" t="n">
        <f aca="false">PL!E217</f>
        <v>51.6688124976171</v>
      </c>
      <c r="H10" s="14" t="n">
        <f aca="false">G10/B10-1</f>
        <v>-0.252260311177755</v>
      </c>
      <c r="I10" s="7" t="s">
        <v>871</v>
      </c>
    </row>
    <row r="11" customFormat="false" ht="17.15" hidden="false" customHeight="false" outlineLevel="0" collapsed="false">
      <c r="A11" s="0" t="s">
        <v>872</v>
      </c>
      <c r="B11" s="23" t="n">
        <f aca="false">fb_eps27</f>
        <v>65.39</v>
      </c>
      <c r="C11" s="23" t="n">
        <f aca="false">PL!E109</f>
        <v>66.1242832960332</v>
      </c>
      <c r="D11" s="14" t="n">
        <f aca="false">C11/B11-1</f>
        <v>0.0112292903507143</v>
      </c>
      <c r="E11" s="23" t="n">
        <f aca="false">PL!E163</f>
        <v>60.1510234165269</v>
      </c>
      <c r="F11" s="14" t="n">
        <f aca="false">E11/B11-1</f>
        <v>-0.0801189261886085</v>
      </c>
      <c r="G11" s="23" t="n">
        <f aca="false">PL!E217</f>
        <v>51.6688124976171</v>
      </c>
      <c r="H11" s="14" t="n">
        <f aca="false">G11/B11-1</f>
        <v>-0.209836175292596</v>
      </c>
      <c r="I11" s="7" t="s">
        <v>873</v>
      </c>
      <c r="J11" s="3" t="s">
        <v>874</v>
      </c>
    </row>
    <row r="12" customFormat="false" ht="17.15" hidden="false" customHeight="false" outlineLevel="0" collapsed="false">
      <c r="A12" s="0" t="s">
        <v>875</v>
      </c>
      <c r="B12" s="22" t="n">
        <f aca="false">cons_rev28</f>
        <v>214.339</v>
      </c>
      <c r="C12" s="22" t="n">
        <f aca="false">PL!F83</f>
        <v>204.27977376</v>
      </c>
      <c r="D12" s="14" t="n">
        <f aca="false">C12/B12-1</f>
        <v>-0.0469313855154684</v>
      </c>
      <c r="E12" s="22" t="n">
        <f aca="false">PL!F137</f>
        <v>194.26605936</v>
      </c>
      <c r="F12" s="14" t="n">
        <f aca="false">E12/B12-1</f>
        <v>-0.0936504352451024</v>
      </c>
      <c r="G12" s="22" t="n">
        <f aca="false">PL!F191</f>
        <v>141.1850806402</v>
      </c>
      <c r="H12" s="14" t="n">
        <f aca="false">G12/B12-1</f>
        <v>-0.341300087057418</v>
      </c>
      <c r="I12" s="7" t="s">
        <v>864</v>
      </c>
    </row>
    <row r="13" customFormat="false" ht="17.15" hidden="false" customHeight="false" outlineLevel="0" collapsed="false">
      <c r="A13" s="0" t="s">
        <v>876</v>
      </c>
      <c r="B13" s="23" t="n">
        <f aca="false">cons_eps28</f>
        <v>95.35</v>
      </c>
      <c r="C13" s="23" t="n">
        <f aca="false">PL!F109</f>
        <v>90.0448215233073</v>
      </c>
      <c r="D13" s="14" t="n">
        <f aca="false">C13/B13-1</f>
        <v>-0.055638998182409</v>
      </c>
      <c r="E13" s="23" t="n">
        <f aca="false">PL!F163</f>
        <v>76.5615690275167</v>
      </c>
      <c r="F13" s="14" t="n">
        <f aca="false">E13/B13-1</f>
        <v>-0.197046994991959</v>
      </c>
      <c r="G13" s="23" t="n">
        <f aca="false">PL!F217</f>
        <v>45.3082538054554</v>
      </c>
      <c r="H13" s="14" t="n">
        <f aca="false">G13/B13-1</f>
        <v>-0.524821669580961</v>
      </c>
      <c r="I13" s="7" t="s">
        <v>864</v>
      </c>
    </row>
    <row r="14" customFormat="false" ht="17.15" hidden="false" customHeight="false" outlineLevel="0" collapsed="false">
      <c r="A14" s="0" t="s">
        <v>877</v>
      </c>
      <c r="B14" s="23" t="n">
        <f aca="false">fs_eps28</f>
        <v>95.07</v>
      </c>
      <c r="C14" s="23" t="n">
        <f aca="false">PL!F109</f>
        <v>90.0448215233073</v>
      </c>
      <c r="D14" s="14" t="n">
        <f aca="false">C14/B14-1</f>
        <v>-0.0528576677889209</v>
      </c>
      <c r="E14" s="23" t="n">
        <f aca="false">PL!F163</f>
        <v>76.5615690275167</v>
      </c>
      <c r="F14" s="14" t="n">
        <f aca="false">E14/B14-1</f>
        <v>-0.194682139186739</v>
      </c>
      <c r="G14" s="23" t="n">
        <f aca="false">PL!F217</f>
        <v>45.3082538054554</v>
      </c>
      <c r="H14" s="14" t="n">
        <f aca="false">G14/B14-1</f>
        <v>-0.523422175181915</v>
      </c>
      <c r="I14" s="7" t="s">
        <v>871</v>
      </c>
    </row>
    <row r="15" customFormat="false" ht="17.15" hidden="false" customHeight="false" outlineLevel="0" collapsed="false">
      <c r="A15" s="5" t="s">
        <v>878</v>
      </c>
    </row>
    <row r="16" customFormat="false" ht="17.15" hidden="false" customHeight="false" outlineLevel="0" collapsed="false">
      <c r="A16" s="0" t="s">
        <v>879</v>
      </c>
      <c r="B16" s="21" t="n">
        <f aca="false">vg_pgw26</f>
        <v>450</v>
      </c>
      <c r="C16" s="21" t="n">
        <f aca="false">PL!D69</f>
        <v>425</v>
      </c>
      <c r="D16" s="14" t="n">
        <f aca="false">C16/B16-1</f>
        <v>-0.0555555555555556</v>
      </c>
      <c r="E16" s="21" t="n">
        <f aca="false">PL!D123</f>
        <v>425</v>
      </c>
      <c r="F16" s="14" t="n">
        <f aca="false">E16/B16-1</f>
        <v>-0.0555555555555556</v>
      </c>
      <c r="G16" s="21" t="n">
        <f aca="false">PL!D177</f>
        <v>425</v>
      </c>
      <c r="H16" s="14" t="n">
        <f aca="false">G16/B16-1</f>
        <v>-0.0555555555555556</v>
      </c>
      <c r="I16" s="7" t="s">
        <v>880</v>
      </c>
      <c r="J16" s="3" t="s">
        <v>881</v>
      </c>
    </row>
    <row r="17" customFormat="false" ht="17.15" hidden="false" customHeight="false" outlineLevel="0" collapsed="false">
      <c r="A17" s="0" t="s">
        <v>882</v>
      </c>
      <c r="B17" s="21" t="n">
        <f aca="false">vg_pgw27</f>
        <v>682</v>
      </c>
      <c r="C17" s="21" t="n">
        <f aca="false">PL!E69</f>
        <v>632</v>
      </c>
      <c r="D17" s="14" t="n">
        <f aca="false">C17/B17-1</f>
        <v>-0.0733137829912024</v>
      </c>
      <c r="E17" s="21" t="n">
        <f aca="false">PL!E123</f>
        <v>632</v>
      </c>
      <c r="F17" s="14" t="n">
        <f aca="false">E17/B17-1</f>
        <v>-0.0733137829912024</v>
      </c>
      <c r="G17" s="21" t="n">
        <f aca="false">PL!E177</f>
        <v>632</v>
      </c>
      <c r="H17" s="14" t="n">
        <f aca="false">G17/B17-1</f>
        <v>-0.0733137829912024</v>
      </c>
      <c r="I17" s="7" t="s">
        <v>880</v>
      </c>
      <c r="J17" s="7" t="s">
        <v>58</v>
      </c>
    </row>
    <row r="18" customFormat="false" ht="17.15" hidden="false" customHeight="false" outlineLevel="0" collapsed="false">
      <c r="A18" s="0" t="s">
        <v>883</v>
      </c>
      <c r="B18" s="21" t="n">
        <f aca="false">vg_pgw28</f>
        <v>792</v>
      </c>
      <c r="C18" s="21" t="n">
        <f aca="false">PL!F69</f>
        <v>717</v>
      </c>
      <c r="D18" s="14" t="n">
        <f aca="false">C18/B18-1</f>
        <v>-0.0946969696969697</v>
      </c>
      <c r="E18" s="21" t="n">
        <f aca="false">PL!F123</f>
        <v>717</v>
      </c>
      <c r="F18" s="14" t="n">
        <f aca="false">E18/B18-1</f>
        <v>-0.0946969696969697</v>
      </c>
      <c r="G18" s="21" t="n">
        <f aca="false">PL!F177</f>
        <v>717</v>
      </c>
      <c r="H18" s="14" t="n">
        <f aca="false">G18/B18-1</f>
        <v>-0.0946969696969697</v>
      </c>
      <c r="I18" s="7" t="s">
        <v>880</v>
      </c>
      <c r="J18" s="7" t="s">
        <v>58</v>
      </c>
    </row>
    <row r="19" customFormat="false" ht="17.15" hidden="false" customHeight="false" outlineLevel="0" collapsed="false">
      <c r="A19" s="0" t="s">
        <v>884</v>
      </c>
      <c r="B19" s="21" t="n">
        <f aca="false">emc_ccl26</f>
        <v>350</v>
      </c>
      <c r="C19" s="21" t="n">
        <f aca="false">PL!D69</f>
        <v>425</v>
      </c>
      <c r="D19" s="14" t="n">
        <f aca="false">C19/B19-1</f>
        <v>0.214285714285714</v>
      </c>
      <c r="E19" s="21" t="n">
        <f aca="false">PL!D123</f>
        <v>425</v>
      </c>
      <c r="F19" s="14" t="n">
        <f aca="false">E19/B19-1</f>
        <v>0.214285714285714</v>
      </c>
      <c r="G19" s="21" t="n">
        <f aca="false">PL!D177</f>
        <v>425</v>
      </c>
      <c r="H19" s="14" t="n">
        <f aca="false">G19/B19-1</f>
        <v>0.214285714285714</v>
      </c>
      <c r="I19" s="7" t="s">
        <v>885</v>
      </c>
      <c r="J19" s="3" t="s">
        <v>886</v>
      </c>
    </row>
    <row r="20" customFormat="false" ht="17.15" hidden="false" customHeight="false" outlineLevel="0" collapsed="false">
      <c r="A20" s="0" t="s">
        <v>887</v>
      </c>
      <c r="B20" s="21" t="n">
        <f aca="false">emc_ccl27</f>
        <v>527.5</v>
      </c>
      <c r="C20" s="21" t="n">
        <f aca="false">PL!E69</f>
        <v>632</v>
      </c>
      <c r="D20" s="14" t="n">
        <f aca="false">C20/B20-1</f>
        <v>0.198104265402844</v>
      </c>
      <c r="E20" s="21" t="n">
        <f aca="false">PL!E123</f>
        <v>632</v>
      </c>
      <c r="F20" s="14" t="n">
        <f aca="false">E20/B20-1</f>
        <v>0.198104265402844</v>
      </c>
      <c r="G20" s="21" t="n">
        <f aca="false">PL!E177</f>
        <v>632</v>
      </c>
      <c r="H20" s="14" t="n">
        <f aca="false">G20/B20-1</f>
        <v>0.198104265402844</v>
      </c>
      <c r="I20" s="7" t="s">
        <v>885</v>
      </c>
      <c r="J20" s="7" t="s">
        <v>58</v>
      </c>
    </row>
    <row r="21" customFormat="false" ht="17.15" hidden="false" customHeight="false" outlineLevel="0" collapsed="false">
      <c r="A21" s="0" t="s">
        <v>888</v>
      </c>
      <c r="B21" s="18" t="n">
        <f aca="false">emc_ccl27/emc_ccl26</f>
        <v>1.50714285714286</v>
      </c>
      <c r="C21" s="18" t="n">
        <f aca="false">PL!E69/PL!D69</f>
        <v>1.48705882352941</v>
      </c>
      <c r="D21" s="14" t="n">
        <f aca="false">C21/B21-1</f>
        <v>-0.0133258990800111</v>
      </c>
      <c r="E21" s="18" t="n">
        <f aca="false">PL!E123/PL!D123</f>
        <v>1.48705882352941</v>
      </c>
      <c r="F21" s="14" t="n">
        <f aca="false">E21/B21-1</f>
        <v>-0.0133258990800111</v>
      </c>
      <c r="G21" s="18" t="n">
        <f aca="false">PL!E177/PL!D177</f>
        <v>1.48705882352941</v>
      </c>
      <c r="H21" s="14" t="n">
        <f aca="false">G21/B21-1</f>
        <v>-0.0133258990800111</v>
      </c>
      <c r="I21" s="7" t="s">
        <v>889</v>
      </c>
      <c r="J21" s="3" t="s">
        <v>890</v>
      </c>
    </row>
    <row r="22" customFormat="false" ht="17.15" hidden="false" customHeight="false" outlineLevel="0" collapsed="false">
      <c r="A22" s="0" t="s">
        <v>891</v>
      </c>
      <c r="B22" s="21" t="n">
        <f aca="false">vg_pge26</f>
        <v>104.220553125242</v>
      </c>
      <c r="C22" s="21" t="n">
        <f aca="false">PL!D95</f>
        <v>73.4578604462224</v>
      </c>
      <c r="D22" s="14" t="n">
        <f aca="false">C22/B22-1</f>
        <v>-0.295169155761936</v>
      </c>
      <c r="E22" s="21" t="n">
        <f aca="false">PL!D149</f>
        <v>73.4578604462224</v>
      </c>
      <c r="F22" s="14" t="n">
        <f aca="false">E22/B22-1</f>
        <v>-0.295169155761936</v>
      </c>
      <c r="G22" s="21" t="n">
        <f aca="false">PL!D203</f>
        <v>73.4578604462224</v>
      </c>
      <c r="H22" s="14" t="n">
        <f aca="false">G22/B22-1</f>
        <v>-0.295169155761936</v>
      </c>
      <c r="I22" s="7" t="s">
        <v>892</v>
      </c>
      <c r="J22" s="3" t="s">
        <v>893</v>
      </c>
    </row>
    <row r="23" customFormat="false" ht="17.15" hidden="false" customHeight="false" outlineLevel="0" collapsed="false">
      <c r="A23" s="0" t="s">
        <v>894</v>
      </c>
      <c r="B23" s="21" t="n">
        <f aca="false">emc_pg26</f>
        <v>160.757158009399</v>
      </c>
      <c r="C23" s="21" t="n">
        <f aca="false">PL!D95</f>
        <v>73.4578604462224</v>
      </c>
      <c r="D23" s="14" t="n">
        <f aca="false">C23/B23-1</f>
        <v>-0.543050764545567</v>
      </c>
      <c r="E23" s="21" t="n">
        <f aca="false">PL!D149</f>
        <v>73.4578604462224</v>
      </c>
      <c r="F23" s="14" t="n">
        <f aca="false">E23/B23-1</f>
        <v>-0.543050764545567</v>
      </c>
      <c r="G23" s="21" t="n">
        <f aca="false">PL!D203</f>
        <v>73.4578604462224</v>
      </c>
      <c r="H23" s="14" t="n">
        <f aca="false">G23/B23-1</f>
        <v>-0.543050764545567</v>
      </c>
      <c r="I23" s="7" t="s">
        <v>889</v>
      </c>
      <c r="J23" s="3" t="s">
        <v>895</v>
      </c>
    </row>
    <row r="24" customFormat="false" ht="17.15" hidden="false" customHeight="false" outlineLevel="0" collapsed="false">
      <c r="A24" s="0" t="s">
        <v>896</v>
      </c>
      <c r="B24" s="21" t="n">
        <f aca="false">vg_pge27</f>
        <v>126.086203457351</v>
      </c>
      <c r="C24" s="21" t="n">
        <f aca="false">PL!E95</f>
        <v>78.4144046416261</v>
      </c>
      <c r="D24" s="14" t="n">
        <f aca="false">C24/B24-1</f>
        <v>-0.378088938428938</v>
      </c>
      <c r="E24" s="21" t="n">
        <f aca="false">PL!E149</f>
        <v>74.9738410190283</v>
      </c>
      <c r="F24" s="14" t="n">
        <f aca="false">E24/B24-1</f>
        <v>-0.405376330136006</v>
      </c>
      <c r="G24" s="21" t="n">
        <f aca="false">PL!E203</f>
        <v>70.3864228555647</v>
      </c>
      <c r="H24" s="14" t="n">
        <f aca="false">G24/B24-1</f>
        <v>-0.441759519078762</v>
      </c>
      <c r="I24" s="7" t="s">
        <v>892</v>
      </c>
      <c r="J24" s="7" t="s">
        <v>58</v>
      </c>
    </row>
    <row r="25" customFormat="false" ht="17.15" hidden="false" customHeight="false" outlineLevel="0" collapsed="false">
      <c r="A25" s="0" t="s">
        <v>897</v>
      </c>
      <c r="B25" s="21" t="n">
        <f aca="false">emc_pg27</f>
        <v>180.408412082255</v>
      </c>
      <c r="C25" s="21" t="n">
        <f aca="false">PL!E95</f>
        <v>78.4144046416261</v>
      </c>
      <c r="D25" s="14" t="n">
        <f aca="false">C25/B25-1</f>
        <v>-0.565350618984031</v>
      </c>
      <c r="E25" s="21" t="n">
        <f aca="false">PL!E149</f>
        <v>74.9738410190283</v>
      </c>
      <c r="F25" s="14" t="n">
        <f aca="false">E25/B25-1</f>
        <v>-0.584421590137133</v>
      </c>
      <c r="G25" s="21" t="n">
        <f aca="false">PL!E203</f>
        <v>70.3864228555647</v>
      </c>
      <c r="H25" s="14" t="n">
        <f aca="false">G25/B25-1</f>
        <v>-0.609849551674603</v>
      </c>
      <c r="I25" s="7" t="s">
        <v>889</v>
      </c>
      <c r="J25" s="3" t="s">
        <v>895</v>
      </c>
    </row>
    <row r="26" customFormat="false" ht="17.15" hidden="false" customHeight="false" outlineLevel="0" collapsed="false">
      <c r="A26" s="0" t="s">
        <v>898</v>
      </c>
      <c r="B26" s="14" t="n">
        <f aca="false">vg_sh26</f>
        <v>0.231601229167205</v>
      </c>
      <c r="C26" s="14" t="n">
        <f aca="false">PL!D73</f>
        <v>0.172842024579347</v>
      </c>
      <c r="D26" s="14" t="n">
        <f aca="false">C26-B26</f>
        <v>-0.0587592045878582</v>
      </c>
      <c r="E26" s="14" t="n">
        <f aca="false">PL!D127</f>
        <v>0.172842024579347</v>
      </c>
      <c r="F26" s="14" t="n">
        <f aca="false">E26-B26</f>
        <v>-0.0587592045878582</v>
      </c>
      <c r="G26" s="14" t="n">
        <f aca="false">PL!D181</f>
        <v>0.172842024579347</v>
      </c>
      <c r="H26" s="14" t="n">
        <f aca="false">G26-B26</f>
        <v>-0.0587592045878582</v>
      </c>
      <c r="I26" s="7" t="s">
        <v>892</v>
      </c>
      <c r="J26" s="3" t="s">
        <v>899</v>
      </c>
    </row>
    <row r="27" customFormat="false" ht="17.15" hidden="false" customHeight="false" outlineLevel="0" collapsed="false">
      <c r="A27" s="5" t="s">
        <v>900</v>
      </c>
    </row>
    <row r="28" customFormat="false" ht="17.15" hidden="false" customHeight="false" outlineLevel="0" collapsed="false">
      <c r="A28" s="0" t="s">
        <v>901</v>
      </c>
      <c r="C28" s="14" t="n">
        <f aca="false">PL!E94</f>
        <v>1.36486372824542</v>
      </c>
      <c r="E28" s="14" t="n">
        <f aca="false">PL!E148</f>
        <v>1.29875034099137</v>
      </c>
      <c r="G28" s="14" t="n">
        <f aca="false">PL!E202</f>
        <v>1.17030533893803</v>
      </c>
      <c r="I28" s="7" t="s">
        <v>58</v>
      </c>
      <c r="J28" s="3" t="s">
        <v>576</v>
      </c>
    </row>
    <row r="29" customFormat="false" ht="17.15" hidden="false" customHeight="false" outlineLevel="0" collapsed="false">
      <c r="A29" s="0" t="s">
        <v>902</v>
      </c>
      <c r="C29" s="14" t="n">
        <f aca="false">PL!F94</f>
        <v>1.39582607539974</v>
      </c>
      <c r="E29" s="14" t="n">
        <f aca="false">PL!F148</f>
        <v>1.07506839756468</v>
      </c>
      <c r="G29" s="14" t="n">
        <f aca="false">PL!F202</f>
        <v>0.766259342158443</v>
      </c>
      <c r="I29" s="7" t="s">
        <v>58</v>
      </c>
    </row>
    <row r="30" customFormat="false" ht="17.15" hidden="false" customHeight="false" outlineLevel="0" collapsed="false">
      <c r="A30" s="3" t="s">
        <v>903</v>
      </c>
      <c r="C30" s="14" t="n">
        <f aca="false">PL!D97</f>
        <v>0.296655205435058</v>
      </c>
      <c r="E30" s="14" t="n">
        <f aca="false">PL!D151</f>
        <v>0.296655205435058</v>
      </c>
      <c r="G30" s="14" t="n">
        <f aca="false">PL!D205</f>
        <v>0.296655205435058</v>
      </c>
      <c r="I30" s="7" t="s">
        <v>904</v>
      </c>
      <c r="J30" s="7" t="s">
        <v>905</v>
      </c>
    </row>
    <row r="31" customFormat="false" ht="17.15" hidden="false" customHeight="false" outlineLevel="0" collapsed="false">
      <c r="A31" s="0" t="s">
        <v>906</v>
      </c>
      <c r="B31" s="14" t="n">
        <f aca="false">a26_gp/a26_rev</f>
        <v>0.348837592422248</v>
      </c>
      <c r="C31" s="14" t="n">
        <f aca="false">PL!E100</f>
        <v>0.387979003618137</v>
      </c>
      <c r="D31" s="14" t="n">
        <f aca="false">C31-B31</f>
        <v>0.0391414111958884</v>
      </c>
      <c r="E31" s="14" t="n">
        <f aca="false">PL!E154</f>
        <v>0.368566003345544</v>
      </c>
      <c r="F31" s="14" t="n">
        <f aca="false">E31-B31</f>
        <v>0.0197284109232958</v>
      </c>
      <c r="G31" s="14" t="n">
        <f aca="false">PL!E208</f>
        <v>0.338121049418025</v>
      </c>
      <c r="H31" s="14" t="n">
        <f aca="false">G31-B31</f>
        <v>-0.010716543004223</v>
      </c>
      <c r="I31" s="3" t="s">
        <v>907</v>
      </c>
    </row>
    <row r="32" customFormat="false" ht="17.15" hidden="false" customHeight="false" outlineLevel="0" collapsed="false">
      <c r="A32" s="0" t="s">
        <v>908</v>
      </c>
      <c r="B32" s="14" t="n">
        <f aca="false">0.2643</f>
        <v>0.2643</v>
      </c>
      <c r="C32" s="14" t="n">
        <f aca="false">PL!E104</f>
        <v>0.318179257935738</v>
      </c>
      <c r="D32" s="14" t="n">
        <f aca="false">C32-B32</f>
        <v>0.0538792579357379</v>
      </c>
      <c r="E32" s="14" t="n">
        <f aca="false">PL!E158</f>
        <v>0.298120013586154</v>
      </c>
      <c r="F32" s="14" t="n">
        <f aca="false">E32-B32</f>
        <v>0.0338200135861536</v>
      </c>
      <c r="G32" s="14" t="n">
        <f aca="false">PL!E212</f>
        <v>0.26675057160405</v>
      </c>
      <c r="H32" s="14" t="n">
        <f aca="false">G32-B32</f>
        <v>0.00245057160404971</v>
      </c>
      <c r="I32" s="3" t="s">
        <v>909</v>
      </c>
    </row>
    <row r="33" customFormat="false" ht="17.15" hidden="false" customHeight="false" outlineLevel="0" collapsed="false">
      <c r="A33" s="0" t="s">
        <v>910</v>
      </c>
      <c r="C33" s="18" t="n">
        <f aca="false">Q!E15</f>
        <v>11.5525389097932</v>
      </c>
      <c r="E33" s="18" t="n">
        <f aca="false">Q!E15</f>
        <v>11.5525389097932</v>
      </c>
      <c r="G33" s="18" t="n">
        <f aca="false">Q!E15</f>
        <v>11.5525389097932</v>
      </c>
      <c r="I33" s="7" t="s">
        <v>58</v>
      </c>
      <c r="J33" s="7" t="s">
        <v>911</v>
      </c>
    </row>
    <row r="34" customFormat="false" ht="17.15" hidden="false" customHeight="false" outlineLevel="0" collapsed="false">
      <c r="A34" s="5" t="s">
        <v>912</v>
      </c>
    </row>
    <row r="35" customFormat="false" ht="17.15" hidden="false" customHeight="false" outlineLevel="0" collapsed="false">
      <c r="A35" s="0" t="s">
        <v>913</v>
      </c>
      <c r="J35" s="3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915</v>
      </c>
    </row>
    <row r="3" customFormat="false" ht="17.15" hidden="false" customHeight="false" outlineLevel="0" collapsed="false">
      <c r="A3" s="4" t="s">
        <v>916</v>
      </c>
      <c r="B3" s="4" t="s">
        <v>917</v>
      </c>
      <c r="C3" s="15" t="s">
        <v>918</v>
      </c>
      <c r="D3" s="15" t="s">
        <v>919</v>
      </c>
      <c r="E3" s="15" t="s">
        <v>920</v>
      </c>
      <c r="F3" s="15" t="s">
        <v>750</v>
      </c>
      <c r="G3" s="15" t="s">
        <v>921</v>
      </c>
      <c r="H3" s="15" t="s">
        <v>922</v>
      </c>
      <c r="I3" s="15" t="s">
        <v>923</v>
      </c>
      <c r="J3" s="15" t="s">
        <v>924</v>
      </c>
      <c r="K3" s="15" t="s">
        <v>925</v>
      </c>
      <c r="L3" s="15" t="s">
        <v>926</v>
      </c>
    </row>
    <row r="4" customFormat="false" ht="17.15" hidden="false" customHeight="false" outlineLevel="0" collapsed="false">
      <c r="A4" s="3" t="s">
        <v>927</v>
      </c>
      <c r="B4" s="0" t="s">
        <v>928</v>
      </c>
      <c r="C4" s="22" t="n">
        <f aca="false">PL!E137</f>
        <v>152.840904</v>
      </c>
      <c r="D4" s="22" t="n">
        <f aca="false">PL!E135</f>
        <v>99.917376</v>
      </c>
      <c r="E4" s="14" t="n">
        <f aca="false">PL!E154</f>
        <v>0.368566003345544</v>
      </c>
      <c r="F4" s="18" t="n">
        <f aca="false">PL!E163</f>
        <v>60.1510234165269</v>
      </c>
      <c r="G4" s="14" t="n">
        <f aca="false">F4/F$4-1</f>
        <v>0</v>
      </c>
      <c r="H4" s="22" t="n">
        <f aca="false">PL!F137</f>
        <v>194.26605936</v>
      </c>
      <c r="I4" s="22" t="n">
        <f aca="false">PL!F135</f>
        <v>139.75482552</v>
      </c>
      <c r="J4" s="14" t="n">
        <f aca="false">PL!F154</f>
        <v>0.365962006691732</v>
      </c>
      <c r="K4" s="18" t="n">
        <f aca="false">PL!F163</f>
        <v>76.5615690275167</v>
      </c>
      <c r="L4" s="14" t="n">
        <f aca="false">K4/K$4-1</f>
        <v>0</v>
      </c>
    </row>
    <row r="5" customFormat="false" ht="17.15" hidden="false" customHeight="false" outlineLevel="0" collapsed="false">
      <c r="A5" s="3" t="s">
        <v>929</v>
      </c>
      <c r="B5" s="3" t="s">
        <v>930</v>
      </c>
      <c r="C5" s="22" t="n">
        <f aca="false">E73</f>
        <v>152.840904</v>
      </c>
      <c r="D5" s="22" t="n">
        <f aca="false">E71</f>
        <v>99.917376</v>
      </c>
      <c r="E5" s="14" t="n">
        <f aca="false">E90</f>
        <v>0.368566003345544</v>
      </c>
      <c r="F5" s="18" t="n">
        <f aca="false">E99</f>
        <v>60.1510234165269</v>
      </c>
      <c r="G5" s="14" t="n">
        <f aca="false">F5/F$4-1</f>
        <v>0</v>
      </c>
      <c r="H5" s="22" t="n">
        <f aca="false">F73</f>
        <v>189.992934756261</v>
      </c>
      <c r="I5" s="22" t="n">
        <f aca="false">F71</f>
        <v>135.481700916261</v>
      </c>
      <c r="J5" s="14" t="n">
        <f aca="false">F90</f>
        <v>0.365354007277577</v>
      </c>
      <c r="K5" s="18" t="n">
        <f aca="false">F99</f>
        <v>74.602696172278</v>
      </c>
      <c r="L5" s="14" t="n">
        <f aca="false">K5/K$4-1</f>
        <v>-0.0255855892208097</v>
      </c>
    </row>
    <row r="6" customFormat="false" ht="17.15" hidden="false" customHeight="false" outlineLevel="0" collapsed="false">
      <c r="A6" s="3" t="s">
        <v>931</v>
      </c>
      <c r="B6" s="3" t="s">
        <v>932</v>
      </c>
      <c r="C6" s="22" t="n">
        <f aca="false">E127</f>
        <v>152.840904</v>
      </c>
      <c r="D6" s="22" t="n">
        <f aca="false">E125</f>
        <v>99.917376</v>
      </c>
      <c r="E6" s="14" t="n">
        <f aca="false">E144</f>
        <v>0.368566003345544</v>
      </c>
      <c r="F6" s="18" t="n">
        <f aca="false">E153</f>
        <v>60.1510234165269</v>
      </c>
      <c r="G6" s="14" t="n">
        <f aca="false">F6/F$4-1</f>
        <v>0</v>
      </c>
      <c r="H6" s="22" t="n">
        <f aca="false">F127</f>
        <v>194.26605936</v>
      </c>
      <c r="I6" s="22" t="n">
        <f aca="false">F125</f>
        <v>139.75482552</v>
      </c>
      <c r="J6" s="14" t="n">
        <f aca="false">F144</f>
        <v>0.365962006691732</v>
      </c>
      <c r="K6" s="18" t="n">
        <f aca="false">F153</f>
        <v>76.5615690275167</v>
      </c>
      <c r="L6" s="14" t="n">
        <f aca="false">K6/K$4-1</f>
        <v>0</v>
      </c>
    </row>
    <row r="7" customFormat="false" ht="17.15" hidden="false" customHeight="false" outlineLevel="0" collapsed="false">
      <c r="A7" s="3" t="s">
        <v>933</v>
      </c>
      <c r="B7" s="3" t="s">
        <v>934</v>
      </c>
      <c r="C7" s="22" t="n">
        <f aca="false">E181</f>
        <v>152.840904</v>
      </c>
      <c r="D7" s="22" t="n">
        <f aca="false">E179</f>
        <v>99.917376</v>
      </c>
      <c r="E7" s="14" t="n">
        <f aca="false">E198</f>
        <v>0.368566003345544</v>
      </c>
      <c r="F7" s="18" t="n">
        <f aca="false">E207</f>
        <v>60.1510234165269</v>
      </c>
      <c r="G7" s="14" t="n">
        <f aca="false">F7/F$4-1</f>
        <v>0</v>
      </c>
      <c r="H7" s="22" t="n">
        <f aca="false">F181</f>
        <v>194.26605936</v>
      </c>
      <c r="I7" s="22" t="n">
        <f aca="false">F179</f>
        <v>139.75482552</v>
      </c>
      <c r="J7" s="14" t="n">
        <f aca="false">F198</f>
        <v>0.365962006691732</v>
      </c>
      <c r="K7" s="18" t="n">
        <f aca="false">F207</f>
        <v>76.5615690275167</v>
      </c>
      <c r="L7" s="14" t="n">
        <f aca="false">K7/K$4-1</f>
        <v>0</v>
      </c>
    </row>
    <row r="8" customFormat="false" ht="17.15" hidden="false" customHeight="false" outlineLevel="0" collapsed="false">
      <c r="A8" s="3" t="s">
        <v>935</v>
      </c>
      <c r="B8" s="3" t="s">
        <v>936</v>
      </c>
      <c r="C8" s="22" t="n">
        <f aca="false">E235</f>
        <v>152.840904</v>
      </c>
      <c r="D8" s="22" t="n">
        <f aca="false">E233</f>
        <v>99.917376</v>
      </c>
      <c r="E8" s="14" t="n">
        <f aca="false">E252</f>
        <v>0.368566003345544</v>
      </c>
      <c r="F8" s="18" t="n">
        <f aca="false">E261</f>
        <v>60.1510234165269</v>
      </c>
      <c r="G8" s="14" t="n">
        <f aca="false">F8/F$4-1</f>
        <v>0</v>
      </c>
      <c r="H8" s="22" t="n">
        <f aca="false">F235</f>
        <v>194.26605936</v>
      </c>
      <c r="I8" s="22" t="n">
        <f aca="false">F233</f>
        <v>139.75482552</v>
      </c>
      <c r="J8" s="14" t="n">
        <f aca="false">F252</f>
        <v>0.365962006691732</v>
      </c>
      <c r="K8" s="18" t="n">
        <f aca="false">F261</f>
        <v>76.5615690275167</v>
      </c>
      <c r="L8" s="14" t="n">
        <f aca="false">K8/K$4-1</f>
        <v>0</v>
      </c>
    </row>
    <row r="9" customFormat="false" ht="17.15" hidden="false" customHeight="false" outlineLevel="0" collapsed="false">
      <c r="A9" s="3" t="s">
        <v>937</v>
      </c>
      <c r="B9" s="3" t="s">
        <v>938</v>
      </c>
      <c r="C9" s="22" t="n">
        <f aca="false">E289</f>
        <v>152.840904</v>
      </c>
      <c r="D9" s="22" t="n">
        <f aca="false">E287</f>
        <v>99.917376</v>
      </c>
      <c r="E9" s="14" t="n">
        <f aca="false">E306</f>
        <v>0.368566003345544</v>
      </c>
      <c r="F9" s="18" t="n">
        <f aca="false">E315</f>
        <v>60.1510234165269</v>
      </c>
      <c r="G9" s="14" t="n">
        <f aca="false">F9/F$4-1</f>
        <v>0</v>
      </c>
      <c r="H9" s="22" t="n">
        <f aca="false">F289</f>
        <v>176.35707644318</v>
      </c>
      <c r="I9" s="22" t="n">
        <f aca="false">F287</f>
        <v>121.84584260318</v>
      </c>
      <c r="J9" s="14" t="n">
        <f aca="false">F306</f>
        <v>0.363216812404082</v>
      </c>
      <c r="K9" s="18" t="n">
        <f aca="false">F315</f>
        <v>68.3517872509693</v>
      </c>
      <c r="L9" s="14" t="n">
        <f aca="false">K9/K$4-1</f>
        <v>-0.107231106687439</v>
      </c>
    </row>
    <row r="10" customFormat="false" ht="17.15" hidden="false" customHeight="false" outlineLevel="0" collapsed="false">
      <c r="A10" s="3" t="s">
        <v>939</v>
      </c>
      <c r="B10" s="3" t="s">
        <v>940</v>
      </c>
      <c r="C10" s="22" t="n">
        <f aca="false">E343</f>
        <v>152.840904</v>
      </c>
      <c r="D10" s="22" t="n">
        <f aca="false">E341</f>
        <v>99.917376</v>
      </c>
      <c r="E10" s="14" t="n">
        <f aca="false">E360</f>
        <v>0.368566003345544</v>
      </c>
      <c r="F10" s="18" t="n">
        <f aca="false">E369</f>
        <v>60.1510234165269</v>
      </c>
      <c r="G10" s="14" t="n">
        <f aca="false">F10/F$4-1</f>
        <v>0</v>
      </c>
      <c r="H10" s="22" t="n">
        <f aca="false">F343</f>
        <v>194.26605936</v>
      </c>
      <c r="I10" s="22" t="n">
        <f aca="false">F341</f>
        <v>139.75482552</v>
      </c>
      <c r="J10" s="14" t="n">
        <f aca="false">F360</f>
        <v>0.365962006691732</v>
      </c>
      <c r="K10" s="18" t="n">
        <f aca="false">F369</f>
        <v>76.5615690275167</v>
      </c>
      <c r="L10" s="14" t="n">
        <f aca="false">K10/K$4-1</f>
        <v>0</v>
      </c>
    </row>
    <row r="11" customFormat="false" ht="17.15" hidden="false" customHeight="false" outlineLevel="0" collapsed="false">
      <c r="A11" s="3" t="s">
        <v>941</v>
      </c>
      <c r="B11" s="3" t="s">
        <v>942</v>
      </c>
      <c r="C11" s="22" t="n">
        <f aca="false">E397</f>
        <v>146.72726784</v>
      </c>
      <c r="D11" s="22" t="n">
        <f aca="false">E395</f>
        <v>93.80373984</v>
      </c>
      <c r="E11" s="14" t="n">
        <f aca="false">E414</f>
        <v>0.350907185385921</v>
      </c>
      <c r="F11" s="18" t="n">
        <f aca="false">E423</f>
        <v>54.1454499717997</v>
      </c>
      <c r="G11" s="14" t="n">
        <f aca="false">F11/F$4-1</f>
        <v>-0.0998415837938532</v>
      </c>
      <c r="H11" s="22" t="n">
        <f aca="false">F397</f>
        <v>184.25234496</v>
      </c>
      <c r="I11" s="22" t="n">
        <f aca="false">F395</f>
        <v>129.74111112</v>
      </c>
      <c r="J11" s="14" t="n">
        <f aca="false">F414</f>
        <v>0.340689331068165</v>
      </c>
      <c r="K11" s="18" t="n">
        <f aca="false">F423</f>
        <v>66.2592703839163</v>
      </c>
      <c r="L11" s="14" t="n">
        <f aca="false">K11/K$4-1</f>
        <v>-0.134562271573845</v>
      </c>
    </row>
    <row r="12" customFormat="false" ht="17.15" hidden="false" customHeight="false" outlineLevel="0" collapsed="false">
      <c r="A12" s="3" t="s">
        <v>943</v>
      </c>
      <c r="B12" s="3" t="s">
        <v>944</v>
      </c>
      <c r="C12" s="22" t="n">
        <f aca="false">E451</f>
        <v>157.42613112</v>
      </c>
      <c r="D12" s="22" t="n">
        <f aca="false">E449</f>
        <v>104.50260312</v>
      </c>
      <c r="E12" s="14" t="n">
        <f aca="false">E468</f>
        <v>0.381340804332128</v>
      </c>
      <c r="F12" s="18" t="n">
        <f aca="false">E477</f>
        <v>64.7447270892227</v>
      </c>
      <c r="G12" s="14" t="n">
        <f aca="false">F12/F$4-1</f>
        <v>0.0763695014943617</v>
      </c>
      <c r="H12" s="22" t="n">
        <f aca="false">F451</f>
        <v>204.27977376</v>
      </c>
      <c r="I12" s="22" t="n">
        <f aca="false">F449</f>
        <v>149.76853992</v>
      </c>
      <c r="J12" s="14" t="n">
        <f aca="false">F468</f>
        <v>0.389641344075746</v>
      </c>
      <c r="K12" s="18" t="n">
        <f aca="false">F477</f>
        <v>87.108505655867</v>
      </c>
      <c r="L12" s="14" t="n">
        <f aca="false">K12/K$4-1</f>
        <v>0.137757582065222</v>
      </c>
    </row>
    <row r="13" customFormat="false" ht="17.15" hidden="false" customHeight="false" outlineLevel="0" collapsed="false">
      <c r="A13" s="3" t="s">
        <v>945</v>
      </c>
      <c r="B13" s="3" t="s">
        <v>946</v>
      </c>
      <c r="C13" s="22" t="n">
        <f aca="false">E505</f>
        <v>137.029776</v>
      </c>
      <c r="D13" s="22" t="n">
        <f aca="false">E503</f>
        <v>84.106248</v>
      </c>
      <c r="E13" s="14" t="n">
        <f aca="false">E522</f>
        <v>0.364171095412139</v>
      </c>
      <c r="F13" s="18" t="n">
        <f aca="false">E531</f>
        <v>52.67037187883</v>
      </c>
      <c r="G13" s="14" t="n">
        <f aca="false">F13/F$4-1</f>
        <v>-0.124364493117527</v>
      </c>
      <c r="H13" s="22" t="n">
        <f aca="false">F505</f>
        <v>163.59247104</v>
      </c>
      <c r="I13" s="22" t="n">
        <f aca="false">F503</f>
        <v>109.0812372</v>
      </c>
      <c r="J13" s="14" t="n">
        <f aca="false">F522</f>
        <v>0.360893309730892</v>
      </c>
      <c r="K13" s="18" t="n">
        <f aca="false">F531</f>
        <v>62.5707477536939</v>
      </c>
      <c r="L13" s="14" t="n">
        <f aca="false">K13/K$4-1</f>
        <v>-0.182739479500406</v>
      </c>
    </row>
    <row r="14" customFormat="false" ht="17.15" hidden="false" customHeight="false" outlineLevel="0" collapsed="false">
      <c r="A14" s="3" t="s">
        <v>947</v>
      </c>
      <c r="B14" s="3" t="s">
        <v>948</v>
      </c>
      <c r="C14" s="22" t="n">
        <f aca="false">E559</f>
        <v>168.652032</v>
      </c>
      <c r="D14" s="22" t="n">
        <f aca="false">E557</f>
        <v>115.728504</v>
      </c>
      <c r="E14" s="14" t="n">
        <f aca="false">E576</f>
        <v>0.372136866041436</v>
      </c>
      <c r="F14" s="18" t="n">
        <f aca="false">E585</f>
        <v>67.6316749542238</v>
      </c>
      <c r="G14" s="14" t="n">
        <f aca="false">F14/F$4-1</f>
        <v>0.124364493117527</v>
      </c>
      <c r="H14" s="22" t="n">
        <f aca="false">F559</f>
        <v>208.849301137361</v>
      </c>
      <c r="I14" s="22" t="n">
        <f aca="false">F557</f>
        <v>154.338067297361</v>
      </c>
      <c r="J14" s="14" t="n">
        <f aca="false">F576</f>
        <v>0.36784963336158</v>
      </c>
      <c r="K14" s="18" t="n">
        <f aca="false">F585</f>
        <v>83.1885445411442</v>
      </c>
      <c r="L14" s="14" t="n">
        <f aca="false">K14/K$4-1</f>
        <v>0.0865574673795642</v>
      </c>
    </row>
    <row r="15" customFormat="false" ht="17.15" hidden="false" customHeight="false" outlineLevel="0" collapsed="false">
      <c r="A15" s="0" t="s">
        <v>949</v>
      </c>
      <c r="B15" s="3" t="s">
        <v>950</v>
      </c>
      <c r="C15" s="22" t="n">
        <f aca="false">E613</f>
        <v>152.840904</v>
      </c>
      <c r="D15" s="22" t="n">
        <f aca="false">E611</f>
        <v>99.917376</v>
      </c>
      <c r="E15" s="14" t="n">
        <f aca="false">E630</f>
        <v>0.355491312816365</v>
      </c>
      <c r="F15" s="18" t="n">
        <f aca="false">E639</f>
        <v>57.5129716912367</v>
      </c>
      <c r="G15" s="14" t="n">
        <f aca="false">F15/F$4-1</f>
        <v>-0.0438571378415719</v>
      </c>
      <c r="H15" s="22" t="n">
        <f aca="false">F613</f>
        <v>194.26605936</v>
      </c>
      <c r="I15" s="22" t="n">
        <f aca="false">F611</f>
        <v>139.75482552</v>
      </c>
      <c r="J15" s="14" t="n">
        <f aca="false">F630</f>
        <v>0.347977029544873</v>
      </c>
      <c r="K15" s="18" t="n">
        <f aca="false">F639</f>
        <v>71.9949189158964</v>
      </c>
      <c r="L15" s="14" t="n">
        <f aca="false">K15/K$4-1</f>
        <v>-0.0596467675574811</v>
      </c>
    </row>
    <row r="16" customFormat="false" ht="17.15" hidden="false" customHeight="false" outlineLevel="0" collapsed="false">
      <c r="A16" s="0" t="s">
        <v>951</v>
      </c>
      <c r="B16" s="3" t="s">
        <v>952</v>
      </c>
      <c r="C16" s="22" t="n">
        <f aca="false">E667</f>
        <v>152.840904</v>
      </c>
      <c r="D16" s="22" t="n">
        <f aca="false">E665</f>
        <v>99.917376</v>
      </c>
      <c r="E16" s="14" t="n">
        <f aca="false">E684</f>
        <v>0.375103348610134</v>
      </c>
      <c r="F16" s="18" t="n">
        <f aca="false">E693</f>
        <v>61.470049279172</v>
      </c>
      <c r="G16" s="14" t="n">
        <f aca="false">F16/F$4-1</f>
        <v>0.0219285689207862</v>
      </c>
      <c r="H16" s="22" t="n">
        <f aca="false">F667</f>
        <v>194.26605936</v>
      </c>
      <c r="I16" s="22" t="n">
        <f aca="false">F665</f>
        <v>139.75482552</v>
      </c>
      <c r="J16" s="14" t="n">
        <f aca="false">F684</f>
        <v>0.376752992979848</v>
      </c>
      <c r="K16" s="18" t="n">
        <f aca="false">F693</f>
        <v>79.3015590944889</v>
      </c>
      <c r="L16" s="14" t="n">
        <f aca="false">K16/K$4-1</f>
        <v>0.0357880605344887</v>
      </c>
    </row>
    <row r="17" customFormat="false" ht="17.15" hidden="false" customHeight="false" outlineLevel="0" collapsed="false">
      <c r="A17" s="0" t="s">
        <v>953</v>
      </c>
      <c r="B17" s="0" t="s">
        <v>954</v>
      </c>
      <c r="C17" s="22" t="n">
        <f aca="false">E721</f>
        <v>152.840904</v>
      </c>
      <c r="D17" s="22" t="n">
        <f aca="false">E719</f>
        <v>99.917376</v>
      </c>
      <c r="E17" s="14" t="n">
        <f aca="false">E738</f>
        <v>0.368566003345544</v>
      </c>
      <c r="F17" s="18" t="n">
        <f aca="false">E747</f>
        <v>60.1510234165269</v>
      </c>
      <c r="G17" s="14" t="n">
        <f aca="false">F17/F$4-1</f>
        <v>0</v>
      </c>
      <c r="H17" s="22" t="n">
        <f aca="false">F721</f>
        <v>177.981687677889</v>
      </c>
      <c r="I17" s="22" t="n">
        <f aca="false">F719</f>
        <v>123.470453837889</v>
      </c>
      <c r="J17" s="14" t="n">
        <f aca="false">F738</f>
        <v>0.363488627283436</v>
      </c>
      <c r="K17" s="18" t="n">
        <f aca="false">F747</f>
        <v>69.0965366189617</v>
      </c>
      <c r="L17" s="14" t="n">
        <f aca="false">K17/K$4-1</f>
        <v>-0.0975036497210761</v>
      </c>
    </row>
    <row r="18" customFormat="false" ht="17.15" hidden="false" customHeight="false" outlineLevel="0" collapsed="false">
      <c r="A18" s="0" t="s">
        <v>955</v>
      </c>
      <c r="B18" s="0" t="s">
        <v>956</v>
      </c>
      <c r="C18" s="22" t="n">
        <f aca="false">E775</f>
        <v>152.840904</v>
      </c>
      <c r="D18" s="22" t="n">
        <f aca="false">E773</f>
        <v>99.917376</v>
      </c>
      <c r="E18" s="14" t="n">
        <f aca="false">E792</f>
        <v>0.368566003345544</v>
      </c>
      <c r="F18" s="18" t="n">
        <f aca="false">E801</f>
        <v>60.1510234165269</v>
      </c>
      <c r="G18" s="14" t="n">
        <f aca="false">F18/F$4-1</f>
        <v>0</v>
      </c>
      <c r="H18" s="22" t="n">
        <f aca="false">F775</f>
        <v>194.26605936</v>
      </c>
      <c r="I18" s="22" t="n">
        <f aca="false">F773</f>
        <v>139.75482552</v>
      </c>
      <c r="J18" s="14" t="n">
        <f aca="false">F792</f>
        <v>0.365962006691732</v>
      </c>
      <c r="K18" s="18" t="n">
        <f aca="false">F801</f>
        <v>76.5615690275167</v>
      </c>
      <c r="L18" s="14" t="n">
        <f aca="false">K18/K$4-1</f>
        <v>0</v>
      </c>
    </row>
    <row r="19" customFormat="false" ht="17.15" hidden="false" customHeight="false" outlineLevel="0" collapsed="false">
      <c r="A19" s="0" t="s">
        <v>957</v>
      </c>
      <c r="B19" s="0" t="s">
        <v>958</v>
      </c>
      <c r="C19" s="22" t="n">
        <f aca="false">E829</f>
        <v>152.840904</v>
      </c>
      <c r="D19" s="22" t="n">
        <f aca="false">E827</f>
        <v>99.917376</v>
      </c>
      <c r="E19" s="14" t="n">
        <f aca="false">E846</f>
        <v>0.363289577082062</v>
      </c>
      <c r="F19" s="18" t="n">
        <f aca="false">E855</f>
        <v>59.0864104242207</v>
      </c>
      <c r="G19" s="14" t="n">
        <f aca="false">F19/F$4-1</f>
        <v>-0.0176990004797433</v>
      </c>
      <c r="H19" s="22" t="n">
        <f aca="false">F829</f>
        <v>194.26605936</v>
      </c>
      <c r="I19" s="22" t="n">
        <f aca="false">F827</f>
        <v>139.75482552</v>
      </c>
      <c r="J19" s="14" t="n">
        <f aca="false">F846</f>
        <v>0.357633431695879</v>
      </c>
      <c r="K19" s="18" t="n">
        <f aca="false">F855</f>
        <v>74.4468213898701</v>
      </c>
      <c r="L19" s="14" t="n">
        <f aca="false">K19/K$4-1</f>
        <v>-0.0276215295024393</v>
      </c>
    </row>
    <row r="20" customFormat="false" ht="17.15" hidden="false" customHeight="false" outlineLevel="0" collapsed="false">
      <c r="A20" s="0" t="s">
        <v>959</v>
      </c>
      <c r="B20" s="3" t="s">
        <v>960</v>
      </c>
      <c r="C20" s="22" t="n">
        <f aca="false">E883</f>
        <v>152.840904</v>
      </c>
      <c r="D20" s="22" t="n">
        <f aca="false">E881</f>
        <v>99.917376</v>
      </c>
      <c r="E20" s="14" t="n">
        <f aca="false">E900</f>
        <v>0.373842429609027</v>
      </c>
      <c r="F20" s="18" t="n">
        <f aca="false">E909</f>
        <v>61.2156364088331</v>
      </c>
      <c r="G20" s="14" t="n">
        <f aca="false">F20/F$4-1</f>
        <v>0.0176990004797435</v>
      </c>
      <c r="H20" s="22" t="n">
        <f aca="false">F883</f>
        <v>194.26605936</v>
      </c>
      <c r="I20" s="22" t="n">
        <f aca="false">F881</f>
        <v>139.75482552</v>
      </c>
      <c r="J20" s="14" t="n">
        <f aca="false">F900</f>
        <v>0.374290581687585</v>
      </c>
      <c r="K20" s="18" t="n">
        <f aca="false">F909</f>
        <v>78.6763166651633</v>
      </c>
      <c r="L20" s="14" t="n">
        <f aca="false">K20/K$4-1</f>
        <v>0.0276215295024391</v>
      </c>
    </row>
    <row r="21" customFormat="false" ht="17.15" hidden="false" customHeight="false" outlineLevel="0" collapsed="false">
      <c r="A21" s="3" t="s">
        <v>961</v>
      </c>
      <c r="B21" s="0" t="s">
        <v>962</v>
      </c>
      <c r="C21" s="22" t="n">
        <f aca="false">E937</f>
        <v>152.840904</v>
      </c>
      <c r="D21" s="22" t="n">
        <f aca="false">E935</f>
        <v>104.957712</v>
      </c>
      <c r="E21" s="14" t="n">
        <f aca="false">E954</f>
        <v>0.372193546401688</v>
      </c>
      <c r="F21" s="18" t="n">
        <f aca="false">E963</f>
        <v>60.8829448487374</v>
      </c>
      <c r="G21" s="14" t="n">
        <f aca="false">F21/F$4-1</f>
        <v>0.0121680628298237</v>
      </c>
      <c r="H21" s="22" t="n">
        <f aca="false">F937</f>
        <v>194.26605936</v>
      </c>
      <c r="I21" s="22" t="n">
        <f aca="false">F935</f>
        <v>148.77702696</v>
      </c>
      <c r="J21" s="14" t="n">
        <f aca="false">F954</f>
        <v>0.370436270244158</v>
      </c>
      <c r="K21" s="18" t="n">
        <f aca="false">F963</f>
        <v>77.6976503238264</v>
      </c>
      <c r="L21" s="14" t="n">
        <f aca="false">K21/K$4-1</f>
        <v>0.0148387932841523</v>
      </c>
    </row>
    <row r="22" customFormat="false" ht="17.15" hidden="false" customHeight="false" outlineLevel="0" collapsed="false">
      <c r="A22" s="3" t="s">
        <v>963</v>
      </c>
      <c r="B22" s="0" t="s">
        <v>964</v>
      </c>
      <c r="C22" s="22" t="n">
        <f aca="false">E991</f>
        <v>152.840904</v>
      </c>
      <c r="D22" s="22" t="n">
        <f aca="false">E989</f>
        <v>97.397208</v>
      </c>
      <c r="E22" s="14" t="n">
        <f aca="false">E1008</f>
        <v>0.366752231817472</v>
      </c>
      <c r="F22" s="18" t="n">
        <f aca="false">E1017</f>
        <v>59.7850627004217</v>
      </c>
      <c r="G22" s="14" t="n">
        <f aca="false">F22/F$4-1</f>
        <v>-0.00608403141491176</v>
      </c>
      <c r="H22" s="22" t="n">
        <f aca="false">F991</f>
        <v>194.26605936</v>
      </c>
      <c r="I22" s="22" t="n">
        <f aca="false">F989</f>
        <v>134.38686768</v>
      </c>
      <c r="J22" s="14" t="n">
        <f aca="false">F1008</f>
        <v>0.363299944857467</v>
      </c>
      <c r="K22" s="18" t="n">
        <f aca="false">F1017</f>
        <v>75.8856323903269</v>
      </c>
      <c r="L22" s="14" t="n">
        <f aca="false">K22/K$4-1</f>
        <v>-0.00882866751263789</v>
      </c>
    </row>
    <row r="23" customFormat="false" ht="17.15" hidden="false" customHeight="false" outlineLevel="0" collapsed="false">
      <c r="A23" s="3" t="s">
        <v>965</v>
      </c>
      <c r="B23" s="3" t="s">
        <v>966</v>
      </c>
      <c r="C23" s="22" t="n">
        <f aca="false">E1045</f>
        <v>152.840904</v>
      </c>
      <c r="D23" s="22" t="n">
        <f aca="false">E1043</f>
        <v>99.917376</v>
      </c>
      <c r="E23" s="14" t="n">
        <f aca="false">E1062</f>
        <v>0.368566003345544</v>
      </c>
      <c r="F23" s="18" t="n">
        <f aca="false">E1071</f>
        <v>58.1364785321772</v>
      </c>
      <c r="G23" s="14" t="n">
        <f aca="false">F23/F$4-1</f>
        <v>-0.0334914481903258</v>
      </c>
      <c r="H23" s="22" t="n">
        <f aca="false">F1045</f>
        <v>194.26605936</v>
      </c>
      <c r="I23" s="22" t="n">
        <f aca="false">F1043</f>
        <v>139.75482552</v>
      </c>
      <c r="J23" s="14" t="n">
        <f aca="false">F1062</f>
        <v>0.365962006691732</v>
      </c>
      <c r="K23" s="18" t="n">
        <f aca="false">F1071</f>
        <v>72.5006573821873</v>
      </c>
      <c r="L23" s="14" t="n">
        <f aca="false">K23/K$4-1</f>
        <v>-0.0530411235938734</v>
      </c>
    </row>
    <row r="24" customFormat="false" ht="17.15" hidden="false" customHeight="false" outlineLevel="0" collapsed="false">
      <c r="A24" s="3" t="s">
        <v>967</v>
      </c>
      <c r="B24" s="3" t="s">
        <v>968</v>
      </c>
      <c r="C24" s="22" t="n">
        <f aca="false">E1099</f>
        <v>152.840904</v>
      </c>
      <c r="D24" s="22" t="n">
        <f aca="false">E1097</f>
        <v>99.917376</v>
      </c>
      <c r="E24" s="14" t="n">
        <f aca="false">E1116</f>
        <v>0.368566003345544</v>
      </c>
      <c r="F24" s="18" t="n">
        <f aca="false">E1125</f>
        <v>57.0776134609379</v>
      </c>
      <c r="G24" s="14" t="n">
        <f aca="false">F24/F$4-1</f>
        <v>-0.0510948905109488</v>
      </c>
      <c r="H24" s="22" t="n">
        <f aca="false">F1099</f>
        <v>194.26605936</v>
      </c>
      <c r="I24" s="22" t="n">
        <f aca="false">F1097</f>
        <v>139.75482552</v>
      </c>
      <c r="J24" s="14" t="n">
        <f aca="false">F1116</f>
        <v>0.365962006691732</v>
      </c>
      <c r="K24" s="18" t="n">
        <f aca="false">F1125</f>
        <v>72.6496640407093</v>
      </c>
      <c r="L24" s="14" t="n">
        <f aca="false">K24/K$4-1</f>
        <v>-0.051094890510949</v>
      </c>
    </row>
    <row r="25" customFormat="false" ht="17.15" hidden="false" customHeight="false" outlineLevel="0" collapsed="false">
      <c r="A25" s="3" t="s">
        <v>969</v>
      </c>
      <c r="C25" s="22" t="n">
        <f aca="false">E1153</f>
        <v>152.840904</v>
      </c>
      <c r="D25" s="22" t="n">
        <f aca="false">E1151</f>
        <v>99.917376</v>
      </c>
      <c r="E25" s="14" t="n">
        <f aca="false">E1170</f>
        <v>0.368566003345544</v>
      </c>
      <c r="F25" s="18" t="n">
        <f aca="false">E1179</f>
        <v>65.8587847626207</v>
      </c>
      <c r="G25" s="14" t="n">
        <f aca="false">F25/F$4-1</f>
        <v>0.0948905109489051</v>
      </c>
      <c r="H25" s="22" t="n">
        <f aca="false">F1153</f>
        <v>194.26605936</v>
      </c>
      <c r="I25" s="22" t="n">
        <f aca="false">F1151</f>
        <v>139.75482552</v>
      </c>
      <c r="J25" s="14" t="n">
        <f aca="false">F1170</f>
        <v>0.365962006691732</v>
      </c>
      <c r="K25" s="18" t="n">
        <f aca="false">F1179</f>
        <v>83.8265354315876</v>
      </c>
      <c r="L25" s="14" t="n">
        <f aca="false">K25/K$4-1</f>
        <v>0.0948905109489051</v>
      </c>
    </row>
    <row r="26" customFormat="false" ht="17.15" hidden="false" customHeight="false" outlineLevel="0" collapsed="false">
      <c r="A26" s="3" t="s">
        <v>970</v>
      </c>
      <c r="B26" s="3" t="s">
        <v>971</v>
      </c>
      <c r="C26" s="22" t="n">
        <f aca="false">PL!E83</f>
        <v>157.42613112</v>
      </c>
      <c r="D26" s="22" t="n">
        <f aca="false">PL!E81</f>
        <v>104.50260312</v>
      </c>
      <c r="E26" s="14" t="n">
        <f aca="false">PL!E100</f>
        <v>0.387979003618137</v>
      </c>
      <c r="F26" s="18" t="n">
        <f aca="false">PL!E109</f>
        <v>66.1242832960332</v>
      </c>
      <c r="G26" s="14" t="n">
        <f aca="false">F26/F$4-1</f>
        <v>0.0993043765547159</v>
      </c>
      <c r="H26" s="22" t="n">
        <f aca="false">PL!F83</f>
        <v>204.27977376</v>
      </c>
      <c r="I26" s="22" t="n">
        <f aca="false">PL!F81</f>
        <v>149.76853992</v>
      </c>
      <c r="J26" s="14" t="n">
        <f aca="false">PL!F100</f>
        <v>0.400638654565425</v>
      </c>
      <c r="K26" s="18" t="n">
        <f aca="false">PL!F109</f>
        <v>90.0448215233073</v>
      </c>
      <c r="L26" s="14" t="n">
        <f aca="false">K26/K$4-1</f>
        <v>0.176109929133566</v>
      </c>
    </row>
    <row r="27" customFormat="false" ht="17.15" hidden="false" customHeight="false" outlineLevel="0" collapsed="false">
      <c r="A27" s="3" t="s">
        <v>972</v>
      </c>
      <c r="B27" s="3" t="s">
        <v>973</v>
      </c>
      <c r="C27" s="22" t="n">
        <f aca="false">PL!E191</f>
        <v>146.72726784</v>
      </c>
      <c r="D27" s="22" t="n">
        <f aca="false">PL!E189</f>
        <v>93.80373984</v>
      </c>
      <c r="E27" s="14" t="n">
        <f aca="false">PL!E208</f>
        <v>0.338121049418025</v>
      </c>
      <c r="F27" s="18" t="n">
        <f aca="false">PL!E217</f>
        <v>51.6688124976171</v>
      </c>
      <c r="G27" s="14" t="n">
        <f aca="false">F27/F$4-1</f>
        <v>-0.141015238596576</v>
      </c>
      <c r="H27" s="22" t="n">
        <f aca="false">PL!F191</f>
        <v>141.1850806402</v>
      </c>
      <c r="I27" s="22" t="n">
        <f aca="false">PL!F189</f>
        <v>86.6738468002001</v>
      </c>
      <c r="J27" s="14" t="n">
        <f aca="false">PL!F208</f>
        <v>0.319698172973615</v>
      </c>
      <c r="K27" s="18" t="n">
        <f aca="false">PL!F217</f>
        <v>45.3082538054554</v>
      </c>
      <c r="L27" s="14" t="n">
        <f aca="false">K27/K$4-1</f>
        <v>-0.40821152987119</v>
      </c>
    </row>
    <row r="29" customFormat="false" ht="17.15" hidden="false" customHeight="false" outlineLevel="0" collapsed="false">
      <c r="A29" s="3" t="s">
        <v>974</v>
      </c>
    </row>
    <row r="31" customFormat="false" ht="17.15" hidden="false" customHeight="false" outlineLevel="0" collapsed="false">
      <c r="A31" s="1" t="s">
        <v>975</v>
      </c>
    </row>
    <row r="32" customFormat="false" ht="17.15" hidden="false" customHeight="false" outlineLevel="0" collapsed="false">
      <c r="A32" s="4" t="s">
        <v>916</v>
      </c>
      <c r="B32" s="4" t="s">
        <v>917</v>
      </c>
      <c r="C32" s="15" t="s">
        <v>976</v>
      </c>
      <c r="D32" s="15" t="s">
        <v>848</v>
      </c>
      <c r="E32" s="4" t="s">
        <v>977</v>
      </c>
      <c r="F32" s="4" t="s">
        <v>978</v>
      </c>
    </row>
    <row r="33" customFormat="false" ht="17.15" hidden="false" customHeight="false" outlineLevel="0" collapsed="false">
      <c r="A33" s="3" t="s">
        <v>27</v>
      </c>
      <c r="B33" s="0" t="s">
        <v>979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3" s="18" t="n">
        <f aca="false">tp_comp_adj</f>
        <v>2244.95710675009</v>
      </c>
      <c r="E33" s="18" t="n">
        <f aca="false">tp_w_dcf*C33+(1-tp_w_dcf)*D33</f>
        <v>1724.01557874675</v>
      </c>
      <c r="F33" s="14" t="n">
        <f aca="false">E33/E$33-1</f>
        <v>0</v>
      </c>
    </row>
    <row r="34" customFormat="false" ht="17.15" hidden="false" customHeight="false" outlineLevel="0" collapsed="false">
      <c r="A34" s="3" t="s">
        <v>980</v>
      </c>
      <c r="B34" s="0" t="s">
        <v>981</v>
      </c>
      <c r="C34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1038.85159135584</v>
      </c>
      <c r="D34" s="18" t="n">
        <f aca="false">tp_comp_adj</f>
        <v>2244.95710675009</v>
      </c>
      <c r="E34" s="18" t="n">
        <f aca="false">tp_w_dcf*C34+(1-tp_w_dcf)*D34</f>
        <v>1641.90434905296</v>
      </c>
      <c r="F34" s="14" t="n">
        <f aca="false">E34/E$33-1</f>
        <v>-0.0476278931037737</v>
      </c>
    </row>
    <row r="35" customFormat="false" ht="17.15" hidden="false" customHeight="false" outlineLevel="0" collapsed="false">
      <c r="A35" s="3" t="s">
        <v>982</v>
      </c>
      <c r="B35" s="0" t="s">
        <v>983</v>
      </c>
      <c r="C35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1432.92917538996</v>
      </c>
      <c r="D35" s="18" t="n">
        <f aca="false">tp_comp_adj</f>
        <v>2244.95710675009</v>
      </c>
      <c r="E35" s="18" t="n">
        <f aca="false">tp_w_dcf*C35+(1-tp_w_dcf)*D35</f>
        <v>1838.94314107002</v>
      </c>
      <c r="F35" s="14" t="n">
        <f aca="false">E35/E$33-1</f>
        <v>0.0666627168223233</v>
      </c>
    </row>
    <row r="36" customFormat="false" ht="17.15" hidden="false" customHeight="false" outlineLevel="0" collapsed="false">
      <c r="A36" s="3" t="s">
        <v>984</v>
      </c>
      <c r="B36" s="0" t="s">
        <v>985</v>
      </c>
      <c r="C36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1331.26360475708</v>
      </c>
      <c r="D36" s="18" t="n">
        <f aca="false">tp_comp_adj</f>
        <v>2244.95710675009</v>
      </c>
      <c r="E36" s="18" t="n">
        <f aca="false">tp_w_dcf*C36+(1-tp_w_dcf)*D36</f>
        <v>1788.11035575358</v>
      </c>
      <c r="F36" s="14" t="n">
        <f aca="false">E36/E$33-1</f>
        <v>0.0371776089479554</v>
      </c>
    </row>
    <row r="37" customFormat="false" ht="17.15" hidden="false" customHeight="false" outlineLevel="0" collapsed="false">
      <c r="A37" s="3" t="s">
        <v>986</v>
      </c>
      <c r="B37" s="0" t="s">
        <v>987</v>
      </c>
      <c r="C37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1114.76479766668</v>
      </c>
      <c r="D37" s="18" t="n">
        <f aca="false">tp_comp_adj</f>
        <v>2244.95710675009</v>
      </c>
      <c r="E37" s="18" t="n">
        <f aca="false">tp_w_dcf*C37+(1-tp_w_dcf)*D37</f>
        <v>1679.86095220838</v>
      </c>
      <c r="F37" s="14" t="n">
        <f aca="false">E37/E$33-1</f>
        <v>-0.0256115008951776</v>
      </c>
    </row>
    <row r="38" customFormat="false" ht="17.15" hidden="false" customHeight="false" outlineLevel="0" collapsed="false">
      <c r="A38" s="0" t="s">
        <v>988</v>
      </c>
      <c r="C3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8" s="18" t="n">
        <f aca="false">tp_comp_adj</f>
        <v>2244.95710675009</v>
      </c>
      <c r="E38" s="18" t="n">
        <f aca="false">0.3*C38+(1-0.3)*D38</f>
        <v>1932.39218994809</v>
      </c>
      <c r="F38" s="14" t="n">
        <f aca="false">E38/E$33-1</f>
        <v>0.120867011742903</v>
      </c>
    </row>
    <row r="39" customFormat="false" ht="17.15" hidden="false" customHeight="false" outlineLevel="0" collapsed="false">
      <c r="A39" s="0" t="s">
        <v>989</v>
      </c>
      <c r="C39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9" s="18" t="n">
        <f aca="false">tp_comp_adj</f>
        <v>2244.95710675009</v>
      </c>
      <c r="E39" s="18" t="n">
        <f aca="false">0.7*C39+(1-0.7)*D39</f>
        <v>1515.63896754542</v>
      </c>
      <c r="F39" s="14" t="n">
        <f aca="false">E39/E$33-1</f>
        <v>-0.120867011742904</v>
      </c>
    </row>
    <row r="50" customFormat="false" ht="17.15" hidden="false" customHeight="false" outlineLevel="0" collapsed="false">
      <c r="A50" s="1" t="s">
        <v>990</v>
      </c>
    </row>
    <row r="51" customFormat="false" ht="17.15" hidden="false" customHeight="false" outlineLevel="0" collapsed="false">
      <c r="A51" s="4" t="s">
        <v>24</v>
      </c>
      <c r="B51" s="4" t="s">
        <v>25</v>
      </c>
      <c r="C51" s="15" t="s">
        <v>494</v>
      </c>
      <c r="D51" s="15" t="s">
        <v>583</v>
      </c>
      <c r="E51" s="15" t="s">
        <v>584</v>
      </c>
      <c r="F51" s="15" t="s">
        <v>585</v>
      </c>
      <c r="G51" s="15" t="s">
        <v>586</v>
      </c>
      <c r="H51" s="15" t="s">
        <v>587</v>
      </c>
      <c r="I51" s="15" t="s">
        <v>588</v>
      </c>
      <c r="J51" s="15" t="s">
        <v>589</v>
      </c>
      <c r="K51" s="4" t="s">
        <v>458</v>
      </c>
    </row>
    <row r="52" customFormat="false" ht="17.15" hidden="false" customHeight="false" outlineLevel="0" collapsed="false">
      <c r="A52" s="5" t="s">
        <v>605</v>
      </c>
    </row>
    <row r="53" customFormat="false" ht="17.15" hidden="false" customHeight="false" outlineLevel="0" collapsed="false">
      <c r="A53" s="0" t="s">
        <v>606</v>
      </c>
      <c r="B53" s="0" t="s">
        <v>35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3" t="s">
        <v>607</v>
      </c>
      <c r="B54" s="0" t="s">
        <v>35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3" t="s">
        <v>608</v>
      </c>
      <c r="B55" s="0" t="s">
        <v>549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3" t="s">
        <v>553</v>
      </c>
      <c r="B56" s="0" t="s">
        <v>96</v>
      </c>
      <c r="D56" s="21" t="n">
        <f aca="false">vg_cmp26</f>
        <v>280</v>
      </c>
      <c r="E56" s="21" t="n">
        <f aca="false">(vg_cmp26+(vg_cmp27-vg_cmp26)*pgwf_lo)</f>
        <v>378</v>
      </c>
      <c r="F56" s="21" t="n">
        <f aca="false">(vg_cmp26+(vg_cmp28-vg_cmp26)*pgwf_lo)</f>
        <v>407.4</v>
      </c>
      <c r="G56" s="21" t="n">
        <f aca="false">(vg_cmp26+(vg_cmp29-vg_cmp26)*pgwf_lo)</f>
        <v>436.8</v>
      </c>
    </row>
    <row r="57" customFormat="false" ht="17.15" hidden="false" customHeight="false" outlineLevel="0" collapsed="false">
      <c r="A57" s="3" t="s">
        <v>555</v>
      </c>
      <c r="B57" s="0" t="s">
        <v>96</v>
      </c>
      <c r="D57" s="21" t="n">
        <f aca="false">vg_sw26</f>
        <v>120</v>
      </c>
      <c r="E57" s="21" t="n">
        <f aca="false">(vg_sw26+(vg_sw27-vg_sw26)*pgwf_lo)</f>
        <v>149.4</v>
      </c>
      <c r="F57" s="21" t="n">
        <f aca="false">(vg_sw26+(vg_sw28-vg_sw26)*pgwf_lo)</f>
        <v>162</v>
      </c>
      <c r="G57" s="21" t="n">
        <f aca="false">(vg_sw26+(vg_sw29-vg_sw26)*pgwf_lo)</f>
        <v>174.6</v>
      </c>
    </row>
    <row r="58" customFormat="false" ht="17.15" hidden="false" customHeight="false" outlineLevel="0" collapsed="false">
      <c r="A58" s="3" t="s">
        <v>609</v>
      </c>
      <c r="B58" s="0" t="s">
        <v>96</v>
      </c>
      <c r="D58" s="21" t="n">
        <f aca="false">vg_mid26*w_mid</f>
        <v>25</v>
      </c>
      <c r="E58" s="21" t="n">
        <f aca="false">(vg_mid26+(vg_mid27-vg_mid26)*pgwf_lo)*w_mid</f>
        <v>42.5</v>
      </c>
      <c r="F58" s="21" t="n">
        <f aca="false">(vg_mid26+(vg_mid28-vg_mid26)*pgwf_lo)*w_mid</f>
        <v>60</v>
      </c>
      <c r="G58" s="21" t="n">
        <f aca="false">(vg_mid26+(vg_mid29-vg_mid26)*pgwf_lo)*w_mid</f>
        <v>68.75</v>
      </c>
    </row>
    <row r="59" customFormat="false" ht="17.15" hidden="false" customHeight="false" outlineLevel="0" collapsed="false">
      <c r="A59" s="3" t="s">
        <v>610</v>
      </c>
      <c r="B59" s="0" t="s">
        <v>96</v>
      </c>
      <c r="D59" s="21" t="n">
        <f aca="false">D56+D57+D58</f>
        <v>425</v>
      </c>
      <c r="E59" s="21" t="n">
        <f aca="false">E56+E57+E58</f>
        <v>569.9</v>
      </c>
      <c r="F59" s="21" t="n">
        <f aca="false">F56+F57+F58</f>
        <v>629.4</v>
      </c>
      <c r="G59" s="21" t="n">
        <f aca="false">G56+G57+G58</f>
        <v>680.15</v>
      </c>
    </row>
    <row r="60" customFormat="false" ht="17.15" hidden="false" customHeight="false" outlineLevel="0" collapsed="false">
      <c r="A60" s="3" t="s">
        <v>611</v>
      </c>
      <c r="B60" s="0" t="s">
        <v>35</v>
      </c>
      <c r="D60" s="23" t="n">
        <f aca="false">D55*D59/1000</f>
        <v>9.94480366787715</v>
      </c>
      <c r="E60" s="23" t="n">
        <f aca="false">E55*E59/1000</f>
        <v>23.7344918442737</v>
      </c>
      <c r="F60" s="23" t="n">
        <f aca="false">F55*F59/1000</f>
        <v>26.5818974220572</v>
      </c>
      <c r="G60" s="23" t="n">
        <f aca="false">G55*G59/1000</f>
        <v>34.7677736939188</v>
      </c>
    </row>
    <row r="61" customFormat="false" ht="17.15" hidden="false" customHeight="false" outlineLevel="0" collapsed="false">
      <c r="A61" s="3" t="s">
        <v>612</v>
      </c>
      <c r="B61" s="0" t="s">
        <v>203</v>
      </c>
      <c r="D61" s="22" t="n">
        <f aca="false">D60*fx</f>
        <v>318.233717372069</v>
      </c>
      <c r="E61" s="22" t="n">
        <f aca="false">E60*fx</f>
        <v>759.503739016758</v>
      </c>
      <c r="F61" s="22" t="n">
        <f aca="false">F60*fx</f>
        <v>850.62071750583</v>
      </c>
      <c r="G61" s="22" t="n">
        <f aca="false">G60*fx</f>
        <v>1112.5687582054</v>
      </c>
    </row>
    <row r="62" customFormat="false" ht="17.15" hidden="false" customHeight="false" outlineLevel="0" collapsed="false">
      <c r="A62" s="0" t="s">
        <v>613</v>
      </c>
      <c r="B62" s="0" t="s">
        <v>69</v>
      </c>
      <c r="D62" s="18" t="n">
        <f aca="false">1</f>
        <v>1</v>
      </c>
      <c r="E62" s="18" t="n">
        <f aca="false">pp_27</f>
        <v>1</v>
      </c>
      <c r="F62" s="18" t="n">
        <f aca="false">pp_28</f>
        <v>0.97</v>
      </c>
      <c r="G62" s="18" t="n">
        <f aca="false">pp_29</f>
        <v>0.94</v>
      </c>
    </row>
    <row r="63" customFormat="false" ht="17.15" hidden="false" customHeight="false" outlineLevel="0" collapsed="false">
      <c r="A63" s="3" t="s">
        <v>614</v>
      </c>
      <c r="B63" s="0" t="s">
        <v>55</v>
      </c>
      <c r="D63" s="14" t="n">
        <f aca="false">a26_ai/D61</f>
        <v>0.172842024579347</v>
      </c>
      <c r="K63" s="7" t="s">
        <v>615</v>
      </c>
    </row>
    <row r="64" customFormat="false" ht="17.15" hidden="false" customHeight="false" outlineLevel="0" collapsed="false">
      <c r="A64" s="3" t="s">
        <v>616</v>
      </c>
      <c r="B64" s="0" t="s">
        <v>69</v>
      </c>
      <c r="D64" s="18" t="n">
        <f aca="false">1</f>
        <v>1</v>
      </c>
      <c r="E64" s="18" t="n">
        <f aca="false">rel_27</f>
        <v>1</v>
      </c>
      <c r="F64" s="18" t="n">
        <f aca="false">rel_28</f>
        <v>0.95</v>
      </c>
      <c r="G64" s="18" t="n">
        <f aca="false">rel_29</f>
        <v>0.9</v>
      </c>
    </row>
    <row r="65" customFormat="false" ht="15" hidden="false" customHeight="false" outlineLevel="0" collapsed="false">
      <c r="A65" s="3" t="s">
        <v>565</v>
      </c>
      <c r="B65" s="0" t="s">
        <v>55</v>
      </c>
      <c r="D65" s="14" t="n">
        <f aca="false">$D$63*D64</f>
        <v>0.172842024579347</v>
      </c>
      <c r="E65" s="14" t="n">
        <f aca="false">$D$63*E64</f>
        <v>0.172842024579347</v>
      </c>
      <c r="F65" s="14" t="n">
        <f aca="false">$D$63*F64</f>
        <v>0.164199923350379</v>
      </c>
      <c r="G65" s="14" t="n">
        <f aca="false">$D$63*G64</f>
        <v>0.155557822121412</v>
      </c>
    </row>
    <row r="66" customFormat="false" ht="17.15" hidden="false" customHeight="false" outlineLevel="0" collapsed="false">
      <c r="A66" s="0" t="s">
        <v>617</v>
      </c>
      <c r="B66" s="0" t="s">
        <v>203</v>
      </c>
      <c r="D66" s="22" t="n">
        <f aca="false">D61*D65*D62</f>
        <v>55.00416</v>
      </c>
      <c r="E66" s="22" t="n">
        <f aca="false">E61*E65*E62</f>
        <v>131.27416392724</v>
      </c>
      <c r="F66" s="22" t="n">
        <f aca="false">F61*F65*F62</f>
        <v>135.481700916261</v>
      </c>
      <c r="G66" s="22" t="n">
        <f aca="false">G61*G65*G62</f>
        <v>162.684646607551</v>
      </c>
    </row>
    <row r="67" customFormat="false" ht="17.15" hidden="false" customHeight="false" outlineLevel="0" collapsed="false">
      <c r="A67" s="5" t="s">
        <v>618</v>
      </c>
    </row>
    <row r="68" customFormat="false" ht="17.15" hidden="false" customHeight="false" outlineLevel="0" collapsed="false">
      <c r="A68" s="3" t="s">
        <v>619</v>
      </c>
      <c r="B68" s="0" t="s">
        <v>69</v>
      </c>
      <c r="D68" s="18" t="n">
        <f aca="false">1</f>
        <v>1</v>
      </c>
      <c r="E68" s="18" t="n">
        <f aca="false">cx_27</f>
        <v>1.45</v>
      </c>
      <c r="F68" s="18" t="n">
        <f aca="false">cx_28</f>
        <v>1.9</v>
      </c>
      <c r="G68" s="18" t="n">
        <f aca="false">cx_29</f>
        <v>2.3</v>
      </c>
      <c r="K68" s="7" t="s">
        <v>620</v>
      </c>
    </row>
    <row r="69" customFormat="false" ht="17.15" hidden="false" customHeight="false" outlineLevel="0" collapsed="false">
      <c r="A69" s="3" t="s">
        <v>621</v>
      </c>
      <c r="B69" s="0" t="s">
        <v>203</v>
      </c>
      <c r="D69" s="22" t="n">
        <f aca="false">a26_rev*D68*D62</f>
        <v>105.40752</v>
      </c>
      <c r="E69" s="22" t="n">
        <f aca="false">a26_rev*E68*E62</f>
        <v>152.840904</v>
      </c>
      <c r="F69" s="22" t="n">
        <f aca="false">a26_rev*F68*F62</f>
        <v>194.26605936</v>
      </c>
      <c r="G69" s="22" t="n">
        <f aca="false">a26_rev*G68*G62</f>
        <v>227.89105824</v>
      </c>
    </row>
    <row r="70" customFormat="false" ht="17.15" hidden="false" customHeight="false" outlineLevel="0" collapsed="false">
      <c r="A70" s="3" t="s">
        <v>622</v>
      </c>
      <c r="B70" s="0" t="s">
        <v>203</v>
      </c>
      <c r="C70" s="22" t="n">
        <f aca="false">a25_nai</f>
        <v>42.0028</v>
      </c>
      <c r="D70" s="22" t="n">
        <f aca="false">a26_nai</f>
        <v>50.40336</v>
      </c>
      <c r="E70" s="22" t="n">
        <f aca="false">D70*(1+g_nai27)</f>
        <v>52.923528</v>
      </c>
      <c r="F70" s="22" t="n">
        <f aca="false">E70*(1+g_nai28)</f>
        <v>54.51123384</v>
      </c>
      <c r="G70" s="22" t="n">
        <f aca="false">F70*(1+g_nai29)</f>
        <v>56.1465708552</v>
      </c>
    </row>
    <row r="71" customFormat="false" ht="17.15" hidden="false" customHeight="false" outlineLevel="0" collapsed="false">
      <c r="A71" s="0" t="s">
        <v>623</v>
      </c>
      <c r="B71" s="0" t="s">
        <v>203</v>
      </c>
      <c r="C71" s="22" t="n">
        <f aca="false">a25_ai</f>
        <v>18.0012</v>
      </c>
      <c r="D71" s="22" t="n">
        <f aca="false">D66</f>
        <v>55.00416</v>
      </c>
      <c r="E71" s="22" t="n">
        <f aca="false">MIN(E66,E69-E70)</f>
        <v>99.917376</v>
      </c>
      <c r="F71" s="22" t="n">
        <f aca="false">MIN(F66,F69-F70)</f>
        <v>135.481700916261</v>
      </c>
      <c r="G71" s="22" t="n">
        <f aca="false">MIN(G66,G69-G70)</f>
        <v>162.684646607551</v>
      </c>
      <c r="K71" s="3" t="s">
        <v>624</v>
      </c>
    </row>
    <row r="72" customFormat="false" ht="15" hidden="false" customHeight="false" outlineLevel="0" collapsed="false">
      <c r="A72" s="3" t="s">
        <v>625</v>
      </c>
      <c r="E72" s="0" t="str">
        <f aca="false">IF(E66&gt;E69-E70+0.0001,"受限","未受限")</f>
        <v>受限</v>
      </c>
      <c r="F72" s="0" t="str">
        <f aca="false">IF(F66&gt;F69-F70+0.0001,"受限","未受限")</f>
        <v>未受限</v>
      </c>
      <c r="G72" s="0" t="str">
        <f aca="false">IF(G66&gt;G69-G70+0.0001,"受限","未受限")</f>
        <v>未受限</v>
      </c>
    </row>
    <row r="73" customFormat="false" ht="17.15" hidden="false" customHeight="false" outlineLevel="0" collapsed="false">
      <c r="A73" s="3" t="s">
        <v>499</v>
      </c>
      <c r="B73" s="0" t="s">
        <v>203</v>
      </c>
      <c r="C73" s="22" t="n">
        <f aca="false">C71+C70</f>
        <v>60.004</v>
      </c>
      <c r="D73" s="22" t="n">
        <f aca="false">D71+D70</f>
        <v>105.40752</v>
      </c>
      <c r="E73" s="22" t="n">
        <f aca="false">E71+E70</f>
        <v>152.840904</v>
      </c>
      <c r="F73" s="22" t="n">
        <f aca="false">F71+F70</f>
        <v>189.992934756261</v>
      </c>
      <c r="G73" s="22" t="n">
        <f aca="false">G71+G70</f>
        <v>218.831217462751</v>
      </c>
      <c r="H73" s="24" t="n">
        <f aca="false">G73*(1+H74)</f>
        <v>243.89265541499</v>
      </c>
      <c r="I73" s="24" t="n">
        <f aca="false">H73*(1+I74)</f>
        <v>262.736296223873</v>
      </c>
      <c r="J73" s="24" t="n">
        <f aca="false">I73*(1+J74)</f>
        <v>273.245748072828</v>
      </c>
      <c r="K73" s="7" t="s">
        <v>626</v>
      </c>
    </row>
    <row r="74" customFormat="false" ht="15" hidden="false" customHeight="false" outlineLevel="0" collapsed="false">
      <c r="A74" s="3" t="s">
        <v>627</v>
      </c>
      <c r="B74" s="0" t="s">
        <v>55</v>
      </c>
      <c r="D74" s="14" t="n">
        <f aca="false">D73/C73-1</f>
        <v>0.756674888340778</v>
      </c>
      <c r="E74" s="14" t="n">
        <f aca="false">E73/D73-1</f>
        <v>0.45</v>
      </c>
      <c r="F74" s="14" t="n">
        <f aca="false">F73/E73-1</f>
        <v>0.243076491854962</v>
      </c>
      <c r="G74" s="14" t="n">
        <f aca="false">G73/F73-1</f>
        <v>0.151786079537569</v>
      </c>
      <c r="H74" s="25" t="n">
        <f aca="false">$G74+(fade_gB-$G74)*1/3</f>
        <v>0.114524053025046</v>
      </c>
      <c r="I74" s="25" t="n">
        <f aca="false">$G74+(fade_gB-$G74)*2/3</f>
        <v>0.077262026512523</v>
      </c>
      <c r="J74" s="25" t="n">
        <f aca="false">$G74+(fade_gB-$G74)*3/3</f>
        <v>0.04</v>
      </c>
    </row>
    <row r="75" customFormat="false" ht="17.15" hidden="false" customHeight="false" outlineLevel="0" collapsed="false">
      <c r="A75" s="3" t="s">
        <v>628</v>
      </c>
      <c r="B75" s="0" t="s">
        <v>203</v>
      </c>
      <c r="D75" s="22" t="n">
        <f aca="false">D71*(D56+D58)/D59</f>
        <v>39.4735736470588</v>
      </c>
      <c r="E75" s="22" t="n">
        <f aca="false">E71*(E56+E58)/E59</f>
        <v>73.7239105246535</v>
      </c>
      <c r="F75" s="22" t="n">
        <f aca="false">F71*(F56+F58)/F59</f>
        <v>100.610338430665</v>
      </c>
      <c r="G75" s="22" t="n">
        <f aca="false">G71*(G56+G58)/G59</f>
        <v>120.922183477832</v>
      </c>
      <c r="K75" s="7" t="s">
        <v>629</v>
      </c>
    </row>
    <row r="76" customFormat="false" ht="17.15" hidden="false" customHeight="false" outlineLevel="0" collapsed="false">
      <c r="A76" s="3" t="s">
        <v>630</v>
      </c>
      <c r="B76" s="0" t="s">
        <v>203</v>
      </c>
      <c r="D76" s="22" t="n">
        <f aca="false">D71*D57/D59</f>
        <v>15.5305863529412</v>
      </c>
      <c r="E76" s="22" t="n">
        <f aca="false">E71*E57/E59</f>
        <v>26.1934654753466</v>
      </c>
      <c r="F76" s="22" t="n">
        <f aca="false">F71*F57/F59</f>
        <v>34.8713624855962</v>
      </c>
      <c r="G76" s="22" t="n">
        <f aca="false">G71*G57/G59</f>
        <v>41.762463129719</v>
      </c>
    </row>
    <row r="77" customFormat="false" ht="17.15" hidden="false" customHeight="false" outlineLevel="0" collapsed="false">
      <c r="A77" s="3" t="s">
        <v>631</v>
      </c>
      <c r="B77" s="0" t="s">
        <v>203</v>
      </c>
      <c r="D77" s="22" t="n">
        <f aca="false">srv26*D73-D75</f>
        <v>42.7442919529412</v>
      </c>
      <c r="E77" s="22" t="n">
        <f aca="false">E70*$D77/$D70</f>
        <v>44.8815065505883</v>
      </c>
      <c r="F77" s="22" t="n">
        <f aca="false">F70*$D77/$D70</f>
        <v>46.2279517471059</v>
      </c>
      <c r="G77" s="22" t="n">
        <f aca="false">G70*$D77/$D70</f>
        <v>47.6147902995191</v>
      </c>
      <c r="K77" s="7" t="s">
        <v>632</v>
      </c>
    </row>
    <row r="78" customFormat="false" ht="17.15" hidden="false" customHeight="false" outlineLevel="0" collapsed="false">
      <c r="A78" s="3" t="s">
        <v>633</v>
      </c>
      <c r="B78" s="0" t="s">
        <v>203</v>
      </c>
      <c r="D78" s="22" t="n">
        <f aca="false">net26*D73-D76</f>
        <v>0.28054164705882</v>
      </c>
      <c r="E78" s="22" t="n">
        <f aca="false">E70*$D78/$D70</f>
        <v>0.294568729411761</v>
      </c>
      <c r="F78" s="22" t="n">
        <f aca="false">F70*$D78/$D70</f>
        <v>0.303405791294114</v>
      </c>
      <c r="G78" s="22" t="n">
        <f aca="false">G70*$D78/$D70</f>
        <v>0.312507965032938</v>
      </c>
    </row>
    <row r="79" customFormat="false" ht="17.15" hidden="false" customHeight="false" outlineLevel="0" collapsed="false">
      <c r="A79" s="3" t="s">
        <v>634</v>
      </c>
      <c r="B79" s="0" t="s">
        <v>203</v>
      </c>
      <c r="C79" s="22" t="n">
        <f aca="false">srv25*C73</f>
        <v>48.0032</v>
      </c>
      <c r="D79" s="22" t="n">
        <f aca="false">D75+D77</f>
        <v>82.2178656</v>
      </c>
      <c r="E79" s="22" t="n">
        <f aca="false">E75+E77</f>
        <v>118.605417075242</v>
      </c>
      <c r="F79" s="22" t="n">
        <f aca="false">F75+F77</f>
        <v>146.838290177771</v>
      </c>
      <c r="G79" s="22" t="n">
        <f aca="false">G75+G77</f>
        <v>168.536973777351</v>
      </c>
      <c r="K79" s="3" t="s">
        <v>635</v>
      </c>
    </row>
    <row r="80" customFormat="false" ht="15" hidden="false" customHeight="false" outlineLevel="0" collapsed="false">
      <c r="A80" s="3" t="s">
        <v>636</v>
      </c>
      <c r="B80" s="0" t="s">
        <v>203</v>
      </c>
      <c r="C80" s="22" t="n">
        <f aca="false">net25*C73</f>
        <v>6.0004</v>
      </c>
      <c r="D80" s="22" t="n">
        <f aca="false">D76+D78</f>
        <v>15.811128</v>
      </c>
      <c r="E80" s="22" t="n">
        <f aca="false">E76+E78</f>
        <v>26.4880342047583</v>
      </c>
      <c r="F80" s="22" t="n">
        <f aca="false">F76+F78</f>
        <v>35.1747682768904</v>
      </c>
      <c r="G80" s="22" t="n">
        <f aca="false">G76+G78</f>
        <v>42.074971094752</v>
      </c>
      <c r="K80" s="3" t="s">
        <v>637</v>
      </c>
    </row>
    <row r="81" customFormat="false" ht="15" hidden="false" customHeight="false" outlineLevel="0" collapsed="false">
      <c r="A81" s="3" t="s">
        <v>638</v>
      </c>
      <c r="B81" s="0" t="s">
        <v>203</v>
      </c>
      <c r="C81" s="22" t="n">
        <f aca="false">C73-C79-C80</f>
        <v>6.0004</v>
      </c>
      <c r="D81" s="22" t="n">
        <f aca="false">D73-D79-D80</f>
        <v>7.3785264</v>
      </c>
      <c r="E81" s="22" t="n">
        <f aca="false">E73-E79-E80</f>
        <v>7.74745272</v>
      </c>
      <c r="F81" s="22" t="n">
        <f aca="false">F73-F79-F80</f>
        <v>7.97987630160002</v>
      </c>
      <c r="G81" s="22" t="n">
        <f aca="false">G73-G79-G80</f>
        <v>8.21927259064798</v>
      </c>
      <c r="K81" s="3" t="s">
        <v>639</v>
      </c>
    </row>
    <row r="82" customFormat="false" ht="17.15" hidden="false" customHeight="false" outlineLevel="0" collapsed="false">
      <c r="A82" s="3" t="s">
        <v>640</v>
      </c>
      <c r="B82" s="0" t="s">
        <v>203</v>
      </c>
      <c r="C82" s="28" t="n">
        <f aca="false">C79+C80+C81-C73</f>
        <v>0</v>
      </c>
      <c r="D82" s="28" t="n">
        <f aca="false">ROUND(D77+D78+D81-D70,9)</f>
        <v>0</v>
      </c>
      <c r="E82" s="28" t="n">
        <f aca="false">ROUND(E77+E78+E81-E70,9)</f>
        <v>0</v>
      </c>
      <c r="F82" s="28" t="n">
        <f aca="false">ROUND(F77+F78+F81-F70,9)</f>
        <v>0</v>
      </c>
      <c r="G82" s="28" t="n">
        <f aca="false">ROUND(G77+G78+G81-G70,9)</f>
        <v>0</v>
      </c>
    </row>
    <row r="83" customFormat="false" ht="17.15" hidden="false" customHeight="false" outlineLevel="0" collapsed="false">
      <c r="A83" s="0" t="s">
        <v>641</v>
      </c>
      <c r="B83" s="0" t="s">
        <v>55</v>
      </c>
      <c r="C83" s="14" t="n">
        <f aca="false">C71/C73</f>
        <v>0.3</v>
      </c>
      <c r="D83" s="14" t="n">
        <f aca="false">D71/D73</f>
        <v>0.521823869871903</v>
      </c>
      <c r="E83" s="14" t="n">
        <f aca="false">E71/E73</f>
        <v>0.653734526458964</v>
      </c>
      <c r="F83" s="14" t="n">
        <f aca="false">F71/F73</f>
        <v>0.713088100302616</v>
      </c>
      <c r="G83" s="14" t="n">
        <f aca="false">G71/G73</f>
        <v>0.743425222844373</v>
      </c>
    </row>
    <row r="84" customFormat="false" ht="17.15" hidden="false" customHeight="false" outlineLevel="0" collapsed="false">
      <c r="A84" s="3" t="s">
        <v>642</v>
      </c>
      <c r="B84" s="0" t="s">
        <v>55</v>
      </c>
      <c r="D84" s="14" t="n">
        <f aca="false">(D66+D70)/D69</f>
        <v>1</v>
      </c>
      <c r="E84" s="14" t="n">
        <f aca="false">(E66+E70)/E69</f>
        <v>1.20515966018652</v>
      </c>
      <c r="F84" s="14" t="n">
        <f aca="false">(F66+F70)/F69</f>
        <v>0.978003751052466</v>
      </c>
      <c r="G84" s="14" t="n">
        <f aca="false">(G66+G70)/G69</f>
        <v>0.960244860648689</v>
      </c>
      <c r="K84" s="3" t="s">
        <v>643</v>
      </c>
    </row>
    <row r="85" customFormat="false" ht="17.15" hidden="false" customHeight="false" outlineLevel="0" collapsed="false">
      <c r="A85" s="3" t="s">
        <v>569</v>
      </c>
      <c r="B85" s="0" t="s">
        <v>96</v>
      </c>
      <c r="D85" s="21" t="n">
        <f aca="false">D71/fx/D55*1000</f>
        <v>73.4578604462224</v>
      </c>
      <c r="E85" s="21" t="n">
        <f aca="false">E71/fx/E55*1000</f>
        <v>74.9738410190283</v>
      </c>
      <c r="F85" s="21" t="n">
        <f aca="false">F71/fx/F55*1000</f>
        <v>100.247008804027</v>
      </c>
      <c r="G85" s="21" t="n">
        <f aca="false">G71/fx/G55*1000</f>
        <v>99.4544935529257</v>
      </c>
    </row>
    <row r="86" customFormat="false" ht="17.15" hidden="false" customHeight="false" outlineLevel="0" collapsed="false">
      <c r="A86" s="5" t="s">
        <v>644</v>
      </c>
    </row>
    <row r="87" customFormat="false" ht="17.15" hidden="false" customHeight="false" outlineLevel="0" collapsed="false">
      <c r="A87" s="3" t="s">
        <v>645</v>
      </c>
      <c r="B87" s="0" t="s">
        <v>55</v>
      </c>
      <c r="D87" s="14" t="n">
        <f aca="false">a26_gp/D73-d_ai*D83</f>
        <v>0.296655205435058</v>
      </c>
      <c r="K87" s="7" t="s">
        <v>646</v>
      </c>
    </row>
    <row r="88" customFormat="false" ht="17.15" hidden="false" customHeight="false" outlineLevel="0" collapsed="false">
      <c r="A88" s="0" t="s">
        <v>647</v>
      </c>
      <c r="B88" s="0" t="s">
        <v>55</v>
      </c>
      <c r="D88" s="14" t="n">
        <f aca="false">D87+d_ai</f>
        <v>0.396655205435058</v>
      </c>
      <c r="E88" s="14" t="n">
        <f aca="false">1-(1-$D$88)/E62+gmu_27</f>
        <v>0.406655205435058</v>
      </c>
      <c r="F88" s="14" t="n">
        <f aca="false">1-(1-$D$88)/F62+gmu_28</f>
        <v>0.392995057149545</v>
      </c>
      <c r="G88" s="14" t="n">
        <f aca="false">1-(1-$D$88)/G62+gmu_29</f>
        <v>0.378143835569211</v>
      </c>
      <c r="K88" s="7" t="s">
        <v>648</v>
      </c>
    </row>
    <row r="89" customFormat="false" ht="15" hidden="false" customHeight="false" outlineLevel="0" collapsed="false">
      <c r="A89" s="3" t="s">
        <v>503</v>
      </c>
      <c r="B89" s="0" t="s">
        <v>203</v>
      </c>
      <c r="C89" s="22" t="n">
        <f aca="false">a25_gp</f>
        <v>19.683</v>
      </c>
      <c r="D89" s="22" t="n">
        <f aca="false">a26_gp</f>
        <v>36.7701055</v>
      </c>
      <c r="E89" s="22" t="n">
        <f aca="false">E71*E88+E70*$D$87</f>
        <v>56.331961135</v>
      </c>
      <c r="F89" s="22" t="n">
        <f aca="false">F71*F88+F70*$D$87</f>
        <v>69.4146800676272</v>
      </c>
      <c r="G89" s="22" t="n">
        <f aca="false">G71*G88+G70*$D$87</f>
        <v>78.1743687679243</v>
      </c>
    </row>
    <row r="90" customFormat="false" ht="15" hidden="false" customHeight="false" outlineLevel="0" collapsed="false">
      <c r="A90" s="3" t="s">
        <v>506</v>
      </c>
      <c r="B90" s="0" t="s">
        <v>55</v>
      </c>
      <c r="C90" s="14" t="n">
        <f aca="false">C89/C73</f>
        <v>0.328028131457903</v>
      </c>
      <c r="D90" s="14" t="n">
        <f aca="false">D89/D73</f>
        <v>0.348837592422248</v>
      </c>
      <c r="E90" s="14" t="n">
        <f aca="false">E89/E73</f>
        <v>0.368566003345544</v>
      </c>
      <c r="F90" s="14" t="n">
        <f aca="false">F89/F73</f>
        <v>0.365354007277577</v>
      </c>
      <c r="G90" s="14" t="n">
        <f aca="false">G89/G73</f>
        <v>0.357235908451823</v>
      </c>
    </row>
    <row r="91" customFormat="false" ht="15" hidden="false" customHeight="false" outlineLevel="0" collapsed="false">
      <c r="A91" s="3" t="s">
        <v>649</v>
      </c>
      <c r="B91" s="0" t="s">
        <v>203</v>
      </c>
      <c r="C91" s="22" t="n">
        <f aca="false">a25_opx</f>
        <v>5.64</v>
      </c>
      <c r="D91" s="22" t="n">
        <f aca="false">a26_opx</f>
        <v>8.4779754</v>
      </c>
      <c r="E91" s="22" t="n">
        <f aca="false">D91*(1+MAX(0,phi*E74))</f>
        <v>10.767028758</v>
      </c>
      <c r="F91" s="22" t="n">
        <f aca="false">E91*(1+MAX(0,phi*F74))</f>
        <v>12.3373557049177</v>
      </c>
      <c r="G91" s="22" t="n">
        <f aca="false">F91*(1+MAX(0,phi*G74))</f>
        <v>13.4609390175036</v>
      </c>
    </row>
    <row r="92" customFormat="false" ht="15" hidden="false" customHeight="false" outlineLevel="0" collapsed="false">
      <c r="A92" s="3" t="s">
        <v>508</v>
      </c>
      <c r="B92" s="0" t="s">
        <v>203</v>
      </c>
      <c r="C92" s="22" t="n">
        <f aca="false">C91</f>
        <v>5.64</v>
      </c>
      <c r="D92" s="22" t="n">
        <f aca="false">D91</f>
        <v>8.4779754</v>
      </c>
      <c r="E92" s="22" t="n">
        <f aca="false">E91+0*E73</f>
        <v>10.767028758</v>
      </c>
      <c r="F92" s="22" t="n">
        <f aca="false">F91+0*F73</f>
        <v>12.3373557049177</v>
      </c>
      <c r="G92" s="22" t="n">
        <f aca="false">G91+0*G73</f>
        <v>13.4609390175036</v>
      </c>
    </row>
    <row r="93" customFormat="false" ht="15" hidden="false" customHeight="false" outlineLevel="0" collapsed="false">
      <c r="A93" s="3" t="s">
        <v>650</v>
      </c>
      <c r="B93" s="0" t="s">
        <v>203</v>
      </c>
      <c r="C93" s="22" t="n">
        <f aca="false">C89-C92</f>
        <v>14.043</v>
      </c>
      <c r="D93" s="22" t="n">
        <f aca="false">D89-D92</f>
        <v>28.2921301</v>
      </c>
      <c r="E93" s="22" t="n">
        <f aca="false">E89-E92</f>
        <v>45.564932377</v>
      </c>
      <c r="F93" s="22" t="n">
        <f aca="false">F89-F92</f>
        <v>57.0773243627095</v>
      </c>
      <c r="G93" s="22" t="n">
        <f aca="false">G89-G92</f>
        <v>64.7134297504207</v>
      </c>
    </row>
    <row r="94" customFormat="false" ht="15" hidden="false" customHeight="false" outlineLevel="0" collapsed="false">
      <c r="A94" s="3" t="s">
        <v>514</v>
      </c>
      <c r="B94" s="0" t="s">
        <v>55</v>
      </c>
      <c r="C94" s="14" t="n">
        <f aca="false">C93/C73</f>
        <v>0.23403439770682</v>
      </c>
      <c r="D94" s="14" t="n">
        <f aca="false">D93/D73</f>
        <v>0.268407131673338</v>
      </c>
      <c r="E94" s="14" t="n">
        <f aca="false">E93/E73</f>
        <v>0.298120013586154</v>
      </c>
      <c r="F94" s="14" t="n">
        <f aca="false">F93/F73</f>
        <v>0.300418141526858</v>
      </c>
      <c r="G94" s="14" t="n">
        <f aca="false">G93/G73</f>
        <v>0.295723025721575</v>
      </c>
    </row>
    <row r="95" customFormat="false" ht="17.15" hidden="false" customHeight="false" outlineLevel="0" collapsed="false">
      <c r="A95" s="3" t="s">
        <v>515</v>
      </c>
      <c r="B95" s="0" t="s">
        <v>203</v>
      </c>
      <c r="E95" s="22" t="n">
        <f aca="false">nop_f</f>
        <v>0</v>
      </c>
      <c r="F95" s="22" t="n">
        <f aca="false">nop_f</f>
        <v>0</v>
      </c>
      <c r="G95" s="22" t="n">
        <f aca="false">nop_f</f>
        <v>0</v>
      </c>
      <c r="K95" s="7" t="s">
        <v>651</v>
      </c>
    </row>
    <row r="96" customFormat="false" ht="15" hidden="false" customHeight="false" outlineLevel="0" collapsed="false">
      <c r="A96" s="3" t="s">
        <v>520</v>
      </c>
      <c r="B96" s="0" t="s">
        <v>203</v>
      </c>
      <c r="C96" s="22" t="n">
        <f aca="false">a25_ni</f>
        <v>9.607</v>
      </c>
      <c r="D96" s="22" t="n">
        <f aca="false">a26_ni</f>
        <v>19.6977289395284</v>
      </c>
      <c r="E96" s="22" t="n">
        <f aca="false">(E93+E95)*nir_f</f>
        <v>31.211978678245</v>
      </c>
      <c r="F96" s="22" t="n">
        <f aca="false">(F93+F95)*nir_f</f>
        <v>39.097967188456</v>
      </c>
      <c r="G96" s="22" t="n">
        <f aca="false">(G93+G95)*nir_f</f>
        <v>44.3286993790382</v>
      </c>
      <c r="H96" s="24" t="n">
        <f aca="false">H73*H101</f>
        <v>46.3355869427771</v>
      </c>
      <c r="I96" s="24" t="n">
        <f aca="false">I73*I101</f>
        <v>46.6085734261969</v>
      </c>
      <c r="J96" s="24" t="n">
        <f aca="false">J73*J101</f>
        <v>45.0336417052814</v>
      </c>
    </row>
    <row r="97" customFormat="false" ht="17.15" hidden="false" customHeight="false" outlineLevel="0" collapsed="false">
      <c r="A97" s="3" t="s">
        <v>523</v>
      </c>
      <c r="B97" s="0" t="s">
        <v>55</v>
      </c>
      <c r="C97" s="14" t="n">
        <f aca="false">C96/C93</f>
        <v>0.684113081250445</v>
      </c>
      <c r="D97" s="14" t="n">
        <f aca="false">D96/D93</f>
        <v>0.696226437171953</v>
      </c>
      <c r="E97" s="14" t="n">
        <f aca="false">E96/E93</f>
        <v>0.685</v>
      </c>
      <c r="F97" s="14" t="n">
        <f aca="false">F96/F93</f>
        <v>0.685</v>
      </c>
      <c r="G97" s="14" t="n">
        <f aca="false">G96/G93</f>
        <v>0.685</v>
      </c>
    </row>
    <row r="98" customFormat="false" ht="17.15" hidden="false" customHeight="false" outlineLevel="0" collapsed="false">
      <c r="A98" s="3" t="s">
        <v>652</v>
      </c>
      <c r="B98" s="3" t="s">
        <v>233</v>
      </c>
      <c r="C98" s="27" t="n">
        <f aca="false">a25_sh</f>
        <v>0.493425783256292</v>
      </c>
      <c r="D98" s="27" t="n">
        <f aca="false">a26_sh</f>
        <v>0.512980850061958</v>
      </c>
      <c r="E98" s="27" t="n">
        <f aca="false">sh_h2*(1+sh_g)</f>
        <v>0.51889356</v>
      </c>
      <c r="F98" s="27" t="n">
        <f aca="false">E98*(1+sh_g)</f>
        <v>0.5240824956</v>
      </c>
      <c r="G98" s="27" t="n">
        <f aca="false">F98*(1+sh_g)</f>
        <v>0.529323320556</v>
      </c>
      <c r="H98" s="29" t="n">
        <f aca="false">G98*(1+sh_g)</f>
        <v>0.53461655376156</v>
      </c>
      <c r="I98" s="29" t="n">
        <f aca="false">H98*(1+sh_g)</f>
        <v>0.539962719299176</v>
      </c>
      <c r="J98" s="29" t="n">
        <f aca="false">I98*(1+sh_g)</f>
        <v>0.545362346492167</v>
      </c>
      <c r="K98" s="7" t="s">
        <v>653</v>
      </c>
    </row>
    <row r="99" customFormat="false" ht="15" hidden="false" customHeight="false" outlineLevel="0" collapsed="false">
      <c r="A99" s="0" t="s">
        <v>526</v>
      </c>
      <c r="B99" s="0" t="s">
        <v>271</v>
      </c>
      <c r="C99" s="23" t="n">
        <f aca="false">C96/C98</f>
        <v>19.47</v>
      </c>
      <c r="D99" s="23" t="n">
        <f aca="false">D96/D98</f>
        <v>38.3985658278458</v>
      </c>
      <c r="E99" s="23" t="n">
        <f aca="false">E96/E98</f>
        <v>60.1510234165269</v>
      </c>
      <c r="F99" s="23" t="n">
        <f aca="false">F96/F98</f>
        <v>74.602696172278</v>
      </c>
      <c r="G99" s="23" t="n">
        <f aca="false">G96/G98</f>
        <v>83.7459784172657</v>
      </c>
      <c r="H99" s="30" t="n">
        <f aca="false">H96/H98</f>
        <v>86.6706925117827</v>
      </c>
      <c r="I99" s="30" t="n">
        <f aca="false">I96/I98</f>
        <v>86.318132271596</v>
      </c>
      <c r="J99" s="30" t="n">
        <f aca="false">J96/J98</f>
        <v>82.5756343373225</v>
      </c>
    </row>
    <row r="100" customFormat="false" ht="17.15" hidden="false" customHeight="false" outlineLevel="0" collapsed="false">
      <c r="A100" s="0" t="s">
        <v>654</v>
      </c>
      <c r="B100" s="0" t="s">
        <v>55</v>
      </c>
      <c r="D100" s="14" t="n">
        <f aca="false">D99/C99-1</f>
        <v>0.9721913624985</v>
      </c>
      <c r="E100" s="14" t="n">
        <f aca="false">E99/D99-1</f>
        <v>0.566491407158407</v>
      </c>
      <c r="F100" s="14" t="n">
        <f aca="false">F99/E99-1</f>
        <v>0.240256473371663</v>
      </c>
      <c r="G100" s="14" t="n">
        <f aca="false">G99/F99-1</f>
        <v>0.122559675643269</v>
      </c>
      <c r="H100" s="25" t="n">
        <f aca="false">H99/G99-1</f>
        <v>0.0349236363320582</v>
      </c>
      <c r="I100" s="25" t="n">
        <f aca="false">I99/H99-1</f>
        <v>-0.00406781381305699</v>
      </c>
      <c r="J100" s="25" t="n">
        <f aca="false">J99/I99-1</f>
        <v>-0.0433570309711748</v>
      </c>
    </row>
    <row r="101" customFormat="false" ht="17.15" hidden="false" customHeight="false" outlineLevel="0" collapsed="false">
      <c r="A101" s="3" t="s">
        <v>655</v>
      </c>
      <c r="B101" s="0" t="s">
        <v>55</v>
      </c>
      <c r="C101" s="14" t="n">
        <f aca="false">C96/C73</f>
        <v>0.160105992933804</v>
      </c>
      <c r="D101" s="14" t="n">
        <f aca="false">D96/D73</f>
        <v>0.186872140996471</v>
      </c>
      <c r="E101" s="14" t="n">
        <f aca="false">E96/E73</f>
        <v>0.204212209306515</v>
      </c>
      <c r="F101" s="14" t="n">
        <f aca="false">F96/F73</f>
        <v>0.205786426945898</v>
      </c>
      <c r="G101" s="14" t="n">
        <f aca="false">G96/G73</f>
        <v>0.202570272619279</v>
      </c>
      <c r="H101" s="25" t="n">
        <f aca="false">$G101+(fade_mB-$G101)*1/3</f>
        <v>0.18998352723634</v>
      </c>
      <c r="I101" s="25" t="n">
        <f aca="false">$G101+(fade_mB-$G101)*2/3</f>
        <v>0.177396781853401</v>
      </c>
      <c r="J101" s="25" t="n">
        <f aca="false">$G101+(fade_mB-$G101)*3/3</f>
        <v>0.164810036470462</v>
      </c>
    </row>
    <row r="104" customFormat="false" ht="17.15" hidden="false" customHeight="false" outlineLevel="0" collapsed="false">
      <c r="A104" s="1" t="s">
        <v>991</v>
      </c>
    </row>
    <row r="105" customFormat="false" ht="17.15" hidden="false" customHeight="false" outlineLevel="0" collapsed="false">
      <c r="A105" s="4" t="s">
        <v>24</v>
      </c>
      <c r="B105" s="4" t="s">
        <v>25</v>
      </c>
      <c r="C105" s="15" t="s">
        <v>494</v>
      </c>
      <c r="D105" s="15" t="s">
        <v>583</v>
      </c>
      <c r="E105" s="15" t="s">
        <v>584</v>
      </c>
      <c r="F105" s="15" t="s">
        <v>585</v>
      </c>
      <c r="G105" s="15" t="s">
        <v>586</v>
      </c>
      <c r="H105" s="15" t="s">
        <v>587</v>
      </c>
      <c r="I105" s="15" t="s">
        <v>588</v>
      </c>
      <c r="J105" s="15" t="s">
        <v>589</v>
      </c>
      <c r="K105" s="4" t="s">
        <v>458</v>
      </c>
    </row>
    <row r="106" customFormat="false" ht="17.15" hidden="false" customHeight="false" outlineLevel="0" collapsed="false">
      <c r="A106" s="5" t="s">
        <v>605</v>
      </c>
    </row>
    <row r="107" customFormat="false" ht="17.15" hidden="false" customHeight="false" outlineLevel="0" collapsed="false">
      <c r="A107" s="0" t="s">
        <v>606</v>
      </c>
      <c r="B107" s="0" t="s">
        <v>35</v>
      </c>
      <c r="D107" s="23" t="n">
        <f aca="false">itc_26*1</f>
        <v>781.872916666666</v>
      </c>
      <c r="E107" s="23" t="n">
        <f aca="false">itc_27*1*1</f>
        <v>1565.35</v>
      </c>
      <c r="F107" s="23" t="n">
        <f aca="false">itc_28*um28_B*1</f>
        <v>1587.41111111111</v>
      </c>
      <c r="G107" s="23" t="n">
        <f aca="false">itc_29*um29_B*1</f>
        <v>1921.33173611111</v>
      </c>
    </row>
    <row r="108" customFormat="false" ht="17.15" hidden="false" customHeight="false" outlineLevel="0" collapsed="false">
      <c r="A108" s="3" t="s">
        <v>607</v>
      </c>
      <c r="B108" s="0" t="s">
        <v>35</v>
      </c>
      <c r="D108" s="23" t="n">
        <f aca="false">itpg_gb*(1-vr26)+itpg_vr*vr26</f>
        <v>33.41403216</v>
      </c>
      <c r="E108" s="23" t="n">
        <f aca="false">itpg_vr</f>
        <v>37.586352</v>
      </c>
      <c r="F108" s="23" t="n">
        <f aca="false">itpg_vr</f>
        <v>37.586352</v>
      </c>
      <c r="G108" s="23" t="n">
        <f aca="false">itpg_vr</f>
        <v>37.586352</v>
      </c>
    </row>
    <row r="109" customFormat="false" ht="17.15" hidden="false" customHeight="false" outlineLevel="0" collapsed="false">
      <c r="A109" s="3" t="s">
        <v>608</v>
      </c>
      <c r="B109" s="0" t="s">
        <v>549</v>
      </c>
      <c r="D109" s="20" t="n">
        <f aca="false">D107/D108</f>
        <v>23.3995380420639</v>
      </c>
      <c r="E109" s="20" t="n">
        <f aca="false">E107/E108</f>
        <v>41.6467658260637</v>
      </c>
      <c r="F109" s="20" t="n">
        <f aca="false">F107/F108</f>
        <v>42.2337105529984</v>
      </c>
      <c r="G109" s="20" t="n">
        <f aca="false">G107/G108</f>
        <v>51.1178029756948</v>
      </c>
    </row>
    <row r="110" customFormat="false" ht="17.15" hidden="false" customHeight="false" outlineLevel="0" collapsed="false">
      <c r="A110" s="3" t="s">
        <v>553</v>
      </c>
      <c r="B110" s="0" t="s">
        <v>96</v>
      </c>
      <c r="D110" s="21" t="n">
        <f aca="false">vg_cmp26</f>
        <v>280</v>
      </c>
      <c r="E110" s="21" t="n">
        <f aca="false">(vg_cmp26+(vg_cmp27-vg_cmp26)*pgwf_hi)</f>
        <v>462</v>
      </c>
      <c r="F110" s="21" t="n">
        <f aca="false">(vg_cmp26+(vg_cmp28-vg_cmp26)*pgwf_hi)</f>
        <v>516.6</v>
      </c>
      <c r="G110" s="21" t="n">
        <f aca="false">(vg_cmp26+(vg_cmp29-vg_cmp26)*pgwf_hi)</f>
        <v>571.2</v>
      </c>
    </row>
    <row r="111" customFormat="false" ht="17.15" hidden="false" customHeight="false" outlineLevel="0" collapsed="false">
      <c r="A111" s="3" t="s">
        <v>555</v>
      </c>
      <c r="B111" s="0" t="s">
        <v>96</v>
      </c>
      <c r="D111" s="21" t="n">
        <f aca="false">vg_sw26</f>
        <v>120</v>
      </c>
      <c r="E111" s="21" t="n">
        <f aca="false">(vg_sw26+(vg_sw27-vg_sw26)*pgwf_hi)</f>
        <v>174.6</v>
      </c>
      <c r="F111" s="21" t="n">
        <f aca="false">(vg_sw26+(vg_sw28-vg_sw26)*pgwf_hi)</f>
        <v>198</v>
      </c>
      <c r="G111" s="21" t="n">
        <f aca="false">(vg_sw26+(vg_sw29-vg_sw26)*pgwf_hi)</f>
        <v>221.4</v>
      </c>
    </row>
    <row r="112" customFormat="false" ht="17.15" hidden="false" customHeight="false" outlineLevel="0" collapsed="false">
      <c r="A112" s="3" t="s">
        <v>609</v>
      </c>
      <c r="B112" s="0" t="s">
        <v>96</v>
      </c>
      <c r="D112" s="21" t="n">
        <f aca="false">vg_mid26*w_mid</f>
        <v>25</v>
      </c>
      <c r="E112" s="21" t="n">
        <f aca="false">(vg_mid26+(vg_mid27-vg_mid26)*pgwf_hi)*w_mid</f>
        <v>57.5</v>
      </c>
      <c r="F112" s="21" t="n">
        <f aca="false">(vg_mid26+(vg_mid28-vg_mid26)*pgwf_hi)*w_mid</f>
        <v>90</v>
      </c>
      <c r="G112" s="21" t="n">
        <f aca="false">(vg_mid26+(vg_mid29-vg_mid26)*pgwf_hi)*w_mid</f>
        <v>106.25</v>
      </c>
    </row>
    <row r="113" customFormat="false" ht="17.15" hidden="false" customHeight="false" outlineLevel="0" collapsed="false">
      <c r="A113" s="3" t="s">
        <v>610</v>
      </c>
      <c r="B113" s="0" t="s">
        <v>96</v>
      </c>
      <c r="D113" s="21" t="n">
        <f aca="false">D110+D111+D112</f>
        <v>425</v>
      </c>
      <c r="E113" s="21" t="n">
        <f aca="false">E110+E111+E112</f>
        <v>694.1</v>
      </c>
      <c r="F113" s="21" t="n">
        <f aca="false">F110+F111+F112</f>
        <v>804.6</v>
      </c>
      <c r="G113" s="21" t="n">
        <f aca="false">G110+G111+G112</f>
        <v>898.85</v>
      </c>
    </row>
    <row r="114" customFormat="false" ht="17.15" hidden="false" customHeight="false" outlineLevel="0" collapsed="false">
      <c r="A114" s="3" t="s">
        <v>611</v>
      </c>
      <c r="B114" s="0" t="s">
        <v>35</v>
      </c>
      <c r="D114" s="23" t="n">
        <f aca="false">D109*D113/1000</f>
        <v>9.94480366787715</v>
      </c>
      <c r="E114" s="23" t="n">
        <f aca="false">E109*E113/1000</f>
        <v>28.9070201598708</v>
      </c>
      <c r="F114" s="23" t="n">
        <f aca="false">F109*F113/1000</f>
        <v>33.9812435109425</v>
      </c>
      <c r="G114" s="23" t="n">
        <f aca="false">G109*G113/1000</f>
        <v>45.9472372047033</v>
      </c>
    </row>
    <row r="115" customFormat="false" ht="17.15" hidden="false" customHeight="false" outlineLevel="0" collapsed="false">
      <c r="A115" s="3" t="s">
        <v>612</v>
      </c>
      <c r="B115" s="0" t="s">
        <v>203</v>
      </c>
      <c r="D115" s="22" t="n">
        <f aca="false">D114*fx</f>
        <v>318.233717372069</v>
      </c>
      <c r="E115" s="22" t="n">
        <f aca="false">E114*fx</f>
        <v>925.024645115865</v>
      </c>
      <c r="F115" s="22" t="n">
        <f aca="false">F114*fx</f>
        <v>1087.39979235016</v>
      </c>
      <c r="G115" s="22" t="n">
        <f aca="false">G114*fx</f>
        <v>1470.31159055051</v>
      </c>
    </row>
    <row r="116" customFormat="false" ht="17.15" hidden="false" customHeight="false" outlineLevel="0" collapsed="false">
      <c r="A116" s="0" t="s">
        <v>613</v>
      </c>
      <c r="B116" s="0" t="s">
        <v>69</v>
      </c>
      <c r="D116" s="18" t="n">
        <f aca="false">1</f>
        <v>1</v>
      </c>
      <c r="E116" s="18" t="n">
        <f aca="false">pp_27</f>
        <v>1</v>
      </c>
      <c r="F116" s="18" t="n">
        <f aca="false">pp_28</f>
        <v>0.97</v>
      </c>
      <c r="G116" s="18" t="n">
        <f aca="false">pp_29</f>
        <v>0.94</v>
      </c>
    </row>
    <row r="117" customFormat="false" ht="17.15" hidden="false" customHeight="false" outlineLevel="0" collapsed="false">
      <c r="A117" s="3" t="s">
        <v>614</v>
      </c>
      <c r="B117" s="0" t="s">
        <v>55</v>
      </c>
      <c r="D117" s="14" t="n">
        <f aca="false">a26_ai/D115</f>
        <v>0.172842024579347</v>
      </c>
      <c r="K117" s="7" t="s">
        <v>615</v>
      </c>
    </row>
    <row r="118" customFormat="false" ht="17.15" hidden="false" customHeight="false" outlineLevel="0" collapsed="false">
      <c r="A118" s="3" t="s">
        <v>616</v>
      </c>
      <c r="B118" s="0" t="s">
        <v>69</v>
      </c>
      <c r="D118" s="18" t="n">
        <f aca="false">1</f>
        <v>1</v>
      </c>
      <c r="E118" s="18" t="n">
        <f aca="false">rel_27</f>
        <v>1</v>
      </c>
      <c r="F118" s="18" t="n">
        <f aca="false">rel_28</f>
        <v>0.95</v>
      </c>
      <c r="G118" s="18" t="n">
        <f aca="false">rel_29</f>
        <v>0.9</v>
      </c>
    </row>
    <row r="119" customFormat="false" ht="15" hidden="false" customHeight="false" outlineLevel="0" collapsed="false">
      <c r="A119" s="3" t="s">
        <v>565</v>
      </c>
      <c r="B119" s="0" t="s">
        <v>55</v>
      </c>
      <c r="D119" s="14" t="n">
        <f aca="false">$D$117*D118</f>
        <v>0.172842024579347</v>
      </c>
      <c r="E119" s="14" t="n">
        <f aca="false">$D$117*E118</f>
        <v>0.172842024579347</v>
      </c>
      <c r="F119" s="14" t="n">
        <f aca="false">$D$117*F118</f>
        <v>0.164199923350379</v>
      </c>
      <c r="G119" s="14" t="n">
        <f aca="false">$D$117*G118</f>
        <v>0.155557822121412</v>
      </c>
    </row>
    <row r="120" customFormat="false" ht="17.15" hidden="false" customHeight="false" outlineLevel="0" collapsed="false">
      <c r="A120" s="0" t="s">
        <v>617</v>
      </c>
      <c r="B120" s="0" t="s">
        <v>203</v>
      </c>
      <c r="D120" s="22" t="n">
        <f aca="false">D115*D119*D116</f>
        <v>55.00416</v>
      </c>
      <c r="E120" s="22" t="n">
        <f aca="false">E115*E119*E116</f>
        <v>159.883132447618</v>
      </c>
      <c r="F120" s="22" t="n">
        <f aca="false">F115*F119*F116</f>
        <v>173.194433678461</v>
      </c>
      <c r="G120" s="22" t="n">
        <f aca="false">G115*G119*G116</f>
        <v>214.995360733952</v>
      </c>
    </row>
    <row r="121" customFormat="false" ht="17.15" hidden="false" customHeight="false" outlineLevel="0" collapsed="false">
      <c r="A121" s="5" t="s">
        <v>618</v>
      </c>
    </row>
    <row r="122" customFormat="false" ht="17.15" hidden="false" customHeight="false" outlineLevel="0" collapsed="false">
      <c r="A122" s="3" t="s">
        <v>619</v>
      </c>
      <c r="B122" s="0" t="s">
        <v>69</v>
      </c>
      <c r="D122" s="18" t="n">
        <f aca="false">1</f>
        <v>1</v>
      </c>
      <c r="E122" s="18" t="n">
        <f aca="false">cx_27</f>
        <v>1.45</v>
      </c>
      <c r="F122" s="18" t="n">
        <f aca="false">cx_28</f>
        <v>1.9</v>
      </c>
      <c r="G122" s="18" t="n">
        <f aca="false">cx_29</f>
        <v>2.3</v>
      </c>
      <c r="K122" s="7" t="s">
        <v>620</v>
      </c>
    </row>
    <row r="123" customFormat="false" ht="17.15" hidden="false" customHeight="false" outlineLevel="0" collapsed="false">
      <c r="A123" s="3" t="s">
        <v>621</v>
      </c>
      <c r="B123" s="0" t="s">
        <v>203</v>
      </c>
      <c r="D123" s="22" t="n">
        <f aca="false">a26_rev*D122*D116</f>
        <v>105.40752</v>
      </c>
      <c r="E123" s="22" t="n">
        <f aca="false">a26_rev*E122*E116</f>
        <v>152.840904</v>
      </c>
      <c r="F123" s="22" t="n">
        <f aca="false">a26_rev*F122*F116</f>
        <v>194.26605936</v>
      </c>
      <c r="G123" s="22" t="n">
        <f aca="false">a26_rev*G122*G116</f>
        <v>227.89105824</v>
      </c>
    </row>
    <row r="124" customFormat="false" ht="17.15" hidden="false" customHeight="false" outlineLevel="0" collapsed="false">
      <c r="A124" s="3" t="s">
        <v>622</v>
      </c>
      <c r="B124" s="0" t="s">
        <v>203</v>
      </c>
      <c r="C124" s="22" t="n">
        <f aca="false">a25_nai</f>
        <v>42.0028</v>
      </c>
      <c r="D124" s="22" t="n">
        <f aca="false">a26_nai</f>
        <v>50.40336</v>
      </c>
      <c r="E124" s="22" t="n">
        <f aca="false">D124*(1+g_nai27)</f>
        <v>52.923528</v>
      </c>
      <c r="F124" s="22" t="n">
        <f aca="false">E124*(1+g_nai28)</f>
        <v>54.51123384</v>
      </c>
      <c r="G124" s="22" t="n">
        <f aca="false">F124*(1+g_nai29)</f>
        <v>56.1465708552</v>
      </c>
    </row>
    <row r="125" customFormat="false" ht="17.15" hidden="false" customHeight="false" outlineLevel="0" collapsed="false">
      <c r="A125" s="0" t="s">
        <v>623</v>
      </c>
      <c r="B125" s="0" t="s">
        <v>203</v>
      </c>
      <c r="C125" s="22" t="n">
        <f aca="false">a25_ai</f>
        <v>18.0012</v>
      </c>
      <c r="D125" s="22" t="n">
        <f aca="false">D120</f>
        <v>55.00416</v>
      </c>
      <c r="E125" s="22" t="n">
        <f aca="false">MIN(E120,E123-E124)</f>
        <v>99.917376</v>
      </c>
      <c r="F125" s="22" t="n">
        <f aca="false">MIN(F120,F123-F124)</f>
        <v>139.75482552</v>
      </c>
      <c r="G125" s="22" t="n">
        <f aca="false">MIN(G120,G123-G124)</f>
        <v>171.7444873848</v>
      </c>
      <c r="K125" s="3" t="s">
        <v>624</v>
      </c>
    </row>
    <row r="126" customFormat="false" ht="15" hidden="false" customHeight="false" outlineLevel="0" collapsed="false">
      <c r="A126" s="3" t="s">
        <v>625</v>
      </c>
      <c r="E126" s="0" t="str">
        <f aca="false">IF(E120&gt;E123-E124+0.0001,"受限","未受限")</f>
        <v>受限</v>
      </c>
      <c r="F126" s="0" t="str">
        <f aca="false">IF(F120&gt;F123-F124+0.0001,"受限","未受限")</f>
        <v>受限</v>
      </c>
      <c r="G126" s="0" t="str">
        <f aca="false">IF(G120&gt;G123-G124+0.0001,"受限","未受限")</f>
        <v>受限</v>
      </c>
    </row>
    <row r="127" customFormat="false" ht="17.15" hidden="false" customHeight="false" outlineLevel="0" collapsed="false">
      <c r="A127" s="3" t="s">
        <v>499</v>
      </c>
      <c r="B127" s="0" t="s">
        <v>203</v>
      </c>
      <c r="C127" s="22" t="n">
        <f aca="false">C125+C124</f>
        <v>60.004</v>
      </c>
      <c r="D127" s="22" t="n">
        <f aca="false">D125+D124</f>
        <v>105.40752</v>
      </c>
      <c r="E127" s="22" t="n">
        <f aca="false">E125+E124</f>
        <v>152.840904</v>
      </c>
      <c r="F127" s="22" t="n">
        <f aca="false">F125+F124</f>
        <v>194.26605936</v>
      </c>
      <c r="G127" s="22" t="n">
        <f aca="false">G125+G124</f>
        <v>227.89105824</v>
      </c>
      <c r="H127" s="24" t="n">
        <f aca="false">G127*(1+H128)</f>
        <v>257.226313072804</v>
      </c>
      <c r="I127" s="24" t="n">
        <f aca="false">H127*(1+I128)</f>
        <v>278.92655569709</v>
      </c>
      <c r="J127" s="24" t="n">
        <f aca="false">I127*(1+J128)</f>
        <v>290.083617924974</v>
      </c>
      <c r="K127" s="7" t="s">
        <v>626</v>
      </c>
    </row>
    <row r="128" customFormat="false" ht="15" hidden="false" customHeight="false" outlineLevel="0" collapsed="false">
      <c r="A128" s="3" t="s">
        <v>627</v>
      </c>
      <c r="B128" s="0" t="s">
        <v>55</v>
      </c>
      <c r="D128" s="14" t="n">
        <f aca="false">D127/C127-1</f>
        <v>0.756674888340778</v>
      </c>
      <c r="E128" s="14" t="n">
        <f aca="false">E127/D127-1</f>
        <v>0.45</v>
      </c>
      <c r="F128" s="14" t="n">
        <f aca="false">F127/E127-1</f>
        <v>0.271034482758621</v>
      </c>
      <c r="G128" s="14" t="n">
        <f aca="false">G127/F127-1</f>
        <v>0.173087357569181</v>
      </c>
      <c r="H128" s="25" t="n">
        <f aca="false">$G128+(fade_gB-$G128)*1/3</f>
        <v>0.12872490504612</v>
      </c>
      <c r="I128" s="25" t="n">
        <f aca="false">$G128+(fade_gB-$G128)*2/3</f>
        <v>0.0843624525230602</v>
      </c>
      <c r="J128" s="25" t="n">
        <f aca="false">$G128+(fade_gB-$G128)*3/3</f>
        <v>0.04</v>
      </c>
    </row>
    <row r="129" customFormat="false" ht="17.15" hidden="false" customHeight="false" outlineLevel="0" collapsed="false">
      <c r="A129" s="3" t="s">
        <v>628</v>
      </c>
      <c r="B129" s="0" t="s">
        <v>203</v>
      </c>
      <c r="D129" s="22" t="n">
        <f aca="false">D125*(D110+D112)/D113</f>
        <v>39.4735736470588</v>
      </c>
      <c r="E129" s="22" t="n">
        <f aca="false">E125*(E110+E112)/E113</f>
        <v>74.7832831465207</v>
      </c>
      <c r="F129" s="22" t="n">
        <f aca="false">F125*(F110+F112)/F113</f>
        <v>105.363257718658</v>
      </c>
      <c r="G129" s="22" t="n">
        <f aca="false">G125*(G110+G112)/G113</f>
        <v>129.441289401828</v>
      </c>
      <c r="K129" s="7" t="s">
        <v>629</v>
      </c>
    </row>
    <row r="130" customFormat="false" ht="17.15" hidden="false" customHeight="false" outlineLevel="0" collapsed="false">
      <c r="A130" s="3" t="s">
        <v>630</v>
      </c>
      <c r="B130" s="0" t="s">
        <v>203</v>
      </c>
      <c r="D130" s="22" t="n">
        <f aca="false">D125*D111/D113</f>
        <v>15.5305863529412</v>
      </c>
      <c r="E130" s="22" t="n">
        <f aca="false">E125*E111/E113</f>
        <v>25.1340928534793</v>
      </c>
      <c r="F130" s="22" t="n">
        <f aca="false">F125*F111/F113</f>
        <v>34.3915678013423</v>
      </c>
      <c r="G130" s="22" t="n">
        <f aca="false">G125*G111/G113</f>
        <v>42.3031979829724</v>
      </c>
    </row>
    <row r="131" customFormat="false" ht="17.15" hidden="false" customHeight="false" outlineLevel="0" collapsed="false">
      <c r="A131" s="3" t="s">
        <v>631</v>
      </c>
      <c r="B131" s="0" t="s">
        <v>203</v>
      </c>
      <c r="D131" s="22" t="n">
        <f aca="false">srv26*D127-D129</f>
        <v>42.7442919529412</v>
      </c>
      <c r="E131" s="22" t="n">
        <f aca="false">E124*$D131/$D124</f>
        <v>44.8815065505883</v>
      </c>
      <c r="F131" s="22" t="n">
        <f aca="false">F124*$D131/$D124</f>
        <v>46.2279517471059</v>
      </c>
      <c r="G131" s="22" t="n">
        <f aca="false">G124*$D131/$D124</f>
        <v>47.6147902995191</v>
      </c>
      <c r="K131" s="7" t="s">
        <v>632</v>
      </c>
    </row>
    <row r="132" customFormat="false" ht="17.15" hidden="false" customHeight="false" outlineLevel="0" collapsed="false">
      <c r="A132" s="3" t="s">
        <v>633</v>
      </c>
      <c r="B132" s="0" t="s">
        <v>203</v>
      </c>
      <c r="D132" s="22" t="n">
        <f aca="false">net26*D127-D130</f>
        <v>0.28054164705882</v>
      </c>
      <c r="E132" s="22" t="n">
        <f aca="false">E124*$D132/$D124</f>
        <v>0.294568729411761</v>
      </c>
      <c r="F132" s="22" t="n">
        <f aca="false">F124*$D132/$D124</f>
        <v>0.303405791294114</v>
      </c>
      <c r="G132" s="22" t="n">
        <f aca="false">G124*$D132/$D124</f>
        <v>0.312507965032938</v>
      </c>
    </row>
    <row r="133" customFormat="false" ht="17.15" hidden="false" customHeight="false" outlineLevel="0" collapsed="false">
      <c r="A133" s="3" t="s">
        <v>634</v>
      </c>
      <c r="B133" s="0" t="s">
        <v>203</v>
      </c>
      <c r="C133" s="22" t="n">
        <f aca="false">srv25*C127</f>
        <v>48.0032</v>
      </c>
      <c r="D133" s="22" t="n">
        <f aca="false">D129+D131</f>
        <v>82.2178656</v>
      </c>
      <c r="E133" s="22" t="n">
        <f aca="false">E129+E131</f>
        <v>119.664789697109</v>
      </c>
      <c r="F133" s="22" t="n">
        <f aca="false">F129+F131</f>
        <v>151.591209465764</v>
      </c>
      <c r="G133" s="22" t="n">
        <f aca="false">G129+G131</f>
        <v>177.056079701347</v>
      </c>
      <c r="K133" s="3" t="s">
        <v>635</v>
      </c>
    </row>
    <row r="134" customFormat="false" ht="15" hidden="false" customHeight="false" outlineLevel="0" collapsed="false">
      <c r="A134" s="3" t="s">
        <v>636</v>
      </c>
      <c r="B134" s="0" t="s">
        <v>203</v>
      </c>
      <c r="C134" s="22" t="n">
        <f aca="false">net25*C127</f>
        <v>6.0004</v>
      </c>
      <c r="D134" s="22" t="n">
        <f aca="false">D130+D132</f>
        <v>15.811128</v>
      </c>
      <c r="E134" s="22" t="n">
        <f aca="false">E130+E132</f>
        <v>25.4286615828911</v>
      </c>
      <c r="F134" s="22" t="n">
        <f aca="false">F130+F132</f>
        <v>34.6949735926364</v>
      </c>
      <c r="G134" s="22" t="n">
        <f aca="false">G130+G132</f>
        <v>42.6157059480053</v>
      </c>
      <c r="K134" s="3" t="s">
        <v>637</v>
      </c>
    </row>
    <row r="135" customFormat="false" ht="15" hidden="false" customHeight="false" outlineLevel="0" collapsed="false">
      <c r="A135" s="3" t="s">
        <v>638</v>
      </c>
      <c r="B135" s="0" t="s">
        <v>203</v>
      </c>
      <c r="C135" s="22" t="n">
        <f aca="false">C127-C133-C134</f>
        <v>6.0004</v>
      </c>
      <c r="D135" s="22" t="n">
        <f aca="false">D127-D133-D134</f>
        <v>7.3785264</v>
      </c>
      <c r="E135" s="22" t="n">
        <f aca="false">E127-E133-E134</f>
        <v>7.74745272</v>
      </c>
      <c r="F135" s="22" t="n">
        <f aca="false">F127-F133-F134</f>
        <v>7.9798763016</v>
      </c>
      <c r="G135" s="22" t="n">
        <f aca="false">G127-G133-G134</f>
        <v>8.219272590648</v>
      </c>
      <c r="K135" s="3" t="s">
        <v>639</v>
      </c>
    </row>
    <row r="136" customFormat="false" ht="17.15" hidden="false" customHeight="false" outlineLevel="0" collapsed="false">
      <c r="A136" s="3" t="s">
        <v>640</v>
      </c>
      <c r="B136" s="0" t="s">
        <v>203</v>
      </c>
      <c r="C136" s="28" t="n">
        <f aca="false">C133+C134+C135-C127</f>
        <v>0</v>
      </c>
      <c r="D136" s="28" t="n">
        <f aca="false">ROUND(D131+D132+D135-D124,9)</f>
        <v>0</v>
      </c>
      <c r="E136" s="28" t="n">
        <f aca="false">ROUND(E131+E132+E135-E124,9)</f>
        <v>0</v>
      </c>
      <c r="F136" s="28" t="n">
        <f aca="false">ROUND(F131+F132+F135-F124,9)</f>
        <v>0</v>
      </c>
      <c r="G136" s="28" t="n">
        <f aca="false">ROUND(G131+G132+G135-G124,9)</f>
        <v>0</v>
      </c>
    </row>
    <row r="137" customFormat="false" ht="17.15" hidden="false" customHeight="false" outlineLevel="0" collapsed="false">
      <c r="A137" s="0" t="s">
        <v>641</v>
      </c>
      <c r="B137" s="0" t="s">
        <v>55</v>
      </c>
      <c r="C137" s="14" t="n">
        <f aca="false">C125/C127</f>
        <v>0.3</v>
      </c>
      <c r="D137" s="14" t="n">
        <f aca="false">D125/D127</f>
        <v>0.521823869871903</v>
      </c>
      <c r="E137" s="14" t="n">
        <f aca="false">E125/E127</f>
        <v>0.653734526458964</v>
      </c>
      <c r="F137" s="14" t="n">
        <f aca="false">F125/F127</f>
        <v>0.71939908587437</v>
      </c>
      <c r="G137" s="14" t="n">
        <f aca="false">G125/G127</f>
        <v>0.753625388864226</v>
      </c>
    </row>
    <row r="138" customFormat="false" ht="17.15" hidden="false" customHeight="false" outlineLevel="0" collapsed="false">
      <c r="A138" s="3" t="s">
        <v>642</v>
      </c>
      <c r="B138" s="0" t="s">
        <v>55</v>
      </c>
      <c r="D138" s="14" t="n">
        <f aca="false">(D120+D124)/D123</f>
        <v>1</v>
      </c>
      <c r="E138" s="14" t="n">
        <f aca="false">(E120+E124)/E123</f>
        <v>1.39234102179622</v>
      </c>
      <c r="F138" s="14" t="n">
        <f aca="false">(F120+F124)/F123</f>
        <v>1.1721330440769</v>
      </c>
      <c r="G138" s="14" t="n">
        <f aca="false">(G120+G124)/G123</f>
        <v>1.18978749619743</v>
      </c>
      <c r="K138" s="3" t="s">
        <v>643</v>
      </c>
    </row>
    <row r="139" customFormat="false" ht="17.15" hidden="false" customHeight="false" outlineLevel="0" collapsed="false">
      <c r="A139" s="3" t="s">
        <v>569</v>
      </c>
      <c r="B139" s="0" t="s">
        <v>96</v>
      </c>
      <c r="D139" s="21" t="n">
        <f aca="false">D125/fx/D109*1000</f>
        <v>73.4578604462224</v>
      </c>
      <c r="E139" s="21" t="n">
        <f aca="false">E125/fx/E109*1000</f>
        <v>74.9738410190283</v>
      </c>
      <c r="F139" s="21" t="n">
        <f aca="false">F125/fx/F109*1000</f>
        <v>103.408822959553</v>
      </c>
      <c r="G139" s="21" t="n">
        <f aca="false">G125/fx/G109*1000</f>
        <v>104.993073222002</v>
      </c>
    </row>
    <row r="140" customFormat="false" ht="17.15" hidden="false" customHeight="false" outlineLevel="0" collapsed="false">
      <c r="A140" s="5" t="s">
        <v>644</v>
      </c>
    </row>
    <row r="141" customFormat="false" ht="17.15" hidden="false" customHeight="false" outlineLevel="0" collapsed="false">
      <c r="A141" s="3" t="s">
        <v>645</v>
      </c>
      <c r="B141" s="0" t="s">
        <v>55</v>
      </c>
      <c r="D141" s="14" t="n">
        <f aca="false">a26_gp/D127-d_ai*D137</f>
        <v>0.296655205435058</v>
      </c>
      <c r="K141" s="7" t="s">
        <v>646</v>
      </c>
    </row>
    <row r="142" customFormat="false" ht="17.15" hidden="false" customHeight="false" outlineLevel="0" collapsed="false">
      <c r="A142" s="0" t="s">
        <v>647</v>
      </c>
      <c r="B142" s="0" t="s">
        <v>55</v>
      </c>
      <c r="D142" s="14" t="n">
        <f aca="false">D141+d_ai</f>
        <v>0.396655205435058</v>
      </c>
      <c r="E142" s="14" t="n">
        <f aca="false">1-(1-$D$142)/E116+gmu_27</f>
        <v>0.406655205435058</v>
      </c>
      <c r="F142" s="14" t="n">
        <f aca="false">1-(1-$D$142)/F116+gmu_28</f>
        <v>0.392995057149545</v>
      </c>
      <c r="G142" s="14" t="n">
        <f aca="false">1-(1-$D$142)/G116+gmu_29</f>
        <v>0.378143835569211</v>
      </c>
      <c r="K142" s="7" t="s">
        <v>648</v>
      </c>
    </row>
    <row r="143" customFormat="false" ht="15" hidden="false" customHeight="false" outlineLevel="0" collapsed="false">
      <c r="A143" s="3" t="s">
        <v>503</v>
      </c>
      <c r="B143" s="0" t="s">
        <v>203</v>
      </c>
      <c r="C143" s="22" t="n">
        <f aca="false">a25_gp</f>
        <v>19.683</v>
      </c>
      <c r="D143" s="22" t="n">
        <f aca="false">a26_gp</f>
        <v>36.7701055</v>
      </c>
      <c r="E143" s="22" t="n">
        <f aca="false">E125*E142+E124*$D$141</f>
        <v>56.331961135</v>
      </c>
      <c r="F143" s="22" t="n">
        <f aca="false">F125*F142+F124*$D$141</f>
        <v>71.0939969154807</v>
      </c>
      <c r="G143" s="22" t="n">
        <f aca="false">G125*G142+G124*$D$141</f>
        <v>81.6002917090796</v>
      </c>
    </row>
    <row r="144" customFormat="false" ht="15" hidden="false" customHeight="false" outlineLevel="0" collapsed="false">
      <c r="A144" s="3" t="s">
        <v>506</v>
      </c>
      <c r="B144" s="0" t="s">
        <v>55</v>
      </c>
      <c r="C144" s="14" t="n">
        <f aca="false">C143/C127</f>
        <v>0.328028131457903</v>
      </c>
      <c r="D144" s="14" t="n">
        <f aca="false">D143/D127</f>
        <v>0.348837592422248</v>
      </c>
      <c r="E144" s="14" t="n">
        <f aca="false">E143/E127</f>
        <v>0.368566003345544</v>
      </c>
      <c r="F144" s="14" t="n">
        <f aca="false">F143/F127</f>
        <v>0.365962006691732</v>
      </c>
      <c r="G144" s="14" t="n">
        <f aca="false">G143/G127</f>
        <v>0.358067106007922</v>
      </c>
    </row>
    <row r="145" customFormat="false" ht="15" hidden="false" customHeight="false" outlineLevel="0" collapsed="false">
      <c r="A145" s="3" t="s">
        <v>649</v>
      </c>
      <c r="B145" s="0" t="s">
        <v>203</v>
      </c>
      <c r="C145" s="22" t="n">
        <f aca="false">a25_opx</f>
        <v>5.64</v>
      </c>
      <c r="D145" s="22" t="n">
        <f aca="false">a26_opx</f>
        <v>8.4779754</v>
      </c>
      <c r="E145" s="22" t="n">
        <f aca="false">D145*(1+MAX(0,phi*E128))</f>
        <v>10.767028758</v>
      </c>
      <c r="F145" s="22" t="n">
        <f aca="false">E145*(1+MAX(0,phi*F128))</f>
        <v>12.517970400163</v>
      </c>
      <c r="G145" s="22" t="n">
        <f aca="false">F145*(1+MAX(0,phi*G128))</f>
        <v>13.8179918513791</v>
      </c>
    </row>
    <row r="146" customFormat="false" ht="15" hidden="false" customHeight="false" outlineLevel="0" collapsed="false">
      <c r="A146" s="3" t="s">
        <v>508</v>
      </c>
      <c r="B146" s="0" t="s">
        <v>203</v>
      </c>
      <c r="C146" s="22" t="n">
        <f aca="false">C145</f>
        <v>5.64</v>
      </c>
      <c r="D146" s="22" t="n">
        <f aca="false">D145</f>
        <v>8.4779754</v>
      </c>
      <c r="E146" s="22" t="n">
        <f aca="false">E145+0*E127</f>
        <v>10.767028758</v>
      </c>
      <c r="F146" s="22" t="n">
        <f aca="false">F145+0*F127</f>
        <v>12.517970400163</v>
      </c>
      <c r="G146" s="22" t="n">
        <f aca="false">G145+0*G127</f>
        <v>13.8179918513791</v>
      </c>
    </row>
    <row r="147" customFormat="false" ht="15" hidden="false" customHeight="false" outlineLevel="0" collapsed="false">
      <c r="A147" s="3" t="s">
        <v>650</v>
      </c>
      <c r="B147" s="0" t="s">
        <v>203</v>
      </c>
      <c r="C147" s="22" t="n">
        <f aca="false">C143-C146</f>
        <v>14.043</v>
      </c>
      <c r="D147" s="22" t="n">
        <f aca="false">D143-D146</f>
        <v>28.2921301</v>
      </c>
      <c r="E147" s="22" t="n">
        <f aca="false">E143-E146</f>
        <v>45.564932377</v>
      </c>
      <c r="F147" s="22" t="n">
        <f aca="false">F143-F146</f>
        <v>58.5760265153177</v>
      </c>
      <c r="G147" s="22" t="n">
        <f aca="false">G143-G146</f>
        <v>67.7822998577005</v>
      </c>
    </row>
    <row r="148" customFormat="false" ht="15" hidden="false" customHeight="false" outlineLevel="0" collapsed="false">
      <c r="A148" s="3" t="s">
        <v>514</v>
      </c>
      <c r="B148" s="0" t="s">
        <v>55</v>
      </c>
      <c r="C148" s="14" t="n">
        <f aca="false">C147/C127</f>
        <v>0.23403439770682</v>
      </c>
      <c r="D148" s="14" t="n">
        <f aca="false">D147/D127</f>
        <v>0.268407131673338</v>
      </c>
      <c r="E148" s="14" t="n">
        <f aca="false">E147/E127</f>
        <v>0.298120013586154</v>
      </c>
      <c r="F148" s="14" t="n">
        <f aca="false">F147/F127</f>
        <v>0.301524757892828</v>
      </c>
      <c r="G148" s="14" t="n">
        <f aca="false">G147/G127</f>
        <v>0.297432906675595</v>
      </c>
    </row>
    <row r="149" customFormat="false" ht="17.15" hidden="false" customHeight="false" outlineLevel="0" collapsed="false">
      <c r="A149" s="3" t="s">
        <v>515</v>
      </c>
      <c r="B149" s="0" t="s">
        <v>203</v>
      </c>
      <c r="E149" s="22" t="n">
        <f aca="false">nop_f</f>
        <v>0</v>
      </c>
      <c r="F149" s="22" t="n">
        <f aca="false">nop_f</f>
        <v>0</v>
      </c>
      <c r="G149" s="22" t="n">
        <f aca="false">nop_f</f>
        <v>0</v>
      </c>
      <c r="K149" s="7" t="s">
        <v>651</v>
      </c>
    </row>
    <row r="150" customFormat="false" ht="15" hidden="false" customHeight="false" outlineLevel="0" collapsed="false">
      <c r="A150" s="3" t="s">
        <v>520</v>
      </c>
      <c r="B150" s="0" t="s">
        <v>203</v>
      </c>
      <c r="C150" s="22" t="n">
        <f aca="false">a25_ni</f>
        <v>9.607</v>
      </c>
      <c r="D150" s="22" t="n">
        <f aca="false">a26_ni</f>
        <v>19.6977289395284</v>
      </c>
      <c r="E150" s="22" t="n">
        <f aca="false">(E147+E149)*nir_f</f>
        <v>31.211978678245</v>
      </c>
      <c r="F150" s="22" t="n">
        <f aca="false">(F147+F149)*nir_f</f>
        <v>40.1245781629926</v>
      </c>
      <c r="G150" s="22" t="n">
        <f aca="false">(G147+G149)*nir_f</f>
        <v>46.4308754025249</v>
      </c>
      <c r="H150" s="24" t="n">
        <f aca="false">H127*H155</f>
        <v>49.0696162995125</v>
      </c>
      <c r="I150" s="24" t="n">
        <f aca="false">I127*I155</f>
        <v>49.5895726459613</v>
      </c>
      <c r="J150" s="24" t="n">
        <f aca="false">J127*J155</f>
        <v>47.8086916496984</v>
      </c>
    </row>
    <row r="151" customFormat="false" ht="17.15" hidden="false" customHeight="false" outlineLevel="0" collapsed="false">
      <c r="A151" s="3" t="s">
        <v>523</v>
      </c>
      <c r="B151" s="0" t="s">
        <v>55</v>
      </c>
      <c r="C151" s="14" t="n">
        <f aca="false">C150/C147</f>
        <v>0.684113081250445</v>
      </c>
      <c r="D151" s="14" t="n">
        <f aca="false">D150/D147</f>
        <v>0.696226437171953</v>
      </c>
      <c r="E151" s="14" t="n">
        <f aca="false">E150/E147</f>
        <v>0.685</v>
      </c>
      <c r="F151" s="14" t="n">
        <f aca="false">F150/F147</f>
        <v>0.685</v>
      </c>
      <c r="G151" s="14" t="n">
        <f aca="false">G150/G147</f>
        <v>0.685</v>
      </c>
    </row>
    <row r="152" customFormat="false" ht="17.15" hidden="false" customHeight="false" outlineLevel="0" collapsed="false">
      <c r="A152" s="3" t="s">
        <v>652</v>
      </c>
      <c r="B152" s="3" t="s">
        <v>233</v>
      </c>
      <c r="C152" s="27" t="n">
        <f aca="false">a25_sh</f>
        <v>0.493425783256292</v>
      </c>
      <c r="D152" s="27" t="n">
        <f aca="false">a26_sh</f>
        <v>0.512980850061958</v>
      </c>
      <c r="E152" s="27" t="n">
        <f aca="false">sh_h2*(1+sh_g)</f>
        <v>0.51889356</v>
      </c>
      <c r="F152" s="27" t="n">
        <f aca="false">E152*(1+sh_g)</f>
        <v>0.5240824956</v>
      </c>
      <c r="G152" s="27" t="n">
        <f aca="false">F152*(1+sh_g)</f>
        <v>0.529323320556</v>
      </c>
      <c r="H152" s="29" t="n">
        <f aca="false">G152*(1+sh_g)</f>
        <v>0.53461655376156</v>
      </c>
      <c r="I152" s="29" t="n">
        <f aca="false">H152*(1+sh_g)</f>
        <v>0.539962719299176</v>
      </c>
      <c r="J152" s="29" t="n">
        <f aca="false">I152*(1+sh_g)</f>
        <v>0.545362346492167</v>
      </c>
      <c r="K152" s="7" t="s">
        <v>653</v>
      </c>
    </row>
    <row r="153" customFormat="false" ht="15" hidden="false" customHeight="false" outlineLevel="0" collapsed="false">
      <c r="A153" s="0" t="s">
        <v>526</v>
      </c>
      <c r="B153" s="0" t="s">
        <v>271</v>
      </c>
      <c r="C153" s="23" t="n">
        <f aca="false">C150/C152</f>
        <v>19.47</v>
      </c>
      <c r="D153" s="23" t="n">
        <f aca="false">D150/D152</f>
        <v>38.3985658278458</v>
      </c>
      <c r="E153" s="23" t="n">
        <f aca="false">E150/E152</f>
        <v>60.1510234165269</v>
      </c>
      <c r="F153" s="23" t="n">
        <f aca="false">F150/F152</f>
        <v>76.5615690275167</v>
      </c>
      <c r="G153" s="23" t="n">
        <f aca="false">G150/G152</f>
        <v>87.7174188240072</v>
      </c>
      <c r="H153" s="30" t="n">
        <f aca="false">H150/H152</f>
        <v>91.7846930744266</v>
      </c>
      <c r="I153" s="30" t="n">
        <f aca="false">I150/I152</f>
        <v>91.8388823404776</v>
      </c>
      <c r="J153" s="30" t="n">
        <f aca="false">J150/J152</f>
        <v>87.6640860103551</v>
      </c>
    </row>
    <row r="154" customFormat="false" ht="17.15" hidden="false" customHeight="false" outlineLevel="0" collapsed="false">
      <c r="A154" s="0" t="s">
        <v>654</v>
      </c>
      <c r="B154" s="0" t="s">
        <v>55</v>
      </c>
      <c r="D154" s="14" t="n">
        <f aca="false">D153/C153-1</f>
        <v>0.9721913624985</v>
      </c>
      <c r="E154" s="14" t="n">
        <f aca="false">E153/D153-1</f>
        <v>0.566491407158407</v>
      </c>
      <c r="F154" s="14" t="n">
        <f aca="false">F153/E153-1</f>
        <v>0.272822384040783</v>
      </c>
      <c r="G154" s="14" t="n">
        <f aca="false">G153/F153-1</f>
        <v>0.145710830357735</v>
      </c>
      <c r="H154" s="25" t="n">
        <f aca="false">H153/G153-1</f>
        <v>0.0463679199063061</v>
      </c>
      <c r="I154" s="25" t="n">
        <f aca="false">I153/H153-1</f>
        <v>0.000590395459589166</v>
      </c>
      <c r="J154" s="25" t="n">
        <f aca="false">J153/I153-1</f>
        <v>-0.0454578303190271</v>
      </c>
    </row>
    <row r="155" customFormat="false" ht="17.15" hidden="false" customHeight="false" outlineLevel="0" collapsed="false">
      <c r="A155" s="3" t="s">
        <v>655</v>
      </c>
      <c r="B155" s="0" t="s">
        <v>55</v>
      </c>
      <c r="C155" s="14" t="n">
        <f aca="false">C150/C127</f>
        <v>0.160105992933804</v>
      </c>
      <c r="D155" s="14" t="n">
        <f aca="false">D150/D127</f>
        <v>0.186872140996471</v>
      </c>
      <c r="E155" s="14" t="n">
        <f aca="false">E150/E127</f>
        <v>0.204212209306515</v>
      </c>
      <c r="F155" s="14" t="n">
        <f aca="false">F150/F127</f>
        <v>0.206544459156587</v>
      </c>
      <c r="G155" s="14" t="n">
        <f aca="false">G150/G127</f>
        <v>0.203741541072783</v>
      </c>
      <c r="H155" s="25" t="n">
        <f aca="false">$G155+(fade_mB-$G155)*1/3</f>
        <v>0.190764372872009</v>
      </c>
      <c r="I155" s="25" t="n">
        <f aca="false">$G155+(fade_mB-$G155)*2/3</f>
        <v>0.177787204671235</v>
      </c>
      <c r="J155" s="25" t="n">
        <f aca="false">$G155+(fade_mB-$G155)*3/3</f>
        <v>0.164810036470462</v>
      </c>
    </row>
    <row r="158" customFormat="false" ht="17.15" hidden="false" customHeight="false" outlineLevel="0" collapsed="false">
      <c r="A158" s="1" t="s">
        <v>992</v>
      </c>
    </row>
    <row r="159" customFormat="false" ht="17.15" hidden="false" customHeight="false" outlineLevel="0" collapsed="false">
      <c r="A159" s="4" t="s">
        <v>24</v>
      </c>
      <c r="B159" s="4" t="s">
        <v>25</v>
      </c>
      <c r="C159" s="15" t="s">
        <v>494</v>
      </c>
      <c r="D159" s="15" t="s">
        <v>583</v>
      </c>
      <c r="E159" s="15" t="s">
        <v>584</v>
      </c>
      <c r="F159" s="15" t="s">
        <v>585</v>
      </c>
      <c r="G159" s="15" t="s">
        <v>586</v>
      </c>
      <c r="H159" s="15" t="s">
        <v>587</v>
      </c>
      <c r="I159" s="15" t="s">
        <v>588</v>
      </c>
      <c r="J159" s="15" t="s">
        <v>589</v>
      </c>
      <c r="K159" s="4" t="s">
        <v>458</v>
      </c>
    </row>
    <row r="160" customFormat="false" ht="17.15" hidden="false" customHeight="false" outlineLevel="0" collapsed="false">
      <c r="A160" s="5" t="s">
        <v>605</v>
      </c>
    </row>
    <row r="161" customFormat="false" ht="17.15" hidden="false" customHeight="false" outlineLevel="0" collapsed="false">
      <c r="A161" s="0" t="s">
        <v>606</v>
      </c>
      <c r="B161" s="0" t="s">
        <v>35</v>
      </c>
      <c r="D161" s="23" t="n">
        <f aca="false">itc_26*1</f>
        <v>781.872916666666</v>
      </c>
      <c r="E161" s="23" t="n">
        <f aca="false">itc_27*1*1</f>
        <v>1565.35</v>
      </c>
      <c r="F161" s="23" t="n">
        <f aca="false">itc_28*um28_B*1</f>
        <v>1587.41111111111</v>
      </c>
      <c r="G161" s="23" t="n">
        <f aca="false">itc_29*um29_B*1</f>
        <v>1921.33173611111</v>
      </c>
    </row>
    <row r="162" customFormat="false" ht="17.15" hidden="false" customHeight="false" outlineLevel="0" collapsed="false">
      <c r="A162" s="3" t="s">
        <v>607</v>
      </c>
      <c r="B162" s="0" t="s">
        <v>35</v>
      </c>
      <c r="D162" s="23" t="n">
        <f aca="false">itpg_gb*(1-vr26)+itpg_vr*vr26</f>
        <v>33.41403216</v>
      </c>
      <c r="E162" s="23" t="n">
        <f aca="false">itpg_vr</f>
        <v>37.586352</v>
      </c>
      <c r="F162" s="23" t="n">
        <f aca="false">itpg_vr</f>
        <v>37.586352</v>
      </c>
      <c r="G162" s="23" t="n">
        <f aca="false">itpg_vr</f>
        <v>37.586352</v>
      </c>
    </row>
    <row r="163" customFormat="false" ht="17.15" hidden="false" customHeight="false" outlineLevel="0" collapsed="false">
      <c r="A163" s="3" t="s">
        <v>608</v>
      </c>
      <c r="B163" s="0" t="s">
        <v>549</v>
      </c>
      <c r="D163" s="20" t="n">
        <f aca="false">D161/D162</f>
        <v>23.3995380420639</v>
      </c>
      <c r="E163" s="20" t="n">
        <f aca="false">E161/E162</f>
        <v>41.6467658260637</v>
      </c>
      <c r="F163" s="20" t="n">
        <f aca="false">F161/F162</f>
        <v>42.2337105529984</v>
      </c>
      <c r="G163" s="20" t="n">
        <f aca="false">G161/G162</f>
        <v>51.1178029756948</v>
      </c>
    </row>
    <row r="164" customFormat="false" ht="17.15" hidden="false" customHeight="false" outlineLevel="0" collapsed="false">
      <c r="A164" s="3" t="s">
        <v>553</v>
      </c>
      <c r="B164" s="0" t="s">
        <v>96</v>
      </c>
      <c r="D164" s="21" t="n">
        <f aca="false">vg_cmp26</f>
        <v>280</v>
      </c>
      <c r="E164" s="21" t="n">
        <f aca="false">(vg_cmp26+(vg_cmp27-vg_cmp26)*pgwf)</f>
        <v>420</v>
      </c>
      <c r="F164" s="21" t="n">
        <f aca="false">(vg_cmp26+(vg_cmp28-vg_cmp26)*pgwf)</f>
        <v>462</v>
      </c>
      <c r="G164" s="21" t="n">
        <f aca="false">(vg_cmp26+(vg_cmp29-vg_cmp26)*pgwf)</f>
        <v>504</v>
      </c>
    </row>
    <row r="165" customFormat="false" ht="17.15" hidden="false" customHeight="false" outlineLevel="0" collapsed="false">
      <c r="A165" s="3" t="s">
        <v>555</v>
      </c>
      <c r="B165" s="0" t="s">
        <v>96</v>
      </c>
      <c r="D165" s="21" t="n">
        <f aca="false">vg_sw26</f>
        <v>120</v>
      </c>
      <c r="E165" s="21" t="n">
        <f aca="false">(vg_sw26+(vg_sw27-vg_sw26)*pgwf)</f>
        <v>162</v>
      </c>
      <c r="F165" s="21" t="n">
        <f aca="false">(vg_sw26+(vg_sw28-vg_sw26)*pgwf)</f>
        <v>180</v>
      </c>
      <c r="G165" s="21" t="n">
        <f aca="false">(vg_sw26+(vg_sw29-vg_sw26)*pgwf)</f>
        <v>198</v>
      </c>
    </row>
    <row r="166" customFormat="false" ht="17.15" hidden="false" customHeight="false" outlineLevel="0" collapsed="false">
      <c r="A166" s="3" t="s">
        <v>609</v>
      </c>
      <c r="B166" s="0" t="s">
        <v>96</v>
      </c>
      <c r="D166" s="21" t="n">
        <f aca="false">vg_mid26*w_mid_lo</f>
        <v>0</v>
      </c>
      <c r="E166" s="21" t="n">
        <f aca="false">(vg_mid26+(vg_mid27-vg_mid26)*pgwf)*w_mid_lo</f>
        <v>0</v>
      </c>
      <c r="F166" s="21" t="n">
        <f aca="false">(vg_mid26+(vg_mid28-vg_mid26)*pgwf)*w_mid_lo</f>
        <v>0</v>
      </c>
      <c r="G166" s="21" t="n">
        <f aca="false">(vg_mid26+(vg_mid29-vg_mid26)*pgwf)*w_mid_lo</f>
        <v>0</v>
      </c>
    </row>
    <row r="167" customFormat="false" ht="17.15" hidden="false" customHeight="false" outlineLevel="0" collapsed="false">
      <c r="A167" s="3" t="s">
        <v>610</v>
      </c>
      <c r="B167" s="0" t="s">
        <v>96</v>
      </c>
      <c r="D167" s="21" t="n">
        <f aca="false">D164+D165+D166</f>
        <v>400</v>
      </c>
      <c r="E167" s="21" t="n">
        <f aca="false">E164+E165+E166</f>
        <v>582</v>
      </c>
      <c r="F167" s="21" t="n">
        <f aca="false">F164+F165+F166</f>
        <v>642</v>
      </c>
      <c r="G167" s="21" t="n">
        <f aca="false">G164+G165+G166</f>
        <v>702</v>
      </c>
    </row>
    <row r="168" customFormat="false" ht="17.15" hidden="false" customHeight="false" outlineLevel="0" collapsed="false">
      <c r="A168" s="3" t="s">
        <v>611</v>
      </c>
      <c r="B168" s="0" t="s">
        <v>35</v>
      </c>
      <c r="D168" s="23" t="n">
        <f aca="false">D163*D167/1000</f>
        <v>9.35981521682555</v>
      </c>
      <c r="E168" s="23" t="n">
        <f aca="false">E163*E167/1000</f>
        <v>24.2384177107691</v>
      </c>
      <c r="F168" s="23" t="n">
        <f aca="false">F163*F167/1000</f>
        <v>27.114042175025</v>
      </c>
      <c r="G168" s="23" t="n">
        <f aca="false">G163*G167/1000</f>
        <v>35.8846976889378</v>
      </c>
    </row>
    <row r="169" customFormat="false" ht="17.15" hidden="false" customHeight="false" outlineLevel="0" collapsed="false">
      <c r="A169" s="3" t="s">
        <v>612</v>
      </c>
      <c r="B169" s="0" t="s">
        <v>203</v>
      </c>
      <c r="D169" s="22" t="n">
        <f aca="false">D168*fx</f>
        <v>299.514086938418</v>
      </c>
      <c r="E169" s="22" t="n">
        <f aca="false">E168*fx</f>
        <v>775.62936674461</v>
      </c>
      <c r="F169" s="22" t="n">
        <f aca="false">F168*fx</f>
        <v>867.649349600799</v>
      </c>
      <c r="G169" s="22" t="n">
        <f aca="false">G168*fx</f>
        <v>1148.31032604601</v>
      </c>
    </row>
    <row r="170" customFormat="false" ht="17.15" hidden="false" customHeight="false" outlineLevel="0" collapsed="false">
      <c r="A170" s="0" t="s">
        <v>613</v>
      </c>
      <c r="B170" s="0" t="s">
        <v>69</v>
      </c>
      <c r="D170" s="18" t="n">
        <f aca="false">1</f>
        <v>1</v>
      </c>
      <c r="E170" s="18" t="n">
        <f aca="false">pp_27</f>
        <v>1</v>
      </c>
      <c r="F170" s="18" t="n">
        <f aca="false">pp_28</f>
        <v>0.97</v>
      </c>
      <c r="G170" s="18" t="n">
        <f aca="false">pp_29</f>
        <v>0.94</v>
      </c>
    </row>
    <row r="171" customFormat="false" ht="17.15" hidden="false" customHeight="false" outlineLevel="0" collapsed="false">
      <c r="A171" s="3" t="s">
        <v>614</v>
      </c>
      <c r="B171" s="0" t="s">
        <v>55</v>
      </c>
      <c r="D171" s="14" t="n">
        <f aca="false">a26_ai/D169</f>
        <v>0.183644651115556</v>
      </c>
      <c r="K171" s="7" t="s">
        <v>615</v>
      </c>
    </row>
    <row r="172" customFormat="false" ht="17.15" hidden="false" customHeight="false" outlineLevel="0" collapsed="false">
      <c r="A172" s="3" t="s">
        <v>616</v>
      </c>
      <c r="B172" s="0" t="s">
        <v>69</v>
      </c>
      <c r="D172" s="18" t="n">
        <f aca="false">1</f>
        <v>1</v>
      </c>
      <c r="E172" s="18" t="n">
        <f aca="false">rel_27</f>
        <v>1</v>
      </c>
      <c r="F172" s="18" t="n">
        <f aca="false">rel_28</f>
        <v>0.95</v>
      </c>
      <c r="G172" s="18" t="n">
        <f aca="false">rel_29</f>
        <v>0.9</v>
      </c>
    </row>
    <row r="173" customFormat="false" ht="15" hidden="false" customHeight="false" outlineLevel="0" collapsed="false">
      <c r="A173" s="3" t="s">
        <v>565</v>
      </c>
      <c r="B173" s="0" t="s">
        <v>55</v>
      </c>
      <c r="D173" s="14" t="n">
        <f aca="false">$D$171*D172</f>
        <v>0.183644651115556</v>
      </c>
      <c r="E173" s="14" t="n">
        <f aca="false">$D$171*E172</f>
        <v>0.183644651115556</v>
      </c>
      <c r="F173" s="14" t="n">
        <f aca="false">$D$171*F172</f>
        <v>0.174462418559778</v>
      </c>
      <c r="G173" s="14" t="n">
        <f aca="false">$D$171*G172</f>
        <v>0.165280186004</v>
      </c>
    </row>
    <row r="174" customFormat="false" ht="17.15" hidden="false" customHeight="false" outlineLevel="0" collapsed="false">
      <c r="A174" s="0" t="s">
        <v>617</v>
      </c>
      <c r="B174" s="0" t="s">
        <v>203</v>
      </c>
      <c r="D174" s="22" t="n">
        <f aca="false">D169*D173*D170</f>
        <v>55.00416</v>
      </c>
      <c r="E174" s="22" t="n">
        <f aca="false">E169*E173*E170</f>
        <v>142.440184450793</v>
      </c>
      <c r="F174" s="22" t="n">
        <f aca="false">F169*F173*F170</f>
        <v>146.831037873379</v>
      </c>
      <c r="G174" s="22" t="n">
        <f aca="false">G169*G173*G170</f>
        <v>178.405367622447</v>
      </c>
    </row>
    <row r="175" customFormat="false" ht="17.15" hidden="false" customHeight="false" outlineLevel="0" collapsed="false">
      <c r="A175" s="5" t="s">
        <v>618</v>
      </c>
    </row>
    <row r="176" customFormat="false" ht="17.15" hidden="false" customHeight="false" outlineLevel="0" collapsed="false">
      <c r="A176" s="3" t="s">
        <v>619</v>
      </c>
      <c r="B176" s="0" t="s">
        <v>69</v>
      </c>
      <c r="D176" s="18" t="n">
        <f aca="false">1</f>
        <v>1</v>
      </c>
      <c r="E176" s="18" t="n">
        <f aca="false">cx_27</f>
        <v>1.45</v>
      </c>
      <c r="F176" s="18" t="n">
        <f aca="false">cx_28</f>
        <v>1.9</v>
      </c>
      <c r="G176" s="18" t="n">
        <f aca="false">cx_29</f>
        <v>2.3</v>
      </c>
      <c r="K176" s="7" t="s">
        <v>620</v>
      </c>
    </row>
    <row r="177" customFormat="false" ht="17.15" hidden="false" customHeight="false" outlineLevel="0" collapsed="false">
      <c r="A177" s="3" t="s">
        <v>621</v>
      </c>
      <c r="B177" s="0" t="s">
        <v>203</v>
      </c>
      <c r="D177" s="22" t="n">
        <f aca="false">a26_rev*D176*D170</f>
        <v>105.40752</v>
      </c>
      <c r="E177" s="22" t="n">
        <f aca="false">a26_rev*E176*E170</f>
        <v>152.840904</v>
      </c>
      <c r="F177" s="22" t="n">
        <f aca="false">a26_rev*F176*F170</f>
        <v>194.26605936</v>
      </c>
      <c r="G177" s="22" t="n">
        <f aca="false">a26_rev*G176*G170</f>
        <v>227.89105824</v>
      </c>
    </row>
    <row r="178" customFormat="false" ht="17.15" hidden="false" customHeight="false" outlineLevel="0" collapsed="false">
      <c r="A178" s="3" t="s">
        <v>622</v>
      </c>
      <c r="B178" s="0" t="s">
        <v>203</v>
      </c>
      <c r="C178" s="22" t="n">
        <f aca="false">a25_nai</f>
        <v>42.0028</v>
      </c>
      <c r="D178" s="22" t="n">
        <f aca="false">a26_nai</f>
        <v>50.40336</v>
      </c>
      <c r="E178" s="22" t="n">
        <f aca="false">D178*(1+g_nai27)</f>
        <v>52.923528</v>
      </c>
      <c r="F178" s="22" t="n">
        <f aca="false">E178*(1+g_nai28)</f>
        <v>54.51123384</v>
      </c>
      <c r="G178" s="22" t="n">
        <f aca="false">F178*(1+g_nai29)</f>
        <v>56.1465708552</v>
      </c>
    </row>
    <row r="179" customFormat="false" ht="17.15" hidden="false" customHeight="false" outlineLevel="0" collapsed="false">
      <c r="A179" s="0" t="s">
        <v>623</v>
      </c>
      <c r="B179" s="0" t="s">
        <v>203</v>
      </c>
      <c r="C179" s="22" t="n">
        <f aca="false">a25_ai</f>
        <v>18.0012</v>
      </c>
      <c r="D179" s="22" t="n">
        <f aca="false">D174</f>
        <v>55.00416</v>
      </c>
      <c r="E179" s="22" t="n">
        <f aca="false">MIN(E174,E177-E178)</f>
        <v>99.917376</v>
      </c>
      <c r="F179" s="22" t="n">
        <f aca="false">MIN(F174,F177-F178)</f>
        <v>139.75482552</v>
      </c>
      <c r="G179" s="22" t="n">
        <f aca="false">MIN(G174,G177-G178)</f>
        <v>171.7444873848</v>
      </c>
      <c r="K179" s="3" t="s">
        <v>624</v>
      </c>
    </row>
    <row r="180" customFormat="false" ht="15" hidden="false" customHeight="false" outlineLevel="0" collapsed="false">
      <c r="A180" s="3" t="s">
        <v>625</v>
      </c>
      <c r="E180" s="0" t="str">
        <f aca="false">IF(E174&gt;E177-E178+0.0001,"受限","未受限")</f>
        <v>受限</v>
      </c>
      <c r="F180" s="0" t="str">
        <f aca="false">IF(F174&gt;F177-F178+0.0001,"受限","未受限")</f>
        <v>受限</v>
      </c>
      <c r="G180" s="0" t="str">
        <f aca="false">IF(G174&gt;G177-G178+0.0001,"受限","未受限")</f>
        <v>受限</v>
      </c>
    </row>
    <row r="181" customFormat="false" ht="17.15" hidden="false" customHeight="false" outlineLevel="0" collapsed="false">
      <c r="A181" s="3" t="s">
        <v>499</v>
      </c>
      <c r="B181" s="0" t="s">
        <v>203</v>
      </c>
      <c r="C181" s="22" t="n">
        <f aca="false">C179+C178</f>
        <v>60.004</v>
      </c>
      <c r="D181" s="22" t="n">
        <f aca="false">D179+D178</f>
        <v>105.40752</v>
      </c>
      <c r="E181" s="22" t="n">
        <f aca="false">E179+E178</f>
        <v>152.840904</v>
      </c>
      <c r="F181" s="22" t="n">
        <f aca="false">F179+F178</f>
        <v>194.26605936</v>
      </c>
      <c r="G181" s="22" t="n">
        <f aca="false">G179+G178</f>
        <v>227.89105824</v>
      </c>
      <c r="H181" s="24" t="n">
        <f aca="false">G181*(1+H182)</f>
        <v>257.226313072804</v>
      </c>
      <c r="I181" s="24" t="n">
        <f aca="false">H181*(1+I182)</f>
        <v>278.92655569709</v>
      </c>
      <c r="J181" s="24" t="n">
        <f aca="false">I181*(1+J182)</f>
        <v>290.083617924974</v>
      </c>
      <c r="K181" s="7" t="s">
        <v>626</v>
      </c>
    </row>
    <row r="182" customFormat="false" ht="15" hidden="false" customHeight="false" outlineLevel="0" collapsed="false">
      <c r="A182" s="3" t="s">
        <v>627</v>
      </c>
      <c r="B182" s="0" t="s">
        <v>55</v>
      </c>
      <c r="D182" s="14" t="n">
        <f aca="false">D181/C181-1</f>
        <v>0.756674888340778</v>
      </c>
      <c r="E182" s="14" t="n">
        <f aca="false">E181/D181-1</f>
        <v>0.45</v>
      </c>
      <c r="F182" s="14" t="n">
        <f aca="false">F181/E181-1</f>
        <v>0.271034482758621</v>
      </c>
      <c r="G182" s="14" t="n">
        <f aca="false">G181/F181-1</f>
        <v>0.173087357569181</v>
      </c>
      <c r="H182" s="25" t="n">
        <f aca="false">$G182+(fade_gB-$G182)*1/3</f>
        <v>0.12872490504612</v>
      </c>
      <c r="I182" s="25" t="n">
        <f aca="false">$G182+(fade_gB-$G182)*2/3</f>
        <v>0.0843624525230602</v>
      </c>
      <c r="J182" s="25" t="n">
        <f aca="false">$G182+(fade_gB-$G182)*3/3</f>
        <v>0.04</v>
      </c>
    </row>
    <row r="183" customFormat="false" ht="17.15" hidden="false" customHeight="false" outlineLevel="0" collapsed="false">
      <c r="A183" s="3" t="s">
        <v>628</v>
      </c>
      <c r="B183" s="0" t="s">
        <v>203</v>
      </c>
      <c r="D183" s="22" t="n">
        <f aca="false">D179*(D164+D166)/D167</f>
        <v>38.502912</v>
      </c>
      <c r="E183" s="22" t="n">
        <f aca="false">E179*(E164+E166)/E167</f>
        <v>72.1053228865979</v>
      </c>
      <c r="F183" s="22" t="n">
        <f aca="false">F179*(F164+F166)/F167</f>
        <v>100.571229579813</v>
      </c>
      <c r="G183" s="22" t="n">
        <f aca="false">G179*(G164+G166)/G167</f>
        <v>123.303734532677</v>
      </c>
      <c r="K183" s="7" t="s">
        <v>629</v>
      </c>
    </row>
    <row r="184" customFormat="false" ht="17.15" hidden="false" customHeight="false" outlineLevel="0" collapsed="false">
      <c r="A184" s="3" t="s">
        <v>630</v>
      </c>
      <c r="B184" s="0" t="s">
        <v>203</v>
      </c>
      <c r="D184" s="22" t="n">
        <f aca="false">D179*D165/D167</f>
        <v>16.501248</v>
      </c>
      <c r="E184" s="22" t="n">
        <f aca="false">E179*E165/E167</f>
        <v>27.8120531134021</v>
      </c>
      <c r="F184" s="22" t="n">
        <f aca="false">F179*F165/F167</f>
        <v>39.1835959401869</v>
      </c>
      <c r="G184" s="22" t="n">
        <f aca="false">G179*G165/G167</f>
        <v>48.4407528521231</v>
      </c>
    </row>
    <row r="185" customFormat="false" ht="17.15" hidden="false" customHeight="false" outlineLevel="0" collapsed="false">
      <c r="A185" s="3" t="s">
        <v>631</v>
      </c>
      <c r="B185" s="0" t="s">
        <v>203</v>
      </c>
      <c r="D185" s="22" t="n">
        <f aca="false">srv26*D181-D183</f>
        <v>43.7149536</v>
      </c>
      <c r="E185" s="22" t="n">
        <f aca="false">E178*$D185/$D178</f>
        <v>45.90070128</v>
      </c>
      <c r="F185" s="22" t="n">
        <f aca="false">F178*$D185/$D178</f>
        <v>47.2777223184</v>
      </c>
      <c r="G185" s="22" t="n">
        <f aca="false">G178*$D185/$D178</f>
        <v>48.696053987952</v>
      </c>
      <c r="K185" s="7" t="s">
        <v>632</v>
      </c>
    </row>
    <row r="186" customFormat="false" ht="17.15" hidden="false" customHeight="false" outlineLevel="0" collapsed="false">
      <c r="A186" s="3" t="s">
        <v>633</v>
      </c>
      <c r="B186" s="0" t="s">
        <v>203</v>
      </c>
      <c r="D186" s="22" t="n">
        <f aca="false">net26*D181-D184</f>
        <v>-0.690120000000004</v>
      </c>
      <c r="E186" s="22" t="n">
        <f aca="false">E178*$D186/$D178</f>
        <v>-0.724626000000004</v>
      </c>
      <c r="F186" s="22" t="n">
        <f aca="false">F178*$D186/$D178</f>
        <v>-0.746364780000004</v>
      </c>
      <c r="G186" s="22" t="n">
        <f aca="false">G178*$D186/$D178</f>
        <v>-0.768755723400004</v>
      </c>
    </row>
    <row r="187" customFormat="false" ht="17.15" hidden="false" customHeight="false" outlineLevel="0" collapsed="false">
      <c r="A187" s="3" t="s">
        <v>634</v>
      </c>
      <c r="B187" s="0" t="s">
        <v>203</v>
      </c>
      <c r="C187" s="22" t="n">
        <f aca="false">srv25*C181</f>
        <v>48.0032</v>
      </c>
      <c r="D187" s="22" t="n">
        <f aca="false">D183+D185</f>
        <v>82.2178656</v>
      </c>
      <c r="E187" s="22" t="n">
        <f aca="false">E183+E185</f>
        <v>118.006024166598</v>
      </c>
      <c r="F187" s="22" t="n">
        <f aca="false">F183+F185</f>
        <v>147.848951898213</v>
      </c>
      <c r="G187" s="22" t="n">
        <f aca="false">G183+G185</f>
        <v>171.999788520629</v>
      </c>
      <c r="K187" s="3" t="s">
        <v>635</v>
      </c>
    </row>
    <row r="188" customFormat="false" ht="15" hidden="false" customHeight="false" outlineLevel="0" collapsed="false">
      <c r="A188" s="3" t="s">
        <v>636</v>
      </c>
      <c r="B188" s="0" t="s">
        <v>203</v>
      </c>
      <c r="C188" s="22" t="n">
        <f aca="false">net25*C181</f>
        <v>6.0004</v>
      </c>
      <c r="D188" s="22" t="n">
        <f aca="false">D184+D186</f>
        <v>15.811128</v>
      </c>
      <c r="E188" s="22" t="n">
        <f aca="false">E184+E186</f>
        <v>27.0874271134021</v>
      </c>
      <c r="F188" s="22" t="n">
        <f aca="false">F184+F186</f>
        <v>38.4372311601869</v>
      </c>
      <c r="G188" s="22" t="n">
        <f aca="false">G184+G186</f>
        <v>47.6719971287231</v>
      </c>
      <c r="K188" s="3" t="s">
        <v>637</v>
      </c>
    </row>
    <row r="189" customFormat="false" ht="15" hidden="false" customHeight="false" outlineLevel="0" collapsed="false">
      <c r="A189" s="3" t="s">
        <v>638</v>
      </c>
      <c r="B189" s="0" t="s">
        <v>203</v>
      </c>
      <c r="C189" s="22" t="n">
        <f aca="false">C181-C187-C188</f>
        <v>6.0004</v>
      </c>
      <c r="D189" s="22" t="n">
        <f aca="false">D181-D187-D188</f>
        <v>7.3785264</v>
      </c>
      <c r="E189" s="22" t="n">
        <f aca="false">E181-E187-E188</f>
        <v>7.74745272</v>
      </c>
      <c r="F189" s="22" t="n">
        <f aca="false">F181-F187-F188</f>
        <v>7.9798763016</v>
      </c>
      <c r="G189" s="22" t="n">
        <f aca="false">G181-G187-G188</f>
        <v>8.21927259064799</v>
      </c>
      <c r="K189" s="3" t="s">
        <v>639</v>
      </c>
    </row>
    <row r="190" customFormat="false" ht="17.15" hidden="false" customHeight="false" outlineLevel="0" collapsed="false">
      <c r="A190" s="3" t="s">
        <v>640</v>
      </c>
      <c r="B190" s="0" t="s">
        <v>203</v>
      </c>
      <c r="C190" s="28" t="n">
        <f aca="false">C187+C188+C189-C181</f>
        <v>0</v>
      </c>
      <c r="D190" s="28" t="n">
        <f aca="false">ROUND(D185+D186+D189-D178,9)</f>
        <v>0</v>
      </c>
      <c r="E190" s="28" t="n">
        <f aca="false">ROUND(E185+E186+E189-E178,9)</f>
        <v>0</v>
      </c>
      <c r="F190" s="28" t="n">
        <f aca="false">ROUND(F185+F186+F189-F178,9)</f>
        <v>0</v>
      </c>
      <c r="G190" s="28" t="n">
        <f aca="false">ROUND(G185+G186+G189-G178,9)</f>
        <v>0</v>
      </c>
    </row>
    <row r="191" customFormat="false" ht="17.15" hidden="false" customHeight="false" outlineLevel="0" collapsed="false">
      <c r="A191" s="0" t="s">
        <v>641</v>
      </c>
      <c r="B191" s="0" t="s">
        <v>55</v>
      </c>
      <c r="C191" s="14" t="n">
        <f aca="false">C179/C181</f>
        <v>0.3</v>
      </c>
      <c r="D191" s="14" t="n">
        <f aca="false">D179/D181</f>
        <v>0.521823869871903</v>
      </c>
      <c r="E191" s="14" t="n">
        <f aca="false">E179/E181</f>
        <v>0.653734526458964</v>
      </c>
      <c r="F191" s="14" t="n">
        <f aca="false">F179/F181</f>
        <v>0.71939908587437</v>
      </c>
      <c r="G191" s="14" t="n">
        <f aca="false">G179/G181</f>
        <v>0.753625388864226</v>
      </c>
    </row>
    <row r="192" customFormat="false" ht="17.15" hidden="false" customHeight="false" outlineLevel="0" collapsed="false">
      <c r="A192" s="3" t="s">
        <v>642</v>
      </c>
      <c r="B192" s="0" t="s">
        <v>55</v>
      </c>
      <c r="D192" s="14" t="n">
        <f aca="false">(D174+D178)/D177</f>
        <v>1</v>
      </c>
      <c r="E192" s="14" t="n">
        <f aca="false">(E174+E178)/E177</f>
        <v>1.27821615377774</v>
      </c>
      <c r="F192" s="14" t="n">
        <f aca="false">(F174+F178)/F177</f>
        <v>1.03642536620494</v>
      </c>
      <c r="G192" s="14" t="n">
        <f aca="false">(G174+G178)/G177</f>
        <v>1.0292283527449</v>
      </c>
      <c r="K192" s="3" t="s">
        <v>643</v>
      </c>
    </row>
    <row r="193" customFormat="false" ht="17.15" hidden="false" customHeight="false" outlineLevel="0" collapsed="false">
      <c r="A193" s="3" t="s">
        <v>569</v>
      </c>
      <c r="B193" s="0" t="s">
        <v>96</v>
      </c>
      <c r="D193" s="21" t="n">
        <f aca="false">D179/fx/D163*1000</f>
        <v>73.4578604462224</v>
      </c>
      <c r="E193" s="21" t="n">
        <f aca="false">E179/fx/E163*1000</f>
        <v>74.9738410190283</v>
      </c>
      <c r="F193" s="21" t="n">
        <f aca="false">F179/fx/F163*1000</f>
        <v>103.408822959553</v>
      </c>
      <c r="G193" s="21" t="n">
        <f aca="false">G179/fx/G163*1000</f>
        <v>104.993073222002</v>
      </c>
    </row>
    <row r="194" customFormat="false" ht="17.15" hidden="false" customHeight="false" outlineLevel="0" collapsed="false">
      <c r="A194" s="5" t="s">
        <v>644</v>
      </c>
    </row>
    <row r="195" customFormat="false" ht="17.15" hidden="false" customHeight="false" outlineLevel="0" collapsed="false">
      <c r="A195" s="3" t="s">
        <v>645</v>
      </c>
      <c r="B195" s="0" t="s">
        <v>55</v>
      </c>
      <c r="D195" s="14" t="n">
        <f aca="false">a26_gp/D181-d_ai*D191</f>
        <v>0.296655205435058</v>
      </c>
      <c r="K195" s="7" t="s">
        <v>646</v>
      </c>
    </row>
    <row r="196" customFormat="false" ht="17.15" hidden="false" customHeight="false" outlineLevel="0" collapsed="false">
      <c r="A196" s="0" t="s">
        <v>647</v>
      </c>
      <c r="B196" s="0" t="s">
        <v>55</v>
      </c>
      <c r="D196" s="14" t="n">
        <f aca="false">D195+d_ai</f>
        <v>0.396655205435058</v>
      </c>
      <c r="E196" s="14" t="n">
        <f aca="false">1-(1-$D$196)/E170+gmu_27</f>
        <v>0.406655205435058</v>
      </c>
      <c r="F196" s="14" t="n">
        <f aca="false">1-(1-$D$196)/F170+gmu_28</f>
        <v>0.392995057149545</v>
      </c>
      <c r="G196" s="14" t="n">
        <f aca="false">1-(1-$D$196)/G170+gmu_29</f>
        <v>0.378143835569211</v>
      </c>
      <c r="K196" s="7" t="s">
        <v>648</v>
      </c>
    </row>
    <row r="197" customFormat="false" ht="15" hidden="false" customHeight="false" outlineLevel="0" collapsed="false">
      <c r="A197" s="3" t="s">
        <v>503</v>
      </c>
      <c r="B197" s="0" t="s">
        <v>203</v>
      </c>
      <c r="C197" s="22" t="n">
        <f aca="false">a25_gp</f>
        <v>19.683</v>
      </c>
      <c r="D197" s="22" t="n">
        <f aca="false">a26_gp</f>
        <v>36.7701055</v>
      </c>
      <c r="E197" s="22" t="n">
        <f aca="false">E179*E196+E178*$D$195</f>
        <v>56.331961135</v>
      </c>
      <c r="F197" s="22" t="n">
        <f aca="false">F179*F196+F178*$D$195</f>
        <v>71.0939969154807</v>
      </c>
      <c r="G197" s="22" t="n">
        <f aca="false">G179*G196+G178*$D$195</f>
        <v>81.6002917090796</v>
      </c>
    </row>
    <row r="198" customFormat="false" ht="15" hidden="false" customHeight="false" outlineLevel="0" collapsed="false">
      <c r="A198" s="3" t="s">
        <v>506</v>
      </c>
      <c r="B198" s="0" t="s">
        <v>55</v>
      </c>
      <c r="C198" s="14" t="n">
        <f aca="false">C197/C181</f>
        <v>0.328028131457903</v>
      </c>
      <c r="D198" s="14" t="n">
        <f aca="false">D197/D181</f>
        <v>0.348837592422248</v>
      </c>
      <c r="E198" s="14" t="n">
        <f aca="false">E197/E181</f>
        <v>0.368566003345544</v>
      </c>
      <c r="F198" s="14" t="n">
        <f aca="false">F197/F181</f>
        <v>0.365962006691732</v>
      </c>
      <c r="G198" s="14" t="n">
        <f aca="false">G197/G181</f>
        <v>0.358067106007922</v>
      </c>
    </row>
    <row r="199" customFormat="false" ht="15" hidden="false" customHeight="false" outlineLevel="0" collapsed="false">
      <c r="A199" s="3" t="s">
        <v>649</v>
      </c>
      <c r="B199" s="0" t="s">
        <v>203</v>
      </c>
      <c r="C199" s="22" t="n">
        <f aca="false">a25_opx</f>
        <v>5.64</v>
      </c>
      <c r="D199" s="22" t="n">
        <f aca="false">a26_opx</f>
        <v>8.4779754</v>
      </c>
      <c r="E199" s="22" t="n">
        <f aca="false">D199*(1+MAX(0,phi*E182))</f>
        <v>10.767028758</v>
      </c>
      <c r="F199" s="22" t="n">
        <f aca="false">E199*(1+MAX(0,phi*F182))</f>
        <v>12.517970400163</v>
      </c>
      <c r="G199" s="22" t="n">
        <f aca="false">F199*(1+MAX(0,phi*G182))</f>
        <v>13.8179918513791</v>
      </c>
    </row>
    <row r="200" customFormat="false" ht="15" hidden="false" customHeight="false" outlineLevel="0" collapsed="false">
      <c r="A200" s="3" t="s">
        <v>508</v>
      </c>
      <c r="B200" s="0" t="s">
        <v>203</v>
      </c>
      <c r="C200" s="22" t="n">
        <f aca="false">C199</f>
        <v>5.64</v>
      </c>
      <c r="D200" s="22" t="n">
        <f aca="false">D199</f>
        <v>8.4779754</v>
      </c>
      <c r="E200" s="22" t="n">
        <f aca="false">E199+0*E181</f>
        <v>10.767028758</v>
      </c>
      <c r="F200" s="22" t="n">
        <f aca="false">F199+0*F181</f>
        <v>12.517970400163</v>
      </c>
      <c r="G200" s="22" t="n">
        <f aca="false">G199+0*G181</f>
        <v>13.8179918513791</v>
      </c>
    </row>
    <row r="201" customFormat="false" ht="15" hidden="false" customHeight="false" outlineLevel="0" collapsed="false">
      <c r="A201" s="3" t="s">
        <v>650</v>
      </c>
      <c r="B201" s="0" t="s">
        <v>203</v>
      </c>
      <c r="C201" s="22" t="n">
        <f aca="false">C197-C200</f>
        <v>14.043</v>
      </c>
      <c r="D201" s="22" t="n">
        <f aca="false">D197-D200</f>
        <v>28.2921301</v>
      </c>
      <c r="E201" s="22" t="n">
        <f aca="false">E197-E200</f>
        <v>45.564932377</v>
      </c>
      <c r="F201" s="22" t="n">
        <f aca="false">F197-F200</f>
        <v>58.5760265153177</v>
      </c>
      <c r="G201" s="22" t="n">
        <f aca="false">G197-G200</f>
        <v>67.7822998577005</v>
      </c>
    </row>
    <row r="202" customFormat="false" ht="15" hidden="false" customHeight="false" outlineLevel="0" collapsed="false">
      <c r="A202" s="3" t="s">
        <v>514</v>
      </c>
      <c r="B202" s="0" t="s">
        <v>55</v>
      </c>
      <c r="C202" s="14" t="n">
        <f aca="false">C201/C181</f>
        <v>0.23403439770682</v>
      </c>
      <c r="D202" s="14" t="n">
        <f aca="false">D201/D181</f>
        <v>0.268407131673338</v>
      </c>
      <c r="E202" s="14" t="n">
        <f aca="false">E201/E181</f>
        <v>0.298120013586154</v>
      </c>
      <c r="F202" s="14" t="n">
        <f aca="false">F201/F181</f>
        <v>0.301524757892828</v>
      </c>
      <c r="G202" s="14" t="n">
        <f aca="false">G201/G181</f>
        <v>0.297432906675595</v>
      </c>
    </row>
    <row r="203" customFormat="false" ht="17.15" hidden="false" customHeight="false" outlineLevel="0" collapsed="false">
      <c r="A203" s="3" t="s">
        <v>515</v>
      </c>
      <c r="B203" s="0" t="s">
        <v>203</v>
      </c>
      <c r="E203" s="22" t="n">
        <f aca="false">nop_f</f>
        <v>0</v>
      </c>
      <c r="F203" s="22" t="n">
        <f aca="false">nop_f</f>
        <v>0</v>
      </c>
      <c r="G203" s="22" t="n">
        <f aca="false">nop_f</f>
        <v>0</v>
      </c>
      <c r="K203" s="7" t="s">
        <v>651</v>
      </c>
    </row>
    <row r="204" customFormat="false" ht="15" hidden="false" customHeight="false" outlineLevel="0" collapsed="false">
      <c r="A204" s="3" t="s">
        <v>520</v>
      </c>
      <c r="B204" s="0" t="s">
        <v>203</v>
      </c>
      <c r="C204" s="22" t="n">
        <f aca="false">a25_ni</f>
        <v>9.607</v>
      </c>
      <c r="D204" s="22" t="n">
        <f aca="false">a26_ni</f>
        <v>19.6977289395284</v>
      </c>
      <c r="E204" s="22" t="n">
        <f aca="false">(E201+E203)*nir_f</f>
        <v>31.211978678245</v>
      </c>
      <c r="F204" s="22" t="n">
        <f aca="false">(F201+F203)*nir_f</f>
        <v>40.1245781629926</v>
      </c>
      <c r="G204" s="22" t="n">
        <f aca="false">(G201+G203)*nir_f</f>
        <v>46.4308754025249</v>
      </c>
      <c r="H204" s="24" t="n">
        <f aca="false">H181*H209</f>
        <v>49.0696162995125</v>
      </c>
      <c r="I204" s="24" t="n">
        <f aca="false">I181*I209</f>
        <v>49.5895726459613</v>
      </c>
      <c r="J204" s="24" t="n">
        <f aca="false">J181*J209</f>
        <v>47.8086916496984</v>
      </c>
    </row>
    <row r="205" customFormat="false" ht="17.15" hidden="false" customHeight="false" outlineLevel="0" collapsed="false">
      <c r="A205" s="3" t="s">
        <v>523</v>
      </c>
      <c r="B205" s="0" t="s">
        <v>55</v>
      </c>
      <c r="C205" s="14" t="n">
        <f aca="false">C204/C201</f>
        <v>0.684113081250445</v>
      </c>
      <c r="D205" s="14" t="n">
        <f aca="false">D204/D201</f>
        <v>0.696226437171953</v>
      </c>
      <c r="E205" s="14" t="n">
        <f aca="false">E204/E201</f>
        <v>0.685</v>
      </c>
      <c r="F205" s="14" t="n">
        <f aca="false">F204/F201</f>
        <v>0.685</v>
      </c>
      <c r="G205" s="14" t="n">
        <f aca="false">G204/G201</f>
        <v>0.685</v>
      </c>
    </row>
    <row r="206" customFormat="false" ht="17.15" hidden="false" customHeight="false" outlineLevel="0" collapsed="false">
      <c r="A206" s="3" t="s">
        <v>652</v>
      </c>
      <c r="B206" s="3" t="s">
        <v>233</v>
      </c>
      <c r="C206" s="27" t="n">
        <f aca="false">a25_sh</f>
        <v>0.493425783256292</v>
      </c>
      <c r="D206" s="27" t="n">
        <f aca="false">a26_sh</f>
        <v>0.512980850061958</v>
      </c>
      <c r="E206" s="27" t="n">
        <f aca="false">sh_h2*(1+sh_g)</f>
        <v>0.51889356</v>
      </c>
      <c r="F206" s="27" t="n">
        <f aca="false">E206*(1+sh_g)</f>
        <v>0.5240824956</v>
      </c>
      <c r="G206" s="27" t="n">
        <f aca="false">F206*(1+sh_g)</f>
        <v>0.529323320556</v>
      </c>
      <c r="H206" s="29" t="n">
        <f aca="false">G206*(1+sh_g)</f>
        <v>0.53461655376156</v>
      </c>
      <c r="I206" s="29" t="n">
        <f aca="false">H206*(1+sh_g)</f>
        <v>0.539962719299176</v>
      </c>
      <c r="J206" s="29" t="n">
        <f aca="false">I206*(1+sh_g)</f>
        <v>0.545362346492167</v>
      </c>
      <c r="K206" s="7" t="s">
        <v>653</v>
      </c>
    </row>
    <row r="207" customFormat="false" ht="15" hidden="false" customHeight="false" outlineLevel="0" collapsed="false">
      <c r="A207" s="0" t="s">
        <v>526</v>
      </c>
      <c r="B207" s="0" t="s">
        <v>271</v>
      </c>
      <c r="C207" s="23" t="n">
        <f aca="false">C204/C206</f>
        <v>19.47</v>
      </c>
      <c r="D207" s="23" t="n">
        <f aca="false">D204/D206</f>
        <v>38.3985658278458</v>
      </c>
      <c r="E207" s="23" t="n">
        <f aca="false">E204/E206</f>
        <v>60.1510234165269</v>
      </c>
      <c r="F207" s="23" t="n">
        <f aca="false">F204/F206</f>
        <v>76.5615690275167</v>
      </c>
      <c r="G207" s="23" t="n">
        <f aca="false">G204/G206</f>
        <v>87.7174188240072</v>
      </c>
      <c r="H207" s="30" t="n">
        <f aca="false">H204/H206</f>
        <v>91.7846930744266</v>
      </c>
      <c r="I207" s="30" t="n">
        <f aca="false">I204/I206</f>
        <v>91.8388823404776</v>
      </c>
      <c r="J207" s="30" t="n">
        <f aca="false">J204/J206</f>
        <v>87.6640860103551</v>
      </c>
    </row>
    <row r="208" customFormat="false" ht="17.15" hidden="false" customHeight="false" outlineLevel="0" collapsed="false">
      <c r="A208" s="0" t="s">
        <v>654</v>
      </c>
      <c r="B208" s="0" t="s">
        <v>55</v>
      </c>
      <c r="D208" s="14" t="n">
        <f aca="false">D207/C207-1</f>
        <v>0.9721913624985</v>
      </c>
      <c r="E208" s="14" t="n">
        <f aca="false">E207/D207-1</f>
        <v>0.566491407158407</v>
      </c>
      <c r="F208" s="14" t="n">
        <f aca="false">F207/E207-1</f>
        <v>0.272822384040783</v>
      </c>
      <c r="G208" s="14" t="n">
        <f aca="false">G207/F207-1</f>
        <v>0.145710830357735</v>
      </c>
      <c r="H208" s="25" t="n">
        <f aca="false">H207/G207-1</f>
        <v>0.0463679199063061</v>
      </c>
      <c r="I208" s="25" t="n">
        <f aca="false">I207/H207-1</f>
        <v>0.000590395459589166</v>
      </c>
      <c r="J208" s="25" t="n">
        <f aca="false">J207/I207-1</f>
        <v>-0.0454578303190271</v>
      </c>
    </row>
    <row r="209" customFormat="false" ht="17.15" hidden="false" customHeight="false" outlineLevel="0" collapsed="false">
      <c r="A209" s="3" t="s">
        <v>655</v>
      </c>
      <c r="B209" s="0" t="s">
        <v>55</v>
      </c>
      <c r="C209" s="14" t="n">
        <f aca="false">C204/C181</f>
        <v>0.160105992933804</v>
      </c>
      <c r="D209" s="14" t="n">
        <f aca="false">D204/D181</f>
        <v>0.186872140996471</v>
      </c>
      <c r="E209" s="14" t="n">
        <f aca="false">E204/E181</f>
        <v>0.204212209306515</v>
      </c>
      <c r="F209" s="14" t="n">
        <f aca="false">F204/F181</f>
        <v>0.206544459156587</v>
      </c>
      <c r="G209" s="14" t="n">
        <f aca="false">G204/G181</f>
        <v>0.203741541072783</v>
      </c>
      <c r="H209" s="25" t="n">
        <f aca="false">$G209+(fade_mB-$G209)*1/3</f>
        <v>0.190764372872009</v>
      </c>
      <c r="I209" s="25" t="n">
        <f aca="false">$G209+(fade_mB-$G209)*2/3</f>
        <v>0.177787204671235</v>
      </c>
      <c r="J209" s="25" t="n">
        <f aca="false">$G209+(fade_mB-$G209)*3/3</f>
        <v>0.164810036470462</v>
      </c>
    </row>
    <row r="212" customFormat="false" ht="17.15" hidden="false" customHeight="false" outlineLevel="0" collapsed="false">
      <c r="A212" s="1" t="s">
        <v>993</v>
      </c>
    </row>
    <row r="213" customFormat="false" ht="17.15" hidden="false" customHeight="false" outlineLevel="0" collapsed="false">
      <c r="A213" s="4" t="s">
        <v>24</v>
      </c>
      <c r="B213" s="4" t="s">
        <v>25</v>
      </c>
      <c r="C213" s="15" t="s">
        <v>494</v>
      </c>
      <c r="D213" s="15" t="s">
        <v>583</v>
      </c>
      <c r="E213" s="15" t="s">
        <v>584</v>
      </c>
      <c r="F213" s="15" t="s">
        <v>585</v>
      </c>
      <c r="G213" s="15" t="s">
        <v>586</v>
      </c>
      <c r="H213" s="15" t="s">
        <v>587</v>
      </c>
      <c r="I213" s="15" t="s">
        <v>588</v>
      </c>
      <c r="J213" s="15" t="s">
        <v>589</v>
      </c>
      <c r="K213" s="4" t="s">
        <v>458</v>
      </c>
    </row>
    <row r="214" customFormat="false" ht="17.15" hidden="false" customHeight="false" outlineLevel="0" collapsed="false">
      <c r="A214" s="5" t="s">
        <v>605</v>
      </c>
    </row>
    <row r="215" customFormat="false" ht="17.15" hidden="false" customHeight="false" outlineLevel="0" collapsed="false">
      <c r="A215" s="0" t="s">
        <v>606</v>
      </c>
      <c r="B215" s="0" t="s">
        <v>35</v>
      </c>
      <c r="D215" s="23" t="n">
        <f aca="false">itc_26*1</f>
        <v>781.872916666666</v>
      </c>
      <c r="E215" s="23" t="n">
        <f aca="false">itc_27*1*1</f>
        <v>1565.35</v>
      </c>
      <c r="F215" s="23" t="n">
        <f aca="false">itc_28*um28_B*1</f>
        <v>1587.41111111111</v>
      </c>
      <c r="G215" s="23" t="n">
        <f aca="false">itc_29*um29_B*1</f>
        <v>1921.33173611111</v>
      </c>
    </row>
    <row r="216" customFormat="false" ht="17.15" hidden="false" customHeight="false" outlineLevel="0" collapsed="false">
      <c r="A216" s="3" t="s">
        <v>607</v>
      </c>
      <c r="B216" s="0" t="s">
        <v>35</v>
      </c>
      <c r="D216" s="23" t="n">
        <f aca="false">itpg_gb*(1-vr26)+itpg_vr*vr26</f>
        <v>33.41403216</v>
      </c>
      <c r="E216" s="23" t="n">
        <f aca="false">itpg_vr</f>
        <v>37.586352</v>
      </c>
      <c r="F216" s="23" t="n">
        <f aca="false">itpg_vr</f>
        <v>37.586352</v>
      </c>
      <c r="G216" s="23" t="n">
        <f aca="false">itpg_vr</f>
        <v>37.586352</v>
      </c>
    </row>
    <row r="217" customFormat="false" ht="17.15" hidden="false" customHeight="false" outlineLevel="0" collapsed="false">
      <c r="A217" s="3" t="s">
        <v>608</v>
      </c>
      <c r="B217" s="0" t="s">
        <v>549</v>
      </c>
      <c r="D217" s="20" t="n">
        <f aca="false">D215/D216</f>
        <v>23.3995380420639</v>
      </c>
      <c r="E217" s="20" t="n">
        <f aca="false">E215/E216</f>
        <v>41.6467658260637</v>
      </c>
      <c r="F217" s="20" t="n">
        <f aca="false">F215/F216</f>
        <v>42.2337105529984</v>
      </c>
      <c r="G217" s="20" t="n">
        <f aca="false">G215/G216</f>
        <v>51.1178029756948</v>
      </c>
    </row>
    <row r="218" customFormat="false" ht="17.15" hidden="false" customHeight="false" outlineLevel="0" collapsed="false">
      <c r="A218" s="3" t="s">
        <v>553</v>
      </c>
      <c r="B218" s="0" t="s">
        <v>96</v>
      </c>
      <c r="D218" s="21" t="n">
        <f aca="false">vg_cmp26</f>
        <v>280</v>
      </c>
      <c r="E218" s="21" t="n">
        <f aca="false">(vg_cmp26+(vg_cmp27-vg_cmp26)*pgwf)</f>
        <v>420</v>
      </c>
      <c r="F218" s="21" t="n">
        <f aca="false">(vg_cmp26+(vg_cmp28-vg_cmp26)*pgwf)</f>
        <v>462</v>
      </c>
      <c r="G218" s="21" t="n">
        <f aca="false">(vg_cmp26+(vg_cmp29-vg_cmp26)*pgwf)</f>
        <v>504</v>
      </c>
    </row>
    <row r="219" customFormat="false" ht="17.15" hidden="false" customHeight="false" outlineLevel="0" collapsed="false">
      <c r="A219" s="3" t="s">
        <v>555</v>
      </c>
      <c r="B219" s="0" t="s">
        <v>96</v>
      </c>
      <c r="D219" s="21" t="n">
        <f aca="false">vg_sw26</f>
        <v>120</v>
      </c>
      <c r="E219" s="21" t="n">
        <f aca="false">(vg_sw26+(vg_sw27-vg_sw26)*pgwf)</f>
        <v>162</v>
      </c>
      <c r="F219" s="21" t="n">
        <f aca="false">(vg_sw26+(vg_sw28-vg_sw26)*pgwf)</f>
        <v>180</v>
      </c>
      <c r="G219" s="21" t="n">
        <f aca="false">(vg_sw26+(vg_sw29-vg_sw26)*pgwf)</f>
        <v>198</v>
      </c>
    </row>
    <row r="220" customFormat="false" ht="17.15" hidden="false" customHeight="false" outlineLevel="0" collapsed="false">
      <c r="A220" s="3" t="s">
        <v>609</v>
      </c>
      <c r="B220" s="0" t="s">
        <v>96</v>
      </c>
      <c r="D220" s="21" t="n">
        <f aca="false">vg_mid26*w_mid_hi</f>
        <v>50</v>
      </c>
      <c r="E220" s="21" t="n">
        <f aca="false">(vg_mid26+(vg_mid27-vg_mid26)*pgwf)*w_mid_hi</f>
        <v>100</v>
      </c>
      <c r="F220" s="21" t="n">
        <f aca="false">(vg_mid26+(vg_mid28-vg_mid26)*pgwf)*w_mid_hi</f>
        <v>150</v>
      </c>
      <c r="G220" s="21" t="n">
        <f aca="false">(vg_mid26+(vg_mid29-vg_mid26)*pgwf)*w_mid_hi</f>
        <v>175</v>
      </c>
    </row>
    <row r="221" customFormat="false" ht="17.15" hidden="false" customHeight="false" outlineLevel="0" collapsed="false">
      <c r="A221" s="3" t="s">
        <v>610</v>
      </c>
      <c r="B221" s="0" t="s">
        <v>96</v>
      </c>
      <c r="D221" s="21" t="n">
        <f aca="false">D218+D219+D220</f>
        <v>450</v>
      </c>
      <c r="E221" s="21" t="n">
        <f aca="false">E218+E219+E220</f>
        <v>682</v>
      </c>
      <c r="F221" s="21" t="n">
        <f aca="false">F218+F219+F220</f>
        <v>792</v>
      </c>
      <c r="G221" s="21" t="n">
        <f aca="false">G218+G219+G220</f>
        <v>877</v>
      </c>
    </row>
    <row r="222" customFormat="false" ht="17.15" hidden="false" customHeight="false" outlineLevel="0" collapsed="false">
      <c r="A222" s="3" t="s">
        <v>611</v>
      </c>
      <c r="B222" s="0" t="s">
        <v>35</v>
      </c>
      <c r="D222" s="23" t="n">
        <f aca="false">D217*D221/1000</f>
        <v>10.5297921189287</v>
      </c>
      <c r="E222" s="23" t="n">
        <f aca="false">E217*E221/1000</f>
        <v>28.4030942933754</v>
      </c>
      <c r="F222" s="23" t="n">
        <f aca="false">F217*F221/1000</f>
        <v>33.4490987579747</v>
      </c>
      <c r="G222" s="23" t="n">
        <f aca="false">G217*G221/1000</f>
        <v>44.8303132096844</v>
      </c>
    </row>
    <row r="223" customFormat="false" ht="17.15" hidden="false" customHeight="false" outlineLevel="0" collapsed="false">
      <c r="A223" s="3" t="s">
        <v>612</v>
      </c>
      <c r="B223" s="0" t="s">
        <v>203</v>
      </c>
      <c r="D223" s="22" t="n">
        <f aca="false">D222*fx</f>
        <v>336.95334780572</v>
      </c>
      <c r="E223" s="22" t="n">
        <f aca="false">E222*fx</f>
        <v>908.899017388014</v>
      </c>
      <c r="F223" s="22" t="n">
        <f aca="false">F222*fx</f>
        <v>1070.37116025519</v>
      </c>
      <c r="G223" s="22" t="n">
        <f aca="false">G222*fx</f>
        <v>1434.5700227099</v>
      </c>
    </row>
    <row r="224" customFormat="false" ht="17.15" hidden="false" customHeight="false" outlineLevel="0" collapsed="false">
      <c r="A224" s="0" t="s">
        <v>613</v>
      </c>
      <c r="B224" s="0" t="s">
        <v>69</v>
      </c>
      <c r="D224" s="18" t="n">
        <f aca="false">1</f>
        <v>1</v>
      </c>
      <c r="E224" s="18" t="n">
        <f aca="false">pp_27</f>
        <v>1</v>
      </c>
      <c r="F224" s="18" t="n">
        <f aca="false">pp_28</f>
        <v>0.97</v>
      </c>
      <c r="G224" s="18" t="n">
        <f aca="false">pp_29</f>
        <v>0.94</v>
      </c>
    </row>
    <row r="225" customFormat="false" ht="17.15" hidden="false" customHeight="false" outlineLevel="0" collapsed="false">
      <c r="A225" s="3" t="s">
        <v>614</v>
      </c>
      <c r="B225" s="0" t="s">
        <v>55</v>
      </c>
      <c r="D225" s="14" t="n">
        <f aca="false">a26_ai/D223</f>
        <v>0.163239689880494</v>
      </c>
      <c r="K225" s="7" t="s">
        <v>615</v>
      </c>
    </row>
    <row r="226" customFormat="false" ht="17.15" hidden="false" customHeight="false" outlineLevel="0" collapsed="false">
      <c r="A226" s="3" t="s">
        <v>616</v>
      </c>
      <c r="B226" s="0" t="s">
        <v>69</v>
      </c>
      <c r="D226" s="18" t="n">
        <f aca="false">1</f>
        <v>1</v>
      </c>
      <c r="E226" s="18" t="n">
        <f aca="false">rel_27</f>
        <v>1</v>
      </c>
      <c r="F226" s="18" t="n">
        <f aca="false">rel_28</f>
        <v>0.95</v>
      </c>
      <c r="G226" s="18" t="n">
        <f aca="false">rel_29</f>
        <v>0.9</v>
      </c>
    </row>
    <row r="227" customFormat="false" ht="15" hidden="false" customHeight="false" outlineLevel="0" collapsed="false">
      <c r="A227" s="3" t="s">
        <v>565</v>
      </c>
      <c r="B227" s="0" t="s">
        <v>55</v>
      </c>
      <c r="D227" s="14" t="n">
        <f aca="false">$D$225*D226</f>
        <v>0.163239689880494</v>
      </c>
      <c r="E227" s="14" t="n">
        <f aca="false">$D$225*E226</f>
        <v>0.163239689880494</v>
      </c>
      <c r="F227" s="14" t="n">
        <f aca="false">$D$225*F226</f>
        <v>0.155077705386469</v>
      </c>
      <c r="G227" s="14" t="n">
        <f aca="false">$D$225*G226</f>
        <v>0.146915720892445</v>
      </c>
    </row>
    <row r="228" customFormat="false" ht="17.15" hidden="false" customHeight="false" outlineLevel="0" collapsed="false">
      <c r="A228" s="0" t="s">
        <v>617</v>
      </c>
      <c r="B228" s="0" t="s">
        <v>203</v>
      </c>
      <c r="D228" s="22" t="n">
        <f aca="false">D223*D227*D224</f>
        <v>55.00416</v>
      </c>
      <c r="E228" s="22" t="n">
        <f aca="false">E223*E227*E224</f>
        <v>148.368393731105</v>
      </c>
      <c r="F228" s="22" t="n">
        <f aca="false">F223*F227*F224</f>
        <v>161.010982340901</v>
      </c>
      <c r="G228" s="22" t="n">
        <f aca="false">G223*G227*G224</f>
        <v>198.115235713689</v>
      </c>
    </row>
    <row r="229" customFormat="false" ht="17.15" hidden="false" customHeight="false" outlineLevel="0" collapsed="false">
      <c r="A229" s="5" t="s">
        <v>618</v>
      </c>
    </row>
    <row r="230" customFormat="false" ht="17.15" hidden="false" customHeight="false" outlineLevel="0" collapsed="false">
      <c r="A230" s="3" t="s">
        <v>619</v>
      </c>
      <c r="B230" s="0" t="s">
        <v>69</v>
      </c>
      <c r="D230" s="18" t="n">
        <f aca="false">1</f>
        <v>1</v>
      </c>
      <c r="E230" s="18" t="n">
        <f aca="false">cx_27</f>
        <v>1.45</v>
      </c>
      <c r="F230" s="18" t="n">
        <f aca="false">cx_28</f>
        <v>1.9</v>
      </c>
      <c r="G230" s="18" t="n">
        <f aca="false">cx_29</f>
        <v>2.3</v>
      </c>
      <c r="K230" s="7" t="s">
        <v>620</v>
      </c>
    </row>
    <row r="231" customFormat="false" ht="17.15" hidden="false" customHeight="false" outlineLevel="0" collapsed="false">
      <c r="A231" s="3" t="s">
        <v>621</v>
      </c>
      <c r="B231" s="0" t="s">
        <v>203</v>
      </c>
      <c r="D231" s="22" t="n">
        <f aca="false">a26_rev*D230*D224</f>
        <v>105.40752</v>
      </c>
      <c r="E231" s="22" t="n">
        <f aca="false">a26_rev*E230*E224</f>
        <v>152.840904</v>
      </c>
      <c r="F231" s="22" t="n">
        <f aca="false">a26_rev*F230*F224</f>
        <v>194.26605936</v>
      </c>
      <c r="G231" s="22" t="n">
        <f aca="false">a26_rev*G230*G224</f>
        <v>227.89105824</v>
      </c>
    </row>
    <row r="232" customFormat="false" ht="17.15" hidden="false" customHeight="false" outlineLevel="0" collapsed="false">
      <c r="A232" s="3" t="s">
        <v>622</v>
      </c>
      <c r="B232" s="0" t="s">
        <v>203</v>
      </c>
      <c r="C232" s="22" t="n">
        <f aca="false">a25_nai</f>
        <v>42.0028</v>
      </c>
      <c r="D232" s="22" t="n">
        <f aca="false">a26_nai</f>
        <v>50.40336</v>
      </c>
      <c r="E232" s="22" t="n">
        <f aca="false">D232*(1+g_nai27)</f>
        <v>52.923528</v>
      </c>
      <c r="F232" s="22" t="n">
        <f aca="false">E232*(1+g_nai28)</f>
        <v>54.51123384</v>
      </c>
      <c r="G232" s="22" t="n">
        <f aca="false">F232*(1+g_nai29)</f>
        <v>56.1465708552</v>
      </c>
    </row>
    <row r="233" customFormat="false" ht="17.15" hidden="false" customHeight="false" outlineLevel="0" collapsed="false">
      <c r="A233" s="0" t="s">
        <v>623</v>
      </c>
      <c r="B233" s="0" t="s">
        <v>203</v>
      </c>
      <c r="C233" s="22" t="n">
        <f aca="false">a25_ai</f>
        <v>18.0012</v>
      </c>
      <c r="D233" s="22" t="n">
        <f aca="false">D228</f>
        <v>55.00416</v>
      </c>
      <c r="E233" s="22" t="n">
        <f aca="false">MIN(E228,E231-E232)</f>
        <v>99.917376</v>
      </c>
      <c r="F233" s="22" t="n">
        <f aca="false">MIN(F228,F231-F232)</f>
        <v>139.75482552</v>
      </c>
      <c r="G233" s="22" t="n">
        <f aca="false">MIN(G228,G231-G232)</f>
        <v>171.7444873848</v>
      </c>
      <c r="K233" s="3" t="s">
        <v>624</v>
      </c>
    </row>
    <row r="234" customFormat="false" ht="15" hidden="false" customHeight="false" outlineLevel="0" collapsed="false">
      <c r="A234" s="3" t="s">
        <v>625</v>
      </c>
      <c r="E234" s="0" t="str">
        <f aca="false">IF(E228&gt;E231-E232+0.0001,"受限","未受限")</f>
        <v>受限</v>
      </c>
      <c r="F234" s="0" t="str">
        <f aca="false">IF(F228&gt;F231-F232+0.0001,"受限","未受限")</f>
        <v>受限</v>
      </c>
      <c r="G234" s="0" t="str">
        <f aca="false">IF(G228&gt;G231-G232+0.0001,"受限","未受限")</f>
        <v>受限</v>
      </c>
    </row>
    <row r="235" customFormat="false" ht="17.15" hidden="false" customHeight="false" outlineLevel="0" collapsed="false">
      <c r="A235" s="3" t="s">
        <v>499</v>
      </c>
      <c r="B235" s="0" t="s">
        <v>203</v>
      </c>
      <c r="C235" s="22" t="n">
        <f aca="false">C233+C232</f>
        <v>60.004</v>
      </c>
      <c r="D235" s="22" t="n">
        <f aca="false">D233+D232</f>
        <v>105.40752</v>
      </c>
      <c r="E235" s="22" t="n">
        <f aca="false">E233+E232</f>
        <v>152.840904</v>
      </c>
      <c r="F235" s="22" t="n">
        <f aca="false">F233+F232</f>
        <v>194.26605936</v>
      </c>
      <c r="G235" s="22" t="n">
        <f aca="false">G233+G232</f>
        <v>227.89105824</v>
      </c>
      <c r="H235" s="24" t="n">
        <f aca="false">G235*(1+H236)</f>
        <v>257.226313072804</v>
      </c>
      <c r="I235" s="24" t="n">
        <f aca="false">H235*(1+I236)</f>
        <v>278.92655569709</v>
      </c>
      <c r="J235" s="24" t="n">
        <f aca="false">I235*(1+J236)</f>
        <v>290.083617924974</v>
      </c>
      <c r="K235" s="7" t="s">
        <v>626</v>
      </c>
    </row>
    <row r="236" customFormat="false" ht="15" hidden="false" customHeight="false" outlineLevel="0" collapsed="false">
      <c r="A236" s="3" t="s">
        <v>627</v>
      </c>
      <c r="B236" s="0" t="s">
        <v>55</v>
      </c>
      <c r="D236" s="14" t="n">
        <f aca="false">D235/C235-1</f>
        <v>0.756674888340778</v>
      </c>
      <c r="E236" s="14" t="n">
        <f aca="false">E235/D235-1</f>
        <v>0.45</v>
      </c>
      <c r="F236" s="14" t="n">
        <f aca="false">F235/E235-1</f>
        <v>0.271034482758621</v>
      </c>
      <c r="G236" s="14" t="n">
        <f aca="false">G235/F235-1</f>
        <v>0.173087357569181</v>
      </c>
      <c r="H236" s="25" t="n">
        <f aca="false">$G236+(fade_gB-$G236)*1/3</f>
        <v>0.12872490504612</v>
      </c>
      <c r="I236" s="25" t="n">
        <f aca="false">$G236+(fade_gB-$G236)*2/3</f>
        <v>0.0843624525230602</v>
      </c>
      <c r="J236" s="25" t="n">
        <f aca="false">$G236+(fade_gB-$G236)*3/3</f>
        <v>0.04</v>
      </c>
    </row>
    <row r="237" customFormat="false" ht="17.15" hidden="false" customHeight="false" outlineLevel="0" collapsed="false">
      <c r="A237" s="3" t="s">
        <v>628</v>
      </c>
      <c r="B237" s="0" t="s">
        <v>203</v>
      </c>
      <c r="D237" s="22" t="n">
        <f aca="false">D233*(D218+D220)/D221</f>
        <v>40.336384</v>
      </c>
      <c r="E237" s="22" t="n">
        <f aca="false">E233*(E218+E220)/E221</f>
        <v>76.1833365395894</v>
      </c>
      <c r="F237" s="22" t="n">
        <f aca="false">F233*(F218+F220)/F221</f>
        <v>107.992365174545</v>
      </c>
      <c r="G237" s="22" t="n">
        <f aca="false">G233*(G218+G220)/G221</f>
        <v>132.969791259155</v>
      </c>
      <c r="K237" s="7" t="s">
        <v>629</v>
      </c>
    </row>
    <row r="238" customFormat="false" ht="17.15" hidden="false" customHeight="false" outlineLevel="0" collapsed="false">
      <c r="A238" s="3" t="s">
        <v>630</v>
      </c>
      <c r="B238" s="0" t="s">
        <v>203</v>
      </c>
      <c r="D238" s="22" t="n">
        <f aca="false">D233*D219/D221</f>
        <v>14.667776</v>
      </c>
      <c r="E238" s="22" t="n">
        <f aca="false">E233*E219/E221</f>
        <v>23.7340394604106</v>
      </c>
      <c r="F238" s="22" t="n">
        <f aca="false">F233*F219/F221</f>
        <v>31.7624603454545</v>
      </c>
      <c r="G238" s="22" t="n">
        <f aca="false">G233*G219/G221</f>
        <v>38.7746961256447</v>
      </c>
    </row>
    <row r="239" customFormat="false" ht="17.15" hidden="false" customHeight="false" outlineLevel="0" collapsed="false">
      <c r="A239" s="3" t="s">
        <v>631</v>
      </c>
      <c r="B239" s="0" t="s">
        <v>203</v>
      </c>
      <c r="D239" s="22" t="n">
        <f aca="false">srv26*D235-D237</f>
        <v>41.8814816</v>
      </c>
      <c r="E239" s="22" t="n">
        <f aca="false">E232*$D239/$D232</f>
        <v>43.97555568</v>
      </c>
      <c r="F239" s="22" t="n">
        <f aca="false">F232*$D239/$D232</f>
        <v>45.2948223504</v>
      </c>
      <c r="G239" s="22" t="n">
        <f aca="false">G232*$D239/$D232</f>
        <v>46.653667020912</v>
      </c>
      <c r="K239" s="7" t="s">
        <v>632</v>
      </c>
    </row>
    <row r="240" customFormat="false" ht="17.15" hidden="false" customHeight="false" outlineLevel="0" collapsed="false">
      <c r="A240" s="3" t="s">
        <v>633</v>
      </c>
      <c r="B240" s="0" t="s">
        <v>203</v>
      </c>
      <c r="D240" s="22" t="n">
        <f aca="false">net26*D235-D238</f>
        <v>1.143352</v>
      </c>
      <c r="E240" s="22" t="n">
        <f aca="false">E232*$D240/$D232</f>
        <v>1.2005196</v>
      </c>
      <c r="F240" s="22" t="n">
        <f aca="false">F232*$D240/$D232</f>
        <v>1.236535188</v>
      </c>
      <c r="G240" s="22" t="n">
        <f aca="false">G232*$D240/$D232</f>
        <v>1.27363124364</v>
      </c>
    </row>
    <row r="241" customFormat="false" ht="17.15" hidden="false" customHeight="false" outlineLevel="0" collapsed="false">
      <c r="A241" s="3" t="s">
        <v>634</v>
      </c>
      <c r="B241" s="0" t="s">
        <v>203</v>
      </c>
      <c r="C241" s="22" t="n">
        <f aca="false">srv25*C235</f>
        <v>48.0032</v>
      </c>
      <c r="D241" s="22" t="n">
        <f aca="false">D237+D239</f>
        <v>82.2178656</v>
      </c>
      <c r="E241" s="22" t="n">
        <f aca="false">E237+E239</f>
        <v>120.158892219589</v>
      </c>
      <c r="F241" s="22" t="n">
        <f aca="false">F237+F239</f>
        <v>153.287187524945</v>
      </c>
      <c r="G241" s="22" t="n">
        <f aca="false">G237+G239</f>
        <v>179.623458280067</v>
      </c>
      <c r="K241" s="3" t="s">
        <v>635</v>
      </c>
    </row>
    <row r="242" customFormat="false" ht="15" hidden="false" customHeight="false" outlineLevel="0" collapsed="false">
      <c r="A242" s="3" t="s">
        <v>636</v>
      </c>
      <c r="B242" s="0" t="s">
        <v>203</v>
      </c>
      <c r="C242" s="22" t="n">
        <f aca="false">net25*C235</f>
        <v>6.0004</v>
      </c>
      <c r="D242" s="22" t="n">
        <f aca="false">D238+D240</f>
        <v>15.811128</v>
      </c>
      <c r="E242" s="22" t="n">
        <f aca="false">E238+E240</f>
        <v>24.9345590604106</v>
      </c>
      <c r="F242" s="22" t="n">
        <f aca="false">F238+F240</f>
        <v>32.9989955334546</v>
      </c>
      <c r="G242" s="22" t="n">
        <f aca="false">G238+G240</f>
        <v>40.0483273692847</v>
      </c>
      <c r="K242" s="3" t="s">
        <v>637</v>
      </c>
    </row>
    <row r="243" customFormat="false" ht="15" hidden="false" customHeight="false" outlineLevel="0" collapsed="false">
      <c r="A243" s="3" t="s">
        <v>638</v>
      </c>
      <c r="B243" s="0" t="s">
        <v>203</v>
      </c>
      <c r="C243" s="22" t="n">
        <f aca="false">C235-C241-C242</f>
        <v>6.0004</v>
      </c>
      <c r="D243" s="22" t="n">
        <f aca="false">D235-D241-D242</f>
        <v>7.3785264</v>
      </c>
      <c r="E243" s="22" t="n">
        <f aca="false">E235-E241-E242</f>
        <v>7.74745271999999</v>
      </c>
      <c r="F243" s="22" t="n">
        <f aca="false">F235-F241-F242</f>
        <v>7.97987630159997</v>
      </c>
      <c r="G243" s="22" t="n">
        <f aca="false">G235-G241-G242</f>
        <v>8.21927259064799</v>
      </c>
      <c r="K243" s="3" t="s">
        <v>639</v>
      </c>
    </row>
    <row r="244" customFormat="false" ht="17.15" hidden="false" customHeight="false" outlineLevel="0" collapsed="false">
      <c r="A244" s="3" t="s">
        <v>640</v>
      </c>
      <c r="B244" s="0" t="s">
        <v>203</v>
      </c>
      <c r="C244" s="28" t="n">
        <f aca="false">C241+C242+C243-C235</f>
        <v>0</v>
      </c>
      <c r="D244" s="28" t="n">
        <f aca="false">ROUND(D239+D240+D243-D232,9)</f>
        <v>0</v>
      </c>
      <c r="E244" s="28" t="n">
        <f aca="false">ROUND(E239+E240+E243-E232,9)</f>
        <v>0</v>
      </c>
      <c r="F244" s="28" t="n">
        <f aca="false">ROUND(F239+F240+F243-F232,9)</f>
        <v>0</v>
      </c>
      <c r="G244" s="28" t="n">
        <f aca="false">ROUND(G239+G240+G243-G232,9)</f>
        <v>0</v>
      </c>
    </row>
    <row r="245" customFormat="false" ht="17.15" hidden="false" customHeight="false" outlineLevel="0" collapsed="false">
      <c r="A245" s="0" t="s">
        <v>641</v>
      </c>
      <c r="B245" s="0" t="s">
        <v>55</v>
      </c>
      <c r="C245" s="14" t="n">
        <f aca="false">C233/C235</f>
        <v>0.3</v>
      </c>
      <c r="D245" s="14" t="n">
        <f aca="false">D233/D235</f>
        <v>0.521823869871903</v>
      </c>
      <c r="E245" s="14" t="n">
        <f aca="false">E233/E235</f>
        <v>0.653734526458964</v>
      </c>
      <c r="F245" s="14" t="n">
        <f aca="false">F233/F235</f>
        <v>0.71939908587437</v>
      </c>
      <c r="G245" s="14" t="n">
        <f aca="false">G233/G235</f>
        <v>0.753625388864226</v>
      </c>
    </row>
    <row r="246" customFormat="false" ht="17.15" hidden="false" customHeight="false" outlineLevel="0" collapsed="false">
      <c r="A246" s="3" t="s">
        <v>642</v>
      </c>
      <c r="B246" s="0" t="s">
        <v>55</v>
      </c>
      <c r="D246" s="14" t="n">
        <f aca="false">(D228+D232)/D231</f>
        <v>1</v>
      </c>
      <c r="E246" s="14" t="n">
        <f aca="false">(E228+E232)/E231</f>
        <v>1.31700295184792</v>
      </c>
      <c r="F246" s="14" t="n">
        <f aca="false">(F228+F232)/F231</f>
        <v>1.10941775877335</v>
      </c>
      <c r="G246" s="14" t="n">
        <f aca="false">(G228+G232)/G231</f>
        <v>1.11571646791476</v>
      </c>
      <c r="K246" s="3" t="s">
        <v>643</v>
      </c>
    </row>
    <row r="247" customFormat="false" ht="17.15" hidden="false" customHeight="false" outlineLevel="0" collapsed="false">
      <c r="A247" s="3" t="s">
        <v>569</v>
      </c>
      <c r="B247" s="0" t="s">
        <v>96</v>
      </c>
      <c r="D247" s="21" t="n">
        <f aca="false">D233/fx/D217*1000</f>
        <v>73.4578604462224</v>
      </c>
      <c r="E247" s="21" t="n">
        <f aca="false">E233/fx/E217*1000</f>
        <v>74.9738410190283</v>
      </c>
      <c r="F247" s="21" t="n">
        <f aca="false">F233/fx/F217*1000</f>
        <v>103.408822959553</v>
      </c>
      <c r="G247" s="21" t="n">
        <f aca="false">G233/fx/G217*1000</f>
        <v>104.993073222002</v>
      </c>
    </row>
    <row r="248" customFormat="false" ht="17.15" hidden="false" customHeight="false" outlineLevel="0" collapsed="false">
      <c r="A248" s="5" t="s">
        <v>644</v>
      </c>
    </row>
    <row r="249" customFormat="false" ht="17.15" hidden="false" customHeight="false" outlineLevel="0" collapsed="false">
      <c r="A249" s="3" t="s">
        <v>645</v>
      </c>
      <c r="B249" s="0" t="s">
        <v>55</v>
      </c>
      <c r="D249" s="14" t="n">
        <f aca="false">a26_gp/D235-d_ai*D245</f>
        <v>0.296655205435058</v>
      </c>
      <c r="K249" s="7" t="s">
        <v>646</v>
      </c>
    </row>
    <row r="250" customFormat="false" ht="17.15" hidden="false" customHeight="false" outlineLevel="0" collapsed="false">
      <c r="A250" s="0" t="s">
        <v>647</v>
      </c>
      <c r="B250" s="0" t="s">
        <v>55</v>
      </c>
      <c r="D250" s="14" t="n">
        <f aca="false">D249+d_ai</f>
        <v>0.396655205435058</v>
      </c>
      <c r="E250" s="14" t="n">
        <f aca="false">1-(1-$D$250)/E224+gmu_27</f>
        <v>0.406655205435058</v>
      </c>
      <c r="F250" s="14" t="n">
        <f aca="false">1-(1-$D$250)/F224+gmu_28</f>
        <v>0.392995057149545</v>
      </c>
      <c r="G250" s="14" t="n">
        <f aca="false">1-(1-$D$250)/G224+gmu_29</f>
        <v>0.378143835569211</v>
      </c>
      <c r="K250" s="7" t="s">
        <v>648</v>
      </c>
    </row>
    <row r="251" customFormat="false" ht="15" hidden="false" customHeight="false" outlineLevel="0" collapsed="false">
      <c r="A251" s="3" t="s">
        <v>503</v>
      </c>
      <c r="B251" s="0" t="s">
        <v>203</v>
      </c>
      <c r="C251" s="22" t="n">
        <f aca="false">a25_gp</f>
        <v>19.683</v>
      </c>
      <c r="D251" s="22" t="n">
        <f aca="false">a26_gp</f>
        <v>36.7701055</v>
      </c>
      <c r="E251" s="22" t="n">
        <f aca="false">E233*E250+E232*$D$249</f>
        <v>56.331961135</v>
      </c>
      <c r="F251" s="22" t="n">
        <f aca="false">F233*F250+F232*$D$249</f>
        <v>71.0939969154807</v>
      </c>
      <c r="G251" s="22" t="n">
        <f aca="false">G233*G250+G232*$D$249</f>
        <v>81.6002917090796</v>
      </c>
    </row>
    <row r="252" customFormat="false" ht="15" hidden="false" customHeight="false" outlineLevel="0" collapsed="false">
      <c r="A252" s="3" t="s">
        <v>506</v>
      </c>
      <c r="B252" s="0" t="s">
        <v>55</v>
      </c>
      <c r="C252" s="14" t="n">
        <f aca="false">C251/C235</f>
        <v>0.328028131457903</v>
      </c>
      <c r="D252" s="14" t="n">
        <f aca="false">D251/D235</f>
        <v>0.348837592422248</v>
      </c>
      <c r="E252" s="14" t="n">
        <f aca="false">E251/E235</f>
        <v>0.368566003345544</v>
      </c>
      <c r="F252" s="14" t="n">
        <f aca="false">F251/F235</f>
        <v>0.365962006691732</v>
      </c>
      <c r="G252" s="14" t="n">
        <f aca="false">G251/G235</f>
        <v>0.358067106007922</v>
      </c>
    </row>
    <row r="253" customFormat="false" ht="15" hidden="false" customHeight="false" outlineLevel="0" collapsed="false">
      <c r="A253" s="3" t="s">
        <v>649</v>
      </c>
      <c r="B253" s="0" t="s">
        <v>203</v>
      </c>
      <c r="C253" s="22" t="n">
        <f aca="false">a25_opx</f>
        <v>5.64</v>
      </c>
      <c r="D253" s="22" t="n">
        <f aca="false">a26_opx</f>
        <v>8.4779754</v>
      </c>
      <c r="E253" s="22" t="n">
        <f aca="false">D253*(1+MAX(0,phi*E236))</f>
        <v>10.767028758</v>
      </c>
      <c r="F253" s="22" t="n">
        <f aca="false">E253*(1+MAX(0,phi*F236))</f>
        <v>12.517970400163</v>
      </c>
      <c r="G253" s="22" t="n">
        <f aca="false">F253*(1+MAX(0,phi*G236))</f>
        <v>13.8179918513791</v>
      </c>
    </row>
    <row r="254" customFormat="false" ht="15" hidden="false" customHeight="false" outlineLevel="0" collapsed="false">
      <c r="A254" s="3" t="s">
        <v>508</v>
      </c>
      <c r="B254" s="0" t="s">
        <v>203</v>
      </c>
      <c r="C254" s="22" t="n">
        <f aca="false">C253</f>
        <v>5.64</v>
      </c>
      <c r="D254" s="22" t="n">
        <f aca="false">D253</f>
        <v>8.4779754</v>
      </c>
      <c r="E254" s="22" t="n">
        <f aca="false">E253+0*E235</f>
        <v>10.767028758</v>
      </c>
      <c r="F254" s="22" t="n">
        <f aca="false">F253+0*F235</f>
        <v>12.517970400163</v>
      </c>
      <c r="G254" s="22" t="n">
        <f aca="false">G253+0*G235</f>
        <v>13.8179918513791</v>
      </c>
    </row>
    <row r="255" customFormat="false" ht="15" hidden="false" customHeight="false" outlineLevel="0" collapsed="false">
      <c r="A255" s="3" t="s">
        <v>650</v>
      </c>
      <c r="B255" s="0" t="s">
        <v>203</v>
      </c>
      <c r="C255" s="22" t="n">
        <f aca="false">C251-C254</f>
        <v>14.043</v>
      </c>
      <c r="D255" s="22" t="n">
        <f aca="false">D251-D254</f>
        <v>28.2921301</v>
      </c>
      <c r="E255" s="22" t="n">
        <f aca="false">E251-E254</f>
        <v>45.564932377</v>
      </c>
      <c r="F255" s="22" t="n">
        <f aca="false">F251-F254</f>
        <v>58.5760265153177</v>
      </c>
      <c r="G255" s="22" t="n">
        <f aca="false">G251-G254</f>
        <v>67.7822998577005</v>
      </c>
    </row>
    <row r="256" customFormat="false" ht="15" hidden="false" customHeight="false" outlineLevel="0" collapsed="false">
      <c r="A256" s="3" t="s">
        <v>514</v>
      </c>
      <c r="B256" s="0" t="s">
        <v>55</v>
      </c>
      <c r="C256" s="14" t="n">
        <f aca="false">C255/C235</f>
        <v>0.23403439770682</v>
      </c>
      <c r="D256" s="14" t="n">
        <f aca="false">D255/D235</f>
        <v>0.268407131673338</v>
      </c>
      <c r="E256" s="14" t="n">
        <f aca="false">E255/E235</f>
        <v>0.298120013586154</v>
      </c>
      <c r="F256" s="14" t="n">
        <f aca="false">F255/F235</f>
        <v>0.301524757892828</v>
      </c>
      <c r="G256" s="14" t="n">
        <f aca="false">G255/G235</f>
        <v>0.297432906675595</v>
      </c>
    </row>
    <row r="257" customFormat="false" ht="17.15" hidden="false" customHeight="false" outlineLevel="0" collapsed="false">
      <c r="A257" s="3" t="s">
        <v>515</v>
      </c>
      <c r="B257" s="0" t="s">
        <v>203</v>
      </c>
      <c r="E257" s="22" t="n">
        <f aca="false">nop_f</f>
        <v>0</v>
      </c>
      <c r="F257" s="22" t="n">
        <f aca="false">nop_f</f>
        <v>0</v>
      </c>
      <c r="G257" s="22" t="n">
        <f aca="false">nop_f</f>
        <v>0</v>
      </c>
      <c r="K257" s="7" t="s">
        <v>651</v>
      </c>
    </row>
    <row r="258" customFormat="false" ht="15" hidden="false" customHeight="false" outlineLevel="0" collapsed="false">
      <c r="A258" s="3" t="s">
        <v>520</v>
      </c>
      <c r="B258" s="0" t="s">
        <v>203</v>
      </c>
      <c r="C258" s="22" t="n">
        <f aca="false">a25_ni</f>
        <v>9.607</v>
      </c>
      <c r="D258" s="22" t="n">
        <f aca="false">a26_ni</f>
        <v>19.6977289395284</v>
      </c>
      <c r="E258" s="22" t="n">
        <f aca="false">(E255+E257)*nir_f</f>
        <v>31.211978678245</v>
      </c>
      <c r="F258" s="22" t="n">
        <f aca="false">(F255+F257)*nir_f</f>
        <v>40.1245781629926</v>
      </c>
      <c r="G258" s="22" t="n">
        <f aca="false">(G255+G257)*nir_f</f>
        <v>46.4308754025249</v>
      </c>
      <c r="H258" s="24" t="n">
        <f aca="false">H235*H263</f>
        <v>49.0696162995125</v>
      </c>
      <c r="I258" s="24" t="n">
        <f aca="false">I235*I263</f>
        <v>49.5895726459613</v>
      </c>
      <c r="J258" s="24" t="n">
        <f aca="false">J235*J263</f>
        <v>47.8086916496984</v>
      </c>
    </row>
    <row r="259" customFormat="false" ht="17.15" hidden="false" customHeight="false" outlineLevel="0" collapsed="false">
      <c r="A259" s="3" t="s">
        <v>523</v>
      </c>
      <c r="B259" s="0" t="s">
        <v>55</v>
      </c>
      <c r="C259" s="14" t="n">
        <f aca="false">C258/C255</f>
        <v>0.684113081250445</v>
      </c>
      <c r="D259" s="14" t="n">
        <f aca="false">D258/D255</f>
        <v>0.696226437171953</v>
      </c>
      <c r="E259" s="14" t="n">
        <f aca="false">E258/E255</f>
        <v>0.685</v>
      </c>
      <c r="F259" s="14" t="n">
        <f aca="false">F258/F255</f>
        <v>0.685</v>
      </c>
      <c r="G259" s="14" t="n">
        <f aca="false">G258/G255</f>
        <v>0.685</v>
      </c>
    </row>
    <row r="260" customFormat="false" ht="17.15" hidden="false" customHeight="false" outlineLevel="0" collapsed="false">
      <c r="A260" s="3" t="s">
        <v>652</v>
      </c>
      <c r="B260" s="3" t="s">
        <v>233</v>
      </c>
      <c r="C260" s="27" t="n">
        <f aca="false">a25_sh</f>
        <v>0.493425783256292</v>
      </c>
      <c r="D260" s="27" t="n">
        <f aca="false">a26_sh</f>
        <v>0.512980850061958</v>
      </c>
      <c r="E260" s="27" t="n">
        <f aca="false">sh_h2*(1+sh_g)</f>
        <v>0.51889356</v>
      </c>
      <c r="F260" s="27" t="n">
        <f aca="false">E260*(1+sh_g)</f>
        <v>0.5240824956</v>
      </c>
      <c r="G260" s="27" t="n">
        <f aca="false">F260*(1+sh_g)</f>
        <v>0.529323320556</v>
      </c>
      <c r="H260" s="29" t="n">
        <f aca="false">G260*(1+sh_g)</f>
        <v>0.53461655376156</v>
      </c>
      <c r="I260" s="29" t="n">
        <f aca="false">H260*(1+sh_g)</f>
        <v>0.539962719299176</v>
      </c>
      <c r="J260" s="29" t="n">
        <f aca="false">I260*(1+sh_g)</f>
        <v>0.545362346492167</v>
      </c>
      <c r="K260" s="7" t="s">
        <v>653</v>
      </c>
    </row>
    <row r="261" customFormat="false" ht="15" hidden="false" customHeight="false" outlineLevel="0" collapsed="false">
      <c r="A261" s="0" t="s">
        <v>526</v>
      </c>
      <c r="B261" s="0" t="s">
        <v>271</v>
      </c>
      <c r="C261" s="23" t="n">
        <f aca="false">C258/C260</f>
        <v>19.47</v>
      </c>
      <c r="D261" s="23" t="n">
        <f aca="false">D258/D260</f>
        <v>38.3985658278458</v>
      </c>
      <c r="E261" s="23" t="n">
        <f aca="false">E258/E260</f>
        <v>60.1510234165269</v>
      </c>
      <c r="F261" s="23" t="n">
        <f aca="false">F258/F260</f>
        <v>76.5615690275167</v>
      </c>
      <c r="G261" s="23" t="n">
        <f aca="false">G258/G260</f>
        <v>87.7174188240072</v>
      </c>
      <c r="H261" s="30" t="n">
        <f aca="false">H258/H260</f>
        <v>91.7846930744266</v>
      </c>
      <c r="I261" s="30" t="n">
        <f aca="false">I258/I260</f>
        <v>91.8388823404776</v>
      </c>
      <c r="J261" s="30" t="n">
        <f aca="false">J258/J260</f>
        <v>87.6640860103551</v>
      </c>
    </row>
    <row r="262" customFormat="false" ht="17.15" hidden="false" customHeight="false" outlineLevel="0" collapsed="false">
      <c r="A262" s="0" t="s">
        <v>654</v>
      </c>
      <c r="B262" s="0" t="s">
        <v>55</v>
      </c>
      <c r="D262" s="14" t="n">
        <f aca="false">D261/C261-1</f>
        <v>0.9721913624985</v>
      </c>
      <c r="E262" s="14" t="n">
        <f aca="false">E261/D261-1</f>
        <v>0.566491407158407</v>
      </c>
      <c r="F262" s="14" t="n">
        <f aca="false">F261/E261-1</f>
        <v>0.272822384040783</v>
      </c>
      <c r="G262" s="14" t="n">
        <f aca="false">G261/F261-1</f>
        <v>0.145710830357735</v>
      </c>
      <c r="H262" s="25" t="n">
        <f aca="false">H261/G261-1</f>
        <v>0.0463679199063061</v>
      </c>
      <c r="I262" s="25" t="n">
        <f aca="false">I261/H261-1</f>
        <v>0.000590395459589166</v>
      </c>
      <c r="J262" s="25" t="n">
        <f aca="false">J261/I261-1</f>
        <v>-0.0454578303190271</v>
      </c>
    </row>
    <row r="263" customFormat="false" ht="17.15" hidden="false" customHeight="false" outlineLevel="0" collapsed="false">
      <c r="A263" s="3" t="s">
        <v>655</v>
      </c>
      <c r="B263" s="0" t="s">
        <v>55</v>
      </c>
      <c r="C263" s="14" t="n">
        <f aca="false">C258/C235</f>
        <v>0.160105992933804</v>
      </c>
      <c r="D263" s="14" t="n">
        <f aca="false">D258/D235</f>
        <v>0.186872140996471</v>
      </c>
      <c r="E263" s="14" t="n">
        <f aca="false">E258/E235</f>
        <v>0.204212209306515</v>
      </c>
      <c r="F263" s="14" t="n">
        <f aca="false">F258/F235</f>
        <v>0.206544459156587</v>
      </c>
      <c r="G263" s="14" t="n">
        <f aca="false">G258/G235</f>
        <v>0.203741541072783</v>
      </c>
      <c r="H263" s="25" t="n">
        <f aca="false">$G263+(fade_mB-$G263)*1/3</f>
        <v>0.190764372872009</v>
      </c>
      <c r="I263" s="25" t="n">
        <f aca="false">$G263+(fade_mB-$G263)*2/3</f>
        <v>0.177787204671235</v>
      </c>
      <c r="J263" s="25" t="n">
        <f aca="false">$G263+(fade_mB-$G263)*3/3</f>
        <v>0.164810036470462</v>
      </c>
    </row>
    <row r="266" customFormat="false" ht="17.15" hidden="false" customHeight="false" outlineLevel="0" collapsed="false">
      <c r="A266" s="1" t="s">
        <v>994</v>
      </c>
    </row>
    <row r="267" customFormat="false" ht="17.15" hidden="false" customHeight="false" outlineLevel="0" collapsed="false">
      <c r="A267" s="4" t="s">
        <v>24</v>
      </c>
      <c r="B267" s="4" t="s">
        <v>25</v>
      </c>
      <c r="C267" s="15" t="s">
        <v>494</v>
      </c>
      <c r="D267" s="15" t="s">
        <v>583</v>
      </c>
      <c r="E267" s="15" t="s">
        <v>584</v>
      </c>
      <c r="F267" s="15" t="s">
        <v>585</v>
      </c>
      <c r="G267" s="15" t="s">
        <v>586</v>
      </c>
      <c r="H267" s="15" t="s">
        <v>587</v>
      </c>
      <c r="I267" s="15" t="s">
        <v>588</v>
      </c>
      <c r="J267" s="15" t="s">
        <v>589</v>
      </c>
      <c r="K267" s="4" t="s">
        <v>458</v>
      </c>
    </row>
    <row r="268" customFormat="false" ht="17.15" hidden="false" customHeight="false" outlineLevel="0" collapsed="false">
      <c r="A268" s="5" t="s">
        <v>605</v>
      </c>
    </row>
    <row r="269" customFormat="false" ht="17.15" hidden="false" customHeight="false" outlineLevel="0" collapsed="false">
      <c r="A269" s="0" t="s">
        <v>606</v>
      </c>
      <c r="B269" s="0" t="s">
        <v>35</v>
      </c>
      <c r="D269" s="23" t="n">
        <f aca="false">itc_26*1</f>
        <v>781.872916666666</v>
      </c>
      <c r="E269" s="23" t="n">
        <f aca="false">itc_27*1*1</f>
        <v>1565.35</v>
      </c>
      <c r="F269" s="23" t="n">
        <f aca="false">itc_28*um28_B*1</f>
        <v>1587.41111111111</v>
      </c>
      <c r="G269" s="23" t="n">
        <f aca="false">itc_29*um29_B*1</f>
        <v>1921.33173611111</v>
      </c>
    </row>
    <row r="270" customFormat="false" ht="17.15" hidden="false" customHeight="false" outlineLevel="0" collapsed="false">
      <c r="A270" s="3" t="s">
        <v>607</v>
      </c>
      <c r="B270" s="0" t="s">
        <v>35</v>
      </c>
      <c r="D270" s="23" t="n">
        <f aca="false">itpg_gb*(1-vr26)+itpg_vr*vr26</f>
        <v>33.41403216</v>
      </c>
      <c r="E270" s="23" t="n">
        <f aca="false">itpg_vr</f>
        <v>37.586352</v>
      </c>
      <c r="F270" s="23" t="n">
        <f aca="false">itpg_vr</f>
        <v>37.586352</v>
      </c>
      <c r="G270" s="23" t="n">
        <f aca="false">itpg_vr</f>
        <v>37.586352</v>
      </c>
    </row>
    <row r="271" customFormat="false" ht="17.15" hidden="false" customHeight="false" outlineLevel="0" collapsed="false">
      <c r="A271" s="3" t="s">
        <v>608</v>
      </c>
      <c r="B271" s="0" t="s">
        <v>549</v>
      </c>
      <c r="D271" s="20" t="n">
        <f aca="false">D269/D270</f>
        <v>23.3995380420639</v>
      </c>
      <c r="E271" s="20" t="n">
        <f aca="false">E269/E270</f>
        <v>41.6467658260637</v>
      </c>
      <c r="F271" s="20" t="n">
        <f aca="false">F269/F270</f>
        <v>42.2337105529984</v>
      </c>
      <c r="G271" s="20" t="n">
        <f aca="false">G269/G270</f>
        <v>51.1178029756948</v>
      </c>
    </row>
    <row r="272" customFormat="false" ht="17.15" hidden="false" customHeight="false" outlineLevel="0" collapsed="false">
      <c r="A272" s="3" t="s">
        <v>553</v>
      </c>
      <c r="B272" s="0" t="s">
        <v>96</v>
      </c>
      <c r="D272" s="21" t="n">
        <f aca="false">vg_cmp26</f>
        <v>280</v>
      </c>
      <c r="E272" s="21" t="n">
        <f aca="false">(vg_cmp26+(vg_cmp27-vg_cmp26)*pgwf)</f>
        <v>420</v>
      </c>
      <c r="F272" s="21" t="n">
        <f aca="false">(vg_cmp26+(vg_cmp28-vg_cmp26)*pgwf)</f>
        <v>462</v>
      </c>
      <c r="G272" s="21" t="n">
        <f aca="false">(vg_cmp26+(vg_cmp29-vg_cmp26)*pgwf)</f>
        <v>504</v>
      </c>
    </row>
    <row r="273" customFormat="false" ht="17.15" hidden="false" customHeight="false" outlineLevel="0" collapsed="false">
      <c r="A273" s="3" t="s">
        <v>555</v>
      </c>
      <c r="B273" s="0" t="s">
        <v>96</v>
      </c>
      <c r="D273" s="21" t="n">
        <f aca="false">vg_sw26</f>
        <v>120</v>
      </c>
      <c r="E273" s="21" t="n">
        <f aca="false">(vg_sw26+(vg_sw27-vg_sw26)*pgwf)</f>
        <v>162</v>
      </c>
      <c r="F273" s="21" t="n">
        <f aca="false">(vg_sw26+(vg_sw28-vg_sw26)*pgwf)</f>
        <v>180</v>
      </c>
      <c r="G273" s="21" t="n">
        <f aca="false">(vg_sw26+(vg_sw29-vg_sw26)*pgwf)</f>
        <v>198</v>
      </c>
    </row>
    <row r="274" customFormat="false" ht="17.15" hidden="false" customHeight="false" outlineLevel="0" collapsed="false">
      <c r="A274" s="3" t="s">
        <v>609</v>
      </c>
      <c r="B274" s="0" t="s">
        <v>96</v>
      </c>
      <c r="D274" s="21" t="n">
        <f aca="false">vg_mid26*w_mid</f>
        <v>25</v>
      </c>
      <c r="E274" s="21" t="n">
        <f aca="false">(vg_mid26+(vg_mid27-vg_mid26)*pgwf)*w_mid</f>
        <v>50</v>
      </c>
      <c r="F274" s="21" t="n">
        <f aca="false">(vg_mid26+(vg_mid28-vg_mid26)*pgwf)*w_mid</f>
        <v>75</v>
      </c>
      <c r="G274" s="21" t="n">
        <f aca="false">(vg_mid26+(vg_mid29-vg_mid26)*pgwf)*w_mid</f>
        <v>87.5</v>
      </c>
    </row>
    <row r="275" customFormat="false" ht="17.15" hidden="false" customHeight="false" outlineLevel="0" collapsed="false">
      <c r="A275" s="3" t="s">
        <v>610</v>
      </c>
      <c r="B275" s="0" t="s">
        <v>96</v>
      </c>
      <c r="D275" s="21" t="n">
        <f aca="false">D272+D273+D274</f>
        <v>425</v>
      </c>
      <c r="E275" s="21" t="n">
        <f aca="false">E272+E273+E274</f>
        <v>632</v>
      </c>
      <c r="F275" s="21" t="n">
        <f aca="false">F272+F273+F274</f>
        <v>717</v>
      </c>
      <c r="G275" s="21" t="n">
        <f aca="false">G272+G273+G274</f>
        <v>789.5</v>
      </c>
    </row>
    <row r="276" customFormat="false" ht="17.15" hidden="false" customHeight="false" outlineLevel="0" collapsed="false">
      <c r="A276" s="3" t="s">
        <v>611</v>
      </c>
      <c r="B276" s="0" t="s">
        <v>35</v>
      </c>
      <c r="D276" s="23" t="n">
        <f aca="false">D271*D275/1000</f>
        <v>9.94480366787715</v>
      </c>
      <c r="E276" s="23" t="n">
        <f aca="false">E271*E275/1000</f>
        <v>26.3207560020722</v>
      </c>
      <c r="F276" s="23" t="n">
        <f aca="false">F271*F275/1000</f>
        <v>30.2815704664998</v>
      </c>
      <c r="G276" s="23" t="n">
        <f aca="false">G271*G275/1000</f>
        <v>40.3575054493111</v>
      </c>
    </row>
    <row r="277" customFormat="false" ht="17.15" hidden="false" customHeight="false" outlineLevel="0" collapsed="false">
      <c r="A277" s="3" t="s">
        <v>612</v>
      </c>
      <c r="B277" s="0" t="s">
        <v>203</v>
      </c>
      <c r="D277" s="22" t="n">
        <f aca="false">D276*fx</f>
        <v>318.233717372069</v>
      </c>
      <c r="E277" s="22" t="n">
        <f aca="false">E276*fx</f>
        <v>842.264192066312</v>
      </c>
      <c r="F277" s="22" t="n">
        <f aca="false">F276*fx</f>
        <v>969.010254927995</v>
      </c>
      <c r="G277" s="22" t="n">
        <f aca="false">G276*fx</f>
        <v>1291.44017437795</v>
      </c>
    </row>
    <row r="278" customFormat="false" ht="17.15" hidden="false" customHeight="false" outlineLevel="0" collapsed="false">
      <c r="A278" s="0" t="s">
        <v>613</v>
      </c>
      <c r="B278" s="0" t="s">
        <v>69</v>
      </c>
      <c r="D278" s="18" t="n">
        <f aca="false">1</f>
        <v>1</v>
      </c>
      <c r="E278" s="18" t="n">
        <f aca="false">pp_27</f>
        <v>1</v>
      </c>
      <c r="F278" s="18" t="n">
        <f aca="false">pp_28</f>
        <v>0.97</v>
      </c>
      <c r="G278" s="18" t="n">
        <f aca="false">pp_29</f>
        <v>0.94</v>
      </c>
    </row>
    <row r="279" customFormat="false" ht="17.15" hidden="false" customHeight="false" outlineLevel="0" collapsed="false">
      <c r="A279" s="3" t="s">
        <v>614</v>
      </c>
      <c r="B279" s="0" t="s">
        <v>55</v>
      </c>
      <c r="D279" s="14" t="n">
        <f aca="false">a26_ai/D277</f>
        <v>0.172842024579347</v>
      </c>
      <c r="K279" s="7" t="s">
        <v>615</v>
      </c>
    </row>
    <row r="280" customFormat="false" ht="17.15" hidden="false" customHeight="false" outlineLevel="0" collapsed="false">
      <c r="A280" s="3" t="s">
        <v>616</v>
      </c>
      <c r="B280" s="0" t="s">
        <v>69</v>
      </c>
      <c r="D280" s="18" t="n">
        <f aca="false">1</f>
        <v>1</v>
      </c>
      <c r="E280" s="18" t="n">
        <f aca="false">RLO_27</f>
        <v>0.85</v>
      </c>
      <c r="F280" s="18" t="n">
        <f aca="false">RLO_28</f>
        <v>0.75</v>
      </c>
      <c r="G280" s="18" t="n">
        <f aca="false">RLO_29</f>
        <v>0.7</v>
      </c>
    </row>
    <row r="281" customFormat="false" ht="15" hidden="false" customHeight="false" outlineLevel="0" collapsed="false">
      <c r="A281" s="3" t="s">
        <v>565</v>
      </c>
      <c r="B281" s="0" t="s">
        <v>55</v>
      </c>
      <c r="D281" s="14" t="n">
        <f aca="false">$D$279*D280</f>
        <v>0.172842024579347</v>
      </c>
      <c r="E281" s="14" t="n">
        <f aca="false">$D$279*E280</f>
        <v>0.146915720892445</v>
      </c>
      <c r="F281" s="14" t="n">
        <f aca="false">$D$279*F280</f>
        <v>0.12963151843451</v>
      </c>
      <c r="G281" s="14" t="n">
        <f aca="false">$D$279*G280</f>
        <v>0.120989417205543</v>
      </c>
    </row>
    <row r="282" customFormat="false" ht="17.15" hidden="false" customHeight="false" outlineLevel="0" collapsed="false">
      <c r="A282" s="0" t="s">
        <v>617</v>
      </c>
      <c r="B282" s="0" t="s">
        <v>203</v>
      </c>
      <c r="D282" s="22" t="n">
        <f aca="false">D277*D281*D278</f>
        <v>55.00416</v>
      </c>
      <c r="E282" s="22" t="n">
        <f aca="false">E277*E281*E278</f>
        <v>123.741850959315</v>
      </c>
      <c r="F282" s="22" t="n">
        <f aca="false">F277*F281*F278</f>
        <v>121.84584260318</v>
      </c>
      <c r="G282" s="22" t="n">
        <f aca="false">G277*G281*G278</f>
        <v>146.875558410584</v>
      </c>
    </row>
    <row r="283" customFormat="false" ht="17.15" hidden="false" customHeight="false" outlineLevel="0" collapsed="false">
      <c r="A283" s="5" t="s">
        <v>618</v>
      </c>
    </row>
    <row r="284" customFormat="false" ht="17.15" hidden="false" customHeight="false" outlineLevel="0" collapsed="false">
      <c r="A284" s="3" t="s">
        <v>619</v>
      </c>
      <c r="B284" s="0" t="s">
        <v>69</v>
      </c>
      <c r="D284" s="18" t="n">
        <f aca="false">1</f>
        <v>1</v>
      </c>
      <c r="E284" s="18" t="n">
        <f aca="false">cx_27</f>
        <v>1.45</v>
      </c>
      <c r="F284" s="18" t="n">
        <f aca="false">cx_28</f>
        <v>1.9</v>
      </c>
      <c r="G284" s="18" t="n">
        <f aca="false">cx_29</f>
        <v>2.3</v>
      </c>
      <c r="K284" s="7" t="s">
        <v>620</v>
      </c>
    </row>
    <row r="285" customFormat="false" ht="17.15" hidden="false" customHeight="false" outlineLevel="0" collapsed="false">
      <c r="A285" s="3" t="s">
        <v>621</v>
      </c>
      <c r="B285" s="0" t="s">
        <v>203</v>
      </c>
      <c r="D285" s="22" t="n">
        <f aca="false">a26_rev*D284*D278</f>
        <v>105.40752</v>
      </c>
      <c r="E285" s="22" t="n">
        <f aca="false">a26_rev*E284*E278</f>
        <v>152.840904</v>
      </c>
      <c r="F285" s="22" t="n">
        <f aca="false">a26_rev*F284*F278</f>
        <v>194.26605936</v>
      </c>
      <c r="G285" s="22" t="n">
        <f aca="false">a26_rev*G284*G278</f>
        <v>227.89105824</v>
      </c>
    </row>
    <row r="286" customFormat="false" ht="17.15" hidden="false" customHeight="false" outlineLevel="0" collapsed="false">
      <c r="A286" s="3" t="s">
        <v>622</v>
      </c>
      <c r="B286" s="0" t="s">
        <v>203</v>
      </c>
      <c r="C286" s="22" t="n">
        <f aca="false">a25_nai</f>
        <v>42.0028</v>
      </c>
      <c r="D286" s="22" t="n">
        <f aca="false">a26_nai</f>
        <v>50.40336</v>
      </c>
      <c r="E286" s="22" t="n">
        <f aca="false">D286*(1+g_nai27)</f>
        <v>52.923528</v>
      </c>
      <c r="F286" s="22" t="n">
        <f aca="false">E286*(1+g_nai28)</f>
        <v>54.51123384</v>
      </c>
      <c r="G286" s="22" t="n">
        <f aca="false">F286*(1+g_nai29)</f>
        <v>56.1465708552</v>
      </c>
    </row>
    <row r="287" customFormat="false" ht="17.15" hidden="false" customHeight="false" outlineLevel="0" collapsed="false">
      <c r="A287" s="0" t="s">
        <v>623</v>
      </c>
      <c r="B287" s="0" t="s">
        <v>203</v>
      </c>
      <c r="C287" s="22" t="n">
        <f aca="false">a25_ai</f>
        <v>18.0012</v>
      </c>
      <c r="D287" s="22" t="n">
        <f aca="false">D282</f>
        <v>55.00416</v>
      </c>
      <c r="E287" s="22" t="n">
        <f aca="false">MIN(E282,E285-E286)</f>
        <v>99.917376</v>
      </c>
      <c r="F287" s="22" t="n">
        <f aca="false">MIN(F282,F285-F286)</f>
        <v>121.84584260318</v>
      </c>
      <c r="G287" s="22" t="n">
        <f aca="false">MIN(G282,G285-G286)</f>
        <v>146.875558410584</v>
      </c>
      <c r="K287" s="3" t="s">
        <v>624</v>
      </c>
    </row>
    <row r="288" customFormat="false" ht="15" hidden="false" customHeight="false" outlineLevel="0" collapsed="false">
      <c r="A288" s="3" t="s">
        <v>625</v>
      </c>
      <c r="E288" s="0" t="str">
        <f aca="false">IF(E282&gt;E285-E286+0.0001,"受限","未受限")</f>
        <v>受限</v>
      </c>
      <c r="F288" s="0" t="str">
        <f aca="false">IF(F282&gt;F285-F286+0.0001,"受限","未受限")</f>
        <v>未受限</v>
      </c>
      <c r="G288" s="0" t="str">
        <f aca="false">IF(G282&gt;G285-G286+0.0001,"受限","未受限")</f>
        <v>未受限</v>
      </c>
    </row>
    <row r="289" customFormat="false" ht="17.15" hidden="false" customHeight="false" outlineLevel="0" collapsed="false">
      <c r="A289" s="3" t="s">
        <v>499</v>
      </c>
      <c r="B289" s="0" t="s">
        <v>203</v>
      </c>
      <c r="C289" s="22" t="n">
        <f aca="false">C287+C286</f>
        <v>60.004</v>
      </c>
      <c r="D289" s="22" t="n">
        <f aca="false">D287+D286</f>
        <v>105.40752</v>
      </c>
      <c r="E289" s="22" t="n">
        <f aca="false">E287+E286</f>
        <v>152.840904</v>
      </c>
      <c r="F289" s="22" t="n">
        <f aca="false">F287+F286</f>
        <v>176.35707644318</v>
      </c>
      <c r="G289" s="22" t="n">
        <f aca="false">G287+G286</f>
        <v>203.022129265784</v>
      </c>
      <c r="H289" s="24" t="n">
        <f aca="false">G289*(1+H290)</f>
        <v>226.193616372385</v>
      </c>
      <c r="I289" s="24" t="n">
        <f aca="false">H289*(1+I290)</f>
        <v>243.625545777952</v>
      </c>
      <c r="J289" s="24" t="n">
        <f aca="false">I289*(1+J290)</f>
        <v>253.37056760907</v>
      </c>
      <c r="K289" s="7" t="s">
        <v>626</v>
      </c>
    </row>
    <row r="290" customFormat="false" ht="15" hidden="false" customHeight="false" outlineLevel="0" collapsed="false">
      <c r="A290" s="3" t="s">
        <v>627</v>
      </c>
      <c r="B290" s="0" t="s">
        <v>55</v>
      </c>
      <c r="D290" s="14" t="n">
        <f aca="false">D289/C289-1</f>
        <v>0.756674888340778</v>
      </c>
      <c r="E290" s="14" t="n">
        <f aca="false">E289/D289-1</f>
        <v>0.45</v>
      </c>
      <c r="F290" s="14" t="n">
        <f aca="false">F289/E289-1</f>
        <v>0.153860464232663</v>
      </c>
      <c r="G290" s="14" t="n">
        <f aca="false">G289/F289-1</f>
        <v>0.151199222398063</v>
      </c>
      <c r="H290" s="25" t="n">
        <f aca="false">$G290+(fade_gB-$G290)*1/3</f>
        <v>0.114132814932042</v>
      </c>
      <c r="I290" s="25" t="n">
        <f aca="false">$G290+(fade_gB-$G290)*2/3</f>
        <v>0.0770664074660208</v>
      </c>
      <c r="J290" s="25" t="n">
        <f aca="false">$G290+(fade_gB-$G290)*3/3</f>
        <v>0.04</v>
      </c>
    </row>
    <row r="291" customFormat="false" ht="17.15" hidden="false" customHeight="false" outlineLevel="0" collapsed="false">
      <c r="A291" s="3" t="s">
        <v>628</v>
      </c>
      <c r="B291" s="0" t="s">
        <v>203</v>
      </c>
      <c r="D291" s="22" t="n">
        <f aca="false">D287*(D272+D274)/D275</f>
        <v>39.4735736470588</v>
      </c>
      <c r="E291" s="22" t="n">
        <f aca="false">E287*(E272+E274)/E275</f>
        <v>74.3056435443038</v>
      </c>
      <c r="F291" s="22" t="n">
        <f aca="false">F287*(F272+F274)/F275</f>
        <v>91.2569281421305</v>
      </c>
      <c r="G291" s="22" t="n">
        <f aca="false">G287*(G272+G274)/G275</f>
        <v>110.04039619995</v>
      </c>
      <c r="K291" s="7" t="s">
        <v>629</v>
      </c>
    </row>
    <row r="292" customFormat="false" ht="17.15" hidden="false" customHeight="false" outlineLevel="0" collapsed="false">
      <c r="A292" s="3" t="s">
        <v>630</v>
      </c>
      <c r="B292" s="0" t="s">
        <v>203</v>
      </c>
      <c r="D292" s="22" t="n">
        <f aca="false">D287*D273/D275</f>
        <v>15.5305863529412</v>
      </c>
      <c r="E292" s="22" t="n">
        <f aca="false">E287*E273/E275</f>
        <v>25.6117324556962</v>
      </c>
      <c r="F292" s="22" t="n">
        <f aca="false">F287*F273/F275</f>
        <v>30.5889144610493</v>
      </c>
      <c r="G292" s="22" t="n">
        <f aca="false">G287*G273/G275</f>
        <v>36.8351622106342</v>
      </c>
    </row>
    <row r="293" customFormat="false" ht="17.15" hidden="false" customHeight="false" outlineLevel="0" collapsed="false">
      <c r="A293" s="3" t="s">
        <v>631</v>
      </c>
      <c r="B293" s="0" t="s">
        <v>203</v>
      </c>
      <c r="D293" s="22" t="n">
        <f aca="false">srv26*D289-D291</f>
        <v>42.7442919529412</v>
      </c>
      <c r="E293" s="22" t="n">
        <f aca="false">E286*$D293/$D286</f>
        <v>44.8815065505883</v>
      </c>
      <c r="F293" s="22" t="n">
        <f aca="false">F286*$D293/$D286</f>
        <v>46.2279517471059</v>
      </c>
      <c r="G293" s="22" t="n">
        <f aca="false">G286*$D293/$D286</f>
        <v>47.6147902995191</v>
      </c>
      <c r="K293" s="7" t="s">
        <v>632</v>
      </c>
    </row>
    <row r="294" customFormat="false" ht="17.15" hidden="false" customHeight="false" outlineLevel="0" collapsed="false">
      <c r="A294" s="3" t="s">
        <v>633</v>
      </c>
      <c r="B294" s="0" t="s">
        <v>203</v>
      </c>
      <c r="D294" s="22" t="n">
        <f aca="false">net26*D289-D292</f>
        <v>0.28054164705882</v>
      </c>
      <c r="E294" s="22" t="n">
        <f aca="false">E286*$D294/$D286</f>
        <v>0.294568729411761</v>
      </c>
      <c r="F294" s="22" t="n">
        <f aca="false">F286*$D294/$D286</f>
        <v>0.303405791294114</v>
      </c>
      <c r="G294" s="22" t="n">
        <f aca="false">G286*$D294/$D286</f>
        <v>0.312507965032938</v>
      </c>
    </row>
    <row r="295" customFormat="false" ht="17.15" hidden="false" customHeight="false" outlineLevel="0" collapsed="false">
      <c r="A295" s="3" t="s">
        <v>634</v>
      </c>
      <c r="B295" s="0" t="s">
        <v>203</v>
      </c>
      <c r="C295" s="22" t="n">
        <f aca="false">srv25*C289</f>
        <v>48.0032</v>
      </c>
      <c r="D295" s="22" t="n">
        <f aca="false">D291+D293</f>
        <v>82.2178656</v>
      </c>
      <c r="E295" s="22" t="n">
        <f aca="false">E291+E293</f>
        <v>119.187150094892</v>
      </c>
      <c r="F295" s="22" t="n">
        <f aca="false">F291+F293</f>
        <v>137.484879889236</v>
      </c>
      <c r="G295" s="22" t="n">
        <f aca="false">G291+G293</f>
        <v>157.655186499469</v>
      </c>
      <c r="K295" s="3" t="s">
        <v>635</v>
      </c>
    </row>
    <row r="296" customFormat="false" ht="15" hidden="false" customHeight="false" outlineLevel="0" collapsed="false">
      <c r="A296" s="3" t="s">
        <v>636</v>
      </c>
      <c r="B296" s="0" t="s">
        <v>203</v>
      </c>
      <c r="C296" s="22" t="n">
        <f aca="false">net25*C289</f>
        <v>6.0004</v>
      </c>
      <c r="D296" s="22" t="n">
        <f aca="false">D292+D294</f>
        <v>15.811128</v>
      </c>
      <c r="E296" s="22" t="n">
        <f aca="false">E292+E294</f>
        <v>25.906301185108</v>
      </c>
      <c r="F296" s="22" t="n">
        <f aca="false">F292+F294</f>
        <v>30.8923202523435</v>
      </c>
      <c r="G296" s="22" t="n">
        <f aca="false">G292+G294</f>
        <v>37.1476701756671</v>
      </c>
      <c r="K296" s="3" t="s">
        <v>637</v>
      </c>
    </row>
    <row r="297" customFormat="false" ht="15" hidden="false" customHeight="false" outlineLevel="0" collapsed="false">
      <c r="A297" s="3" t="s">
        <v>638</v>
      </c>
      <c r="B297" s="0" t="s">
        <v>203</v>
      </c>
      <c r="C297" s="22" t="n">
        <f aca="false">C289-C295-C296</f>
        <v>6.0004</v>
      </c>
      <c r="D297" s="22" t="n">
        <f aca="false">D289-D295-D296</f>
        <v>7.3785264</v>
      </c>
      <c r="E297" s="22" t="n">
        <f aca="false">E289-E295-E296</f>
        <v>7.74745271999998</v>
      </c>
      <c r="F297" s="22" t="n">
        <f aca="false">F289-F295-F296</f>
        <v>7.97987630159999</v>
      </c>
      <c r="G297" s="22" t="n">
        <f aca="false">G289-G295-G296</f>
        <v>8.21927259064798</v>
      </c>
      <c r="K297" s="3" t="s">
        <v>639</v>
      </c>
    </row>
    <row r="298" customFormat="false" ht="17.15" hidden="false" customHeight="false" outlineLevel="0" collapsed="false">
      <c r="A298" s="3" t="s">
        <v>640</v>
      </c>
      <c r="B298" s="0" t="s">
        <v>203</v>
      </c>
      <c r="C298" s="28" t="n">
        <f aca="false">C295+C296+C297-C289</f>
        <v>0</v>
      </c>
      <c r="D298" s="28" t="n">
        <f aca="false">ROUND(D293+D294+D297-D286,9)</f>
        <v>0</v>
      </c>
      <c r="E298" s="28" t="n">
        <f aca="false">ROUND(E293+E294+E297-E286,9)</f>
        <v>0</v>
      </c>
      <c r="F298" s="28" t="n">
        <f aca="false">ROUND(F293+F294+F297-F286,9)</f>
        <v>0</v>
      </c>
      <c r="G298" s="28" t="n">
        <f aca="false">ROUND(G293+G294+G297-G286,9)</f>
        <v>0</v>
      </c>
    </row>
    <row r="299" customFormat="false" ht="17.15" hidden="false" customHeight="false" outlineLevel="0" collapsed="false">
      <c r="A299" s="0" t="s">
        <v>641</v>
      </c>
      <c r="B299" s="0" t="s">
        <v>55</v>
      </c>
      <c r="C299" s="14" t="n">
        <f aca="false">C287/C289</f>
        <v>0.3</v>
      </c>
      <c r="D299" s="14" t="n">
        <f aca="false">D287/D289</f>
        <v>0.521823869871903</v>
      </c>
      <c r="E299" s="14" t="n">
        <f aca="false">E287/E289</f>
        <v>0.653734526458964</v>
      </c>
      <c r="F299" s="14" t="n">
        <f aca="false">F287/F289</f>
        <v>0.690904187462175</v>
      </c>
      <c r="G299" s="14" t="n">
        <f aca="false">G287/G289</f>
        <v>0.723446054584048</v>
      </c>
    </row>
    <row r="300" customFormat="false" ht="17.15" hidden="false" customHeight="false" outlineLevel="0" collapsed="false">
      <c r="A300" s="3" t="s">
        <v>642</v>
      </c>
      <c r="B300" s="0" t="s">
        <v>55</v>
      </c>
      <c r="D300" s="14" t="n">
        <f aca="false">(D282+D286)/D285</f>
        <v>1</v>
      </c>
      <c r="E300" s="14" t="n">
        <f aca="false">(E282+E286)/E285</f>
        <v>1.15587761087382</v>
      </c>
      <c r="F300" s="14" t="n">
        <f aca="false">(F282+F286)/F285</f>
        <v>0.907812085261726</v>
      </c>
      <c r="G300" s="14" t="n">
        <f aca="false">(G282+G286)/G285</f>
        <v>0.890873607914772</v>
      </c>
      <c r="K300" s="3" t="s">
        <v>643</v>
      </c>
    </row>
    <row r="301" customFormat="false" ht="17.15" hidden="false" customHeight="false" outlineLevel="0" collapsed="false">
      <c r="A301" s="3" t="s">
        <v>569</v>
      </c>
      <c r="B301" s="0" t="s">
        <v>96</v>
      </c>
      <c r="D301" s="21" t="n">
        <f aca="false">D287/fx/D271*1000</f>
        <v>73.4578604462224</v>
      </c>
      <c r="E301" s="21" t="n">
        <f aca="false">E287/fx/E271*1000</f>
        <v>74.9738410190283</v>
      </c>
      <c r="F301" s="21" t="n">
        <f aca="false">F287/fx/F271*1000</f>
        <v>90.1574247560174</v>
      </c>
      <c r="G301" s="21" t="n">
        <f aca="false">G287/fx/G271*1000</f>
        <v>89.7898761907494</v>
      </c>
    </row>
    <row r="302" customFormat="false" ht="17.15" hidden="false" customHeight="false" outlineLevel="0" collapsed="false">
      <c r="A302" s="5" t="s">
        <v>644</v>
      </c>
    </row>
    <row r="303" customFormat="false" ht="17.15" hidden="false" customHeight="false" outlineLevel="0" collapsed="false">
      <c r="A303" s="3" t="s">
        <v>645</v>
      </c>
      <c r="B303" s="0" t="s">
        <v>55</v>
      </c>
      <c r="D303" s="14" t="n">
        <f aca="false">a26_gp/D289-d_ai*D299</f>
        <v>0.296655205435058</v>
      </c>
      <c r="K303" s="7" t="s">
        <v>646</v>
      </c>
    </row>
    <row r="304" customFormat="false" ht="17.15" hidden="false" customHeight="false" outlineLevel="0" collapsed="false">
      <c r="A304" s="0" t="s">
        <v>647</v>
      </c>
      <c r="B304" s="0" t="s">
        <v>55</v>
      </c>
      <c r="D304" s="14" t="n">
        <f aca="false">D303+d_ai</f>
        <v>0.396655205435058</v>
      </c>
      <c r="E304" s="14" t="n">
        <f aca="false">1-(1-$D$304)/E278+gmu_27</f>
        <v>0.406655205435058</v>
      </c>
      <c r="F304" s="14" t="n">
        <f aca="false">1-(1-$D$304)/F278+gmu_28</f>
        <v>0.392995057149545</v>
      </c>
      <c r="G304" s="14" t="n">
        <f aca="false">1-(1-$D$304)/G278+gmu_29</f>
        <v>0.378143835569211</v>
      </c>
      <c r="K304" s="7" t="s">
        <v>648</v>
      </c>
    </row>
    <row r="305" customFormat="false" ht="15" hidden="false" customHeight="false" outlineLevel="0" collapsed="false">
      <c r="A305" s="3" t="s">
        <v>503</v>
      </c>
      <c r="B305" s="0" t="s">
        <v>203</v>
      </c>
      <c r="C305" s="22" t="n">
        <f aca="false">a25_gp</f>
        <v>19.683</v>
      </c>
      <c r="D305" s="22" t="n">
        <f aca="false">a26_gp</f>
        <v>36.7701055</v>
      </c>
      <c r="E305" s="22" t="n">
        <f aca="false">E287*E304+E286*$D$303</f>
        <v>56.331961135</v>
      </c>
      <c r="F305" s="22" t="n">
        <f aca="false">F287*F304+F286*$D$303</f>
        <v>64.0558551505948</v>
      </c>
      <c r="G305" s="22" t="n">
        <f aca="false">G287*G304+G286*$D$303</f>
        <v>72.1962595202714</v>
      </c>
    </row>
    <row r="306" customFormat="false" ht="15" hidden="false" customHeight="false" outlineLevel="0" collapsed="false">
      <c r="A306" s="3" t="s">
        <v>506</v>
      </c>
      <c r="B306" s="0" t="s">
        <v>55</v>
      </c>
      <c r="C306" s="14" t="n">
        <f aca="false">C305/C289</f>
        <v>0.328028131457903</v>
      </c>
      <c r="D306" s="14" t="n">
        <f aca="false">D305/D289</f>
        <v>0.348837592422248</v>
      </c>
      <c r="E306" s="14" t="n">
        <f aca="false">E305/E289</f>
        <v>0.368566003345544</v>
      </c>
      <c r="F306" s="14" t="n">
        <f aca="false">F305/F289</f>
        <v>0.363216812404082</v>
      </c>
      <c r="G306" s="14" t="n">
        <f aca="false">G305/G289</f>
        <v>0.35560783339907</v>
      </c>
    </row>
    <row r="307" customFormat="false" ht="15" hidden="false" customHeight="false" outlineLevel="0" collapsed="false">
      <c r="A307" s="3" t="s">
        <v>649</v>
      </c>
      <c r="B307" s="0" t="s">
        <v>203</v>
      </c>
      <c r="C307" s="22" t="n">
        <f aca="false">a25_opx</f>
        <v>5.64</v>
      </c>
      <c r="D307" s="22" t="n">
        <f aca="false">a26_opx</f>
        <v>8.4779754</v>
      </c>
      <c r="E307" s="22" t="n">
        <f aca="false">D307*(1+MAX(0,phi*E290))</f>
        <v>10.767028758</v>
      </c>
      <c r="F307" s="22" t="n">
        <f aca="false">E307*(1+MAX(0,phi*F290))</f>
        <v>11.7610007838674</v>
      </c>
      <c r="G307" s="22" t="n">
        <f aca="false">F307*(1+MAX(0,phi*G290))</f>
        <v>12.8279532877536</v>
      </c>
    </row>
    <row r="308" customFormat="false" ht="15" hidden="false" customHeight="false" outlineLevel="0" collapsed="false">
      <c r="A308" s="3" t="s">
        <v>508</v>
      </c>
      <c r="B308" s="0" t="s">
        <v>203</v>
      </c>
      <c r="C308" s="22" t="n">
        <f aca="false">C307</f>
        <v>5.64</v>
      </c>
      <c r="D308" s="22" t="n">
        <f aca="false">D307</f>
        <v>8.4779754</v>
      </c>
      <c r="E308" s="22" t="n">
        <f aca="false">E307+0*E289</f>
        <v>10.767028758</v>
      </c>
      <c r="F308" s="22" t="n">
        <f aca="false">F307+0*F289</f>
        <v>11.7610007838674</v>
      </c>
      <c r="G308" s="22" t="n">
        <f aca="false">G307+0*G289</f>
        <v>12.8279532877536</v>
      </c>
    </row>
    <row r="309" customFormat="false" ht="15" hidden="false" customHeight="false" outlineLevel="0" collapsed="false">
      <c r="A309" s="3" t="s">
        <v>650</v>
      </c>
      <c r="B309" s="0" t="s">
        <v>203</v>
      </c>
      <c r="C309" s="22" t="n">
        <f aca="false">C305-C308</f>
        <v>14.043</v>
      </c>
      <c r="D309" s="22" t="n">
        <f aca="false">D305-D308</f>
        <v>28.2921301</v>
      </c>
      <c r="E309" s="22" t="n">
        <f aca="false">E305-E308</f>
        <v>45.564932377</v>
      </c>
      <c r="F309" s="22" t="n">
        <f aca="false">F305-F308</f>
        <v>52.2948543667274</v>
      </c>
      <c r="G309" s="22" t="n">
        <f aca="false">G305-G308</f>
        <v>59.3683062325178</v>
      </c>
    </row>
    <row r="310" customFormat="false" ht="15" hidden="false" customHeight="false" outlineLevel="0" collapsed="false">
      <c r="A310" s="3" t="s">
        <v>514</v>
      </c>
      <c r="B310" s="0" t="s">
        <v>55</v>
      </c>
      <c r="C310" s="14" t="n">
        <f aca="false">C309/C289</f>
        <v>0.23403439770682</v>
      </c>
      <c r="D310" s="14" t="n">
        <f aca="false">D309/D289</f>
        <v>0.268407131673338</v>
      </c>
      <c r="E310" s="14" t="n">
        <f aca="false">E309/E289</f>
        <v>0.298120013586154</v>
      </c>
      <c r="F310" s="14" t="n">
        <f aca="false">F309/F289</f>
        <v>0.29652824497562</v>
      </c>
      <c r="G310" s="14" t="n">
        <f aca="false">G309/G289</f>
        <v>0.292422833152323</v>
      </c>
    </row>
    <row r="311" customFormat="false" ht="17.15" hidden="false" customHeight="false" outlineLevel="0" collapsed="false">
      <c r="A311" s="3" t="s">
        <v>515</v>
      </c>
      <c r="B311" s="0" t="s">
        <v>203</v>
      </c>
      <c r="E311" s="22" t="n">
        <f aca="false">nop_f</f>
        <v>0</v>
      </c>
      <c r="F311" s="22" t="n">
        <f aca="false">nop_f</f>
        <v>0</v>
      </c>
      <c r="G311" s="22" t="n">
        <f aca="false">nop_f</f>
        <v>0</v>
      </c>
      <c r="K311" s="7" t="s">
        <v>651</v>
      </c>
    </row>
    <row r="312" customFormat="false" ht="15" hidden="false" customHeight="false" outlineLevel="0" collapsed="false">
      <c r="A312" s="3" t="s">
        <v>520</v>
      </c>
      <c r="B312" s="0" t="s">
        <v>203</v>
      </c>
      <c r="C312" s="22" t="n">
        <f aca="false">a25_ni</f>
        <v>9.607</v>
      </c>
      <c r="D312" s="22" t="n">
        <f aca="false">a26_ni</f>
        <v>19.6977289395284</v>
      </c>
      <c r="E312" s="22" t="n">
        <f aca="false">(E309+E311)*nir_f</f>
        <v>31.211978678245</v>
      </c>
      <c r="F312" s="22" t="n">
        <f aca="false">(F309+F311)*nir_f</f>
        <v>35.8219752412083</v>
      </c>
      <c r="G312" s="22" t="n">
        <f aca="false">(G309+G311)*nir_f</f>
        <v>40.6672897692747</v>
      </c>
      <c r="H312" s="24" t="n">
        <f aca="false">H289*H317</f>
        <v>42.6321674054388</v>
      </c>
      <c r="I312" s="24" t="n">
        <f aca="false">I289*I317</f>
        <v>43.0348052373332</v>
      </c>
      <c r="J312" s="24" t="n">
        <f aca="false">J289*J317</f>
        <v>41.7580124881925</v>
      </c>
    </row>
    <row r="313" customFormat="false" ht="17.15" hidden="false" customHeight="false" outlineLevel="0" collapsed="false">
      <c r="A313" s="3" t="s">
        <v>523</v>
      </c>
      <c r="B313" s="0" t="s">
        <v>55</v>
      </c>
      <c r="C313" s="14" t="n">
        <f aca="false">C312/C309</f>
        <v>0.684113081250445</v>
      </c>
      <c r="D313" s="14" t="n">
        <f aca="false">D312/D309</f>
        <v>0.696226437171953</v>
      </c>
      <c r="E313" s="14" t="n">
        <f aca="false">E312/E309</f>
        <v>0.685</v>
      </c>
      <c r="F313" s="14" t="n">
        <f aca="false">F312/F309</f>
        <v>0.685</v>
      </c>
      <c r="G313" s="14" t="n">
        <f aca="false">G312/G309</f>
        <v>0.685</v>
      </c>
    </row>
    <row r="314" customFormat="false" ht="17.15" hidden="false" customHeight="false" outlineLevel="0" collapsed="false">
      <c r="A314" s="3" t="s">
        <v>652</v>
      </c>
      <c r="B314" s="3" t="s">
        <v>233</v>
      </c>
      <c r="C314" s="27" t="n">
        <f aca="false">a25_sh</f>
        <v>0.493425783256292</v>
      </c>
      <c r="D314" s="27" t="n">
        <f aca="false">a26_sh</f>
        <v>0.512980850061958</v>
      </c>
      <c r="E314" s="27" t="n">
        <f aca="false">sh_h2*(1+sh_g)</f>
        <v>0.51889356</v>
      </c>
      <c r="F314" s="27" t="n">
        <f aca="false">E314*(1+sh_g)</f>
        <v>0.5240824956</v>
      </c>
      <c r="G314" s="27" t="n">
        <f aca="false">F314*(1+sh_g)</f>
        <v>0.529323320556</v>
      </c>
      <c r="H314" s="29" t="n">
        <f aca="false">G314*(1+sh_g)</f>
        <v>0.53461655376156</v>
      </c>
      <c r="I314" s="29" t="n">
        <f aca="false">H314*(1+sh_g)</f>
        <v>0.539962719299176</v>
      </c>
      <c r="J314" s="29" t="n">
        <f aca="false">I314*(1+sh_g)</f>
        <v>0.545362346492167</v>
      </c>
      <c r="K314" s="7" t="s">
        <v>653</v>
      </c>
    </row>
    <row r="315" customFormat="false" ht="15" hidden="false" customHeight="false" outlineLevel="0" collapsed="false">
      <c r="A315" s="0" t="s">
        <v>526</v>
      </c>
      <c r="B315" s="0" t="s">
        <v>271</v>
      </c>
      <c r="C315" s="23" t="n">
        <f aca="false">C312/C314</f>
        <v>19.47</v>
      </c>
      <c r="D315" s="23" t="n">
        <f aca="false">D312/D314</f>
        <v>38.3985658278458</v>
      </c>
      <c r="E315" s="23" t="n">
        <f aca="false">E312/E314</f>
        <v>60.1510234165269</v>
      </c>
      <c r="F315" s="23" t="n">
        <f aca="false">F312/F314</f>
        <v>68.3517872509693</v>
      </c>
      <c r="G315" s="23" t="n">
        <f aca="false">G312/G314</f>
        <v>76.8288269002731</v>
      </c>
      <c r="H315" s="30" t="n">
        <f aca="false">H312/H314</f>
        <v>79.7434480946747</v>
      </c>
      <c r="I315" s="30" t="n">
        <f aca="false">I312/I314</f>
        <v>79.6995860995526</v>
      </c>
      <c r="J315" s="30" t="n">
        <f aca="false">J312/J314</f>
        <v>76.5692988465096</v>
      </c>
    </row>
    <row r="316" customFormat="false" ht="17.15" hidden="false" customHeight="false" outlineLevel="0" collapsed="false">
      <c r="A316" s="0" t="s">
        <v>654</v>
      </c>
      <c r="B316" s="0" t="s">
        <v>55</v>
      </c>
      <c r="D316" s="14" t="n">
        <f aca="false">D315/C315-1</f>
        <v>0.9721913624985</v>
      </c>
      <c r="E316" s="14" t="n">
        <f aca="false">E315/D315-1</f>
        <v>0.566491407158407</v>
      </c>
      <c r="F316" s="14" t="n">
        <f aca="false">F315/E315-1</f>
        <v>0.136336231183545</v>
      </c>
      <c r="G316" s="14" t="n">
        <f aca="false">G315/F315-1</f>
        <v>0.124020746058598</v>
      </c>
      <c r="H316" s="25" t="n">
        <f aca="false">H315/G315-1</f>
        <v>0.0379365573053054</v>
      </c>
      <c r="I316" s="25" t="n">
        <f aca="false">I315/H315-1</f>
        <v>-0.000550038857988655</v>
      </c>
      <c r="J316" s="25" t="n">
        <f aca="false">J315/I315-1</f>
        <v>-0.0392760791647405</v>
      </c>
    </row>
    <row r="317" customFormat="false" ht="17.15" hidden="false" customHeight="false" outlineLevel="0" collapsed="false">
      <c r="A317" s="3" t="s">
        <v>655</v>
      </c>
      <c r="B317" s="0" t="s">
        <v>55</v>
      </c>
      <c r="C317" s="14" t="n">
        <f aca="false">C312/C289</f>
        <v>0.160105992933804</v>
      </c>
      <c r="D317" s="14" t="n">
        <f aca="false">D312/D289</f>
        <v>0.186872140996471</v>
      </c>
      <c r="E317" s="14" t="n">
        <f aca="false">E312/E289</f>
        <v>0.204212209306515</v>
      </c>
      <c r="F317" s="14" t="n">
        <f aca="false">F312/F289</f>
        <v>0.2031218478083</v>
      </c>
      <c r="G317" s="14" t="n">
        <f aca="false">G312/G289</f>
        <v>0.200309640709341</v>
      </c>
      <c r="H317" s="25" t="n">
        <f aca="false">$G317+(fade_mB-$G317)*1/3</f>
        <v>0.188476439296381</v>
      </c>
      <c r="I317" s="25" t="n">
        <f aca="false">$G317+(fade_mB-$G317)*2/3</f>
        <v>0.176643237883422</v>
      </c>
      <c r="J317" s="25" t="n">
        <f aca="false">$G317+(fade_mB-$G317)*3/3</f>
        <v>0.164810036470462</v>
      </c>
    </row>
    <row r="320" customFormat="false" ht="17.15" hidden="false" customHeight="false" outlineLevel="0" collapsed="false">
      <c r="A320" s="1" t="s">
        <v>995</v>
      </c>
    </row>
    <row r="321" customFormat="false" ht="17.15" hidden="false" customHeight="false" outlineLevel="0" collapsed="false">
      <c r="A321" s="4" t="s">
        <v>24</v>
      </c>
      <c r="B321" s="4" t="s">
        <v>25</v>
      </c>
      <c r="C321" s="15" t="s">
        <v>494</v>
      </c>
      <c r="D321" s="15" t="s">
        <v>583</v>
      </c>
      <c r="E321" s="15" t="s">
        <v>584</v>
      </c>
      <c r="F321" s="15" t="s">
        <v>585</v>
      </c>
      <c r="G321" s="15" t="s">
        <v>586</v>
      </c>
      <c r="H321" s="15" t="s">
        <v>587</v>
      </c>
      <c r="I321" s="15" t="s">
        <v>588</v>
      </c>
      <c r="J321" s="15" t="s">
        <v>589</v>
      </c>
      <c r="K321" s="4" t="s">
        <v>458</v>
      </c>
    </row>
    <row r="322" customFormat="false" ht="17.15" hidden="false" customHeight="false" outlineLevel="0" collapsed="false">
      <c r="A322" s="5" t="s">
        <v>605</v>
      </c>
    </row>
    <row r="323" customFormat="false" ht="17.15" hidden="false" customHeight="false" outlineLevel="0" collapsed="false">
      <c r="A323" s="0" t="s">
        <v>606</v>
      </c>
      <c r="B323" s="0" t="s">
        <v>35</v>
      </c>
      <c r="D323" s="23" t="n">
        <f aca="false">itc_26*1</f>
        <v>781.872916666666</v>
      </c>
      <c r="E323" s="23" t="n">
        <f aca="false">itc_27*1*1</f>
        <v>1565.35</v>
      </c>
      <c r="F323" s="23" t="n">
        <f aca="false">itc_28*um28_B*1</f>
        <v>1587.41111111111</v>
      </c>
      <c r="G323" s="23" t="n">
        <f aca="false">itc_29*um29_B*1</f>
        <v>1921.33173611111</v>
      </c>
    </row>
    <row r="324" customFormat="false" ht="17.15" hidden="false" customHeight="false" outlineLevel="0" collapsed="false">
      <c r="A324" s="3" t="s">
        <v>607</v>
      </c>
      <c r="B324" s="0" t="s">
        <v>35</v>
      </c>
      <c r="D324" s="23" t="n">
        <f aca="false">itpg_gb*(1-vr26)+itpg_vr*vr26</f>
        <v>33.41403216</v>
      </c>
      <c r="E324" s="23" t="n">
        <f aca="false">itpg_vr</f>
        <v>37.586352</v>
      </c>
      <c r="F324" s="23" t="n">
        <f aca="false">itpg_vr</f>
        <v>37.586352</v>
      </c>
      <c r="G324" s="23" t="n">
        <f aca="false">itpg_vr</f>
        <v>37.586352</v>
      </c>
    </row>
    <row r="325" customFormat="false" ht="17.15" hidden="false" customHeight="false" outlineLevel="0" collapsed="false">
      <c r="A325" s="3" t="s">
        <v>608</v>
      </c>
      <c r="B325" s="0" t="s">
        <v>549</v>
      </c>
      <c r="D325" s="20" t="n">
        <f aca="false">D323/D324</f>
        <v>23.3995380420639</v>
      </c>
      <c r="E325" s="20" t="n">
        <f aca="false">E323/E324</f>
        <v>41.6467658260637</v>
      </c>
      <c r="F325" s="20" t="n">
        <f aca="false">F323/F324</f>
        <v>42.2337105529984</v>
      </c>
      <c r="G325" s="20" t="n">
        <f aca="false">G323/G324</f>
        <v>51.1178029756948</v>
      </c>
    </row>
    <row r="326" customFormat="false" ht="17.15" hidden="false" customHeight="false" outlineLevel="0" collapsed="false">
      <c r="A326" s="3" t="s">
        <v>553</v>
      </c>
      <c r="B326" s="0" t="s">
        <v>96</v>
      </c>
      <c r="D326" s="21" t="n">
        <f aca="false">vg_cmp26</f>
        <v>280</v>
      </c>
      <c r="E326" s="21" t="n">
        <f aca="false">(vg_cmp26+(vg_cmp27-vg_cmp26)*pgwf)</f>
        <v>420</v>
      </c>
      <c r="F326" s="21" t="n">
        <f aca="false">(vg_cmp26+(vg_cmp28-vg_cmp26)*pgwf)</f>
        <v>462</v>
      </c>
      <c r="G326" s="21" t="n">
        <f aca="false">(vg_cmp26+(vg_cmp29-vg_cmp26)*pgwf)</f>
        <v>504</v>
      </c>
    </row>
    <row r="327" customFormat="false" ht="17.15" hidden="false" customHeight="false" outlineLevel="0" collapsed="false">
      <c r="A327" s="3" t="s">
        <v>555</v>
      </c>
      <c r="B327" s="0" t="s">
        <v>96</v>
      </c>
      <c r="D327" s="21" t="n">
        <f aca="false">vg_sw26</f>
        <v>120</v>
      </c>
      <c r="E327" s="21" t="n">
        <f aca="false">(vg_sw26+(vg_sw27-vg_sw26)*pgwf)</f>
        <v>162</v>
      </c>
      <c r="F327" s="21" t="n">
        <f aca="false">(vg_sw26+(vg_sw28-vg_sw26)*pgwf)</f>
        <v>180</v>
      </c>
      <c r="G327" s="21" t="n">
        <f aca="false">(vg_sw26+(vg_sw29-vg_sw26)*pgwf)</f>
        <v>198</v>
      </c>
    </row>
    <row r="328" customFormat="false" ht="17.15" hidden="false" customHeight="false" outlineLevel="0" collapsed="false">
      <c r="A328" s="3" t="s">
        <v>609</v>
      </c>
      <c r="B328" s="0" t="s">
        <v>96</v>
      </c>
      <c r="D328" s="21" t="n">
        <f aca="false">vg_mid26*w_mid</f>
        <v>25</v>
      </c>
      <c r="E328" s="21" t="n">
        <f aca="false">(vg_mid26+(vg_mid27-vg_mid26)*pgwf)*w_mid</f>
        <v>50</v>
      </c>
      <c r="F328" s="21" t="n">
        <f aca="false">(vg_mid26+(vg_mid28-vg_mid26)*pgwf)*w_mid</f>
        <v>75</v>
      </c>
      <c r="G328" s="21" t="n">
        <f aca="false">(vg_mid26+(vg_mid29-vg_mid26)*pgwf)*w_mid</f>
        <v>87.5</v>
      </c>
    </row>
    <row r="329" customFormat="false" ht="17.15" hidden="false" customHeight="false" outlineLevel="0" collapsed="false">
      <c r="A329" s="3" t="s">
        <v>610</v>
      </c>
      <c r="B329" s="0" t="s">
        <v>96</v>
      </c>
      <c r="D329" s="21" t="n">
        <f aca="false">D326+D327+D328</f>
        <v>425</v>
      </c>
      <c r="E329" s="21" t="n">
        <f aca="false">E326+E327+E328</f>
        <v>632</v>
      </c>
      <c r="F329" s="21" t="n">
        <f aca="false">F326+F327+F328</f>
        <v>717</v>
      </c>
      <c r="G329" s="21" t="n">
        <f aca="false">G326+G327+G328</f>
        <v>789.5</v>
      </c>
    </row>
    <row r="330" customFormat="false" ht="17.15" hidden="false" customHeight="false" outlineLevel="0" collapsed="false">
      <c r="A330" s="3" t="s">
        <v>611</v>
      </c>
      <c r="B330" s="0" t="s">
        <v>35</v>
      </c>
      <c r="D330" s="23" t="n">
        <f aca="false">D325*D329/1000</f>
        <v>9.94480366787715</v>
      </c>
      <c r="E330" s="23" t="n">
        <f aca="false">E325*E329/1000</f>
        <v>26.3207560020722</v>
      </c>
      <c r="F330" s="23" t="n">
        <f aca="false">F325*F329/1000</f>
        <v>30.2815704664998</v>
      </c>
      <c r="G330" s="23" t="n">
        <f aca="false">G325*G329/1000</f>
        <v>40.3575054493111</v>
      </c>
    </row>
    <row r="331" customFormat="false" ht="17.15" hidden="false" customHeight="false" outlineLevel="0" collapsed="false">
      <c r="A331" s="3" t="s">
        <v>612</v>
      </c>
      <c r="B331" s="0" t="s">
        <v>203</v>
      </c>
      <c r="D331" s="22" t="n">
        <f aca="false">D330*fx</f>
        <v>318.233717372069</v>
      </c>
      <c r="E331" s="22" t="n">
        <f aca="false">E330*fx</f>
        <v>842.264192066312</v>
      </c>
      <c r="F331" s="22" t="n">
        <f aca="false">F330*fx</f>
        <v>969.010254927995</v>
      </c>
      <c r="G331" s="22" t="n">
        <f aca="false">G330*fx</f>
        <v>1291.44017437795</v>
      </c>
    </row>
    <row r="332" customFormat="false" ht="17.15" hidden="false" customHeight="false" outlineLevel="0" collapsed="false">
      <c r="A332" s="0" t="s">
        <v>613</v>
      </c>
      <c r="B332" s="0" t="s">
        <v>69</v>
      </c>
      <c r="D332" s="18" t="n">
        <f aca="false">1</f>
        <v>1</v>
      </c>
      <c r="E332" s="18" t="n">
        <f aca="false">pp_27</f>
        <v>1</v>
      </c>
      <c r="F332" s="18" t="n">
        <f aca="false">pp_28</f>
        <v>0.97</v>
      </c>
      <c r="G332" s="18" t="n">
        <f aca="false">pp_29</f>
        <v>0.94</v>
      </c>
    </row>
    <row r="333" customFormat="false" ht="17.15" hidden="false" customHeight="false" outlineLevel="0" collapsed="false">
      <c r="A333" s="3" t="s">
        <v>614</v>
      </c>
      <c r="B333" s="0" t="s">
        <v>55</v>
      </c>
      <c r="D333" s="14" t="n">
        <f aca="false">a26_ai/D331</f>
        <v>0.172842024579347</v>
      </c>
      <c r="K333" s="7" t="s">
        <v>615</v>
      </c>
    </row>
    <row r="334" customFormat="false" ht="17.15" hidden="false" customHeight="false" outlineLevel="0" collapsed="false">
      <c r="A334" s="3" t="s">
        <v>616</v>
      </c>
      <c r="B334" s="0" t="s">
        <v>69</v>
      </c>
      <c r="D334" s="18" t="n">
        <f aca="false">1</f>
        <v>1</v>
      </c>
      <c r="E334" s="18" t="n">
        <f aca="false">RHI_27</f>
        <v>1.08</v>
      </c>
      <c r="F334" s="18" t="n">
        <f aca="false">RHI_28</f>
        <v>1.08</v>
      </c>
      <c r="G334" s="18" t="n">
        <f aca="false">RHI_29</f>
        <v>1.05</v>
      </c>
    </row>
    <row r="335" customFormat="false" ht="15" hidden="false" customHeight="false" outlineLevel="0" collapsed="false">
      <c r="A335" s="3" t="s">
        <v>565</v>
      </c>
      <c r="B335" s="0" t="s">
        <v>55</v>
      </c>
      <c r="D335" s="14" t="n">
        <f aca="false">$D$333*D334</f>
        <v>0.172842024579347</v>
      </c>
      <c r="E335" s="14" t="n">
        <f aca="false">$D$333*E334</f>
        <v>0.186669386545695</v>
      </c>
      <c r="F335" s="14" t="n">
        <f aca="false">$D$333*F334</f>
        <v>0.186669386545695</v>
      </c>
      <c r="G335" s="14" t="n">
        <f aca="false">$D$333*G334</f>
        <v>0.181484125808314</v>
      </c>
    </row>
    <row r="336" customFormat="false" ht="17.15" hidden="false" customHeight="false" outlineLevel="0" collapsed="false">
      <c r="A336" s="0" t="s">
        <v>617</v>
      </c>
      <c r="B336" s="0" t="s">
        <v>203</v>
      </c>
      <c r="D336" s="22" t="n">
        <f aca="false">D331*D335*D332</f>
        <v>55.00416</v>
      </c>
      <c r="E336" s="22" t="n">
        <f aca="false">E331*E335*E332</f>
        <v>157.224940042423</v>
      </c>
      <c r="F336" s="22" t="n">
        <f aca="false">F331*F335*F332</f>
        <v>175.458013348579</v>
      </c>
      <c r="G336" s="22" t="n">
        <f aca="false">G331*G335*G332</f>
        <v>220.313337615877</v>
      </c>
    </row>
    <row r="337" customFormat="false" ht="17.15" hidden="false" customHeight="false" outlineLevel="0" collapsed="false">
      <c r="A337" s="5" t="s">
        <v>618</v>
      </c>
    </row>
    <row r="338" customFormat="false" ht="17.15" hidden="false" customHeight="false" outlineLevel="0" collapsed="false">
      <c r="A338" s="3" t="s">
        <v>619</v>
      </c>
      <c r="B338" s="0" t="s">
        <v>69</v>
      </c>
      <c r="D338" s="18" t="n">
        <f aca="false">1</f>
        <v>1</v>
      </c>
      <c r="E338" s="18" t="n">
        <f aca="false">cx_27</f>
        <v>1.45</v>
      </c>
      <c r="F338" s="18" t="n">
        <f aca="false">cx_28</f>
        <v>1.9</v>
      </c>
      <c r="G338" s="18" t="n">
        <f aca="false">cx_29</f>
        <v>2.3</v>
      </c>
      <c r="K338" s="7" t="s">
        <v>620</v>
      </c>
    </row>
    <row r="339" customFormat="false" ht="17.15" hidden="false" customHeight="false" outlineLevel="0" collapsed="false">
      <c r="A339" s="3" t="s">
        <v>621</v>
      </c>
      <c r="B339" s="0" t="s">
        <v>203</v>
      </c>
      <c r="D339" s="22" t="n">
        <f aca="false">a26_rev*D338*D332</f>
        <v>105.40752</v>
      </c>
      <c r="E339" s="22" t="n">
        <f aca="false">a26_rev*E338*E332</f>
        <v>152.840904</v>
      </c>
      <c r="F339" s="22" t="n">
        <f aca="false">a26_rev*F338*F332</f>
        <v>194.26605936</v>
      </c>
      <c r="G339" s="22" t="n">
        <f aca="false">a26_rev*G338*G332</f>
        <v>227.89105824</v>
      </c>
    </row>
    <row r="340" customFormat="false" ht="17.15" hidden="false" customHeight="false" outlineLevel="0" collapsed="false">
      <c r="A340" s="3" t="s">
        <v>622</v>
      </c>
      <c r="B340" s="0" t="s">
        <v>203</v>
      </c>
      <c r="C340" s="22" t="n">
        <f aca="false">a25_nai</f>
        <v>42.0028</v>
      </c>
      <c r="D340" s="22" t="n">
        <f aca="false">a26_nai</f>
        <v>50.40336</v>
      </c>
      <c r="E340" s="22" t="n">
        <f aca="false">D340*(1+g_nai27)</f>
        <v>52.923528</v>
      </c>
      <c r="F340" s="22" t="n">
        <f aca="false">E340*(1+g_nai28)</f>
        <v>54.51123384</v>
      </c>
      <c r="G340" s="22" t="n">
        <f aca="false">F340*(1+g_nai29)</f>
        <v>56.1465708552</v>
      </c>
    </row>
    <row r="341" customFormat="false" ht="17.15" hidden="false" customHeight="false" outlineLevel="0" collapsed="false">
      <c r="A341" s="0" t="s">
        <v>623</v>
      </c>
      <c r="B341" s="0" t="s">
        <v>203</v>
      </c>
      <c r="C341" s="22" t="n">
        <f aca="false">a25_ai</f>
        <v>18.0012</v>
      </c>
      <c r="D341" s="22" t="n">
        <f aca="false">D336</f>
        <v>55.00416</v>
      </c>
      <c r="E341" s="22" t="n">
        <f aca="false">MIN(E336,E339-E340)</f>
        <v>99.917376</v>
      </c>
      <c r="F341" s="22" t="n">
        <f aca="false">MIN(F336,F339-F340)</f>
        <v>139.75482552</v>
      </c>
      <c r="G341" s="22" t="n">
        <f aca="false">MIN(G336,G339-G340)</f>
        <v>171.7444873848</v>
      </c>
      <c r="K341" s="3" t="s">
        <v>624</v>
      </c>
    </row>
    <row r="342" customFormat="false" ht="15" hidden="false" customHeight="false" outlineLevel="0" collapsed="false">
      <c r="A342" s="3" t="s">
        <v>625</v>
      </c>
      <c r="E342" s="0" t="str">
        <f aca="false">IF(E336&gt;E339-E340+0.0001,"受限","未受限")</f>
        <v>受限</v>
      </c>
      <c r="F342" s="0" t="str">
        <f aca="false">IF(F336&gt;F339-F340+0.0001,"受限","未受限")</f>
        <v>受限</v>
      </c>
      <c r="G342" s="0" t="str">
        <f aca="false">IF(G336&gt;G339-G340+0.0001,"受限","未受限")</f>
        <v>受限</v>
      </c>
    </row>
    <row r="343" customFormat="false" ht="17.15" hidden="false" customHeight="false" outlineLevel="0" collapsed="false">
      <c r="A343" s="3" t="s">
        <v>499</v>
      </c>
      <c r="B343" s="0" t="s">
        <v>203</v>
      </c>
      <c r="C343" s="22" t="n">
        <f aca="false">C341+C340</f>
        <v>60.004</v>
      </c>
      <c r="D343" s="22" t="n">
        <f aca="false">D341+D340</f>
        <v>105.40752</v>
      </c>
      <c r="E343" s="22" t="n">
        <f aca="false">E341+E340</f>
        <v>152.840904</v>
      </c>
      <c r="F343" s="22" t="n">
        <f aca="false">F341+F340</f>
        <v>194.26605936</v>
      </c>
      <c r="G343" s="22" t="n">
        <f aca="false">G341+G340</f>
        <v>227.89105824</v>
      </c>
      <c r="H343" s="24" t="n">
        <f aca="false">G343*(1+H344)</f>
        <v>257.226313072804</v>
      </c>
      <c r="I343" s="24" t="n">
        <f aca="false">H343*(1+I344)</f>
        <v>278.92655569709</v>
      </c>
      <c r="J343" s="24" t="n">
        <f aca="false">I343*(1+J344)</f>
        <v>290.083617924974</v>
      </c>
      <c r="K343" s="7" t="s">
        <v>626</v>
      </c>
    </row>
    <row r="344" customFormat="false" ht="15" hidden="false" customHeight="false" outlineLevel="0" collapsed="false">
      <c r="A344" s="3" t="s">
        <v>627</v>
      </c>
      <c r="B344" s="0" t="s">
        <v>55</v>
      </c>
      <c r="D344" s="14" t="n">
        <f aca="false">D343/C343-1</f>
        <v>0.756674888340778</v>
      </c>
      <c r="E344" s="14" t="n">
        <f aca="false">E343/D343-1</f>
        <v>0.45</v>
      </c>
      <c r="F344" s="14" t="n">
        <f aca="false">F343/E343-1</f>
        <v>0.271034482758621</v>
      </c>
      <c r="G344" s="14" t="n">
        <f aca="false">G343/F343-1</f>
        <v>0.173087357569181</v>
      </c>
      <c r="H344" s="25" t="n">
        <f aca="false">$G344+(fade_gB-$G344)*1/3</f>
        <v>0.12872490504612</v>
      </c>
      <c r="I344" s="25" t="n">
        <f aca="false">$G344+(fade_gB-$G344)*2/3</f>
        <v>0.0843624525230602</v>
      </c>
      <c r="J344" s="25" t="n">
        <f aca="false">$G344+(fade_gB-$G344)*3/3</f>
        <v>0.04</v>
      </c>
    </row>
    <row r="345" customFormat="false" ht="17.15" hidden="false" customHeight="false" outlineLevel="0" collapsed="false">
      <c r="A345" s="3" t="s">
        <v>628</v>
      </c>
      <c r="B345" s="0" t="s">
        <v>203</v>
      </c>
      <c r="D345" s="22" t="n">
        <f aca="false">D341*(D326+D328)/D329</f>
        <v>39.4735736470588</v>
      </c>
      <c r="E345" s="22" t="n">
        <f aca="false">E341*(E326+E328)/E329</f>
        <v>74.3056435443038</v>
      </c>
      <c r="F345" s="22" t="n">
        <f aca="false">F341*(F326+F328)/F329</f>
        <v>104.669932084017</v>
      </c>
      <c r="G345" s="22" t="n">
        <f aca="false">G341*(G326+G328)/G329</f>
        <v>128.672405684749</v>
      </c>
      <c r="K345" s="7" t="s">
        <v>629</v>
      </c>
    </row>
    <row r="346" customFormat="false" ht="17.15" hidden="false" customHeight="false" outlineLevel="0" collapsed="false">
      <c r="A346" s="3" t="s">
        <v>630</v>
      </c>
      <c r="B346" s="0" t="s">
        <v>203</v>
      </c>
      <c r="D346" s="22" t="n">
        <f aca="false">D341*D327/D329</f>
        <v>15.5305863529412</v>
      </c>
      <c r="E346" s="22" t="n">
        <f aca="false">E341*E327/E329</f>
        <v>25.6117324556962</v>
      </c>
      <c r="F346" s="22" t="n">
        <f aca="false">F341*F327/F329</f>
        <v>35.0848934359833</v>
      </c>
      <c r="G346" s="22" t="n">
        <f aca="false">G341*G327/G329</f>
        <v>43.0720817000512</v>
      </c>
    </row>
    <row r="347" customFormat="false" ht="17.15" hidden="false" customHeight="false" outlineLevel="0" collapsed="false">
      <c r="A347" s="3" t="s">
        <v>631</v>
      </c>
      <c r="B347" s="0" t="s">
        <v>203</v>
      </c>
      <c r="D347" s="22" t="n">
        <f aca="false">srv26*D343-D345</f>
        <v>42.7442919529412</v>
      </c>
      <c r="E347" s="22" t="n">
        <f aca="false">E340*$D347/$D340</f>
        <v>44.8815065505883</v>
      </c>
      <c r="F347" s="22" t="n">
        <f aca="false">F340*$D347/$D340</f>
        <v>46.2279517471059</v>
      </c>
      <c r="G347" s="22" t="n">
        <f aca="false">G340*$D347/$D340</f>
        <v>47.6147902995191</v>
      </c>
      <c r="K347" s="7" t="s">
        <v>632</v>
      </c>
    </row>
    <row r="348" customFormat="false" ht="17.15" hidden="false" customHeight="false" outlineLevel="0" collapsed="false">
      <c r="A348" s="3" t="s">
        <v>633</v>
      </c>
      <c r="B348" s="0" t="s">
        <v>203</v>
      </c>
      <c r="D348" s="22" t="n">
        <f aca="false">net26*D343-D346</f>
        <v>0.28054164705882</v>
      </c>
      <c r="E348" s="22" t="n">
        <f aca="false">E340*$D348/$D340</f>
        <v>0.294568729411761</v>
      </c>
      <c r="F348" s="22" t="n">
        <f aca="false">F340*$D348/$D340</f>
        <v>0.303405791294114</v>
      </c>
      <c r="G348" s="22" t="n">
        <f aca="false">G340*$D348/$D340</f>
        <v>0.312507965032938</v>
      </c>
    </row>
    <row r="349" customFormat="false" ht="17.15" hidden="false" customHeight="false" outlineLevel="0" collapsed="false">
      <c r="A349" s="3" t="s">
        <v>634</v>
      </c>
      <c r="B349" s="0" t="s">
        <v>203</v>
      </c>
      <c r="C349" s="22" t="n">
        <f aca="false">srv25*C343</f>
        <v>48.0032</v>
      </c>
      <c r="D349" s="22" t="n">
        <f aca="false">D345+D347</f>
        <v>82.2178656</v>
      </c>
      <c r="E349" s="22" t="n">
        <f aca="false">E345+E347</f>
        <v>119.187150094892</v>
      </c>
      <c r="F349" s="22" t="n">
        <f aca="false">F345+F347</f>
        <v>150.897883831123</v>
      </c>
      <c r="G349" s="22" t="n">
        <f aca="false">G345+G347</f>
        <v>176.287195984268</v>
      </c>
      <c r="K349" s="3" t="s">
        <v>635</v>
      </c>
    </row>
    <row r="350" customFormat="false" ht="15" hidden="false" customHeight="false" outlineLevel="0" collapsed="false">
      <c r="A350" s="3" t="s">
        <v>636</v>
      </c>
      <c r="B350" s="0" t="s">
        <v>203</v>
      </c>
      <c r="C350" s="22" t="n">
        <f aca="false">net25*C343</f>
        <v>6.0004</v>
      </c>
      <c r="D350" s="22" t="n">
        <f aca="false">D346+D348</f>
        <v>15.811128</v>
      </c>
      <c r="E350" s="22" t="n">
        <f aca="false">E346+E348</f>
        <v>25.906301185108</v>
      </c>
      <c r="F350" s="22" t="n">
        <f aca="false">F346+F348</f>
        <v>35.3882992272774</v>
      </c>
      <c r="G350" s="22" t="n">
        <f aca="false">G346+G348</f>
        <v>43.3845896650841</v>
      </c>
      <c r="K350" s="3" t="s">
        <v>637</v>
      </c>
    </row>
    <row r="351" customFormat="false" ht="15" hidden="false" customHeight="false" outlineLevel="0" collapsed="false">
      <c r="A351" s="3" t="s">
        <v>638</v>
      </c>
      <c r="B351" s="0" t="s">
        <v>203</v>
      </c>
      <c r="C351" s="22" t="n">
        <f aca="false">C343-C349-C350</f>
        <v>6.0004</v>
      </c>
      <c r="D351" s="22" t="n">
        <f aca="false">D343-D349-D350</f>
        <v>7.3785264</v>
      </c>
      <c r="E351" s="22" t="n">
        <f aca="false">E343-E349-E350</f>
        <v>7.74745271999998</v>
      </c>
      <c r="F351" s="22" t="n">
        <f aca="false">F343-F349-F350</f>
        <v>7.9798763016</v>
      </c>
      <c r="G351" s="22" t="n">
        <f aca="false">G343-G349-G350</f>
        <v>8.21927259064798</v>
      </c>
      <c r="K351" s="3" t="s">
        <v>639</v>
      </c>
    </row>
    <row r="352" customFormat="false" ht="17.15" hidden="false" customHeight="false" outlineLevel="0" collapsed="false">
      <c r="A352" s="3" t="s">
        <v>640</v>
      </c>
      <c r="B352" s="0" t="s">
        <v>203</v>
      </c>
      <c r="C352" s="28" t="n">
        <f aca="false">C349+C350+C351-C343</f>
        <v>0</v>
      </c>
      <c r="D352" s="28" t="n">
        <f aca="false">ROUND(D347+D348+D351-D340,9)</f>
        <v>0</v>
      </c>
      <c r="E352" s="28" t="n">
        <f aca="false">ROUND(E347+E348+E351-E340,9)</f>
        <v>0</v>
      </c>
      <c r="F352" s="28" t="n">
        <f aca="false">ROUND(F347+F348+F351-F340,9)</f>
        <v>0</v>
      </c>
      <c r="G352" s="28" t="n">
        <f aca="false">ROUND(G347+G348+G351-G340,9)</f>
        <v>0</v>
      </c>
    </row>
    <row r="353" customFormat="false" ht="17.15" hidden="false" customHeight="false" outlineLevel="0" collapsed="false">
      <c r="A353" s="0" t="s">
        <v>641</v>
      </c>
      <c r="B353" s="0" t="s">
        <v>55</v>
      </c>
      <c r="C353" s="14" t="n">
        <f aca="false">C341/C343</f>
        <v>0.3</v>
      </c>
      <c r="D353" s="14" t="n">
        <f aca="false">D341/D343</f>
        <v>0.521823869871903</v>
      </c>
      <c r="E353" s="14" t="n">
        <f aca="false">E341/E343</f>
        <v>0.653734526458964</v>
      </c>
      <c r="F353" s="14" t="n">
        <f aca="false">F341/F343</f>
        <v>0.71939908587437</v>
      </c>
      <c r="G353" s="14" t="n">
        <f aca="false">G341/G343</f>
        <v>0.753625388864226</v>
      </c>
    </row>
    <row r="354" customFormat="false" ht="17.15" hidden="false" customHeight="false" outlineLevel="0" collapsed="false">
      <c r="A354" s="3" t="s">
        <v>642</v>
      </c>
      <c r="B354" s="0" t="s">
        <v>55</v>
      </c>
      <c r="D354" s="14" t="n">
        <f aca="false">(D336+D340)/D339</f>
        <v>1</v>
      </c>
      <c r="E354" s="14" t="n">
        <f aca="false">(E336+E340)/E339</f>
        <v>1.3749491303874</v>
      </c>
      <c r="F354" s="14" t="n">
        <f aca="false">(F336+F340)/F339</f>
        <v>1.18378500056161</v>
      </c>
      <c r="G354" s="14" t="n">
        <f aca="false">(G336+G340)/G339</f>
        <v>1.21312310630427</v>
      </c>
      <c r="K354" s="3" t="s">
        <v>643</v>
      </c>
    </row>
    <row r="355" customFormat="false" ht="17.15" hidden="false" customHeight="false" outlineLevel="0" collapsed="false">
      <c r="A355" s="3" t="s">
        <v>569</v>
      </c>
      <c r="B355" s="0" t="s">
        <v>96</v>
      </c>
      <c r="D355" s="21" t="n">
        <f aca="false">D341/fx/D325*1000</f>
        <v>73.4578604462224</v>
      </c>
      <c r="E355" s="21" t="n">
        <f aca="false">E341/fx/E325*1000</f>
        <v>74.9738410190283</v>
      </c>
      <c r="F355" s="21" t="n">
        <f aca="false">F341/fx/F325*1000</f>
        <v>103.408822959553</v>
      </c>
      <c r="G355" s="21" t="n">
        <f aca="false">G341/fx/G325*1000</f>
        <v>104.993073222002</v>
      </c>
    </row>
    <row r="356" customFormat="false" ht="17.15" hidden="false" customHeight="false" outlineLevel="0" collapsed="false">
      <c r="A356" s="5" t="s">
        <v>644</v>
      </c>
    </row>
    <row r="357" customFormat="false" ht="17.15" hidden="false" customHeight="false" outlineLevel="0" collapsed="false">
      <c r="A357" s="3" t="s">
        <v>645</v>
      </c>
      <c r="B357" s="0" t="s">
        <v>55</v>
      </c>
      <c r="D357" s="14" t="n">
        <f aca="false">a26_gp/D343-d_ai*D353</f>
        <v>0.296655205435058</v>
      </c>
      <c r="K357" s="7" t="s">
        <v>646</v>
      </c>
    </row>
    <row r="358" customFormat="false" ht="17.15" hidden="false" customHeight="false" outlineLevel="0" collapsed="false">
      <c r="A358" s="0" t="s">
        <v>647</v>
      </c>
      <c r="B358" s="0" t="s">
        <v>55</v>
      </c>
      <c r="D358" s="14" t="n">
        <f aca="false">D357+d_ai</f>
        <v>0.396655205435058</v>
      </c>
      <c r="E358" s="14" t="n">
        <f aca="false">1-(1-$D$358)/E332+gmu_27</f>
        <v>0.406655205435058</v>
      </c>
      <c r="F358" s="14" t="n">
        <f aca="false">1-(1-$D$358)/F332+gmu_28</f>
        <v>0.392995057149545</v>
      </c>
      <c r="G358" s="14" t="n">
        <f aca="false">1-(1-$D$358)/G332+gmu_29</f>
        <v>0.378143835569211</v>
      </c>
      <c r="K358" s="7" t="s">
        <v>648</v>
      </c>
    </row>
    <row r="359" customFormat="false" ht="15" hidden="false" customHeight="false" outlineLevel="0" collapsed="false">
      <c r="A359" s="3" t="s">
        <v>503</v>
      </c>
      <c r="B359" s="0" t="s">
        <v>203</v>
      </c>
      <c r="C359" s="22" t="n">
        <f aca="false">a25_gp</f>
        <v>19.683</v>
      </c>
      <c r="D359" s="22" t="n">
        <f aca="false">a26_gp</f>
        <v>36.7701055</v>
      </c>
      <c r="E359" s="22" t="n">
        <f aca="false">E341*E358+E340*$D$357</f>
        <v>56.331961135</v>
      </c>
      <c r="F359" s="22" t="n">
        <f aca="false">F341*F358+F340*$D$357</f>
        <v>71.0939969154807</v>
      </c>
      <c r="G359" s="22" t="n">
        <f aca="false">G341*G358+G340*$D$357</f>
        <v>81.6002917090796</v>
      </c>
    </row>
    <row r="360" customFormat="false" ht="15" hidden="false" customHeight="false" outlineLevel="0" collapsed="false">
      <c r="A360" s="3" t="s">
        <v>506</v>
      </c>
      <c r="B360" s="0" t="s">
        <v>55</v>
      </c>
      <c r="C360" s="14" t="n">
        <f aca="false">C359/C343</f>
        <v>0.328028131457903</v>
      </c>
      <c r="D360" s="14" t="n">
        <f aca="false">D359/D343</f>
        <v>0.348837592422248</v>
      </c>
      <c r="E360" s="14" t="n">
        <f aca="false">E359/E343</f>
        <v>0.368566003345544</v>
      </c>
      <c r="F360" s="14" t="n">
        <f aca="false">F359/F343</f>
        <v>0.365962006691732</v>
      </c>
      <c r="G360" s="14" t="n">
        <f aca="false">G359/G343</f>
        <v>0.358067106007922</v>
      </c>
    </row>
    <row r="361" customFormat="false" ht="15" hidden="false" customHeight="false" outlineLevel="0" collapsed="false">
      <c r="A361" s="3" t="s">
        <v>649</v>
      </c>
      <c r="B361" s="0" t="s">
        <v>203</v>
      </c>
      <c r="C361" s="22" t="n">
        <f aca="false">a25_opx</f>
        <v>5.64</v>
      </c>
      <c r="D361" s="22" t="n">
        <f aca="false">a26_opx</f>
        <v>8.4779754</v>
      </c>
      <c r="E361" s="22" t="n">
        <f aca="false">D361*(1+MAX(0,phi*E344))</f>
        <v>10.767028758</v>
      </c>
      <c r="F361" s="22" t="n">
        <f aca="false">E361*(1+MAX(0,phi*F344))</f>
        <v>12.517970400163</v>
      </c>
      <c r="G361" s="22" t="n">
        <f aca="false">F361*(1+MAX(0,phi*G344))</f>
        <v>13.8179918513791</v>
      </c>
    </row>
    <row r="362" customFormat="false" ht="15" hidden="false" customHeight="false" outlineLevel="0" collapsed="false">
      <c r="A362" s="3" t="s">
        <v>508</v>
      </c>
      <c r="B362" s="0" t="s">
        <v>203</v>
      </c>
      <c r="C362" s="22" t="n">
        <f aca="false">C361</f>
        <v>5.64</v>
      </c>
      <c r="D362" s="22" t="n">
        <f aca="false">D361</f>
        <v>8.4779754</v>
      </c>
      <c r="E362" s="22" t="n">
        <f aca="false">E361+0*E343</f>
        <v>10.767028758</v>
      </c>
      <c r="F362" s="22" t="n">
        <f aca="false">F361+0*F343</f>
        <v>12.517970400163</v>
      </c>
      <c r="G362" s="22" t="n">
        <f aca="false">G361+0*G343</f>
        <v>13.8179918513791</v>
      </c>
    </row>
    <row r="363" customFormat="false" ht="15" hidden="false" customHeight="false" outlineLevel="0" collapsed="false">
      <c r="A363" s="3" t="s">
        <v>650</v>
      </c>
      <c r="B363" s="0" t="s">
        <v>203</v>
      </c>
      <c r="C363" s="22" t="n">
        <f aca="false">C359-C362</f>
        <v>14.043</v>
      </c>
      <c r="D363" s="22" t="n">
        <f aca="false">D359-D362</f>
        <v>28.2921301</v>
      </c>
      <c r="E363" s="22" t="n">
        <f aca="false">E359-E362</f>
        <v>45.564932377</v>
      </c>
      <c r="F363" s="22" t="n">
        <f aca="false">F359-F362</f>
        <v>58.5760265153177</v>
      </c>
      <c r="G363" s="22" t="n">
        <f aca="false">G359-G362</f>
        <v>67.7822998577005</v>
      </c>
    </row>
    <row r="364" customFormat="false" ht="15" hidden="false" customHeight="false" outlineLevel="0" collapsed="false">
      <c r="A364" s="3" t="s">
        <v>514</v>
      </c>
      <c r="B364" s="0" t="s">
        <v>55</v>
      </c>
      <c r="C364" s="14" t="n">
        <f aca="false">C363/C343</f>
        <v>0.23403439770682</v>
      </c>
      <c r="D364" s="14" t="n">
        <f aca="false">D363/D343</f>
        <v>0.268407131673338</v>
      </c>
      <c r="E364" s="14" t="n">
        <f aca="false">E363/E343</f>
        <v>0.298120013586154</v>
      </c>
      <c r="F364" s="14" t="n">
        <f aca="false">F363/F343</f>
        <v>0.301524757892828</v>
      </c>
      <c r="G364" s="14" t="n">
        <f aca="false">G363/G343</f>
        <v>0.297432906675595</v>
      </c>
    </row>
    <row r="365" customFormat="false" ht="17.15" hidden="false" customHeight="false" outlineLevel="0" collapsed="false">
      <c r="A365" s="3" t="s">
        <v>515</v>
      </c>
      <c r="B365" s="0" t="s">
        <v>203</v>
      </c>
      <c r="E365" s="22" t="n">
        <f aca="false">nop_f</f>
        <v>0</v>
      </c>
      <c r="F365" s="22" t="n">
        <f aca="false">nop_f</f>
        <v>0</v>
      </c>
      <c r="G365" s="22" t="n">
        <f aca="false">nop_f</f>
        <v>0</v>
      </c>
      <c r="K365" s="7" t="s">
        <v>651</v>
      </c>
    </row>
    <row r="366" customFormat="false" ht="15" hidden="false" customHeight="false" outlineLevel="0" collapsed="false">
      <c r="A366" s="3" t="s">
        <v>520</v>
      </c>
      <c r="B366" s="0" t="s">
        <v>203</v>
      </c>
      <c r="C366" s="22" t="n">
        <f aca="false">a25_ni</f>
        <v>9.607</v>
      </c>
      <c r="D366" s="22" t="n">
        <f aca="false">a26_ni</f>
        <v>19.6977289395284</v>
      </c>
      <c r="E366" s="22" t="n">
        <f aca="false">(E363+E365)*nir_f</f>
        <v>31.211978678245</v>
      </c>
      <c r="F366" s="22" t="n">
        <f aca="false">(F363+F365)*nir_f</f>
        <v>40.1245781629926</v>
      </c>
      <c r="G366" s="22" t="n">
        <f aca="false">(G363+G365)*nir_f</f>
        <v>46.4308754025249</v>
      </c>
      <c r="H366" s="24" t="n">
        <f aca="false">H343*H371</f>
        <v>49.0696162995125</v>
      </c>
      <c r="I366" s="24" t="n">
        <f aca="false">I343*I371</f>
        <v>49.5895726459613</v>
      </c>
      <c r="J366" s="24" t="n">
        <f aca="false">J343*J371</f>
        <v>47.8086916496984</v>
      </c>
    </row>
    <row r="367" customFormat="false" ht="17.15" hidden="false" customHeight="false" outlineLevel="0" collapsed="false">
      <c r="A367" s="3" t="s">
        <v>523</v>
      </c>
      <c r="B367" s="0" t="s">
        <v>55</v>
      </c>
      <c r="C367" s="14" t="n">
        <f aca="false">C366/C363</f>
        <v>0.684113081250445</v>
      </c>
      <c r="D367" s="14" t="n">
        <f aca="false">D366/D363</f>
        <v>0.696226437171953</v>
      </c>
      <c r="E367" s="14" t="n">
        <f aca="false">E366/E363</f>
        <v>0.685</v>
      </c>
      <c r="F367" s="14" t="n">
        <f aca="false">F366/F363</f>
        <v>0.685</v>
      </c>
      <c r="G367" s="14" t="n">
        <f aca="false">G366/G363</f>
        <v>0.685</v>
      </c>
    </row>
    <row r="368" customFormat="false" ht="17.15" hidden="false" customHeight="false" outlineLevel="0" collapsed="false">
      <c r="A368" s="3" t="s">
        <v>652</v>
      </c>
      <c r="B368" s="3" t="s">
        <v>233</v>
      </c>
      <c r="C368" s="27" t="n">
        <f aca="false">a25_sh</f>
        <v>0.493425783256292</v>
      </c>
      <c r="D368" s="27" t="n">
        <f aca="false">a26_sh</f>
        <v>0.512980850061958</v>
      </c>
      <c r="E368" s="27" t="n">
        <f aca="false">sh_h2*(1+sh_g)</f>
        <v>0.51889356</v>
      </c>
      <c r="F368" s="27" t="n">
        <f aca="false">E368*(1+sh_g)</f>
        <v>0.5240824956</v>
      </c>
      <c r="G368" s="27" t="n">
        <f aca="false">F368*(1+sh_g)</f>
        <v>0.529323320556</v>
      </c>
      <c r="H368" s="29" t="n">
        <f aca="false">G368*(1+sh_g)</f>
        <v>0.53461655376156</v>
      </c>
      <c r="I368" s="29" t="n">
        <f aca="false">H368*(1+sh_g)</f>
        <v>0.539962719299176</v>
      </c>
      <c r="J368" s="29" t="n">
        <f aca="false">I368*(1+sh_g)</f>
        <v>0.545362346492167</v>
      </c>
      <c r="K368" s="7" t="s">
        <v>653</v>
      </c>
    </row>
    <row r="369" customFormat="false" ht="15" hidden="false" customHeight="false" outlineLevel="0" collapsed="false">
      <c r="A369" s="0" t="s">
        <v>526</v>
      </c>
      <c r="B369" s="0" t="s">
        <v>271</v>
      </c>
      <c r="C369" s="23" t="n">
        <f aca="false">C366/C368</f>
        <v>19.47</v>
      </c>
      <c r="D369" s="23" t="n">
        <f aca="false">D366/D368</f>
        <v>38.3985658278458</v>
      </c>
      <c r="E369" s="23" t="n">
        <f aca="false">E366/E368</f>
        <v>60.1510234165269</v>
      </c>
      <c r="F369" s="23" t="n">
        <f aca="false">F366/F368</f>
        <v>76.5615690275167</v>
      </c>
      <c r="G369" s="23" t="n">
        <f aca="false">G366/G368</f>
        <v>87.7174188240072</v>
      </c>
      <c r="H369" s="30" t="n">
        <f aca="false">H366/H368</f>
        <v>91.7846930744266</v>
      </c>
      <c r="I369" s="30" t="n">
        <f aca="false">I366/I368</f>
        <v>91.8388823404776</v>
      </c>
      <c r="J369" s="30" t="n">
        <f aca="false">J366/J368</f>
        <v>87.6640860103551</v>
      </c>
    </row>
    <row r="370" customFormat="false" ht="17.15" hidden="false" customHeight="false" outlineLevel="0" collapsed="false">
      <c r="A370" s="0" t="s">
        <v>654</v>
      </c>
      <c r="B370" s="0" t="s">
        <v>55</v>
      </c>
      <c r="D370" s="14" t="n">
        <f aca="false">D369/C369-1</f>
        <v>0.9721913624985</v>
      </c>
      <c r="E370" s="14" t="n">
        <f aca="false">E369/D369-1</f>
        <v>0.566491407158407</v>
      </c>
      <c r="F370" s="14" t="n">
        <f aca="false">F369/E369-1</f>
        <v>0.272822384040783</v>
      </c>
      <c r="G370" s="14" t="n">
        <f aca="false">G369/F369-1</f>
        <v>0.145710830357735</v>
      </c>
      <c r="H370" s="25" t="n">
        <f aca="false">H369/G369-1</f>
        <v>0.0463679199063061</v>
      </c>
      <c r="I370" s="25" t="n">
        <f aca="false">I369/H369-1</f>
        <v>0.000590395459589166</v>
      </c>
      <c r="J370" s="25" t="n">
        <f aca="false">J369/I369-1</f>
        <v>-0.0454578303190271</v>
      </c>
    </row>
    <row r="371" customFormat="false" ht="17.15" hidden="false" customHeight="false" outlineLevel="0" collapsed="false">
      <c r="A371" s="3" t="s">
        <v>655</v>
      </c>
      <c r="B371" s="0" t="s">
        <v>55</v>
      </c>
      <c r="C371" s="14" t="n">
        <f aca="false">C366/C343</f>
        <v>0.160105992933804</v>
      </c>
      <c r="D371" s="14" t="n">
        <f aca="false">D366/D343</f>
        <v>0.186872140996471</v>
      </c>
      <c r="E371" s="14" t="n">
        <f aca="false">E366/E343</f>
        <v>0.204212209306515</v>
      </c>
      <c r="F371" s="14" t="n">
        <f aca="false">F366/F343</f>
        <v>0.206544459156587</v>
      </c>
      <c r="G371" s="14" t="n">
        <f aca="false">G366/G343</f>
        <v>0.203741541072783</v>
      </c>
      <c r="H371" s="25" t="n">
        <f aca="false">$G371+(fade_mB-$G371)*1/3</f>
        <v>0.190764372872009</v>
      </c>
      <c r="I371" s="25" t="n">
        <f aca="false">$G371+(fade_mB-$G371)*2/3</f>
        <v>0.177787204671235</v>
      </c>
      <c r="J371" s="25" t="n">
        <f aca="false">$G371+(fade_mB-$G371)*3/3</f>
        <v>0.164810036470462</v>
      </c>
    </row>
    <row r="374" customFormat="false" ht="17.15" hidden="false" customHeight="false" outlineLevel="0" collapsed="false">
      <c r="A374" s="1" t="s">
        <v>996</v>
      </c>
    </row>
    <row r="375" customFormat="false" ht="17.15" hidden="false" customHeight="false" outlineLevel="0" collapsed="false">
      <c r="A375" s="4" t="s">
        <v>24</v>
      </c>
      <c r="B375" s="4" t="s">
        <v>25</v>
      </c>
      <c r="C375" s="15" t="s">
        <v>494</v>
      </c>
      <c r="D375" s="15" t="s">
        <v>583</v>
      </c>
      <c r="E375" s="15" t="s">
        <v>584</v>
      </c>
      <c r="F375" s="15" t="s">
        <v>585</v>
      </c>
      <c r="G375" s="15" t="s">
        <v>586</v>
      </c>
      <c r="H375" s="15" t="s">
        <v>587</v>
      </c>
      <c r="I375" s="15" t="s">
        <v>588</v>
      </c>
      <c r="J375" s="15" t="s">
        <v>589</v>
      </c>
      <c r="K375" s="4" t="s">
        <v>458</v>
      </c>
    </row>
    <row r="376" customFormat="false" ht="17.15" hidden="false" customHeight="false" outlineLevel="0" collapsed="false">
      <c r="A376" s="5" t="s">
        <v>605</v>
      </c>
    </row>
    <row r="377" customFormat="false" ht="17.15" hidden="false" customHeight="false" outlineLevel="0" collapsed="false">
      <c r="A377" s="0" t="s">
        <v>606</v>
      </c>
      <c r="B377" s="0" t="s">
        <v>35</v>
      </c>
      <c r="D377" s="23" t="n">
        <f aca="false">itc_26*1</f>
        <v>781.872916666666</v>
      </c>
      <c r="E377" s="23" t="n">
        <f aca="false">itc_27*1*1</f>
        <v>1565.35</v>
      </c>
      <c r="F377" s="23" t="n">
        <f aca="false">itc_28*um28_B*1</f>
        <v>1587.41111111111</v>
      </c>
      <c r="G377" s="23" t="n">
        <f aca="false">itc_29*um29_B*1</f>
        <v>1921.33173611111</v>
      </c>
    </row>
    <row r="378" customFormat="false" ht="17.15" hidden="false" customHeight="false" outlineLevel="0" collapsed="false">
      <c r="A378" s="3" t="s">
        <v>607</v>
      </c>
      <c r="B378" s="0" t="s">
        <v>35</v>
      </c>
      <c r="D378" s="23" t="n">
        <f aca="false">itpg_gb*(1-vr26)+itpg_vr*vr26</f>
        <v>33.41403216</v>
      </c>
      <c r="E378" s="23" t="n">
        <f aca="false">itpg_vr</f>
        <v>37.586352</v>
      </c>
      <c r="F378" s="23" t="n">
        <f aca="false">itpg_vr</f>
        <v>37.586352</v>
      </c>
      <c r="G378" s="23" t="n">
        <f aca="false">itpg_vr</f>
        <v>37.586352</v>
      </c>
    </row>
    <row r="379" customFormat="false" ht="17.15" hidden="false" customHeight="false" outlineLevel="0" collapsed="false">
      <c r="A379" s="3" t="s">
        <v>608</v>
      </c>
      <c r="B379" s="0" t="s">
        <v>549</v>
      </c>
      <c r="D379" s="20" t="n">
        <f aca="false">D377/D378</f>
        <v>23.3995380420639</v>
      </c>
      <c r="E379" s="20" t="n">
        <f aca="false">E377/E378</f>
        <v>41.6467658260637</v>
      </c>
      <c r="F379" s="20" t="n">
        <f aca="false">F377/F378</f>
        <v>42.2337105529984</v>
      </c>
      <c r="G379" s="20" t="n">
        <f aca="false">G377/G378</f>
        <v>51.1178029756948</v>
      </c>
    </row>
    <row r="380" customFormat="false" ht="17.15" hidden="false" customHeight="false" outlineLevel="0" collapsed="false">
      <c r="A380" s="3" t="s">
        <v>553</v>
      </c>
      <c r="B380" s="0" t="s">
        <v>96</v>
      </c>
      <c r="D380" s="21" t="n">
        <f aca="false">vg_cmp26</f>
        <v>280</v>
      </c>
      <c r="E380" s="21" t="n">
        <f aca="false">(vg_cmp26+(vg_cmp27-vg_cmp26)*pgwf)</f>
        <v>420</v>
      </c>
      <c r="F380" s="21" t="n">
        <f aca="false">(vg_cmp26+(vg_cmp28-vg_cmp26)*pgwf)</f>
        <v>462</v>
      </c>
      <c r="G380" s="21" t="n">
        <f aca="false">(vg_cmp26+(vg_cmp29-vg_cmp26)*pgwf)</f>
        <v>504</v>
      </c>
    </row>
    <row r="381" customFormat="false" ht="17.15" hidden="false" customHeight="false" outlineLevel="0" collapsed="false">
      <c r="A381" s="3" t="s">
        <v>555</v>
      </c>
      <c r="B381" s="0" t="s">
        <v>96</v>
      </c>
      <c r="D381" s="21" t="n">
        <f aca="false">vg_sw26</f>
        <v>120</v>
      </c>
      <c r="E381" s="21" t="n">
        <f aca="false">(vg_sw26+(vg_sw27-vg_sw26)*pgwf)</f>
        <v>162</v>
      </c>
      <c r="F381" s="21" t="n">
        <f aca="false">(vg_sw26+(vg_sw28-vg_sw26)*pgwf)</f>
        <v>180</v>
      </c>
      <c r="G381" s="21" t="n">
        <f aca="false">(vg_sw26+(vg_sw29-vg_sw26)*pgwf)</f>
        <v>198</v>
      </c>
    </row>
    <row r="382" customFormat="false" ht="17.15" hidden="false" customHeight="false" outlineLevel="0" collapsed="false">
      <c r="A382" s="3" t="s">
        <v>609</v>
      </c>
      <c r="B382" s="0" t="s">
        <v>96</v>
      </c>
      <c r="D382" s="21" t="n">
        <f aca="false">vg_mid26*w_mid</f>
        <v>25</v>
      </c>
      <c r="E382" s="21" t="n">
        <f aca="false">(vg_mid26+(vg_mid27-vg_mid26)*pgwf)*w_mid</f>
        <v>50</v>
      </c>
      <c r="F382" s="21" t="n">
        <f aca="false">(vg_mid26+(vg_mid28-vg_mid26)*pgwf)*w_mid</f>
        <v>75</v>
      </c>
      <c r="G382" s="21" t="n">
        <f aca="false">(vg_mid26+(vg_mid29-vg_mid26)*pgwf)*w_mid</f>
        <v>87.5</v>
      </c>
    </row>
    <row r="383" customFormat="false" ht="17.15" hidden="false" customHeight="false" outlineLevel="0" collapsed="false">
      <c r="A383" s="3" t="s">
        <v>610</v>
      </c>
      <c r="B383" s="0" t="s">
        <v>96</v>
      </c>
      <c r="D383" s="21" t="n">
        <f aca="false">D380+D381+D382</f>
        <v>425</v>
      </c>
      <c r="E383" s="21" t="n">
        <f aca="false">E380+E381+E382</f>
        <v>632</v>
      </c>
      <c r="F383" s="21" t="n">
        <f aca="false">F380+F381+F382</f>
        <v>717</v>
      </c>
      <c r="G383" s="21" t="n">
        <f aca="false">G380+G381+G382</f>
        <v>789.5</v>
      </c>
    </row>
    <row r="384" customFormat="false" ht="17.15" hidden="false" customHeight="false" outlineLevel="0" collapsed="false">
      <c r="A384" s="3" t="s">
        <v>611</v>
      </c>
      <c r="B384" s="0" t="s">
        <v>35</v>
      </c>
      <c r="D384" s="23" t="n">
        <f aca="false">D379*D383/1000</f>
        <v>9.94480366787715</v>
      </c>
      <c r="E384" s="23" t="n">
        <f aca="false">E379*E383/1000</f>
        <v>26.3207560020722</v>
      </c>
      <c r="F384" s="23" t="n">
        <f aca="false">F379*F383/1000</f>
        <v>30.2815704664998</v>
      </c>
      <c r="G384" s="23" t="n">
        <f aca="false">G379*G383/1000</f>
        <v>40.3575054493111</v>
      </c>
    </row>
    <row r="385" customFormat="false" ht="17.15" hidden="false" customHeight="false" outlineLevel="0" collapsed="false">
      <c r="A385" s="3" t="s">
        <v>612</v>
      </c>
      <c r="B385" s="0" t="s">
        <v>203</v>
      </c>
      <c r="D385" s="22" t="n">
        <f aca="false">D384*fx</f>
        <v>318.233717372069</v>
      </c>
      <c r="E385" s="22" t="n">
        <f aca="false">E384*fx</f>
        <v>842.264192066312</v>
      </c>
      <c r="F385" s="22" t="n">
        <f aca="false">F384*fx</f>
        <v>969.010254927995</v>
      </c>
      <c r="G385" s="22" t="n">
        <f aca="false">G384*fx</f>
        <v>1291.44017437795</v>
      </c>
    </row>
    <row r="386" customFormat="false" ht="17.15" hidden="false" customHeight="false" outlineLevel="0" collapsed="false">
      <c r="A386" s="0" t="s">
        <v>613</v>
      </c>
      <c r="B386" s="0" t="s">
        <v>69</v>
      </c>
      <c r="D386" s="18" t="n">
        <f aca="false">1</f>
        <v>1</v>
      </c>
      <c r="E386" s="18" t="n">
        <f aca="false">PPLO_27</f>
        <v>0.96</v>
      </c>
      <c r="F386" s="18" t="n">
        <f aca="false">PPLO_28</f>
        <v>0.92</v>
      </c>
      <c r="G386" s="18" t="n">
        <f aca="false">PPLO_29</f>
        <v>0.88</v>
      </c>
    </row>
    <row r="387" customFormat="false" ht="17.15" hidden="false" customHeight="false" outlineLevel="0" collapsed="false">
      <c r="A387" s="3" t="s">
        <v>614</v>
      </c>
      <c r="B387" s="0" t="s">
        <v>55</v>
      </c>
      <c r="D387" s="14" t="n">
        <f aca="false">a26_ai/D385</f>
        <v>0.172842024579347</v>
      </c>
      <c r="K387" s="7" t="s">
        <v>615</v>
      </c>
    </row>
    <row r="388" customFormat="false" ht="17.15" hidden="false" customHeight="false" outlineLevel="0" collapsed="false">
      <c r="A388" s="3" t="s">
        <v>616</v>
      </c>
      <c r="B388" s="0" t="s">
        <v>69</v>
      </c>
      <c r="D388" s="18" t="n">
        <f aca="false">1</f>
        <v>1</v>
      </c>
      <c r="E388" s="18" t="n">
        <f aca="false">rel_27</f>
        <v>1</v>
      </c>
      <c r="F388" s="18" t="n">
        <f aca="false">rel_28</f>
        <v>0.95</v>
      </c>
      <c r="G388" s="18" t="n">
        <f aca="false">rel_29</f>
        <v>0.9</v>
      </c>
    </row>
    <row r="389" customFormat="false" ht="15" hidden="false" customHeight="false" outlineLevel="0" collapsed="false">
      <c r="A389" s="3" t="s">
        <v>565</v>
      </c>
      <c r="B389" s="0" t="s">
        <v>55</v>
      </c>
      <c r="D389" s="14" t="n">
        <f aca="false">$D$387*D388</f>
        <v>0.172842024579347</v>
      </c>
      <c r="E389" s="14" t="n">
        <f aca="false">$D$387*E388</f>
        <v>0.172842024579347</v>
      </c>
      <c r="F389" s="14" t="n">
        <f aca="false">$D$387*F388</f>
        <v>0.164199923350379</v>
      </c>
      <c r="G389" s="14" t="n">
        <f aca="false">$D$387*G388</f>
        <v>0.155557822121412</v>
      </c>
    </row>
    <row r="390" customFormat="false" ht="17.15" hidden="false" customHeight="false" outlineLevel="0" collapsed="false">
      <c r="A390" s="0" t="s">
        <v>617</v>
      </c>
      <c r="B390" s="0" t="s">
        <v>203</v>
      </c>
      <c r="D390" s="22" t="n">
        <f aca="false">D385*D389*D386</f>
        <v>55.00416</v>
      </c>
      <c r="E390" s="22" t="n">
        <f aca="false">E385*E389*E386</f>
        <v>139.755502259932</v>
      </c>
      <c r="F390" s="22" t="n">
        <f aca="false">F385*F389*F386</f>
        <v>146.382496818116</v>
      </c>
      <c r="G390" s="22" t="n">
        <f aca="false">G385*G389*G386</f>
        <v>176.786386415171</v>
      </c>
    </row>
    <row r="391" customFormat="false" ht="17.15" hidden="false" customHeight="false" outlineLevel="0" collapsed="false">
      <c r="A391" s="5" t="s">
        <v>618</v>
      </c>
    </row>
    <row r="392" customFormat="false" ht="17.15" hidden="false" customHeight="false" outlineLevel="0" collapsed="false">
      <c r="A392" s="3" t="s">
        <v>619</v>
      </c>
      <c r="B392" s="0" t="s">
        <v>69</v>
      </c>
      <c r="D392" s="18" t="n">
        <f aca="false">1</f>
        <v>1</v>
      </c>
      <c r="E392" s="18" t="n">
        <f aca="false">cx_27</f>
        <v>1.45</v>
      </c>
      <c r="F392" s="18" t="n">
        <f aca="false">cx_28</f>
        <v>1.9</v>
      </c>
      <c r="G392" s="18" t="n">
        <f aca="false">cx_29</f>
        <v>2.3</v>
      </c>
      <c r="K392" s="7" t="s">
        <v>620</v>
      </c>
    </row>
    <row r="393" customFormat="false" ht="17.15" hidden="false" customHeight="false" outlineLevel="0" collapsed="false">
      <c r="A393" s="3" t="s">
        <v>621</v>
      </c>
      <c r="B393" s="0" t="s">
        <v>203</v>
      </c>
      <c r="D393" s="22" t="n">
        <f aca="false">a26_rev*D392*D386</f>
        <v>105.40752</v>
      </c>
      <c r="E393" s="22" t="n">
        <f aca="false">a26_rev*E392*E386</f>
        <v>146.72726784</v>
      </c>
      <c r="F393" s="22" t="n">
        <f aca="false">a26_rev*F392*F386</f>
        <v>184.25234496</v>
      </c>
      <c r="G393" s="22" t="n">
        <f aca="false">a26_rev*G392*G386</f>
        <v>213.34482048</v>
      </c>
    </row>
    <row r="394" customFormat="false" ht="17.15" hidden="false" customHeight="false" outlineLevel="0" collapsed="false">
      <c r="A394" s="3" t="s">
        <v>622</v>
      </c>
      <c r="B394" s="0" t="s">
        <v>203</v>
      </c>
      <c r="C394" s="22" t="n">
        <f aca="false">a25_nai</f>
        <v>42.0028</v>
      </c>
      <c r="D394" s="22" t="n">
        <f aca="false">a26_nai</f>
        <v>50.40336</v>
      </c>
      <c r="E394" s="22" t="n">
        <f aca="false">D394*(1+g_nai27)</f>
        <v>52.923528</v>
      </c>
      <c r="F394" s="22" t="n">
        <f aca="false">E394*(1+g_nai28)</f>
        <v>54.51123384</v>
      </c>
      <c r="G394" s="22" t="n">
        <f aca="false">F394*(1+g_nai29)</f>
        <v>56.1465708552</v>
      </c>
    </row>
    <row r="395" customFormat="false" ht="17.15" hidden="false" customHeight="false" outlineLevel="0" collapsed="false">
      <c r="A395" s="0" t="s">
        <v>623</v>
      </c>
      <c r="B395" s="0" t="s">
        <v>203</v>
      </c>
      <c r="C395" s="22" t="n">
        <f aca="false">a25_ai</f>
        <v>18.0012</v>
      </c>
      <c r="D395" s="22" t="n">
        <f aca="false">D390</f>
        <v>55.00416</v>
      </c>
      <c r="E395" s="22" t="n">
        <f aca="false">MIN(E390,E393-E394)</f>
        <v>93.80373984</v>
      </c>
      <c r="F395" s="22" t="n">
        <f aca="false">MIN(F390,F393-F394)</f>
        <v>129.74111112</v>
      </c>
      <c r="G395" s="22" t="n">
        <f aca="false">MIN(G390,G393-G394)</f>
        <v>157.1982496248</v>
      </c>
      <c r="K395" s="3" t="s">
        <v>624</v>
      </c>
    </row>
    <row r="396" customFormat="false" ht="15" hidden="false" customHeight="false" outlineLevel="0" collapsed="false">
      <c r="A396" s="3" t="s">
        <v>625</v>
      </c>
      <c r="E396" s="0" t="str">
        <f aca="false">IF(E390&gt;E393-E394+0.0001,"受限","未受限")</f>
        <v>受限</v>
      </c>
      <c r="F396" s="0" t="str">
        <f aca="false">IF(F390&gt;F393-F394+0.0001,"受限","未受限")</f>
        <v>受限</v>
      </c>
      <c r="G396" s="0" t="str">
        <f aca="false">IF(G390&gt;G393-G394+0.0001,"受限","未受限")</f>
        <v>受限</v>
      </c>
    </row>
    <row r="397" customFormat="false" ht="17.15" hidden="false" customHeight="false" outlineLevel="0" collapsed="false">
      <c r="A397" s="3" t="s">
        <v>499</v>
      </c>
      <c r="B397" s="0" t="s">
        <v>203</v>
      </c>
      <c r="C397" s="22" t="n">
        <f aca="false">C395+C394</f>
        <v>60.004</v>
      </c>
      <c r="D397" s="22" t="n">
        <f aca="false">D395+D394</f>
        <v>105.40752</v>
      </c>
      <c r="E397" s="22" t="n">
        <f aca="false">E395+E394</f>
        <v>146.72726784</v>
      </c>
      <c r="F397" s="22" t="n">
        <f aca="false">F395+F394</f>
        <v>184.25234496</v>
      </c>
      <c r="G397" s="22" t="n">
        <f aca="false">G395+G394</f>
        <v>213.34482048</v>
      </c>
      <c r="H397" s="24" t="n">
        <f aca="false">G397*(1+H398)</f>
        <v>238.646767610611</v>
      </c>
      <c r="I397" s="24" t="n">
        <f aca="false">H397*(1+I398)</f>
        <v>257.571037603592</v>
      </c>
      <c r="J397" s="24" t="n">
        <f aca="false">I397*(1+J398)</f>
        <v>267.873879107736</v>
      </c>
      <c r="K397" s="7" t="s">
        <v>626</v>
      </c>
    </row>
    <row r="398" customFormat="false" ht="15" hidden="false" customHeight="false" outlineLevel="0" collapsed="false">
      <c r="A398" s="3" t="s">
        <v>627</v>
      </c>
      <c r="B398" s="0" t="s">
        <v>55</v>
      </c>
      <c r="D398" s="14" t="n">
        <f aca="false">D397/C397-1</f>
        <v>0.756674888340778</v>
      </c>
      <c r="E398" s="14" t="n">
        <f aca="false">E397/D397-1</f>
        <v>0.392</v>
      </c>
      <c r="F398" s="14" t="n">
        <f aca="false">F397/E397-1</f>
        <v>0.255747126436782</v>
      </c>
      <c r="G398" s="14" t="n">
        <f aca="false">G397/F397-1</f>
        <v>0.157894736842105</v>
      </c>
      <c r="H398" s="25" t="n">
        <f aca="false">$G398+(fade_gB-$G398)*1/3</f>
        <v>0.11859649122807</v>
      </c>
      <c r="I398" s="25" t="n">
        <f aca="false">$G398+(fade_gB-$G398)*2/3</f>
        <v>0.0792982456140351</v>
      </c>
      <c r="J398" s="25" t="n">
        <f aca="false">$G398+(fade_gB-$G398)*3/3</f>
        <v>0.04</v>
      </c>
    </row>
    <row r="399" customFormat="false" ht="17.15" hidden="false" customHeight="false" outlineLevel="0" collapsed="false">
      <c r="A399" s="3" t="s">
        <v>628</v>
      </c>
      <c r="B399" s="0" t="s">
        <v>203</v>
      </c>
      <c r="D399" s="22" t="n">
        <f aca="false">D395*(D380+D382)/D383</f>
        <v>39.4735736470588</v>
      </c>
      <c r="E399" s="22" t="n">
        <f aca="false">E395*(E380+E382)/E383</f>
        <v>69.7591103240506</v>
      </c>
      <c r="F399" s="22" t="n">
        <f aca="false">F395*(F380+F382)/F383</f>
        <v>97.1701208806695</v>
      </c>
      <c r="G399" s="22" t="n">
        <f aca="false">G395*(G380+G382)/G383</f>
        <v>117.774242752463</v>
      </c>
      <c r="K399" s="7" t="s">
        <v>629</v>
      </c>
    </row>
    <row r="400" customFormat="false" ht="17.15" hidden="false" customHeight="false" outlineLevel="0" collapsed="false">
      <c r="A400" s="3" t="s">
        <v>630</v>
      </c>
      <c r="B400" s="0" t="s">
        <v>203</v>
      </c>
      <c r="D400" s="22" t="n">
        <f aca="false">D395*D381/D383</f>
        <v>15.5305863529412</v>
      </c>
      <c r="E400" s="22" t="n">
        <f aca="false">E395*E381/E383</f>
        <v>24.0446295159494</v>
      </c>
      <c r="F400" s="22" t="n">
        <f aca="false">F395*F381/F383</f>
        <v>32.5709902393306</v>
      </c>
      <c r="G400" s="22" t="n">
        <f aca="false">G395*G381/G383</f>
        <v>39.4240068723374</v>
      </c>
    </row>
    <row r="401" customFormat="false" ht="17.15" hidden="false" customHeight="false" outlineLevel="0" collapsed="false">
      <c r="A401" s="3" t="s">
        <v>631</v>
      </c>
      <c r="B401" s="0" t="s">
        <v>203</v>
      </c>
      <c r="D401" s="22" t="n">
        <f aca="false">srv26*D397-D399</f>
        <v>42.7442919529412</v>
      </c>
      <c r="E401" s="22" t="n">
        <f aca="false">E394*$D401/$D394</f>
        <v>44.8815065505883</v>
      </c>
      <c r="F401" s="22" t="n">
        <f aca="false">F394*$D401/$D394</f>
        <v>46.2279517471059</v>
      </c>
      <c r="G401" s="22" t="n">
        <f aca="false">G394*$D401/$D394</f>
        <v>47.6147902995191</v>
      </c>
      <c r="K401" s="7" t="s">
        <v>632</v>
      </c>
    </row>
    <row r="402" customFormat="false" ht="17.15" hidden="false" customHeight="false" outlineLevel="0" collapsed="false">
      <c r="A402" s="3" t="s">
        <v>633</v>
      </c>
      <c r="B402" s="0" t="s">
        <v>203</v>
      </c>
      <c r="D402" s="22" t="n">
        <f aca="false">net26*D397-D400</f>
        <v>0.28054164705882</v>
      </c>
      <c r="E402" s="22" t="n">
        <f aca="false">E394*$D402/$D394</f>
        <v>0.294568729411761</v>
      </c>
      <c r="F402" s="22" t="n">
        <f aca="false">F394*$D402/$D394</f>
        <v>0.303405791294114</v>
      </c>
      <c r="G402" s="22" t="n">
        <f aca="false">G394*$D402/$D394</f>
        <v>0.312507965032938</v>
      </c>
    </row>
    <row r="403" customFormat="false" ht="17.15" hidden="false" customHeight="false" outlineLevel="0" collapsed="false">
      <c r="A403" s="3" t="s">
        <v>634</v>
      </c>
      <c r="B403" s="0" t="s">
        <v>203</v>
      </c>
      <c r="C403" s="22" t="n">
        <f aca="false">srv25*C397</f>
        <v>48.0032</v>
      </c>
      <c r="D403" s="22" t="n">
        <f aca="false">D399+D401</f>
        <v>82.2178656</v>
      </c>
      <c r="E403" s="22" t="n">
        <f aca="false">E399+E401</f>
        <v>114.640616874639</v>
      </c>
      <c r="F403" s="22" t="n">
        <f aca="false">F399+F401</f>
        <v>143.398072627775</v>
      </c>
      <c r="G403" s="22" t="n">
        <f aca="false">G399+G401</f>
        <v>165.389033051982</v>
      </c>
      <c r="K403" s="3" t="s">
        <v>635</v>
      </c>
    </row>
    <row r="404" customFormat="false" ht="15" hidden="false" customHeight="false" outlineLevel="0" collapsed="false">
      <c r="A404" s="3" t="s">
        <v>636</v>
      </c>
      <c r="B404" s="0" t="s">
        <v>203</v>
      </c>
      <c r="C404" s="22" t="n">
        <f aca="false">net25*C397</f>
        <v>6.0004</v>
      </c>
      <c r="D404" s="22" t="n">
        <f aca="false">D400+D402</f>
        <v>15.811128</v>
      </c>
      <c r="E404" s="22" t="n">
        <f aca="false">E400+E402</f>
        <v>24.3391982453611</v>
      </c>
      <c r="F404" s="22" t="n">
        <f aca="false">F400+F402</f>
        <v>32.8743960306247</v>
      </c>
      <c r="G404" s="22" t="n">
        <f aca="false">G400+G402</f>
        <v>39.7365148373704</v>
      </c>
      <c r="K404" s="3" t="s">
        <v>637</v>
      </c>
    </row>
    <row r="405" customFormat="false" ht="15" hidden="false" customHeight="false" outlineLevel="0" collapsed="false">
      <c r="A405" s="3" t="s">
        <v>638</v>
      </c>
      <c r="B405" s="0" t="s">
        <v>203</v>
      </c>
      <c r="C405" s="22" t="n">
        <f aca="false">C397-C403-C404</f>
        <v>6.0004</v>
      </c>
      <c r="D405" s="22" t="n">
        <f aca="false">D397-D403-D404</f>
        <v>7.3785264</v>
      </c>
      <c r="E405" s="22" t="n">
        <f aca="false">E397-E403-E404</f>
        <v>7.74745271999999</v>
      </c>
      <c r="F405" s="22" t="n">
        <f aca="false">F397-F403-F404</f>
        <v>7.97987630159997</v>
      </c>
      <c r="G405" s="22" t="n">
        <f aca="false">G397-G403-G404</f>
        <v>8.219272590648</v>
      </c>
      <c r="K405" s="3" t="s">
        <v>639</v>
      </c>
    </row>
    <row r="406" customFormat="false" ht="17.15" hidden="false" customHeight="false" outlineLevel="0" collapsed="false">
      <c r="A406" s="3" t="s">
        <v>640</v>
      </c>
      <c r="B406" s="0" t="s">
        <v>203</v>
      </c>
      <c r="C406" s="28" t="n">
        <f aca="false">C403+C404+C405-C397</f>
        <v>0</v>
      </c>
      <c r="D406" s="28" t="n">
        <f aca="false">ROUND(D401+D402+D405-D394,9)</f>
        <v>0</v>
      </c>
      <c r="E406" s="28" t="n">
        <f aca="false">ROUND(E401+E402+E405-E394,9)</f>
        <v>0</v>
      </c>
      <c r="F406" s="28" t="n">
        <f aca="false">ROUND(F401+F402+F405-F394,9)</f>
        <v>0</v>
      </c>
      <c r="G406" s="28" t="n">
        <f aca="false">ROUND(G401+G402+G405-G394,9)</f>
        <v>0</v>
      </c>
    </row>
    <row r="407" customFormat="false" ht="17.15" hidden="false" customHeight="false" outlineLevel="0" collapsed="false">
      <c r="A407" s="0" t="s">
        <v>641</v>
      </c>
      <c r="B407" s="0" t="s">
        <v>55</v>
      </c>
      <c r="C407" s="14" t="n">
        <f aca="false">C395/C397</f>
        <v>0.3</v>
      </c>
      <c r="D407" s="14" t="n">
        <f aca="false">D395/D397</f>
        <v>0.521823869871903</v>
      </c>
      <c r="E407" s="14" t="n">
        <f aca="false">E395/E397</f>
        <v>0.639306798394754</v>
      </c>
      <c r="F407" s="14" t="n">
        <f aca="false">F395/F397</f>
        <v>0.704149036193629</v>
      </c>
      <c r="G407" s="14" t="n">
        <f aca="false">G395/G397</f>
        <v>0.736827119923151</v>
      </c>
    </row>
    <row r="408" customFormat="false" ht="17.15" hidden="false" customHeight="false" outlineLevel="0" collapsed="false">
      <c r="A408" s="3" t="s">
        <v>642</v>
      </c>
      <c r="B408" s="0" t="s">
        <v>55</v>
      </c>
      <c r="D408" s="14" t="n">
        <f aca="false">(D390+D394)/D393</f>
        <v>1</v>
      </c>
      <c r="E408" s="14" t="n">
        <f aca="false">(E390+E394)/E393</f>
        <v>1.31317806905558</v>
      </c>
      <c r="F408" s="14" t="n">
        <f aca="false">(F390+F394)/F393</f>
        <v>1.09031844724543</v>
      </c>
      <c r="G408" s="14" t="n">
        <f aca="false">(G390+G394)/G393</f>
        <v>1.09181444736413</v>
      </c>
      <c r="K408" s="3" t="s">
        <v>643</v>
      </c>
    </row>
    <row r="409" customFormat="false" ht="17.15" hidden="false" customHeight="false" outlineLevel="0" collapsed="false">
      <c r="A409" s="3" t="s">
        <v>569</v>
      </c>
      <c r="B409" s="0" t="s">
        <v>96</v>
      </c>
      <c r="D409" s="21" t="n">
        <f aca="false">D395/fx/D379*1000</f>
        <v>73.4578604462224</v>
      </c>
      <c r="E409" s="21" t="n">
        <f aca="false">E395/fx/E379*1000</f>
        <v>70.3864228555647</v>
      </c>
      <c r="F409" s="21" t="n">
        <f aca="false">F395/fx/F379*1000</f>
        <v>95.999372762007</v>
      </c>
      <c r="G409" s="21" t="n">
        <f aca="false">G395/fx/G379*1000</f>
        <v>96.100478009799</v>
      </c>
    </row>
    <row r="410" customFormat="false" ht="17.15" hidden="false" customHeight="false" outlineLevel="0" collapsed="false">
      <c r="A410" s="5" t="s">
        <v>644</v>
      </c>
    </row>
    <row r="411" customFormat="false" ht="17.15" hidden="false" customHeight="false" outlineLevel="0" collapsed="false">
      <c r="A411" s="3" t="s">
        <v>645</v>
      </c>
      <c r="B411" s="0" t="s">
        <v>55</v>
      </c>
      <c r="D411" s="14" t="n">
        <f aca="false">a26_gp/D397-d_ai*D407</f>
        <v>0.296655205435058</v>
      </c>
      <c r="K411" s="7" t="s">
        <v>646</v>
      </c>
    </row>
    <row r="412" customFormat="false" ht="17.15" hidden="false" customHeight="false" outlineLevel="0" collapsed="false">
      <c r="A412" s="0" t="s">
        <v>647</v>
      </c>
      <c r="B412" s="0" t="s">
        <v>55</v>
      </c>
      <c r="D412" s="14" t="n">
        <f aca="false">D411+d_ai</f>
        <v>0.396655205435058</v>
      </c>
      <c r="E412" s="14" t="n">
        <f aca="false">1-(1-$D$412)/E386+gmu_27</f>
        <v>0.381515838994852</v>
      </c>
      <c r="F412" s="14" t="n">
        <f aca="false">1-(1-$D$412)/F386+gmu_28</f>
        <v>0.359190440690281</v>
      </c>
      <c r="G412" s="14" t="n">
        <f aca="false">1-(1-$D$412)/G386+gmu_29</f>
        <v>0.334380915267112</v>
      </c>
      <c r="K412" s="7" t="s">
        <v>648</v>
      </c>
    </row>
    <row r="413" customFormat="false" ht="15" hidden="false" customHeight="false" outlineLevel="0" collapsed="false">
      <c r="A413" s="3" t="s">
        <v>503</v>
      </c>
      <c r="B413" s="0" t="s">
        <v>203</v>
      </c>
      <c r="C413" s="22" t="n">
        <f aca="false">a25_gp</f>
        <v>19.683</v>
      </c>
      <c r="D413" s="22" t="n">
        <f aca="false">a26_gp</f>
        <v>36.7701055</v>
      </c>
      <c r="E413" s="22" t="n">
        <f aca="false">E395*E412+E394*$D$411</f>
        <v>51.4876525771005</v>
      </c>
      <c r="F413" s="22" t="n">
        <f aca="false">F395*F412+F394*$D$411</f>
        <v>62.7728081521632</v>
      </c>
      <c r="G413" s="22" t="n">
        <f aca="false">G395*G412+G394*$D$411</f>
        <v>69.2202670994519</v>
      </c>
    </row>
    <row r="414" customFormat="false" ht="15" hidden="false" customHeight="false" outlineLevel="0" collapsed="false">
      <c r="A414" s="3" t="s">
        <v>506</v>
      </c>
      <c r="B414" s="0" t="s">
        <v>55</v>
      </c>
      <c r="C414" s="14" t="n">
        <f aca="false">C413/C397</f>
        <v>0.328028131457903</v>
      </c>
      <c r="D414" s="14" t="n">
        <f aca="false">D413/D397</f>
        <v>0.348837592422248</v>
      </c>
      <c r="E414" s="14" t="n">
        <f aca="false">E413/E397</f>
        <v>0.350907185385921</v>
      </c>
      <c r="F414" s="14" t="n">
        <f aca="false">F413/F397</f>
        <v>0.340689331068165</v>
      </c>
      <c r="G414" s="14" t="n">
        <f aca="false">G413/G397</f>
        <v>0.324452531557667</v>
      </c>
    </row>
    <row r="415" customFormat="false" ht="15" hidden="false" customHeight="false" outlineLevel="0" collapsed="false">
      <c r="A415" s="3" t="s">
        <v>649</v>
      </c>
      <c r="B415" s="0" t="s">
        <v>203</v>
      </c>
      <c r="C415" s="22" t="n">
        <f aca="false">a25_opx</f>
        <v>5.64</v>
      </c>
      <c r="D415" s="22" t="n">
        <f aca="false">a26_opx</f>
        <v>8.4779754</v>
      </c>
      <c r="E415" s="22" t="n">
        <f aca="false">D415*(1+MAX(0,phi*E398))</f>
        <v>10.47199521408</v>
      </c>
      <c r="F415" s="22" t="n">
        <f aca="false">E415*(1+MAX(0,phi*F398))</f>
        <v>12.0789048245164</v>
      </c>
      <c r="G415" s="22" t="n">
        <f aca="false">F415*(1+MAX(0,phi*G398))</f>
        <v>13.2232221236811</v>
      </c>
    </row>
    <row r="416" customFormat="false" ht="15" hidden="false" customHeight="false" outlineLevel="0" collapsed="false">
      <c r="A416" s="3" t="s">
        <v>508</v>
      </c>
      <c r="B416" s="0" t="s">
        <v>203</v>
      </c>
      <c r="C416" s="22" t="n">
        <f aca="false">C415</f>
        <v>5.64</v>
      </c>
      <c r="D416" s="22" t="n">
        <f aca="false">D415</f>
        <v>8.4779754</v>
      </c>
      <c r="E416" s="22" t="n">
        <f aca="false">E415+0*E397</f>
        <v>10.47199521408</v>
      </c>
      <c r="F416" s="22" t="n">
        <f aca="false">F415+0*F397</f>
        <v>12.0789048245164</v>
      </c>
      <c r="G416" s="22" t="n">
        <f aca="false">G415+0*G397</f>
        <v>13.2232221236811</v>
      </c>
    </row>
    <row r="417" customFormat="false" ht="15" hidden="false" customHeight="false" outlineLevel="0" collapsed="false">
      <c r="A417" s="3" t="s">
        <v>650</v>
      </c>
      <c r="B417" s="0" t="s">
        <v>203</v>
      </c>
      <c r="C417" s="22" t="n">
        <f aca="false">C413-C416</f>
        <v>14.043</v>
      </c>
      <c r="D417" s="22" t="n">
        <f aca="false">D413-D416</f>
        <v>28.2921301</v>
      </c>
      <c r="E417" s="22" t="n">
        <f aca="false">E413-E416</f>
        <v>41.0156573630205</v>
      </c>
      <c r="F417" s="22" t="n">
        <f aca="false">F413-F416</f>
        <v>50.6939033276468</v>
      </c>
      <c r="G417" s="22" t="n">
        <f aca="false">G413-G416</f>
        <v>55.9970449757708</v>
      </c>
    </row>
    <row r="418" customFormat="false" ht="15" hidden="false" customHeight="false" outlineLevel="0" collapsed="false">
      <c r="A418" s="3" t="s">
        <v>514</v>
      </c>
      <c r="B418" s="0" t="s">
        <v>55</v>
      </c>
      <c r="C418" s="14" t="n">
        <f aca="false">C417/C397</f>
        <v>0.23403439770682</v>
      </c>
      <c r="D418" s="14" t="n">
        <f aca="false">D417/D397</f>
        <v>0.268407131673338</v>
      </c>
      <c r="E418" s="14" t="n">
        <f aca="false">E417/E397</f>
        <v>0.279536707571945</v>
      </c>
      <c r="F418" s="14" t="n">
        <f aca="false">F417/F397</f>
        <v>0.275133015748875</v>
      </c>
      <c r="G418" s="14" t="n">
        <f aca="false">G417/G397</f>
        <v>0.262472015255792</v>
      </c>
    </row>
    <row r="419" customFormat="false" ht="17.15" hidden="false" customHeight="false" outlineLevel="0" collapsed="false">
      <c r="A419" s="3" t="s">
        <v>515</v>
      </c>
      <c r="B419" s="0" t="s">
        <v>203</v>
      </c>
      <c r="E419" s="22" t="n">
        <f aca="false">nop_f</f>
        <v>0</v>
      </c>
      <c r="F419" s="22" t="n">
        <f aca="false">nop_f</f>
        <v>0</v>
      </c>
      <c r="G419" s="22" t="n">
        <f aca="false">nop_f</f>
        <v>0</v>
      </c>
      <c r="K419" s="7" t="s">
        <v>651</v>
      </c>
    </row>
    <row r="420" customFormat="false" ht="15" hidden="false" customHeight="false" outlineLevel="0" collapsed="false">
      <c r="A420" s="3" t="s">
        <v>520</v>
      </c>
      <c r="B420" s="0" t="s">
        <v>203</v>
      </c>
      <c r="C420" s="22" t="n">
        <f aca="false">a25_ni</f>
        <v>9.607</v>
      </c>
      <c r="D420" s="22" t="n">
        <f aca="false">a26_ni</f>
        <v>19.6977289395284</v>
      </c>
      <c r="E420" s="22" t="n">
        <f aca="false">(E417+E419)*nir_f</f>
        <v>28.095725293669</v>
      </c>
      <c r="F420" s="22" t="n">
        <f aca="false">(F417+F419)*nir_f</f>
        <v>34.725323779438</v>
      </c>
      <c r="G420" s="22" t="n">
        <f aca="false">(G417+G419)*nir_f</f>
        <v>38.357975808403</v>
      </c>
      <c r="H420" s="24" t="n">
        <f aca="false">H397*H425</f>
        <v>41.715192257748</v>
      </c>
      <c r="I420" s="24" t="n">
        <f aca="false">I397*I425</f>
        <v>43.7367129602112</v>
      </c>
      <c r="J420" s="24" t="n">
        <f aca="false">J397*J425</f>
        <v>44.14830378523</v>
      </c>
    </row>
    <row r="421" customFormat="false" ht="17.15" hidden="false" customHeight="false" outlineLevel="0" collapsed="false">
      <c r="A421" s="3" t="s">
        <v>523</v>
      </c>
      <c r="B421" s="0" t="s">
        <v>55</v>
      </c>
      <c r="C421" s="14" t="n">
        <f aca="false">C420/C417</f>
        <v>0.684113081250445</v>
      </c>
      <c r="D421" s="14" t="n">
        <f aca="false">D420/D417</f>
        <v>0.696226437171953</v>
      </c>
      <c r="E421" s="14" t="n">
        <f aca="false">E420/E417</f>
        <v>0.685</v>
      </c>
      <c r="F421" s="14" t="n">
        <f aca="false">F420/F417</f>
        <v>0.685</v>
      </c>
      <c r="G421" s="14" t="n">
        <f aca="false">G420/G417</f>
        <v>0.685</v>
      </c>
    </row>
    <row r="422" customFormat="false" ht="17.15" hidden="false" customHeight="false" outlineLevel="0" collapsed="false">
      <c r="A422" s="3" t="s">
        <v>652</v>
      </c>
      <c r="B422" s="3" t="s">
        <v>233</v>
      </c>
      <c r="C422" s="27" t="n">
        <f aca="false">a25_sh</f>
        <v>0.493425783256292</v>
      </c>
      <c r="D422" s="27" t="n">
        <f aca="false">a26_sh</f>
        <v>0.512980850061958</v>
      </c>
      <c r="E422" s="27" t="n">
        <f aca="false">sh_h2*(1+sh_g)</f>
        <v>0.51889356</v>
      </c>
      <c r="F422" s="27" t="n">
        <f aca="false">E422*(1+sh_g)</f>
        <v>0.5240824956</v>
      </c>
      <c r="G422" s="27" t="n">
        <f aca="false">F422*(1+sh_g)</f>
        <v>0.529323320556</v>
      </c>
      <c r="H422" s="29" t="n">
        <f aca="false">G422*(1+sh_g)</f>
        <v>0.53461655376156</v>
      </c>
      <c r="I422" s="29" t="n">
        <f aca="false">H422*(1+sh_g)</f>
        <v>0.539962719299176</v>
      </c>
      <c r="J422" s="29" t="n">
        <f aca="false">I422*(1+sh_g)</f>
        <v>0.545362346492167</v>
      </c>
      <c r="K422" s="7" t="s">
        <v>653</v>
      </c>
    </row>
    <row r="423" customFormat="false" ht="15" hidden="false" customHeight="false" outlineLevel="0" collapsed="false">
      <c r="A423" s="0" t="s">
        <v>526</v>
      </c>
      <c r="B423" s="0" t="s">
        <v>271</v>
      </c>
      <c r="C423" s="23" t="n">
        <f aca="false">C420/C422</f>
        <v>19.47</v>
      </c>
      <c r="D423" s="23" t="n">
        <f aca="false">D420/D422</f>
        <v>38.3985658278458</v>
      </c>
      <c r="E423" s="23" t="n">
        <f aca="false">E420/E422</f>
        <v>54.1454499717997</v>
      </c>
      <c r="F423" s="23" t="n">
        <f aca="false">F420/F422</f>
        <v>66.2592703839163</v>
      </c>
      <c r="G423" s="23" t="n">
        <f aca="false">G420/G422</f>
        <v>72.4660605697702</v>
      </c>
      <c r="H423" s="30" t="n">
        <f aca="false">H420/H422</f>
        <v>78.0282465334081</v>
      </c>
      <c r="I423" s="30" t="n">
        <f aca="false">I420/I422</f>
        <v>80.9995049602269</v>
      </c>
      <c r="J423" s="30" t="n">
        <f aca="false">J420/J422</f>
        <v>80.9522404126302</v>
      </c>
    </row>
    <row r="424" customFormat="false" ht="17.15" hidden="false" customHeight="false" outlineLevel="0" collapsed="false">
      <c r="A424" s="0" t="s">
        <v>654</v>
      </c>
      <c r="B424" s="0" t="s">
        <v>55</v>
      </c>
      <c r="D424" s="14" t="n">
        <f aca="false">D423/C423-1</f>
        <v>0.9721913624985</v>
      </c>
      <c r="E424" s="14" t="n">
        <f aca="false">E423/D423-1</f>
        <v>0.41009042406825</v>
      </c>
      <c r="F424" s="14" t="n">
        <f aca="false">F423/E423-1</f>
        <v>0.223727393870137</v>
      </c>
      <c r="G424" s="14" t="n">
        <f aca="false">G423/F423-1</f>
        <v>0.0936742911579132</v>
      </c>
      <c r="H424" s="25" t="n">
        <f aca="false">H423/G423-1</f>
        <v>0.0767557380642023</v>
      </c>
      <c r="I424" s="25" t="n">
        <f aca="false">I423/H423-1</f>
        <v>0.038079266917098</v>
      </c>
      <c r="J424" s="25" t="n">
        <f aca="false">J423/I423-1</f>
        <v>-0.000583516499513714</v>
      </c>
    </row>
    <row r="425" customFormat="false" ht="17.15" hidden="false" customHeight="false" outlineLevel="0" collapsed="false">
      <c r="A425" s="3" t="s">
        <v>655</v>
      </c>
      <c r="B425" s="0" t="s">
        <v>55</v>
      </c>
      <c r="C425" s="14" t="n">
        <f aca="false">C420/C397</f>
        <v>0.160105992933804</v>
      </c>
      <c r="D425" s="14" t="n">
        <f aca="false">D420/D397</f>
        <v>0.186872140996471</v>
      </c>
      <c r="E425" s="14" t="n">
        <f aca="false">E420/E397</f>
        <v>0.191482644686782</v>
      </c>
      <c r="F425" s="14" t="n">
        <f aca="false">F420/F397</f>
        <v>0.188466115787979</v>
      </c>
      <c r="G425" s="14" t="n">
        <f aca="false">G420/G397</f>
        <v>0.179793330450218</v>
      </c>
      <c r="H425" s="25" t="n">
        <f aca="false">$G425+(fade_mB-$G425)*1/3</f>
        <v>0.174798899123632</v>
      </c>
      <c r="I425" s="25" t="n">
        <f aca="false">$G425+(fade_mB-$G425)*2/3</f>
        <v>0.169804467797047</v>
      </c>
      <c r="J425" s="25" t="n">
        <f aca="false">$G425+(fade_mB-$G425)*3/3</f>
        <v>0.164810036470462</v>
      </c>
    </row>
    <row r="428" customFormat="false" ht="17.15" hidden="false" customHeight="false" outlineLevel="0" collapsed="false">
      <c r="A428" s="1" t="s">
        <v>997</v>
      </c>
    </row>
    <row r="429" customFormat="false" ht="17.15" hidden="false" customHeight="false" outlineLevel="0" collapsed="false">
      <c r="A429" s="4" t="s">
        <v>24</v>
      </c>
      <c r="B429" s="4" t="s">
        <v>25</v>
      </c>
      <c r="C429" s="15" t="s">
        <v>494</v>
      </c>
      <c r="D429" s="15" t="s">
        <v>583</v>
      </c>
      <c r="E429" s="15" t="s">
        <v>584</v>
      </c>
      <c r="F429" s="15" t="s">
        <v>585</v>
      </c>
      <c r="G429" s="15" t="s">
        <v>586</v>
      </c>
      <c r="H429" s="15" t="s">
        <v>587</v>
      </c>
      <c r="I429" s="15" t="s">
        <v>588</v>
      </c>
      <c r="J429" s="15" t="s">
        <v>589</v>
      </c>
      <c r="K429" s="4" t="s">
        <v>458</v>
      </c>
    </row>
    <row r="430" customFormat="false" ht="17.15" hidden="false" customHeight="false" outlineLevel="0" collapsed="false">
      <c r="A430" s="5" t="s">
        <v>605</v>
      </c>
    </row>
    <row r="431" customFormat="false" ht="17.15" hidden="false" customHeight="false" outlineLevel="0" collapsed="false">
      <c r="A431" s="0" t="s">
        <v>606</v>
      </c>
      <c r="B431" s="0" t="s">
        <v>35</v>
      </c>
      <c r="D431" s="23" t="n">
        <f aca="false">itc_26*1</f>
        <v>781.872916666666</v>
      </c>
      <c r="E431" s="23" t="n">
        <f aca="false">itc_27*1*1</f>
        <v>1565.35</v>
      </c>
      <c r="F431" s="23" t="n">
        <f aca="false">itc_28*um28_B*1</f>
        <v>1587.41111111111</v>
      </c>
      <c r="G431" s="23" t="n">
        <f aca="false">itc_29*um29_B*1</f>
        <v>1921.33173611111</v>
      </c>
    </row>
    <row r="432" customFormat="false" ht="17.15" hidden="false" customHeight="false" outlineLevel="0" collapsed="false">
      <c r="A432" s="3" t="s">
        <v>607</v>
      </c>
      <c r="B432" s="0" t="s">
        <v>35</v>
      </c>
      <c r="D432" s="23" t="n">
        <f aca="false">itpg_gb*(1-vr26)+itpg_vr*vr26</f>
        <v>33.41403216</v>
      </c>
      <c r="E432" s="23" t="n">
        <f aca="false">itpg_vr</f>
        <v>37.586352</v>
      </c>
      <c r="F432" s="23" t="n">
        <f aca="false">itpg_vr</f>
        <v>37.586352</v>
      </c>
      <c r="G432" s="23" t="n">
        <f aca="false">itpg_vr</f>
        <v>37.586352</v>
      </c>
    </row>
    <row r="433" customFormat="false" ht="17.15" hidden="false" customHeight="false" outlineLevel="0" collapsed="false">
      <c r="A433" s="3" t="s">
        <v>608</v>
      </c>
      <c r="B433" s="0" t="s">
        <v>549</v>
      </c>
      <c r="D433" s="20" t="n">
        <f aca="false">D431/D432</f>
        <v>23.3995380420639</v>
      </c>
      <c r="E433" s="20" t="n">
        <f aca="false">E431/E432</f>
        <v>41.6467658260637</v>
      </c>
      <c r="F433" s="20" t="n">
        <f aca="false">F431/F432</f>
        <v>42.2337105529984</v>
      </c>
      <c r="G433" s="20" t="n">
        <f aca="false">G431/G432</f>
        <v>51.1178029756948</v>
      </c>
    </row>
    <row r="434" customFormat="false" ht="17.15" hidden="false" customHeight="false" outlineLevel="0" collapsed="false">
      <c r="A434" s="3" t="s">
        <v>553</v>
      </c>
      <c r="B434" s="0" t="s">
        <v>96</v>
      </c>
      <c r="D434" s="21" t="n">
        <f aca="false">vg_cmp26</f>
        <v>280</v>
      </c>
      <c r="E434" s="21" t="n">
        <f aca="false">(vg_cmp26+(vg_cmp27-vg_cmp26)*pgwf)</f>
        <v>420</v>
      </c>
      <c r="F434" s="21" t="n">
        <f aca="false">(vg_cmp26+(vg_cmp28-vg_cmp26)*pgwf)</f>
        <v>462</v>
      </c>
      <c r="G434" s="21" t="n">
        <f aca="false">(vg_cmp26+(vg_cmp29-vg_cmp26)*pgwf)</f>
        <v>504</v>
      </c>
    </row>
    <row r="435" customFormat="false" ht="17.15" hidden="false" customHeight="false" outlineLevel="0" collapsed="false">
      <c r="A435" s="3" t="s">
        <v>555</v>
      </c>
      <c r="B435" s="0" t="s">
        <v>96</v>
      </c>
      <c r="D435" s="21" t="n">
        <f aca="false">vg_sw26</f>
        <v>120</v>
      </c>
      <c r="E435" s="21" t="n">
        <f aca="false">(vg_sw26+(vg_sw27-vg_sw26)*pgwf)</f>
        <v>162</v>
      </c>
      <c r="F435" s="21" t="n">
        <f aca="false">(vg_sw26+(vg_sw28-vg_sw26)*pgwf)</f>
        <v>180</v>
      </c>
      <c r="G435" s="21" t="n">
        <f aca="false">(vg_sw26+(vg_sw29-vg_sw26)*pgwf)</f>
        <v>198</v>
      </c>
    </row>
    <row r="436" customFormat="false" ht="17.15" hidden="false" customHeight="false" outlineLevel="0" collapsed="false">
      <c r="A436" s="3" t="s">
        <v>609</v>
      </c>
      <c r="B436" s="0" t="s">
        <v>96</v>
      </c>
      <c r="D436" s="21" t="n">
        <f aca="false">vg_mid26*w_mid</f>
        <v>25</v>
      </c>
      <c r="E436" s="21" t="n">
        <f aca="false">(vg_mid26+(vg_mid27-vg_mid26)*pgwf)*w_mid</f>
        <v>50</v>
      </c>
      <c r="F436" s="21" t="n">
        <f aca="false">(vg_mid26+(vg_mid28-vg_mid26)*pgwf)*w_mid</f>
        <v>75</v>
      </c>
      <c r="G436" s="21" t="n">
        <f aca="false">(vg_mid26+(vg_mid29-vg_mid26)*pgwf)*w_mid</f>
        <v>87.5</v>
      </c>
    </row>
    <row r="437" customFormat="false" ht="17.15" hidden="false" customHeight="false" outlineLevel="0" collapsed="false">
      <c r="A437" s="3" t="s">
        <v>610</v>
      </c>
      <c r="B437" s="0" t="s">
        <v>96</v>
      </c>
      <c r="D437" s="21" t="n">
        <f aca="false">D434+D435+D436</f>
        <v>425</v>
      </c>
      <c r="E437" s="21" t="n">
        <f aca="false">E434+E435+E436</f>
        <v>632</v>
      </c>
      <c r="F437" s="21" t="n">
        <f aca="false">F434+F435+F436</f>
        <v>717</v>
      </c>
      <c r="G437" s="21" t="n">
        <f aca="false">G434+G435+G436</f>
        <v>789.5</v>
      </c>
    </row>
    <row r="438" customFormat="false" ht="17.15" hidden="false" customHeight="false" outlineLevel="0" collapsed="false">
      <c r="A438" s="3" t="s">
        <v>611</v>
      </c>
      <c r="B438" s="0" t="s">
        <v>35</v>
      </c>
      <c r="D438" s="23" t="n">
        <f aca="false">D433*D437/1000</f>
        <v>9.94480366787715</v>
      </c>
      <c r="E438" s="23" t="n">
        <f aca="false">E433*E437/1000</f>
        <v>26.3207560020722</v>
      </c>
      <c r="F438" s="23" t="n">
        <f aca="false">F433*F437/1000</f>
        <v>30.2815704664998</v>
      </c>
      <c r="G438" s="23" t="n">
        <f aca="false">G433*G437/1000</f>
        <v>40.3575054493111</v>
      </c>
    </row>
    <row r="439" customFormat="false" ht="17.15" hidden="false" customHeight="false" outlineLevel="0" collapsed="false">
      <c r="A439" s="3" t="s">
        <v>612</v>
      </c>
      <c r="B439" s="0" t="s">
        <v>203</v>
      </c>
      <c r="D439" s="22" t="n">
        <f aca="false">D438*fx</f>
        <v>318.233717372069</v>
      </c>
      <c r="E439" s="22" t="n">
        <f aca="false">E438*fx</f>
        <v>842.264192066312</v>
      </c>
      <c r="F439" s="22" t="n">
        <f aca="false">F438*fx</f>
        <v>969.010254927995</v>
      </c>
      <c r="G439" s="22" t="n">
        <f aca="false">G438*fx</f>
        <v>1291.44017437795</v>
      </c>
    </row>
    <row r="440" customFormat="false" ht="17.15" hidden="false" customHeight="false" outlineLevel="0" collapsed="false">
      <c r="A440" s="0" t="s">
        <v>613</v>
      </c>
      <c r="B440" s="0" t="s">
        <v>69</v>
      </c>
      <c r="D440" s="18" t="n">
        <f aca="false">1</f>
        <v>1</v>
      </c>
      <c r="E440" s="18" t="n">
        <f aca="false">PPHI_27</f>
        <v>1.03</v>
      </c>
      <c r="F440" s="18" t="n">
        <f aca="false">PPHI_28</f>
        <v>1.02</v>
      </c>
      <c r="G440" s="18" t="n">
        <f aca="false">PPHI_29</f>
        <v>1</v>
      </c>
    </row>
    <row r="441" customFormat="false" ht="17.15" hidden="false" customHeight="false" outlineLevel="0" collapsed="false">
      <c r="A441" s="3" t="s">
        <v>614</v>
      </c>
      <c r="B441" s="0" t="s">
        <v>55</v>
      </c>
      <c r="D441" s="14" t="n">
        <f aca="false">a26_ai/D439</f>
        <v>0.172842024579347</v>
      </c>
      <c r="K441" s="7" t="s">
        <v>615</v>
      </c>
    </row>
    <row r="442" customFormat="false" ht="17.15" hidden="false" customHeight="false" outlineLevel="0" collapsed="false">
      <c r="A442" s="3" t="s">
        <v>616</v>
      </c>
      <c r="B442" s="0" t="s">
        <v>69</v>
      </c>
      <c r="D442" s="18" t="n">
        <f aca="false">1</f>
        <v>1</v>
      </c>
      <c r="E442" s="18" t="n">
        <f aca="false">rel_27</f>
        <v>1</v>
      </c>
      <c r="F442" s="18" t="n">
        <f aca="false">rel_28</f>
        <v>0.95</v>
      </c>
      <c r="G442" s="18" t="n">
        <f aca="false">rel_29</f>
        <v>0.9</v>
      </c>
    </row>
    <row r="443" customFormat="false" ht="15" hidden="false" customHeight="false" outlineLevel="0" collapsed="false">
      <c r="A443" s="3" t="s">
        <v>565</v>
      </c>
      <c r="B443" s="0" t="s">
        <v>55</v>
      </c>
      <c r="D443" s="14" t="n">
        <f aca="false">$D$441*D442</f>
        <v>0.172842024579347</v>
      </c>
      <c r="E443" s="14" t="n">
        <f aca="false">$D$441*E442</f>
        <v>0.172842024579347</v>
      </c>
      <c r="F443" s="14" t="n">
        <f aca="false">$D$441*F442</f>
        <v>0.164199923350379</v>
      </c>
      <c r="G443" s="14" t="n">
        <f aca="false">$D$441*G442</f>
        <v>0.155557822121412</v>
      </c>
    </row>
    <row r="444" customFormat="false" ht="17.15" hidden="false" customHeight="false" outlineLevel="0" collapsed="false">
      <c r="A444" s="0" t="s">
        <v>617</v>
      </c>
      <c r="B444" s="0" t="s">
        <v>203</v>
      </c>
      <c r="D444" s="22" t="n">
        <f aca="false">D439*D443*D440</f>
        <v>55.00416</v>
      </c>
      <c r="E444" s="22" t="n">
        <f aca="false">E439*E443*E440</f>
        <v>149.946007633052</v>
      </c>
      <c r="F444" s="22" t="n">
        <f aca="false">F439*F443*F440</f>
        <v>162.293637776607</v>
      </c>
      <c r="G444" s="22" t="n">
        <f aca="false">G439*G443*G440</f>
        <v>200.893620926331</v>
      </c>
    </row>
    <row r="445" customFormat="false" ht="17.15" hidden="false" customHeight="false" outlineLevel="0" collapsed="false">
      <c r="A445" s="5" t="s">
        <v>618</v>
      </c>
    </row>
    <row r="446" customFormat="false" ht="17.15" hidden="false" customHeight="false" outlineLevel="0" collapsed="false">
      <c r="A446" s="3" t="s">
        <v>619</v>
      </c>
      <c r="B446" s="0" t="s">
        <v>69</v>
      </c>
      <c r="D446" s="18" t="n">
        <f aca="false">1</f>
        <v>1</v>
      </c>
      <c r="E446" s="18" t="n">
        <f aca="false">cx_27</f>
        <v>1.45</v>
      </c>
      <c r="F446" s="18" t="n">
        <f aca="false">cx_28</f>
        <v>1.9</v>
      </c>
      <c r="G446" s="18" t="n">
        <f aca="false">cx_29</f>
        <v>2.3</v>
      </c>
      <c r="K446" s="7" t="s">
        <v>620</v>
      </c>
    </row>
    <row r="447" customFormat="false" ht="17.15" hidden="false" customHeight="false" outlineLevel="0" collapsed="false">
      <c r="A447" s="3" t="s">
        <v>621</v>
      </c>
      <c r="B447" s="0" t="s">
        <v>203</v>
      </c>
      <c r="D447" s="22" t="n">
        <f aca="false">a26_rev*D446*D440</f>
        <v>105.40752</v>
      </c>
      <c r="E447" s="22" t="n">
        <f aca="false">a26_rev*E446*E440</f>
        <v>157.42613112</v>
      </c>
      <c r="F447" s="22" t="n">
        <f aca="false">a26_rev*F446*F440</f>
        <v>204.27977376</v>
      </c>
      <c r="G447" s="22" t="n">
        <f aca="false">a26_rev*G446*G440</f>
        <v>242.437296</v>
      </c>
    </row>
    <row r="448" customFormat="false" ht="17.15" hidden="false" customHeight="false" outlineLevel="0" collapsed="false">
      <c r="A448" s="3" t="s">
        <v>622</v>
      </c>
      <c r="B448" s="0" t="s">
        <v>203</v>
      </c>
      <c r="C448" s="22" t="n">
        <f aca="false">a25_nai</f>
        <v>42.0028</v>
      </c>
      <c r="D448" s="22" t="n">
        <f aca="false">a26_nai</f>
        <v>50.40336</v>
      </c>
      <c r="E448" s="22" t="n">
        <f aca="false">D448*(1+g_nai27)</f>
        <v>52.923528</v>
      </c>
      <c r="F448" s="22" t="n">
        <f aca="false">E448*(1+g_nai28)</f>
        <v>54.51123384</v>
      </c>
      <c r="G448" s="22" t="n">
        <f aca="false">F448*(1+g_nai29)</f>
        <v>56.1465708552</v>
      </c>
    </row>
    <row r="449" customFormat="false" ht="17.15" hidden="false" customHeight="false" outlineLevel="0" collapsed="false">
      <c r="A449" s="0" t="s">
        <v>623</v>
      </c>
      <c r="B449" s="0" t="s">
        <v>203</v>
      </c>
      <c r="C449" s="22" t="n">
        <f aca="false">a25_ai</f>
        <v>18.0012</v>
      </c>
      <c r="D449" s="22" t="n">
        <f aca="false">D444</f>
        <v>55.00416</v>
      </c>
      <c r="E449" s="22" t="n">
        <f aca="false">MIN(E444,E447-E448)</f>
        <v>104.50260312</v>
      </c>
      <c r="F449" s="22" t="n">
        <f aca="false">MIN(F444,F447-F448)</f>
        <v>149.76853992</v>
      </c>
      <c r="G449" s="22" t="n">
        <f aca="false">MIN(G444,G447-G448)</f>
        <v>186.2907251448</v>
      </c>
      <c r="K449" s="3" t="s">
        <v>624</v>
      </c>
    </row>
    <row r="450" customFormat="false" ht="15" hidden="false" customHeight="false" outlineLevel="0" collapsed="false">
      <c r="A450" s="3" t="s">
        <v>625</v>
      </c>
      <c r="E450" s="0" t="str">
        <f aca="false">IF(E444&gt;E447-E448+0.0001,"受限","未受限")</f>
        <v>受限</v>
      </c>
      <c r="F450" s="0" t="str">
        <f aca="false">IF(F444&gt;F447-F448+0.0001,"受限","未受限")</f>
        <v>受限</v>
      </c>
      <c r="G450" s="0" t="str">
        <f aca="false">IF(G444&gt;G447-G448+0.0001,"受限","未受限")</f>
        <v>受限</v>
      </c>
    </row>
    <row r="451" customFormat="false" ht="17.15" hidden="false" customHeight="false" outlineLevel="0" collapsed="false">
      <c r="A451" s="3" t="s">
        <v>499</v>
      </c>
      <c r="B451" s="0" t="s">
        <v>203</v>
      </c>
      <c r="C451" s="22" t="n">
        <f aca="false">C449+C448</f>
        <v>60.004</v>
      </c>
      <c r="D451" s="22" t="n">
        <f aca="false">D449+D448</f>
        <v>105.40752</v>
      </c>
      <c r="E451" s="22" t="n">
        <f aca="false">E449+E448</f>
        <v>157.42613112</v>
      </c>
      <c r="F451" s="22" t="n">
        <f aca="false">F449+F448</f>
        <v>204.27977376</v>
      </c>
      <c r="G451" s="22" t="n">
        <f aca="false">G449+G448</f>
        <v>242.437296</v>
      </c>
      <c r="H451" s="24" t="n">
        <f aca="false">G451*(1+H452)</f>
        <v>275.859783356367</v>
      </c>
      <c r="I451" s="24" t="n">
        <f aca="false">H451*(1+I452)</f>
        <v>300.392040388802</v>
      </c>
      <c r="J451" s="24" t="n">
        <f aca="false">I451*(1+J452)</f>
        <v>312.407722004354</v>
      </c>
      <c r="K451" s="7" t="s">
        <v>626</v>
      </c>
    </row>
    <row r="452" customFormat="false" ht="15" hidden="false" customHeight="false" outlineLevel="0" collapsed="false">
      <c r="A452" s="3" t="s">
        <v>627</v>
      </c>
      <c r="B452" s="0" t="s">
        <v>55</v>
      </c>
      <c r="D452" s="14" t="n">
        <f aca="false">D451/C451-1</f>
        <v>0.756674888340778</v>
      </c>
      <c r="E452" s="14" t="n">
        <f aca="false">E451/D451-1</f>
        <v>0.4935</v>
      </c>
      <c r="F452" s="14" t="n">
        <f aca="false">F451/E451-1</f>
        <v>0.297623033143623</v>
      </c>
      <c r="G452" s="14" t="n">
        <f aca="false">G451/F451-1</f>
        <v>0.186790505675954</v>
      </c>
      <c r="H452" s="25" t="n">
        <f aca="false">$G452+(fade_gB-$G452)*1/3</f>
        <v>0.137860337117303</v>
      </c>
      <c r="I452" s="25" t="n">
        <f aca="false">$G452+(fade_gB-$G452)*2/3</f>
        <v>0.0889301685586515</v>
      </c>
      <c r="J452" s="25" t="n">
        <f aca="false">$G452+(fade_gB-$G452)*3/3</f>
        <v>0.04</v>
      </c>
    </row>
    <row r="453" customFormat="false" ht="17.15" hidden="false" customHeight="false" outlineLevel="0" collapsed="false">
      <c r="A453" s="3" t="s">
        <v>628</v>
      </c>
      <c r="B453" s="0" t="s">
        <v>203</v>
      </c>
      <c r="D453" s="22" t="n">
        <f aca="false">D449*(D434+D436)/D437</f>
        <v>39.4735736470588</v>
      </c>
      <c r="E453" s="22" t="n">
        <f aca="false">E449*(E434+E436)/E437</f>
        <v>77.7155434594937</v>
      </c>
      <c r="F453" s="22" t="n">
        <f aca="false">F449*(F434+F436)/F437</f>
        <v>112.169743287364</v>
      </c>
      <c r="G453" s="22" t="n">
        <f aca="false">G449*(G434+G436)/G437</f>
        <v>139.570568617035</v>
      </c>
      <c r="K453" s="7" t="s">
        <v>629</v>
      </c>
    </row>
    <row r="454" customFormat="false" ht="17.15" hidden="false" customHeight="false" outlineLevel="0" collapsed="false">
      <c r="A454" s="3" t="s">
        <v>630</v>
      </c>
      <c r="B454" s="0" t="s">
        <v>203</v>
      </c>
      <c r="D454" s="22" t="n">
        <f aca="false">D449*D435/D437</f>
        <v>15.5305863529412</v>
      </c>
      <c r="E454" s="22" t="n">
        <f aca="false">E449*E435/E437</f>
        <v>26.7870596605063</v>
      </c>
      <c r="F454" s="22" t="n">
        <f aca="false">F449*F435/F437</f>
        <v>37.598796632636</v>
      </c>
      <c r="G454" s="22" t="n">
        <f aca="false">G449*G435/G437</f>
        <v>46.7201565277649</v>
      </c>
    </row>
    <row r="455" customFormat="false" ht="17.15" hidden="false" customHeight="false" outlineLevel="0" collapsed="false">
      <c r="A455" s="3" t="s">
        <v>631</v>
      </c>
      <c r="B455" s="0" t="s">
        <v>203</v>
      </c>
      <c r="D455" s="22" t="n">
        <f aca="false">srv26*D451-D453</f>
        <v>42.7442919529412</v>
      </c>
      <c r="E455" s="22" t="n">
        <f aca="false">E448*$D455/$D448</f>
        <v>44.8815065505883</v>
      </c>
      <c r="F455" s="22" t="n">
        <f aca="false">F448*$D455/$D448</f>
        <v>46.2279517471059</v>
      </c>
      <c r="G455" s="22" t="n">
        <f aca="false">G448*$D455/$D448</f>
        <v>47.6147902995191</v>
      </c>
      <c r="K455" s="7" t="s">
        <v>632</v>
      </c>
    </row>
    <row r="456" customFormat="false" ht="17.15" hidden="false" customHeight="false" outlineLevel="0" collapsed="false">
      <c r="A456" s="3" t="s">
        <v>633</v>
      </c>
      <c r="B456" s="0" t="s">
        <v>203</v>
      </c>
      <c r="D456" s="22" t="n">
        <f aca="false">net26*D451-D454</f>
        <v>0.28054164705882</v>
      </c>
      <c r="E456" s="22" t="n">
        <f aca="false">E448*$D456/$D448</f>
        <v>0.294568729411761</v>
      </c>
      <c r="F456" s="22" t="n">
        <f aca="false">F448*$D456/$D448</f>
        <v>0.303405791294114</v>
      </c>
      <c r="G456" s="22" t="n">
        <f aca="false">G448*$D456/$D448</f>
        <v>0.312507965032938</v>
      </c>
    </row>
    <row r="457" customFormat="false" ht="17.15" hidden="false" customHeight="false" outlineLevel="0" collapsed="false">
      <c r="A457" s="3" t="s">
        <v>634</v>
      </c>
      <c r="B457" s="0" t="s">
        <v>203</v>
      </c>
      <c r="C457" s="22" t="n">
        <f aca="false">srv25*C451</f>
        <v>48.0032</v>
      </c>
      <c r="D457" s="22" t="n">
        <f aca="false">D453+D455</f>
        <v>82.2178656</v>
      </c>
      <c r="E457" s="22" t="n">
        <f aca="false">E453+E455</f>
        <v>122.597050010082</v>
      </c>
      <c r="F457" s="22" t="n">
        <f aca="false">F453+F455</f>
        <v>158.39769503447</v>
      </c>
      <c r="G457" s="22" t="n">
        <f aca="false">G453+G455</f>
        <v>187.185358916554</v>
      </c>
      <c r="K457" s="3" t="s">
        <v>635</v>
      </c>
    </row>
    <row r="458" customFormat="false" ht="15" hidden="false" customHeight="false" outlineLevel="0" collapsed="false">
      <c r="A458" s="3" t="s">
        <v>636</v>
      </c>
      <c r="B458" s="0" t="s">
        <v>203</v>
      </c>
      <c r="C458" s="22" t="n">
        <f aca="false">net25*C451</f>
        <v>6.0004</v>
      </c>
      <c r="D458" s="22" t="n">
        <f aca="false">D454+D456</f>
        <v>15.811128</v>
      </c>
      <c r="E458" s="22" t="n">
        <f aca="false">E454+E456</f>
        <v>27.0816283899181</v>
      </c>
      <c r="F458" s="22" t="n">
        <f aca="false">F454+F456</f>
        <v>37.9022024239301</v>
      </c>
      <c r="G458" s="22" t="n">
        <f aca="false">G454+G456</f>
        <v>47.0326644927979</v>
      </c>
      <c r="K458" s="3" t="s">
        <v>637</v>
      </c>
    </row>
    <row r="459" customFormat="false" ht="15" hidden="false" customHeight="false" outlineLevel="0" collapsed="false">
      <c r="A459" s="3" t="s">
        <v>638</v>
      </c>
      <c r="B459" s="0" t="s">
        <v>203</v>
      </c>
      <c r="C459" s="22" t="n">
        <f aca="false">C451-C457-C458</f>
        <v>6.0004</v>
      </c>
      <c r="D459" s="22" t="n">
        <f aca="false">D451-D457-D458</f>
        <v>7.3785264</v>
      </c>
      <c r="E459" s="22" t="n">
        <f aca="false">E451-E457-E458</f>
        <v>7.74745272</v>
      </c>
      <c r="F459" s="22" t="n">
        <f aca="false">F451-F457-F458</f>
        <v>7.97987630160001</v>
      </c>
      <c r="G459" s="22" t="n">
        <f aca="false">G451-G457-G458</f>
        <v>8.219272590648</v>
      </c>
      <c r="K459" s="3" t="s">
        <v>639</v>
      </c>
    </row>
    <row r="460" customFormat="false" ht="17.15" hidden="false" customHeight="false" outlineLevel="0" collapsed="false">
      <c r="A460" s="3" t="s">
        <v>640</v>
      </c>
      <c r="B460" s="0" t="s">
        <v>203</v>
      </c>
      <c r="C460" s="28" t="n">
        <f aca="false">C457+C458+C459-C451</f>
        <v>0</v>
      </c>
      <c r="D460" s="28" t="n">
        <f aca="false">ROUND(D455+D456+D459-D448,9)</f>
        <v>0</v>
      </c>
      <c r="E460" s="28" t="n">
        <f aca="false">ROUND(E455+E456+E459-E448,9)</f>
        <v>0</v>
      </c>
      <c r="F460" s="28" t="n">
        <f aca="false">ROUND(F455+F456+F459-F448,9)</f>
        <v>0</v>
      </c>
      <c r="G460" s="28" t="n">
        <f aca="false">ROUND(G455+G456+G459-G448,9)</f>
        <v>0</v>
      </c>
    </row>
    <row r="461" customFormat="false" ht="17.15" hidden="false" customHeight="false" outlineLevel="0" collapsed="false">
      <c r="A461" s="0" t="s">
        <v>641</v>
      </c>
      <c r="B461" s="0" t="s">
        <v>55</v>
      </c>
      <c r="C461" s="14" t="n">
        <f aca="false">C449/C451</f>
        <v>0.3</v>
      </c>
      <c r="D461" s="14" t="n">
        <f aca="false">D449/D451</f>
        <v>0.521823869871903</v>
      </c>
      <c r="E461" s="14" t="n">
        <f aca="false">E449/E451</f>
        <v>0.663819928600936</v>
      </c>
      <c r="F461" s="14" t="n">
        <f aca="false">F449/F451</f>
        <v>0.733154032645234</v>
      </c>
      <c r="G461" s="14" t="n">
        <f aca="false">G449/G451</f>
        <v>0.768407865532373</v>
      </c>
    </row>
    <row r="462" customFormat="false" ht="17.15" hidden="false" customHeight="false" outlineLevel="0" collapsed="false">
      <c r="A462" s="3" t="s">
        <v>642</v>
      </c>
      <c r="B462" s="0" t="s">
        <v>55</v>
      </c>
      <c r="D462" s="14" t="n">
        <f aca="false">(D444+D448)/D447</f>
        <v>1</v>
      </c>
      <c r="E462" s="14" t="n">
        <f aca="false">(E444+E448)/E447</f>
        <v>1.2886649388494</v>
      </c>
      <c r="F462" s="14" t="n">
        <f aca="false">(F444+F448)/F447</f>
        <v>1.06131345079382</v>
      </c>
      <c r="G462" s="14" t="n">
        <f aca="false">(G444+G448)/G447</f>
        <v>1.06023370175491</v>
      </c>
      <c r="K462" s="3" t="s">
        <v>643</v>
      </c>
    </row>
    <row r="463" customFormat="false" ht="17.15" hidden="false" customHeight="false" outlineLevel="0" collapsed="false">
      <c r="A463" s="3" t="s">
        <v>569</v>
      </c>
      <c r="B463" s="0" t="s">
        <v>96</v>
      </c>
      <c r="D463" s="21" t="n">
        <f aca="false">D449/fx/D433*1000</f>
        <v>73.4578604462224</v>
      </c>
      <c r="E463" s="21" t="n">
        <f aca="false">E449/fx/E433*1000</f>
        <v>78.4144046416261</v>
      </c>
      <c r="F463" s="21" t="n">
        <f aca="false">F449/fx/F433*1000</f>
        <v>110.818273157098</v>
      </c>
      <c r="G463" s="21" t="n">
        <f aca="false">G449/fx/G433*1000</f>
        <v>113.885668434205</v>
      </c>
    </row>
    <row r="464" customFormat="false" ht="17.15" hidden="false" customHeight="false" outlineLevel="0" collapsed="false">
      <c r="A464" s="5" t="s">
        <v>644</v>
      </c>
    </row>
    <row r="465" customFormat="false" ht="17.15" hidden="false" customHeight="false" outlineLevel="0" collapsed="false">
      <c r="A465" s="3" t="s">
        <v>645</v>
      </c>
      <c r="B465" s="0" t="s">
        <v>55</v>
      </c>
      <c r="D465" s="14" t="n">
        <f aca="false">a26_gp/D451-d_ai*D461</f>
        <v>0.296655205435058</v>
      </c>
      <c r="K465" s="7" t="s">
        <v>646</v>
      </c>
    </row>
    <row r="466" customFormat="false" ht="17.15" hidden="false" customHeight="false" outlineLevel="0" collapsed="false">
      <c r="A466" s="0" t="s">
        <v>647</v>
      </c>
      <c r="B466" s="0" t="s">
        <v>55</v>
      </c>
      <c r="D466" s="14" t="n">
        <f aca="false">D465+d_ai</f>
        <v>0.396655205435058</v>
      </c>
      <c r="E466" s="14" t="n">
        <f aca="false">1-(1-$D$466)/E440+gmu_27</f>
        <v>0.424228354791319</v>
      </c>
      <c r="F466" s="14" t="n">
        <f aca="false">1-(1-$D$466)/F440+gmu_28</f>
        <v>0.423485495524567</v>
      </c>
      <c r="G466" s="14" t="n">
        <f aca="false">1-(1-$D$466)/G440+gmu_29</f>
        <v>0.416655205435058</v>
      </c>
      <c r="K466" s="7" t="s">
        <v>648</v>
      </c>
    </row>
    <row r="467" customFormat="false" ht="15" hidden="false" customHeight="false" outlineLevel="0" collapsed="false">
      <c r="A467" s="3" t="s">
        <v>503</v>
      </c>
      <c r="B467" s="0" t="s">
        <v>203</v>
      </c>
      <c r="C467" s="22" t="n">
        <f aca="false">a25_gp</f>
        <v>19.683</v>
      </c>
      <c r="D467" s="22" t="n">
        <f aca="false">a26_gp</f>
        <v>36.7701055</v>
      </c>
      <c r="E467" s="22" t="n">
        <f aca="false">E449*E466+E448*$D$465</f>
        <v>60.0330074641958</v>
      </c>
      <c r="F467" s="22" t="n">
        <f aca="false">F449*F466+F448*$D$465</f>
        <v>79.5958456153358</v>
      </c>
      <c r="G467" s="22" t="n">
        <f aca="false">G449*G466+G448*$D$465</f>
        <v>94.275172867376</v>
      </c>
    </row>
    <row r="468" customFormat="false" ht="15" hidden="false" customHeight="false" outlineLevel="0" collapsed="false">
      <c r="A468" s="3" t="s">
        <v>506</v>
      </c>
      <c r="B468" s="0" t="s">
        <v>55</v>
      </c>
      <c r="C468" s="14" t="n">
        <f aca="false">C467/C451</f>
        <v>0.328028131457903</v>
      </c>
      <c r="D468" s="14" t="n">
        <f aca="false">D467/D451</f>
        <v>0.348837592422248</v>
      </c>
      <c r="E468" s="14" t="n">
        <f aca="false">E467/E451</f>
        <v>0.381340804332128</v>
      </c>
      <c r="F468" s="14" t="n">
        <f aca="false">F467/F451</f>
        <v>0.389641344075746</v>
      </c>
      <c r="G468" s="14" t="n">
        <f aca="false">G467/G451</f>
        <v>0.388864149298943</v>
      </c>
    </row>
    <row r="469" customFormat="false" ht="15" hidden="false" customHeight="false" outlineLevel="0" collapsed="false">
      <c r="A469" s="3" t="s">
        <v>649</v>
      </c>
      <c r="B469" s="0" t="s">
        <v>203</v>
      </c>
      <c r="C469" s="22" t="n">
        <f aca="false">a25_opx</f>
        <v>5.64</v>
      </c>
      <c r="D469" s="22" t="n">
        <f aca="false">a26_opx</f>
        <v>8.4779754</v>
      </c>
      <c r="E469" s="22" t="n">
        <f aca="false">D469*(1+MAX(0,phi*E452))</f>
        <v>10.98830391594</v>
      </c>
      <c r="F469" s="22" t="n">
        <f aca="false">E469*(1+MAX(0,phi*F452))</f>
        <v>12.9505273202796</v>
      </c>
      <c r="G469" s="22" t="n">
        <f aca="false">F469*(1+MAX(0,phi*G452))</f>
        <v>14.4019486484348</v>
      </c>
    </row>
    <row r="470" customFormat="false" ht="15" hidden="false" customHeight="false" outlineLevel="0" collapsed="false">
      <c r="A470" s="3" t="s">
        <v>508</v>
      </c>
      <c r="B470" s="0" t="s">
        <v>203</v>
      </c>
      <c r="C470" s="22" t="n">
        <f aca="false">C469</f>
        <v>5.64</v>
      </c>
      <c r="D470" s="22" t="n">
        <f aca="false">D469</f>
        <v>8.4779754</v>
      </c>
      <c r="E470" s="22" t="n">
        <f aca="false">E469+0*E451</f>
        <v>10.98830391594</v>
      </c>
      <c r="F470" s="22" t="n">
        <f aca="false">F469+0*F451</f>
        <v>12.9505273202796</v>
      </c>
      <c r="G470" s="22" t="n">
        <f aca="false">G469+0*G451</f>
        <v>14.4019486484348</v>
      </c>
    </row>
    <row r="471" customFormat="false" ht="15" hidden="false" customHeight="false" outlineLevel="0" collapsed="false">
      <c r="A471" s="3" t="s">
        <v>650</v>
      </c>
      <c r="B471" s="0" t="s">
        <v>203</v>
      </c>
      <c r="C471" s="22" t="n">
        <f aca="false">C467-C470</f>
        <v>14.043</v>
      </c>
      <c r="D471" s="22" t="n">
        <f aca="false">D467-D470</f>
        <v>28.2921301</v>
      </c>
      <c r="E471" s="22" t="n">
        <f aca="false">E467-E470</f>
        <v>49.0447035482558</v>
      </c>
      <c r="F471" s="22" t="n">
        <f aca="false">F467-F470</f>
        <v>66.6453182950562</v>
      </c>
      <c r="G471" s="22" t="n">
        <f aca="false">G467-G470</f>
        <v>79.8732242189412</v>
      </c>
    </row>
    <row r="472" customFormat="false" ht="15" hidden="false" customHeight="false" outlineLevel="0" collapsed="false">
      <c r="A472" s="3" t="s">
        <v>514</v>
      </c>
      <c r="B472" s="0" t="s">
        <v>55</v>
      </c>
      <c r="C472" s="14" t="n">
        <f aca="false">C471/C451</f>
        <v>0.23403439770682</v>
      </c>
      <c r="D472" s="14" t="n">
        <f aca="false">D471/D451</f>
        <v>0.268407131673338</v>
      </c>
      <c r="E472" s="14" t="n">
        <f aca="false">E471/E451</f>
        <v>0.311541058649729</v>
      </c>
      <c r="F472" s="14" t="n">
        <f aca="false">F471/F451</f>
        <v>0.32624531087133</v>
      </c>
      <c r="G472" s="14" t="n">
        <f aca="false">G471/G451</f>
        <v>0.329459309837135</v>
      </c>
    </row>
    <row r="473" customFormat="false" ht="17.15" hidden="false" customHeight="false" outlineLevel="0" collapsed="false">
      <c r="A473" s="3" t="s">
        <v>515</v>
      </c>
      <c r="B473" s="0" t="s">
        <v>203</v>
      </c>
      <c r="E473" s="22" t="n">
        <f aca="false">nop_f</f>
        <v>0</v>
      </c>
      <c r="F473" s="22" t="n">
        <f aca="false">nop_f</f>
        <v>0</v>
      </c>
      <c r="G473" s="22" t="n">
        <f aca="false">nop_f</f>
        <v>0</v>
      </c>
      <c r="K473" s="7" t="s">
        <v>651</v>
      </c>
    </row>
    <row r="474" customFormat="false" ht="15" hidden="false" customHeight="false" outlineLevel="0" collapsed="false">
      <c r="A474" s="3" t="s">
        <v>520</v>
      </c>
      <c r="B474" s="0" t="s">
        <v>203</v>
      </c>
      <c r="C474" s="22" t="n">
        <f aca="false">a25_ni</f>
        <v>9.607</v>
      </c>
      <c r="D474" s="22" t="n">
        <f aca="false">a26_ni</f>
        <v>19.6977289395284</v>
      </c>
      <c r="E474" s="22" t="n">
        <f aca="false">(E471+E473)*nir_f</f>
        <v>33.5956219305552</v>
      </c>
      <c r="F474" s="22" t="n">
        <f aca="false">(F471+F473)*nir_f</f>
        <v>45.6520430321135</v>
      </c>
      <c r="G474" s="22" t="n">
        <f aca="false">(G471+G473)*nir_f</f>
        <v>54.7131585899747</v>
      </c>
      <c r="H474" s="24" t="n">
        <f aca="false">H451*H479</f>
        <v>56.6587757038596</v>
      </c>
      <c r="I474" s="24" t="n">
        <f aca="false">I451*I479</f>
        <v>55.6025366547228</v>
      </c>
      <c r="J474" s="24" t="n">
        <f aca="false">J451*J479</f>
        <v>51.4879280571915</v>
      </c>
    </row>
    <row r="475" customFormat="false" ht="17.15" hidden="false" customHeight="false" outlineLevel="0" collapsed="false">
      <c r="A475" s="3" t="s">
        <v>523</v>
      </c>
      <c r="B475" s="0" t="s">
        <v>55</v>
      </c>
      <c r="C475" s="14" t="n">
        <f aca="false">C474/C471</f>
        <v>0.684113081250445</v>
      </c>
      <c r="D475" s="14" t="n">
        <f aca="false">D474/D471</f>
        <v>0.696226437171953</v>
      </c>
      <c r="E475" s="14" t="n">
        <f aca="false">E474/E471</f>
        <v>0.685</v>
      </c>
      <c r="F475" s="14" t="n">
        <f aca="false">F474/F471</f>
        <v>0.685</v>
      </c>
      <c r="G475" s="14" t="n">
        <f aca="false">G474/G471</f>
        <v>0.685</v>
      </c>
    </row>
    <row r="476" customFormat="false" ht="17.15" hidden="false" customHeight="false" outlineLevel="0" collapsed="false">
      <c r="A476" s="3" t="s">
        <v>652</v>
      </c>
      <c r="B476" s="3" t="s">
        <v>233</v>
      </c>
      <c r="C476" s="27" t="n">
        <f aca="false">a25_sh</f>
        <v>0.493425783256292</v>
      </c>
      <c r="D476" s="27" t="n">
        <f aca="false">a26_sh</f>
        <v>0.512980850061958</v>
      </c>
      <c r="E476" s="27" t="n">
        <f aca="false">sh_h2*(1+sh_g)</f>
        <v>0.51889356</v>
      </c>
      <c r="F476" s="27" t="n">
        <f aca="false">E476*(1+sh_g)</f>
        <v>0.5240824956</v>
      </c>
      <c r="G476" s="27" t="n">
        <f aca="false">F476*(1+sh_g)</f>
        <v>0.529323320556</v>
      </c>
      <c r="H476" s="29" t="n">
        <f aca="false">G476*(1+sh_g)</f>
        <v>0.53461655376156</v>
      </c>
      <c r="I476" s="29" t="n">
        <f aca="false">H476*(1+sh_g)</f>
        <v>0.539962719299176</v>
      </c>
      <c r="J476" s="29" t="n">
        <f aca="false">I476*(1+sh_g)</f>
        <v>0.545362346492167</v>
      </c>
      <c r="K476" s="7" t="s">
        <v>653</v>
      </c>
    </row>
    <row r="477" customFormat="false" ht="15" hidden="false" customHeight="false" outlineLevel="0" collapsed="false">
      <c r="A477" s="0" t="s">
        <v>526</v>
      </c>
      <c r="B477" s="0" t="s">
        <v>271</v>
      </c>
      <c r="C477" s="23" t="n">
        <f aca="false">C474/C476</f>
        <v>19.47</v>
      </c>
      <c r="D477" s="23" t="n">
        <f aca="false">D474/D476</f>
        <v>38.3985658278458</v>
      </c>
      <c r="E477" s="23" t="n">
        <f aca="false">E474/E476</f>
        <v>64.7447270892227</v>
      </c>
      <c r="F477" s="23" t="n">
        <f aca="false">F474/F476</f>
        <v>87.108505655867</v>
      </c>
      <c r="G477" s="23" t="n">
        <f aca="false">G474/G476</f>
        <v>103.364345505322</v>
      </c>
      <c r="H477" s="30" t="n">
        <f aca="false">H474/H476</f>
        <v>105.980211995324</v>
      </c>
      <c r="I477" s="30" t="n">
        <f aca="false">I474/I476</f>
        <v>102.97476967834</v>
      </c>
      <c r="J477" s="30" t="n">
        <f aca="false">J474/J476</f>
        <v>94.4104931122725</v>
      </c>
    </row>
    <row r="478" customFormat="false" ht="17.15" hidden="false" customHeight="false" outlineLevel="0" collapsed="false">
      <c r="A478" s="0" t="s">
        <v>654</v>
      </c>
      <c r="B478" s="0" t="s">
        <v>55</v>
      </c>
      <c r="D478" s="14" t="n">
        <f aca="false">D477/C477-1</f>
        <v>0.9721913624985</v>
      </c>
      <c r="E478" s="14" t="n">
        <f aca="false">E477/D477-1</f>
        <v>0.686123575018296</v>
      </c>
      <c r="F478" s="14" t="n">
        <f aca="false">F477/E477-1</f>
        <v>0.345414670384284</v>
      </c>
      <c r="G478" s="14" t="n">
        <f aca="false">G477/F477-1</f>
        <v>0.186615988037676</v>
      </c>
      <c r="H478" s="25" t="n">
        <f aca="false">H477/G477-1</f>
        <v>0.0253072418464368</v>
      </c>
      <c r="I478" s="25" t="n">
        <f aca="false">I477/H477-1</f>
        <v>-0.0283585233544963</v>
      </c>
      <c r="J478" s="25" t="n">
        <f aca="false">J477/I477-1</f>
        <v>-0.0831686887265652</v>
      </c>
    </row>
    <row r="479" customFormat="false" ht="17.15" hidden="false" customHeight="false" outlineLevel="0" collapsed="false">
      <c r="A479" s="3" t="s">
        <v>655</v>
      </c>
      <c r="B479" s="0" t="s">
        <v>55</v>
      </c>
      <c r="C479" s="14" t="n">
        <f aca="false">C474/C451</f>
        <v>0.160105992933804</v>
      </c>
      <c r="D479" s="14" t="n">
        <f aca="false">D474/D451</f>
        <v>0.186872140996471</v>
      </c>
      <c r="E479" s="14" t="n">
        <f aca="false">E474/E451</f>
        <v>0.213405625175064</v>
      </c>
      <c r="F479" s="14" t="n">
        <f aca="false">F474/F451</f>
        <v>0.223478037946861</v>
      </c>
      <c r="G479" s="14" t="n">
        <f aca="false">G474/G451</f>
        <v>0.225679627238438</v>
      </c>
      <c r="H479" s="25" t="n">
        <f aca="false">$G479+(fade_mB-$G479)*1/3</f>
        <v>0.205389763649112</v>
      </c>
      <c r="I479" s="25" t="n">
        <f aca="false">$G479+(fade_mB-$G479)*2/3</f>
        <v>0.185099900059787</v>
      </c>
      <c r="J479" s="25" t="n">
        <f aca="false">$G479+(fade_mB-$G479)*3/3</f>
        <v>0.164810036470462</v>
      </c>
    </row>
    <row r="482" customFormat="false" ht="17.15" hidden="false" customHeight="false" outlineLevel="0" collapsed="false">
      <c r="A482" s="1" t="s">
        <v>998</v>
      </c>
    </row>
    <row r="483" customFormat="false" ht="17.15" hidden="false" customHeight="false" outlineLevel="0" collapsed="false">
      <c r="A483" s="4" t="s">
        <v>24</v>
      </c>
      <c r="B483" s="4" t="s">
        <v>25</v>
      </c>
      <c r="C483" s="15" t="s">
        <v>494</v>
      </c>
      <c r="D483" s="15" t="s">
        <v>583</v>
      </c>
      <c r="E483" s="15" t="s">
        <v>584</v>
      </c>
      <c r="F483" s="15" t="s">
        <v>585</v>
      </c>
      <c r="G483" s="15" t="s">
        <v>586</v>
      </c>
      <c r="H483" s="15" t="s">
        <v>587</v>
      </c>
      <c r="I483" s="15" t="s">
        <v>588</v>
      </c>
      <c r="J483" s="15" t="s">
        <v>589</v>
      </c>
      <c r="K483" s="4" t="s">
        <v>458</v>
      </c>
    </row>
    <row r="484" customFormat="false" ht="17.15" hidden="false" customHeight="false" outlineLevel="0" collapsed="false">
      <c r="A484" s="5" t="s">
        <v>605</v>
      </c>
    </row>
    <row r="485" customFormat="false" ht="17.15" hidden="false" customHeight="false" outlineLevel="0" collapsed="false">
      <c r="A485" s="0" t="s">
        <v>606</v>
      </c>
      <c r="B485" s="0" t="s">
        <v>35</v>
      </c>
      <c r="D485" s="23" t="n">
        <f aca="false">itc_26*1</f>
        <v>781.872916666666</v>
      </c>
      <c r="E485" s="23" t="n">
        <f aca="false">itc_27*1*1</f>
        <v>1565.35</v>
      </c>
      <c r="F485" s="23" t="n">
        <f aca="false">itc_28*um28_B*1</f>
        <v>1587.41111111111</v>
      </c>
      <c r="G485" s="23" t="n">
        <f aca="false">itc_29*um29_B*1</f>
        <v>1921.33173611111</v>
      </c>
    </row>
    <row r="486" customFormat="false" ht="17.15" hidden="false" customHeight="false" outlineLevel="0" collapsed="false">
      <c r="A486" s="3" t="s">
        <v>607</v>
      </c>
      <c r="B486" s="0" t="s">
        <v>35</v>
      </c>
      <c r="D486" s="23" t="n">
        <f aca="false">itpg_gb*(1-vr26)+itpg_vr*vr26</f>
        <v>33.41403216</v>
      </c>
      <c r="E486" s="23" t="n">
        <f aca="false">itpg_vr</f>
        <v>37.586352</v>
      </c>
      <c r="F486" s="23" t="n">
        <f aca="false">itpg_vr</f>
        <v>37.586352</v>
      </c>
      <c r="G486" s="23" t="n">
        <f aca="false">itpg_vr</f>
        <v>37.586352</v>
      </c>
    </row>
    <row r="487" customFormat="false" ht="17.15" hidden="false" customHeight="false" outlineLevel="0" collapsed="false">
      <c r="A487" s="3" t="s">
        <v>608</v>
      </c>
      <c r="B487" s="0" t="s">
        <v>549</v>
      </c>
      <c r="D487" s="20" t="n">
        <f aca="false">D485/D486</f>
        <v>23.3995380420639</v>
      </c>
      <c r="E487" s="20" t="n">
        <f aca="false">E485/E486</f>
        <v>41.6467658260637</v>
      </c>
      <c r="F487" s="20" t="n">
        <f aca="false">F485/F486</f>
        <v>42.2337105529984</v>
      </c>
      <c r="G487" s="20" t="n">
        <f aca="false">G485/G486</f>
        <v>51.1178029756948</v>
      </c>
    </row>
    <row r="488" customFormat="false" ht="17.15" hidden="false" customHeight="false" outlineLevel="0" collapsed="false">
      <c r="A488" s="3" t="s">
        <v>553</v>
      </c>
      <c r="B488" s="0" t="s">
        <v>96</v>
      </c>
      <c r="D488" s="21" t="n">
        <f aca="false">vg_cmp26</f>
        <v>280</v>
      </c>
      <c r="E488" s="21" t="n">
        <f aca="false">(vg_cmp26+(vg_cmp27-vg_cmp26)*pgwf)</f>
        <v>420</v>
      </c>
      <c r="F488" s="21" t="n">
        <f aca="false">(vg_cmp26+(vg_cmp28-vg_cmp26)*pgwf)</f>
        <v>462</v>
      </c>
      <c r="G488" s="21" t="n">
        <f aca="false">(vg_cmp26+(vg_cmp29-vg_cmp26)*pgwf)</f>
        <v>504</v>
      </c>
    </row>
    <row r="489" customFormat="false" ht="17.15" hidden="false" customHeight="false" outlineLevel="0" collapsed="false">
      <c r="A489" s="3" t="s">
        <v>555</v>
      </c>
      <c r="B489" s="0" t="s">
        <v>96</v>
      </c>
      <c r="D489" s="21" t="n">
        <f aca="false">vg_sw26</f>
        <v>120</v>
      </c>
      <c r="E489" s="21" t="n">
        <f aca="false">(vg_sw26+(vg_sw27-vg_sw26)*pgwf)</f>
        <v>162</v>
      </c>
      <c r="F489" s="21" t="n">
        <f aca="false">(vg_sw26+(vg_sw28-vg_sw26)*pgwf)</f>
        <v>180</v>
      </c>
      <c r="G489" s="21" t="n">
        <f aca="false">(vg_sw26+(vg_sw29-vg_sw26)*pgwf)</f>
        <v>198</v>
      </c>
    </row>
    <row r="490" customFormat="false" ht="17.15" hidden="false" customHeight="false" outlineLevel="0" collapsed="false">
      <c r="A490" s="3" t="s">
        <v>609</v>
      </c>
      <c r="B490" s="0" t="s">
        <v>96</v>
      </c>
      <c r="D490" s="21" t="n">
        <f aca="false">vg_mid26*w_mid</f>
        <v>25</v>
      </c>
      <c r="E490" s="21" t="n">
        <f aca="false">(vg_mid26+(vg_mid27-vg_mid26)*pgwf)*w_mid</f>
        <v>50</v>
      </c>
      <c r="F490" s="21" t="n">
        <f aca="false">(vg_mid26+(vg_mid28-vg_mid26)*pgwf)*w_mid</f>
        <v>75</v>
      </c>
      <c r="G490" s="21" t="n">
        <f aca="false">(vg_mid26+(vg_mid29-vg_mid26)*pgwf)*w_mid</f>
        <v>87.5</v>
      </c>
    </row>
    <row r="491" customFormat="false" ht="17.15" hidden="false" customHeight="false" outlineLevel="0" collapsed="false">
      <c r="A491" s="3" t="s">
        <v>610</v>
      </c>
      <c r="B491" s="0" t="s">
        <v>96</v>
      </c>
      <c r="D491" s="21" t="n">
        <f aca="false">D488+D489+D490</f>
        <v>425</v>
      </c>
      <c r="E491" s="21" t="n">
        <f aca="false">E488+E489+E490</f>
        <v>632</v>
      </c>
      <c r="F491" s="21" t="n">
        <f aca="false">F488+F489+F490</f>
        <v>717</v>
      </c>
      <c r="G491" s="21" t="n">
        <f aca="false">G488+G489+G490</f>
        <v>789.5</v>
      </c>
    </row>
    <row r="492" customFormat="false" ht="17.15" hidden="false" customHeight="false" outlineLevel="0" collapsed="false">
      <c r="A492" s="3" t="s">
        <v>611</v>
      </c>
      <c r="B492" s="0" t="s">
        <v>35</v>
      </c>
      <c r="D492" s="23" t="n">
        <f aca="false">D487*D491/1000</f>
        <v>9.94480366787715</v>
      </c>
      <c r="E492" s="23" t="n">
        <f aca="false">E487*E491/1000</f>
        <v>26.3207560020722</v>
      </c>
      <c r="F492" s="23" t="n">
        <f aca="false">F487*F491/1000</f>
        <v>30.2815704664998</v>
      </c>
      <c r="G492" s="23" t="n">
        <f aca="false">G487*G491/1000</f>
        <v>40.3575054493111</v>
      </c>
    </row>
    <row r="493" customFormat="false" ht="17.15" hidden="false" customHeight="false" outlineLevel="0" collapsed="false">
      <c r="A493" s="3" t="s">
        <v>612</v>
      </c>
      <c r="B493" s="0" t="s">
        <v>203</v>
      </c>
      <c r="D493" s="22" t="n">
        <f aca="false">D492*fx</f>
        <v>318.233717372069</v>
      </c>
      <c r="E493" s="22" t="n">
        <f aca="false">E492*fx</f>
        <v>842.264192066312</v>
      </c>
      <c r="F493" s="22" t="n">
        <f aca="false">F492*fx</f>
        <v>969.010254927995</v>
      </c>
      <c r="G493" s="22" t="n">
        <f aca="false">G492*fx</f>
        <v>1291.44017437795</v>
      </c>
    </row>
    <row r="494" customFormat="false" ht="17.15" hidden="false" customHeight="false" outlineLevel="0" collapsed="false">
      <c r="A494" s="0" t="s">
        <v>613</v>
      </c>
      <c r="B494" s="0" t="s">
        <v>69</v>
      </c>
      <c r="D494" s="18" t="n">
        <f aca="false">1</f>
        <v>1</v>
      </c>
      <c r="E494" s="18" t="n">
        <f aca="false">pp_27</f>
        <v>1</v>
      </c>
      <c r="F494" s="18" t="n">
        <f aca="false">pp_28</f>
        <v>0.97</v>
      </c>
      <c r="G494" s="18" t="n">
        <f aca="false">pp_29</f>
        <v>0.94</v>
      </c>
    </row>
    <row r="495" customFormat="false" ht="17.15" hidden="false" customHeight="false" outlineLevel="0" collapsed="false">
      <c r="A495" s="3" t="s">
        <v>614</v>
      </c>
      <c r="B495" s="0" t="s">
        <v>55</v>
      </c>
      <c r="D495" s="14" t="n">
        <f aca="false">a26_ai/D493</f>
        <v>0.172842024579347</v>
      </c>
      <c r="K495" s="7" t="s">
        <v>615</v>
      </c>
    </row>
    <row r="496" customFormat="false" ht="17.15" hidden="false" customHeight="false" outlineLevel="0" collapsed="false">
      <c r="A496" s="3" t="s">
        <v>616</v>
      </c>
      <c r="B496" s="0" t="s">
        <v>69</v>
      </c>
      <c r="D496" s="18" t="n">
        <f aca="false">1</f>
        <v>1</v>
      </c>
      <c r="E496" s="18" t="n">
        <f aca="false">rel_27</f>
        <v>1</v>
      </c>
      <c r="F496" s="18" t="n">
        <f aca="false">rel_28</f>
        <v>0.95</v>
      </c>
      <c r="G496" s="18" t="n">
        <f aca="false">rel_29</f>
        <v>0.9</v>
      </c>
    </row>
    <row r="497" customFormat="false" ht="15" hidden="false" customHeight="false" outlineLevel="0" collapsed="false">
      <c r="A497" s="3" t="s">
        <v>565</v>
      </c>
      <c r="B497" s="0" t="s">
        <v>55</v>
      </c>
      <c r="D497" s="14" t="n">
        <f aca="false">$D$495*D496</f>
        <v>0.172842024579347</v>
      </c>
      <c r="E497" s="14" t="n">
        <f aca="false">$D$495*E496</f>
        <v>0.172842024579347</v>
      </c>
      <c r="F497" s="14" t="n">
        <f aca="false">$D$495*F496</f>
        <v>0.164199923350379</v>
      </c>
      <c r="G497" s="14" t="n">
        <f aca="false">$D$495*G496</f>
        <v>0.155557822121412</v>
      </c>
    </row>
    <row r="498" customFormat="false" ht="17.15" hidden="false" customHeight="false" outlineLevel="0" collapsed="false">
      <c r="A498" s="0" t="s">
        <v>617</v>
      </c>
      <c r="B498" s="0" t="s">
        <v>203</v>
      </c>
      <c r="D498" s="22" t="n">
        <f aca="false">D493*D497*D494</f>
        <v>55.00416</v>
      </c>
      <c r="E498" s="22" t="n">
        <f aca="false">E493*E497*E494</f>
        <v>145.578648187429</v>
      </c>
      <c r="F498" s="22" t="n">
        <f aca="false">F493*F497*F494</f>
        <v>154.338067297361</v>
      </c>
      <c r="G498" s="22" t="n">
        <f aca="false">G493*G497*G494</f>
        <v>188.840003670751</v>
      </c>
    </row>
    <row r="499" customFormat="false" ht="17.15" hidden="false" customHeight="false" outlineLevel="0" collapsed="false">
      <c r="A499" s="5" t="s">
        <v>618</v>
      </c>
    </row>
    <row r="500" customFormat="false" ht="17.15" hidden="false" customHeight="false" outlineLevel="0" collapsed="false">
      <c r="A500" s="3" t="s">
        <v>619</v>
      </c>
      <c r="B500" s="0" t="s">
        <v>69</v>
      </c>
      <c r="D500" s="18" t="n">
        <f aca="false">1</f>
        <v>1</v>
      </c>
      <c r="E500" s="18" t="n">
        <f aca="false">CAPLO_27</f>
        <v>1.3</v>
      </c>
      <c r="F500" s="18" t="n">
        <f aca="false">CAPLO_28</f>
        <v>1.6</v>
      </c>
      <c r="G500" s="18" t="n">
        <f aca="false">CAPLO_29</f>
        <v>1.9</v>
      </c>
      <c r="K500" s="7" t="s">
        <v>620</v>
      </c>
    </row>
    <row r="501" customFormat="false" ht="17.15" hidden="false" customHeight="false" outlineLevel="0" collapsed="false">
      <c r="A501" s="3" t="s">
        <v>621</v>
      </c>
      <c r="B501" s="0" t="s">
        <v>203</v>
      </c>
      <c r="D501" s="22" t="n">
        <f aca="false">a26_rev*D500*D494</f>
        <v>105.40752</v>
      </c>
      <c r="E501" s="22" t="n">
        <f aca="false">a26_rev*E500*E494</f>
        <v>137.029776</v>
      </c>
      <c r="F501" s="22" t="n">
        <f aca="false">a26_rev*F500*F494</f>
        <v>163.59247104</v>
      </c>
      <c r="G501" s="22" t="n">
        <f aca="false">a26_rev*G500*G494</f>
        <v>188.25783072</v>
      </c>
    </row>
    <row r="502" customFormat="false" ht="17.15" hidden="false" customHeight="false" outlineLevel="0" collapsed="false">
      <c r="A502" s="3" t="s">
        <v>622</v>
      </c>
      <c r="B502" s="0" t="s">
        <v>203</v>
      </c>
      <c r="C502" s="22" t="n">
        <f aca="false">a25_nai</f>
        <v>42.0028</v>
      </c>
      <c r="D502" s="22" t="n">
        <f aca="false">a26_nai</f>
        <v>50.40336</v>
      </c>
      <c r="E502" s="22" t="n">
        <f aca="false">D502*(1+g_nai27)</f>
        <v>52.923528</v>
      </c>
      <c r="F502" s="22" t="n">
        <f aca="false">E502*(1+g_nai28)</f>
        <v>54.51123384</v>
      </c>
      <c r="G502" s="22" t="n">
        <f aca="false">F502*(1+g_nai29)</f>
        <v>56.1465708552</v>
      </c>
    </row>
    <row r="503" customFormat="false" ht="17.15" hidden="false" customHeight="false" outlineLevel="0" collapsed="false">
      <c r="A503" s="0" t="s">
        <v>623</v>
      </c>
      <c r="B503" s="0" t="s">
        <v>203</v>
      </c>
      <c r="C503" s="22" t="n">
        <f aca="false">a25_ai</f>
        <v>18.0012</v>
      </c>
      <c r="D503" s="22" t="n">
        <f aca="false">D498</f>
        <v>55.00416</v>
      </c>
      <c r="E503" s="22" t="n">
        <f aca="false">MIN(E498,E501-E502)</f>
        <v>84.106248</v>
      </c>
      <c r="F503" s="22" t="n">
        <f aca="false">MIN(F498,F501-F502)</f>
        <v>109.0812372</v>
      </c>
      <c r="G503" s="22" t="n">
        <f aca="false">MIN(G498,G501-G502)</f>
        <v>132.1112598648</v>
      </c>
      <c r="K503" s="3" t="s">
        <v>624</v>
      </c>
    </row>
    <row r="504" customFormat="false" ht="15" hidden="false" customHeight="false" outlineLevel="0" collapsed="false">
      <c r="A504" s="3" t="s">
        <v>625</v>
      </c>
      <c r="E504" s="0" t="str">
        <f aca="false">IF(E498&gt;E501-E502+0.0001,"受限","未受限")</f>
        <v>受限</v>
      </c>
      <c r="F504" s="0" t="str">
        <f aca="false">IF(F498&gt;F501-F502+0.0001,"受限","未受限")</f>
        <v>受限</v>
      </c>
      <c r="G504" s="0" t="str">
        <f aca="false">IF(G498&gt;G501-G502+0.0001,"受限","未受限")</f>
        <v>受限</v>
      </c>
    </row>
    <row r="505" customFormat="false" ht="17.15" hidden="false" customHeight="false" outlineLevel="0" collapsed="false">
      <c r="A505" s="3" t="s">
        <v>499</v>
      </c>
      <c r="B505" s="0" t="s">
        <v>203</v>
      </c>
      <c r="C505" s="22" t="n">
        <f aca="false">C503+C502</f>
        <v>60.004</v>
      </c>
      <c r="D505" s="22" t="n">
        <f aca="false">D503+D502</f>
        <v>105.40752</v>
      </c>
      <c r="E505" s="22" t="n">
        <f aca="false">E503+E502</f>
        <v>137.029776</v>
      </c>
      <c r="F505" s="22" t="n">
        <f aca="false">F503+F502</f>
        <v>163.59247104</v>
      </c>
      <c r="G505" s="22" t="n">
        <f aca="false">G503+G502</f>
        <v>188.25783072</v>
      </c>
      <c r="H505" s="24" t="n">
        <f aca="false">G505*(1+H506)</f>
        <v>209.690758320528</v>
      </c>
      <c r="I505" s="24" t="n">
        <f aca="false">H505*(1+I506)</f>
        <v>225.821093801645</v>
      </c>
      <c r="J505" s="24" t="n">
        <f aca="false">I505*(1+J506)</f>
        <v>234.853937553711</v>
      </c>
      <c r="K505" s="7" t="s">
        <v>626</v>
      </c>
    </row>
    <row r="506" customFormat="false" ht="15" hidden="false" customHeight="false" outlineLevel="0" collapsed="false">
      <c r="A506" s="3" t="s">
        <v>627</v>
      </c>
      <c r="B506" s="0" t="s">
        <v>55</v>
      </c>
      <c r="D506" s="14" t="n">
        <f aca="false">D505/C505-1</f>
        <v>0.756674888340778</v>
      </c>
      <c r="E506" s="14" t="n">
        <f aca="false">E505/D505-1</f>
        <v>0.3</v>
      </c>
      <c r="F506" s="14" t="n">
        <f aca="false">F505/E505-1</f>
        <v>0.193846153846154</v>
      </c>
      <c r="G506" s="14" t="n">
        <f aca="false">G505/F505-1</f>
        <v>0.150773195876289</v>
      </c>
      <c r="H506" s="25" t="n">
        <f aca="false">$G506+(fade_gB-$G506)*1/3</f>
        <v>0.113848797250859</v>
      </c>
      <c r="I506" s="25" t="n">
        <f aca="false">$G506+(fade_gB-$G506)*2/3</f>
        <v>0.0769243986254295</v>
      </c>
      <c r="J506" s="25" t="n">
        <f aca="false">$G506+(fade_gB-$G506)*3/3</f>
        <v>0.04</v>
      </c>
    </row>
    <row r="507" customFormat="false" ht="17.15" hidden="false" customHeight="false" outlineLevel="0" collapsed="false">
      <c r="A507" s="3" t="s">
        <v>628</v>
      </c>
      <c r="B507" s="0" t="s">
        <v>203</v>
      </c>
      <c r="D507" s="22" t="n">
        <f aca="false">D503*(D488+D490)/D491</f>
        <v>39.4735736470588</v>
      </c>
      <c r="E507" s="22" t="n">
        <f aca="false">E503*(E488+E490)/E491</f>
        <v>62.5473679746835</v>
      </c>
      <c r="F507" s="22" t="n">
        <f aca="false">F503*(F488+F490)/F491</f>
        <v>81.6968261874477</v>
      </c>
      <c r="G507" s="22" t="n">
        <f aca="false">G503*(G488+G490)/G491</f>
        <v>98.9788603040269</v>
      </c>
      <c r="K507" s="7" t="s">
        <v>629</v>
      </c>
    </row>
    <row r="508" customFormat="false" ht="17.15" hidden="false" customHeight="false" outlineLevel="0" collapsed="false">
      <c r="A508" s="3" t="s">
        <v>630</v>
      </c>
      <c r="B508" s="0" t="s">
        <v>203</v>
      </c>
      <c r="D508" s="22" t="n">
        <f aca="false">D503*D489/D491</f>
        <v>15.5305863529412</v>
      </c>
      <c r="E508" s="22" t="n">
        <f aca="false">E503*E489/E491</f>
        <v>21.5588800253165</v>
      </c>
      <c r="F508" s="22" t="n">
        <f aca="false">F503*F489/F491</f>
        <v>27.3844110125523</v>
      </c>
      <c r="G508" s="22" t="n">
        <f aca="false">G503*G489/G491</f>
        <v>33.1323995607732</v>
      </c>
    </row>
    <row r="509" customFormat="false" ht="17.15" hidden="false" customHeight="false" outlineLevel="0" collapsed="false">
      <c r="A509" s="3" t="s">
        <v>631</v>
      </c>
      <c r="B509" s="0" t="s">
        <v>203</v>
      </c>
      <c r="D509" s="22" t="n">
        <f aca="false">srv26*D505-D507</f>
        <v>42.7442919529412</v>
      </c>
      <c r="E509" s="22" t="n">
        <f aca="false">E502*$D509/$D502</f>
        <v>44.8815065505883</v>
      </c>
      <c r="F509" s="22" t="n">
        <f aca="false">F502*$D509/$D502</f>
        <v>46.2279517471059</v>
      </c>
      <c r="G509" s="22" t="n">
        <f aca="false">G502*$D509/$D502</f>
        <v>47.6147902995191</v>
      </c>
      <c r="K509" s="7" t="s">
        <v>632</v>
      </c>
    </row>
    <row r="510" customFormat="false" ht="17.15" hidden="false" customHeight="false" outlineLevel="0" collapsed="false">
      <c r="A510" s="3" t="s">
        <v>633</v>
      </c>
      <c r="B510" s="0" t="s">
        <v>203</v>
      </c>
      <c r="D510" s="22" t="n">
        <f aca="false">net26*D505-D508</f>
        <v>0.28054164705882</v>
      </c>
      <c r="E510" s="22" t="n">
        <f aca="false">E502*$D510/$D502</f>
        <v>0.294568729411761</v>
      </c>
      <c r="F510" s="22" t="n">
        <f aca="false">F502*$D510/$D502</f>
        <v>0.303405791294114</v>
      </c>
      <c r="G510" s="22" t="n">
        <f aca="false">G502*$D510/$D502</f>
        <v>0.312507965032938</v>
      </c>
    </row>
    <row r="511" customFormat="false" ht="17.15" hidden="false" customHeight="false" outlineLevel="0" collapsed="false">
      <c r="A511" s="3" t="s">
        <v>634</v>
      </c>
      <c r="B511" s="0" t="s">
        <v>203</v>
      </c>
      <c r="C511" s="22" t="n">
        <f aca="false">srv25*C505</f>
        <v>48.0032</v>
      </c>
      <c r="D511" s="22" t="n">
        <f aca="false">D507+D509</f>
        <v>82.2178656</v>
      </c>
      <c r="E511" s="22" t="n">
        <f aca="false">E507+E509</f>
        <v>107.428874525272</v>
      </c>
      <c r="F511" s="22" t="n">
        <f aca="false">F507+F509</f>
        <v>127.924777934554</v>
      </c>
      <c r="G511" s="22" t="n">
        <f aca="false">G507+G509</f>
        <v>146.593650603546</v>
      </c>
      <c r="K511" s="3" t="s">
        <v>635</v>
      </c>
    </row>
    <row r="512" customFormat="false" ht="15" hidden="false" customHeight="false" outlineLevel="0" collapsed="false">
      <c r="A512" s="3" t="s">
        <v>636</v>
      </c>
      <c r="B512" s="0" t="s">
        <v>203</v>
      </c>
      <c r="C512" s="22" t="n">
        <f aca="false">net25*C505</f>
        <v>6.0004</v>
      </c>
      <c r="D512" s="22" t="n">
        <f aca="false">D508+D510</f>
        <v>15.811128</v>
      </c>
      <c r="E512" s="22" t="n">
        <f aca="false">E508+E510</f>
        <v>21.8534487547282</v>
      </c>
      <c r="F512" s="22" t="n">
        <f aca="false">F508+F510</f>
        <v>27.6878168038464</v>
      </c>
      <c r="G512" s="22" t="n">
        <f aca="false">G508+G510</f>
        <v>33.4449075258061</v>
      </c>
      <c r="K512" s="3" t="s">
        <v>637</v>
      </c>
    </row>
    <row r="513" customFormat="false" ht="15" hidden="false" customHeight="false" outlineLevel="0" collapsed="false">
      <c r="A513" s="3" t="s">
        <v>638</v>
      </c>
      <c r="B513" s="0" t="s">
        <v>203</v>
      </c>
      <c r="C513" s="22" t="n">
        <f aca="false">C505-C511-C512</f>
        <v>6.0004</v>
      </c>
      <c r="D513" s="22" t="n">
        <f aca="false">D505-D511-D512</f>
        <v>7.3785264</v>
      </c>
      <c r="E513" s="22" t="n">
        <f aca="false">E505-E511-E512</f>
        <v>7.74745271999999</v>
      </c>
      <c r="F513" s="22" t="n">
        <f aca="false">F505-F511-F512</f>
        <v>7.9798763016</v>
      </c>
      <c r="G513" s="22" t="n">
        <f aca="false">G505-G511-G512</f>
        <v>8.21927259064799</v>
      </c>
      <c r="K513" s="3" t="s">
        <v>639</v>
      </c>
    </row>
    <row r="514" customFormat="false" ht="17.15" hidden="false" customHeight="false" outlineLevel="0" collapsed="false">
      <c r="A514" s="3" t="s">
        <v>640</v>
      </c>
      <c r="B514" s="0" t="s">
        <v>203</v>
      </c>
      <c r="C514" s="28" t="n">
        <f aca="false">C511+C512+C513-C505</f>
        <v>0</v>
      </c>
      <c r="D514" s="28" t="n">
        <f aca="false">ROUND(D509+D510+D513-D502,9)</f>
        <v>0</v>
      </c>
      <c r="E514" s="28" t="n">
        <f aca="false">ROUND(E509+E510+E513-E502,9)</f>
        <v>0</v>
      </c>
      <c r="F514" s="28" t="n">
        <f aca="false">ROUND(F509+F510+F513-F502,9)</f>
        <v>0</v>
      </c>
      <c r="G514" s="28" t="n">
        <f aca="false">ROUND(G509+G510+G513-G502,9)</f>
        <v>0</v>
      </c>
    </row>
    <row r="515" customFormat="false" ht="17.15" hidden="false" customHeight="false" outlineLevel="0" collapsed="false">
      <c r="A515" s="0" t="s">
        <v>641</v>
      </c>
      <c r="B515" s="0" t="s">
        <v>55</v>
      </c>
      <c r="C515" s="14" t="n">
        <f aca="false">C503/C505</f>
        <v>0.3</v>
      </c>
      <c r="D515" s="14" t="n">
        <f aca="false">D503/D505</f>
        <v>0.521823869871903</v>
      </c>
      <c r="E515" s="14" t="n">
        <f aca="false">E503/E505</f>
        <v>0.61378081797346</v>
      </c>
      <c r="F515" s="14" t="n">
        <f aca="false">F503/F505</f>
        <v>0.666786414475814</v>
      </c>
      <c r="G515" s="14" t="n">
        <f aca="false">G503/G505</f>
        <v>0.701757049677747</v>
      </c>
    </row>
    <row r="516" customFormat="false" ht="17.15" hidden="false" customHeight="false" outlineLevel="0" collapsed="false">
      <c r="A516" s="3" t="s">
        <v>642</v>
      </c>
      <c r="B516" s="0" t="s">
        <v>55</v>
      </c>
      <c r="D516" s="14" t="n">
        <f aca="false">(D498+D502)/D501</f>
        <v>1</v>
      </c>
      <c r="E516" s="14" t="n">
        <f aca="false">(E498+E502)/E501</f>
        <v>1.4486061495673</v>
      </c>
      <c r="F516" s="14" t="n">
        <f aca="false">(F498+F502)/F501</f>
        <v>1.27664372210806</v>
      </c>
      <c r="G516" s="14" t="n">
        <f aca="false">(G498+G502)/G501</f>
        <v>1.30133537388054</v>
      </c>
      <c r="K516" s="3" t="s">
        <v>643</v>
      </c>
    </row>
    <row r="517" customFormat="false" ht="17.15" hidden="false" customHeight="false" outlineLevel="0" collapsed="false">
      <c r="A517" s="3" t="s">
        <v>569</v>
      </c>
      <c r="B517" s="0" t="s">
        <v>96</v>
      </c>
      <c r="D517" s="21" t="n">
        <f aca="false">D503/fx/D487*1000</f>
        <v>73.4578604462224</v>
      </c>
      <c r="E517" s="21" t="n">
        <f aca="false">E503/fx/E487*1000</f>
        <v>63.1098285273121</v>
      </c>
      <c r="F517" s="21" t="n">
        <f aca="false">F503/fx/F487*1000</f>
        <v>80.7125070912812</v>
      </c>
      <c r="G517" s="21" t="n">
        <f aca="false">G503/fx/G487*1000</f>
        <v>80.7639732235359</v>
      </c>
    </row>
    <row r="518" customFormat="false" ht="17.15" hidden="false" customHeight="false" outlineLevel="0" collapsed="false">
      <c r="A518" s="5" t="s">
        <v>644</v>
      </c>
    </row>
    <row r="519" customFormat="false" ht="17.15" hidden="false" customHeight="false" outlineLevel="0" collapsed="false">
      <c r="A519" s="3" t="s">
        <v>645</v>
      </c>
      <c r="B519" s="0" t="s">
        <v>55</v>
      </c>
      <c r="D519" s="14" t="n">
        <f aca="false">a26_gp/D505-d_ai*D515</f>
        <v>0.296655205435058</v>
      </c>
      <c r="K519" s="7" t="s">
        <v>646</v>
      </c>
    </row>
    <row r="520" customFormat="false" ht="17.15" hidden="false" customHeight="false" outlineLevel="0" collapsed="false">
      <c r="A520" s="0" t="s">
        <v>647</v>
      </c>
      <c r="B520" s="0" t="s">
        <v>55</v>
      </c>
      <c r="D520" s="14" t="n">
        <f aca="false">D519+d_ai</f>
        <v>0.396655205435058</v>
      </c>
      <c r="E520" s="14" t="n">
        <f aca="false">1-(1-$D$520)/E494+gmu_27</f>
        <v>0.406655205435058</v>
      </c>
      <c r="F520" s="14" t="n">
        <f aca="false">1-(1-$D$520)/F494+gmu_28</f>
        <v>0.392995057149545</v>
      </c>
      <c r="G520" s="14" t="n">
        <f aca="false">1-(1-$D$520)/G494+gmu_29</f>
        <v>0.378143835569211</v>
      </c>
      <c r="K520" s="7" t="s">
        <v>648</v>
      </c>
    </row>
    <row r="521" customFormat="false" ht="15" hidden="false" customHeight="false" outlineLevel="0" collapsed="false">
      <c r="A521" s="3" t="s">
        <v>503</v>
      </c>
      <c r="B521" s="0" t="s">
        <v>203</v>
      </c>
      <c r="C521" s="22" t="n">
        <f aca="false">a25_gp</f>
        <v>19.683</v>
      </c>
      <c r="D521" s="22" t="n">
        <f aca="false">a26_gp</f>
        <v>36.7701055</v>
      </c>
      <c r="E521" s="22" t="n">
        <f aca="false">E503*E520+E502*$D$519</f>
        <v>49.90228363</v>
      </c>
      <c r="F521" s="22" t="n">
        <f aca="false">F503*F520+F502*$D$519</f>
        <v>59.0394283206807</v>
      </c>
      <c r="G521" s="22" t="n">
        <f aca="false">G503*G520+G502*$D$519</f>
        <v>66.6132310386796</v>
      </c>
    </row>
    <row r="522" customFormat="false" ht="15" hidden="false" customHeight="false" outlineLevel="0" collapsed="false">
      <c r="A522" s="3" t="s">
        <v>506</v>
      </c>
      <c r="B522" s="0" t="s">
        <v>55</v>
      </c>
      <c r="C522" s="14" t="n">
        <f aca="false">C521/C505</f>
        <v>0.328028131457903</v>
      </c>
      <c r="D522" s="14" t="n">
        <f aca="false">D521/D505</f>
        <v>0.348837592422248</v>
      </c>
      <c r="E522" s="14" t="n">
        <f aca="false">E521/E505</f>
        <v>0.364171095412139</v>
      </c>
      <c r="F522" s="14" t="n">
        <f aca="false">F521/F505</f>
        <v>0.360893309730892</v>
      </c>
      <c r="G522" s="14" t="n">
        <f aca="false">G521/G505</f>
        <v>0.353840426100282</v>
      </c>
    </row>
    <row r="523" customFormat="false" ht="15" hidden="false" customHeight="false" outlineLevel="0" collapsed="false">
      <c r="A523" s="3" t="s">
        <v>649</v>
      </c>
      <c r="B523" s="0" t="s">
        <v>203</v>
      </c>
      <c r="C523" s="22" t="n">
        <f aca="false">a25_opx</f>
        <v>5.64</v>
      </c>
      <c r="D523" s="22" t="n">
        <f aca="false">a26_opx</f>
        <v>8.4779754</v>
      </c>
      <c r="E523" s="22" t="n">
        <f aca="false">D523*(1+MAX(0,phi*E506))</f>
        <v>10.004010972</v>
      </c>
      <c r="F523" s="22" t="n">
        <f aca="false">E523*(1+MAX(0,phi*F506))</f>
        <v>11.1675544019742</v>
      </c>
      <c r="G523" s="22" t="n">
        <f aca="false">F523*(1+MAX(0,phi*G506))</f>
        <v>12.1778151223589</v>
      </c>
    </row>
    <row r="524" customFormat="false" ht="15" hidden="false" customHeight="false" outlineLevel="0" collapsed="false">
      <c r="A524" s="3" t="s">
        <v>508</v>
      </c>
      <c r="B524" s="0" t="s">
        <v>203</v>
      </c>
      <c r="C524" s="22" t="n">
        <f aca="false">C523</f>
        <v>5.64</v>
      </c>
      <c r="D524" s="22" t="n">
        <f aca="false">D523</f>
        <v>8.4779754</v>
      </c>
      <c r="E524" s="22" t="n">
        <f aca="false">E523+0*E505</f>
        <v>10.004010972</v>
      </c>
      <c r="F524" s="22" t="n">
        <f aca="false">F523+0*F505</f>
        <v>11.1675544019742</v>
      </c>
      <c r="G524" s="22" t="n">
        <f aca="false">G523+0*G505</f>
        <v>12.1778151223589</v>
      </c>
    </row>
    <row r="525" customFormat="false" ht="15" hidden="false" customHeight="false" outlineLevel="0" collapsed="false">
      <c r="A525" s="3" t="s">
        <v>650</v>
      </c>
      <c r="B525" s="0" t="s">
        <v>203</v>
      </c>
      <c r="C525" s="22" t="n">
        <f aca="false">C521-C524</f>
        <v>14.043</v>
      </c>
      <c r="D525" s="22" t="n">
        <f aca="false">D521-D524</f>
        <v>28.2921301</v>
      </c>
      <c r="E525" s="22" t="n">
        <f aca="false">E521-E524</f>
        <v>39.898272658</v>
      </c>
      <c r="F525" s="22" t="n">
        <f aca="false">F521-F524</f>
        <v>47.8718739187066</v>
      </c>
      <c r="G525" s="22" t="n">
        <f aca="false">G521-G524</f>
        <v>54.4354159163207</v>
      </c>
    </row>
    <row r="526" customFormat="false" ht="15" hidden="false" customHeight="false" outlineLevel="0" collapsed="false">
      <c r="A526" s="3" t="s">
        <v>514</v>
      </c>
      <c r="B526" s="0" t="s">
        <v>55</v>
      </c>
      <c r="C526" s="14" t="n">
        <f aca="false">C525/C505</f>
        <v>0.23403439770682</v>
      </c>
      <c r="D526" s="14" t="n">
        <f aca="false">D525/D505</f>
        <v>0.268407131673338</v>
      </c>
      <c r="E526" s="14" t="n">
        <f aca="false">E525/E505</f>
        <v>0.291164984886205</v>
      </c>
      <c r="F526" s="14" t="n">
        <f aca="false">F525/F505</f>
        <v>0.29262883318757</v>
      </c>
      <c r="G526" s="14" t="n">
        <f aca="false">G525/G505</f>
        <v>0.289153527946913</v>
      </c>
    </row>
    <row r="527" customFormat="false" ht="17.15" hidden="false" customHeight="false" outlineLevel="0" collapsed="false">
      <c r="A527" s="3" t="s">
        <v>515</v>
      </c>
      <c r="B527" s="0" t="s">
        <v>203</v>
      </c>
      <c r="E527" s="22" t="n">
        <f aca="false">nop_f</f>
        <v>0</v>
      </c>
      <c r="F527" s="22" t="n">
        <f aca="false">nop_f</f>
        <v>0</v>
      </c>
      <c r="G527" s="22" t="n">
        <f aca="false">nop_f</f>
        <v>0</v>
      </c>
      <c r="K527" s="7" t="s">
        <v>651</v>
      </c>
    </row>
    <row r="528" customFormat="false" ht="15" hidden="false" customHeight="false" outlineLevel="0" collapsed="false">
      <c r="A528" s="3" t="s">
        <v>520</v>
      </c>
      <c r="B528" s="0" t="s">
        <v>203</v>
      </c>
      <c r="C528" s="22" t="n">
        <f aca="false">a25_ni</f>
        <v>9.607</v>
      </c>
      <c r="D528" s="22" t="n">
        <f aca="false">a26_ni</f>
        <v>19.6977289395284</v>
      </c>
      <c r="E528" s="22" t="n">
        <f aca="false">(E525+E527)*nir_f</f>
        <v>27.33031677073</v>
      </c>
      <c r="F528" s="22" t="n">
        <f aca="false">(F525+F527)*nir_f</f>
        <v>32.792233634314</v>
      </c>
      <c r="G528" s="22" t="n">
        <f aca="false">(G525+G527)*nir_f</f>
        <v>37.2882599026797</v>
      </c>
      <c r="H528" s="24" t="n">
        <f aca="false">H505*H533</f>
        <v>39.2087028048931</v>
      </c>
      <c r="I528" s="24" t="n">
        <f aca="false">I505*I533</f>
        <v>39.7211956971457</v>
      </c>
      <c r="J528" s="24" t="n">
        <f aca="false">J505*J533</f>
        <v>38.7062860134586</v>
      </c>
    </row>
    <row r="529" customFormat="false" ht="17.15" hidden="false" customHeight="false" outlineLevel="0" collapsed="false">
      <c r="A529" s="3" t="s">
        <v>523</v>
      </c>
      <c r="B529" s="0" t="s">
        <v>55</v>
      </c>
      <c r="C529" s="14" t="n">
        <f aca="false">C528/C525</f>
        <v>0.684113081250445</v>
      </c>
      <c r="D529" s="14" t="n">
        <f aca="false">D528/D525</f>
        <v>0.696226437171953</v>
      </c>
      <c r="E529" s="14" t="n">
        <f aca="false">E528/E525</f>
        <v>0.685</v>
      </c>
      <c r="F529" s="14" t="n">
        <f aca="false">F528/F525</f>
        <v>0.685</v>
      </c>
      <c r="G529" s="14" t="n">
        <f aca="false">G528/G525</f>
        <v>0.685</v>
      </c>
    </row>
    <row r="530" customFormat="false" ht="17.15" hidden="false" customHeight="false" outlineLevel="0" collapsed="false">
      <c r="A530" s="3" t="s">
        <v>652</v>
      </c>
      <c r="B530" s="3" t="s">
        <v>233</v>
      </c>
      <c r="C530" s="27" t="n">
        <f aca="false">a25_sh</f>
        <v>0.493425783256292</v>
      </c>
      <c r="D530" s="27" t="n">
        <f aca="false">a26_sh</f>
        <v>0.512980850061958</v>
      </c>
      <c r="E530" s="27" t="n">
        <f aca="false">sh_h2*(1+sh_g)</f>
        <v>0.51889356</v>
      </c>
      <c r="F530" s="27" t="n">
        <f aca="false">E530*(1+sh_g)</f>
        <v>0.5240824956</v>
      </c>
      <c r="G530" s="27" t="n">
        <f aca="false">F530*(1+sh_g)</f>
        <v>0.529323320556</v>
      </c>
      <c r="H530" s="29" t="n">
        <f aca="false">G530*(1+sh_g)</f>
        <v>0.53461655376156</v>
      </c>
      <c r="I530" s="29" t="n">
        <f aca="false">H530*(1+sh_g)</f>
        <v>0.539962719299176</v>
      </c>
      <c r="J530" s="29" t="n">
        <f aca="false">I530*(1+sh_g)</f>
        <v>0.545362346492167</v>
      </c>
      <c r="K530" s="7" t="s">
        <v>653</v>
      </c>
    </row>
    <row r="531" customFormat="false" ht="15" hidden="false" customHeight="false" outlineLevel="0" collapsed="false">
      <c r="A531" s="0" t="s">
        <v>526</v>
      </c>
      <c r="B531" s="0" t="s">
        <v>271</v>
      </c>
      <c r="C531" s="23" t="n">
        <f aca="false">C528/C530</f>
        <v>19.47</v>
      </c>
      <c r="D531" s="23" t="n">
        <f aca="false">D528/D530</f>
        <v>38.3985658278458</v>
      </c>
      <c r="E531" s="23" t="n">
        <f aca="false">E528/E530</f>
        <v>52.67037187883</v>
      </c>
      <c r="F531" s="23" t="n">
        <f aca="false">F528/F530</f>
        <v>62.5707477536939</v>
      </c>
      <c r="G531" s="23" t="n">
        <f aca="false">G528/G530</f>
        <v>70.4451484652371</v>
      </c>
      <c r="H531" s="30" t="n">
        <f aca="false">H528/H530</f>
        <v>73.3398592486911</v>
      </c>
      <c r="I531" s="30" t="n">
        <f aca="false">I528/I530</f>
        <v>73.5628484660947</v>
      </c>
      <c r="J531" s="30" t="n">
        <f aca="false">J528/J530</f>
        <v>70.9735211138463</v>
      </c>
    </row>
    <row r="532" customFormat="false" ht="17.15" hidden="false" customHeight="false" outlineLevel="0" collapsed="false">
      <c r="A532" s="0" t="s">
        <v>654</v>
      </c>
      <c r="B532" s="0" t="s">
        <v>55</v>
      </c>
      <c r="D532" s="14" t="n">
        <f aca="false">D531/C531-1</f>
        <v>0.9721913624985</v>
      </c>
      <c r="E532" s="14" t="n">
        <f aca="false">E531/D531-1</f>
        <v>0.37167549733419</v>
      </c>
      <c r="F532" s="14" t="n">
        <f aca="false">F531/E531-1</f>
        <v>0.187968596417736</v>
      </c>
      <c r="G532" s="14" t="n">
        <f aca="false">G531/F531-1</f>
        <v>0.125847956021562</v>
      </c>
      <c r="H532" s="25" t="n">
        <f aca="false">H531/G531-1</f>
        <v>0.0410916982435285</v>
      </c>
      <c r="I532" s="25" t="n">
        <f aca="false">I531/H531-1</f>
        <v>0.00304049148291119</v>
      </c>
      <c r="J532" s="25" t="n">
        <f aca="false">J531/I531-1</f>
        <v>-0.0351988456977962</v>
      </c>
    </row>
    <row r="533" customFormat="false" ht="17.15" hidden="false" customHeight="false" outlineLevel="0" collapsed="false">
      <c r="A533" s="3" t="s">
        <v>655</v>
      </c>
      <c r="B533" s="0" t="s">
        <v>55</v>
      </c>
      <c r="C533" s="14" t="n">
        <f aca="false">C528/C505</f>
        <v>0.160105992933804</v>
      </c>
      <c r="D533" s="14" t="n">
        <f aca="false">D528/D505</f>
        <v>0.186872140996471</v>
      </c>
      <c r="E533" s="14" t="n">
        <f aca="false">E528/E505</f>
        <v>0.19944801464705</v>
      </c>
      <c r="F533" s="14" t="n">
        <f aca="false">F528/F505</f>
        <v>0.200450750733486</v>
      </c>
      <c r="G533" s="14" t="n">
        <f aca="false">G528/G505</f>
        <v>0.198070166643635</v>
      </c>
      <c r="H533" s="25" t="n">
        <f aca="false">$G533+(fade_mB-$G533)*1/3</f>
        <v>0.186983456585911</v>
      </c>
      <c r="I533" s="25" t="n">
        <f aca="false">$G533+(fade_mB-$G533)*2/3</f>
        <v>0.175896746528186</v>
      </c>
      <c r="J533" s="25" t="n">
        <f aca="false">$G533+(fade_mB-$G533)*3/3</f>
        <v>0.164810036470462</v>
      </c>
    </row>
    <row r="536" customFormat="false" ht="17.15" hidden="false" customHeight="false" outlineLevel="0" collapsed="false">
      <c r="A536" s="1" t="s">
        <v>999</v>
      </c>
    </row>
    <row r="537" customFormat="false" ht="17.15" hidden="false" customHeight="false" outlineLevel="0" collapsed="false">
      <c r="A537" s="4" t="s">
        <v>24</v>
      </c>
      <c r="B537" s="4" t="s">
        <v>25</v>
      </c>
      <c r="C537" s="15" t="s">
        <v>494</v>
      </c>
      <c r="D537" s="15" t="s">
        <v>583</v>
      </c>
      <c r="E537" s="15" t="s">
        <v>584</v>
      </c>
      <c r="F537" s="15" t="s">
        <v>585</v>
      </c>
      <c r="G537" s="15" t="s">
        <v>586</v>
      </c>
      <c r="H537" s="15" t="s">
        <v>587</v>
      </c>
      <c r="I537" s="15" t="s">
        <v>588</v>
      </c>
      <c r="J537" s="15" t="s">
        <v>589</v>
      </c>
      <c r="K537" s="4" t="s">
        <v>458</v>
      </c>
    </row>
    <row r="538" customFormat="false" ht="17.15" hidden="false" customHeight="false" outlineLevel="0" collapsed="false">
      <c r="A538" s="5" t="s">
        <v>605</v>
      </c>
    </row>
    <row r="539" customFormat="false" ht="17.15" hidden="false" customHeight="false" outlineLevel="0" collapsed="false">
      <c r="A539" s="0" t="s">
        <v>606</v>
      </c>
      <c r="B539" s="0" t="s">
        <v>35</v>
      </c>
      <c r="D539" s="23" t="n">
        <f aca="false">itc_26*1</f>
        <v>781.872916666666</v>
      </c>
      <c r="E539" s="23" t="n">
        <f aca="false">itc_27*1*1</f>
        <v>1565.35</v>
      </c>
      <c r="F539" s="23" t="n">
        <f aca="false">itc_28*um28_B*1</f>
        <v>1587.41111111111</v>
      </c>
      <c r="G539" s="23" t="n">
        <f aca="false">itc_29*um29_B*1</f>
        <v>1921.33173611111</v>
      </c>
    </row>
    <row r="540" customFormat="false" ht="17.15" hidden="false" customHeight="false" outlineLevel="0" collapsed="false">
      <c r="A540" s="3" t="s">
        <v>607</v>
      </c>
      <c r="B540" s="0" t="s">
        <v>35</v>
      </c>
      <c r="D540" s="23" t="n">
        <f aca="false">itpg_gb*(1-vr26)+itpg_vr*vr26</f>
        <v>33.41403216</v>
      </c>
      <c r="E540" s="23" t="n">
        <f aca="false">itpg_vr</f>
        <v>37.586352</v>
      </c>
      <c r="F540" s="23" t="n">
        <f aca="false">itpg_vr</f>
        <v>37.586352</v>
      </c>
      <c r="G540" s="23" t="n">
        <f aca="false">itpg_vr</f>
        <v>37.586352</v>
      </c>
    </row>
    <row r="541" customFormat="false" ht="17.15" hidden="false" customHeight="false" outlineLevel="0" collapsed="false">
      <c r="A541" s="3" t="s">
        <v>608</v>
      </c>
      <c r="B541" s="0" t="s">
        <v>549</v>
      </c>
      <c r="D541" s="20" t="n">
        <f aca="false">D539/D540</f>
        <v>23.3995380420639</v>
      </c>
      <c r="E541" s="20" t="n">
        <f aca="false">E539/E540</f>
        <v>41.6467658260637</v>
      </c>
      <c r="F541" s="20" t="n">
        <f aca="false">F539/F540</f>
        <v>42.2337105529984</v>
      </c>
      <c r="G541" s="20" t="n">
        <f aca="false">G539/G540</f>
        <v>51.1178029756948</v>
      </c>
    </row>
    <row r="542" customFormat="false" ht="17.15" hidden="false" customHeight="false" outlineLevel="0" collapsed="false">
      <c r="A542" s="3" t="s">
        <v>553</v>
      </c>
      <c r="B542" s="0" t="s">
        <v>96</v>
      </c>
      <c r="D542" s="21" t="n">
        <f aca="false">vg_cmp26</f>
        <v>280</v>
      </c>
      <c r="E542" s="21" t="n">
        <f aca="false">(vg_cmp26+(vg_cmp27-vg_cmp26)*pgwf)</f>
        <v>420</v>
      </c>
      <c r="F542" s="21" t="n">
        <f aca="false">(vg_cmp26+(vg_cmp28-vg_cmp26)*pgwf)</f>
        <v>462</v>
      </c>
      <c r="G542" s="21" t="n">
        <f aca="false">(vg_cmp26+(vg_cmp29-vg_cmp26)*pgwf)</f>
        <v>504</v>
      </c>
    </row>
    <row r="543" customFormat="false" ht="17.15" hidden="false" customHeight="false" outlineLevel="0" collapsed="false">
      <c r="A543" s="3" t="s">
        <v>555</v>
      </c>
      <c r="B543" s="0" t="s">
        <v>96</v>
      </c>
      <c r="D543" s="21" t="n">
        <f aca="false">vg_sw26</f>
        <v>120</v>
      </c>
      <c r="E543" s="21" t="n">
        <f aca="false">(vg_sw26+(vg_sw27-vg_sw26)*pgwf)</f>
        <v>162</v>
      </c>
      <c r="F543" s="21" t="n">
        <f aca="false">(vg_sw26+(vg_sw28-vg_sw26)*pgwf)</f>
        <v>180</v>
      </c>
      <c r="G543" s="21" t="n">
        <f aca="false">(vg_sw26+(vg_sw29-vg_sw26)*pgwf)</f>
        <v>198</v>
      </c>
    </row>
    <row r="544" customFormat="false" ht="17.15" hidden="false" customHeight="false" outlineLevel="0" collapsed="false">
      <c r="A544" s="3" t="s">
        <v>609</v>
      </c>
      <c r="B544" s="0" t="s">
        <v>96</v>
      </c>
      <c r="D544" s="21" t="n">
        <f aca="false">vg_mid26*w_mid</f>
        <v>25</v>
      </c>
      <c r="E544" s="21" t="n">
        <f aca="false">(vg_mid26+(vg_mid27-vg_mid26)*pgwf)*w_mid</f>
        <v>50</v>
      </c>
      <c r="F544" s="21" t="n">
        <f aca="false">(vg_mid26+(vg_mid28-vg_mid26)*pgwf)*w_mid</f>
        <v>75</v>
      </c>
      <c r="G544" s="21" t="n">
        <f aca="false">(vg_mid26+(vg_mid29-vg_mid26)*pgwf)*w_mid</f>
        <v>87.5</v>
      </c>
    </row>
    <row r="545" customFormat="false" ht="17.15" hidden="false" customHeight="false" outlineLevel="0" collapsed="false">
      <c r="A545" s="3" t="s">
        <v>610</v>
      </c>
      <c r="B545" s="0" t="s">
        <v>96</v>
      </c>
      <c r="D545" s="21" t="n">
        <f aca="false">D542+D543+D544</f>
        <v>425</v>
      </c>
      <c r="E545" s="21" t="n">
        <f aca="false">E542+E543+E544</f>
        <v>632</v>
      </c>
      <c r="F545" s="21" t="n">
        <f aca="false">F542+F543+F544</f>
        <v>717</v>
      </c>
      <c r="G545" s="21" t="n">
        <f aca="false">G542+G543+G544</f>
        <v>789.5</v>
      </c>
    </row>
    <row r="546" customFormat="false" ht="17.15" hidden="false" customHeight="false" outlineLevel="0" collapsed="false">
      <c r="A546" s="3" t="s">
        <v>611</v>
      </c>
      <c r="B546" s="0" t="s">
        <v>35</v>
      </c>
      <c r="D546" s="23" t="n">
        <f aca="false">D541*D545/1000</f>
        <v>9.94480366787715</v>
      </c>
      <c r="E546" s="23" t="n">
        <f aca="false">E541*E545/1000</f>
        <v>26.3207560020722</v>
      </c>
      <c r="F546" s="23" t="n">
        <f aca="false">F541*F545/1000</f>
        <v>30.2815704664998</v>
      </c>
      <c r="G546" s="23" t="n">
        <f aca="false">G541*G545/1000</f>
        <v>40.3575054493111</v>
      </c>
    </row>
    <row r="547" customFormat="false" ht="17.15" hidden="false" customHeight="false" outlineLevel="0" collapsed="false">
      <c r="A547" s="3" t="s">
        <v>612</v>
      </c>
      <c r="B547" s="0" t="s">
        <v>203</v>
      </c>
      <c r="D547" s="22" t="n">
        <f aca="false">D546*fx</f>
        <v>318.233717372069</v>
      </c>
      <c r="E547" s="22" t="n">
        <f aca="false">E546*fx</f>
        <v>842.264192066312</v>
      </c>
      <c r="F547" s="22" t="n">
        <f aca="false">F546*fx</f>
        <v>969.010254927995</v>
      </c>
      <c r="G547" s="22" t="n">
        <f aca="false">G546*fx</f>
        <v>1291.44017437795</v>
      </c>
    </row>
    <row r="548" customFormat="false" ht="17.15" hidden="false" customHeight="false" outlineLevel="0" collapsed="false">
      <c r="A548" s="0" t="s">
        <v>613</v>
      </c>
      <c r="B548" s="0" t="s">
        <v>69</v>
      </c>
      <c r="D548" s="18" t="n">
        <f aca="false">1</f>
        <v>1</v>
      </c>
      <c r="E548" s="18" t="n">
        <f aca="false">pp_27</f>
        <v>1</v>
      </c>
      <c r="F548" s="18" t="n">
        <f aca="false">pp_28</f>
        <v>0.97</v>
      </c>
      <c r="G548" s="18" t="n">
        <f aca="false">pp_29</f>
        <v>0.94</v>
      </c>
    </row>
    <row r="549" customFormat="false" ht="17.15" hidden="false" customHeight="false" outlineLevel="0" collapsed="false">
      <c r="A549" s="3" t="s">
        <v>614</v>
      </c>
      <c r="B549" s="0" t="s">
        <v>55</v>
      </c>
      <c r="D549" s="14" t="n">
        <f aca="false">a26_ai/D547</f>
        <v>0.172842024579347</v>
      </c>
      <c r="K549" s="7" t="s">
        <v>615</v>
      </c>
    </row>
    <row r="550" customFormat="false" ht="17.15" hidden="false" customHeight="false" outlineLevel="0" collapsed="false">
      <c r="A550" s="3" t="s">
        <v>616</v>
      </c>
      <c r="B550" s="0" t="s">
        <v>69</v>
      </c>
      <c r="D550" s="18" t="n">
        <f aca="false">1</f>
        <v>1</v>
      </c>
      <c r="E550" s="18" t="n">
        <f aca="false">rel_27</f>
        <v>1</v>
      </c>
      <c r="F550" s="18" t="n">
        <f aca="false">rel_28</f>
        <v>0.95</v>
      </c>
      <c r="G550" s="18" t="n">
        <f aca="false">rel_29</f>
        <v>0.9</v>
      </c>
    </row>
    <row r="551" customFormat="false" ht="15" hidden="false" customHeight="false" outlineLevel="0" collapsed="false">
      <c r="A551" s="3" t="s">
        <v>565</v>
      </c>
      <c r="B551" s="0" t="s">
        <v>55</v>
      </c>
      <c r="D551" s="14" t="n">
        <f aca="false">$D$549*D550</f>
        <v>0.172842024579347</v>
      </c>
      <c r="E551" s="14" t="n">
        <f aca="false">$D$549*E550</f>
        <v>0.172842024579347</v>
      </c>
      <c r="F551" s="14" t="n">
        <f aca="false">$D$549*F550</f>
        <v>0.164199923350379</v>
      </c>
      <c r="G551" s="14" t="n">
        <f aca="false">$D$549*G550</f>
        <v>0.155557822121412</v>
      </c>
    </row>
    <row r="552" customFormat="false" ht="17.15" hidden="false" customHeight="false" outlineLevel="0" collapsed="false">
      <c r="A552" s="0" t="s">
        <v>617</v>
      </c>
      <c r="B552" s="0" t="s">
        <v>203</v>
      </c>
      <c r="D552" s="22" t="n">
        <f aca="false">D547*D551*D548</f>
        <v>55.00416</v>
      </c>
      <c r="E552" s="22" t="n">
        <f aca="false">E547*E551*E548</f>
        <v>145.578648187429</v>
      </c>
      <c r="F552" s="22" t="n">
        <f aca="false">F547*F551*F548</f>
        <v>154.338067297361</v>
      </c>
      <c r="G552" s="22" t="n">
        <f aca="false">G547*G551*G548</f>
        <v>188.840003670751</v>
      </c>
    </row>
    <row r="553" customFormat="false" ht="17.15" hidden="false" customHeight="false" outlineLevel="0" collapsed="false">
      <c r="A553" s="5" t="s">
        <v>618</v>
      </c>
    </row>
    <row r="554" customFormat="false" ht="17.15" hidden="false" customHeight="false" outlineLevel="0" collapsed="false">
      <c r="A554" s="3" t="s">
        <v>619</v>
      </c>
      <c r="B554" s="0" t="s">
        <v>69</v>
      </c>
      <c r="D554" s="18" t="n">
        <f aca="false">1</f>
        <v>1</v>
      </c>
      <c r="E554" s="18" t="n">
        <f aca="false">CAPHI_27</f>
        <v>1.6</v>
      </c>
      <c r="F554" s="18" t="n">
        <f aca="false">CAPHI_28</f>
        <v>2.15</v>
      </c>
      <c r="G554" s="18" t="n">
        <f aca="false">CAPHI_29</f>
        <v>2.6</v>
      </c>
      <c r="K554" s="7" t="s">
        <v>620</v>
      </c>
    </row>
    <row r="555" customFormat="false" ht="17.15" hidden="false" customHeight="false" outlineLevel="0" collapsed="false">
      <c r="A555" s="3" t="s">
        <v>621</v>
      </c>
      <c r="B555" s="0" t="s">
        <v>203</v>
      </c>
      <c r="D555" s="22" t="n">
        <f aca="false">a26_rev*D554*D548</f>
        <v>105.40752</v>
      </c>
      <c r="E555" s="22" t="n">
        <f aca="false">a26_rev*E554*E548</f>
        <v>168.652032</v>
      </c>
      <c r="F555" s="22" t="n">
        <f aca="false">a26_rev*F554*F548</f>
        <v>219.82738296</v>
      </c>
      <c r="G555" s="22" t="n">
        <f aca="false">a26_rev*G554*G548</f>
        <v>257.61597888</v>
      </c>
    </row>
    <row r="556" customFormat="false" ht="17.15" hidden="false" customHeight="false" outlineLevel="0" collapsed="false">
      <c r="A556" s="3" t="s">
        <v>622</v>
      </c>
      <c r="B556" s="0" t="s">
        <v>203</v>
      </c>
      <c r="C556" s="22" t="n">
        <f aca="false">a25_nai</f>
        <v>42.0028</v>
      </c>
      <c r="D556" s="22" t="n">
        <f aca="false">a26_nai</f>
        <v>50.40336</v>
      </c>
      <c r="E556" s="22" t="n">
        <f aca="false">D556*(1+g_nai27)</f>
        <v>52.923528</v>
      </c>
      <c r="F556" s="22" t="n">
        <f aca="false">E556*(1+g_nai28)</f>
        <v>54.51123384</v>
      </c>
      <c r="G556" s="22" t="n">
        <f aca="false">F556*(1+g_nai29)</f>
        <v>56.1465708552</v>
      </c>
    </row>
    <row r="557" customFormat="false" ht="17.15" hidden="false" customHeight="false" outlineLevel="0" collapsed="false">
      <c r="A557" s="0" t="s">
        <v>623</v>
      </c>
      <c r="B557" s="0" t="s">
        <v>203</v>
      </c>
      <c r="C557" s="22" t="n">
        <f aca="false">a25_ai</f>
        <v>18.0012</v>
      </c>
      <c r="D557" s="22" t="n">
        <f aca="false">D552</f>
        <v>55.00416</v>
      </c>
      <c r="E557" s="22" t="n">
        <f aca="false">MIN(E552,E555-E556)</f>
        <v>115.728504</v>
      </c>
      <c r="F557" s="22" t="n">
        <f aca="false">MIN(F552,F555-F556)</f>
        <v>154.338067297361</v>
      </c>
      <c r="G557" s="22" t="n">
        <f aca="false">MIN(G552,G555-G556)</f>
        <v>188.840003670751</v>
      </c>
      <c r="K557" s="3" t="s">
        <v>624</v>
      </c>
    </row>
    <row r="558" customFormat="false" ht="15" hidden="false" customHeight="false" outlineLevel="0" collapsed="false">
      <c r="A558" s="3" t="s">
        <v>625</v>
      </c>
      <c r="E558" s="0" t="str">
        <f aca="false">IF(E552&gt;E555-E556+0.0001,"受限","未受限")</f>
        <v>受限</v>
      </c>
      <c r="F558" s="0" t="str">
        <f aca="false">IF(F552&gt;F555-F556+0.0001,"受限","未受限")</f>
        <v>未受限</v>
      </c>
      <c r="G558" s="0" t="str">
        <f aca="false">IF(G552&gt;G555-G556+0.0001,"受限","未受限")</f>
        <v>未受限</v>
      </c>
    </row>
    <row r="559" customFormat="false" ht="17.15" hidden="false" customHeight="false" outlineLevel="0" collapsed="false">
      <c r="A559" s="3" t="s">
        <v>499</v>
      </c>
      <c r="B559" s="0" t="s">
        <v>203</v>
      </c>
      <c r="C559" s="22" t="n">
        <f aca="false">C557+C556</f>
        <v>60.004</v>
      </c>
      <c r="D559" s="22" t="n">
        <f aca="false">D557+D556</f>
        <v>105.40752</v>
      </c>
      <c r="E559" s="22" t="n">
        <f aca="false">E557+E556</f>
        <v>168.652032</v>
      </c>
      <c r="F559" s="22" t="n">
        <f aca="false">F557+F556</f>
        <v>208.849301137361</v>
      </c>
      <c r="G559" s="22" t="n">
        <f aca="false">G557+G556</f>
        <v>244.986574525951</v>
      </c>
      <c r="H559" s="24" t="n">
        <f aca="false">G559*(1+H560)</f>
        <v>276.513141812981</v>
      </c>
      <c r="I559" s="24" t="n">
        <f aca="false">H559*(1+I560)</f>
        <v>299.835216686254</v>
      </c>
      <c r="J559" s="24" t="n">
        <f aca="false">I559*(1+J560)</f>
        <v>311.828625353704</v>
      </c>
      <c r="K559" s="7" t="s">
        <v>626</v>
      </c>
    </row>
    <row r="560" customFormat="false" ht="15" hidden="false" customHeight="false" outlineLevel="0" collapsed="false">
      <c r="A560" s="3" t="s">
        <v>627</v>
      </c>
      <c r="B560" s="0" t="s">
        <v>55</v>
      </c>
      <c r="D560" s="14" t="n">
        <f aca="false">D559/C559-1</f>
        <v>0.756674888340778</v>
      </c>
      <c r="E560" s="14" t="n">
        <f aca="false">E559/D559-1</f>
        <v>0.6</v>
      </c>
      <c r="F560" s="14" t="n">
        <f aca="false">F559/E559-1</f>
        <v>0.238344410444821</v>
      </c>
      <c r="G560" s="14" t="n">
        <f aca="false">G559/F559-1</f>
        <v>0.173030377366801</v>
      </c>
      <c r="H560" s="25" t="n">
        <f aca="false">$G560+(fade_gB-$G560)*1/3</f>
        <v>0.128686918244534</v>
      </c>
      <c r="I560" s="25" t="n">
        <f aca="false">$G560+(fade_gB-$G560)*2/3</f>
        <v>0.0843434591222668</v>
      </c>
      <c r="J560" s="25" t="n">
        <f aca="false">$G560+(fade_gB-$G560)*3/3</f>
        <v>0.04</v>
      </c>
    </row>
    <row r="561" customFormat="false" ht="17.15" hidden="false" customHeight="false" outlineLevel="0" collapsed="false">
      <c r="A561" s="3" t="s">
        <v>628</v>
      </c>
      <c r="B561" s="0" t="s">
        <v>203</v>
      </c>
      <c r="D561" s="22" t="n">
        <f aca="false">D557*(D542+D544)/D545</f>
        <v>39.4735736470588</v>
      </c>
      <c r="E561" s="22" t="n">
        <f aca="false">E557*(E542+E544)/E545</f>
        <v>86.0639191139241</v>
      </c>
      <c r="F561" s="22" t="n">
        <f aca="false">F557*(F542+F544)/F545</f>
        <v>115.592108980032</v>
      </c>
      <c r="G561" s="22" t="n">
        <f aca="false">G557*(G542+G544)/G545</f>
        <v>141.480509399936</v>
      </c>
      <c r="K561" s="7" t="s">
        <v>629</v>
      </c>
    </row>
    <row r="562" customFormat="false" ht="17.15" hidden="false" customHeight="false" outlineLevel="0" collapsed="false">
      <c r="A562" s="3" t="s">
        <v>630</v>
      </c>
      <c r="B562" s="0" t="s">
        <v>203</v>
      </c>
      <c r="D562" s="22" t="n">
        <f aca="false">D557*D543/D545</f>
        <v>15.5305863529412</v>
      </c>
      <c r="E562" s="22" t="n">
        <f aca="false">E557*E543/E545</f>
        <v>29.664584886076</v>
      </c>
      <c r="F562" s="22" t="n">
        <f aca="false">F557*F543/F545</f>
        <v>38.7459583173292</v>
      </c>
      <c r="G562" s="22" t="n">
        <f aca="false">G557*G543/G545</f>
        <v>47.3594942708154</v>
      </c>
    </row>
    <row r="563" customFormat="false" ht="17.15" hidden="false" customHeight="false" outlineLevel="0" collapsed="false">
      <c r="A563" s="3" t="s">
        <v>631</v>
      </c>
      <c r="B563" s="0" t="s">
        <v>203</v>
      </c>
      <c r="D563" s="22" t="n">
        <f aca="false">srv26*D559-D561</f>
        <v>42.7442919529412</v>
      </c>
      <c r="E563" s="22" t="n">
        <f aca="false">E556*$D563/$D556</f>
        <v>44.8815065505883</v>
      </c>
      <c r="F563" s="22" t="n">
        <f aca="false">F556*$D563/$D556</f>
        <v>46.2279517471059</v>
      </c>
      <c r="G563" s="22" t="n">
        <f aca="false">G556*$D563/$D556</f>
        <v>47.6147902995191</v>
      </c>
      <c r="K563" s="7" t="s">
        <v>632</v>
      </c>
    </row>
    <row r="564" customFormat="false" ht="17.15" hidden="false" customHeight="false" outlineLevel="0" collapsed="false">
      <c r="A564" s="3" t="s">
        <v>633</v>
      </c>
      <c r="B564" s="0" t="s">
        <v>203</v>
      </c>
      <c r="D564" s="22" t="n">
        <f aca="false">net26*D559-D562</f>
        <v>0.28054164705882</v>
      </c>
      <c r="E564" s="22" t="n">
        <f aca="false">E556*$D564/$D556</f>
        <v>0.294568729411761</v>
      </c>
      <c r="F564" s="22" t="n">
        <f aca="false">F556*$D564/$D556</f>
        <v>0.303405791294114</v>
      </c>
      <c r="G564" s="22" t="n">
        <f aca="false">G556*$D564/$D556</f>
        <v>0.312507965032938</v>
      </c>
    </row>
    <row r="565" customFormat="false" ht="17.15" hidden="false" customHeight="false" outlineLevel="0" collapsed="false">
      <c r="A565" s="3" t="s">
        <v>634</v>
      </c>
      <c r="B565" s="0" t="s">
        <v>203</v>
      </c>
      <c r="C565" s="22" t="n">
        <f aca="false">srv25*C559</f>
        <v>48.0032</v>
      </c>
      <c r="D565" s="22" t="n">
        <f aca="false">D561+D563</f>
        <v>82.2178656</v>
      </c>
      <c r="E565" s="22" t="n">
        <f aca="false">E561+E563</f>
        <v>130.945425664512</v>
      </c>
      <c r="F565" s="22" t="n">
        <f aca="false">F561+F563</f>
        <v>161.820060727138</v>
      </c>
      <c r="G565" s="22" t="n">
        <f aca="false">G561+G563</f>
        <v>189.095299699455</v>
      </c>
      <c r="K565" s="3" t="s">
        <v>635</v>
      </c>
    </row>
    <row r="566" customFormat="false" ht="15" hidden="false" customHeight="false" outlineLevel="0" collapsed="false">
      <c r="A566" s="3" t="s">
        <v>636</v>
      </c>
      <c r="B566" s="0" t="s">
        <v>203</v>
      </c>
      <c r="C566" s="22" t="n">
        <f aca="false">net25*C559</f>
        <v>6.0004</v>
      </c>
      <c r="D566" s="22" t="n">
        <f aca="false">D562+D564</f>
        <v>15.811128</v>
      </c>
      <c r="E566" s="22" t="n">
        <f aca="false">E562+E564</f>
        <v>29.9591536154877</v>
      </c>
      <c r="F566" s="22" t="n">
        <f aca="false">F562+F564</f>
        <v>39.0493641086233</v>
      </c>
      <c r="G566" s="22" t="n">
        <f aca="false">G562+G564</f>
        <v>47.6720022358483</v>
      </c>
      <c r="K566" s="3" t="s">
        <v>637</v>
      </c>
    </row>
    <row r="567" customFormat="false" ht="15" hidden="false" customHeight="false" outlineLevel="0" collapsed="false">
      <c r="A567" s="3" t="s">
        <v>638</v>
      </c>
      <c r="B567" s="0" t="s">
        <v>203</v>
      </c>
      <c r="C567" s="22" t="n">
        <f aca="false">C559-C565-C566</f>
        <v>6.0004</v>
      </c>
      <c r="D567" s="22" t="n">
        <f aca="false">D559-D565-D566</f>
        <v>7.3785264</v>
      </c>
      <c r="E567" s="22" t="n">
        <f aca="false">E559-E565-E566</f>
        <v>7.74745272000001</v>
      </c>
      <c r="F567" s="22" t="n">
        <f aca="false">F559-F565-F566</f>
        <v>7.97987630159999</v>
      </c>
      <c r="G567" s="22" t="n">
        <f aca="false">G559-G565-G566</f>
        <v>8.21927259064797</v>
      </c>
      <c r="K567" s="3" t="s">
        <v>639</v>
      </c>
    </row>
    <row r="568" customFormat="false" ht="17.15" hidden="false" customHeight="false" outlineLevel="0" collapsed="false">
      <c r="A568" s="3" t="s">
        <v>640</v>
      </c>
      <c r="B568" s="0" t="s">
        <v>203</v>
      </c>
      <c r="C568" s="28" t="n">
        <f aca="false">C565+C566+C567-C559</f>
        <v>0</v>
      </c>
      <c r="D568" s="28" t="n">
        <f aca="false">ROUND(D563+D564+D567-D556,9)</f>
        <v>0</v>
      </c>
      <c r="E568" s="28" t="n">
        <f aca="false">ROUND(E563+E564+E567-E556,9)</f>
        <v>0</v>
      </c>
      <c r="F568" s="28" t="n">
        <f aca="false">ROUND(F563+F564+F567-F556,9)</f>
        <v>0</v>
      </c>
      <c r="G568" s="28" t="n">
        <f aca="false">ROUND(G563+G564+G567-G556,9)</f>
        <v>0</v>
      </c>
    </row>
    <row r="569" customFormat="false" ht="17.15" hidden="false" customHeight="false" outlineLevel="0" collapsed="false">
      <c r="A569" s="0" t="s">
        <v>641</v>
      </c>
      <c r="B569" s="0" t="s">
        <v>55</v>
      </c>
      <c r="C569" s="14" t="n">
        <f aca="false">C557/C559</f>
        <v>0.3</v>
      </c>
      <c r="D569" s="14" t="n">
        <f aca="false">D557/D559</f>
        <v>0.521823869871903</v>
      </c>
      <c r="E569" s="14" t="n">
        <f aca="false">E557/E559</f>
        <v>0.686196914603436</v>
      </c>
      <c r="F569" s="14" t="n">
        <f aca="false">F557/F559</f>
        <v>0.738992500606226</v>
      </c>
      <c r="G569" s="14" t="n">
        <f aca="false">G557/G559</f>
        <v>0.770817764345481</v>
      </c>
    </row>
    <row r="570" customFormat="false" ht="17.15" hidden="false" customHeight="false" outlineLevel="0" collapsed="false">
      <c r="A570" s="3" t="s">
        <v>642</v>
      </c>
      <c r="B570" s="0" t="s">
        <v>55</v>
      </c>
      <c r="D570" s="14" t="n">
        <f aca="false">(D552+D556)/D555</f>
        <v>1</v>
      </c>
      <c r="E570" s="14" t="n">
        <f aca="false">(E552+E556)/E555</f>
        <v>1.17699249652343</v>
      </c>
      <c r="F570" s="14" t="n">
        <f aca="false">(F552+F556)/F555</f>
        <v>0.950060444359489</v>
      </c>
      <c r="G570" s="14" t="n">
        <f aca="false">(G552+G556)/G555</f>
        <v>0.950975850143474</v>
      </c>
      <c r="K570" s="3" t="s">
        <v>643</v>
      </c>
    </row>
    <row r="571" customFormat="false" ht="17.15" hidden="false" customHeight="false" outlineLevel="0" collapsed="false">
      <c r="A571" s="3" t="s">
        <v>569</v>
      </c>
      <c r="B571" s="0" t="s">
        <v>96</v>
      </c>
      <c r="D571" s="21" t="n">
        <f aca="false">D557/fx/D541*1000</f>
        <v>73.4578604462224</v>
      </c>
      <c r="E571" s="21" t="n">
        <f aca="false">E557/fx/E541*1000</f>
        <v>86.8378535107446</v>
      </c>
      <c r="F571" s="21" t="n">
        <f aca="false">F557/fx/F541*1000</f>
        <v>114.199404690955</v>
      </c>
      <c r="G571" s="21" t="n">
        <f aca="false">G557/fx/G541*1000</f>
        <v>115.444126530964</v>
      </c>
    </row>
    <row r="572" customFormat="false" ht="17.15" hidden="false" customHeight="false" outlineLevel="0" collapsed="false">
      <c r="A572" s="5" t="s">
        <v>644</v>
      </c>
    </row>
    <row r="573" customFormat="false" ht="17.15" hidden="false" customHeight="false" outlineLevel="0" collapsed="false">
      <c r="A573" s="3" t="s">
        <v>645</v>
      </c>
      <c r="B573" s="0" t="s">
        <v>55</v>
      </c>
      <c r="D573" s="14" t="n">
        <f aca="false">a26_gp/D559-d_ai*D569</f>
        <v>0.296655205435058</v>
      </c>
      <c r="K573" s="7" t="s">
        <v>646</v>
      </c>
    </row>
    <row r="574" customFormat="false" ht="17.15" hidden="false" customHeight="false" outlineLevel="0" collapsed="false">
      <c r="A574" s="0" t="s">
        <v>647</v>
      </c>
      <c r="B574" s="0" t="s">
        <v>55</v>
      </c>
      <c r="D574" s="14" t="n">
        <f aca="false">D573+d_ai</f>
        <v>0.396655205435058</v>
      </c>
      <c r="E574" s="14" t="n">
        <f aca="false">1-(1-$D$574)/E548+gmu_27</f>
        <v>0.406655205435058</v>
      </c>
      <c r="F574" s="14" t="n">
        <f aca="false">1-(1-$D$574)/F548+gmu_28</f>
        <v>0.392995057149545</v>
      </c>
      <c r="G574" s="14" t="n">
        <f aca="false">1-(1-$D$574)/G548+gmu_29</f>
        <v>0.378143835569211</v>
      </c>
      <c r="K574" s="7" t="s">
        <v>648</v>
      </c>
    </row>
    <row r="575" customFormat="false" ht="15" hidden="false" customHeight="false" outlineLevel="0" collapsed="false">
      <c r="A575" s="3" t="s">
        <v>503</v>
      </c>
      <c r="B575" s="0" t="s">
        <v>203</v>
      </c>
      <c r="C575" s="22" t="n">
        <f aca="false">a25_gp</f>
        <v>19.683</v>
      </c>
      <c r="D575" s="22" t="n">
        <f aca="false">a26_gp</f>
        <v>36.7701055</v>
      </c>
      <c r="E575" s="22" t="n">
        <f aca="false">E557*E574+E556*$D$573</f>
        <v>62.76163864</v>
      </c>
      <c r="F575" s="22" t="n">
        <f aca="false">F557*F574+F556*$D$573</f>
        <v>76.8251388512004</v>
      </c>
      <c r="G575" s="22" t="n">
        <f aca="false">G557*G574+G556*$D$573</f>
        <v>88.0648558084852</v>
      </c>
    </row>
    <row r="576" customFormat="false" ht="15" hidden="false" customHeight="false" outlineLevel="0" collapsed="false">
      <c r="A576" s="3" t="s">
        <v>506</v>
      </c>
      <c r="B576" s="0" t="s">
        <v>55</v>
      </c>
      <c r="C576" s="14" t="n">
        <f aca="false">C575/C559</f>
        <v>0.328028131457903</v>
      </c>
      <c r="D576" s="14" t="n">
        <f aca="false">D575/D559</f>
        <v>0.348837592422248</v>
      </c>
      <c r="E576" s="14" t="n">
        <f aca="false">E575/E559</f>
        <v>0.372136866041436</v>
      </c>
      <c r="F576" s="14" t="n">
        <f aca="false">F575/F559</f>
        <v>0.36784963336158</v>
      </c>
      <c r="G576" s="14" t="n">
        <f aca="false">G575/G559</f>
        <v>0.359468089134642</v>
      </c>
    </row>
    <row r="577" customFormat="false" ht="15" hidden="false" customHeight="false" outlineLevel="0" collapsed="false">
      <c r="A577" s="3" t="s">
        <v>649</v>
      </c>
      <c r="B577" s="0" t="s">
        <v>203</v>
      </c>
      <c r="C577" s="22" t="n">
        <f aca="false">a25_opx</f>
        <v>5.64</v>
      </c>
      <c r="D577" s="22" t="n">
        <f aca="false">a26_opx</f>
        <v>8.4779754</v>
      </c>
      <c r="E577" s="22" t="n">
        <f aca="false">D577*(1+MAX(0,phi*E560))</f>
        <v>11.530046544</v>
      </c>
      <c r="F577" s="22" t="n">
        <f aca="false">E577*(1+MAX(0,phi*F560))</f>
        <v>13.1789198315586</v>
      </c>
      <c r="G577" s="22" t="n">
        <f aca="false">F577*(1+MAX(0,phi*G560))</f>
        <v>14.5471319146035</v>
      </c>
    </row>
    <row r="578" customFormat="false" ht="15" hidden="false" customHeight="false" outlineLevel="0" collapsed="false">
      <c r="A578" s="3" t="s">
        <v>508</v>
      </c>
      <c r="B578" s="0" t="s">
        <v>203</v>
      </c>
      <c r="C578" s="22" t="n">
        <f aca="false">C577</f>
        <v>5.64</v>
      </c>
      <c r="D578" s="22" t="n">
        <f aca="false">D577</f>
        <v>8.4779754</v>
      </c>
      <c r="E578" s="22" t="n">
        <f aca="false">E577+0*E559</f>
        <v>11.530046544</v>
      </c>
      <c r="F578" s="22" t="n">
        <f aca="false">F577+0*F559</f>
        <v>13.1789198315586</v>
      </c>
      <c r="G578" s="22" t="n">
        <f aca="false">G577+0*G559</f>
        <v>14.5471319146035</v>
      </c>
    </row>
    <row r="579" customFormat="false" ht="15" hidden="false" customHeight="false" outlineLevel="0" collapsed="false">
      <c r="A579" s="3" t="s">
        <v>650</v>
      </c>
      <c r="B579" s="0" t="s">
        <v>203</v>
      </c>
      <c r="C579" s="22" t="n">
        <f aca="false">C575-C578</f>
        <v>14.043</v>
      </c>
      <c r="D579" s="22" t="n">
        <f aca="false">D575-D578</f>
        <v>28.2921301</v>
      </c>
      <c r="E579" s="22" t="n">
        <f aca="false">E575-E578</f>
        <v>51.231592096</v>
      </c>
      <c r="F579" s="22" t="n">
        <f aca="false">F575-F578</f>
        <v>63.6462190196418</v>
      </c>
      <c r="G579" s="22" t="n">
        <f aca="false">G575-G578</f>
        <v>73.5177238938817</v>
      </c>
    </row>
    <row r="580" customFormat="false" ht="15" hidden="false" customHeight="false" outlineLevel="0" collapsed="false">
      <c r="A580" s="3" t="s">
        <v>514</v>
      </c>
      <c r="B580" s="0" t="s">
        <v>55</v>
      </c>
      <c r="C580" s="14" t="n">
        <f aca="false">C579/C559</f>
        <v>0.23403439770682</v>
      </c>
      <c r="D580" s="14" t="n">
        <f aca="false">D579/D559</f>
        <v>0.268407131673338</v>
      </c>
      <c r="E580" s="14" t="n">
        <f aca="false">E579/E559</f>
        <v>0.303770974404862</v>
      </c>
      <c r="F580" s="14" t="n">
        <f aca="false">F579/F559</f>
        <v>0.304747100770911</v>
      </c>
      <c r="G580" s="14" t="n">
        <f aca="false">G579/G559</f>
        <v>0.300088786645303</v>
      </c>
    </row>
    <row r="581" customFormat="false" ht="17.15" hidden="false" customHeight="false" outlineLevel="0" collapsed="false">
      <c r="A581" s="3" t="s">
        <v>515</v>
      </c>
      <c r="B581" s="0" t="s">
        <v>203</v>
      </c>
      <c r="E581" s="22" t="n">
        <f aca="false">nop_f</f>
        <v>0</v>
      </c>
      <c r="F581" s="22" t="n">
        <f aca="false">nop_f</f>
        <v>0</v>
      </c>
      <c r="G581" s="22" t="n">
        <f aca="false">nop_f</f>
        <v>0</v>
      </c>
      <c r="K581" s="7" t="s">
        <v>651</v>
      </c>
    </row>
    <row r="582" customFormat="false" ht="15" hidden="false" customHeight="false" outlineLevel="0" collapsed="false">
      <c r="A582" s="3" t="s">
        <v>520</v>
      </c>
      <c r="B582" s="0" t="s">
        <v>203</v>
      </c>
      <c r="C582" s="22" t="n">
        <f aca="false">a25_ni</f>
        <v>9.607</v>
      </c>
      <c r="D582" s="22" t="n">
        <f aca="false">a26_ni</f>
        <v>19.6977289395284</v>
      </c>
      <c r="E582" s="22" t="n">
        <f aca="false">(E579+E581)*nir_f</f>
        <v>35.09364058576</v>
      </c>
      <c r="F582" s="22" t="n">
        <f aca="false">(F579+F581)*nir_f</f>
        <v>43.5976600284546</v>
      </c>
      <c r="G582" s="22" t="n">
        <f aca="false">(G579+G581)*nir_f</f>
        <v>50.359640867309</v>
      </c>
      <c r="H582" s="24" t="n">
        <f aca="false">H559*H587</f>
        <v>53.0842255652027</v>
      </c>
      <c r="I582" s="24" t="n">
        <f aca="false">I559*I587</f>
        <v>53.4886928856944</v>
      </c>
      <c r="J582" s="24" t="n">
        <f aca="false">J559*J587</f>
        <v>51.3924871170778</v>
      </c>
    </row>
    <row r="583" customFormat="false" ht="17.15" hidden="false" customHeight="false" outlineLevel="0" collapsed="false">
      <c r="A583" s="3" t="s">
        <v>523</v>
      </c>
      <c r="B583" s="0" t="s">
        <v>55</v>
      </c>
      <c r="C583" s="14" t="n">
        <f aca="false">C582/C579</f>
        <v>0.684113081250445</v>
      </c>
      <c r="D583" s="14" t="n">
        <f aca="false">D582/D579</f>
        <v>0.696226437171953</v>
      </c>
      <c r="E583" s="14" t="n">
        <f aca="false">E582/E579</f>
        <v>0.685</v>
      </c>
      <c r="F583" s="14" t="n">
        <f aca="false">F582/F579</f>
        <v>0.685</v>
      </c>
      <c r="G583" s="14" t="n">
        <f aca="false">G582/G579</f>
        <v>0.685</v>
      </c>
    </row>
    <row r="584" customFormat="false" ht="17.15" hidden="false" customHeight="false" outlineLevel="0" collapsed="false">
      <c r="A584" s="3" t="s">
        <v>652</v>
      </c>
      <c r="B584" s="3" t="s">
        <v>233</v>
      </c>
      <c r="C584" s="27" t="n">
        <f aca="false">a25_sh</f>
        <v>0.493425783256292</v>
      </c>
      <c r="D584" s="27" t="n">
        <f aca="false">a26_sh</f>
        <v>0.512980850061958</v>
      </c>
      <c r="E584" s="27" t="n">
        <f aca="false">sh_h2*(1+sh_g)</f>
        <v>0.51889356</v>
      </c>
      <c r="F584" s="27" t="n">
        <f aca="false">E584*(1+sh_g)</f>
        <v>0.5240824956</v>
      </c>
      <c r="G584" s="27" t="n">
        <f aca="false">F584*(1+sh_g)</f>
        <v>0.529323320556</v>
      </c>
      <c r="H584" s="29" t="n">
        <f aca="false">G584*(1+sh_g)</f>
        <v>0.53461655376156</v>
      </c>
      <c r="I584" s="29" t="n">
        <f aca="false">H584*(1+sh_g)</f>
        <v>0.539962719299176</v>
      </c>
      <c r="J584" s="29" t="n">
        <f aca="false">I584*(1+sh_g)</f>
        <v>0.545362346492167</v>
      </c>
      <c r="K584" s="7" t="s">
        <v>653</v>
      </c>
    </row>
    <row r="585" customFormat="false" ht="15" hidden="false" customHeight="false" outlineLevel="0" collapsed="false">
      <c r="A585" s="0" t="s">
        <v>526</v>
      </c>
      <c r="B585" s="0" t="s">
        <v>271</v>
      </c>
      <c r="C585" s="23" t="n">
        <f aca="false">C582/C584</f>
        <v>19.47</v>
      </c>
      <c r="D585" s="23" t="n">
        <f aca="false">D582/D584</f>
        <v>38.3985658278458</v>
      </c>
      <c r="E585" s="23" t="n">
        <f aca="false">E582/E584</f>
        <v>67.6316749542238</v>
      </c>
      <c r="F585" s="23" t="n">
        <f aca="false">F582/F584</f>
        <v>83.1885445411442</v>
      </c>
      <c r="G585" s="23" t="n">
        <f aca="false">G582/G584</f>
        <v>95.1396602258357</v>
      </c>
      <c r="H585" s="30" t="n">
        <f aca="false">H582/H584</f>
        <v>99.2940177248578</v>
      </c>
      <c r="I585" s="30" t="n">
        <f aca="false">I582/I584</f>
        <v>99.0599739091582</v>
      </c>
      <c r="J585" s="30" t="n">
        <f aca="false">J582/J584</f>
        <v>94.235488474113</v>
      </c>
    </row>
    <row r="586" customFormat="false" ht="17.15" hidden="false" customHeight="false" outlineLevel="0" collapsed="false">
      <c r="A586" s="0" t="s">
        <v>654</v>
      </c>
      <c r="B586" s="0" t="s">
        <v>55</v>
      </c>
      <c r="D586" s="14" t="n">
        <f aca="false">D585/C585-1</f>
        <v>0.9721913624985</v>
      </c>
      <c r="E586" s="14" t="n">
        <f aca="false">E585/D585-1</f>
        <v>0.761307316982625</v>
      </c>
      <c r="F586" s="14" t="n">
        <f aca="false">F585/E585-1</f>
        <v>0.230023426115796</v>
      </c>
      <c r="G586" s="14" t="n">
        <f aca="false">G585/F585-1</f>
        <v>0.143662997719363</v>
      </c>
      <c r="H586" s="25" t="n">
        <f aca="false">H585/G585-1</f>
        <v>0.0436658853853456</v>
      </c>
      <c r="I586" s="25" t="n">
        <f aca="false">I585/H585-1</f>
        <v>-0.00235707871493496</v>
      </c>
      <c r="J586" s="25" t="n">
        <f aca="false">J585/I585-1</f>
        <v>-0.048702672175842</v>
      </c>
    </row>
    <row r="587" customFormat="false" ht="17.15" hidden="false" customHeight="false" outlineLevel="0" collapsed="false">
      <c r="A587" s="3" t="s">
        <v>655</v>
      </c>
      <c r="B587" s="0" t="s">
        <v>55</v>
      </c>
      <c r="C587" s="14" t="n">
        <f aca="false">C582/C559</f>
        <v>0.160105992933804</v>
      </c>
      <c r="D587" s="14" t="n">
        <f aca="false">D582/D559</f>
        <v>0.186872140996471</v>
      </c>
      <c r="E587" s="14" t="n">
        <f aca="false">E582/E559</f>
        <v>0.208083117467331</v>
      </c>
      <c r="F587" s="14" t="n">
        <f aca="false">F582/F559</f>
        <v>0.208751764028074</v>
      </c>
      <c r="G587" s="14" t="n">
        <f aca="false">G582/G559</f>
        <v>0.205560818852032</v>
      </c>
      <c r="H587" s="25" t="n">
        <f aca="false">$G587+(fade_mB-$G587)*1/3</f>
        <v>0.191977224724842</v>
      </c>
      <c r="I587" s="25" t="n">
        <f aca="false">$G587+(fade_mB-$G587)*2/3</f>
        <v>0.178393630597652</v>
      </c>
      <c r="J587" s="25" t="n">
        <f aca="false">$G587+(fade_mB-$G587)*3/3</f>
        <v>0.164810036470462</v>
      </c>
    </row>
    <row r="590" customFormat="false" ht="17.15" hidden="false" customHeight="false" outlineLevel="0" collapsed="false">
      <c r="A590" s="1" t="s">
        <v>1000</v>
      </c>
    </row>
    <row r="591" customFormat="false" ht="17.15" hidden="false" customHeight="false" outlineLevel="0" collapsed="false">
      <c r="A591" s="4" t="s">
        <v>24</v>
      </c>
      <c r="B591" s="4" t="s">
        <v>25</v>
      </c>
      <c r="C591" s="15" t="s">
        <v>494</v>
      </c>
      <c r="D591" s="15" t="s">
        <v>583</v>
      </c>
      <c r="E591" s="15" t="s">
        <v>584</v>
      </c>
      <c r="F591" s="15" t="s">
        <v>585</v>
      </c>
      <c r="G591" s="15" t="s">
        <v>586</v>
      </c>
      <c r="H591" s="15" t="s">
        <v>587</v>
      </c>
      <c r="I591" s="15" t="s">
        <v>588</v>
      </c>
      <c r="J591" s="15" t="s">
        <v>589</v>
      </c>
      <c r="K591" s="4" t="s">
        <v>458</v>
      </c>
    </row>
    <row r="592" customFormat="false" ht="17.15" hidden="false" customHeight="false" outlineLevel="0" collapsed="false">
      <c r="A592" s="5" t="s">
        <v>605</v>
      </c>
    </row>
    <row r="593" customFormat="false" ht="17.15" hidden="false" customHeight="false" outlineLevel="0" collapsed="false">
      <c r="A593" s="0" t="s">
        <v>606</v>
      </c>
      <c r="B593" s="0" t="s">
        <v>35</v>
      </c>
      <c r="D593" s="23" t="n">
        <f aca="false">itc_26*1</f>
        <v>781.872916666666</v>
      </c>
      <c r="E593" s="23" t="n">
        <f aca="false">itc_27*1*1</f>
        <v>1565.35</v>
      </c>
      <c r="F593" s="23" t="n">
        <f aca="false">itc_28*um28_B*1</f>
        <v>1587.41111111111</v>
      </c>
      <c r="G593" s="23" t="n">
        <f aca="false">itc_29*um29_B*1</f>
        <v>1921.33173611111</v>
      </c>
    </row>
    <row r="594" customFormat="false" ht="17.15" hidden="false" customHeight="false" outlineLevel="0" collapsed="false">
      <c r="A594" s="3" t="s">
        <v>607</v>
      </c>
      <c r="B594" s="0" t="s">
        <v>35</v>
      </c>
      <c r="D594" s="23" t="n">
        <f aca="false">itpg_gb*(1-vr26)+itpg_vr*vr26</f>
        <v>33.41403216</v>
      </c>
      <c r="E594" s="23" t="n">
        <f aca="false">itpg_vr</f>
        <v>37.586352</v>
      </c>
      <c r="F594" s="23" t="n">
        <f aca="false">itpg_vr</f>
        <v>37.586352</v>
      </c>
      <c r="G594" s="23" t="n">
        <f aca="false">itpg_vr</f>
        <v>37.586352</v>
      </c>
    </row>
    <row r="595" customFormat="false" ht="17.15" hidden="false" customHeight="false" outlineLevel="0" collapsed="false">
      <c r="A595" s="3" t="s">
        <v>608</v>
      </c>
      <c r="B595" s="0" t="s">
        <v>549</v>
      </c>
      <c r="D595" s="20" t="n">
        <f aca="false">D593/D594</f>
        <v>23.3995380420639</v>
      </c>
      <c r="E595" s="20" t="n">
        <f aca="false">E593/E594</f>
        <v>41.6467658260637</v>
      </c>
      <c r="F595" s="20" t="n">
        <f aca="false">F593/F594</f>
        <v>42.2337105529984</v>
      </c>
      <c r="G595" s="20" t="n">
        <f aca="false">G593/G594</f>
        <v>51.1178029756948</v>
      </c>
    </row>
    <row r="596" customFormat="false" ht="17.15" hidden="false" customHeight="false" outlineLevel="0" collapsed="false">
      <c r="A596" s="3" t="s">
        <v>553</v>
      </c>
      <c r="B596" s="0" t="s">
        <v>96</v>
      </c>
      <c r="D596" s="21" t="n">
        <f aca="false">vg_cmp26</f>
        <v>280</v>
      </c>
      <c r="E596" s="21" t="n">
        <f aca="false">(vg_cmp26+(vg_cmp27-vg_cmp26)*pgwf)</f>
        <v>420</v>
      </c>
      <c r="F596" s="21" t="n">
        <f aca="false">(vg_cmp26+(vg_cmp28-vg_cmp26)*pgwf)</f>
        <v>462</v>
      </c>
      <c r="G596" s="21" t="n">
        <f aca="false">(vg_cmp26+(vg_cmp29-vg_cmp26)*pgwf)</f>
        <v>504</v>
      </c>
    </row>
    <row r="597" customFormat="false" ht="17.15" hidden="false" customHeight="false" outlineLevel="0" collapsed="false">
      <c r="A597" s="3" t="s">
        <v>555</v>
      </c>
      <c r="B597" s="0" t="s">
        <v>96</v>
      </c>
      <c r="D597" s="21" t="n">
        <f aca="false">vg_sw26</f>
        <v>120</v>
      </c>
      <c r="E597" s="21" t="n">
        <f aca="false">(vg_sw26+(vg_sw27-vg_sw26)*pgwf)</f>
        <v>162</v>
      </c>
      <c r="F597" s="21" t="n">
        <f aca="false">(vg_sw26+(vg_sw28-vg_sw26)*pgwf)</f>
        <v>180</v>
      </c>
      <c r="G597" s="21" t="n">
        <f aca="false">(vg_sw26+(vg_sw29-vg_sw26)*pgwf)</f>
        <v>198</v>
      </c>
    </row>
    <row r="598" customFormat="false" ht="17.15" hidden="false" customHeight="false" outlineLevel="0" collapsed="false">
      <c r="A598" s="3" t="s">
        <v>609</v>
      </c>
      <c r="B598" s="0" t="s">
        <v>96</v>
      </c>
      <c r="D598" s="21" t="n">
        <f aca="false">vg_mid26*w_mid</f>
        <v>25</v>
      </c>
      <c r="E598" s="21" t="n">
        <f aca="false">(vg_mid26+(vg_mid27-vg_mid26)*pgwf)*w_mid</f>
        <v>50</v>
      </c>
      <c r="F598" s="21" t="n">
        <f aca="false">(vg_mid26+(vg_mid28-vg_mid26)*pgwf)*w_mid</f>
        <v>75</v>
      </c>
      <c r="G598" s="21" t="n">
        <f aca="false">(vg_mid26+(vg_mid29-vg_mid26)*pgwf)*w_mid</f>
        <v>87.5</v>
      </c>
    </row>
    <row r="599" customFormat="false" ht="17.15" hidden="false" customHeight="false" outlineLevel="0" collapsed="false">
      <c r="A599" s="3" t="s">
        <v>610</v>
      </c>
      <c r="B599" s="0" t="s">
        <v>96</v>
      </c>
      <c r="D599" s="21" t="n">
        <f aca="false">D596+D597+D598</f>
        <v>425</v>
      </c>
      <c r="E599" s="21" t="n">
        <f aca="false">E596+E597+E598</f>
        <v>632</v>
      </c>
      <c r="F599" s="21" t="n">
        <f aca="false">F596+F597+F598</f>
        <v>717</v>
      </c>
      <c r="G599" s="21" t="n">
        <f aca="false">G596+G597+G598</f>
        <v>789.5</v>
      </c>
    </row>
    <row r="600" customFormat="false" ht="17.15" hidden="false" customHeight="false" outlineLevel="0" collapsed="false">
      <c r="A600" s="3" t="s">
        <v>611</v>
      </c>
      <c r="B600" s="0" t="s">
        <v>35</v>
      </c>
      <c r="D600" s="23" t="n">
        <f aca="false">D595*D599/1000</f>
        <v>9.94480366787715</v>
      </c>
      <c r="E600" s="23" t="n">
        <f aca="false">E595*E599/1000</f>
        <v>26.3207560020722</v>
      </c>
      <c r="F600" s="23" t="n">
        <f aca="false">F595*F599/1000</f>
        <v>30.2815704664998</v>
      </c>
      <c r="G600" s="23" t="n">
        <f aca="false">G595*G599/1000</f>
        <v>40.3575054493111</v>
      </c>
    </row>
    <row r="601" customFormat="false" ht="17.15" hidden="false" customHeight="false" outlineLevel="0" collapsed="false">
      <c r="A601" s="3" t="s">
        <v>612</v>
      </c>
      <c r="B601" s="0" t="s">
        <v>203</v>
      </c>
      <c r="D601" s="22" t="n">
        <f aca="false">D600*fx</f>
        <v>318.233717372069</v>
      </c>
      <c r="E601" s="22" t="n">
        <f aca="false">E600*fx</f>
        <v>842.264192066312</v>
      </c>
      <c r="F601" s="22" t="n">
        <f aca="false">F600*fx</f>
        <v>969.010254927995</v>
      </c>
      <c r="G601" s="22" t="n">
        <f aca="false">G600*fx</f>
        <v>1291.44017437795</v>
      </c>
    </row>
    <row r="602" customFormat="false" ht="17.15" hidden="false" customHeight="false" outlineLevel="0" collapsed="false">
      <c r="A602" s="0" t="s">
        <v>613</v>
      </c>
      <c r="B602" s="0" t="s">
        <v>69</v>
      </c>
      <c r="D602" s="18" t="n">
        <f aca="false">1</f>
        <v>1</v>
      </c>
      <c r="E602" s="18" t="n">
        <f aca="false">pp_27</f>
        <v>1</v>
      </c>
      <c r="F602" s="18" t="n">
        <f aca="false">pp_28</f>
        <v>0.97</v>
      </c>
      <c r="G602" s="18" t="n">
        <f aca="false">pp_29</f>
        <v>0.94</v>
      </c>
    </row>
    <row r="603" customFormat="false" ht="17.15" hidden="false" customHeight="false" outlineLevel="0" collapsed="false">
      <c r="A603" s="3" t="s">
        <v>614</v>
      </c>
      <c r="B603" s="0" t="s">
        <v>55</v>
      </c>
      <c r="D603" s="14" t="n">
        <f aca="false">a26_ai/D601</f>
        <v>0.172842024579347</v>
      </c>
      <c r="K603" s="7" t="s">
        <v>615</v>
      </c>
    </row>
    <row r="604" customFormat="false" ht="17.15" hidden="false" customHeight="false" outlineLevel="0" collapsed="false">
      <c r="A604" s="3" t="s">
        <v>616</v>
      </c>
      <c r="B604" s="0" t="s">
        <v>69</v>
      </c>
      <c r="D604" s="18" t="n">
        <f aca="false">1</f>
        <v>1</v>
      </c>
      <c r="E604" s="18" t="n">
        <f aca="false">rel_27</f>
        <v>1</v>
      </c>
      <c r="F604" s="18" t="n">
        <f aca="false">rel_28</f>
        <v>0.95</v>
      </c>
      <c r="G604" s="18" t="n">
        <f aca="false">rel_29</f>
        <v>0.9</v>
      </c>
    </row>
    <row r="605" customFormat="false" ht="15" hidden="false" customHeight="false" outlineLevel="0" collapsed="false">
      <c r="A605" s="3" t="s">
        <v>565</v>
      </c>
      <c r="B605" s="0" t="s">
        <v>55</v>
      </c>
      <c r="D605" s="14" t="n">
        <f aca="false">$D$603*D604</f>
        <v>0.172842024579347</v>
      </c>
      <c r="E605" s="14" t="n">
        <f aca="false">$D$603*E604</f>
        <v>0.172842024579347</v>
      </c>
      <c r="F605" s="14" t="n">
        <f aca="false">$D$603*F604</f>
        <v>0.164199923350379</v>
      </c>
      <c r="G605" s="14" t="n">
        <f aca="false">$D$603*G604</f>
        <v>0.155557822121412</v>
      </c>
    </row>
    <row r="606" customFormat="false" ht="17.15" hidden="false" customHeight="false" outlineLevel="0" collapsed="false">
      <c r="A606" s="0" t="s">
        <v>617</v>
      </c>
      <c r="B606" s="0" t="s">
        <v>203</v>
      </c>
      <c r="D606" s="22" t="n">
        <f aca="false">D601*D605*D602</f>
        <v>55.00416</v>
      </c>
      <c r="E606" s="22" t="n">
        <f aca="false">E601*E605*E602</f>
        <v>145.578648187429</v>
      </c>
      <c r="F606" s="22" t="n">
        <f aca="false">F601*F605*F602</f>
        <v>154.338067297361</v>
      </c>
      <c r="G606" s="22" t="n">
        <f aca="false">G601*G605*G602</f>
        <v>188.840003670751</v>
      </c>
    </row>
    <row r="607" customFormat="false" ht="17.15" hidden="false" customHeight="false" outlineLevel="0" collapsed="false">
      <c r="A607" s="5" t="s">
        <v>618</v>
      </c>
    </row>
    <row r="608" customFormat="false" ht="17.15" hidden="false" customHeight="false" outlineLevel="0" collapsed="false">
      <c r="A608" s="3" t="s">
        <v>619</v>
      </c>
      <c r="B608" s="0" t="s">
        <v>69</v>
      </c>
      <c r="D608" s="18" t="n">
        <f aca="false">1</f>
        <v>1</v>
      </c>
      <c r="E608" s="18" t="n">
        <f aca="false">cx_27</f>
        <v>1.45</v>
      </c>
      <c r="F608" s="18" t="n">
        <f aca="false">cx_28</f>
        <v>1.9</v>
      </c>
      <c r="G608" s="18" t="n">
        <f aca="false">cx_29</f>
        <v>2.3</v>
      </c>
      <c r="K608" s="7" t="s">
        <v>620</v>
      </c>
    </row>
    <row r="609" customFormat="false" ht="17.15" hidden="false" customHeight="false" outlineLevel="0" collapsed="false">
      <c r="A609" s="3" t="s">
        <v>621</v>
      </c>
      <c r="B609" s="0" t="s">
        <v>203</v>
      </c>
      <c r="D609" s="22" t="n">
        <f aca="false">a26_rev*D608*D602</f>
        <v>105.40752</v>
      </c>
      <c r="E609" s="22" t="n">
        <f aca="false">a26_rev*E608*E602</f>
        <v>152.840904</v>
      </c>
      <c r="F609" s="22" t="n">
        <f aca="false">a26_rev*F608*F602</f>
        <v>194.26605936</v>
      </c>
      <c r="G609" s="22" t="n">
        <f aca="false">a26_rev*G608*G602</f>
        <v>227.89105824</v>
      </c>
    </row>
    <row r="610" customFormat="false" ht="17.15" hidden="false" customHeight="false" outlineLevel="0" collapsed="false">
      <c r="A610" s="3" t="s">
        <v>622</v>
      </c>
      <c r="B610" s="0" t="s">
        <v>203</v>
      </c>
      <c r="C610" s="22" t="n">
        <f aca="false">a25_nai</f>
        <v>42.0028</v>
      </c>
      <c r="D610" s="22" t="n">
        <f aca="false">a26_nai</f>
        <v>50.40336</v>
      </c>
      <c r="E610" s="22" t="n">
        <f aca="false">D610*(1+g_nai27)</f>
        <v>52.923528</v>
      </c>
      <c r="F610" s="22" t="n">
        <f aca="false">E610*(1+g_nai28)</f>
        <v>54.51123384</v>
      </c>
      <c r="G610" s="22" t="n">
        <f aca="false">F610*(1+g_nai29)</f>
        <v>56.1465708552</v>
      </c>
    </row>
    <row r="611" customFormat="false" ht="17.15" hidden="false" customHeight="false" outlineLevel="0" collapsed="false">
      <c r="A611" s="0" t="s">
        <v>623</v>
      </c>
      <c r="B611" s="0" t="s">
        <v>203</v>
      </c>
      <c r="C611" s="22" t="n">
        <f aca="false">a25_ai</f>
        <v>18.0012</v>
      </c>
      <c r="D611" s="22" t="n">
        <f aca="false">D606</f>
        <v>55.00416</v>
      </c>
      <c r="E611" s="22" t="n">
        <f aca="false">MIN(E606,E609-E610)</f>
        <v>99.917376</v>
      </c>
      <c r="F611" s="22" t="n">
        <f aca="false">MIN(F606,F609-F610)</f>
        <v>139.75482552</v>
      </c>
      <c r="G611" s="22" t="n">
        <f aca="false">MIN(G606,G609-G610)</f>
        <v>171.7444873848</v>
      </c>
      <c r="K611" s="3" t="s">
        <v>624</v>
      </c>
    </row>
    <row r="612" customFormat="false" ht="15" hidden="false" customHeight="false" outlineLevel="0" collapsed="false">
      <c r="A612" s="3" t="s">
        <v>625</v>
      </c>
      <c r="E612" s="0" t="str">
        <f aca="false">IF(E606&gt;E609-E610+0.0001,"受限","未受限")</f>
        <v>受限</v>
      </c>
      <c r="F612" s="0" t="str">
        <f aca="false">IF(F606&gt;F609-F610+0.0001,"受限","未受限")</f>
        <v>受限</v>
      </c>
      <c r="G612" s="0" t="str">
        <f aca="false">IF(G606&gt;G609-G610+0.0001,"受限","未受限")</f>
        <v>受限</v>
      </c>
    </row>
    <row r="613" customFormat="false" ht="17.15" hidden="false" customHeight="false" outlineLevel="0" collapsed="false">
      <c r="A613" s="3" t="s">
        <v>499</v>
      </c>
      <c r="B613" s="0" t="s">
        <v>203</v>
      </c>
      <c r="C613" s="22" t="n">
        <f aca="false">C611+C610</f>
        <v>60.004</v>
      </c>
      <c r="D613" s="22" t="n">
        <f aca="false">D611+D610</f>
        <v>105.40752</v>
      </c>
      <c r="E613" s="22" t="n">
        <f aca="false">E611+E610</f>
        <v>152.840904</v>
      </c>
      <c r="F613" s="22" t="n">
        <f aca="false">F611+F610</f>
        <v>194.26605936</v>
      </c>
      <c r="G613" s="22" t="n">
        <f aca="false">G611+G610</f>
        <v>227.89105824</v>
      </c>
      <c r="H613" s="24" t="n">
        <f aca="false">G613*(1+H614)</f>
        <v>257.226313072804</v>
      </c>
      <c r="I613" s="24" t="n">
        <f aca="false">H613*(1+I614)</f>
        <v>278.92655569709</v>
      </c>
      <c r="J613" s="24" t="n">
        <f aca="false">I613*(1+J614)</f>
        <v>290.083617924974</v>
      </c>
      <c r="K613" s="7" t="s">
        <v>626</v>
      </c>
    </row>
    <row r="614" customFormat="false" ht="15" hidden="false" customHeight="false" outlineLevel="0" collapsed="false">
      <c r="A614" s="3" t="s">
        <v>627</v>
      </c>
      <c r="B614" s="0" t="s">
        <v>55</v>
      </c>
      <c r="D614" s="14" t="n">
        <f aca="false">D613/C613-1</f>
        <v>0.756674888340778</v>
      </c>
      <c r="E614" s="14" t="n">
        <f aca="false">E613/D613-1</f>
        <v>0.45</v>
      </c>
      <c r="F614" s="14" t="n">
        <f aca="false">F613/E613-1</f>
        <v>0.271034482758621</v>
      </c>
      <c r="G614" s="14" t="n">
        <f aca="false">G613/F613-1</f>
        <v>0.173087357569181</v>
      </c>
      <c r="H614" s="25" t="n">
        <f aca="false">$G614+(fade_gB-$G614)*1/3</f>
        <v>0.12872490504612</v>
      </c>
      <c r="I614" s="25" t="n">
        <f aca="false">$G614+(fade_gB-$G614)*2/3</f>
        <v>0.0843624525230602</v>
      </c>
      <c r="J614" s="25" t="n">
        <f aca="false">$G614+(fade_gB-$G614)*3/3</f>
        <v>0.04</v>
      </c>
    </row>
    <row r="615" customFormat="false" ht="17.15" hidden="false" customHeight="false" outlineLevel="0" collapsed="false">
      <c r="A615" s="3" t="s">
        <v>628</v>
      </c>
      <c r="B615" s="0" t="s">
        <v>203</v>
      </c>
      <c r="D615" s="22" t="n">
        <f aca="false">D611*(D596+D598)/D599</f>
        <v>39.4735736470588</v>
      </c>
      <c r="E615" s="22" t="n">
        <f aca="false">E611*(E596+E598)/E599</f>
        <v>74.3056435443038</v>
      </c>
      <c r="F615" s="22" t="n">
        <f aca="false">F611*(F596+F598)/F599</f>
        <v>104.669932084017</v>
      </c>
      <c r="G615" s="22" t="n">
        <f aca="false">G611*(G596+G598)/G599</f>
        <v>128.672405684749</v>
      </c>
      <c r="K615" s="7" t="s">
        <v>629</v>
      </c>
    </row>
    <row r="616" customFormat="false" ht="17.15" hidden="false" customHeight="false" outlineLevel="0" collapsed="false">
      <c r="A616" s="3" t="s">
        <v>630</v>
      </c>
      <c r="B616" s="0" t="s">
        <v>203</v>
      </c>
      <c r="D616" s="22" t="n">
        <f aca="false">D611*D597/D599</f>
        <v>15.5305863529412</v>
      </c>
      <c r="E616" s="22" t="n">
        <f aca="false">E611*E597/E599</f>
        <v>25.6117324556962</v>
      </c>
      <c r="F616" s="22" t="n">
        <f aca="false">F611*F597/F599</f>
        <v>35.0848934359833</v>
      </c>
      <c r="G616" s="22" t="n">
        <f aca="false">G611*G597/G599</f>
        <v>43.0720817000512</v>
      </c>
    </row>
    <row r="617" customFormat="false" ht="17.15" hidden="false" customHeight="false" outlineLevel="0" collapsed="false">
      <c r="A617" s="3" t="s">
        <v>631</v>
      </c>
      <c r="B617" s="0" t="s">
        <v>203</v>
      </c>
      <c r="D617" s="22" t="n">
        <f aca="false">srv26*D613-D615</f>
        <v>42.7442919529412</v>
      </c>
      <c r="E617" s="22" t="n">
        <f aca="false">E610*$D617/$D610</f>
        <v>44.8815065505883</v>
      </c>
      <c r="F617" s="22" t="n">
        <f aca="false">F610*$D617/$D610</f>
        <v>46.2279517471059</v>
      </c>
      <c r="G617" s="22" t="n">
        <f aca="false">G610*$D617/$D610</f>
        <v>47.6147902995191</v>
      </c>
      <c r="K617" s="7" t="s">
        <v>632</v>
      </c>
    </row>
    <row r="618" customFormat="false" ht="17.15" hidden="false" customHeight="false" outlineLevel="0" collapsed="false">
      <c r="A618" s="3" t="s">
        <v>633</v>
      </c>
      <c r="B618" s="0" t="s">
        <v>203</v>
      </c>
      <c r="D618" s="22" t="n">
        <f aca="false">net26*D613-D616</f>
        <v>0.28054164705882</v>
      </c>
      <c r="E618" s="22" t="n">
        <f aca="false">E610*$D618/$D610</f>
        <v>0.294568729411761</v>
      </c>
      <c r="F618" s="22" t="n">
        <f aca="false">F610*$D618/$D610</f>
        <v>0.303405791294114</v>
      </c>
      <c r="G618" s="22" t="n">
        <f aca="false">G610*$D618/$D610</f>
        <v>0.312507965032938</v>
      </c>
    </row>
    <row r="619" customFormat="false" ht="17.15" hidden="false" customHeight="false" outlineLevel="0" collapsed="false">
      <c r="A619" s="3" t="s">
        <v>634</v>
      </c>
      <c r="B619" s="0" t="s">
        <v>203</v>
      </c>
      <c r="C619" s="22" t="n">
        <f aca="false">srv25*C613</f>
        <v>48.0032</v>
      </c>
      <c r="D619" s="22" t="n">
        <f aca="false">D615+D617</f>
        <v>82.2178656</v>
      </c>
      <c r="E619" s="22" t="n">
        <f aca="false">E615+E617</f>
        <v>119.187150094892</v>
      </c>
      <c r="F619" s="22" t="n">
        <f aca="false">F615+F617</f>
        <v>150.897883831123</v>
      </c>
      <c r="G619" s="22" t="n">
        <f aca="false">G615+G617</f>
        <v>176.287195984268</v>
      </c>
      <c r="K619" s="3" t="s">
        <v>635</v>
      </c>
    </row>
    <row r="620" customFormat="false" ht="15" hidden="false" customHeight="false" outlineLevel="0" collapsed="false">
      <c r="A620" s="3" t="s">
        <v>636</v>
      </c>
      <c r="B620" s="0" t="s">
        <v>203</v>
      </c>
      <c r="C620" s="22" t="n">
        <f aca="false">net25*C613</f>
        <v>6.0004</v>
      </c>
      <c r="D620" s="22" t="n">
        <f aca="false">D616+D618</f>
        <v>15.811128</v>
      </c>
      <c r="E620" s="22" t="n">
        <f aca="false">E616+E618</f>
        <v>25.906301185108</v>
      </c>
      <c r="F620" s="22" t="n">
        <f aca="false">F616+F618</f>
        <v>35.3882992272774</v>
      </c>
      <c r="G620" s="22" t="n">
        <f aca="false">G616+G618</f>
        <v>43.3845896650841</v>
      </c>
      <c r="K620" s="3" t="s">
        <v>637</v>
      </c>
    </row>
    <row r="621" customFormat="false" ht="15" hidden="false" customHeight="false" outlineLevel="0" collapsed="false">
      <c r="A621" s="3" t="s">
        <v>638</v>
      </c>
      <c r="B621" s="0" t="s">
        <v>203</v>
      </c>
      <c r="C621" s="22" t="n">
        <f aca="false">C613-C619-C620</f>
        <v>6.0004</v>
      </c>
      <c r="D621" s="22" t="n">
        <f aca="false">D613-D619-D620</f>
        <v>7.3785264</v>
      </c>
      <c r="E621" s="22" t="n">
        <f aca="false">E613-E619-E620</f>
        <v>7.74745271999998</v>
      </c>
      <c r="F621" s="22" t="n">
        <f aca="false">F613-F619-F620</f>
        <v>7.9798763016</v>
      </c>
      <c r="G621" s="22" t="n">
        <f aca="false">G613-G619-G620</f>
        <v>8.21927259064798</v>
      </c>
      <c r="K621" s="3" t="s">
        <v>639</v>
      </c>
    </row>
    <row r="622" customFormat="false" ht="17.15" hidden="false" customHeight="false" outlineLevel="0" collapsed="false">
      <c r="A622" s="3" t="s">
        <v>640</v>
      </c>
      <c r="B622" s="0" t="s">
        <v>203</v>
      </c>
      <c r="C622" s="28" t="n">
        <f aca="false">C619+C620+C621-C613</f>
        <v>0</v>
      </c>
      <c r="D622" s="28" t="n">
        <f aca="false">ROUND(D617+D618+D621-D610,9)</f>
        <v>0</v>
      </c>
      <c r="E622" s="28" t="n">
        <f aca="false">ROUND(E617+E618+E621-E610,9)</f>
        <v>0</v>
      </c>
      <c r="F622" s="28" t="n">
        <f aca="false">ROUND(F617+F618+F621-F610,9)</f>
        <v>0</v>
      </c>
      <c r="G622" s="28" t="n">
        <f aca="false">ROUND(G617+G618+G621-G610,9)</f>
        <v>0</v>
      </c>
    </row>
    <row r="623" customFormat="false" ht="17.15" hidden="false" customHeight="false" outlineLevel="0" collapsed="false">
      <c r="A623" s="0" t="s">
        <v>641</v>
      </c>
      <c r="B623" s="0" t="s">
        <v>55</v>
      </c>
      <c r="C623" s="14" t="n">
        <f aca="false">C611/C613</f>
        <v>0.3</v>
      </c>
      <c r="D623" s="14" t="n">
        <f aca="false">D611/D613</f>
        <v>0.521823869871903</v>
      </c>
      <c r="E623" s="14" t="n">
        <f aca="false">E611/E613</f>
        <v>0.653734526458964</v>
      </c>
      <c r="F623" s="14" t="n">
        <f aca="false">F611/F613</f>
        <v>0.71939908587437</v>
      </c>
      <c r="G623" s="14" t="n">
        <f aca="false">G611/G613</f>
        <v>0.753625388864226</v>
      </c>
    </row>
    <row r="624" customFormat="false" ht="17.15" hidden="false" customHeight="false" outlineLevel="0" collapsed="false">
      <c r="A624" s="3" t="s">
        <v>642</v>
      </c>
      <c r="B624" s="0" t="s">
        <v>55</v>
      </c>
      <c r="D624" s="14" t="n">
        <f aca="false">(D606+D610)/D609</f>
        <v>1</v>
      </c>
      <c r="E624" s="14" t="n">
        <f aca="false">(E606+E610)/E609</f>
        <v>1.29875034099137</v>
      </c>
      <c r="F624" s="14" t="n">
        <f aca="false">(F606+F610)/F609</f>
        <v>1.07506839756468</v>
      </c>
      <c r="G624" s="14" t="n">
        <f aca="false">(G606+G610)/G609</f>
        <v>1.07501617842306</v>
      </c>
      <c r="K624" s="3" t="s">
        <v>643</v>
      </c>
    </row>
    <row r="625" customFormat="false" ht="17.15" hidden="false" customHeight="false" outlineLevel="0" collapsed="false">
      <c r="A625" s="3" t="s">
        <v>569</v>
      </c>
      <c r="B625" s="0" t="s">
        <v>96</v>
      </c>
      <c r="D625" s="21" t="n">
        <f aca="false">D611/fx/D595*1000</f>
        <v>73.4578604462224</v>
      </c>
      <c r="E625" s="21" t="n">
        <f aca="false">E611/fx/E595*1000</f>
        <v>74.9738410190283</v>
      </c>
      <c r="F625" s="21" t="n">
        <f aca="false">F611/fx/F595*1000</f>
        <v>103.408822959553</v>
      </c>
      <c r="G625" s="21" t="n">
        <f aca="false">G611/fx/G595*1000</f>
        <v>104.993073222002</v>
      </c>
    </row>
    <row r="626" customFormat="false" ht="17.15" hidden="false" customHeight="false" outlineLevel="0" collapsed="false">
      <c r="A626" s="5" t="s">
        <v>644</v>
      </c>
    </row>
    <row r="627" customFormat="false" ht="17.15" hidden="false" customHeight="false" outlineLevel="0" collapsed="false">
      <c r="A627" s="3" t="s">
        <v>645</v>
      </c>
      <c r="B627" s="0" t="s">
        <v>55</v>
      </c>
      <c r="D627" s="14" t="n">
        <f aca="false">a26_gp/D613-d_ai*D623</f>
        <v>0.296655205435058</v>
      </c>
      <c r="K627" s="7" t="s">
        <v>646</v>
      </c>
    </row>
    <row r="628" customFormat="false" ht="17.15" hidden="false" customHeight="false" outlineLevel="0" collapsed="false">
      <c r="A628" s="0" t="s">
        <v>647</v>
      </c>
      <c r="B628" s="0" t="s">
        <v>55</v>
      </c>
      <c r="D628" s="14" t="n">
        <f aca="false">D627+d_ai</f>
        <v>0.396655205435058</v>
      </c>
      <c r="E628" s="14" t="n">
        <f aca="false">1-(1-$D$628)/E602+GULO_27</f>
        <v>0.386655205435058</v>
      </c>
      <c r="F628" s="14" t="n">
        <f aca="false">1-(1-$D$628)/F602+GULO_28</f>
        <v>0.367995057149545</v>
      </c>
      <c r="G628" s="14" t="n">
        <f aca="false">1-(1-$D$628)/G602+GULO_29</f>
        <v>0.348143835569211</v>
      </c>
      <c r="K628" s="7" t="s">
        <v>648</v>
      </c>
    </row>
    <row r="629" customFormat="false" ht="15" hidden="false" customHeight="false" outlineLevel="0" collapsed="false">
      <c r="A629" s="3" t="s">
        <v>503</v>
      </c>
      <c r="B629" s="0" t="s">
        <v>203</v>
      </c>
      <c r="C629" s="22" t="n">
        <f aca="false">a25_gp</f>
        <v>19.683</v>
      </c>
      <c r="D629" s="22" t="n">
        <f aca="false">a26_gp</f>
        <v>36.7701055</v>
      </c>
      <c r="E629" s="22" t="n">
        <f aca="false">E611*E628+E610*$D$627</f>
        <v>54.333613615</v>
      </c>
      <c r="F629" s="22" t="n">
        <f aca="false">F611*F628+F610*$D$627</f>
        <v>67.6001262774807</v>
      </c>
      <c r="G629" s="22" t="n">
        <f aca="false">G611*G628+G610*$D$627</f>
        <v>76.4479570875356</v>
      </c>
    </row>
    <row r="630" customFormat="false" ht="15" hidden="false" customHeight="false" outlineLevel="0" collapsed="false">
      <c r="A630" s="3" t="s">
        <v>506</v>
      </c>
      <c r="B630" s="0" t="s">
        <v>55</v>
      </c>
      <c r="C630" s="14" t="n">
        <f aca="false">C629/C613</f>
        <v>0.328028131457903</v>
      </c>
      <c r="D630" s="14" t="n">
        <f aca="false">D629/D613</f>
        <v>0.348837592422248</v>
      </c>
      <c r="E630" s="14" t="n">
        <f aca="false">E629/E613</f>
        <v>0.355491312816365</v>
      </c>
      <c r="F630" s="14" t="n">
        <f aca="false">F629/F613</f>
        <v>0.347977029544873</v>
      </c>
      <c r="G630" s="14" t="n">
        <f aca="false">G629/G613</f>
        <v>0.335458344341995</v>
      </c>
    </row>
    <row r="631" customFormat="false" ht="15" hidden="false" customHeight="false" outlineLevel="0" collapsed="false">
      <c r="A631" s="3" t="s">
        <v>649</v>
      </c>
      <c r="B631" s="0" t="s">
        <v>203</v>
      </c>
      <c r="C631" s="22" t="n">
        <f aca="false">a25_opx</f>
        <v>5.64</v>
      </c>
      <c r="D631" s="22" t="n">
        <f aca="false">a26_opx</f>
        <v>8.4779754</v>
      </c>
      <c r="E631" s="22" t="n">
        <f aca="false">D631*(1+MAX(0,phi*E614))</f>
        <v>10.767028758</v>
      </c>
      <c r="F631" s="22" t="n">
        <f aca="false">E631*(1+MAX(0,phi*F614))</f>
        <v>12.517970400163</v>
      </c>
      <c r="G631" s="22" t="n">
        <f aca="false">F631*(1+MAX(0,phi*G614))</f>
        <v>13.8179918513791</v>
      </c>
    </row>
    <row r="632" customFormat="false" ht="15" hidden="false" customHeight="false" outlineLevel="0" collapsed="false">
      <c r="A632" s="3" t="s">
        <v>508</v>
      </c>
      <c r="B632" s="0" t="s">
        <v>203</v>
      </c>
      <c r="C632" s="22" t="n">
        <f aca="false">C631</f>
        <v>5.64</v>
      </c>
      <c r="D632" s="22" t="n">
        <f aca="false">D631</f>
        <v>8.4779754</v>
      </c>
      <c r="E632" s="22" t="n">
        <f aca="false">E631+0*E613</f>
        <v>10.767028758</v>
      </c>
      <c r="F632" s="22" t="n">
        <f aca="false">F631+0*F613</f>
        <v>12.517970400163</v>
      </c>
      <c r="G632" s="22" t="n">
        <f aca="false">G631+0*G613</f>
        <v>13.8179918513791</v>
      </c>
    </row>
    <row r="633" customFormat="false" ht="15" hidden="false" customHeight="false" outlineLevel="0" collapsed="false">
      <c r="A633" s="3" t="s">
        <v>650</v>
      </c>
      <c r="B633" s="0" t="s">
        <v>203</v>
      </c>
      <c r="C633" s="22" t="n">
        <f aca="false">C629-C632</f>
        <v>14.043</v>
      </c>
      <c r="D633" s="22" t="n">
        <f aca="false">D629-D632</f>
        <v>28.2921301</v>
      </c>
      <c r="E633" s="22" t="n">
        <f aca="false">E629-E632</f>
        <v>43.566584857</v>
      </c>
      <c r="F633" s="22" t="n">
        <f aca="false">F629-F632</f>
        <v>55.0821558773177</v>
      </c>
      <c r="G633" s="22" t="n">
        <f aca="false">G629-G632</f>
        <v>62.6299652361565</v>
      </c>
    </row>
    <row r="634" customFormat="false" ht="15" hidden="false" customHeight="false" outlineLevel="0" collapsed="false">
      <c r="A634" s="3" t="s">
        <v>514</v>
      </c>
      <c r="B634" s="0" t="s">
        <v>55</v>
      </c>
      <c r="C634" s="14" t="n">
        <f aca="false">C633/C613</f>
        <v>0.23403439770682</v>
      </c>
      <c r="D634" s="14" t="n">
        <f aca="false">D633/D613</f>
        <v>0.268407131673338</v>
      </c>
      <c r="E634" s="14" t="n">
        <f aca="false">E633/E613</f>
        <v>0.285045323056974</v>
      </c>
      <c r="F634" s="14" t="n">
        <f aca="false">F633/F613</f>
        <v>0.283539780745968</v>
      </c>
      <c r="G634" s="14" t="n">
        <f aca="false">G633/G613</f>
        <v>0.274824145009668</v>
      </c>
    </row>
    <row r="635" customFormat="false" ht="17.15" hidden="false" customHeight="false" outlineLevel="0" collapsed="false">
      <c r="A635" s="3" t="s">
        <v>515</v>
      </c>
      <c r="B635" s="0" t="s">
        <v>203</v>
      </c>
      <c r="E635" s="22" t="n">
        <f aca="false">nop_f</f>
        <v>0</v>
      </c>
      <c r="F635" s="22" t="n">
        <f aca="false">nop_f</f>
        <v>0</v>
      </c>
      <c r="G635" s="22" t="n">
        <f aca="false">nop_f</f>
        <v>0</v>
      </c>
      <c r="K635" s="7" t="s">
        <v>651</v>
      </c>
    </row>
    <row r="636" customFormat="false" ht="15" hidden="false" customHeight="false" outlineLevel="0" collapsed="false">
      <c r="A636" s="3" t="s">
        <v>520</v>
      </c>
      <c r="B636" s="0" t="s">
        <v>203</v>
      </c>
      <c r="C636" s="22" t="n">
        <f aca="false">a25_ni</f>
        <v>9.607</v>
      </c>
      <c r="D636" s="22" t="n">
        <f aca="false">a26_ni</f>
        <v>19.6977289395284</v>
      </c>
      <c r="E636" s="22" t="n">
        <f aca="false">(E633+E635)*nir_f</f>
        <v>29.843110627045</v>
      </c>
      <c r="F636" s="22" t="n">
        <f aca="false">(F633+F635)*nir_f</f>
        <v>37.7312767759626</v>
      </c>
      <c r="G636" s="22" t="n">
        <f aca="false">(G633+G635)*nir_f</f>
        <v>42.9015261867672</v>
      </c>
      <c r="H636" s="24" t="n">
        <f aca="false">H613*H641</f>
        <v>46.4138400605587</v>
      </c>
      <c r="I636" s="24" t="n">
        <f aca="false">I613*I641</f>
        <v>48.1496606280491</v>
      </c>
      <c r="J636" s="24" t="n">
        <f aca="false">J613*J641</f>
        <v>47.8086916496984</v>
      </c>
    </row>
    <row r="637" customFormat="false" ht="17.15" hidden="false" customHeight="false" outlineLevel="0" collapsed="false">
      <c r="A637" s="3" t="s">
        <v>523</v>
      </c>
      <c r="B637" s="0" t="s">
        <v>55</v>
      </c>
      <c r="C637" s="14" t="n">
        <f aca="false">C636/C633</f>
        <v>0.684113081250445</v>
      </c>
      <c r="D637" s="14" t="n">
        <f aca="false">D636/D633</f>
        <v>0.696226437171953</v>
      </c>
      <c r="E637" s="14" t="n">
        <f aca="false">E636/E633</f>
        <v>0.685</v>
      </c>
      <c r="F637" s="14" t="n">
        <f aca="false">F636/F633</f>
        <v>0.685</v>
      </c>
      <c r="G637" s="14" t="n">
        <f aca="false">G636/G633</f>
        <v>0.685</v>
      </c>
    </row>
    <row r="638" customFormat="false" ht="17.15" hidden="false" customHeight="false" outlineLevel="0" collapsed="false">
      <c r="A638" s="3" t="s">
        <v>652</v>
      </c>
      <c r="B638" s="3" t="s">
        <v>233</v>
      </c>
      <c r="C638" s="27" t="n">
        <f aca="false">a25_sh</f>
        <v>0.493425783256292</v>
      </c>
      <c r="D638" s="27" t="n">
        <f aca="false">a26_sh</f>
        <v>0.512980850061958</v>
      </c>
      <c r="E638" s="27" t="n">
        <f aca="false">sh_h2*(1+sh_g)</f>
        <v>0.51889356</v>
      </c>
      <c r="F638" s="27" t="n">
        <f aca="false">E638*(1+sh_g)</f>
        <v>0.5240824956</v>
      </c>
      <c r="G638" s="27" t="n">
        <f aca="false">F638*(1+sh_g)</f>
        <v>0.529323320556</v>
      </c>
      <c r="H638" s="29" t="n">
        <f aca="false">G638*(1+sh_g)</f>
        <v>0.53461655376156</v>
      </c>
      <c r="I638" s="29" t="n">
        <f aca="false">H638*(1+sh_g)</f>
        <v>0.539962719299176</v>
      </c>
      <c r="J638" s="29" t="n">
        <f aca="false">I638*(1+sh_g)</f>
        <v>0.545362346492167</v>
      </c>
      <c r="K638" s="7" t="s">
        <v>653</v>
      </c>
    </row>
    <row r="639" customFormat="false" ht="15" hidden="false" customHeight="false" outlineLevel="0" collapsed="false">
      <c r="A639" s="0" t="s">
        <v>526</v>
      </c>
      <c r="B639" s="0" t="s">
        <v>271</v>
      </c>
      <c r="C639" s="23" t="n">
        <f aca="false">C636/C638</f>
        <v>19.47</v>
      </c>
      <c r="D639" s="23" t="n">
        <f aca="false">D636/D638</f>
        <v>38.3985658278458</v>
      </c>
      <c r="E639" s="23" t="n">
        <f aca="false">E636/E638</f>
        <v>57.5129716912367</v>
      </c>
      <c r="F639" s="23" t="n">
        <f aca="false">F636/F638</f>
        <v>71.9949189158964</v>
      </c>
      <c r="G639" s="23" t="n">
        <f aca="false">G636/G638</f>
        <v>81.0497563978544</v>
      </c>
      <c r="H639" s="30" t="n">
        <f aca="false">H636/H638</f>
        <v>86.8170649299786</v>
      </c>
      <c r="I639" s="30" t="n">
        <f aca="false">I636/I638</f>
        <v>89.1721944999151</v>
      </c>
      <c r="J639" s="30" t="n">
        <f aca="false">J636/J638</f>
        <v>87.6640860103551</v>
      </c>
    </row>
    <row r="640" customFormat="false" ht="17.15" hidden="false" customHeight="false" outlineLevel="0" collapsed="false">
      <c r="A640" s="0" t="s">
        <v>654</v>
      </c>
      <c r="B640" s="0" t="s">
        <v>55</v>
      </c>
      <c r="D640" s="14" t="n">
        <f aca="false">D639/C639-1</f>
        <v>0.9721913624985</v>
      </c>
      <c r="E640" s="14" t="n">
        <f aca="false">E639/D639-1</f>
        <v>0.497789577587023</v>
      </c>
      <c r="F640" s="14" t="n">
        <f aca="false">F639/E639-1</f>
        <v>0.25180314629554</v>
      </c>
      <c r="G640" s="14" t="n">
        <f aca="false">G639/F639-1</f>
        <v>0.12577050739561</v>
      </c>
      <c r="H640" s="25" t="n">
        <f aca="false">H639/G639-1</f>
        <v>0.0711576294420153</v>
      </c>
      <c r="I640" s="25" t="n">
        <f aca="false">I639/H639-1</f>
        <v>0.0271274958654268</v>
      </c>
      <c r="J640" s="25" t="n">
        <f aca="false">J639/I639-1</f>
        <v>-0.016912317769206</v>
      </c>
    </row>
    <row r="641" customFormat="false" ht="17.15" hidden="false" customHeight="false" outlineLevel="0" collapsed="false">
      <c r="A641" s="3" t="s">
        <v>655</v>
      </c>
      <c r="B641" s="0" t="s">
        <v>55</v>
      </c>
      <c r="C641" s="14" t="n">
        <f aca="false">C636/C613</f>
        <v>0.160105992933804</v>
      </c>
      <c r="D641" s="14" t="n">
        <f aca="false">D636/D613</f>
        <v>0.186872140996471</v>
      </c>
      <c r="E641" s="14" t="n">
        <f aca="false">E636/E613</f>
        <v>0.195256046294027</v>
      </c>
      <c r="F641" s="14" t="n">
        <f aca="false">F636/F613</f>
        <v>0.194224749810988</v>
      </c>
      <c r="G641" s="14" t="n">
        <f aca="false">G636/G613</f>
        <v>0.188254539331623</v>
      </c>
      <c r="H641" s="25" t="n">
        <f aca="false">$G641+(fade_mB-$G641)*1/3</f>
        <v>0.180439705044569</v>
      </c>
      <c r="I641" s="25" t="n">
        <f aca="false">$G641+(fade_mB-$G641)*2/3</f>
        <v>0.172624870757515</v>
      </c>
      <c r="J641" s="25" t="n">
        <f aca="false">$G641+(fade_mB-$G641)*3/3</f>
        <v>0.164810036470462</v>
      </c>
    </row>
    <row r="644" customFormat="false" ht="17.15" hidden="false" customHeight="false" outlineLevel="0" collapsed="false">
      <c r="A644" s="1" t="s">
        <v>1001</v>
      </c>
    </row>
    <row r="645" customFormat="false" ht="17.15" hidden="false" customHeight="false" outlineLevel="0" collapsed="false">
      <c r="A645" s="4" t="s">
        <v>24</v>
      </c>
      <c r="B645" s="4" t="s">
        <v>25</v>
      </c>
      <c r="C645" s="15" t="s">
        <v>494</v>
      </c>
      <c r="D645" s="15" t="s">
        <v>583</v>
      </c>
      <c r="E645" s="15" t="s">
        <v>584</v>
      </c>
      <c r="F645" s="15" t="s">
        <v>585</v>
      </c>
      <c r="G645" s="15" t="s">
        <v>586</v>
      </c>
      <c r="H645" s="15" t="s">
        <v>587</v>
      </c>
      <c r="I645" s="15" t="s">
        <v>588</v>
      </c>
      <c r="J645" s="15" t="s">
        <v>589</v>
      </c>
      <c r="K645" s="4" t="s">
        <v>458</v>
      </c>
    </row>
    <row r="646" customFormat="false" ht="17.15" hidden="false" customHeight="false" outlineLevel="0" collapsed="false">
      <c r="A646" s="5" t="s">
        <v>605</v>
      </c>
    </row>
    <row r="647" customFormat="false" ht="17.15" hidden="false" customHeight="false" outlineLevel="0" collapsed="false">
      <c r="A647" s="0" t="s">
        <v>606</v>
      </c>
      <c r="B647" s="0" t="s">
        <v>35</v>
      </c>
      <c r="D647" s="23" t="n">
        <f aca="false">itc_26*1</f>
        <v>781.872916666666</v>
      </c>
      <c r="E647" s="23" t="n">
        <f aca="false">itc_27*1*1</f>
        <v>1565.35</v>
      </c>
      <c r="F647" s="23" t="n">
        <f aca="false">itc_28*um28_B*1</f>
        <v>1587.41111111111</v>
      </c>
      <c r="G647" s="23" t="n">
        <f aca="false">itc_29*um29_B*1</f>
        <v>1921.33173611111</v>
      </c>
    </row>
    <row r="648" customFormat="false" ht="17.15" hidden="false" customHeight="false" outlineLevel="0" collapsed="false">
      <c r="A648" s="3" t="s">
        <v>607</v>
      </c>
      <c r="B648" s="0" t="s">
        <v>35</v>
      </c>
      <c r="D648" s="23" t="n">
        <f aca="false">itpg_gb*(1-vr26)+itpg_vr*vr26</f>
        <v>33.41403216</v>
      </c>
      <c r="E648" s="23" t="n">
        <f aca="false">itpg_vr</f>
        <v>37.586352</v>
      </c>
      <c r="F648" s="23" t="n">
        <f aca="false">itpg_vr</f>
        <v>37.586352</v>
      </c>
      <c r="G648" s="23" t="n">
        <f aca="false">itpg_vr</f>
        <v>37.586352</v>
      </c>
    </row>
    <row r="649" customFormat="false" ht="17.15" hidden="false" customHeight="false" outlineLevel="0" collapsed="false">
      <c r="A649" s="3" t="s">
        <v>608</v>
      </c>
      <c r="B649" s="0" t="s">
        <v>549</v>
      </c>
      <c r="D649" s="20" t="n">
        <f aca="false">D647/D648</f>
        <v>23.3995380420639</v>
      </c>
      <c r="E649" s="20" t="n">
        <f aca="false">E647/E648</f>
        <v>41.6467658260637</v>
      </c>
      <c r="F649" s="20" t="n">
        <f aca="false">F647/F648</f>
        <v>42.2337105529984</v>
      </c>
      <c r="G649" s="20" t="n">
        <f aca="false">G647/G648</f>
        <v>51.1178029756948</v>
      </c>
    </row>
    <row r="650" customFormat="false" ht="17.15" hidden="false" customHeight="false" outlineLevel="0" collapsed="false">
      <c r="A650" s="3" t="s">
        <v>553</v>
      </c>
      <c r="B650" s="0" t="s">
        <v>96</v>
      </c>
      <c r="D650" s="21" t="n">
        <f aca="false">vg_cmp26</f>
        <v>280</v>
      </c>
      <c r="E650" s="21" t="n">
        <f aca="false">(vg_cmp26+(vg_cmp27-vg_cmp26)*pgwf)</f>
        <v>420</v>
      </c>
      <c r="F650" s="21" t="n">
        <f aca="false">(vg_cmp26+(vg_cmp28-vg_cmp26)*pgwf)</f>
        <v>462</v>
      </c>
      <c r="G650" s="21" t="n">
        <f aca="false">(vg_cmp26+(vg_cmp29-vg_cmp26)*pgwf)</f>
        <v>504</v>
      </c>
    </row>
    <row r="651" customFormat="false" ht="17.15" hidden="false" customHeight="false" outlineLevel="0" collapsed="false">
      <c r="A651" s="3" t="s">
        <v>555</v>
      </c>
      <c r="B651" s="0" t="s">
        <v>96</v>
      </c>
      <c r="D651" s="21" t="n">
        <f aca="false">vg_sw26</f>
        <v>120</v>
      </c>
      <c r="E651" s="21" t="n">
        <f aca="false">(vg_sw26+(vg_sw27-vg_sw26)*pgwf)</f>
        <v>162</v>
      </c>
      <c r="F651" s="21" t="n">
        <f aca="false">(vg_sw26+(vg_sw28-vg_sw26)*pgwf)</f>
        <v>180</v>
      </c>
      <c r="G651" s="21" t="n">
        <f aca="false">(vg_sw26+(vg_sw29-vg_sw26)*pgwf)</f>
        <v>198</v>
      </c>
    </row>
    <row r="652" customFormat="false" ht="17.15" hidden="false" customHeight="false" outlineLevel="0" collapsed="false">
      <c r="A652" s="3" t="s">
        <v>609</v>
      </c>
      <c r="B652" s="0" t="s">
        <v>96</v>
      </c>
      <c r="D652" s="21" t="n">
        <f aca="false">vg_mid26*w_mid</f>
        <v>25</v>
      </c>
      <c r="E652" s="21" t="n">
        <f aca="false">(vg_mid26+(vg_mid27-vg_mid26)*pgwf)*w_mid</f>
        <v>50</v>
      </c>
      <c r="F652" s="21" t="n">
        <f aca="false">(vg_mid26+(vg_mid28-vg_mid26)*pgwf)*w_mid</f>
        <v>75</v>
      </c>
      <c r="G652" s="21" t="n">
        <f aca="false">(vg_mid26+(vg_mid29-vg_mid26)*pgwf)*w_mid</f>
        <v>87.5</v>
      </c>
    </row>
    <row r="653" customFormat="false" ht="17.15" hidden="false" customHeight="false" outlineLevel="0" collapsed="false">
      <c r="A653" s="3" t="s">
        <v>610</v>
      </c>
      <c r="B653" s="0" t="s">
        <v>96</v>
      </c>
      <c r="D653" s="21" t="n">
        <f aca="false">D650+D651+D652</f>
        <v>425</v>
      </c>
      <c r="E653" s="21" t="n">
        <f aca="false">E650+E651+E652</f>
        <v>632</v>
      </c>
      <c r="F653" s="21" t="n">
        <f aca="false">F650+F651+F652</f>
        <v>717</v>
      </c>
      <c r="G653" s="21" t="n">
        <f aca="false">G650+G651+G652</f>
        <v>789.5</v>
      </c>
    </row>
    <row r="654" customFormat="false" ht="17.15" hidden="false" customHeight="false" outlineLevel="0" collapsed="false">
      <c r="A654" s="3" t="s">
        <v>611</v>
      </c>
      <c r="B654" s="0" t="s">
        <v>35</v>
      </c>
      <c r="D654" s="23" t="n">
        <f aca="false">D649*D653/1000</f>
        <v>9.94480366787715</v>
      </c>
      <c r="E654" s="23" t="n">
        <f aca="false">E649*E653/1000</f>
        <v>26.3207560020722</v>
      </c>
      <c r="F654" s="23" t="n">
        <f aca="false">F649*F653/1000</f>
        <v>30.2815704664998</v>
      </c>
      <c r="G654" s="23" t="n">
        <f aca="false">G649*G653/1000</f>
        <v>40.3575054493111</v>
      </c>
    </row>
    <row r="655" customFormat="false" ht="17.15" hidden="false" customHeight="false" outlineLevel="0" collapsed="false">
      <c r="A655" s="3" t="s">
        <v>612</v>
      </c>
      <c r="B655" s="0" t="s">
        <v>203</v>
      </c>
      <c r="D655" s="22" t="n">
        <f aca="false">D654*fx</f>
        <v>318.233717372069</v>
      </c>
      <c r="E655" s="22" t="n">
        <f aca="false">E654*fx</f>
        <v>842.264192066312</v>
      </c>
      <c r="F655" s="22" t="n">
        <f aca="false">F654*fx</f>
        <v>969.010254927995</v>
      </c>
      <c r="G655" s="22" t="n">
        <f aca="false">G654*fx</f>
        <v>1291.44017437795</v>
      </c>
    </row>
    <row r="656" customFormat="false" ht="17.15" hidden="false" customHeight="false" outlineLevel="0" collapsed="false">
      <c r="A656" s="0" t="s">
        <v>613</v>
      </c>
      <c r="B656" s="0" t="s">
        <v>69</v>
      </c>
      <c r="D656" s="18" t="n">
        <f aca="false">1</f>
        <v>1</v>
      </c>
      <c r="E656" s="18" t="n">
        <f aca="false">pp_27</f>
        <v>1</v>
      </c>
      <c r="F656" s="18" t="n">
        <f aca="false">pp_28</f>
        <v>0.97</v>
      </c>
      <c r="G656" s="18" t="n">
        <f aca="false">pp_29</f>
        <v>0.94</v>
      </c>
    </row>
    <row r="657" customFormat="false" ht="17.15" hidden="false" customHeight="false" outlineLevel="0" collapsed="false">
      <c r="A657" s="3" t="s">
        <v>614</v>
      </c>
      <c r="B657" s="0" t="s">
        <v>55</v>
      </c>
      <c r="D657" s="14" t="n">
        <f aca="false">a26_ai/D655</f>
        <v>0.172842024579347</v>
      </c>
      <c r="K657" s="7" t="s">
        <v>615</v>
      </c>
    </row>
    <row r="658" customFormat="false" ht="17.15" hidden="false" customHeight="false" outlineLevel="0" collapsed="false">
      <c r="A658" s="3" t="s">
        <v>616</v>
      </c>
      <c r="B658" s="0" t="s">
        <v>69</v>
      </c>
      <c r="D658" s="18" t="n">
        <f aca="false">1</f>
        <v>1</v>
      </c>
      <c r="E658" s="18" t="n">
        <f aca="false">rel_27</f>
        <v>1</v>
      </c>
      <c r="F658" s="18" t="n">
        <f aca="false">rel_28</f>
        <v>0.95</v>
      </c>
      <c r="G658" s="18" t="n">
        <f aca="false">rel_29</f>
        <v>0.9</v>
      </c>
    </row>
    <row r="659" customFormat="false" ht="15" hidden="false" customHeight="false" outlineLevel="0" collapsed="false">
      <c r="A659" s="3" t="s">
        <v>565</v>
      </c>
      <c r="B659" s="0" t="s">
        <v>55</v>
      </c>
      <c r="D659" s="14" t="n">
        <f aca="false">$D$657*D658</f>
        <v>0.172842024579347</v>
      </c>
      <c r="E659" s="14" t="n">
        <f aca="false">$D$657*E658</f>
        <v>0.172842024579347</v>
      </c>
      <c r="F659" s="14" t="n">
        <f aca="false">$D$657*F658</f>
        <v>0.164199923350379</v>
      </c>
      <c r="G659" s="14" t="n">
        <f aca="false">$D$657*G658</f>
        <v>0.155557822121412</v>
      </c>
    </row>
    <row r="660" customFormat="false" ht="17.15" hidden="false" customHeight="false" outlineLevel="0" collapsed="false">
      <c r="A660" s="0" t="s">
        <v>617</v>
      </c>
      <c r="B660" s="0" t="s">
        <v>203</v>
      </c>
      <c r="D660" s="22" t="n">
        <f aca="false">D655*D659*D656</f>
        <v>55.00416</v>
      </c>
      <c r="E660" s="22" t="n">
        <f aca="false">E655*E659*E656</f>
        <v>145.578648187429</v>
      </c>
      <c r="F660" s="22" t="n">
        <f aca="false">F655*F659*F656</f>
        <v>154.338067297361</v>
      </c>
      <c r="G660" s="22" t="n">
        <f aca="false">G655*G659*G656</f>
        <v>188.840003670751</v>
      </c>
    </row>
    <row r="661" customFormat="false" ht="17.15" hidden="false" customHeight="false" outlineLevel="0" collapsed="false">
      <c r="A661" s="5" t="s">
        <v>618</v>
      </c>
    </row>
    <row r="662" customFormat="false" ht="17.15" hidden="false" customHeight="false" outlineLevel="0" collapsed="false">
      <c r="A662" s="3" t="s">
        <v>619</v>
      </c>
      <c r="B662" s="0" t="s">
        <v>69</v>
      </c>
      <c r="D662" s="18" t="n">
        <f aca="false">1</f>
        <v>1</v>
      </c>
      <c r="E662" s="18" t="n">
        <f aca="false">cx_27</f>
        <v>1.45</v>
      </c>
      <c r="F662" s="18" t="n">
        <f aca="false">cx_28</f>
        <v>1.9</v>
      </c>
      <c r="G662" s="18" t="n">
        <f aca="false">cx_29</f>
        <v>2.3</v>
      </c>
      <c r="K662" s="7" t="s">
        <v>620</v>
      </c>
    </row>
    <row r="663" customFormat="false" ht="17.15" hidden="false" customHeight="false" outlineLevel="0" collapsed="false">
      <c r="A663" s="3" t="s">
        <v>621</v>
      </c>
      <c r="B663" s="0" t="s">
        <v>203</v>
      </c>
      <c r="D663" s="22" t="n">
        <f aca="false">a26_rev*D662*D656</f>
        <v>105.40752</v>
      </c>
      <c r="E663" s="22" t="n">
        <f aca="false">a26_rev*E662*E656</f>
        <v>152.840904</v>
      </c>
      <c r="F663" s="22" t="n">
        <f aca="false">a26_rev*F662*F656</f>
        <v>194.26605936</v>
      </c>
      <c r="G663" s="22" t="n">
        <f aca="false">a26_rev*G662*G656</f>
        <v>227.89105824</v>
      </c>
    </row>
    <row r="664" customFormat="false" ht="17.15" hidden="false" customHeight="false" outlineLevel="0" collapsed="false">
      <c r="A664" s="3" t="s">
        <v>622</v>
      </c>
      <c r="B664" s="0" t="s">
        <v>203</v>
      </c>
      <c r="C664" s="22" t="n">
        <f aca="false">a25_nai</f>
        <v>42.0028</v>
      </c>
      <c r="D664" s="22" t="n">
        <f aca="false">a26_nai</f>
        <v>50.40336</v>
      </c>
      <c r="E664" s="22" t="n">
        <f aca="false">D664*(1+g_nai27)</f>
        <v>52.923528</v>
      </c>
      <c r="F664" s="22" t="n">
        <f aca="false">E664*(1+g_nai28)</f>
        <v>54.51123384</v>
      </c>
      <c r="G664" s="22" t="n">
        <f aca="false">F664*(1+g_nai29)</f>
        <v>56.1465708552</v>
      </c>
    </row>
    <row r="665" customFormat="false" ht="17.15" hidden="false" customHeight="false" outlineLevel="0" collapsed="false">
      <c r="A665" s="0" t="s">
        <v>623</v>
      </c>
      <c r="B665" s="0" t="s">
        <v>203</v>
      </c>
      <c r="C665" s="22" t="n">
        <f aca="false">a25_ai</f>
        <v>18.0012</v>
      </c>
      <c r="D665" s="22" t="n">
        <f aca="false">D660</f>
        <v>55.00416</v>
      </c>
      <c r="E665" s="22" t="n">
        <f aca="false">MIN(E660,E663-E664)</f>
        <v>99.917376</v>
      </c>
      <c r="F665" s="22" t="n">
        <f aca="false">MIN(F660,F663-F664)</f>
        <v>139.75482552</v>
      </c>
      <c r="G665" s="22" t="n">
        <f aca="false">MIN(G660,G663-G664)</f>
        <v>171.7444873848</v>
      </c>
      <c r="K665" s="3" t="s">
        <v>624</v>
      </c>
    </row>
    <row r="666" customFormat="false" ht="15" hidden="false" customHeight="false" outlineLevel="0" collapsed="false">
      <c r="A666" s="3" t="s">
        <v>625</v>
      </c>
      <c r="E666" s="0" t="str">
        <f aca="false">IF(E660&gt;E663-E664+0.0001,"受限","未受限")</f>
        <v>受限</v>
      </c>
      <c r="F666" s="0" t="str">
        <f aca="false">IF(F660&gt;F663-F664+0.0001,"受限","未受限")</f>
        <v>受限</v>
      </c>
      <c r="G666" s="0" t="str">
        <f aca="false">IF(G660&gt;G663-G664+0.0001,"受限","未受限")</f>
        <v>受限</v>
      </c>
    </row>
    <row r="667" customFormat="false" ht="17.15" hidden="false" customHeight="false" outlineLevel="0" collapsed="false">
      <c r="A667" s="3" t="s">
        <v>499</v>
      </c>
      <c r="B667" s="0" t="s">
        <v>203</v>
      </c>
      <c r="C667" s="22" t="n">
        <f aca="false">C665+C664</f>
        <v>60.004</v>
      </c>
      <c r="D667" s="22" t="n">
        <f aca="false">D665+D664</f>
        <v>105.40752</v>
      </c>
      <c r="E667" s="22" t="n">
        <f aca="false">E665+E664</f>
        <v>152.840904</v>
      </c>
      <c r="F667" s="22" t="n">
        <f aca="false">F665+F664</f>
        <v>194.26605936</v>
      </c>
      <c r="G667" s="22" t="n">
        <f aca="false">G665+G664</f>
        <v>227.89105824</v>
      </c>
      <c r="H667" s="24" t="n">
        <f aca="false">G667*(1+H668)</f>
        <v>257.226313072804</v>
      </c>
      <c r="I667" s="24" t="n">
        <f aca="false">H667*(1+I668)</f>
        <v>278.92655569709</v>
      </c>
      <c r="J667" s="24" t="n">
        <f aca="false">I667*(1+J668)</f>
        <v>290.083617924974</v>
      </c>
      <c r="K667" s="7" t="s">
        <v>626</v>
      </c>
    </row>
    <row r="668" customFormat="false" ht="15" hidden="false" customHeight="false" outlineLevel="0" collapsed="false">
      <c r="A668" s="3" t="s">
        <v>627</v>
      </c>
      <c r="B668" s="0" t="s">
        <v>55</v>
      </c>
      <c r="D668" s="14" t="n">
        <f aca="false">D667/C667-1</f>
        <v>0.756674888340778</v>
      </c>
      <c r="E668" s="14" t="n">
        <f aca="false">E667/D667-1</f>
        <v>0.45</v>
      </c>
      <c r="F668" s="14" t="n">
        <f aca="false">F667/E667-1</f>
        <v>0.271034482758621</v>
      </c>
      <c r="G668" s="14" t="n">
        <f aca="false">G667/F667-1</f>
        <v>0.173087357569181</v>
      </c>
      <c r="H668" s="25" t="n">
        <f aca="false">$G668+(fade_gB-$G668)*1/3</f>
        <v>0.12872490504612</v>
      </c>
      <c r="I668" s="25" t="n">
        <f aca="false">$G668+(fade_gB-$G668)*2/3</f>
        <v>0.0843624525230602</v>
      </c>
      <c r="J668" s="25" t="n">
        <f aca="false">$G668+(fade_gB-$G668)*3/3</f>
        <v>0.04</v>
      </c>
    </row>
    <row r="669" customFormat="false" ht="17.15" hidden="false" customHeight="false" outlineLevel="0" collapsed="false">
      <c r="A669" s="3" t="s">
        <v>628</v>
      </c>
      <c r="B669" s="0" t="s">
        <v>203</v>
      </c>
      <c r="D669" s="22" t="n">
        <f aca="false">D665*(D650+D652)/D653</f>
        <v>39.4735736470588</v>
      </c>
      <c r="E669" s="22" t="n">
        <f aca="false">E665*(E650+E652)/E653</f>
        <v>74.3056435443038</v>
      </c>
      <c r="F669" s="22" t="n">
        <f aca="false">F665*(F650+F652)/F653</f>
        <v>104.669932084017</v>
      </c>
      <c r="G669" s="22" t="n">
        <f aca="false">G665*(G650+G652)/G653</f>
        <v>128.672405684749</v>
      </c>
      <c r="K669" s="7" t="s">
        <v>629</v>
      </c>
    </row>
    <row r="670" customFormat="false" ht="17.15" hidden="false" customHeight="false" outlineLevel="0" collapsed="false">
      <c r="A670" s="3" t="s">
        <v>630</v>
      </c>
      <c r="B670" s="0" t="s">
        <v>203</v>
      </c>
      <c r="D670" s="22" t="n">
        <f aca="false">D665*D651/D653</f>
        <v>15.5305863529412</v>
      </c>
      <c r="E670" s="22" t="n">
        <f aca="false">E665*E651/E653</f>
        <v>25.6117324556962</v>
      </c>
      <c r="F670" s="22" t="n">
        <f aca="false">F665*F651/F653</f>
        <v>35.0848934359833</v>
      </c>
      <c r="G670" s="22" t="n">
        <f aca="false">G665*G651/G653</f>
        <v>43.0720817000512</v>
      </c>
    </row>
    <row r="671" customFormat="false" ht="17.15" hidden="false" customHeight="false" outlineLevel="0" collapsed="false">
      <c r="A671" s="3" t="s">
        <v>631</v>
      </c>
      <c r="B671" s="0" t="s">
        <v>203</v>
      </c>
      <c r="D671" s="22" t="n">
        <f aca="false">srv26*D667-D669</f>
        <v>42.7442919529412</v>
      </c>
      <c r="E671" s="22" t="n">
        <f aca="false">E664*$D671/$D664</f>
        <v>44.8815065505883</v>
      </c>
      <c r="F671" s="22" t="n">
        <f aca="false">F664*$D671/$D664</f>
        <v>46.2279517471059</v>
      </c>
      <c r="G671" s="22" t="n">
        <f aca="false">G664*$D671/$D664</f>
        <v>47.6147902995191</v>
      </c>
      <c r="K671" s="7" t="s">
        <v>632</v>
      </c>
    </row>
    <row r="672" customFormat="false" ht="17.15" hidden="false" customHeight="false" outlineLevel="0" collapsed="false">
      <c r="A672" s="3" t="s">
        <v>633</v>
      </c>
      <c r="B672" s="0" t="s">
        <v>203</v>
      </c>
      <c r="D672" s="22" t="n">
        <f aca="false">net26*D667-D670</f>
        <v>0.28054164705882</v>
      </c>
      <c r="E672" s="22" t="n">
        <f aca="false">E664*$D672/$D664</f>
        <v>0.294568729411761</v>
      </c>
      <c r="F672" s="22" t="n">
        <f aca="false">F664*$D672/$D664</f>
        <v>0.303405791294114</v>
      </c>
      <c r="G672" s="22" t="n">
        <f aca="false">G664*$D672/$D664</f>
        <v>0.312507965032938</v>
      </c>
    </row>
    <row r="673" customFormat="false" ht="17.15" hidden="false" customHeight="false" outlineLevel="0" collapsed="false">
      <c r="A673" s="3" t="s">
        <v>634</v>
      </c>
      <c r="B673" s="0" t="s">
        <v>203</v>
      </c>
      <c r="C673" s="22" t="n">
        <f aca="false">srv25*C667</f>
        <v>48.0032</v>
      </c>
      <c r="D673" s="22" t="n">
        <f aca="false">D669+D671</f>
        <v>82.2178656</v>
      </c>
      <c r="E673" s="22" t="n">
        <f aca="false">E669+E671</f>
        <v>119.187150094892</v>
      </c>
      <c r="F673" s="22" t="n">
        <f aca="false">F669+F671</f>
        <v>150.897883831123</v>
      </c>
      <c r="G673" s="22" t="n">
        <f aca="false">G669+G671</f>
        <v>176.287195984268</v>
      </c>
      <c r="K673" s="3" t="s">
        <v>635</v>
      </c>
    </row>
    <row r="674" customFormat="false" ht="15" hidden="false" customHeight="false" outlineLevel="0" collapsed="false">
      <c r="A674" s="3" t="s">
        <v>636</v>
      </c>
      <c r="B674" s="0" t="s">
        <v>203</v>
      </c>
      <c r="C674" s="22" t="n">
        <f aca="false">net25*C667</f>
        <v>6.0004</v>
      </c>
      <c r="D674" s="22" t="n">
        <f aca="false">D670+D672</f>
        <v>15.811128</v>
      </c>
      <c r="E674" s="22" t="n">
        <f aca="false">E670+E672</f>
        <v>25.906301185108</v>
      </c>
      <c r="F674" s="22" t="n">
        <f aca="false">F670+F672</f>
        <v>35.3882992272774</v>
      </c>
      <c r="G674" s="22" t="n">
        <f aca="false">G670+G672</f>
        <v>43.3845896650841</v>
      </c>
      <c r="K674" s="3" t="s">
        <v>637</v>
      </c>
    </row>
    <row r="675" customFormat="false" ht="15" hidden="false" customHeight="false" outlineLevel="0" collapsed="false">
      <c r="A675" s="3" t="s">
        <v>638</v>
      </c>
      <c r="B675" s="0" t="s">
        <v>203</v>
      </c>
      <c r="C675" s="22" t="n">
        <f aca="false">C667-C673-C674</f>
        <v>6.0004</v>
      </c>
      <c r="D675" s="22" t="n">
        <f aca="false">D667-D673-D674</f>
        <v>7.3785264</v>
      </c>
      <c r="E675" s="22" t="n">
        <f aca="false">E667-E673-E674</f>
        <v>7.74745271999998</v>
      </c>
      <c r="F675" s="22" t="n">
        <f aca="false">F667-F673-F674</f>
        <v>7.9798763016</v>
      </c>
      <c r="G675" s="22" t="n">
        <f aca="false">G667-G673-G674</f>
        <v>8.21927259064798</v>
      </c>
      <c r="K675" s="3" t="s">
        <v>639</v>
      </c>
    </row>
    <row r="676" customFormat="false" ht="17.15" hidden="false" customHeight="false" outlineLevel="0" collapsed="false">
      <c r="A676" s="3" t="s">
        <v>640</v>
      </c>
      <c r="B676" s="0" t="s">
        <v>203</v>
      </c>
      <c r="C676" s="28" t="n">
        <f aca="false">C673+C674+C675-C667</f>
        <v>0</v>
      </c>
      <c r="D676" s="28" t="n">
        <f aca="false">ROUND(D671+D672+D675-D664,9)</f>
        <v>0</v>
      </c>
      <c r="E676" s="28" t="n">
        <f aca="false">ROUND(E671+E672+E675-E664,9)</f>
        <v>0</v>
      </c>
      <c r="F676" s="28" t="n">
        <f aca="false">ROUND(F671+F672+F675-F664,9)</f>
        <v>0</v>
      </c>
      <c r="G676" s="28" t="n">
        <f aca="false">ROUND(G671+G672+G675-G664,9)</f>
        <v>0</v>
      </c>
    </row>
    <row r="677" customFormat="false" ht="17.15" hidden="false" customHeight="false" outlineLevel="0" collapsed="false">
      <c r="A677" s="0" t="s">
        <v>641</v>
      </c>
      <c r="B677" s="0" t="s">
        <v>55</v>
      </c>
      <c r="C677" s="14" t="n">
        <f aca="false">C665/C667</f>
        <v>0.3</v>
      </c>
      <c r="D677" s="14" t="n">
        <f aca="false">D665/D667</f>
        <v>0.521823869871903</v>
      </c>
      <c r="E677" s="14" t="n">
        <f aca="false">E665/E667</f>
        <v>0.653734526458964</v>
      </c>
      <c r="F677" s="14" t="n">
        <f aca="false">F665/F667</f>
        <v>0.71939908587437</v>
      </c>
      <c r="G677" s="14" t="n">
        <f aca="false">G665/G667</f>
        <v>0.753625388864226</v>
      </c>
    </row>
    <row r="678" customFormat="false" ht="17.15" hidden="false" customHeight="false" outlineLevel="0" collapsed="false">
      <c r="A678" s="3" t="s">
        <v>642</v>
      </c>
      <c r="B678" s="0" t="s">
        <v>55</v>
      </c>
      <c r="D678" s="14" t="n">
        <f aca="false">(D660+D664)/D663</f>
        <v>1</v>
      </c>
      <c r="E678" s="14" t="n">
        <f aca="false">(E660+E664)/E663</f>
        <v>1.29875034099137</v>
      </c>
      <c r="F678" s="14" t="n">
        <f aca="false">(F660+F664)/F663</f>
        <v>1.07506839756468</v>
      </c>
      <c r="G678" s="14" t="n">
        <f aca="false">(G660+G664)/G663</f>
        <v>1.07501617842306</v>
      </c>
      <c r="K678" s="3" t="s">
        <v>643</v>
      </c>
    </row>
    <row r="679" customFormat="false" ht="17.15" hidden="false" customHeight="false" outlineLevel="0" collapsed="false">
      <c r="A679" s="3" t="s">
        <v>569</v>
      </c>
      <c r="B679" s="0" t="s">
        <v>96</v>
      </c>
      <c r="D679" s="21" t="n">
        <f aca="false">D665/fx/D649*1000</f>
        <v>73.4578604462224</v>
      </c>
      <c r="E679" s="21" t="n">
        <f aca="false">E665/fx/E649*1000</f>
        <v>74.9738410190283</v>
      </c>
      <c r="F679" s="21" t="n">
        <f aca="false">F665/fx/F649*1000</f>
        <v>103.408822959553</v>
      </c>
      <c r="G679" s="21" t="n">
        <f aca="false">G665/fx/G649*1000</f>
        <v>104.993073222002</v>
      </c>
    </row>
    <row r="680" customFormat="false" ht="17.15" hidden="false" customHeight="false" outlineLevel="0" collapsed="false">
      <c r="A680" s="5" t="s">
        <v>644</v>
      </c>
    </row>
    <row r="681" customFormat="false" ht="17.15" hidden="false" customHeight="false" outlineLevel="0" collapsed="false">
      <c r="A681" s="3" t="s">
        <v>645</v>
      </c>
      <c r="B681" s="0" t="s">
        <v>55</v>
      </c>
      <c r="D681" s="14" t="n">
        <f aca="false">a26_gp/D667-d_ai*D677</f>
        <v>0.296655205435058</v>
      </c>
      <c r="K681" s="7" t="s">
        <v>646</v>
      </c>
    </row>
    <row r="682" customFormat="false" ht="17.15" hidden="false" customHeight="false" outlineLevel="0" collapsed="false">
      <c r="A682" s="0" t="s">
        <v>647</v>
      </c>
      <c r="B682" s="0" t="s">
        <v>55</v>
      </c>
      <c r="D682" s="14" t="n">
        <f aca="false">D681+d_ai</f>
        <v>0.396655205435058</v>
      </c>
      <c r="E682" s="14" t="n">
        <f aca="false">1-(1-$D$682)/E656+GUHI_27</f>
        <v>0.416655205435058</v>
      </c>
      <c r="F682" s="14" t="n">
        <f aca="false">1-(1-$D$682)/F656+GUHI_28</f>
        <v>0.407995057149545</v>
      </c>
      <c r="G682" s="14" t="n">
        <f aca="false">1-(1-$D$682)/G656+GUHI_29</f>
        <v>0.393143835569211</v>
      </c>
      <c r="K682" s="7" t="s">
        <v>648</v>
      </c>
    </row>
    <row r="683" customFormat="false" ht="15" hidden="false" customHeight="false" outlineLevel="0" collapsed="false">
      <c r="A683" s="3" t="s">
        <v>503</v>
      </c>
      <c r="B683" s="0" t="s">
        <v>203</v>
      </c>
      <c r="C683" s="22" t="n">
        <f aca="false">a25_gp</f>
        <v>19.683</v>
      </c>
      <c r="D683" s="22" t="n">
        <f aca="false">a26_gp</f>
        <v>36.7701055</v>
      </c>
      <c r="E683" s="22" t="n">
        <f aca="false">E665*E682+E664*$D$681</f>
        <v>57.331134895</v>
      </c>
      <c r="F683" s="22" t="n">
        <f aca="false">F665*F682+F664*$D$681</f>
        <v>73.1903192982807</v>
      </c>
      <c r="G683" s="22" t="n">
        <f aca="false">G665*G682+G664*$D$681</f>
        <v>84.1764590198516</v>
      </c>
    </row>
    <row r="684" customFormat="false" ht="15" hidden="false" customHeight="false" outlineLevel="0" collapsed="false">
      <c r="A684" s="3" t="s">
        <v>506</v>
      </c>
      <c r="B684" s="0" t="s">
        <v>55</v>
      </c>
      <c r="C684" s="14" t="n">
        <f aca="false">C683/C667</f>
        <v>0.328028131457903</v>
      </c>
      <c r="D684" s="14" t="n">
        <f aca="false">D683/D667</f>
        <v>0.348837592422248</v>
      </c>
      <c r="E684" s="14" t="n">
        <f aca="false">E683/E667</f>
        <v>0.375103348610134</v>
      </c>
      <c r="F684" s="14" t="n">
        <f aca="false">F683/F667</f>
        <v>0.376752992979848</v>
      </c>
      <c r="G684" s="14" t="n">
        <f aca="false">G683/G667</f>
        <v>0.369371486840886</v>
      </c>
    </row>
    <row r="685" customFormat="false" ht="15" hidden="false" customHeight="false" outlineLevel="0" collapsed="false">
      <c r="A685" s="3" t="s">
        <v>649</v>
      </c>
      <c r="B685" s="0" t="s">
        <v>203</v>
      </c>
      <c r="C685" s="22" t="n">
        <f aca="false">a25_opx</f>
        <v>5.64</v>
      </c>
      <c r="D685" s="22" t="n">
        <f aca="false">a26_opx</f>
        <v>8.4779754</v>
      </c>
      <c r="E685" s="22" t="n">
        <f aca="false">D685*(1+MAX(0,phi*E668))</f>
        <v>10.767028758</v>
      </c>
      <c r="F685" s="22" t="n">
        <f aca="false">E685*(1+MAX(0,phi*F668))</f>
        <v>12.517970400163</v>
      </c>
      <c r="G685" s="22" t="n">
        <f aca="false">F685*(1+MAX(0,phi*G668))</f>
        <v>13.8179918513791</v>
      </c>
    </row>
    <row r="686" customFormat="false" ht="15" hidden="false" customHeight="false" outlineLevel="0" collapsed="false">
      <c r="A686" s="3" t="s">
        <v>508</v>
      </c>
      <c r="B686" s="0" t="s">
        <v>203</v>
      </c>
      <c r="C686" s="22" t="n">
        <f aca="false">C685</f>
        <v>5.64</v>
      </c>
      <c r="D686" s="22" t="n">
        <f aca="false">D685</f>
        <v>8.4779754</v>
      </c>
      <c r="E686" s="22" t="n">
        <f aca="false">E685+0*E667</f>
        <v>10.767028758</v>
      </c>
      <c r="F686" s="22" t="n">
        <f aca="false">F685+0*F667</f>
        <v>12.517970400163</v>
      </c>
      <c r="G686" s="22" t="n">
        <f aca="false">G685+0*G667</f>
        <v>13.8179918513791</v>
      </c>
    </row>
    <row r="687" customFormat="false" ht="15" hidden="false" customHeight="false" outlineLevel="0" collapsed="false">
      <c r="A687" s="3" t="s">
        <v>650</v>
      </c>
      <c r="B687" s="0" t="s">
        <v>203</v>
      </c>
      <c r="C687" s="22" t="n">
        <f aca="false">C683-C686</f>
        <v>14.043</v>
      </c>
      <c r="D687" s="22" t="n">
        <f aca="false">D683-D686</f>
        <v>28.2921301</v>
      </c>
      <c r="E687" s="22" t="n">
        <f aca="false">E683-E686</f>
        <v>46.564106137</v>
      </c>
      <c r="F687" s="22" t="n">
        <f aca="false">F683-F686</f>
        <v>60.6723488981177</v>
      </c>
      <c r="G687" s="22" t="n">
        <f aca="false">G683-G686</f>
        <v>70.3584671684725</v>
      </c>
    </row>
    <row r="688" customFormat="false" ht="15" hidden="false" customHeight="false" outlineLevel="0" collapsed="false">
      <c r="A688" s="3" t="s">
        <v>514</v>
      </c>
      <c r="B688" s="0" t="s">
        <v>55</v>
      </c>
      <c r="C688" s="14" t="n">
        <f aca="false">C687/C667</f>
        <v>0.23403439770682</v>
      </c>
      <c r="D688" s="14" t="n">
        <f aca="false">D687/D667</f>
        <v>0.268407131673338</v>
      </c>
      <c r="E688" s="14" t="n">
        <f aca="false">E687/E667</f>
        <v>0.304657358850743</v>
      </c>
      <c r="F688" s="14" t="n">
        <f aca="false">F687/F667</f>
        <v>0.312315744180943</v>
      </c>
      <c r="G688" s="14" t="n">
        <f aca="false">G687/G667</f>
        <v>0.308737287508558</v>
      </c>
    </row>
    <row r="689" customFormat="false" ht="17.15" hidden="false" customHeight="false" outlineLevel="0" collapsed="false">
      <c r="A689" s="3" t="s">
        <v>515</v>
      </c>
      <c r="B689" s="0" t="s">
        <v>203</v>
      </c>
      <c r="E689" s="22" t="n">
        <f aca="false">nop_f</f>
        <v>0</v>
      </c>
      <c r="F689" s="22" t="n">
        <f aca="false">nop_f</f>
        <v>0</v>
      </c>
      <c r="G689" s="22" t="n">
        <f aca="false">nop_f</f>
        <v>0</v>
      </c>
      <c r="K689" s="7" t="s">
        <v>651</v>
      </c>
    </row>
    <row r="690" customFormat="false" ht="15" hidden="false" customHeight="false" outlineLevel="0" collapsed="false">
      <c r="A690" s="3" t="s">
        <v>520</v>
      </c>
      <c r="B690" s="0" t="s">
        <v>203</v>
      </c>
      <c r="C690" s="22" t="n">
        <f aca="false">a25_ni</f>
        <v>9.607</v>
      </c>
      <c r="D690" s="22" t="n">
        <f aca="false">a26_ni</f>
        <v>19.6977289395284</v>
      </c>
      <c r="E690" s="22" t="n">
        <f aca="false">(E687+E689)*nir_f</f>
        <v>31.896412703845</v>
      </c>
      <c r="F690" s="22" t="n">
        <f aca="false">(F687+F689)*nir_f</f>
        <v>41.5605589952106</v>
      </c>
      <c r="G690" s="22" t="n">
        <f aca="false">(G687+G689)*nir_f</f>
        <v>48.1955500104037</v>
      </c>
      <c r="H690" s="24" t="n">
        <f aca="false">H667*H695</f>
        <v>50.3975044189894</v>
      </c>
      <c r="I690" s="24" t="n">
        <f aca="false">I667*I695</f>
        <v>50.3095286549174</v>
      </c>
      <c r="J690" s="24" t="n">
        <f aca="false">J667*J695</f>
        <v>47.8086916496984</v>
      </c>
    </row>
    <row r="691" customFormat="false" ht="17.15" hidden="false" customHeight="false" outlineLevel="0" collapsed="false">
      <c r="A691" s="3" t="s">
        <v>523</v>
      </c>
      <c r="B691" s="0" t="s">
        <v>55</v>
      </c>
      <c r="C691" s="14" t="n">
        <f aca="false">C690/C687</f>
        <v>0.684113081250445</v>
      </c>
      <c r="D691" s="14" t="n">
        <f aca="false">D690/D687</f>
        <v>0.696226437171953</v>
      </c>
      <c r="E691" s="14" t="n">
        <f aca="false">E690/E687</f>
        <v>0.685</v>
      </c>
      <c r="F691" s="14" t="n">
        <f aca="false">F690/F687</f>
        <v>0.685</v>
      </c>
      <c r="G691" s="14" t="n">
        <f aca="false">G690/G687</f>
        <v>0.685</v>
      </c>
    </row>
    <row r="692" customFormat="false" ht="17.15" hidden="false" customHeight="false" outlineLevel="0" collapsed="false">
      <c r="A692" s="3" t="s">
        <v>652</v>
      </c>
      <c r="B692" s="3" t="s">
        <v>233</v>
      </c>
      <c r="C692" s="27" t="n">
        <f aca="false">a25_sh</f>
        <v>0.493425783256292</v>
      </c>
      <c r="D692" s="27" t="n">
        <f aca="false">a26_sh</f>
        <v>0.512980850061958</v>
      </c>
      <c r="E692" s="27" t="n">
        <f aca="false">sh_h2*(1+sh_g)</f>
        <v>0.51889356</v>
      </c>
      <c r="F692" s="27" t="n">
        <f aca="false">E692*(1+sh_g)</f>
        <v>0.5240824956</v>
      </c>
      <c r="G692" s="27" t="n">
        <f aca="false">F692*(1+sh_g)</f>
        <v>0.529323320556</v>
      </c>
      <c r="H692" s="29" t="n">
        <f aca="false">G692*(1+sh_g)</f>
        <v>0.53461655376156</v>
      </c>
      <c r="I692" s="29" t="n">
        <f aca="false">H692*(1+sh_g)</f>
        <v>0.539962719299176</v>
      </c>
      <c r="J692" s="29" t="n">
        <f aca="false">I692*(1+sh_g)</f>
        <v>0.545362346492167</v>
      </c>
      <c r="K692" s="7" t="s">
        <v>653</v>
      </c>
    </row>
    <row r="693" customFormat="false" ht="15" hidden="false" customHeight="false" outlineLevel="0" collapsed="false">
      <c r="A693" s="0" t="s">
        <v>526</v>
      </c>
      <c r="B693" s="0" t="s">
        <v>271</v>
      </c>
      <c r="C693" s="23" t="n">
        <f aca="false">C690/C692</f>
        <v>19.47</v>
      </c>
      <c r="D693" s="23" t="n">
        <f aca="false">D690/D692</f>
        <v>38.3985658278458</v>
      </c>
      <c r="E693" s="23" t="n">
        <f aca="false">E690/E692</f>
        <v>61.470049279172</v>
      </c>
      <c r="F693" s="23" t="n">
        <f aca="false">F690/F692</f>
        <v>79.3015590944889</v>
      </c>
      <c r="G693" s="23" t="n">
        <f aca="false">G690/G692</f>
        <v>91.0512500370836</v>
      </c>
      <c r="H693" s="30" t="n">
        <f aca="false">H690/H692</f>
        <v>94.2685071466507</v>
      </c>
      <c r="I693" s="30" t="n">
        <f aca="false">I690/I692</f>
        <v>93.1722262607588</v>
      </c>
      <c r="J693" s="30" t="n">
        <f aca="false">J690/J692</f>
        <v>87.6640860103551</v>
      </c>
    </row>
    <row r="694" customFormat="false" ht="17.15" hidden="false" customHeight="false" outlineLevel="0" collapsed="false">
      <c r="A694" s="0" t="s">
        <v>654</v>
      </c>
      <c r="B694" s="0" t="s">
        <v>55</v>
      </c>
      <c r="D694" s="14" t="n">
        <f aca="false">D693/C693-1</f>
        <v>0.9721913624985</v>
      </c>
      <c r="E694" s="14" t="n">
        <f aca="false">E693/D693-1</f>
        <v>0.6008423219441</v>
      </c>
      <c r="F694" s="14" t="n">
        <f aca="false">F693/E693-1</f>
        <v>0.290084521232989</v>
      </c>
      <c r="G694" s="14" t="n">
        <f aca="false">G693/F693-1</f>
        <v>0.148164690288053</v>
      </c>
      <c r="H694" s="25" t="n">
        <f aca="false">H693/G693-1</f>
        <v>0.0353345737511215</v>
      </c>
      <c r="I694" s="25" t="n">
        <f aca="false">I693/H693-1</f>
        <v>-0.0116293438718235</v>
      </c>
      <c r="J694" s="25" t="n">
        <f aca="false">J693/I693-1</f>
        <v>-0.0591178344820085</v>
      </c>
    </row>
    <row r="695" customFormat="false" ht="17.15" hidden="false" customHeight="false" outlineLevel="0" collapsed="false">
      <c r="A695" s="3" t="s">
        <v>655</v>
      </c>
      <c r="B695" s="0" t="s">
        <v>55</v>
      </c>
      <c r="C695" s="14" t="n">
        <f aca="false">C690/C667</f>
        <v>0.160105992933804</v>
      </c>
      <c r="D695" s="14" t="n">
        <f aca="false">D690/D667</f>
        <v>0.186872140996471</v>
      </c>
      <c r="E695" s="14" t="n">
        <f aca="false">E690/E667</f>
        <v>0.208690290812759</v>
      </c>
      <c r="F695" s="14" t="n">
        <f aca="false">F690/F667</f>
        <v>0.213936284763946</v>
      </c>
      <c r="G695" s="14" t="n">
        <f aca="false">G690/G667</f>
        <v>0.211485041943363</v>
      </c>
      <c r="H695" s="25" t="n">
        <f aca="false">$G695+(fade_mB-$G695)*1/3</f>
        <v>0.195926706785729</v>
      </c>
      <c r="I695" s="25" t="n">
        <f aca="false">$G695+(fade_mB-$G695)*2/3</f>
        <v>0.180368371628095</v>
      </c>
      <c r="J695" s="25" t="n">
        <f aca="false">$G695+(fade_mB-$G695)*3/3</f>
        <v>0.164810036470462</v>
      </c>
    </row>
    <row r="698" customFormat="false" ht="17.15" hidden="false" customHeight="false" outlineLevel="0" collapsed="false">
      <c r="A698" s="1" t="s">
        <v>1002</v>
      </c>
    </row>
    <row r="699" customFormat="false" ht="17.15" hidden="false" customHeight="false" outlineLevel="0" collapsed="false">
      <c r="A699" s="4" t="s">
        <v>24</v>
      </c>
      <c r="B699" s="4" t="s">
        <v>25</v>
      </c>
      <c r="C699" s="15" t="s">
        <v>494</v>
      </c>
      <c r="D699" s="15" t="s">
        <v>583</v>
      </c>
      <c r="E699" s="15" t="s">
        <v>584</v>
      </c>
      <c r="F699" s="15" t="s">
        <v>585</v>
      </c>
      <c r="G699" s="15" t="s">
        <v>586</v>
      </c>
      <c r="H699" s="15" t="s">
        <v>587</v>
      </c>
      <c r="I699" s="15" t="s">
        <v>588</v>
      </c>
      <c r="J699" s="15" t="s">
        <v>589</v>
      </c>
      <c r="K699" s="4" t="s">
        <v>458</v>
      </c>
    </row>
    <row r="700" customFormat="false" ht="17.15" hidden="false" customHeight="false" outlineLevel="0" collapsed="false">
      <c r="A700" s="5" t="s">
        <v>605</v>
      </c>
    </row>
    <row r="701" customFormat="false" ht="17.15" hidden="false" customHeight="false" outlineLevel="0" collapsed="false">
      <c r="A701" s="0" t="s">
        <v>606</v>
      </c>
      <c r="B701" s="0" t="s">
        <v>35</v>
      </c>
      <c r="D701" s="23" t="n">
        <f aca="false">itc_26*1</f>
        <v>781.872916666666</v>
      </c>
      <c r="E701" s="23" t="n">
        <f aca="false">itc_27*1*mf_lo</f>
        <v>1252.28</v>
      </c>
      <c r="F701" s="23" t="n">
        <f aca="false">itc_28*um28_B*mf_lo</f>
        <v>1269.92888888889</v>
      </c>
      <c r="G701" s="23" t="n">
        <f aca="false">itc_29*um29_B*mf_lo</f>
        <v>1537.06538888889</v>
      </c>
    </row>
    <row r="702" customFormat="false" ht="17.15" hidden="false" customHeight="false" outlineLevel="0" collapsed="false">
      <c r="A702" s="3" t="s">
        <v>607</v>
      </c>
      <c r="B702" s="0" t="s">
        <v>35</v>
      </c>
      <c r="D702" s="23" t="n">
        <f aca="false">itpg_gb*(1-vr26)+itpg_vr*vr26</f>
        <v>33.41403216</v>
      </c>
      <c r="E702" s="23" t="n">
        <f aca="false">itpg_vr</f>
        <v>37.586352</v>
      </c>
      <c r="F702" s="23" t="n">
        <f aca="false">itpg_vr</f>
        <v>37.586352</v>
      </c>
      <c r="G702" s="23" t="n">
        <f aca="false">itpg_vr</f>
        <v>37.586352</v>
      </c>
    </row>
    <row r="703" customFormat="false" ht="17.15" hidden="false" customHeight="false" outlineLevel="0" collapsed="false">
      <c r="A703" s="3" t="s">
        <v>608</v>
      </c>
      <c r="B703" s="0" t="s">
        <v>549</v>
      </c>
      <c r="D703" s="20" t="n">
        <f aca="false">D701/D702</f>
        <v>23.3995380420639</v>
      </c>
      <c r="E703" s="20" t="n">
        <f aca="false">E701/E702</f>
        <v>33.3174126608509</v>
      </c>
      <c r="F703" s="20" t="n">
        <f aca="false">F701/F702</f>
        <v>33.7869684423987</v>
      </c>
      <c r="G703" s="20" t="n">
        <f aca="false">G701/G702</f>
        <v>40.8942423805559</v>
      </c>
    </row>
    <row r="704" customFormat="false" ht="17.15" hidden="false" customHeight="false" outlineLevel="0" collapsed="false">
      <c r="A704" s="3" t="s">
        <v>553</v>
      </c>
      <c r="B704" s="0" t="s">
        <v>96</v>
      </c>
      <c r="D704" s="21" t="n">
        <f aca="false">vg_cmp26</f>
        <v>280</v>
      </c>
      <c r="E704" s="21" t="n">
        <f aca="false">(vg_cmp26+(vg_cmp27-vg_cmp26)*pgwf)</f>
        <v>420</v>
      </c>
      <c r="F704" s="21" t="n">
        <f aca="false">(vg_cmp26+(vg_cmp28-vg_cmp26)*pgwf)</f>
        <v>462</v>
      </c>
      <c r="G704" s="21" t="n">
        <f aca="false">(vg_cmp26+(vg_cmp29-vg_cmp26)*pgwf)</f>
        <v>504</v>
      </c>
    </row>
    <row r="705" customFormat="false" ht="17.15" hidden="false" customHeight="false" outlineLevel="0" collapsed="false">
      <c r="A705" s="3" t="s">
        <v>555</v>
      </c>
      <c r="B705" s="0" t="s">
        <v>96</v>
      </c>
      <c r="D705" s="21" t="n">
        <f aca="false">vg_sw26</f>
        <v>120</v>
      </c>
      <c r="E705" s="21" t="n">
        <f aca="false">(vg_sw26+(vg_sw27-vg_sw26)*pgwf)</f>
        <v>162</v>
      </c>
      <c r="F705" s="21" t="n">
        <f aca="false">(vg_sw26+(vg_sw28-vg_sw26)*pgwf)</f>
        <v>180</v>
      </c>
      <c r="G705" s="21" t="n">
        <f aca="false">(vg_sw26+(vg_sw29-vg_sw26)*pgwf)</f>
        <v>198</v>
      </c>
    </row>
    <row r="706" customFormat="false" ht="17.15" hidden="false" customHeight="false" outlineLevel="0" collapsed="false">
      <c r="A706" s="3" t="s">
        <v>609</v>
      </c>
      <c r="B706" s="0" t="s">
        <v>96</v>
      </c>
      <c r="D706" s="21" t="n">
        <f aca="false">vg_mid26*w_mid</f>
        <v>25</v>
      </c>
      <c r="E706" s="21" t="n">
        <f aca="false">(vg_mid26+(vg_mid27-vg_mid26)*pgwf)*w_mid</f>
        <v>50</v>
      </c>
      <c r="F706" s="21" t="n">
        <f aca="false">(vg_mid26+(vg_mid28-vg_mid26)*pgwf)*w_mid</f>
        <v>75</v>
      </c>
      <c r="G706" s="21" t="n">
        <f aca="false">(vg_mid26+(vg_mid29-vg_mid26)*pgwf)*w_mid</f>
        <v>87.5</v>
      </c>
    </row>
    <row r="707" customFormat="false" ht="17.15" hidden="false" customHeight="false" outlineLevel="0" collapsed="false">
      <c r="A707" s="3" t="s">
        <v>610</v>
      </c>
      <c r="B707" s="0" t="s">
        <v>96</v>
      </c>
      <c r="D707" s="21" t="n">
        <f aca="false">D704+D705+D706</f>
        <v>425</v>
      </c>
      <c r="E707" s="21" t="n">
        <f aca="false">E704+E705+E706</f>
        <v>632</v>
      </c>
      <c r="F707" s="21" t="n">
        <f aca="false">F704+F705+F706</f>
        <v>717</v>
      </c>
      <c r="G707" s="21" t="n">
        <f aca="false">G704+G705+G706</f>
        <v>789.5</v>
      </c>
    </row>
    <row r="708" customFormat="false" ht="17.15" hidden="false" customHeight="false" outlineLevel="0" collapsed="false">
      <c r="A708" s="3" t="s">
        <v>611</v>
      </c>
      <c r="B708" s="0" t="s">
        <v>35</v>
      </c>
      <c r="D708" s="23" t="n">
        <f aca="false">D703*D707/1000</f>
        <v>9.94480366787715</v>
      </c>
      <c r="E708" s="23" t="n">
        <f aca="false">E703*E707/1000</f>
        <v>21.0566048016578</v>
      </c>
      <c r="F708" s="23" t="n">
        <f aca="false">F703*F707/1000</f>
        <v>24.2252563731999</v>
      </c>
      <c r="G708" s="23" t="n">
        <f aca="false">G703*G707/1000</f>
        <v>32.2860043594489</v>
      </c>
    </row>
    <row r="709" customFormat="false" ht="17.15" hidden="false" customHeight="false" outlineLevel="0" collapsed="false">
      <c r="A709" s="3" t="s">
        <v>612</v>
      </c>
      <c r="B709" s="0" t="s">
        <v>203</v>
      </c>
      <c r="D709" s="22" t="n">
        <f aca="false">D708*fx</f>
        <v>318.233717372069</v>
      </c>
      <c r="E709" s="22" t="n">
        <f aca="false">E708*fx</f>
        <v>673.811353653049</v>
      </c>
      <c r="F709" s="22" t="n">
        <f aca="false">F708*fx</f>
        <v>775.208203942396</v>
      </c>
      <c r="G709" s="22" t="n">
        <f aca="false">G708*fx</f>
        <v>1033.15213950236</v>
      </c>
    </row>
    <row r="710" customFormat="false" ht="17.15" hidden="false" customHeight="false" outlineLevel="0" collapsed="false">
      <c r="A710" s="0" t="s">
        <v>613</v>
      </c>
      <c r="B710" s="0" t="s">
        <v>69</v>
      </c>
      <c r="D710" s="18" t="n">
        <f aca="false">1</f>
        <v>1</v>
      </c>
      <c r="E710" s="18" t="n">
        <f aca="false">pp_27</f>
        <v>1</v>
      </c>
      <c r="F710" s="18" t="n">
        <f aca="false">pp_28</f>
        <v>0.97</v>
      </c>
      <c r="G710" s="18" t="n">
        <f aca="false">pp_29</f>
        <v>0.94</v>
      </c>
    </row>
    <row r="711" customFormat="false" ht="17.15" hidden="false" customHeight="false" outlineLevel="0" collapsed="false">
      <c r="A711" s="3" t="s">
        <v>614</v>
      </c>
      <c r="B711" s="0" t="s">
        <v>55</v>
      </c>
      <c r="D711" s="14" t="n">
        <f aca="false">a26_ai/D709</f>
        <v>0.172842024579347</v>
      </c>
      <c r="K711" s="7" t="s">
        <v>615</v>
      </c>
    </row>
    <row r="712" customFormat="false" ht="17.15" hidden="false" customHeight="false" outlineLevel="0" collapsed="false">
      <c r="A712" s="3" t="s">
        <v>616</v>
      </c>
      <c r="B712" s="0" t="s">
        <v>69</v>
      </c>
      <c r="D712" s="18" t="n">
        <f aca="false">1</f>
        <v>1</v>
      </c>
      <c r="E712" s="18" t="n">
        <f aca="false">rel_27</f>
        <v>1</v>
      </c>
      <c r="F712" s="18" t="n">
        <f aca="false">rel_28</f>
        <v>0.95</v>
      </c>
      <c r="G712" s="18" t="n">
        <f aca="false">rel_29</f>
        <v>0.9</v>
      </c>
    </row>
    <row r="713" customFormat="false" ht="15" hidden="false" customHeight="false" outlineLevel="0" collapsed="false">
      <c r="A713" s="3" t="s">
        <v>565</v>
      </c>
      <c r="B713" s="0" t="s">
        <v>55</v>
      </c>
      <c r="D713" s="14" t="n">
        <f aca="false">$D$711*D712</f>
        <v>0.172842024579347</v>
      </c>
      <c r="E713" s="14" t="n">
        <f aca="false">$D$711*E712</f>
        <v>0.172842024579347</v>
      </c>
      <c r="F713" s="14" t="n">
        <f aca="false">$D$711*F712</f>
        <v>0.164199923350379</v>
      </c>
      <c r="G713" s="14" t="n">
        <f aca="false">$D$711*G712</f>
        <v>0.155557822121412</v>
      </c>
    </row>
    <row r="714" customFormat="false" ht="17.15" hidden="false" customHeight="false" outlineLevel="0" collapsed="false">
      <c r="A714" s="0" t="s">
        <v>617</v>
      </c>
      <c r="B714" s="0" t="s">
        <v>203</v>
      </c>
      <c r="D714" s="22" t="n">
        <f aca="false">D709*D713*D710</f>
        <v>55.00416</v>
      </c>
      <c r="E714" s="22" t="n">
        <f aca="false">E709*E713*E710</f>
        <v>116.462918549943</v>
      </c>
      <c r="F714" s="22" t="n">
        <f aca="false">F709*F713*F710</f>
        <v>123.470453837889</v>
      </c>
      <c r="G714" s="22" t="n">
        <f aca="false">G709*G713*G710</f>
        <v>151.072002936601</v>
      </c>
    </row>
    <row r="715" customFormat="false" ht="17.15" hidden="false" customHeight="false" outlineLevel="0" collapsed="false">
      <c r="A715" s="5" t="s">
        <v>618</v>
      </c>
    </row>
    <row r="716" customFormat="false" ht="17.15" hidden="false" customHeight="false" outlineLevel="0" collapsed="false">
      <c r="A716" s="3" t="s">
        <v>619</v>
      </c>
      <c r="B716" s="0" t="s">
        <v>69</v>
      </c>
      <c r="D716" s="18" t="n">
        <f aca="false">1</f>
        <v>1</v>
      </c>
      <c r="E716" s="18" t="n">
        <f aca="false">cx_27</f>
        <v>1.45</v>
      </c>
      <c r="F716" s="18" t="n">
        <f aca="false">cx_28</f>
        <v>1.9</v>
      </c>
      <c r="G716" s="18" t="n">
        <f aca="false">cx_29</f>
        <v>2.3</v>
      </c>
      <c r="K716" s="7" t="s">
        <v>620</v>
      </c>
    </row>
    <row r="717" customFormat="false" ht="17.15" hidden="false" customHeight="false" outlineLevel="0" collapsed="false">
      <c r="A717" s="3" t="s">
        <v>621</v>
      </c>
      <c r="B717" s="0" t="s">
        <v>203</v>
      </c>
      <c r="D717" s="22" t="n">
        <f aca="false">a26_rev*D716*D710</f>
        <v>105.40752</v>
      </c>
      <c r="E717" s="22" t="n">
        <f aca="false">a26_rev*E716*E710</f>
        <v>152.840904</v>
      </c>
      <c r="F717" s="22" t="n">
        <f aca="false">a26_rev*F716*F710</f>
        <v>194.26605936</v>
      </c>
      <c r="G717" s="22" t="n">
        <f aca="false">a26_rev*G716*G710</f>
        <v>227.89105824</v>
      </c>
    </row>
    <row r="718" customFormat="false" ht="17.15" hidden="false" customHeight="false" outlineLevel="0" collapsed="false">
      <c r="A718" s="3" t="s">
        <v>622</v>
      </c>
      <c r="B718" s="0" t="s">
        <v>203</v>
      </c>
      <c r="C718" s="22" t="n">
        <f aca="false">a25_nai</f>
        <v>42.0028</v>
      </c>
      <c r="D718" s="22" t="n">
        <f aca="false">a26_nai</f>
        <v>50.40336</v>
      </c>
      <c r="E718" s="22" t="n">
        <f aca="false">D718*(1+g_nai27)</f>
        <v>52.923528</v>
      </c>
      <c r="F718" s="22" t="n">
        <f aca="false">E718*(1+g_nai28)</f>
        <v>54.51123384</v>
      </c>
      <c r="G718" s="22" t="n">
        <f aca="false">F718*(1+g_nai29)</f>
        <v>56.1465708552</v>
      </c>
    </row>
    <row r="719" customFormat="false" ht="17.15" hidden="false" customHeight="false" outlineLevel="0" collapsed="false">
      <c r="A719" s="0" t="s">
        <v>623</v>
      </c>
      <c r="B719" s="0" t="s">
        <v>203</v>
      </c>
      <c r="C719" s="22" t="n">
        <f aca="false">a25_ai</f>
        <v>18.0012</v>
      </c>
      <c r="D719" s="22" t="n">
        <f aca="false">D714</f>
        <v>55.00416</v>
      </c>
      <c r="E719" s="22" t="n">
        <f aca="false">MIN(E714,E717-E718)</f>
        <v>99.917376</v>
      </c>
      <c r="F719" s="22" t="n">
        <f aca="false">MIN(F714,F717-F718)</f>
        <v>123.470453837889</v>
      </c>
      <c r="G719" s="22" t="n">
        <f aca="false">MIN(G714,G717-G718)</f>
        <v>151.072002936601</v>
      </c>
      <c r="K719" s="3" t="s">
        <v>624</v>
      </c>
    </row>
    <row r="720" customFormat="false" ht="15" hidden="false" customHeight="false" outlineLevel="0" collapsed="false">
      <c r="A720" s="3" t="s">
        <v>625</v>
      </c>
      <c r="E720" s="0" t="str">
        <f aca="false">IF(E714&gt;E717-E718+0.0001,"受限","未受限")</f>
        <v>受限</v>
      </c>
      <c r="F720" s="0" t="str">
        <f aca="false">IF(F714&gt;F717-F718+0.0001,"受限","未受限")</f>
        <v>未受限</v>
      </c>
      <c r="G720" s="0" t="str">
        <f aca="false">IF(G714&gt;G717-G718+0.0001,"受限","未受限")</f>
        <v>未受限</v>
      </c>
    </row>
    <row r="721" customFormat="false" ht="17.15" hidden="false" customHeight="false" outlineLevel="0" collapsed="false">
      <c r="A721" s="3" t="s">
        <v>499</v>
      </c>
      <c r="B721" s="0" t="s">
        <v>203</v>
      </c>
      <c r="C721" s="22" t="n">
        <f aca="false">C719+C718</f>
        <v>60.004</v>
      </c>
      <c r="D721" s="22" t="n">
        <f aca="false">D719+D718</f>
        <v>105.40752</v>
      </c>
      <c r="E721" s="22" t="n">
        <f aca="false">E719+E718</f>
        <v>152.840904</v>
      </c>
      <c r="F721" s="22" t="n">
        <f aca="false">F719+F718</f>
        <v>177.981687677889</v>
      </c>
      <c r="G721" s="22" t="n">
        <f aca="false">G719+G718</f>
        <v>207.218573791801</v>
      </c>
      <c r="H721" s="24" t="n">
        <f aca="false">G721*(1+H722)</f>
        <v>232.674556224372</v>
      </c>
      <c r="I721" s="24" t="n">
        <f aca="false">H721*(1+I722)</f>
        <v>251.619621958636</v>
      </c>
      <c r="J721" s="24" t="n">
        <f aca="false">I721*(1+J722)</f>
        <v>261.684406836982</v>
      </c>
      <c r="K721" s="7" t="s">
        <v>626</v>
      </c>
    </row>
    <row r="722" customFormat="false" ht="15" hidden="false" customHeight="false" outlineLevel="0" collapsed="false">
      <c r="A722" s="3" t="s">
        <v>627</v>
      </c>
      <c r="B722" s="0" t="s">
        <v>55</v>
      </c>
      <c r="D722" s="14" t="n">
        <f aca="false">D721/C721-1</f>
        <v>0.756674888340778</v>
      </c>
      <c r="E722" s="14" t="n">
        <f aca="false">E721/D721-1</f>
        <v>0.45</v>
      </c>
      <c r="F722" s="14" t="n">
        <f aca="false">F721/E721-1</f>
        <v>0.164489891252468</v>
      </c>
      <c r="G722" s="14" t="n">
        <f aca="false">G721/F721-1</f>
        <v>0.164269068887722</v>
      </c>
      <c r="H722" s="25" t="n">
        <f aca="false">$G722+(fade_gB-$G722)*1/3</f>
        <v>0.122846045925148</v>
      </c>
      <c r="I722" s="25" t="n">
        <f aca="false">$G722+(fade_gB-$G722)*2/3</f>
        <v>0.0814230229625739</v>
      </c>
      <c r="J722" s="25" t="n">
        <f aca="false">$G722+(fade_gB-$G722)*3/3</f>
        <v>0.04</v>
      </c>
    </row>
    <row r="723" customFormat="false" ht="17.15" hidden="false" customHeight="false" outlineLevel="0" collapsed="false">
      <c r="A723" s="3" t="s">
        <v>628</v>
      </c>
      <c r="B723" s="0" t="s">
        <v>203</v>
      </c>
      <c r="D723" s="22" t="n">
        <f aca="false">D719*(D704+D706)/D707</f>
        <v>39.4735736470588</v>
      </c>
      <c r="E723" s="22" t="n">
        <f aca="false">E719*(E704+E706)/E707</f>
        <v>74.3056435443038</v>
      </c>
      <c r="F723" s="22" t="n">
        <f aca="false">F719*(F704+F706)/F707</f>
        <v>92.4736871840256</v>
      </c>
      <c r="G723" s="22" t="n">
        <f aca="false">G719*(G704+G706)/G707</f>
        <v>113.184407519949</v>
      </c>
      <c r="K723" s="7" t="s">
        <v>629</v>
      </c>
    </row>
    <row r="724" customFormat="false" ht="17.15" hidden="false" customHeight="false" outlineLevel="0" collapsed="false">
      <c r="A724" s="3" t="s">
        <v>630</v>
      </c>
      <c r="B724" s="0" t="s">
        <v>203</v>
      </c>
      <c r="D724" s="22" t="n">
        <f aca="false">D719*D705/D707</f>
        <v>15.5305863529412</v>
      </c>
      <c r="E724" s="22" t="n">
        <f aca="false">E719*E705/E707</f>
        <v>25.6117324556962</v>
      </c>
      <c r="F724" s="22" t="n">
        <f aca="false">F719*F705/F707</f>
        <v>30.9967666538633</v>
      </c>
      <c r="G724" s="22" t="n">
        <f aca="false">G719*G705/G707</f>
        <v>37.8875954166523</v>
      </c>
    </row>
    <row r="725" customFormat="false" ht="17.15" hidden="false" customHeight="false" outlineLevel="0" collapsed="false">
      <c r="A725" s="3" t="s">
        <v>631</v>
      </c>
      <c r="B725" s="0" t="s">
        <v>203</v>
      </c>
      <c r="D725" s="22" t="n">
        <f aca="false">srv26*D721-D723</f>
        <v>42.7442919529412</v>
      </c>
      <c r="E725" s="22" t="n">
        <f aca="false">E718*$D725/$D718</f>
        <v>44.8815065505883</v>
      </c>
      <c r="F725" s="22" t="n">
        <f aca="false">F718*$D725/$D718</f>
        <v>46.2279517471059</v>
      </c>
      <c r="G725" s="22" t="n">
        <f aca="false">G718*$D725/$D718</f>
        <v>47.6147902995191</v>
      </c>
      <c r="K725" s="7" t="s">
        <v>632</v>
      </c>
    </row>
    <row r="726" customFormat="false" ht="17.15" hidden="false" customHeight="false" outlineLevel="0" collapsed="false">
      <c r="A726" s="3" t="s">
        <v>633</v>
      </c>
      <c r="B726" s="0" t="s">
        <v>203</v>
      </c>
      <c r="D726" s="22" t="n">
        <f aca="false">net26*D721-D724</f>
        <v>0.28054164705882</v>
      </c>
      <c r="E726" s="22" t="n">
        <f aca="false">E718*$D726/$D718</f>
        <v>0.294568729411761</v>
      </c>
      <c r="F726" s="22" t="n">
        <f aca="false">F718*$D726/$D718</f>
        <v>0.303405791294114</v>
      </c>
      <c r="G726" s="22" t="n">
        <f aca="false">G718*$D726/$D718</f>
        <v>0.312507965032938</v>
      </c>
    </row>
    <row r="727" customFormat="false" ht="17.15" hidden="false" customHeight="false" outlineLevel="0" collapsed="false">
      <c r="A727" s="3" t="s">
        <v>634</v>
      </c>
      <c r="B727" s="0" t="s">
        <v>203</v>
      </c>
      <c r="C727" s="22" t="n">
        <f aca="false">srv25*C721</f>
        <v>48.0032</v>
      </c>
      <c r="D727" s="22" t="n">
        <f aca="false">D723+D725</f>
        <v>82.2178656</v>
      </c>
      <c r="E727" s="22" t="n">
        <f aca="false">E723+E725</f>
        <v>119.187150094892</v>
      </c>
      <c r="F727" s="22" t="n">
        <f aca="false">F723+F725</f>
        <v>138.701638931131</v>
      </c>
      <c r="G727" s="22" t="n">
        <f aca="false">G723+G725</f>
        <v>160.799197819468</v>
      </c>
      <c r="K727" s="3" t="s">
        <v>635</v>
      </c>
    </row>
    <row r="728" customFormat="false" ht="15" hidden="false" customHeight="false" outlineLevel="0" collapsed="false">
      <c r="A728" s="3" t="s">
        <v>636</v>
      </c>
      <c r="B728" s="0" t="s">
        <v>203</v>
      </c>
      <c r="C728" s="22" t="n">
        <f aca="false">net25*C721</f>
        <v>6.0004</v>
      </c>
      <c r="D728" s="22" t="n">
        <f aca="false">D724+D726</f>
        <v>15.811128</v>
      </c>
      <c r="E728" s="22" t="n">
        <f aca="false">E724+E726</f>
        <v>25.906301185108</v>
      </c>
      <c r="F728" s="22" t="n">
        <f aca="false">F724+F726</f>
        <v>31.3001724451574</v>
      </c>
      <c r="G728" s="22" t="n">
        <f aca="false">G724+G726</f>
        <v>38.2001033816853</v>
      </c>
      <c r="K728" s="3" t="s">
        <v>637</v>
      </c>
    </row>
    <row r="729" customFormat="false" ht="15" hidden="false" customHeight="false" outlineLevel="0" collapsed="false">
      <c r="A729" s="3" t="s">
        <v>638</v>
      </c>
      <c r="B729" s="0" t="s">
        <v>203</v>
      </c>
      <c r="C729" s="22" t="n">
        <f aca="false">C721-C727-C728</f>
        <v>6.0004</v>
      </c>
      <c r="D729" s="22" t="n">
        <f aca="false">D721-D727-D728</f>
        <v>7.3785264</v>
      </c>
      <c r="E729" s="22" t="n">
        <f aca="false">E721-E727-E728</f>
        <v>7.74745271999998</v>
      </c>
      <c r="F729" s="22" t="n">
        <f aca="false">F721-F727-F728</f>
        <v>7.97987630160003</v>
      </c>
      <c r="G729" s="22" t="n">
        <f aca="false">G721-G727-G728</f>
        <v>8.219272590648</v>
      </c>
      <c r="K729" s="3" t="s">
        <v>639</v>
      </c>
    </row>
    <row r="730" customFormat="false" ht="17.15" hidden="false" customHeight="false" outlineLevel="0" collapsed="false">
      <c r="A730" s="3" t="s">
        <v>640</v>
      </c>
      <c r="B730" s="0" t="s">
        <v>203</v>
      </c>
      <c r="C730" s="28" t="n">
        <f aca="false">C727+C728+C729-C721</f>
        <v>0</v>
      </c>
      <c r="D730" s="28" t="n">
        <f aca="false">ROUND(D725+D726+D729-D718,9)</f>
        <v>0</v>
      </c>
      <c r="E730" s="28" t="n">
        <f aca="false">ROUND(E725+E726+E729-E718,9)</f>
        <v>0</v>
      </c>
      <c r="F730" s="28" t="n">
        <f aca="false">ROUND(F725+F726+F729-F718,9)</f>
        <v>0</v>
      </c>
      <c r="G730" s="28" t="n">
        <f aca="false">ROUND(G725+G726+G729-G718,9)</f>
        <v>0</v>
      </c>
    </row>
    <row r="731" customFormat="false" ht="17.15" hidden="false" customHeight="false" outlineLevel="0" collapsed="false">
      <c r="A731" s="0" t="s">
        <v>641</v>
      </c>
      <c r="B731" s="0" t="s">
        <v>55</v>
      </c>
      <c r="C731" s="14" t="n">
        <f aca="false">C719/C721</f>
        <v>0.3</v>
      </c>
      <c r="D731" s="14" t="n">
        <f aca="false">D719/D721</f>
        <v>0.521823869871903</v>
      </c>
      <c r="E731" s="14" t="n">
        <f aca="false">E719/E721</f>
        <v>0.653734526458964</v>
      </c>
      <c r="F731" s="14" t="n">
        <f aca="false">F719/F721</f>
        <v>0.69372560429557</v>
      </c>
      <c r="G731" s="14" t="n">
        <f aca="false">G719/G721</f>
        <v>0.729046630194395</v>
      </c>
    </row>
    <row r="732" customFormat="false" ht="17.15" hidden="false" customHeight="false" outlineLevel="0" collapsed="false">
      <c r="A732" s="3" t="s">
        <v>642</v>
      </c>
      <c r="B732" s="0" t="s">
        <v>55</v>
      </c>
      <c r="D732" s="14" t="n">
        <f aca="false">(D714+D718)/D717</f>
        <v>1</v>
      </c>
      <c r="E732" s="14" t="n">
        <f aca="false">(E714+E718)/E717</f>
        <v>1.1082533675013</v>
      </c>
      <c r="F732" s="14" t="n">
        <f aca="false">(F714+F718)/F717</f>
        <v>0.916174900876874</v>
      </c>
      <c r="G732" s="14" t="n">
        <f aca="false">(G714+G718)/G717</f>
        <v>0.909287864965601</v>
      </c>
      <c r="K732" s="3" t="s">
        <v>643</v>
      </c>
    </row>
    <row r="733" customFormat="false" ht="17.15" hidden="false" customHeight="false" outlineLevel="0" collapsed="false">
      <c r="A733" s="3" t="s">
        <v>569</v>
      </c>
      <c r="B733" s="0" t="s">
        <v>96</v>
      </c>
      <c r="D733" s="21" t="n">
        <f aca="false">D719/fx/D703*1000</f>
        <v>73.4578604462224</v>
      </c>
      <c r="E733" s="21" t="n">
        <f aca="false">E719/fx/E703*1000</f>
        <v>93.7173012737854</v>
      </c>
      <c r="F733" s="21" t="n">
        <f aca="false">F719/fx/F703*1000</f>
        <v>114.199404690955</v>
      </c>
      <c r="G733" s="21" t="n">
        <f aca="false">G719/fx/G703*1000</f>
        <v>115.444126530964</v>
      </c>
    </row>
    <row r="734" customFormat="false" ht="17.15" hidden="false" customHeight="false" outlineLevel="0" collapsed="false">
      <c r="A734" s="5" t="s">
        <v>644</v>
      </c>
    </row>
    <row r="735" customFormat="false" ht="17.15" hidden="false" customHeight="false" outlineLevel="0" collapsed="false">
      <c r="A735" s="3" t="s">
        <v>645</v>
      </c>
      <c r="B735" s="0" t="s">
        <v>55</v>
      </c>
      <c r="D735" s="14" t="n">
        <f aca="false">a26_gp/D721-d_ai*D731</f>
        <v>0.296655205435058</v>
      </c>
      <c r="K735" s="7" t="s">
        <v>646</v>
      </c>
    </row>
    <row r="736" customFormat="false" ht="17.15" hidden="false" customHeight="false" outlineLevel="0" collapsed="false">
      <c r="A736" s="0" t="s">
        <v>647</v>
      </c>
      <c r="B736" s="0" t="s">
        <v>55</v>
      </c>
      <c r="D736" s="14" t="n">
        <f aca="false">D735+d_ai</f>
        <v>0.396655205435058</v>
      </c>
      <c r="E736" s="14" t="n">
        <f aca="false">1-(1-$D$736)/E710+gmu_27</f>
        <v>0.406655205435058</v>
      </c>
      <c r="F736" s="14" t="n">
        <f aca="false">1-(1-$D$736)/F710+gmu_28</f>
        <v>0.392995057149545</v>
      </c>
      <c r="G736" s="14" t="n">
        <f aca="false">1-(1-$D$736)/G710+gmu_29</f>
        <v>0.378143835569211</v>
      </c>
      <c r="K736" s="7" t="s">
        <v>648</v>
      </c>
    </row>
    <row r="737" customFormat="false" ht="15" hidden="false" customHeight="false" outlineLevel="0" collapsed="false">
      <c r="A737" s="3" t="s">
        <v>503</v>
      </c>
      <c r="B737" s="0" t="s">
        <v>203</v>
      </c>
      <c r="C737" s="22" t="n">
        <f aca="false">a25_gp</f>
        <v>19.683</v>
      </c>
      <c r="D737" s="22" t="n">
        <f aca="false">a26_gp</f>
        <v>36.7701055</v>
      </c>
      <c r="E737" s="22" t="n">
        <f aca="false">E719*E736+E718*$D$735</f>
        <v>56.331961135</v>
      </c>
      <c r="F737" s="22" t="n">
        <f aca="false">F719*F736+F718*$D$735</f>
        <v>64.6943193356251</v>
      </c>
      <c r="G737" s="22" t="n">
        <f aca="false">G719*G736+G718*$D$735</f>
        <v>73.7831191490928</v>
      </c>
    </row>
    <row r="738" customFormat="false" ht="15" hidden="false" customHeight="false" outlineLevel="0" collapsed="false">
      <c r="A738" s="3" t="s">
        <v>506</v>
      </c>
      <c r="B738" s="0" t="s">
        <v>55</v>
      </c>
      <c r="C738" s="14" t="n">
        <f aca="false">C737/C721</f>
        <v>0.328028131457903</v>
      </c>
      <c r="D738" s="14" t="n">
        <f aca="false">D737/D721</f>
        <v>0.348837592422248</v>
      </c>
      <c r="E738" s="14" t="n">
        <f aca="false">E737/E721</f>
        <v>0.368566003345544</v>
      </c>
      <c r="F738" s="14" t="n">
        <f aca="false">F737/F721</f>
        <v>0.363488627283436</v>
      </c>
      <c r="G738" s="14" t="n">
        <f aca="false">G737/G721</f>
        <v>0.35606421663352</v>
      </c>
    </row>
    <row r="739" customFormat="false" ht="15" hidden="false" customHeight="false" outlineLevel="0" collapsed="false">
      <c r="A739" s="3" t="s">
        <v>649</v>
      </c>
      <c r="B739" s="0" t="s">
        <v>203</v>
      </c>
      <c r="C739" s="22" t="n">
        <f aca="false">a25_opx</f>
        <v>5.64</v>
      </c>
      <c r="D739" s="22" t="n">
        <f aca="false">a26_opx</f>
        <v>8.4779754</v>
      </c>
      <c r="E739" s="22" t="n">
        <f aca="false">D739*(1+MAX(0,phi*E722))</f>
        <v>10.767028758</v>
      </c>
      <c r="F739" s="22" t="n">
        <f aca="false">E739*(1+MAX(0,phi*F722))</f>
        <v>11.8296691917094</v>
      </c>
      <c r="G739" s="22" t="n">
        <f aca="false">F739*(1+MAX(0,phi*G722))</f>
        <v>12.9956184377325</v>
      </c>
    </row>
    <row r="740" customFormat="false" ht="15" hidden="false" customHeight="false" outlineLevel="0" collapsed="false">
      <c r="A740" s="3" t="s">
        <v>508</v>
      </c>
      <c r="B740" s="0" t="s">
        <v>203</v>
      </c>
      <c r="C740" s="22" t="n">
        <f aca="false">C739</f>
        <v>5.64</v>
      </c>
      <c r="D740" s="22" t="n">
        <f aca="false">D739</f>
        <v>8.4779754</v>
      </c>
      <c r="E740" s="22" t="n">
        <f aca="false">E739+0*E721</f>
        <v>10.767028758</v>
      </c>
      <c r="F740" s="22" t="n">
        <f aca="false">F739+0*F721</f>
        <v>11.8296691917094</v>
      </c>
      <c r="G740" s="22" t="n">
        <f aca="false">G739+0*G721</f>
        <v>12.9956184377325</v>
      </c>
    </row>
    <row r="741" customFormat="false" ht="15" hidden="false" customHeight="false" outlineLevel="0" collapsed="false">
      <c r="A741" s="3" t="s">
        <v>650</v>
      </c>
      <c r="B741" s="0" t="s">
        <v>203</v>
      </c>
      <c r="C741" s="22" t="n">
        <f aca="false">C737-C740</f>
        <v>14.043</v>
      </c>
      <c r="D741" s="22" t="n">
        <f aca="false">D737-D740</f>
        <v>28.2921301</v>
      </c>
      <c r="E741" s="22" t="n">
        <f aca="false">E737-E740</f>
        <v>45.564932377</v>
      </c>
      <c r="F741" s="22" t="n">
        <f aca="false">F737-F740</f>
        <v>52.8646501439157</v>
      </c>
      <c r="G741" s="22" t="n">
        <f aca="false">G737-G740</f>
        <v>60.7875007113603</v>
      </c>
    </row>
    <row r="742" customFormat="false" ht="15" hidden="false" customHeight="false" outlineLevel="0" collapsed="false">
      <c r="A742" s="3" t="s">
        <v>514</v>
      </c>
      <c r="B742" s="0" t="s">
        <v>55</v>
      </c>
      <c r="C742" s="14" t="n">
        <f aca="false">C741/C721</f>
        <v>0.23403439770682</v>
      </c>
      <c r="D742" s="14" t="n">
        <f aca="false">D741/D721</f>
        <v>0.268407131673338</v>
      </c>
      <c r="E742" s="14" t="n">
        <f aca="false">E741/E721</f>
        <v>0.298120013586154</v>
      </c>
      <c r="F742" s="14" t="n">
        <f aca="false">F741/F721</f>
        <v>0.297022973731939</v>
      </c>
      <c r="G742" s="14" t="n">
        <f aca="false">G741/G721</f>
        <v>0.293349672276171</v>
      </c>
    </row>
    <row r="743" customFormat="false" ht="17.15" hidden="false" customHeight="false" outlineLevel="0" collapsed="false">
      <c r="A743" s="3" t="s">
        <v>515</v>
      </c>
      <c r="B743" s="0" t="s">
        <v>203</v>
      </c>
      <c r="E743" s="22" t="n">
        <f aca="false">nop_f</f>
        <v>0</v>
      </c>
      <c r="F743" s="22" t="n">
        <f aca="false">nop_f</f>
        <v>0</v>
      </c>
      <c r="G743" s="22" t="n">
        <f aca="false">nop_f</f>
        <v>0</v>
      </c>
      <c r="K743" s="7" t="s">
        <v>651</v>
      </c>
    </row>
    <row r="744" customFormat="false" ht="15" hidden="false" customHeight="false" outlineLevel="0" collapsed="false">
      <c r="A744" s="3" t="s">
        <v>520</v>
      </c>
      <c r="B744" s="0" t="s">
        <v>203</v>
      </c>
      <c r="C744" s="22" t="n">
        <f aca="false">a25_ni</f>
        <v>9.607</v>
      </c>
      <c r="D744" s="22" t="n">
        <f aca="false">a26_ni</f>
        <v>19.6977289395284</v>
      </c>
      <c r="E744" s="22" t="n">
        <f aca="false">(E741+E743)*nir_f</f>
        <v>31.211978678245</v>
      </c>
      <c r="F744" s="22" t="n">
        <f aca="false">(F741+F743)*nir_f</f>
        <v>36.2122853485822</v>
      </c>
      <c r="G744" s="22" t="n">
        <f aca="false">(G741+G743)*nir_f</f>
        <v>41.6394379872818</v>
      </c>
      <c r="H744" s="24" t="n">
        <f aca="false">H721*H749</f>
        <v>43.9521528980723</v>
      </c>
      <c r="I744" s="24" t="n">
        <f aca="false">I721*I749</f>
        <v>44.5001545622166</v>
      </c>
      <c r="J744" s="24" t="n">
        <f aca="false">J721*J749</f>
        <v>43.1282166345541</v>
      </c>
    </row>
    <row r="745" customFormat="false" ht="17.15" hidden="false" customHeight="false" outlineLevel="0" collapsed="false">
      <c r="A745" s="3" t="s">
        <v>523</v>
      </c>
      <c r="B745" s="0" t="s">
        <v>55</v>
      </c>
      <c r="C745" s="14" t="n">
        <f aca="false">C744/C741</f>
        <v>0.684113081250445</v>
      </c>
      <c r="D745" s="14" t="n">
        <f aca="false">D744/D741</f>
        <v>0.696226437171953</v>
      </c>
      <c r="E745" s="14" t="n">
        <f aca="false">E744/E741</f>
        <v>0.685</v>
      </c>
      <c r="F745" s="14" t="n">
        <f aca="false">F744/F741</f>
        <v>0.685</v>
      </c>
      <c r="G745" s="14" t="n">
        <f aca="false">G744/G741</f>
        <v>0.685</v>
      </c>
    </row>
    <row r="746" customFormat="false" ht="17.15" hidden="false" customHeight="false" outlineLevel="0" collapsed="false">
      <c r="A746" s="3" t="s">
        <v>652</v>
      </c>
      <c r="B746" s="3" t="s">
        <v>233</v>
      </c>
      <c r="C746" s="27" t="n">
        <f aca="false">a25_sh</f>
        <v>0.493425783256292</v>
      </c>
      <c r="D746" s="27" t="n">
        <f aca="false">a26_sh</f>
        <v>0.512980850061958</v>
      </c>
      <c r="E746" s="27" t="n">
        <f aca="false">sh_h2*(1+sh_g)</f>
        <v>0.51889356</v>
      </c>
      <c r="F746" s="27" t="n">
        <f aca="false">E746*(1+sh_g)</f>
        <v>0.5240824956</v>
      </c>
      <c r="G746" s="27" t="n">
        <f aca="false">F746*(1+sh_g)</f>
        <v>0.529323320556</v>
      </c>
      <c r="H746" s="29" t="n">
        <f aca="false">G746*(1+sh_g)</f>
        <v>0.53461655376156</v>
      </c>
      <c r="I746" s="29" t="n">
        <f aca="false">H746*(1+sh_g)</f>
        <v>0.539962719299176</v>
      </c>
      <c r="J746" s="29" t="n">
        <f aca="false">I746*(1+sh_g)</f>
        <v>0.545362346492167</v>
      </c>
      <c r="K746" s="7" t="s">
        <v>653</v>
      </c>
    </row>
    <row r="747" customFormat="false" ht="15" hidden="false" customHeight="false" outlineLevel="0" collapsed="false">
      <c r="A747" s="0" t="s">
        <v>526</v>
      </c>
      <c r="B747" s="0" t="s">
        <v>271</v>
      </c>
      <c r="C747" s="23" t="n">
        <f aca="false">C744/C746</f>
        <v>19.47</v>
      </c>
      <c r="D747" s="23" t="n">
        <f aca="false">D744/D746</f>
        <v>38.3985658278458</v>
      </c>
      <c r="E747" s="23" t="n">
        <f aca="false">E744/E746</f>
        <v>60.1510234165269</v>
      </c>
      <c r="F747" s="23" t="n">
        <f aca="false">F744/F746</f>
        <v>69.0965366189617</v>
      </c>
      <c r="G747" s="23" t="n">
        <f aca="false">G744/G746</f>
        <v>78.6654136899615</v>
      </c>
      <c r="H747" s="30" t="n">
        <f aca="false">H744/H746</f>
        <v>82.2124803072878</v>
      </c>
      <c r="I747" s="30" t="n">
        <f aca="false">I744/I746</f>
        <v>82.4133833164888</v>
      </c>
      <c r="J747" s="30" t="n">
        <f aca="false">J744/J746</f>
        <v>79.0817644671651</v>
      </c>
    </row>
    <row r="748" customFormat="false" ht="17.15" hidden="false" customHeight="false" outlineLevel="0" collapsed="false">
      <c r="A748" s="0" t="s">
        <v>654</v>
      </c>
      <c r="B748" s="0" t="s">
        <v>55</v>
      </c>
      <c r="D748" s="14" t="n">
        <f aca="false">D747/C747-1</f>
        <v>0.9721913624985</v>
      </c>
      <c r="E748" s="14" t="n">
        <f aca="false">E747/D747-1</f>
        <v>0.566491407158407</v>
      </c>
      <c r="F748" s="14" t="n">
        <f aca="false">F747/E747-1</f>
        <v>0.148717556150125</v>
      </c>
      <c r="G748" s="14" t="n">
        <f aca="false">G747/F747-1</f>
        <v>0.138485625173488</v>
      </c>
      <c r="H748" s="25" t="n">
        <f aca="false">H747/G747-1</f>
        <v>0.0450905480686354</v>
      </c>
      <c r="I748" s="25" t="n">
        <f aca="false">I747/H747-1</f>
        <v>0.00244370451359832</v>
      </c>
      <c r="J748" s="25" t="n">
        <f aca="false">J747/I747-1</f>
        <v>-0.0404257016913066</v>
      </c>
    </row>
    <row r="749" customFormat="false" ht="17.15" hidden="false" customHeight="false" outlineLevel="0" collapsed="false">
      <c r="A749" s="3" t="s">
        <v>655</v>
      </c>
      <c r="B749" s="0" t="s">
        <v>55</v>
      </c>
      <c r="C749" s="14" t="n">
        <f aca="false">C744/C721</f>
        <v>0.160105992933804</v>
      </c>
      <c r="D749" s="14" t="n">
        <f aca="false">D744/D721</f>
        <v>0.186872140996471</v>
      </c>
      <c r="E749" s="14" t="n">
        <f aca="false">E744/E721</f>
        <v>0.204212209306515</v>
      </c>
      <c r="F749" s="14" t="n">
        <f aca="false">F744/F721</f>
        <v>0.203460737006378</v>
      </c>
      <c r="G749" s="14" t="n">
        <f aca="false">G744/G721</f>
        <v>0.200944525509177</v>
      </c>
      <c r="H749" s="25" t="n">
        <f aca="false">$G749+(fade_mB-$G749)*1/3</f>
        <v>0.188899695829605</v>
      </c>
      <c r="I749" s="25" t="n">
        <f aca="false">$G749+(fade_mB-$G749)*2/3</f>
        <v>0.176854866150033</v>
      </c>
      <c r="J749" s="25" t="n">
        <f aca="false">$G749+(fade_mB-$G749)*3/3</f>
        <v>0.164810036470462</v>
      </c>
    </row>
    <row r="752" customFormat="false" ht="17.15" hidden="false" customHeight="false" outlineLevel="0" collapsed="false">
      <c r="A752" s="1" t="s">
        <v>1003</v>
      </c>
    </row>
    <row r="753" customFormat="false" ht="17.15" hidden="false" customHeight="false" outlineLevel="0" collapsed="false">
      <c r="A753" s="4" t="s">
        <v>24</v>
      </c>
      <c r="B753" s="4" t="s">
        <v>25</v>
      </c>
      <c r="C753" s="15" t="s">
        <v>494</v>
      </c>
      <c r="D753" s="15" t="s">
        <v>583</v>
      </c>
      <c r="E753" s="15" t="s">
        <v>584</v>
      </c>
      <c r="F753" s="15" t="s">
        <v>585</v>
      </c>
      <c r="G753" s="15" t="s">
        <v>586</v>
      </c>
      <c r="H753" s="15" t="s">
        <v>587</v>
      </c>
      <c r="I753" s="15" t="s">
        <v>588</v>
      </c>
      <c r="J753" s="15" t="s">
        <v>589</v>
      </c>
      <c r="K753" s="4" t="s">
        <v>458</v>
      </c>
    </row>
    <row r="754" customFormat="false" ht="17.15" hidden="false" customHeight="false" outlineLevel="0" collapsed="false">
      <c r="A754" s="5" t="s">
        <v>605</v>
      </c>
    </row>
    <row r="755" customFormat="false" ht="17.15" hidden="false" customHeight="false" outlineLevel="0" collapsed="false">
      <c r="A755" s="0" t="s">
        <v>606</v>
      </c>
      <c r="B755" s="0" t="s">
        <v>35</v>
      </c>
      <c r="D755" s="23" t="n">
        <f aca="false">itc_26*1</f>
        <v>781.872916666666</v>
      </c>
      <c r="E755" s="23" t="n">
        <f aca="false">itc_27*1*mf_hi</f>
        <v>1878.42</v>
      </c>
      <c r="F755" s="23" t="n">
        <f aca="false">itc_28*um28_B*mf_hi</f>
        <v>1904.89333333333</v>
      </c>
      <c r="G755" s="23" t="n">
        <f aca="false">itc_29*um29_B*mf_hi</f>
        <v>2305.59808333334</v>
      </c>
    </row>
    <row r="756" customFormat="false" ht="17.15" hidden="false" customHeight="false" outlineLevel="0" collapsed="false">
      <c r="A756" s="3" t="s">
        <v>607</v>
      </c>
      <c r="B756" s="0" t="s">
        <v>35</v>
      </c>
      <c r="D756" s="23" t="n">
        <f aca="false">itpg_gb*(1-vr26)+itpg_vr*vr26</f>
        <v>33.41403216</v>
      </c>
      <c r="E756" s="23" t="n">
        <f aca="false">itpg_vr</f>
        <v>37.586352</v>
      </c>
      <c r="F756" s="23" t="n">
        <f aca="false">itpg_vr</f>
        <v>37.586352</v>
      </c>
      <c r="G756" s="23" t="n">
        <f aca="false">itpg_vr</f>
        <v>37.586352</v>
      </c>
    </row>
    <row r="757" customFormat="false" ht="17.15" hidden="false" customHeight="false" outlineLevel="0" collapsed="false">
      <c r="A757" s="3" t="s">
        <v>608</v>
      </c>
      <c r="B757" s="0" t="s">
        <v>549</v>
      </c>
      <c r="D757" s="20" t="n">
        <f aca="false">D755/D756</f>
        <v>23.3995380420639</v>
      </c>
      <c r="E757" s="20" t="n">
        <f aca="false">E755/E756</f>
        <v>49.9761189912764</v>
      </c>
      <c r="F757" s="20" t="n">
        <f aca="false">F755/F756</f>
        <v>50.6804526635981</v>
      </c>
      <c r="G757" s="20" t="n">
        <f aca="false">G755/G756</f>
        <v>61.3413635708338</v>
      </c>
    </row>
    <row r="758" customFormat="false" ht="17.15" hidden="false" customHeight="false" outlineLevel="0" collapsed="false">
      <c r="A758" s="3" t="s">
        <v>553</v>
      </c>
      <c r="B758" s="0" t="s">
        <v>96</v>
      </c>
      <c r="D758" s="21" t="n">
        <f aca="false">vg_cmp26</f>
        <v>280</v>
      </c>
      <c r="E758" s="21" t="n">
        <f aca="false">(vg_cmp26+(vg_cmp27-vg_cmp26)*pgwf)</f>
        <v>420</v>
      </c>
      <c r="F758" s="21" t="n">
        <f aca="false">(vg_cmp26+(vg_cmp28-vg_cmp26)*pgwf)</f>
        <v>462</v>
      </c>
      <c r="G758" s="21" t="n">
        <f aca="false">(vg_cmp26+(vg_cmp29-vg_cmp26)*pgwf)</f>
        <v>504</v>
      </c>
    </row>
    <row r="759" customFormat="false" ht="17.15" hidden="false" customHeight="false" outlineLevel="0" collapsed="false">
      <c r="A759" s="3" t="s">
        <v>555</v>
      </c>
      <c r="B759" s="0" t="s">
        <v>96</v>
      </c>
      <c r="D759" s="21" t="n">
        <f aca="false">vg_sw26</f>
        <v>120</v>
      </c>
      <c r="E759" s="21" t="n">
        <f aca="false">(vg_sw26+(vg_sw27-vg_sw26)*pgwf)</f>
        <v>162</v>
      </c>
      <c r="F759" s="21" t="n">
        <f aca="false">(vg_sw26+(vg_sw28-vg_sw26)*pgwf)</f>
        <v>180</v>
      </c>
      <c r="G759" s="21" t="n">
        <f aca="false">(vg_sw26+(vg_sw29-vg_sw26)*pgwf)</f>
        <v>198</v>
      </c>
    </row>
    <row r="760" customFormat="false" ht="17.15" hidden="false" customHeight="false" outlineLevel="0" collapsed="false">
      <c r="A760" s="3" t="s">
        <v>609</v>
      </c>
      <c r="B760" s="0" t="s">
        <v>96</v>
      </c>
      <c r="D760" s="21" t="n">
        <f aca="false">vg_mid26*w_mid</f>
        <v>25</v>
      </c>
      <c r="E760" s="21" t="n">
        <f aca="false">(vg_mid26+(vg_mid27-vg_mid26)*pgwf)*w_mid</f>
        <v>50</v>
      </c>
      <c r="F760" s="21" t="n">
        <f aca="false">(vg_mid26+(vg_mid28-vg_mid26)*pgwf)*w_mid</f>
        <v>75</v>
      </c>
      <c r="G760" s="21" t="n">
        <f aca="false">(vg_mid26+(vg_mid29-vg_mid26)*pgwf)*w_mid</f>
        <v>87.5</v>
      </c>
    </row>
    <row r="761" customFormat="false" ht="17.15" hidden="false" customHeight="false" outlineLevel="0" collapsed="false">
      <c r="A761" s="3" t="s">
        <v>610</v>
      </c>
      <c r="B761" s="0" t="s">
        <v>96</v>
      </c>
      <c r="D761" s="21" t="n">
        <f aca="false">D758+D759+D760</f>
        <v>425</v>
      </c>
      <c r="E761" s="21" t="n">
        <f aca="false">E758+E759+E760</f>
        <v>632</v>
      </c>
      <c r="F761" s="21" t="n">
        <f aca="false">F758+F759+F760</f>
        <v>717</v>
      </c>
      <c r="G761" s="21" t="n">
        <f aca="false">G758+G759+G760</f>
        <v>789.5</v>
      </c>
    </row>
    <row r="762" customFormat="false" ht="17.15" hidden="false" customHeight="false" outlineLevel="0" collapsed="false">
      <c r="A762" s="3" t="s">
        <v>611</v>
      </c>
      <c r="B762" s="0" t="s">
        <v>35</v>
      </c>
      <c r="D762" s="23" t="n">
        <f aca="false">D757*D761/1000</f>
        <v>9.94480366787715</v>
      </c>
      <c r="E762" s="23" t="n">
        <f aca="false">E757*E761/1000</f>
        <v>31.5849072024867</v>
      </c>
      <c r="F762" s="23" t="n">
        <f aca="false">F757*F761/1000</f>
        <v>36.3378845597998</v>
      </c>
      <c r="G762" s="23" t="n">
        <f aca="false">G757*G761/1000</f>
        <v>48.4290065391733</v>
      </c>
    </row>
    <row r="763" customFormat="false" ht="17.15" hidden="false" customHeight="false" outlineLevel="0" collapsed="false">
      <c r="A763" s="3" t="s">
        <v>612</v>
      </c>
      <c r="B763" s="0" t="s">
        <v>203</v>
      </c>
      <c r="D763" s="22" t="n">
        <f aca="false">D762*fx</f>
        <v>318.233717372069</v>
      </c>
      <c r="E763" s="22" t="n">
        <f aca="false">E762*fx</f>
        <v>1010.71703047957</v>
      </c>
      <c r="F763" s="22" t="n">
        <f aca="false">F762*fx</f>
        <v>1162.81230591359</v>
      </c>
      <c r="G763" s="22" t="n">
        <f aca="false">G762*fx</f>
        <v>1549.72820925354</v>
      </c>
    </row>
    <row r="764" customFormat="false" ht="17.15" hidden="false" customHeight="false" outlineLevel="0" collapsed="false">
      <c r="A764" s="0" t="s">
        <v>613</v>
      </c>
      <c r="B764" s="0" t="s">
        <v>69</v>
      </c>
      <c r="D764" s="18" t="n">
        <f aca="false">1</f>
        <v>1</v>
      </c>
      <c r="E764" s="18" t="n">
        <f aca="false">pp_27</f>
        <v>1</v>
      </c>
      <c r="F764" s="18" t="n">
        <f aca="false">pp_28</f>
        <v>0.97</v>
      </c>
      <c r="G764" s="18" t="n">
        <f aca="false">pp_29</f>
        <v>0.94</v>
      </c>
    </row>
    <row r="765" customFormat="false" ht="17.15" hidden="false" customHeight="false" outlineLevel="0" collapsed="false">
      <c r="A765" s="3" t="s">
        <v>614</v>
      </c>
      <c r="B765" s="0" t="s">
        <v>55</v>
      </c>
      <c r="D765" s="14" t="n">
        <f aca="false">a26_ai/D763</f>
        <v>0.172842024579347</v>
      </c>
      <c r="K765" s="7" t="s">
        <v>615</v>
      </c>
    </row>
    <row r="766" customFormat="false" ht="17.15" hidden="false" customHeight="false" outlineLevel="0" collapsed="false">
      <c r="A766" s="3" t="s">
        <v>616</v>
      </c>
      <c r="B766" s="0" t="s">
        <v>69</v>
      </c>
      <c r="D766" s="18" t="n">
        <f aca="false">1</f>
        <v>1</v>
      </c>
      <c r="E766" s="18" t="n">
        <f aca="false">rel_27</f>
        <v>1</v>
      </c>
      <c r="F766" s="18" t="n">
        <f aca="false">rel_28</f>
        <v>0.95</v>
      </c>
      <c r="G766" s="18" t="n">
        <f aca="false">rel_29</f>
        <v>0.9</v>
      </c>
    </row>
    <row r="767" customFormat="false" ht="15" hidden="false" customHeight="false" outlineLevel="0" collapsed="false">
      <c r="A767" s="3" t="s">
        <v>565</v>
      </c>
      <c r="B767" s="0" t="s">
        <v>55</v>
      </c>
      <c r="D767" s="14" t="n">
        <f aca="false">$D$765*D766</f>
        <v>0.172842024579347</v>
      </c>
      <c r="E767" s="14" t="n">
        <f aca="false">$D$765*E766</f>
        <v>0.172842024579347</v>
      </c>
      <c r="F767" s="14" t="n">
        <f aca="false">$D$765*F766</f>
        <v>0.164199923350379</v>
      </c>
      <c r="G767" s="14" t="n">
        <f aca="false">$D$765*G766</f>
        <v>0.155557822121412</v>
      </c>
    </row>
    <row r="768" customFormat="false" ht="17.15" hidden="false" customHeight="false" outlineLevel="0" collapsed="false">
      <c r="A768" s="0" t="s">
        <v>617</v>
      </c>
      <c r="B768" s="0" t="s">
        <v>203</v>
      </c>
      <c r="D768" s="22" t="n">
        <f aca="false">D763*D767*D764</f>
        <v>55.00416</v>
      </c>
      <c r="E768" s="22" t="n">
        <f aca="false">E763*E767*E764</f>
        <v>174.694377824915</v>
      </c>
      <c r="F768" s="22" t="n">
        <f aca="false">F763*F767*F764</f>
        <v>185.205680756833</v>
      </c>
      <c r="G768" s="22" t="n">
        <f aca="false">G763*G767*G764</f>
        <v>226.608004404902</v>
      </c>
    </row>
    <row r="769" customFormat="false" ht="17.15" hidden="false" customHeight="false" outlineLevel="0" collapsed="false">
      <c r="A769" s="5" t="s">
        <v>618</v>
      </c>
    </row>
    <row r="770" customFormat="false" ht="17.15" hidden="false" customHeight="false" outlineLevel="0" collapsed="false">
      <c r="A770" s="3" t="s">
        <v>619</v>
      </c>
      <c r="B770" s="0" t="s">
        <v>69</v>
      </c>
      <c r="D770" s="18" t="n">
        <f aca="false">1</f>
        <v>1</v>
      </c>
      <c r="E770" s="18" t="n">
        <f aca="false">cx_27</f>
        <v>1.45</v>
      </c>
      <c r="F770" s="18" t="n">
        <f aca="false">cx_28</f>
        <v>1.9</v>
      </c>
      <c r="G770" s="18" t="n">
        <f aca="false">cx_29</f>
        <v>2.3</v>
      </c>
      <c r="K770" s="7" t="s">
        <v>620</v>
      </c>
    </row>
    <row r="771" customFormat="false" ht="17.15" hidden="false" customHeight="false" outlineLevel="0" collapsed="false">
      <c r="A771" s="3" t="s">
        <v>621</v>
      </c>
      <c r="B771" s="0" t="s">
        <v>203</v>
      </c>
      <c r="D771" s="22" t="n">
        <f aca="false">a26_rev*D770*D764</f>
        <v>105.40752</v>
      </c>
      <c r="E771" s="22" t="n">
        <f aca="false">a26_rev*E770*E764</f>
        <v>152.840904</v>
      </c>
      <c r="F771" s="22" t="n">
        <f aca="false">a26_rev*F770*F764</f>
        <v>194.26605936</v>
      </c>
      <c r="G771" s="22" t="n">
        <f aca="false">a26_rev*G770*G764</f>
        <v>227.89105824</v>
      </c>
    </row>
    <row r="772" customFormat="false" ht="17.15" hidden="false" customHeight="false" outlineLevel="0" collapsed="false">
      <c r="A772" s="3" t="s">
        <v>622</v>
      </c>
      <c r="B772" s="0" t="s">
        <v>203</v>
      </c>
      <c r="C772" s="22" t="n">
        <f aca="false">a25_nai</f>
        <v>42.0028</v>
      </c>
      <c r="D772" s="22" t="n">
        <f aca="false">a26_nai</f>
        <v>50.40336</v>
      </c>
      <c r="E772" s="22" t="n">
        <f aca="false">D772*(1+g_nai27)</f>
        <v>52.923528</v>
      </c>
      <c r="F772" s="22" t="n">
        <f aca="false">E772*(1+g_nai28)</f>
        <v>54.51123384</v>
      </c>
      <c r="G772" s="22" t="n">
        <f aca="false">F772*(1+g_nai29)</f>
        <v>56.1465708552</v>
      </c>
    </row>
    <row r="773" customFormat="false" ht="17.15" hidden="false" customHeight="false" outlineLevel="0" collapsed="false">
      <c r="A773" s="0" t="s">
        <v>623</v>
      </c>
      <c r="B773" s="0" t="s">
        <v>203</v>
      </c>
      <c r="C773" s="22" t="n">
        <f aca="false">a25_ai</f>
        <v>18.0012</v>
      </c>
      <c r="D773" s="22" t="n">
        <f aca="false">D768</f>
        <v>55.00416</v>
      </c>
      <c r="E773" s="22" t="n">
        <f aca="false">MIN(E768,E771-E772)</f>
        <v>99.917376</v>
      </c>
      <c r="F773" s="22" t="n">
        <f aca="false">MIN(F768,F771-F772)</f>
        <v>139.75482552</v>
      </c>
      <c r="G773" s="22" t="n">
        <f aca="false">MIN(G768,G771-G772)</f>
        <v>171.7444873848</v>
      </c>
      <c r="K773" s="3" t="s">
        <v>624</v>
      </c>
    </row>
    <row r="774" customFormat="false" ht="15" hidden="false" customHeight="false" outlineLevel="0" collapsed="false">
      <c r="A774" s="3" t="s">
        <v>625</v>
      </c>
      <c r="E774" s="0" t="str">
        <f aca="false">IF(E768&gt;E771-E772+0.0001,"受限","未受限")</f>
        <v>受限</v>
      </c>
      <c r="F774" s="0" t="str">
        <f aca="false">IF(F768&gt;F771-F772+0.0001,"受限","未受限")</f>
        <v>受限</v>
      </c>
      <c r="G774" s="0" t="str">
        <f aca="false">IF(G768&gt;G771-G772+0.0001,"受限","未受限")</f>
        <v>受限</v>
      </c>
    </row>
    <row r="775" customFormat="false" ht="17.15" hidden="false" customHeight="false" outlineLevel="0" collapsed="false">
      <c r="A775" s="3" t="s">
        <v>499</v>
      </c>
      <c r="B775" s="0" t="s">
        <v>203</v>
      </c>
      <c r="C775" s="22" t="n">
        <f aca="false">C773+C772</f>
        <v>60.004</v>
      </c>
      <c r="D775" s="22" t="n">
        <f aca="false">D773+D772</f>
        <v>105.40752</v>
      </c>
      <c r="E775" s="22" t="n">
        <f aca="false">E773+E772</f>
        <v>152.840904</v>
      </c>
      <c r="F775" s="22" t="n">
        <f aca="false">F773+F772</f>
        <v>194.26605936</v>
      </c>
      <c r="G775" s="22" t="n">
        <f aca="false">G773+G772</f>
        <v>227.89105824</v>
      </c>
      <c r="H775" s="24" t="n">
        <f aca="false">G775*(1+H776)</f>
        <v>257.226313072804</v>
      </c>
      <c r="I775" s="24" t="n">
        <f aca="false">H775*(1+I776)</f>
        <v>278.92655569709</v>
      </c>
      <c r="J775" s="24" t="n">
        <f aca="false">I775*(1+J776)</f>
        <v>290.083617924974</v>
      </c>
      <c r="K775" s="7" t="s">
        <v>626</v>
      </c>
    </row>
    <row r="776" customFormat="false" ht="15" hidden="false" customHeight="false" outlineLevel="0" collapsed="false">
      <c r="A776" s="3" t="s">
        <v>627</v>
      </c>
      <c r="B776" s="0" t="s">
        <v>55</v>
      </c>
      <c r="D776" s="14" t="n">
        <f aca="false">D775/C775-1</f>
        <v>0.756674888340778</v>
      </c>
      <c r="E776" s="14" t="n">
        <f aca="false">E775/D775-1</f>
        <v>0.45</v>
      </c>
      <c r="F776" s="14" t="n">
        <f aca="false">F775/E775-1</f>
        <v>0.271034482758621</v>
      </c>
      <c r="G776" s="14" t="n">
        <f aca="false">G775/F775-1</f>
        <v>0.173087357569181</v>
      </c>
      <c r="H776" s="25" t="n">
        <f aca="false">$G776+(fade_gB-$G776)*1/3</f>
        <v>0.12872490504612</v>
      </c>
      <c r="I776" s="25" t="n">
        <f aca="false">$G776+(fade_gB-$G776)*2/3</f>
        <v>0.0843624525230602</v>
      </c>
      <c r="J776" s="25" t="n">
        <f aca="false">$G776+(fade_gB-$G776)*3/3</f>
        <v>0.04</v>
      </c>
    </row>
    <row r="777" customFormat="false" ht="17.15" hidden="false" customHeight="false" outlineLevel="0" collapsed="false">
      <c r="A777" s="3" t="s">
        <v>628</v>
      </c>
      <c r="B777" s="0" t="s">
        <v>203</v>
      </c>
      <c r="D777" s="22" t="n">
        <f aca="false">D773*(D758+D760)/D761</f>
        <v>39.4735736470588</v>
      </c>
      <c r="E777" s="22" t="n">
        <f aca="false">E773*(E758+E760)/E761</f>
        <v>74.3056435443038</v>
      </c>
      <c r="F777" s="22" t="n">
        <f aca="false">F773*(F758+F760)/F761</f>
        <v>104.669932084017</v>
      </c>
      <c r="G777" s="22" t="n">
        <f aca="false">G773*(G758+G760)/G761</f>
        <v>128.672405684749</v>
      </c>
      <c r="K777" s="7" t="s">
        <v>629</v>
      </c>
    </row>
    <row r="778" customFormat="false" ht="17.15" hidden="false" customHeight="false" outlineLevel="0" collapsed="false">
      <c r="A778" s="3" t="s">
        <v>630</v>
      </c>
      <c r="B778" s="0" t="s">
        <v>203</v>
      </c>
      <c r="D778" s="22" t="n">
        <f aca="false">D773*D759/D761</f>
        <v>15.5305863529412</v>
      </c>
      <c r="E778" s="22" t="n">
        <f aca="false">E773*E759/E761</f>
        <v>25.6117324556962</v>
      </c>
      <c r="F778" s="22" t="n">
        <f aca="false">F773*F759/F761</f>
        <v>35.0848934359833</v>
      </c>
      <c r="G778" s="22" t="n">
        <f aca="false">G773*G759/G761</f>
        <v>43.0720817000512</v>
      </c>
    </row>
    <row r="779" customFormat="false" ht="17.15" hidden="false" customHeight="false" outlineLevel="0" collapsed="false">
      <c r="A779" s="3" t="s">
        <v>631</v>
      </c>
      <c r="B779" s="0" t="s">
        <v>203</v>
      </c>
      <c r="D779" s="22" t="n">
        <f aca="false">srv26*D775-D777</f>
        <v>42.7442919529412</v>
      </c>
      <c r="E779" s="22" t="n">
        <f aca="false">E772*$D779/$D772</f>
        <v>44.8815065505883</v>
      </c>
      <c r="F779" s="22" t="n">
        <f aca="false">F772*$D779/$D772</f>
        <v>46.2279517471059</v>
      </c>
      <c r="G779" s="22" t="n">
        <f aca="false">G772*$D779/$D772</f>
        <v>47.6147902995191</v>
      </c>
      <c r="K779" s="7" t="s">
        <v>632</v>
      </c>
    </row>
    <row r="780" customFormat="false" ht="17.15" hidden="false" customHeight="false" outlineLevel="0" collapsed="false">
      <c r="A780" s="3" t="s">
        <v>633</v>
      </c>
      <c r="B780" s="0" t="s">
        <v>203</v>
      </c>
      <c r="D780" s="22" t="n">
        <f aca="false">net26*D775-D778</f>
        <v>0.28054164705882</v>
      </c>
      <c r="E780" s="22" t="n">
        <f aca="false">E772*$D780/$D772</f>
        <v>0.294568729411761</v>
      </c>
      <c r="F780" s="22" t="n">
        <f aca="false">F772*$D780/$D772</f>
        <v>0.303405791294114</v>
      </c>
      <c r="G780" s="22" t="n">
        <f aca="false">G772*$D780/$D772</f>
        <v>0.312507965032938</v>
      </c>
    </row>
    <row r="781" customFormat="false" ht="17.15" hidden="false" customHeight="false" outlineLevel="0" collapsed="false">
      <c r="A781" s="3" t="s">
        <v>634</v>
      </c>
      <c r="B781" s="0" t="s">
        <v>203</v>
      </c>
      <c r="C781" s="22" t="n">
        <f aca="false">srv25*C775</f>
        <v>48.0032</v>
      </c>
      <c r="D781" s="22" t="n">
        <f aca="false">D777+D779</f>
        <v>82.2178656</v>
      </c>
      <c r="E781" s="22" t="n">
        <f aca="false">E777+E779</f>
        <v>119.187150094892</v>
      </c>
      <c r="F781" s="22" t="n">
        <f aca="false">F777+F779</f>
        <v>150.897883831123</v>
      </c>
      <c r="G781" s="22" t="n">
        <f aca="false">G777+G779</f>
        <v>176.287195984268</v>
      </c>
      <c r="K781" s="3" t="s">
        <v>635</v>
      </c>
    </row>
    <row r="782" customFormat="false" ht="15" hidden="false" customHeight="false" outlineLevel="0" collapsed="false">
      <c r="A782" s="3" t="s">
        <v>636</v>
      </c>
      <c r="B782" s="0" t="s">
        <v>203</v>
      </c>
      <c r="C782" s="22" t="n">
        <f aca="false">net25*C775</f>
        <v>6.0004</v>
      </c>
      <c r="D782" s="22" t="n">
        <f aca="false">D778+D780</f>
        <v>15.811128</v>
      </c>
      <c r="E782" s="22" t="n">
        <f aca="false">E778+E780</f>
        <v>25.906301185108</v>
      </c>
      <c r="F782" s="22" t="n">
        <f aca="false">F778+F780</f>
        <v>35.3882992272774</v>
      </c>
      <c r="G782" s="22" t="n">
        <f aca="false">G778+G780</f>
        <v>43.3845896650841</v>
      </c>
      <c r="K782" s="3" t="s">
        <v>637</v>
      </c>
    </row>
    <row r="783" customFormat="false" ht="15" hidden="false" customHeight="false" outlineLevel="0" collapsed="false">
      <c r="A783" s="3" t="s">
        <v>638</v>
      </c>
      <c r="B783" s="0" t="s">
        <v>203</v>
      </c>
      <c r="C783" s="22" t="n">
        <f aca="false">C775-C781-C782</f>
        <v>6.0004</v>
      </c>
      <c r="D783" s="22" t="n">
        <f aca="false">D775-D781-D782</f>
        <v>7.3785264</v>
      </c>
      <c r="E783" s="22" t="n">
        <f aca="false">E775-E781-E782</f>
        <v>7.74745271999998</v>
      </c>
      <c r="F783" s="22" t="n">
        <f aca="false">F775-F781-F782</f>
        <v>7.9798763016</v>
      </c>
      <c r="G783" s="22" t="n">
        <f aca="false">G775-G781-G782</f>
        <v>8.21927259064798</v>
      </c>
      <c r="K783" s="3" t="s">
        <v>639</v>
      </c>
    </row>
    <row r="784" customFormat="false" ht="17.15" hidden="false" customHeight="false" outlineLevel="0" collapsed="false">
      <c r="A784" s="3" t="s">
        <v>640</v>
      </c>
      <c r="B784" s="0" t="s">
        <v>203</v>
      </c>
      <c r="C784" s="28" t="n">
        <f aca="false">C781+C782+C783-C775</f>
        <v>0</v>
      </c>
      <c r="D784" s="28" t="n">
        <f aca="false">ROUND(D779+D780+D783-D772,9)</f>
        <v>0</v>
      </c>
      <c r="E784" s="28" t="n">
        <f aca="false">ROUND(E779+E780+E783-E772,9)</f>
        <v>0</v>
      </c>
      <c r="F784" s="28" t="n">
        <f aca="false">ROUND(F779+F780+F783-F772,9)</f>
        <v>0</v>
      </c>
      <c r="G784" s="28" t="n">
        <f aca="false">ROUND(G779+G780+G783-G772,9)</f>
        <v>0</v>
      </c>
    </row>
    <row r="785" customFormat="false" ht="17.15" hidden="false" customHeight="false" outlineLevel="0" collapsed="false">
      <c r="A785" s="0" t="s">
        <v>641</v>
      </c>
      <c r="B785" s="0" t="s">
        <v>55</v>
      </c>
      <c r="C785" s="14" t="n">
        <f aca="false">C773/C775</f>
        <v>0.3</v>
      </c>
      <c r="D785" s="14" t="n">
        <f aca="false">D773/D775</f>
        <v>0.521823869871903</v>
      </c>
      <c r="E785" s="14" t="n">
        <f aca="false">E773/E775</f>
        <v>0.653734526458964</v>
      </c>
      <c r="F785" s="14" t="n">
        <f aca="false">F773/F775</f>
        <v>0.71939908587437</v>
      </c>
      <c r="G785" s="14" t="n">
        <f aca="false">G773/G775</f>
        <v>0.753625388864226</v>
      </c>
    </row>
    <row r="786" customFormat="false" ht="17.15" hidden="false" customHeight="false" outlineLevel="0" collapsed="false">
      <c r="A786" s="3" t="s">
        <v>642</v>
      </c>
      <c r="B786" s="0" t="s">
        <v>55</v>
      </c>
      <c r="D786" s="14" t="n">
        <f aca="false">(D768+D772)/D771</f>
        <v>1</v>
      </c>
      <c r="E786" s="14" t="n">
        <f aca="false">(E768+E772)/E771</f>
        <v>1.48924731448144</v>
      </c>
      <c r="F786" s="14" t="n">
        <f aca="false">(F768+F772)/F771</f>
        <v>1.2339618942525</v>
      </c>
      <c r="G786" s="14" t="n">
        <f aca="false">(G768+G772)/G771</f>
        <v>1.24074449188051</v>
      </c>
      <c r="K786" s="3" t="s">
        <v>643</v>
      </c>
    </row>
    <row r="787" customFormat="false" ht="17.15" hidden="false" customHeight="false" outlineLevel="0" collapsed="false">
      <c r="A787" s="3" t="s">
        <v>569</v>
      </c>
      <c r="B787" s="0" t="s">
        <v>96</v>
      </c>
      <c r="D787" s="21" t="n">
        <f aca="false">D773/fx/D757*1000</f>
        <v>73.4578604462224</v>
      </c>
      <c r="E787" s="21" t="n">
        <f aca="false">E773/fx/E757*1000</f>
        <v>62.4782008491903</v>
      </c>
      <c r="F787" s="21" t="n">
        <f aca="false">F773/fx/F757*1000</f>
        <v>86.1740191329605</v>
      </c>
      <c r="G787" s="21" t="n">
        <f aca="false">G773/fx/G757*1000</f>
        <v>87.4942276850017</v>
      </c>
    </row>
    <row r="788" customFormat="false" ht="17.15" hidden="false" customHeight="false" outlineLevel="0" collapsed="false">
      <c r="A788" s="5" t="s">
        <v>644</v>
      </c>
    </row>
    <row r="789" customFormat="false" ht="17.15" hidden="false" customHeight="false" outlineLevel="0" collapsed="false">
      <c r="A789" s="3" t="s">
        <v>645</v>
      </c>
      <c r="B789" s="0" t="s">
        <v>55</v>
      </c>
      <c r="D789" s="14" t="n">
        <f aca="false">a26_gp/D775-d_ai*D785</f>
        <v>0.296655205435058</v>
      </c>
      <c r="K789" s="7" t="s">
        <v>646</v>
      </c>
    </row>
    <row r="790" customFormat="false" ht="17.15" hidden="false" customHeight="false" outlineLevel="0" collapsed="false">
      <c r="A790" s="0" t="s">
        <v>647</v>
      </c>
      <c r="B790" s="0" t="s">
        <v>55</v>
      </c>
      <c r="D790" s="14" t="n">
        <f aca="false">D789+d_ai</f>
        <v>0.396655205435058</v>
      </c>
      <c r="E790" s="14" t="n">
        <f aca="false">1-(1-$D$790)/E764+gmu_27</f>
        <v>0.406655205435058</v>
      </c>
      <c r="F790" s="14" t="n">
        <f aca="false">1-(1-$D$790)/F764+gmu_28</f>
        <v>0.392995057149545</v>
      </c>
      <c r="G790" s="14" t="n">
        <f aca="false">1-(1-$D$790)/G764+gmu_29</f>
        <v>0.378143835569211</v>
      </c>
      <c r="K790" s="7" t="s">
        <v>648</v>
      </c>
    </row>
    <row r="791" customFormat="false" ht="15" hidden="false" customHeight="false" outlineLevel="0" collapsed="false">
      <c r="A791" s="3" t="s">
        <v>503</v>
      </c>
      <c r="B791" s="0" t="s">
        <v>203</v>
      </c>
      <c r="C791" s="22" t="n">
        <f aca="false">a25_gp</f>
        <v>19.683</v>
      </c>
      <c r="D791" s="22" t="n">
        <f aca="false">a26_gp</f>
        <v>36.7701055</v>
      </c>
      <c r="E791" s="22" t="n">
        <f aca="false">E773*E790+E772*$D$789</f>
        <v>56.331961135</v>
      </c>
      <c r="F791" s="22" t="n">
        <f aca="false">F773*F790+F772*$D$789</f>
        <v>71.0939969154807</v>
      </c>
      <c r="G791" s="22" t="n">
        <f aca="false">G773*G790+G772*$D$789</f>
        <v>81.6002917090796</v>
      </c>
    </row>
    <row r="792" customFormat="false" ht="15" hidden="false" customHeight="false" outlineLevel="0" collapsed="false">
      <c r="A792" s="3" t="s">
        <v>506</v>
      </c>
      <c r="B792" s="0" t="s">
        <v>55</v>
      </c>
      <c r="C792" s="14" t="n">
        <f aca="false">C791/C775</f>
        <v>0.328028131457903</v>
      </c>
      <c r="D792" s="14" t="n">
        <f aca="false">D791/D775</f>
        <v>0.348837592422248</v>
      </c>
      <c r="E792" s="14" t="n">
        <f aca="false">E791/E775</f>
        <v>0.368566003345544</v>
      </c>
      <c r="F792" s="14" t="n">
        <f aca="false">F791/F775</f>
        <v>0.365962006691732</v>
      </c>
      <c r="G792" s="14" t="n">
        <f aca="false">G791/G775</f>
        <v>0.358067106007922</v>
      </c>
    </row>
    <row r="793" customFormat="false" ht="15" hidden="false" customHeight="false" outlineLevel="0" collapsed="false">
      <c r="A793" s="3" t="s">
        <v>649</v>
      </c>
      <c r="B793" s="0" t="s">
        <v>203</v>
      </c>
      <c r="C793" s="22" t="n">
        <f aca="false">a25_opx</f>
        <v>5.64</v>
      </c>
      <c r="D793" s="22" t="n">
        <f aca="false">a26_opx</f>
        <v>8.4779754</v>
      </c>
      <c r="E793" s="22" t="n">
        <f aca="false">D793*(1+MAX(0,phi*E776))</f>
        <v>10.767028758</v>
      </c>
      <c r="F793" s="22" t="n">
        <f aca="false">E793*(1+MAX(0,phi*F776))</f>
        <v>12.517970400163</v>
      </c>
      <c r="G793" s="22" t="n">
        <f aca="false">F793*(1+MAX(0,phi*G776))</f>
        <v>13.8179918513791</v>
      </c>
    </row>
    <row r="794" customFormat="false" ht="15" hidden="false" customHeight="false" outlineLevel="0" collapsed="false">
      <c r="A794" s="3" t="s">
        <v>508</v>
      </c>
      <c r="B794" s="0" t="s">
        <v>203</v>
      </c>
      <c r="C794" s="22" t="n">
        <f aca="false">C793</f>
        <v>5.64</v>
      </c>
      <c r="D794" s="22" t="n">
        <f aca="false">D793</f>
        <v>8.4779754</v>
      </c>
      <c r="E794" s="22" t="n">
        <f aca="false">E793+0*E775</f>
        <v>10.767028758</v>
      </c>
      <c r="F794" s="22" t="n">
        <f aca="false">F793+0*F775</f>
        <v>12.517970400163</v>
      </c>
      <c r="G794" s="22" t="n">
        <f aca="false">G793+0*G775</f>
        <v>13.8179918513791</v>
      </c>
    </row>
    <row r="795" customFormat="false" ht="15" hidden="false" customHeight="false" outlineLevel="0" collapsed="false">
      <c r="A795" s="3" t="s">
        <v>650</v>
      </c>
      <c r="B795" s="0" t="s">
        <v>203</v>
      </c>
      <c r="C795" s="22" t="n">
        <f aca="false">C791-C794</f>
        <v>14.043</v>
      </c>
      <c r="D795" s="22" t="n">
        <f aca="false">D791-D794</f>
        <v>28.2921301</v>
      </c>
      <c r="E795" s="22" t="n">
        <f aca="false">E791-E794</f>
        <v>45.564932377</v>
      </c>
      <c r="F795" s="22" t="n">
        <f aca="false">F791-F794</f>
        <v>58.5760265153177</v>
      </c>
      <c r="G795" s="22" t="n">
        <f aca="false">G791-G794</f>
        <v>67.7822998577005</v>
      </c>
    </row>
    <row r="796" customFormat="false" ht="15" hidden="false" customHeight="false" outlineLevel="0" collapsed="false">
      <c r="A796" s="3" t="s">
        <v>514</v>
      </c>
      <c r="B796" s="0" t="s">
        <v>55</v>
      </c>
      <c r="C796" s="14" t="n">
        <f aca="false">C795/C775</f>
        <v>0.23403439770682</v>
      </c>
      <c r="D796" s="14" t="n">
        <f aca="false">D795/D775</f>
        <v>0.268407131673338</v>
      </c>
      <c r="E796" s="14" t="n">
        <f aca="false">E795/E775</f>
        <v>0.298120013586154</v>
      </c>
      <c r="F796" s="14" t="n">
        <f aca="false">F795/F775</f>
        <v>0.301524757892828</v>
      </c>
      <c r="G796" s="14" t="n">
        <f aca="false">G795/G775</f>
        <v>0.297432906675595</v>
      </c>
    </row>
    <row r="797" customFormat="false" ht="17.15" hidden="false" customHeight="false" outlineLevel="0" collapsed="false">
      <c r="A797" s="3" t="s">
        <v>515</v>
      </c>
      <c r="B797" s="0" t="s">
        <v>203</v>
      </c>
      <c r="E797" s="22" t="n">
        <f aca="false">nop_f</f>
        <v>0</v>
      </c>
      <c r="F797" s="22" t="n">
        <f aca="false">nop_f</f>
        <v>0</v>
      </c>
      <c r="G797" s="22" t="n">
        <f aca="false">nop_f</f>
        <v>0</v>
      </c>
      <c r="K797" s="7" t="s">
        <v>651</v>
      </c>
    </row>
    <row r="798" customFormat="false" ht="15" hidden="false" customHeight="false" outlineLevel="0" collapsed="false">
      <c r="A798" s="3" t="s">
        <v>520</v>
      </c>
      <c r="B798" s="0" t="s">
        <v>203</v>
      </c>
      <c r="C798" s="22" t="n">
        <f aca="false">a25_ni</f>
        <v>9.607</v>
      </c>
      <c r="D798" s="22" t="n">
        <f aca="false">a26_ni</f>
        <v>19.6977289395284</v>
      </c>
      <c r="E798" s="22" t="n">
        <f aca="false">(E795+E797)*nir_f</f>
        <v>31.211978678245</v>
      </c>
      <c r="F798" s="22" t="n">
        <f aca="false">(F795+F797)*nir_f</f>
        <v>40.1245781629926</v>
      </c>
      <c r="G798" s="22" t="n">
        <f aca="false">(G795+G797)*nir_f</f>
        <v>46.4308754025249</v>
      </c>
      <c r="H798" s="24" t="n">
        <f aca="false">H775*H803</f>
        <v>49.0696162995125</v>
      </c>
      <c r="I798" s="24" t="n">
        <f aca="false">I775*I803</f>
        <v>49.5895726459613</v>
      </c>
      <c r="J798" s="24" t="n">
        <f aca="false">J775*J803</f>
        <v>47.8086916496984</v>
      </c>
    </row>
    <row r="799" customFormat="false" ht="17.15" hidden="false" customHeight="false" outlineLevel="0" collapsed="false">
      <c r="A799" s="3" t="s">
        <v>523</v>
      </c>
      <c r="B799" s="0" t="s">
        <v>55</v>
      </c>
      <c r="C799" s="14" t="n">
        <f aca="false">C798/C795</f>
        <v>0.684113081250445</v>
      </c>
      <c r="D799" s="14" t="n">
        <f aca="false">D798/D795</f>
        <v>0.696226437171953</v>
      </c>
      <c r="E799" s="14" t="n">
        <f aca="false">E798/E795</f>
        <v>0.685</v>
      </c>
      <c r="F799" s="14" t="n">
        <f aca="false">F798/F795</f>
        <v>0.685</v>
      </c>
      <c r="G799" s="14" t="n">
        <f aca="false">G798/G795</f>
        <v>0.685</v>
      </c>
    </row>
    <row r="800" customFormat="false" ht="17.15" hidden="false" customHeight="false" outlineLevel="0" collapsed="false">
      <c r="A800" s="3" t="s">
        <v>652</v>
      </c>
      <c r="B800" s="3" t="s">
        <v>233</v>
      </c>
      <c r="C800" s="27" t="n">
        <f aca="false">a25_sh</f>
        <v>0.493425783256292</v>
      </c>
      <c r="D800" s="27" t="n">
        <f aca="false">a26_sh</f>
        <v>0.512980850061958</v>
      </c>
      <c r="E800" s="27" t="n">
        <f aca="false">sh_h2*(1+sh_g)</f>
        <v>0.51889356</v>
      </c>
      <c r="F800" s="27" t="n">
        <f aca="false">E800*(1+sh_g)</f>
        <v>0.5240824956</v>
      </c>
      <c r="G800" s="27" t="n">
        <f aca="false">F800*(1+sh_g)</f>
        <v>0.529323320556</v>
      </c>
      <c r="H800" s="29" t="n">
        <f aca="false">G800*(1+sh_g)</f>
        <v>0.53461655376156</v>
      </c>
      <c r="I800" s="29" t="n">
        <f aca="false">H800*(1+sh_g)</f>
        <v>0.539962719299176</v>
      </c>
      <c r="J800" s="29" t="n">
        <f aca="false">I800*(1+sh_g)</f>
        <v>0.545362346492167</v>
      </c>
      <c r="K800" s="7" t="s">
        <v>653</v>
      </c>
    </row>
    <row r="801" customFormat="false" ht="15" hidden="false" customHeight="false" outlineLevel="0" collapsed="false">
      <c r="A801" s="0" t="s">
        <v>526</v>
      </c>
      <c r="B801" s="0" t="s">
        <v>271</v>
      </c>
      <c r="C801" s="23" t="n">
        <f aca="false">C798/C800</f>
        <v>19.47</v>
      </c>
      <c r="D801" s="23" t="n">
        <f aca="false">D798/D800</f>
        <v>38.3985658278458</v>
      </c>
      <c r="E801" s="23" t="n">
        <f aca="false">E798/E800</f>
        <v>60.1510234165269</v>
      </c>
      <c r="F801" s="23" t="n">
        <f aca="false">F798/F800</f>
        <v>76.5615690275167</v>
      </c>
      <c r="G801" s="23" t="n">
        <f aca="false">G798/G800</f>
        <v>87.7174188240072</v>
      </c>
      <c r="H801" s="30" t="n">
        <f aca="false">H798/H800</f>
        <v>91.7846930744266</v>
      </c>
      <c r="I801" s="30" t="n">
        <f aca="false">I798/I800</f>
        <v>91.8388823404776</v>
      </c>
      <c r="J801" s="30" t="n">
        <f aca="false">J798/J800</f>
        <v>87.6640860103551</v>
      </c>
    </row>
    <row r="802" customFormat="false" ht="17.15" hidden="false" customHeight="false" outlineLevel="0" collapsed="false">
      <c r="A802" s="0" t="s">
        <v>654</v>
      </c>
      <c r="B802" s="0" t="s">
        <v>55</v>
      </c>
      <c r="D802" s="14" t="n">
        <f aca="false">D801/C801-1</f>
        <v>0.9721913624985</v>
      </c>
      <c r="E802" s="14" t="n">
        <f aca="false">E801/D801-1</f>
        <v>0.566491407158407</v>
      </c>
      <c r="F802" s="14" t="n">
        <f aca="false">F801/E801-1</f>
        <v>0.272822384040783</v>
      </c>
      <c r="G802" s="14" t="n">
        <f aca="false">G801/F801-1</f>
        <v>0.145710830357735</v>
      </c>
      <c r="H802" s="25" t="n">
        <f aca="false">H801/G801-1</f>
        <v>0.0463679199063061</v>
      </c>
      <c r="I802" s="25" t="n">
        <f aca="false">I801/H801-1</f>
        <v>0.000590395459589166</v>
      </c>
      <c r="J802" s="25" t="n">
        <f aca="false">J801/I801-1</f>
        <v>-0.0454578303190271</v>
      </c>
    </row>
    <row r="803" customFormat="false" ht="17.15" hidden="false" customHeight="false" outlineLevel="0" collapsed="false">
      <c r="A803" s="3" t="s">
        <v>655</v>
      </c>
      <c r="B803" s="0" t="s">
        <v>55</v>
      </c>
      <c r="C803" s="14" t="n">
        <f aca="false">C798/C775</f>
        <v>0.160105992933804</v>
      </c>
      <c r="D803" s="14" t="n">
        <f aca="false">D798/D775</f>
        <v>0.186872140996471</v>
      </c>
      <c r="E803" s="14" t="n">
        <f aca="false">E798/E775</f>
        <v>0.204212209306515</v>
      </c>
      <c r="F803" s="14" t="n">
        <f aca="false">F798/F775</f>
        <v>0.206544459156587</v>
      </c>
      <c r="G803" s="14" t="n">
        <f aca="false">G798/G775</f>
        <v>0.203741541072783</v>
      </c>
      <c r="H803" s="25" t="n">
        <f aca="false">$G803+(fade_mB-$G803)*1/3</f>
        <v>0.190764372872009</v>
      </c>
      <c r="I803" s="25" t="n">
        <f aca="false">$G803+(fade_mB-$G803)*2/3</f>
        <v>0.177787204671235</v>
      </c>
      <c r="J803" s="25" t="n">
        <f aca="false">$G803+(fade_mB-$G803)*3/3</f>
        <v>0.164810036470462</v>
      </c>
    </row>
    <row r="806" customFormat="false" ht="17.15" hidden="false" customHeight="false" outlineLevel="0" collapsed="false">
      <c r="A806" s="1" t="s">
        <v>1004</v>
      </c>
    </row>
    <row r="807" customFormat="false" ht="17.15" hidden="false" customHeight="false" outlineLevel="0" collapsed="false">
      <c r="A807" s="4" t="s">
        <v>24</v>
      </c>
      <c r="B807" s="4" t="s">
        <v>25</v>
      </c>
      <c r="C807" s="15" t="s">
        <v>494</v>
      </c>
      <c r="D807" s="15" t="s">
        <v>583</v>
      </c>
      <c r="E807" s="15" t="s">
        <v>584</v>
      </c>
      <c r="F807" s="15" t="s">
        <v>585</v>
      </c>
      <c r="G807" s="15" t="s">
        <v>586</v>
      </c>
      <c r="H807" s="15" t="s">
        <v>587</v>
      </c>
      <c r="I807" s="15" t="s">
        <v>588</v>
      </c>
      <c r="J807" s="15" t="s">
        <v>589</v>
      </c>
      <c r="K807" s="4" t="s">
        <v>458</v>
      </c>
    </row>
    <row r="808" customFormat="false" ht="17.15" hidden="false" customHeight="false" outlineLevel="0" collapsed="false">
      <c r="A808" s="5" t="s">
        <v>605</v>
      </c>
    </row>
    <row r="809" customFormat="false" ht="17.15" hidden="false" customHeight="false" outlineLevel="0" collapsed="false">
      <c r="A809" s="0" t="s">
        <v>606</v>
      </c>
      <c r="B809" s="0" t="s">
        <v>35</v>
      </c>
      <c r="D809" s="23" t="n">
        <f aca="false">itc_26*1</f>
        <v>781.872916666666</v>
      </c>
      <c r="E809" s="23" t="n">
        <f aca="false">itc_27*1*1</f>
        <v>1565.35</v>
      </c>
      <c r="F809" s="23" t="n">
        <f aca="false">itc_28*um28_B*1</f>
        <v>1587.41111111111</v>
      </c>
      <c r="G809" s="23" t="n">
        <f aca="false">itc_29*um29_B*1</f>
        <v>1921.33173611111</v>
      </c>
    </row>
    <row r="810" customFormat="false" ht="17.15" hidden="false" customHeight="false" outlineLevel="0" collapsed="false">
      <c r="A810" s="3" t="s">
        <v>607</v>
      </c>
      <c r="B810" s="0" t="s">
        <v>35</v>
      </c>
      <c r="D810" s="23" t="n">
        <f aca="false">itpg_gb*(1-vr26)+itpg_vr*vr26</f>
        <v>33.41403216</v>
      </c>
      <c r="E810" s="23" t="n">
        <f aca="false">itpg_vr</f>
        <v>37.586352</v>
      </c>
      <c r="F810" s="23" t="n">
        <f aca="false">itpg_vr</f>
        <v>37.586352</v>
      </c>
      <c r="G810" s="23" t="n">
        <f aca="false">itpg_vr</f>
        <v>37.586352</v>
      </c>
    </row>
    <row r="811" customFormat="false" ht="17.15" hidden="false" customHeight="false" outlineLevel="0" collapsed="false">
      <c r="A811" s="3" t="s">
        <v>608</v>
      </c>
      <c r="B811" s="0" t="s">
        <v>549</v>
      </c>
      <c r="D811" s="20" t="n">
        <f aca="false">D809/D810</f>
        <v>23.3995380420639</v>
      </c>
      <c r="E811" s="20" t="n">
        <f aca="false">E809/E810</f>
        <v>41.6467658260637</v>
      </c>
      <c r="F811" s="20" t="n">
        <f aca="false">F809/F810</f>
        <v>42.2337105529984</v>
      </c>
      <c r="G811" s="20" t="n">
        <f aca="false">G809/G810</f>
        <v>51.1178029756948</v>
      </c>
    </row>
    <row r="812" customFormat="false" ht="17.15" hidden="false" customHeight="false" outlineLevel="0" collapsed="false">
      <c r="A812" s="3" t="s">
        <v>553</v>
      </c>
      <c r="B812" s="0" t="s">
        <v>96</v>
      </c>
      <c r="D812" s="21" t="n">
        <f aca="false">vg_cmp26</f>
        <v>280</v>
      </c>
      <c r="E812" s="21" t="n">
        <f aca="false">(vg_cmp26+(vg_cmp27-vg_cmp26)*pgwf)</f>
        <v>420</v>
      </c>
      <c r="F812" s="21" t="n">
        <f aca="false">(vg_cmp26+(vg_cmp28-vg_cmp26)*pgwf)</f>
        <v>462</v>
      </c>
      <c r="G812" s="21" t="n">
        <f aca="false">(vg_cmp26+(vg_cmp29-vg_cmp26)*pgwf)</f>
        <v>504</v>
      </c>
    </row>
    <row r="813" customFormat="false" ht="17.15" hidden="false" customHeight="false" outlineLevel="0" collapsed="false">
      <c r="A813" s="3" t="s">
        <v>555</v>
      </c>
      <c r="B813" s="0" t="s">
        <v>96</v>
      </c>
      <c r="D813" s="21" t="n">
        <f aca="false">vg_sw26</f>
        <v>120</v>
      </c>
      <c r="E813" s="21" t="n">
        <f aca="false">(vg_sw26+(vg_sw27-vg_sw26)*pgwf)</f>
        <v>162</v>
      </c>
      <c r="F813" s="21" t="n">
        <f aca="false">(vg_sw26+(vg_sw28-vg_sw26)*pgwf)</f>
        <v>180</v>
      </c>
      <c r="G813" s="21" t="n">
        <f aca="false">(vg_sw26+(vg_sw29-vg_sw26)*pgwf)</f>
        <v>198</v>
      </c>
    </row>
    <row r="814" customFormat="false" ht="17.15" hidden="false" customHeight="false" outlineLevel="0" collapsed="false">
      <c r="A814" s="3" t="s">
        <v>609</v>
      </c>
      <c r="B814" s="0" t="s">
        <v>96</v>
      </c>
      <c r="D814" s="21" t="n">
        <f aca="false">vg_mid26*w_mid</f>
        <v>25</v>
      </c>
      <c r="E814" s="21" t="n">
        <f aca="false">(vg_mid26+(vg_mid27-vg_mid26)*pgwf)*w_mid</f>
        <v>50</v>
      </c>
      <c r="F814" s="21" t="n">
        <f aca="false">(vg_mid26+(vg_mid28-vg_mid26)*pgwf)*w_mid</f>
        <v>75</v>
      </c>
      <c r="G814" s="21" t="n">
        <f aca="false">(vg_mid26+(vg_mid29-vg_mid26)*pgwf)*w_mid</f>
        <v>87.5</v>
      </c>
    </row>
    <row r="815" customFormat="false" ht="17.15" hidden="false" customHeight="false" outlineLevel="0" collapsed="false">
      <c r="A815" s="3" t="s">
        <v>610</v>
      </c>
      <c r="B815" s="0" t="s">
        <v>96</v>
      </c>
      <c r="D815" s="21" t="n">
        <f aca="false">D812+D813+D814</f>
        <v>425</v>
      </c>
      <c r="E815" s="21" t="n">
        <f aca="false">E812+E813+E814</f>
        <v>632</v>
      </c>
      <c r="F815" s="21" t="n">
        <f aca="false">F812+F813+F814</f>
        <v>717</v>
      </c>
      <c r="G815" s="21" t="n">
        <f aca="false">G812+G813+G814</f>
        <v>789.5</v>
      </c>
    </row>
    <row r="816" customFormat="false" ht="17.15" hidden="false" customHeight="false" outlineLevel="0" collapsed="false">
      <c r="A816" s="3" t="s">
        <v>611</v>
      </c>
      <c r="B816" s="0" t="s">
        <v>35</v>
      </c>
      <c r="D816" s="23" t="n">
        <f aca="false">D811*D815/1000</f>
        <v>9.94480366787715</v>
      </c>
      <c r="E816" s="23" t="n">
        <f aca="false">E811*E815/1000</f>
        <v>26.3207560020722</v>
      </c>
      <c r="F816" s="23" t="n">
        <f aca="false">F811*F815/1000</f>
        <v>30.2815704664998</v>
      </c>
      <c r="G816" s="23" t="n">
        <f aca="false">G811*G815/1000</f>
        <v>40.3575054493111</v>
      </c>
    </row>
    <row r="817" customFormat="false" ht="17.15" hidden="false" customHeight="false" outlineLevel="0" collapsed="false">
      <c r="A817" s="3" t="s">
        <v>612</v>
      </c>
      <c r="B817" s="0" t="s">
        <v>203</v>
      </c>
      <c r="D817" s="22" t="n">
        <f aca="false">D816*fx</f>
        <v>318.233717372069</v>
      </c>
      <c r="E817" s="22" t="n">
        <f aca="false">E816*fx</f>
        <v>842.264192066312</v>
      </c>
      <c r="F817" s="22" t="n">
        <f aca="false">F816*fx</f>
        <v>969.010254927995</v>
      </c>
      <c r="G817" s="22" t="n">
        <f aca="false">G816*fx</f>
        <v>1291.44017437795</v>
      </c>
    </row>
    <row r="818" customFormat="false" ht="17.15" hidden="false" customHeight="false" outlineLevel="0" collapsed="false">
      <c r="A818" s="0" t="s">
        <v>613</v>
      </c>
      <c r="B818" s="0" t="s">
        <v>69</v>
      </c>
      <c r="D818" s="18" t="n">
        <f aca="false">1</f>
        <v>1</v>
      </c>
      <c r="E818" s="18" t="n">
        <f aca="false">pp_27</f>
        <v>1</v>
      </c>
      <c r="F818" s="18" t="n">
        <f aca="false">pp_28</f>
        <v>0.97</v>
      </c>
      <c r="G818" s="18" t="n">
        <f aca="false">pp_29</f>
        <v>0.94</v>
      </c>
    </row>
    <row r="819" customFormat="false" ht="17.15" hidden="false" customHeight="false" outlineLevel="0" collapsed="false">
      <c r="A819" s="3" t="s">
        <v>614</v>
      </c>
      <c r="B819" s="0" t="s">
        <v>55</v>
      </c>
      <c r="D819" s="14" t="n">
        <f aca="false">a26_ai/D817</f>
        <v>0.172842024579347</v>
      </c>
      <c r="K819" s="7" t="s">
        <v>615</v>
      </c>
    </row>
    <row r="820" customFormat="false" ht="17.15" hidden="false" customHeight="false" outlineLevel="0" collapsed="false">
      <c r="A820" s="3" t="s">
        <v>616</v>
      </c>
      <c r="B820" s="0" t="s">
        <v>69</v>
      </c>
      <c r="D820" s="18" t="n">
        <f aca="false">1</f>
        <v>1</v>
      </c>
      <c r="E820" s="18" t="n">
        <f aca="false">rel_27</f>
        <v>1</v>
      </c>
      <c r="F820" s="18" t="n">
        <f aca="false">rel_28</f>
        <v>0.95</v>
      </c>
      <c r="G820" s="18" t="n">
        <f aca="false">rel_29</f>
        <v>0.9</v>
      </c>
    </row>
    <row r="821" customFormat="false" ht="15" hidden="false" customHeight="false" outlineLevel="0" collapsed="false">
      <c r="A821" s="3" t="s">
        <v>565</v>
      </c>
      <c r="B821" s="0" t="s">
        <v>55</v>
      </c>
      <c r="D821" s="14" t="n">
        <f aca="false">$D$819*D820</f>
        <v>0.172842024579347</v>
      </c>
      <c r="E821" s="14" t="n">
        <f aca="false">$D$819*E820</f>
        <v>0.172842024579347</v>
      </c>
      <c r="F821" s="14" t="n">
        <f aca="false">$D$819*F820</f>
        <v>0.164199923350379</v>
      </c>
      <c r="G821" s="14" t="n">
        <f aca="false">$D$819*G820</f>
        <v>0.155557822121412</v>
      </c>
    </row>
    <row r="822" customFormat="false" ht="17.15" hidden="false" customHeight="false" outlineLevel="0" collapsed="false">
      <c r="A822" s="0" t="s">
        <v>617</v>
      </c>
      <c r="B822" s="0" t="s">
        <v>203</v>
      </c>
      <c r="D822" s="22" t="n">
        <f aca="false">D817*D821*D818</f>
        <v>55.00416</v>
      </c>
      <c r="E822" s="22" t="n">
        <f aca="false">E817*E821*E818</f>
        <v>145.578648187429</v>
      </c>
      <c r="F822" s="22" t="n">
        <f aca="false">F817*F821*F818</f>
        <v>154.338067297361</v>
      </c>
      <c r="G822" s="22" t="n">
        <f aca="false">G817*G821*G818</f>
        <v>188.840003670751</v>
      </c>
    </row>
    <row r="823" customFormat="false" ht="17.15" hidden="false" customHeight="false" outlineLevel="0" collapsed="false">
      <c r="A823" s="5" t="s">
        <v>618</v>
      </c>
    </row>
    <row r="824" customFormat="false" ht="17.15" hidden="false" customHeight="false" outlineLevel="0" collapsed="false">
      <c r="A824" s="3" t="s">
        <v>619</v>
      </c>
      <c r="B824" s="0" t="s">
        <v>69</v>
      </c>
      <c r="D824" s="18" t="n">
        <f aca="false">1</f>
        <v>1</v>
      </c>
      <c r="E824" s="18" t="n">
        <f aca="false">cx_27</f>
        <v>1.45</v>
      </c>
      <c r="F824" s="18" t="n">
        <f aca="false">cx_28</f>
        <v>1.9</v>
      </c>
      <c r="G824" s="18" t="n">
        <f aca="false">cx_29</f>
        <v>2.3</v>
      </c>
      <c r="K824" s="7" t="s">
        <v>620</v>
      </c>
    </row>
    <row r="825" customFormat="false" ht="17.15" hidden="false" customHeight="false" outlineLevel="0" collapsed="false">
      <c r="A825" s="3" t="s">
        <v>621</v>
      </c>
      <c r="B825" s="0" t="s">
        <v>203</v>
      </c>
      <c r="D825" s="22" t="n">
        <f aca="false">a26_rev*D824*D818</f>
        <v>105.40752</v>
      </c>
      <c r="E825" s="22" t="n">
        <f aca="false">a26_rev*E824*E818</f>
        <v>152.840904</v>
      </c>
      <c r="F825" s="22" t="n">
        <f aca="false">a26_rev*F824*F818</f>
        <v>194.26605936</v>
      </c>
      <c r="G825" s="22" t="n">
        <f aca="false">a26_rev*G824*G818</f>
        <v>227.89105824</v>
      </c>
    </row>
    <row r="826" customFormat="false" ht="17.15" hidden="false" customHeight="false" outlineLevel="0" collapsed="false">
      <c r="A826" s="3" t="s">
        <v>622</v>
      </c>
      <c r="B826" s="0" t="s">
        <v>203</v>
      </c>
      <c r="C826" s="22" t="n">
        <f aca="false">a25_nai</f>
        <v>42.0028</v>
      </c>
      <c r="D826" s="22" t="n">
        <f aca="false">a26_nai</f>
        <v>50.40336</v>
      </c>
      <c r="E826" s="22" t="n">
        <f aca="false">D826*(1+g_nai27)</f>
        <v>52.923528</v>
      </c>
      <c r="F826" s="22" t="n">
        <f aca="false">E826*(1+g_nai28)</f>
        <v>54.51123384</v>
      </c>
      <c r="G826" s="22" t="n">
        <f aca="false">F826*(1+g_nai29)</f>
        <v>56.1465708552</v>
      </c>
    </row>
    <row r="827" customFormat="false" ht="17.15" hidden="false" customHeight="false" outlineLevel="0" collapsed="false">
      <c r="A827" s="0" t="s">
        <v>623</v>
      </c>
      <c r="B827" s="0" t="s">
        <v>203</v>
      </c>
      <c r="C827" s="22" t="n">
        <f aca="false">a25_ai</f>
        <v>18.0012</v>
      </c>
      <c r="D827" s="22" t="n">
        <f aca="false">D822</f>
        <v>55.00416</v>
      </c>
      <c r="E827" s="22" t="n">
        <f aca="false">MIN(E822,E825-E826)</f>
        <v>99.917376</v>
      </c>
      <c r="F827" s="22" t="n">
        <f aca="false">MIN(F822,F825-F826)</f>
        <v>139.75482552</v>
      </c>
      <c r="G827" s="22" t="n">
        <f aca="false">MIN(G822,G825-G826)</f>
        <v>171.7444873848</v>
      </c>
      <c r="K827" s="3" t="s">
        <v>624</v>
      </c>
    </row>
    <row r="828" customFormat="false" ht="15" hidden="false" customHeight="false" outlineLevel="0" collapsed="false">
      <c r="A828" s="3" t="s">
        <v>625</v>
      </c>
      <c r="E828" s="0" t="str">
        <f aca="false">IF(E822&gt;E825-E826+0.0001,"受限","未受限")</f>
        <v>受限</v>
      </c>
      <c r="F828" s="0" t="str">
        <f aca="false">IF(F822&gt;F825-F826+0.0001,"受限","未受限")</f>
        <v>受限</v>
      </c>
      <c r="G828" s="0" t="str">
        <f aca="false">IF(G822&gt;G825-G826+0.0001,"受限","未受限")</f>
        <v>受限</v>
      </c>
    </row>
    <row r="829" customFormat="false" ht="17.15" hidden="false" customHeight="false" outlineLevel="0" collapsed="false">
      <c r="A829" s="3" t="s">
        <v>499</v>
      </c>
      <c r="B829" s="0" t="s">
        <v>203</v>
      </c>
      <c r="C829" s="22" t="n">
        <f aca="false">C827+C826</f>
        <v>60.004</v>
      </c>
      <c r="D829" s="22" t="n">
        <f aca="false">D827+D826</f>
        <v>105.40752</v>
      </c>
      <c r="E829" s="22" t="n">
        <f aca="false">E827+E826</f>
        <v>152.840904</v>
      </c>
      <c r="F829" s="22" t="n">
        <f aca="false">F827+F826</f>
        <v>194.26605936</v>
      </c>
      <c r="G829" s="22" t="n">
        <f aca="false">G827+G826</f>
        <v>227.89105824</v>
      </c>
      <c r="H829" s="24" t="n">
        <f aca="false">G829*(1+H830)</f>
        <v>257.226313072804</v>
      </c>
      <c r="I829" s="24" t="n">
        <f aca="false">H829*(1+I830)</f>
        <v>278.92655569709</v>
      </c>
      <c r="J829" s="24" t="n">
        <f aca="false">I829*(1+J830)</f>
        <v>290.083617924974</v>
      </c>
      <c r="K829" s="7" t="s">
        <v>626</v>
      </c>
    </row>
    <row r="830" customFormat="false" ht="15" hidden="false" customHeight="false" outlineLevel="0" collapsed="false">
      <c r="A830" s="3" t="s">
        <v>627</v>
      </c>
      <c r="B830" s="0" t="s">
        <v>55</v>
      </c>
      <c r="D830" s="14" t="n">
        <f aca="false">D829/C829-1</f>
        <v>0.756674888340778</v>
      </c>
      <c r="E830" s="14" t="n">
        <f aca="false">E829/D829-1</f>
        <v>0.45</v>
      </c>
      <c r="F830" s="14" t="n">
        <f aca="false">F829/E829-1</f>
        <v>0.271034482758621</v>
      </c>
      <c r="G830" s="14" t="n">
        <f aca="false">G829/F829-1</f>
        <v>0.173087357569181</v>
      </c>
      <c r="H830" s="25" t="n">
        <f aca="false">$G830+(fade_gB-$G830)*1/3</f>
        <v>0.12872490504612</v>
      </c>
      <c r="I830" s="25" t="n">
        <f aca="false">$G830+(fade_gB-$G830)*2/3</f>
        <v>0.0843624525230602</v>
      </c>
      <c r="J830" s="25" t="n">
        <f aca="false">$G830+(fade_gB-$G830)*3/3</f>
        <v>0.04</v>
      </c>
    </row>
    <row r="831" customFormat="false" ht="17.15" hidden="false" customHeight="false" outlineLevel="0" collapsed="false">
      <c r="A831" s="3" t="s">
        <v>628</v>
      </c>
      <c r="B831" s="0" t="s">
        <v>203</v>
      </c>
      <c r="D831" s="22" t="n">
        <f aca="false">D827*(D812+D814)/D815</f>
        <v>39.4735736470588</v>
      </c>
      <c r="E831" s="22" t="n">
        <f aca="false">E827*(E812+E814)/E815</f>
        <v>74.3056435443038</v>
      </c>
      <c r="F831" s="22" t="n">
        <f aca="false">F827*(F812+F814)/F815</f>
        <v>104.669932084017</v>
      </c>
      <c r="G831" s="22" t="n">
        <f aca="false">G827*(G812+G814)/G815</f>
        <v>128.672405684749</v>
      </c>
      <c r="K831" s="7" t="s">
        <v>629</v>
      </c>
    </row>
    <row r="832" customFormat="false" ht="17.15" hidden="false" customHeight="false" outlineLevel="0" collapsed="false">
      <c r="A832" s="3" t="s">
        <v>630</v>
      </c>
      <c r="B832" s="0" t="s">
        <v>203</v>
      </c>
      <c r="D832" s="22" t="n">
        <f aca="false">D827*D813/D815</f>
        <v>15.5305863529412</v>
      </c>
      <c r="E832" s="22" t="n">
        <f aca="false">E827*E813/E815</f>
        <v>25.6117324556962</v>
      </c>
      <c r="F832" s="22" t="n">
        <f aca="false">F827*F813/F815</f>
        <v>35.0848934359833</v>
      </c>
      <c r="G832" s="22" t="n">
        <f aca="false">G827*G813/G815</f>
        <v>43.0720817000512</v>
      </c>
    </row>
    <row r="833" customFormat="false" ht="17.15" hidden="false" customHeight="false" outlineLevel="0" collapsed="false">
      <c r="A833" s="3" t="s">
        <v>631</v>
      </c>
      <c r="B833" s="0" t="s">
        <v>203</v>
      </c>
      <c r="D833" s="22" t="n">
        <f aca="false">srv26*D829-D831</f>
        <v>42.7442919529412</v>
      </c>
      <c r="E833" s="22" t="n">
        <f aca="false">E826*$D833/$D826</f>
        <v>44.8815065505883</v>
      </c>
      <c r="F833" s="22" t="n">
        <f aca="false">F826*$D833/$D826</f>
        <v>46.2279517471059</v>
      </c>
      <c r="G833" s="22" t="n">
        <f aca="false">G826*$D833/$D826</f>
        <v>47.6147902995191</v>
      </c>
      <c r="K833" s="7" t="s">
        <v>632</v>
      </c>
    </row>
    <row r="834" customFormat="false" ht="17.15" hidden="false" customHeight="false" outlineLevel="0" collapsed="false">
      <c r="A834" s="3" t="s">
        <v>633</v>
      </c>
      <c r="B834" s="0" t="s">
        <v>203</v>
      </c>
      <c r="D834" s="22" t="n">
        <f aca="false">net26*D829-D832</f>
        <v>0.28054164705882</v>
      </c>
      <c r="E834" s="22" t="n">
        <f aca="false">E826*$D834/$D826</f>
        <v>0.294568729411761</v>
      </c>
      <c r="F834" s="22" t="n">
        <f aca="false">F826*$D834/$D826</f>
        <v>0.303405791294114</v>
      </c>
      <c r="G834" s="22" t="n">
        <f aca="false">G826*$D834/$D826</f>
        <v>0.312507965032938</v>
      </c>
    </row>
    <row r="835" customFormat="false" ht="17.15" hidden="false" customHeight="false" outlineLevel="0" collapsed="false">
      <c r="A835" s="3" t="s">
        <v>634</v>
      </c>
      <c r="B835" s="0" t="s">
        <v>203</v>
      </c>
      <c r="C835" s="22" t="n">
        <f aca="false">srv25*C829</f>
        <v>48.0032</v>
      </c>
      <c r="D835" s="22" t="n">
        <f aca="false">D831+D833</f>
        <v>82.2178656</v>
      </c>
      <c r="E835" s="22" t="n">
        <f aca="false">E831+E833</f>
        <v>119.187150094892</v>
      </c>
      <c r="F835" s="22" t="n">
        <f aca="false">F831+F833</f>
        <v>150.897883831123</v>
      </c>
      <c r="G835" s="22" t="n">
        <f aca="false">G831+G833</f>
        <v>176.287195984268</v>
      </c>
      <c r="K835" s="3" t="s">
        <v>635</v>
      </c>
    </row>
    <row r="836" customFormat="false" ht="15" hidden="false" customHeight="false" outlineLevel="0" collapsed="false">
      <c r="A836" s="3" t="s">
        <v>636</v>
      </c>
      <c r="B836" s="0" t="s">
        <v>203</v>
      </c>
      <c r="C836" s="22" t="n">
        <f aca="false">net25*C829</f>
        <v>6.0004</v>
      </c>
      <c r="D836" s="22" t="n">
        <f aca="false">D832+D834</f>
        <v>15.811128</v>
      </c>
      <c r="E836" s="22" t="n">
        <f aca="false">E832+E834</f>
        <v>25.906301185108</v>
      </c>
      <c r="F836" s="22" t="n">
        <f aca="false">F832+F834</f>
        <v>35.3882992272774</v>
      </c>
      <c r="G836" s="22" t="n">
        <f aca="false">G832+G834</f>
        <v>43.3845896650841</v>
      </c>
      <c r="K836" s="3" t="s">
        <v>637</v>
      </c>
    </row>
    <row r="837" customFormat="false" ht="15" hidden="false" customHeight="false" outlineLevel="0" collapsed="false">
      <c r="A837" s="3" t="s">
        <v>638</v>
      </c>
      <c r="B837" s="0" t="s">
        <v>203</v>
      </c>
      <c r="C837" s="22" t="n">
        <f aca="false">C829-C835-C836</f>
        <v>6.0004</v>
      </c>
      <c r="D837" s="22" t="n">
        <f aca="false">D829-D835-D836</f>
        <v>7.3785264</v>
      </c>
      <c r="E837" s="22" t="n">
        <f aca="false">E829-E835-E836</f>
        <v>7.74745271999998</v>
      </c>
      <c r="F837" s="22" t="n">
        <f aca="false">F829-F835-F836</f>
        <v>7.9798763016</v>
      </c>
      <c r="G837" s="22" t="n">
        <f aca="false">G829-G835-G836</f>
        <v>8.21927259064798</v>
      </c>
      <c r="K837" s="3" t="s">
        <v>639</v>
      </c>
    </row>
    <row r="838" customFormat="false" ht="17.15" hidden="false" customHeight="false" outlineLevel="0" collapsed="false">
      <c r="A838" s="3" t="s">
        <v>640</v>
      </c>
      <c r="B838" s="0" t="s">
        <v>203</v>
      </c>
      <c r="C838" s="28" t="n">
        <f aca="false">C835+C836+C837-C829</f>
        <v>0</v>
      </c>
      <c r="D838" s="28" t="n">
        <f aca="false">ROUND(D833+D834+D837-D826,9)</f>
        <v>0</v>
      </c>
      <c r="E838" s="28" t="n">
        <f aca="false">ROUND(E833+E834+E837-E826,9)</f>
        <v>0</v>
      </c>
      <c r="F838" s="28" t="n">
        <f aca="false">ROUND(F833+F834+F837-F826,9)</f>
        <v>0</v>
      </c>
      <c r="G838" s="28" t="n">
        <f aca="false">ROUND(G833+G834+G837-G826,9)</f>
        <v>0</v>
      </c>
    </row>
    <row r="839" customFormat="false" ht="17.15" hidden="false" customHeight="false" outlineLevel="0" collapsed="false">
      <c r="A839" s="0" t="s">
        <v>641</v>
      </c>
      <c r="B839" s="0" t="s">
        <v>55</v>
      </c>
      <c r="C839" s="14" t="n">
        <f aca="false">C827/C829</f>
        <v>0.3</v>
      </c>
      <c r="D839" s="14" t="n">
        <f aca="false">D827/D829</f>
        <v>0.521823869871903</v>
      </c>
      <c r="E839" s="14" t="n">
        <f aca="false">E827/E829</f>
        <v>0.653734526458964</v>
      </c>
      <c r="F839" s="14" t="n">
        <f aca="false">F827/F829</f>
        <v>0.71939908587437</v>
      </c>
      <c r="G839" s="14" t="n">
        <f aca="false">G827/G829</f>
        <v>0.753625388864226</v>
      </c>
    </row>
    <row r="840" customFormat="false" ht="17.15" hidden="false" customHeight="false" outlineLevel="0" collapsed="false">
      <c r="A840" s="3" t="s">
        <v>642</v>
      </c>
      <c r="B840" s="0" t="s">
        <v>55</v>
      </c>
      <c r="D840" s="14" t="n">
        <f aca="false">(D822+D826)/D825</f>
        <v>1</v>
      </c>
      <c r="E840" s="14" t="n">
        <f aca="false">(E822+E826)/E825</f>
        <v>1.29875034099137</v>
      </c>
      <c r="F840" s="14" t="n">
        <f aca="false">(F822+F826)/F825</f>
        <v>1.07506839756468</v>
      </c>
      <c r="G840" s="14" t="n">
        <f aca="false">(G822+G826)/G825</f>
        <v>1.07501617842306</v>
      </c>
      <c r="K840" s="3" t="s">
        <v>643</v>
      </c>
    </row>
    <row r="841" customFormat="false" ht="17.15" hidden="false" customHeight="false" outlineLevel="0" collapsed="false">
      <c r="A841" s="3" t="s">
        <v>569</v>
      </c>
      <c r="B841" s="0" t="s">
        <v>96</v>
      </c>
      <c r="D841" s="21" t="n">
        <f aca="false">D827/fx/D811*1000</f>
        <v>73.4578604462224</v>
      </c>
      <c r="E841" s="21" t="n">
        <f aca="false">E827/fx/E811*1000</f>
        <v>74.9738410190283</v>
      </c>
      <c r="F841" s="21" t="n">
        <f aca="false">F827/fx/F811*1000</f>
        <v>103.408822959553</v>
      </c>
      <c r="G841" s="21" t="n">
        <f aca="false">G827/fx/G811*1000</f>
        <v>104.993073222002</v>
      </c>
    </row>
    <row r="842" customFormat="false" ht="17.15" hidden="false" customHeight="false" outlineLevel="0" collapsed="false">
      <c r="A842" s="5" t="s">
        <v>644</v>
      </c>
    </row>
    <row r="843" customFormat="false" ht="17.15" hidden="false" customHeight="false" outlineLevel="0" collapsed="false">
      <c r="A843" s="3" t="s">
        <v>645</v>
      </c>
      <c r="B843" s="0" t="s">
        <v>55</v>
      </c>
      <c r="D843" s="14" t="n">
        <f aca="false">a26_gp/D829-d_ai_lo*D839</f>
        <v>0.317528160229934</v>
      </c>
      <c r="K843" s="7" t="s">
        <v>646</v>
      </c>
    </row>
    <row r="844" customFormat="false" ht="17.15" hidden="false" customHeight="false" outlineLevel="0" collapsed="false">
      <c r="A844" s="0" t="s">
        <v>647</v>
      </c>
      <c r="B844" s="0" t="s">
        <v>55</v>
      </c>
      <c r="D844" s="14" t="n">
        <f aca="false">D843+d_ai_lo</f>
        <v>0.377528160229934</v>
      </c>
      <c r="E844" s="14" t="n">
        <f aca="false">1-(1-$D$844)/E818+gmu_27</f>
        <v>0.387528160229934</v>
      </c>
      <c r="F844" s="14" t="n">
        <f aca="false">1-(1-$D$844)/F818+gmu_28</f>
        <v>0.373276453845293</v>
      </c>
      <c r="G844" s="14" t="n">
        <f aca="false">1-(1-$D$844)/G818+gmu_29</f>
        <v>0.357795915138228</v>
      </c>
      <c r="K844" s="7" t="s">
        <v>648</v>
      </c>
    </row>
    <row r="845" customFormat="false" ht="15" hidden="false" customHeight="false" outlineLevel="0" collapsed="false">
      <c r="A845" s="3" t="s">
        <v>503</v>
      </c>
      <c r="B845" s="0" t="s">
        <v>203</v>
      </c>
      <c r="C845" s="22" t="n">
        <f aca="false">a25_gp</f>
        <v>19.683</v>
      </c>
      <c r="D845" s="22" t="n">
        <f aca="false">a26_gp</f>
        <v>36.7701055</v>
      </c>
      <c r="E845" s="22" t="n">
        <f aca="false">E827*E844+E826*$D$843</f>
        <v>55.525507375</v>
      </c>
      <c r="F845" s="22" t="n">
        <f aca="false">F827*F844+F826*$D$843</f>
        <v>69.4760374709522</v>
      </c>
      <c r="G845" s="22" t="n">
        <f aca="false">G827*G844+G826*$D$843</f>
        <v>79.2775933806617</v>
      </c>
    </row>
    <row r="846" customFormat="false" ht="15" hidden="false" customHeight="false" outlineLevel="0" collapsed="false">
      <c r="A846" s="3" t="s">
        <v>506</v>
      </c>
      <c r="B846" s="0" t="s">
        <v>55</v>
      </c>
      <c r="C846" s="14" t="n">
        <f aca="false">C845/C829</f>
        <v>0.328028131457903</v>
      </c>
      <c r="D846" s="14" t="n">
        <f aca="false">D845/D829</f>
        <v>0.348837592422248</v>
      </c>
      <c r="E846" s="14" t="n">
        <f aca="false">E845/E829</f>
        <v>0.363289577082062</v>
      </c>
      <c r="F846" s="14" t="n">
        <f aca="false">F845/F829</f>
        <v>0.357633431695879</v>
      </c>
      <c r="G846" s="14" t="n">
        <f aca="false">G845/G829</f>
        <v>0.347874962681386</v>
      </c>
    </row>
    <row r="847" customFormat="false" ht="15" hidden="false" customHeight="false" outlineLevel="0" collapsed="false">
      <c r="A847" s="3" t="s">
        <v>649</v>
      </c>
      <c r="B847" s="0" t="s">
        <v>203</v>
      </c>
      <c r="C847" s="22" t="n">
        <f aca="false">a25_opx</f>
        <v>5.64</v>
      </c>
      <c r="D847" s="22" t="n">
        <f aca="false">a26_opx</f>
        <v>8.4779754</v>
      </c>
      <c r="E847" s="22" t="n">
        <f aca="false">D847*(1+MAX(0,phi*E830))</f>
        <v>10.767028758</v>
      </c>
      <c r="F847" s="22" t="n">
        <f aca="false">E847*(1+MAX(0,phi*F830))</f>
        <v>12.517970400163</v>
      </c>
      <c r="G847" s="22" t="n">
        <f aca="false">F847*(1+MAX(0,phi*G830))</f>
        <v>13.8179918513791</v>
      </c>
    </row>
    <row r="848" customFormat="false" ht="15" hidden="false" customHeight="false" outlineLevel="0" collapsed="false">
      <c r="A848" s="3" t="s">
        <v>508</v>
      </c>
      <c r="B848" s="0" t="s">
        <v>203</v>
      </c>
      <c r="C848" s="22" t="n">
        <f aca="false">C847</f>
        <v>5.64</v>
      </c>
      <c r="D848" s="22" t="n">
        <f aca="false">D847</f>
        <v>8.4779754</v>
      </c>
      <c r="E848" s="22" t="n">
        <f aca="false">E847+0*E829</f>
        <v>10.767028758</v>
      </c>
      <c r="F848" s="22" t="n">
        <f aca="false">F847+0*F829</f>
        <v>12.517970400163</v>
      </c>
      <c r="G848" s="22" t="n">
        <f aca="false">G847+0*G829</f>
        <v>13.8179918513791</v>
      </c>
    </row>
    <row r="849" customFormat="false" ht="15" hidden="false" customHeight="false" outlineLevel="0" collapsed="false">
      <c r="A849" s="3" t="s">
        <v>650</v>
      </c>
      <c r="B849" s="0" t="s">
        <v>203</v>
      </c>
      <c r="C849" s="22" t="n">
        <f aca="false">C845-C848</f>
        <v>14.043</v>
      </c>
      <c r="D849" s="22" t="n">
        <f aca="false">D845-D848</f>
        <v>28.2921301</v>
      </c>
      <c r="E849" s="22" t="n">
        <f aca="false">E845-E848</f>
        <v>44.758478617</v>
      </c>
      <c r="F849" s="22" t="n">
        <f aca="false">F845-F848</f>
        <v>56.9580670707892</v>
      </c>
      <c r="G849" s="22" t="n">
        <f aca="false">G845-G848</f>
        <v>65.4596015292826</v>
      </c>
    </row>
    <row r="850" customFormat="false" ht="15" hidden="false" customHeight="false" outlineLevel="0" collapsed="false">
      <c r="A850" s="3" t="s">
        <v>514</v>
      </c>
      <c r="B850" s="0" t="s">
        <v>55</v>
      </c>
      <c r="C850" s="14" t="n">
        <f aca="false">C849/C829</f>
        <v>0.23403439770682</v>
      </c>
      <c r="D850" s="14" t="n">
        <f aca="false">D849/D829</f>
        <v>0.268407131673338</v>
      </c>
      <c r="E850" s="14" t="n">
        <f aca="false">E849/E829</f>
        <v>0.292843587322671</v>
      </c>
      <c r="F850" s="14" t="n">
        <f aca="false">F849/F829</f>
        <v>0.293196182896975</v>
      </c>
      <c r="G850" s="14" t="n">
        <f aca="false">G849/G829</f>
        <v>0.287240763349059</v>
      </c>
    </row>
    <row r="851" customFormat="false" ht="17.15" hidden="false" customHeight="false" outlineLevel="0" collapsed="false">
      <c r="A851" s="3" t="s">
        <v>515</v>
      </c>
      <c r="B851" s="0" t="s">
        <v>203</v>
      </c>
      <c r="E851" s="22" t="n">
        <f aca="false">nop_f</f>
        <v>0</v>
      </c>
      <c r="F851" s="22" t="n">
        <f aca="false">nop_f</f>
        <v>0</v>
      </c>
      <c r="G851" s="22" t="n">
        <f aca="false">nop_f</f>
        <v>0</v>
      </c>
      <c r="K851" s="7" t="s">
        <v>651</v>
      </c>
    </row>
    <row r="852" customFormat="false" ht="15" hidden="false" customHeight="false" outlineLevel="0" collapsed="false">
      <c r="A852" s="3" t="s">
        <v>520</v>
      </c>
      <c r="B852" s="0" t="s">
        <v>203</v>
      </c>
      <c r="C852" s="22" t="n">
        <f aca="false">a25_ni</f>
        <v>9.607</v>
      </c>
      <c r="D852" s="22" t="n">
        <f aca="false">a26_ni</f>
        <v>19.6977289395284</v>
      </c>
      <c r="E852" s="22" t="n">
        <f aca="false">(E849+E851)*nir_f</f>
        <v>30.659557852645</v>
      </c>
      <c r="F852" s="22" t="n">
        <f aca="false">(F849+F851)*nir_f</f>
        <v>39.0162759434906</v>
      </c>
      <c r="G852" s="22" t="n">
        <f aca="false">(G849+G851)*nir_f</f>
        <v>44.8398270475586</v>
      </c>
      <c r="H852" s="24" t="n">
        <f aca="false">H829*H857</f>
        <v>47.8723790305904</v>
      </c>
      <c r="I852" s="24" t="n">
        <f aca="false">I829*I857</f>
        <v>48.9404530753711</v>
      </c>
      <c r="J852" s="24" t="n">
        <f aca="false">J829*J857</f>
        <v>47.8086916496984</v>
      </c>
    </row>
    <row r="853" customFormat="false" ht="17.15" hidden="false" customHeight="false" outlineLevel="0" collapsed="false">
      <c r="A853" s="3" t="s">
        <v>523</v>
      </c>
      <c r="B853" s="0" t="s">
        <v>55</v>
      </c>
      <c r="C853" s="14" t="n">
        <f aca="false">C852/C849</f>
        <v>0.684113081250445</v>
      </c>
      <c r="D853" s="14" t="n">
        <f aca="false">D852/D849</f>
        <v>0.696226437171953</v>
      </c>
      <c r="E853" s="14" t="n">
        <f aca="false">E852/E849</f>
        <v>0.685</v>
      </c>
      <c r="F853" s="14" t="n">
        <f aca="false">F852/F849</f>
        <v>0.685</v>
      </c>
      <c r="G853" s="14" t="n">
        <f aca="false">G852/G849</f>
        <v>0.685</v>
      </c>
    </row>
    <row r="854" customFormat="false" ht="17.15" hidden="false" customHeight="false" outlineLevel="0" collapsed="false">
      <c r="A854" s="3" t="s">
        <v>652</v>
      </c>
      <c r="B854" s="3" t="s">
        <v>233</v>
      </c>
      <c r="C854" s="27" t="n">
        <f aca="false">a25_sh</f>
        <v>0.493425783256292</v>
      </c>
      <c r="D854" s="27" t="n">
        <f aca="false">a26_sh</f>
        <v>0.512980850061958</v>
      </c>
      <c r="E854" s="27" t="n">
        <f aca="false">sh_h2*(1+sh_g)</f>
        <v>0.51889356</v>
      </c>
      <c r="F854" s="27" t="n">
        <f aca="false">E854*(1+sh_g)</f>
        <v>0.5240824956</v>
      </c>
      <c r="G854" s="27" t="n">
        <f aca="false">F854*(1+sh_g)</f>
        <v>0.529323320556</v>
      </c>
      <c r="H854" s="29" t="n">
        <f aca="false">G854*(1+sh_g)</f>
        <v>0.53461655376156</v>
      </c>
      <c r="I854" s="29" t="n">
        <f aca="false">H854*(1+sh_g)</f>
        <v>0.539962719299176</v>
      </c>
      <c r="J854" s="29" t="n">
        <f aca="false">I854*(1+sh_g)</f>
        <v>0.545362346492167</v>
      </c>
      <c r="K854" s="7" t="s">
        <v>653</v>
      </c>
    </row>
    <row r="855" customFormat="false" ht="15" hidden="false" customHeight="false" outlineLevel="0" collapsed="false">
      <c r="A855" s="0" t="s">
        <v>526</v>
      </c>
      <c r="B855" s="0" t="s">
        <v>271</v>
      </c>
      <c r="C855" s="23" t="n">
        <f aca="false">C852/C854</f>
        <v>19.47</v>
      </c>
      <c r="D855" s="23" t="n">
        <f aca="false">D852/D854</f>
        <v>38.3985658278458</v>
      </c>
      <c r="E855" s="23" t="n">
        <f aca="false">E852/E854</f>
        <v>59.0864104242207</v>
      </c>
      <c r="F855" s="23" t="n">
        <f aca="false">F852/F854</f>
        <v>74.4468213898701</v>
      </c>
      <c r="G855" s="23" t="n">
        <f aca="false">G852/G854</f>
        <v>84.7116031095303</v>
      </c>
      <c r="H855" s="30" t="n">
        <f aca="false">H852/H854</f>
        <v>89.5452613536946</v>
      </c>
      <c r="I855" s="30" t="n">
        <f aca="false">I852/I854</f>
        <v>90.6367260667395</v>
      </c>
      <c r="J855" s="30" t="n">
        <f aca="false">J852/J854</f>
        <v>87.6640860103551</v>
      </c>
    </row>
    <row r="856" customFormat="false" ht="17.15" hidden="false" customHeight="false" outlineLevel="0" collapsed="false">
      <c r="A856" s="0" t="s">
        <v>654</v>
      </c>
      <c r="B856" s="0" t="s">
        <v>55</v>
      </c>
      <c r="D856" s="14" t="n">
        <f aca="false">D855/C855-1</f>
        <v>0.9721913624985</v>
      </c>
      <c r="E856" s="14" t="n">
        <f aca="false">E855/D855-1</f>
        <v>0.538766074991597</v>
      </c>
      <c r="F856" s="14" t="n">
        <f aca="false">F855/E855-1</f>
        <v>0.259965207826415</v>
      </c>
      <c r="G856" s="14" t="n">
        <f aca="false">G855/F855-1</f>
        <v>0.137880725167629</v>
      </c>
      <c r="H856" s="25" t="n">
        <f aca="false">H855/G855-1</f>
        <v>0.0570601672820956</v>
      </c>
      <c r="I856" s="25" t="n">
        <f aca="false">I855/H855-1</f>
        <v>0.0121889723313633</v>
      </c>
      <c r="J856" s="25" t="n">
        <f aca="false">J855/I855-1</f>
        <v>-0.0327973017714206</v>
      </c>
    </row>
    <row r="857" customFormat="false" ht="17.15" hidden="false" customHeight="false" outlineLevel="0" collapsed="false">
      <c r="A857" s="3" t="s">
        <v>655</v>
      </c>
      <c r="B857" s="0" t="s">
        <v>55</v>
      </c>
      <c r="C857" s="14" t="n">
        <f aca="false">C852/C829</f>
        <v>0.160105992933804</v>
      </c>
      <c r="D857" s="14" t="n">
        <f aca="false">D852/D829</f>
        <v>0.186872140996471</v>
      </c>
      <c r="E857" s="14" t="n">
        <f aca="false">E852/E829</f>
        <v>0.20059785731603</v>
      </c>
      <c r="F857" s="14" t="n">
        <f aca="false">F852/F829</f>
        <v>0.200839385284428</v>
      </c>
      <c r="G857" s="14" t="n">
        <f aca="false">G852/G829</f>
        <v>0.196759922894106</v>
      </c>
      <c r="H857" s="25" t="n">
        <f aca="false">$G857+(fade_mB-$G857)*1/3</f>
        <v>0.186109960752891</v>
      </c>
      <c r="I857" s="25" t="n">
        <f aca="false">$G857+(fade_mB-$G857)*2/3</f>
        <v>0.175459998611676</v>
      </c>
      <c r="J857" s="25" t="n">
        <f aca="false">$G857+(fade_mB-$G857)*3/3</f>
        <v>0.164810036470462</v>
      </c>
    </row>
    <row r="860" customFormat="false" ht="17.15" hidden="false" customHeight="false" outlineLevel="0" collapsed="false">
      <c r="A860" s="1" t="s">
        <v>1005</v>
      </c>
    </row>
    <row r="861" customFormat="false" ht="17.15" hidden="false" customHeight="false" outlineLevel="0" collapsed="false">
      <c r="A861" s="4" t="s">
        <v>24</v>
      </c>
      <c r="B861" s="4" t="s">
        <v>25</v>
      </c>
      <c r="C861" s="15" t="s">
        <v>494</v>
      </c>
      <c r="D861" s="15" t="s">
        <v>583</v>
      </c>
      <c r="E861" s="15" t="s">
        <v>584</v>
      </c>
      <c r="F861" s="15" t="s">
        <v>585</v>
      </c>
      <c r="G861" s="15" t="s">
        <v>586</v>
      </c>
      <c r="H861" s="15" t="s">
        <v>587</v>
      </c>
      <c r="I861" s="15" t="s">
        <v>588</v>
      </c>
      <c r="J861" s="15" t="s">
        <v>589</v>
      </c>
      <c r="K861" s="4" t="s">
        <v>458</v>
      </c>
    </row>
    <row r="862" customFormat="false" ht="17.15" hidden="false" customHeight="false" outlineLevel="0" collapsed="false">
      <c r="A862" s="5" t="s">
        <v>605</v>
      </c>
    </row>
    <row r="863" customFormat="false" ht="17.15" hidden="false" customHeight="false" outlineLevel="0" collapsed="false">
      <c r="A863" s="0" t="s">
        <v>606</v>
      </c>
      <c r="B863" s="0" t="s">
        <v>35</v>
      </c>
      <c r="D863" s="23" t="n">
        <f aca="false">itc_26*1</f>
        <v>781.872916666666</v>
      </c>
      <c r="E863" s="23" t="n">
        <f aca="false">itc_27*1*1</f>
        <v>1565.35</v>
      </c>
      <c r="F863" s="23" t="n">
        <f aca="false">itc_28*um28_B*1</f>
        <v>1587.41111111111</v>
      </c>
      <c r="G863" s="23" t="n">
        <f aca="false">itc_29*um29_B*1</f>
        <v>1921.33173611111</v>
      </c>
    </row>
    <row r="864" customFormat="false" ht="17.15" hidden="false" customHeight="false" outlineLevel="0" collapsed="false">
      <c r="A864" s="3" t="s">
        <v>607</v>
      </c>
      <c r="B864" s="0" t="s">
        <v>35</v>
      </c>
      <c r="D864" s="23" t="n">
        <f aca="false">itpg_gb*(1-vr26)+itpg_vr*vr26</f>
        <v>33.41403216</v>
      </c>
      <c r="E864" s="23" t="n">
        <f aca="false">itpg_vr</f>
        <v>37.586352</v>
      </c>
      <c r="F864" s="23" t="n">
        <f aca="false">itpg_vr</f>
        <v>37.586352</v>
      </c>
      <c r="G864" s="23" t="n">
        <f aca="false">itpg_vr</f>
        <v>37.586352</v>
      </c>
    </row>
    <row r="865" customFormat="false" ht="17.15" hidden="false" customHeight="false" outlineLevel="0" collapsed="false">
      <c r="A865" s="3" t="s">
        <v>608</v>
      </c>
      <c r="B865" s="0" t="s">
        <v>549</v>
      </c>
      <c r="D865" s="20" t="n">
        <f aca="false">D863/D864</f>
        <v>23.3995380420639</v>
      </c>
      <c r="E865" s="20" t="n">
        <f aca="false">E863/E864</f>
        <v>41.6467658260637</v>
      </c>
      <c r="F865" s="20" t="n">
        <f aca="false">F863/F864</f>
        <v>42.2337105529984</v>
      </c>
      <c r="G865" s="20" t="n">
        <f aca="false">G863/G864</f>
        <v>51.1178029756948</v>
      </c>
    </row>
    <row r="866" customFormat="false" ht="17.15" hidden="false" customHeight="false" outlineLevel="0" collapsed="false">
      <c r="A866" s="3" t="s">
        <v>553</v>
      </c>
      <c r="B866" s="0" t="s">
        <v>96</v>
      </c>
      <c r="D866" s="21" t="n">
        <f aca="false">vg_cmp26</f>
        <v>280</v>
      </c>
      <c r="E866" s="21" t="n">
        <f aca="false">(vg_cmp26+(vg_cmp27-vg_cmp26)*pgwf)</f>
        <v>420</v>
      </c>
      <c r="F866" s="21" t="n">
        <f aca="false">(vg_cmp26+(vg_cmp28-vg_cmp26)*pgwf)</f>
        <v>462</v>
      </c>
      <c r="G866" s="21" t="n">
        <f aca="false">(vg_cmp26+(vg_cmp29-vg_cmp26)*pgwf)</f>
        <v>504</v>
      </c>
    </row>
    <row r="867" customFormat="false" ht="17.15" hidden="false" customHeight="false" outlineLevel="0" collapsed="false">
      <c r="A867" s="3" t="s">
        <v>555</v>
      </c>
      <c r="B867" s="0" t="s">
        <v>96</v>
      </c>
      <c r="D867" s="21" t="n">
        <f aca="false">vg_sw26</f>
        <v>120</v>
      </c>
      <c r="E867" s="21" t="n">
        <f aca="false">(vg_sw26+(vg_sw27-vg_sw26)*pgwf)</f>
        <v>162</v>
      </c>
      <c r="F867" s="21" t="n">
        <f aca="false">(vg_sw26+(vg_sw28-vg_sw26)*pgwf)</f>
        <v>180</v>
      </c>
      <c r="G867" s="21" t="n">
        <f aca="false">(vg_sw26+(vg_sw29-vg_sw26)*pgwf)</f>
        <v>198</v>
      </c>
    </row>
    <row r="868" customFormat="false" ht="17.15" hidden="false" customHeight="false" outlineLevel="0" collapsed="false">
      <c r="A868" s="3" t="s">
        <v>609</v>
      </c>
      <c r="B868" s="0" t="s">
        <v>96</v>
      </c>
      <c r="D868" s="21" t="n">
        <f aca="false">vg_mid26*w_mid</f>
        <v>25</v>
      </c>
      <c r="E868" s="21" t="n">
        <f aca="false">(vg_mid26+(vg_mid27-vg_mid26)*pgwf)*w_mid</f>
        <v>50</v>
      </c>
      <c r="F868" s="21" t="n">
        <f aca="false">(vg_mid26+(vg_mid28-vg_mid26)*pgwf)*w_mid</f>
        <v>75</v>
      </c>
      <c r="G868" s="21" t="n">
        <f aca="false">(vg_mid26+(vg_mid29-vg_mid26)*pgwf)*w_mid</f>
        <v>87.5</v>
      </c>
    </row>
    <row r="869" customFormat="false" ht="17.15" hidden="false" customHeight="false" outlineLevel="0" collapsed="false">
      <c r="A869" s="3" t="s">
        <v>610</v>
      </c>
      <c r="B869" s="0" t="s">
        <v>96</v>
      </c>
      <c r="D869" s="21" t="n">
        <f aca="false">D866+D867+D868</f>
        <v>425</v>
      </c>
      <c r="E869" s="21" t="n">
        <f aca="false">E866+E867+E868</f>
        <v>632</v>
      </c>
      <c r="F869" s="21" t="n">
        <f aca="false">F866+F867+F868</f>
        <v>717</v>
      </c>
      <c r="G869" s="21" t="n">
        <f aca="false">G866+G867+G868</f>
        <v>789.5</v>
      </c>
    </row>
    <row r="870" customFormat="false" ht="17.15" hidden="false" customHeight="false" outlineLevel="0" collapsed="false">
      <c r="A870" s="3" t="s">
        <v>611</v>
      </c>
      <c r="B870" s="0" t="s">
        <v>35</v>
      </c>
      <c r="D870" s="23" t="n">
        <f aca="false">D865*D869/1000</f>
        <v>9.94480366787715</v>
      </c>
      <c r="E870" s="23" t="n">
        <f aca="false">E865*E869/1000</f>
        <v>26.3207560020722</v>
      </c>
      <c r="F870" s="23" t="n">
        <f aca="false">F865*F869/1000</f>
        <v>30.2815704664998</v>
      </c>
      <c r="G870" s="23" t="n">
        <f aca="false">G865*G869/1000</f>
        <v>40.3575054493111</v>
      </c>
    </row>
    <row r="871" customFormat="false" ht="17.15" hidden="false" customHeight="false" outlineLevel="0" collapsed="false">
      <c r="A871" s="3" t="s">
        <v>612</v>
      </c>
      <c r="B871" s="0" t="s">
        <v>203</v>
      </c>
      <c r="D871" s="22" t="n">
        <f aca="false">D870*fx</f>
        <v>318.233717372069</v>
      </c>
      <c r="E871" s="22" t="n">
        <f aca="false">E870*fx</f>
        <v>842.264192066312</v>
      </c>
      <c r="F871" s="22" t="n">
        <f aca="false">F870*fx</f>
        <v>969.010254927995</v>
      </c>
      <c r="G871" s="22" t="n">
        <f aca="false">G870*fx</f>
        <v>1291.44017437795</v>
      </c>
    </row>
    <row r="872" customFormat="false" ht="17.15" hidden="false" customHeight="false" outlineLevel="0" collapsed="false">
      <c r="A872" s="0" t="s">
        <v>613</v>
      </c>
      <c r="B872" s="0" t="s">
        <v>69</v>
      </c>
      <c r="D872" s="18" t="n">
        <f aca="false">1</f>
        <v>1</v>
      </c>
      <c r="E872" s="18" t="n">
        <f aca="false">pp_27</f>
        <v>1</v>
      </c>
      <c r="F872" s="18" t="n">
        <f aca="false">pp_28</f>
        <v>0.97</v>
      </c>
      <c r="G872" s="18" t="n">
        <f aca="false">pp_29</f>
        <v>0.94</v>
      </c>
    </row>
    <row r="873" customFormat="false" ht="17.15" hidden="false" customHeight="false" outlineLevel="0" collapsed="false">
      <c r="A873" s="3" t="s">
        <v>614</v>
      </c>
      <c r="B873" s="0" t="s">
        <v>55</v>
      </c>
      <c r="D873" s="14" t="n">
        <f aca="false">a26_ai/D871</f>
        <v>0.172842024579347</v>
      </c>
      <c r="K873" s="7" t="s">
        <v>615</v>
      </c>
    </row>
    <row r="874" customFormat="false" ht="17.15" hidden="false" customHeight="false" outlineLevel="0" collapsed="false">
      <c r="A874" s="3" t="s">
        <v>616</v>
      </c>
      <c r="B874" s="0" t="s">
        <v>69</v>
      </c>
      <c r="D874" s="18" t="n">
        <f aca="false">1</f>
        <v>1</v>
      </c>
      <c r="E874" s="18" t="n">
        <f aca="false">rel_27</f>
        <v>1</v>
      </c>
      <c r="F874" s="18" t="n">
        <f aca="false">rel_28</f>
        <v>0.95</v>
      </c>
      <c r="G874" s="18" t="n">
        <f aca="false">rel_29</f>
        <v>0.9</v>
      </c>
    </row>
    <row r="875" customFormat="false" ht="15" hidden="false" customHeight="false" outlineLevel="0" collapsed="false">
      <c r="A875" s="3" t="s">
        <v>565</v>
      </c>
      <c r="B875" s="0" t="s">
        <v>55</v>
      </c>
      <c r="D875" s="14" t="n">
        <f aca="false">$D$873*D874</f>
        <v>0.172842024579347</v>
      </c>
      <c r="E875" s="14" t="n">
        <f aca="false">$D$873*E874</f>
        <v>0.172842024579347</v>
      </c>
      <c r="F875" s="14" t="n">
        <f aca="false">$D$873*F874</f>
        <v>0.164199923350379</v>
      </c>
      <c r="G875" s="14" t="n">
        <f aca="false">$D$873*G874</f>
        <v>0.155557822121412</v>
      </c>
    </row>
    <row r="876" customFormat="false" ht="17.15" hidden="false" customHeight="false" outlineLevel="0" collapsed="false">
      <c r="A876" s="0" t="s">
        <v>617</v>
      </c>
      <c r="B876" s="0" t="s">
        <v>203</v>
      </c>
      <c r="D876" s="22" t="n">
        <f aca="false">D871*D875*D872</f>
        <v>55.00416</v>
      </c>
      <c r="E876" s="22" t="n">
        <f aca="false">E871*E875*E872</f>
        <v>145.578648187429</v>
      </c>
      <c r="F876" s="22" t="n">
        <f aca="false">F871*F875*F872</f>
        <v>154.338067297361</v>
      </c>
      <c r="G876" s="22" t="n">
        <f aca="false">G871*G875*G872</f>
        <v>188.840003670751</v>
      </c>
    </row>
    <row r="877" customFormat="false" ht="17.15" hidden="false" customHeight="false" outlineLevel="0" collapsed="false">
      <c r="A877" s="5" t="s">
        <v>618</v>
      </c>
    </row>
    <row r="878" customFormat="false" ht="17.15" hidden="false" customHeight="false" outlineLevel="0" collapsed="false">
      <c r="A878" s="3" t="s">
        <v>619</v>
      </c>
      <c r="B878" s="0" t="s">
        <v>69</v>
      </c>
      <c r="D878" s="18" t="n">
        <f aca="false">1</f>
        <v>1</v>
      </c>
      <c r="E878" s="18" t="n">
        <f aca="false">cx_27</f>
        <v>1.45</v>
      </c>
      <c r="F878" s="18" t="n">
        <f aca="false">cx_28</f>
        <v>1.9</v>
      </c>
      <c r="G878" s="18" t="n">
        <f aca="false">cx_29</f>
        <v>2.3</v>
      </c>
      <c r="K878" s="7" t="s">
        <v>620</v>
      </c>
    </row>
    <row r="879" customFormat="false" ht="17.15" hidden="false" customHeight="false" outlineLevel="0" collapsed="false">
      <c r="A879" s="3" t="s">
        <v>621</v>
      </c>
      <c r="B879" s="0" t="s">
        <v>203</v>
      </c>
      <c r="D879" s="22" t="n">
        <f aca="false">a26_rev*D878*D872</f>
        <v>105.40752</v>
      </c>
      <c r="E879" s="22" t="n">
        <f aca="false">a26_rev*E878*E872</f>
        <v>152.840904</v>
      </c>
      <c r="F879" s="22" t="n">
        <f aca="false">a26_rev*F878*F872</f>
        <v>194.26605936</v>
      </c>
      <c r="G879" s="22" t="n">
        <f aca="false">a26_rev*G878*G872</f>
        <v>227.89105824</v>
      </c>
    </row>
    <row r="880" customFormat="false" ht="17.15" hidden="false" customHeight="false" outlineLevel="0" collapsed="false">
      <c r="A880" s="3" t="s">
        <v>622</v>
      </c>
      <c r="B880" s="0" t="s">
        <v>203</v>
      </c>
      <c r="C880" s="22" t="n">
        <f aca="false">a25_nai</f>
        <v>42.0028</v>
      </c>
      <c r="D880" s="22" t="n">
        <f aca="false">a26_nai</f>
        <v>50.40336</v>
      </c>
      <c r="E880" s="22" t="n">
        <f aca="false">D880*(1+g_nai27)</f>
        <v>52.923528</v>
      </c>
      <c r="F880" s="22" t="n">
        <f aca="false">E880*(1+g_nai28)</f>
        <v>54.51123384</v>
      </c>
      <c r="G880" s="22" t="n">
        <f aca="false">F880*(1+g_nai29)</f>
        <v>56.1465708552</v>
      </c>
    </row>
    <row r="881" customFormat="false" ht="17.15" hidden="false" customHeight="false" outlineLevel="0" collapsed="false">
      <c r="A881" s="0" t="s">
        <v>623</v>
      </c>
      <c r="B881" s="0" t="s">
        <v>203</v>
      </c>
      <c r="C881" s="22" t="n">
        <f aca="false">a25_ai</f>
        <v>18.0012</v>
      </c>
      <c r="D881" s="22" t="n">
        <f aca="false">D876</f>
        <v>55.00416</v>
      </c>
      <c r="E881" s="22" t="n">
        <f aca="false">MIN(E876,E879-E880)</f>
        <v>99.917376</v>
      </c>
      <c r="F881" s="22" t="n">
        <f aca="false">MIN(F876,F879-F880)</f>
        <v>139.75482552</v>
      </c>
      <c r="G881" s="22" t="n">
        <f aca="false">MIN(G876,G879-G880)</f>
        <v>171.7444873848</v>
      </c>
      <c r="K881" s="3" t="s">
        <v>624</v>
      </c>
    </row>
    <row r="882" customFormat="false" ht="15" hidden="false" customHeight="false" outlineLevel="0" collapsed="false">
      <c r="A882" s="3" t="s">
        <v>625</v>
      </c>
      <c r="E882" s="0" t="str">
        <f aca="false">IF(E876&gt;E879-E880+0.0001,"受限","未受限")</f>
        <v>受限</v>
      </c>
      <c r="F882" s="0" t="str">
        <f aca="false">IF(F876&gt;F879-F880+0.0001,"受限","未受限")</f>
        <v>受限</v>
      </c>
      <c r="G882" s="0" t="str">
        <f aca="false">IF(G876&gt;G879-G880+0.0001,"受限","未受限")</f>
        <v>受限</v>
      </c>
    </row>
    <row r="883" customFormat="false" ht="17.15" hidden="false" customHeight="false" outlineLevel="0" collapsed="false">
      <c r="A883" s="3" t="s">
        <v>499</v>
      </c>
      <c r="B883" s="0" t="s">
        <v>203</v>
      </c>
      <c r="C883" s="22" t="n">
        <f aca="false">C881+C880</f>
        <v>60.004</v>
      </c>
      <c r="D883" s="22" t="n">
        <f aca="false">D881+D880</f>
        <v>105.40752</v>
      </c>
      <c r="E883" s="22" t="n">
        <f aca="false">E881+E880</f>
        <v>152.840904</v>
      </c>
      <c r="F883" s="22" t="n">
        <f aca="false">F881+F880</f>
        <v>194.26605936</v>
      </c>
      <c r="G883" s="22" t="n">
        <f aca="false">G881+G880</f>
        <v>227.89105824</v>
      </c>
      <c r="H883" s="24" t="n">
        <f aca="false">G883*(1+H884)</f>
        <v>257.226313072804</v>
      </c>
      <c r="I883" s="24" t="n">
        <f aca="false">H883*(1+I884)</f>
        <v>278.92655569709</v>
      </c>
      <c r="J883" s="24" t="n">
        <f aca="false">I883*(1+J884)</f>
        <v>290.083617924974</v>
      </c>
      <c r="K883" s="7" t="s">
        <v>626</v>
      </c>
    </row>
    <row r="884" customFormat="false" ht="15" hidden="false" customHeight="false" outlineLevel="0" collapsed="false">
      <c r="A884" s="3" t="s">
        <v>627</v>
      </c>
      <c r="B884" s="0" t="s">
        <v>55</v>
      </c>
      <c r="D884" s="14" t="n">
        <f aca="false">D883/C883-1</f>
        <v>0.756674888340778</v>
      </c>
      <c r="E884" s="14" t="n">
        <f aca="false">E883/D883-1</f>
        <v>0.45</v>
      </c>
      <c r="F884" s="14" t="n">
        <f aca="false">F883/E883-1</f>
        <v>0.271034482758621</v>
      </c>
      <c r="G884" s="14" t="n">
        <f aca="false">G883/F883-1</f>
        <v>0.173087357569181</v>
      </c>
      <c r="H884" s="25" t="n">
        <f aca="false">$G884+(fade_gB-$G884)*1/3</f>
        <v>0.12872490504612</v>
      </c>
      <c r="I884" s="25" t="n">
        <f aca="false">$G884+(fade_gB-$G884)*2/3</f>
        <v>0.0843624525230602</v>
      </c>
      <c r="J884" s="25" t="n">
        <f aca="false">$G884+(fade_gB-$G884)*3/3</f>
        <v>0.04</v>
      </c>
    </row>
    <row r="885" customFormat="false" ht="17.15" hidden="false" customHeight="false" outlineLevel="0" collapsed="false">
      <c r="A885" s="3" t="s">
        <v>628</v>
      </c>
      <c r="B885" s="0" t="s">
        <v>203</v>
      </c>
      <c r="D885" s="22" t="n">
        <f aca="false">D881*(D866+D868)/D869</f>
        <v>39.4735736470588</v>
      </c>
      <c r="E885" s="22" t="n">
        <f aca="false">E881*(E866+E868)/E869</f>
        <v>74.3056435443038</v>
      </c>
      <c r="F885" s="22" t="n">
        <f aca="false">F881*(F866+F868)/F869</f>
        <v>104.669932084017</v>
      </c>
      <c r="G885" s="22" t="n">
        <f aca="false">G881*(G866+G868)/G869</f>
        <v>128.672405684749</v>
      </c>
      <c r="K885" s="7" t="s">
        <v>629</v>
      </c>
    </row>
    <row r="886" customFormat="false" ht="17.15" hidden="false" customHeight="false" outlineLevel="0" collapsed="false">
      <c r="A886" s="3" t="s">
        <v>630</v>
      </c>
      <c r="B886" s="0" t="s">
        <v>203</v>
      </c>
      <c r="D886" s="22" t="n">
        <f aca="false">D881*D867/D869</f>
        <v>15.5305863529412</v>
      </c>
      <c r="E886" s="22" t="n">
        <f aca="false">E881*E867/E869</f>
        <v>25.6117324556962</v>
      </c>
      <c r="F886" s="22" t="n">
        <f aca="false">F881*F867/F869</f>
        <v>35.0848934359833</v>
      </c>
      <c r="G886" s="22" t="n">
        <f aca="false">G881*G867/G869</f>
        <v>43.0720817000512</v>
      </c>
    </row>
    <row r="887" customFormat="false" ht="17.15" hidden="false" customHeight="false" outlineLevel="0" collapsed="false">
      <c r="A887" s="3" t="s">
        <v>631</v>
      </c>
      <c r="B887" s="0" t="s">
        <v>203</v>
      </c>
      <c r="D887" s="22" t="n">
        <f aca="false">srv26*D883-D885</f>
        <v>42.7442919529412</v>
      </c>
      <c r="E887" s="22" t="n">
        <f aca="false">E880*$D887/$D880</f>
        <v>44.8815065505883</v>
      </c>
      <c r="F887" s="22" t="n">
        <f aca="false">F880*$D887/$D880</f>
        <v>46.2279517471059</v>
      </c>
      <c r="G887" s="22" t="n">
        <f aca="false">G880*$D887/$D880</f>
        <v>47.6147902995191</v>
      </c>
      <c r="K887" s="7" t="s">
        <v>632</v>
      </c>
    </row>
    <row r="888" customFormat="false" ht="17.15" hidden="false" customHeight="false" outlineLevel="0" collapsed="false">
      <c r="A888" s="3" t="s">
        <v>633</v>
      </c>
      <c r="B888" s="0" t="s">
        <v>203</v>
      </c>
      <c r="D888" s="22" t="n">
        <f aca="false">net26*D883-D886</f>
        <v>0.28054164705882</v>
      </c>
      <c r="E888" s="22" t="n">
        <f aca="false">E880*$D888/$D880</f>
        <v>0.294568729411761</v>
      </c>
      <c r="F888" s="22" t="n">
        <f aca="false">F880*$D888/$D880</f>
        <v>0.303405791294114</v>
      </c>
      <c r="G888" s="22" t="n">
        <f aca="false">G880*$D888/$D880</f>
        <v>0.312507965032938</v>
      </c>
    </row>
    <row r="889" customFormat="false" ht="17.15" hidden="false" customHeight="false" outlineLevel="0" collapsed="false">
      <c r="A889" s="3" t="s">
        <v>634</v>
      </c>
      <c r="B889" s="0" t="s">
        <v>203</v>
      </c>
      <c r="C889" s="22" t="n">
        <f aca="false">srv25*C883</f>
        <v>48.0032</v>
      </c>
      <c r="D889" s="22" t="n">
        <f aca="false">D885+D887</f>
        <v>82.2178656</v>
      </c>
      <c r="E889" s="22" t="n">
        <f aca="false">E885+E887</f>
        <v>119.187150094892</v>
      </c>
      <c r="F889" s="22" t="n">
        <f aca="false">F885+F887</f>
        <v>150.897883831123</v>
      </c>
      <c r="G889" s="22" t="n">
        <f aca="false">G885+G887</f>
        <v>176.287195984268</v>
      </c>
      <c r="K889" s="3" t="s">
        <v>635</v>
      </c>
    </row>
    <row r="890" customFormat="false" ht="15" hidden="false" customHeight="false" outlineLevel="0" collapsed="false">
      <c r="A890" s="3" t="s">
        <v>636</v>
      </c>
      <c r="B890" s="0" t="s">
        <v>203</v>
      </c>
      <c r="C890" s="22" t="n">
        <f aca="false">net25*C883</f>
        <v>6.0004</v>
      </c>
      <c r="D890" s="22" t="n">
        <f aca="false">D886+D888</f>
        <v>15.811128</v>
      </c>
      <c r="E890" s="22" t="n">
        <f aca="false">E886+E888</f>
        <v>25.906301185108</v>
      </c>
      <c r="F890" s="22" t="n">
        <f aca="false">F886+F888</f>
        <v>35.3882992272774</v>
      </c>
      <c r="G890" s="22" t="n">
        <f aca="false">G886+G888</f>
        <v>43.3845896650841</v>
      </c>
      <c r="K890" s="3" t="s">
        <v>637</v>
      </c>
    </row>
    <row r="891" customFormat="false" ht="15" hidden="false" customHeight="false" outlineLevel="0" collapsed="false">
      <c r="A891" s="3" t="s">
        <v>638</v>
      </c>
      <c r="B891" s="0" t="s">
        <v>203</v>
      </c>
      <c r="C891" s="22" t="n">
        <f aca="false">C883-C889-C890</f>
        <v>6.0004</v>
      </c>
      <c r="D891" s="22" t="n">
        <f aca="false">D883-D889-D890</f>
        <v>7.3785264</v>
      </c>
      <c r="E891" s="22" t="n">
        <f aca="false">E883-E889-E890</f>
        <v>7.74745271999998</v>
      </c>
      <c r="F891" s="22" t="n">
        <f aca="false">F883-F889-F890</f>
        <v>7.9798763016</v>
      </c>
      <c r="G891" s="22" t="n">
        <f aca="false">G883-G889-G890</f>
        <v>8.21927259064798</v>
      </c>
      <c r="K891" s="3" t="s">
        <v>639</v>
      </c>
    </row>
    <row r="892" customFormat="false" ht="17.15" hidden="false" customHeight="false" outlineLevel="0" collapsed="false">
      <c r="A892" s="3" t="s">
        <v>640</v>
      </c>
      <c r="B892" s="0" t="s">
        <v>203</v>
      </c>
      <c r="C892" s="28" t="n">
        <f aca="false">C889+C890+C891-C883</f>
        <v>0</v>
      </c>
      <c r="D892" s="28" t="n">
        <f aca="false">ROUND(D887+D888+D891-D880,9)</f>
        <v>0</v>
      </c>
      <c r="E892" s="28" t="n">
        <f aca="false">ROUND(E887+E888+E891-E880,9)</f>
        <v>0</v>
      </c>
      <c r="F892" s="28" t="n">
        <f aca="false">ROUND(F887+F888+F891-F880,9)</f>
        <v>0</v>
      </c>
      <c r="G892" s="28" t="n">
        <f aca="false">ROUND(G887+G888+G891-G880,9)</f>
        <v>0</v>
      </c>
    </row>
    <row r="893" customFormat="false" ht="17.15" hidden="false" customHeight="false" outlineLevel="0" collapsed="false">
      <c r="A893" s="0" t="s">
        <v>641</v>
      </c>
      <c r="B893" s="0" t="s">
        <v>55</v>
      </c>
      <c r="C893" s="14" t="n">
        <f aca="false">C881/C883</f>
        <v>0.3</v>
      </c>
      <c r="D893" s="14" t="n">
        <f aca="false">D881/D883</f>
        <v>0.521823869871903</v>
      </c>
      <c r="E893" s="14" t="n">
        <f aca="false">E881/E883</f>
        <v>0.653734526458964</v>
      </c>
      <c r="F893" s="14" t="n">
        <f aca="false">F881/F883</f>
        <v>0.71939908587437</v>
      </c>
      <c r="G893" s="14" t="n">
        <f aca="false">G881/G883</f>
        <v>0.753625388864226</v>
      </c>
    </row>
    <row r="894" customFormat="false" ht="17.15" hidden="false" customHeight="false" outlineLevel="0" collapsed="false">
      <c r="A894" s="3" t="s">
        <v>642</v>
      </c>
      <c r="B894" s="0" t="s">
        <v>55</v>
      </c>
      <c r="D894" s="14" t="n">
        <f aca="false">(D876+D880)/D879</f>
        <v>1</v>
      </c>
      <c r="E894" s="14" t="n">
        <f aca="false">(E876+E880)/E879</f>
        <v>1.29875034099137</v>
      </c>
      <c r="F894" s="14" t="n">
        <f aca="false">(F876+F880)/F879</f>
        <v>1.07506839756468</v>
      </c>
      <c r="G894" s="14" t="n">
        <f aca="false">(G876+G880)/G879</f>
        <v>1.07501617842306</v>
      </c>
      <c r="K894" s="3" t="s">
        <v>643</v>
      </c>
    </row>
    <row r="895" customFormat="false" ht="17.15" hidden="false" customHeight="false" outlineLevel="0" collapsed="false">
      <c r="A895" s="3" t="s">
        <v>569</v>
      </c>
      <c r="B895" s="0" t="s">
        <v>96</v>
      </c>
      <c r="D895" s="21" t="n">
        <f aca="false">D881/fx/D865*1000</f>
        <v>73.4578604462224</v>
      </c>
      <c r="E895" s="21" t="n">
        <f aca="false">E881/fx/E865*1000</f>
        <v>74.9738410190283</v>
      </c>
      <c r="F895" s="21" t="n">
        <f aca="false">F881/fx/F865*1000</f>
        <v>103.408822959553</v>
      </c>
      <c r="G895" s="21" t="n">
        <f aca="false">G881/fx/G865*1000</f>
        <v>104.993073222002</v>
      </c>
    </row>
    <row r="896" customFormat="false" ht="17.15" hidden="false" customHeight="false" outlineLevel="0" collapsed="false">
      <c r="A896" s="5" t="s">
        <v>644</v>
      </c>
    </row>
    <row r="897" customFormat="false" ht="17.15" hidden="false" customHeight="false" outlineLevel="0" collapsed="false">
      <c r="A897" s="3" t="s">
        <v>645</v>
      </c>
      <c r="B897" s="0" t="s">
        <v>55</v>
      </c>
      <c r="D897" s="14" t="n">
        <f aca="false">a26_gp/D883-d_ai_hi*D893</f>
        <v>0.275782250640182</v>
      </c>
      <c r="K897" s="7" t="s">
        <v>646</v>
      </c>
    </row>
    <row r="898" customFormat="false" ht="17.15" hidden="false" customHeight="false" outlineLevel="0" collapsed="false">
      <c r="A898" s="0" t="s">
        <v>647</v>
      </c>
      <c r="B898" s="0" t="s">
        <v>55</v>
      </c>
      <c r="D898" s="14" t="n">
        <f aca="false">D897+d_ai_hi</f>
        <v>0.415782250640182</v>
      </c>
      <c r="E898" s="14" t="n">
        <f aca="false">1-(1-$D$898)/E872+gmu_27</f>
        <v>0.425782250640182</v>
      </c>
      <c r="F898" s="14" t="n">
        <f aca="false">1-(1-$D$898)/F872+gmu_28</f>
        <v>0.412713660453796</v>
      </c>
      <c r="G898" s="14" t="n">
        <f aca="false">1-(1-$D$898)/G872+gmu_29</f>
        <v>0.398491756000194</v>
      </c>
      <c r="K898" s="7" t="s">
        <v>648</v>
      </c>
    </row>
    <row r="899" customFormat="false" ht="15" hidden="false" customHeight="false" outlineLevel="0" collapsed="false">
      <c r="A899" s="3" t="s">
        <v>503</v>
      </c>
      <c r="B899" s="0" t="s">
        <v>203</v>
      </c>
      <c r="C899" s="22" t="n">
        <f aca="false">a25_gp</f>
        <v>19.683</v>
      </c>
      <c r="D899" s="22" t="n">
        <f aca="false">a26_gp</f>
        <v>36.7701055</v>
      </c>
      <c r="E899" s="22" t="n">
        <f aca="false">E881*E898+E880*$D$897</f>
        <v>57.138414895</v>
      </c>
      <c r="F899" s="22" t="n">
        <f aca="false">F881*F898+F880*$D$897</f>
        <v>72.7119563600092</v>
      </c>
      <c r="G899" s="22" t="n">
        <f aca="false">G881*G898+G880*$D$897</f>
        <v>83.9229900374976</v>
      </c>
    </row>
    <row r="900" customFormat="false" ht="15" hidden="false" customHeight="false" outlineLevel="0" collapsed="false">
      <c r="A900" s="3" t="s">
        <v>506</v>
      </c>
      <c r="B900" s="0" t="s">
        <v>55</v>
      </c>
      <c r="C900" s="14" t="n">
        <f aca="false">C899/C883</f>
        <v>0.328028131457903</v>
      </c>
      <c r="D900" s="14" t="n">
        <f aca="false">D899/D883</f>
        <v>0.348837592422248</v>
      </c>
      <c r="E900" s="14" t="n">
        <f aca="false">E899/E883</f>
        <v>0.373842429609027</v>
      </c>
      <c r="F900" s="14" t="n">
        <f aca="false">F899/F883</f>
        <v>0.374290581687585</v>
      </c>
      <c r="G900" s="14" t="n">
        <f aca="false">G899/G883</f>
        <v>0.368259249334458</v>
      </c>
    </row>
    <row r="901" customFormat="false" ht="15" hidden="false" customHeight="false" outlineLevel="0" collapsed="false">
      <c r="A901" s="3" t="s">
        <v>649</v>
      </c>
      <c r="B901" s="0" t="s">
        <v>203</v>
      </c>
      <c r="C901" s="22" t="n">
        <f aca="false">a25_opx</f>
        <v>5.64</v>
      </c>
      <c r="D901" s="22" t="n">
        <f aca="false">a26_opx</f>
        <v>8.4779754</v>
      </c>
      <c r="E901" s="22" t="n">
        <f aca="false">D901*(1+MAX(0,phi*E884))</f>
        <v>10.767028758</v>
      </c>
      <c r="F901" s="22" t="n">
        <f aca="false">E901*(1+MAX(0,phi*F884))</f>
        <v>12.517970400163</v>
      </c>
      <c r="G901" s="22" t="n">
        <f aca="false">F901*(1+MAX(0,phi*G884))</f>
        <v>13.8179918513791</v>
      </c>
    </row>
    <row r="902" customFormat="false" ht="15" hidden="false" customHeight="false" outlineLevel="0" collapsed="false">
      <c r="A902" s="3" t="s">
        <v>508</v>
      </c>
      <c r="B902" s="0" t="s">
        <v>203</v>
      </c>
      <c r="C902" s="22" t="n">
        <f aca="false">C901</f>
        <v>5.64</v>
      </c>
      <c r="D902" s="22" t="n">
        <f aca="false">D901</f>
        <v>8.4779754</v>
      </c>
      <c r="E902" s="22" t="n">
        <f aca="false">E901+0*E883</f>
        <v>10.767028758</v>
      </c>
      <c r="F902" s="22" t="n">
        <f aca="false">F901+0*F883</f>
        <v>12.517970400163</v>
      </c>
      <c r="G902" s="22" t="n">
        <f aca="false">G901+0*G883</f>
        <v>13.8179918513791</v>
      </c>
    </row>
    <row r="903" customFormat="false" ht="15" hidden="false" customHeight="false" outlineLevel="0" collapsed="false">
      <c r="A903" s="3" t="s">
        <v>650</v>
      </c>
      <c r="B903" s="0" t="s">
        <v>203</v>
      </c>
      <c r="C903" s="22" t="n">
        <f aca="false">C899-C902</f>
        <v>14.043</v>
      </c>
      <c r="D903" s="22" t="n">
        <f aca="false">D899-D902</f>
        <v>28.2921301</v>
      </c>
      <c r="E903" s="22" t="n">
        <f aca="false">E899-E902</f>
        <v>46.371386137</v>
      </c>
      <c r="F903" s="22" t="n">
        <f aca="false">F899-F902</f>
        <v>60.1939859598462</v>
      </c>
      <c r="G903" s="22" t="n">
        <f aca="false">G899-G902</f>
        <v>70.1049981861185</v>
      </c>
    </row>
    <row r="904" customFormat="false" ht="15" hidden="false" customHeight="false" outlineLevel="0" collapsed="false">
      <c r="A904" s="3" t="s">
        <v>514</v>
      </c>
      <c r="B904" s="0" t="s">
        <v>55</v>
      </c>
      <c r="C904" s="14" t="n">
        <f aca="false">C903/C883</f>
        <v>0.23403439770682</v>
      </c>
      <c r="D904" s="14" t="n">
        <f aca="false">D903/D883</f>
        <v>0.268407131673338</v>
      </c>
      <c r="E904" s="14" t="n">
        <f aca="false">E903/E883</f>
        <v>0.303396439849636</v>
      </c>
      <c r="F904" s="14" t="n">
        <f aca="false">F903/F883</f>
        <v>0.30985333288868</v>
      </c>
      <c r="G904" s="14" t="n">
        <f aca="false">G903/G883</f>
        <v>0.307625050002131</v>
      </c>
    </row>
    <row r="905" customFormat="false" ht="17.15" hidden="false" customHeight="false" outlineLevel="0" collapsed="false">
      <c r="A905" s="3" t="s">
        <v>515</v>
      </c>
      <c r="B905" s="0" t="s">
        <v>203</v>
      </c>
      <c r="E905" s="22" t="n">
        <f aca="false">nop_f</f>
        <v>0</v>
      </c>
      <c r="F905" s="22" t="n">
        <f aca="false">nop_f</f>
        <v>0</v>
      </c>
      <c r="G905" s="22" t="n">
        <f aca="false">nop_f</f>
        <v>0</v>
      </c>
      <c r="K905" s="7" t="s">
        <v>651</v>
      </c>
    </row>
    <row r="906" customFormat="false" ht="15" hidden="false" customHeight="false" outlineLevel="0" collapsed="false">
      <c r="A906" s="3" t="s">
        <v>520</v>
      </c>
      <c r="B906" s="0" t="s">
        <v>203</v>
      </c>
      <c r="C906" s="22" t="n">
        <f aca="false">a25_ni</f>
        <v>9.607</v>
      </c>
      <c r="D906" s="22" t="n">
        <f aca="false">a26_ni</f>
        <v>19.6977289395284</v>
      </c>
      <c r="E906" s="22" t="n">
        <f aca="false">(E903+E905)*nir_f</f>
        <v>31.764399503845</v>
      </c>
      <c r="F906" s="22" t="n">
        <f aca="false">(F903+F905)*nir_f</f>
        <v>41.2328803824946</v>
      </c>
      <c r="G906" s="22" t="n">
        <f aca="false">(G903+G905)*nir_f</f>
        <v>48.0219237574911</v>
      </c>
      <c r="H906" s="24" t="n">
        <f aca="false">H883*H911</f>
        <v>50.2668535684346</v>
      </c>
      <c r="I906" s="24" t="n">
        <f aca="false">I883*I911</f>
        <v>50.2386922165515</v>
      </c>
      <c r="J906" s="24" t="n">
        <f aca="false">J883*J911</f>
        <v>47.8086916496984</v>
      </c>
    </row>
    <row r="907" customFormat="false" ht="17.15" hidden="false" customHeight="false" outlineLevel="0" collapsed="false">
      <c r="A907" s="3" t="s">
        <v>523</v>
      </c>
      <c r="B907" s="0" t="s">
        <v>55</v>
      </c>
      <c r="C907" s="14" t="n">
        <f aca="false">C906/C903</f>
        <v>0.684113081250445</v>
      </c>
      <c r="D907" s="14" t="n">
        <f aca="false">D906/D903</f>
        <v>0.696226437171953</v>
      </c>
      <c r="E907" s="14" t="n">
        <f aca="false">E906/E903</f>
        <v>0.685</v>
      </c>
      <c r="F907" s="14" t="n">
        <f aca="false">F906/F903</f>
        <v>0.685</v>
      </c>
      <c r="G907" s="14" t="n">
        <f aca="false">G906/G903</f>
        <v>0.685</v>
      </c>
    </row>
    <row r="908" customFormat="false" ht="17.15" hidden="false" customHeight="false" outlineLevel="0" collapsed="false">
      <c r="A908" s="3" t="s">
        <v>652</v>
      </c>
      <c r="B908" s="3" t="s">
        <v>233</v>
      </c>
      <c r="C908" s="27" t="n">
        <f aca="false">a25_sh</f>
        <v>0.493425783256292</v>
      </c>
      <c r="D908" s="27" t="n">
        <f aca="false">a26_sh</f>
        <v>0.512980850061958</v>
      </c>
      <c r="E908" s="27" t="n">
        <f aca="false">sh_h2*(1+sh_g)</f>
        <v>0.51889356</v>
      </c>
      <c r="F908" s="27" t="n">
        <f aca="false">E908*(1+sh_g)</f>
        <v>0.5240824956</v>
      </c>
      <c r="G908" s="27" t="n">
        <f aca="false">F908*(1+sh_g)</f>
        <v>0.529323320556</v>
      </c>
      <c r="H908" s="29" t="n">
        <f aca="false">G908*(1+sh_g)</f>
        <v>0.53461655376156</v>
      </c>
      <c r="I908" s="29" t="n">
        <f aca="false">H908*(1+sh_g)</f>
        <v>0.539962719299176</v>
      </c>
      <c r="J908" s="29" t="n">
        <f aca="false">I908*(1+sh_g)</f>
        <v>0.545362346492167</v>
      </c>
      <c r="K908" s="7" t="s">
        <v>653</v>
      </c>
    </row>
    <row r="909" customFormat="false" ht="15" hidden="false" customHeight="false" outlineLevel="0" collapsed="false">
      <c r="A909" s="0" t="s">
        <v>526</v>
      </c>
      <c r="B909" s="0" t="s">
        <v>271</v>
      </c>
      <c r="C909" s="23" t="n">
        <f aca="false">C906/C908</f>
        <v>19.47</v>
      </c>
      <c r="D909" s="23" t="n">
        <f aca="false">D906/D908</f>
        <v>38.3985658278458</v>
      </c>
      <c r="E909" s="23" t="n">
        <f aca="false">E906/E908</f>
        <v>61.2156364088331</v>
      </c>
      <c r="F909" s="23" t="n">
        <f aca="false">F906/F908</f>
        <v>78.6763166651633</v>
      </c>
      <c r="G909" s="23" t="n">
        <f aca="false">G906/G908</f>
        <v>90.723234538484</v>
      </c>
      <c r="H909" s="30" t="n">
        <f aca="false">H906/H908</f>
        <v>94.0241247951587</v>
      </c>
      <c r="I909" s="30" t="n">
        <f aca="false">I906/I908</f>
        <v>93.0410386142157</v>
      </c>
      <c r="J909" s="30" t="n">
        <f aca="false">J906/J908</f>
        <v>87.6640860103551</v>
      </c>
    </row>
    <row r="910" customFormat="false" ht="17.15" hidden="false" customHeight="false" outlineLevel="0" collapsed="false">
      <c r="A910" s="0" t="s">
        <v>654</v>
      </c>
      <c r="B910" s="0" t="s">
        <v>55</v>
      </c>
      <c r="D910" s="14" t="n">
        <f aca="false">D909/C909-1</f>
        <v>0.9721913624985</v>
      </c>
      <c r="E910" s="14" t="n">
        <f aca="false">E909/D909-1</f>
        <v>0.594216739325218</v>
      </c>
      <c r="F910" s="14" t="n">
        <f aca="false">F909/E909-1</f>
        <v>0.285232356970331</v>
      </c>
      <c r="G910" s="14" t="n">
        <f aca="false">G909/F909-1</f>
        <v>0.153120003375233</v>
      </c>
      <c r="H910" s="25" t="n">
        <f aca="false">H909/G909-1</f>
        <v>0.0363841773661018</v>
      </c>
      <c r="I910" s="25" t="n">
        <f aca="false">I909/H909-1</f>
        <v>-0.010455680210635</v>
      </c>
      <c r="J910" s="25" t="n">
        <f aca="false">J909/I909-1</f>
        <v>-0.0577911928321817</v>
      </c>
    </row>
    <row r="911" customFormat="false" ht="17.15" hidden="false" customHeight="false" outlineLevel="0" collapsed="false">
      <c r="A911" s="3" t="s">
        <v>655</v>
      </c>
      <c r="B911" s="0" t="s">
        <v>55</v>
      </c>
      <c r="C911" s="14" t="n">
        <f aca="false">C906/C883</f>
        <v>0.160105992933804</v>
      </c>
      <c r="D911" s="14" t="n">
        <f aca="false">D906/D883</f>
        <v>0.186872140996471</v>
      </c>
      <c r="E911" s="14" t="n">
        <f aca="false">E906/E883</f>
        <v>0.207826561297001</v>
      </c>
      <c r="F911" s="14" t="n">
        <f aca="false">F906/F883</f>
        <v>0.212249533028746</v>
      </c>
      <c r="G911" s="14" t="n">
        <f aca="false">G906/G883</f>
        <v>0.210723159251459</v>
      </c>
      <c r="H911" s="25" t="n">
        <f aca="false">$G911+(fade_mB-$G911)*1/3</f>
        <v>0.195418784991127</v>
      </c>
      <c r="I911" s="25" t="n">
        <f aca="false">$G911+(fade_mB-$G911)*2/3</f>
        <v>0.180114410730794</v>
      </c>
      <c r="J911" s="25" t="n">
        <f aca="false">$G911+(fade_mB-$G911)*3/3</f>
        <v>0.164810036470462</v>
      </c>
    </row>
    <row r="914" customFormat="false" ht="17.15" hidden="false" customHeight="false" outlineLevel="0" collapsed="false">
      <c r="A914" s="1" t="s">
        <v>1006</v>
      </c>
    </row>
    <row r="915" customFormat="false" ht="17.15" hidden="false" customHeight="false" outlineLevel="0" collapsed="false">
      <c r="A915" s="4" t="s">
        <v>24</v>
      </c>
      <c r="B915" s="4" t="s">
        <v>25</v>
      </c>
      <c r="C915" s="15" t="s">
        <v>494</v>
      </c>
      <c r="D915" s="15" t="s">
        <v>583</v>
      </c>
      <c r="E915" s="15" t="s">
        <v>584</v>
      </c>
      <c r="F915" s="15" t="s">
        <v>585</v>
      </c>
      <c r="G915" s="15" t="s">
        <v>586</v>
      </c>
      <c r="H915" s="15" t="s">
        <v>587</v>
      </c>
      <c r="I915" s="15" t="s">
        <v>588</v>
      </c>
      <c r="J915" s="15" t="s">
        <v>589</v>
      </c>
      <c r="K915" s="4" t="s">
        <v>458</v>
      </c>
    </row>
    <row r="916" customFormat="false" ht="17.15" hidden="false" customHeight="false" outlineLevel="0" collapsed="false">
      <c r="A916" s="5" t="s">
        <v>605</v>
      </c>
    </row>
    <row r="917" customFormat="false" ht="17.15" hidden="false" customHeight="false" outlineLevel="0" collapsed="false">
      <c r="A917" s="0" t="s">
        <v>606</v>
      </c>
      <c r="B917" s="0" t="s">
        <v>35</v>
      </c>
      <c r="D917" s="23" t="n">
        <f aca="false">itc_26*1</f>
        <v>781.872916666666</v>
      </c>
      <c r="E917" s="23" t="n">
        <f aca="false">itc_27*1*1</f>
        <v>1565.35</v>
      </c>
      <c r="F917" s="23" t="n">
        <f aca="false">itc_28*um28_B*1</f>
        <v>1587.41111111111</v>
      </c>
      <c r="G917" s="23" t="n">
        <f aca="false">itc_29*um29_B*1</f>
        <v>1921.33173611111</v>
      </c>
    </row>
    <row r="918" customFormat="false" ht="17.15" hidden="false" customHeight="false" outlineLevel="0" collapsed="false">
      <c r="A918" s="3" t="s">
        <v>607</v>
      </c>
      <c r="B918" s="0" t="s">
        <v>35</v>
      </c>
      <c r="D918" s="23" t="n">
        <f aca="false">itpg_gb*(1-vr26)+itpg_vr*vr26</f>
        <v>33.41403216</v>
      </c>
      <c r="E918" s="23" t="n">
        <f aca="false">itpg_vr</f>
        <v>37.586352</v>
      </c>
      <c r="F918" s="23" t="n">
        <f aca="false">itpg_vr</f>
        <v>37.586352</v>
      </c>
      <c r="G918" s="23" t="n">
        <f aca="false">itpg_vr</f>
        <v>37.586352</v>
      </c>
    </row>
    <row r="919" customFormat="false" ht="17.15" hidden="false" customHeight="false" outlineLevel="0" collapsed="false">
      <c r="A919" s="3" t="s">
        <v>608</v>
      </c>
      <c r="B919" s="0" t="s">
        <v>549</v>
      </c>
      <c r="D919" s="20" t="n">
        <f aca="false">D917/D918</f>
        <v>23.3995380420639</v>
      </c>
      <c r="E919" s="20" t="n">
        <f aca="false">E917/E918</f>
        <v>41.6467658260637</v>
      </c>
      <c r="F919" s="20" t="n">
        <f aca="false">F917/F918</f>
        <v>42.2337105529984</v>
      </c>
      <c r="G919" s="20" t="n">
        <f aca="false">G917/G918</f>
        <v>51.1178029756948</v>
      </c>
    </row>
    <row r="920" customFormat="false" ht="17.15" hidden="false" customHeight="false" outlineLevel="0" collapsed="false">
      <c r="A920" s="3" t="s">
        <v>553</v>
      </c>
      <c r="B920" s="0" t="s">
        <v>96</v>
      </c>
      <c r="D920" s="21" t="n">
        <f aca="false">vg_cmp26</f>
        <v>280</v>
      </c>
      <c r="E920" s="21" t="n">
        <f aca="false">(vg_cmp26+(vg_cmp27-vg_cmp26)*pgwf)</f>
        <v>420</v>
      </c>
      <c r="F920" s="21" t="n">
        <f aca="false">(vg_cmp26+(vg_cmp28-vg_cmp26)*pgwf)</f>
        <v>462</v>
      </c>
      <c r="G920" s="21" t="n">
        <f aca="false">(vg_cmp26+(vg_cmp29-vg_cmp26)*pgwf)</f>
        <v>504</v>
      </c>
    </row>
    <row r="921" customFormat="false" ht="17.15" hidden="false" customHeight="false" outlineLevel="0" collapsed="false">
      <c r="A921" s="3" t="s">
        <v>555</v>
      </c>
      <c r="B921" s="0" t="s">
        <v>96</v>
      </c>
      <c r="D921" s="21" t="n">
        <f aca="false">vg_sw26</f>
        <v>120</v>
      </c>
      <c r="E921" s="21" t="n">
        <f aca="false">(vg_sw26+(vg_sw27-vg_sw26)*pgwf)</f>
        <v>162</v>
      </c>
      <c r="F921" s="21" t="n">
        <f aca="false">(vg_sw26+(vg_sw28-vg_sw26)*pgwf)</f>
        <v>180</v>
      </c>
      <c r="G921" s="21" t="n">
        <f aca="false">(vg_sw26+(vg_sw29-vg_sw26)*pgwf)</f>
        <v>198</v>
      </c>
    </row>
    <row r="922" customFormat="false" ht="17.15" hidden="false" customHeight="false" outlineLevel="0" collapsed="false">
      <c r="A922" s="3" t="s">
        <v>609</v>
      </c>
      <c r="B922" s="0" t="s">
        <v>96</v>
      </c>
      <c r="D922" s="21" t="n">
        <f aca="false">vg_mid26*w_mid</f>
        <v>25</v>
      </c>
      <c r="E922" s="21" t="n">
        <f aca="false">(vg_mid26+(vg_mid27-vg_mid26)*pgwf)*w_mid</f>
        <v>50</v>
      </c>
      <c r="F922" s="21" t="n">
        <f aca="false">(vg_mid26+(vg_mid28-vg_mid26)*pgwf)*w_mid</f>
        <v>75</v>
      </c>
      <c r="G922" s="21" t="n">
        <f aca="false">(vg_mid26+(vg_mid29-vg_mid26)*pgwf)*w_mid</f>
        <v>87.5</v>
      </c>
    </row>
    <row r="923" customFormat="false" ht="17.15" hidden="false" customHeight="false" outlineLevel="0" collapsed="false">
      <c r="A923" s="3" t="s">
        <v>610</v>
      </c>
      <c r="B923" s="0" t="s">
        <v>96</v>
      </c>
      <c r="D923" s="21" t="n">
        <f aca="false">D920+D921+D922</f>
        <v>425</v>
      </c>
      <c r="E923" s="21" t="n">
        <f aca="false">E920+E921+E922</f>
        <v>632</v>
      </c>
      <c r="F923" s="21" t="n">
        <f aca="false">F920+F921+F922</f>
        <v>717</v>
      </c>
      <c r="G923" s="21" t="n">
        <f aca="false">G920+G921+G922</f>
        <v>789.5</v>
      </c>
    </row>
    <row r="924" customFormat="false" ht="17.15" hidden="false" customHeight="false" outlineLevel="0" collapsed="false">
      <c r="A924" s="3" t="s">
        <v>611</v>
      </c>
      <c r="B924" s="0" t="s">
        <v>35</v>
      </c>
      <c r="D924" s="23" t="n">
        <f aca="false">D919*D923/1000</f>
        <v>9.94480366787715</v>
      </c>
      <c r="E924" s="23" t="n">
        <f aca="false">E919*E923/1000</f>
        <v>26.3207560020722</v>
      </c>
      <c r="F924" s="23" t="n">
        <f aca="false">F919*F923/1000</f>
        <v>30.2815704664998</v>
      </c>
      <c r="G924" s="23" t="n">
        <f aca="false">G919*G923/1000</f>
        <v>40.3575054493111</v>
      </c>
    </row>
    <row r="925" customFormat="false" ht="17.15" hidden="false" customHeight="false" outlineLevel="0" collapsed="false">
      <c r="A925" s="3" t="s">
        <v>612</v>
      </c>
      <c r="B925" s="0" t="s">
        <v>203</v>
      </c>
      <c r="D925" s="22" t="n">
        <f aca="false">D924*fx</f>
        <v>318.233717372069</v>
      </c>
      <c r="E925" s="22" t="n">
        <f aca="false">E924*fx</f>
        <v>842.264192066312</v>
      </c>
      <c r="F925" s="22" t="n">
        <f aca="false">F924*fx</f>
        <v>969.010254927995</v>
      </c>
      <c r="G925" s="22" t="n">
        <f aca="false">G924*fx</f>
        <v>1291.44017437795</v>
      </c>
    </row>
    <row r="926" customFormat="false" ht="17.15" hidden="false" customHeight="false" outlineLevel="0" collapsed="false">
      <c r="A926" s="0" t="s">
        <v>613</v>
      </c>
      <c r="B926" s="0" t="s">
        <v>69</v>
      </c>
      <c r="D926" s="18" t="n">
        <f aca="false">1</f>
        <v>1</v>
      </c>
      <c r="E926" s="18" t="n">
        <f aca="false">pp_27</f>
        <v>1</v>
      </c>
      <c r="F926" s="18" t="n">
        <f aca="false">pp_28</f>
        <v>0.97</v>
      </c>
      <c r="G926" s="18" t="n">
        <f aca="false">pp_29</f>
        <v>0.94</v>
      </c>
    </row>
    <row r="927" customFormat="false" ht="17.15" hidden="false" customHeight="false" outlineLevel="0" collapsed="false">
      <c r="A927" s="3" t="s">
        <v>614</v>
      </c>
      <c r="B927" s="0" t="s">
        <v>55</v>
      </c>
      <c r="D927" s="14" t="n">
        <f aca="false">a26_ai/D925</f>
        <v>0.172842024579347</v>
      </c>
      <c r="K927" s="7" t="s">
        <v>615</v>
      </c>
    </row>
    <row r="928" customFormat="false" ht="17.15" hidden="false" customHeight="false" outlineLevel="0" collapsed="false">
      <c r="A928" s="3" t="s">
        <v>616</v>
      </c>
      <c r="B928" s="0" t="s">
        <v>69</v>
      </c>
      <c r="D928" s="18" t="n">
        <f aca="false">1</f>
        <v>1</v>
      </c>
      <c r="E928" s="18" t="n">
        <f aca="false">rel_27</f>
        <v>1</v>
      </c>
      <c r="F928" s="18" t="n">
        <f aca="false">rel_28</f>
        <v>0.95</v>
      </c>
      <c r="G928" s="18" t="n">
        <f aca="false">rel_29</f>
        <v>0.9</v>
      </c>
    </row>
    <row r="929" customFormat="false" ht="15" hidden="false" customHeight="false" outlineLevel="0" collapsed="false">
      <c r="A929" s="3" t="s">
        <v>565</v>
      </c>
      <c r="B929" s="0" t="s">
        <v>55</v>
      </c>
      <c r="D929" s="14" t="n">
        <f aca="false">$D$927*D928</f>
        <v>0.172842024579347</v>
      </c>
      <c r="E929" s="14" t="n">
        <f aca="false">$D$927*E928</f>
        <v>0.172842024579347</v>
      </c>
      <c r="F929" s="14" t="n">
        <f aca="false">$D$927*F928</f>
        <v>0.164199923350379</v>
      </c>
      <c r="G929" s="14" t="n">
        <f aca="false">$D$927*G928</f>
        <v>0.155557822121412</v>
      </c>
    </row>
    <row r="930" customFormat="false" ht="17.15" hidden="false" customHeight="false" outlineLevel="0" collapsed="false">
      <c r="A930" s="0" t="s">
        <v>617</v>
      </c>
      <c r="B930" s="0" t="s">
        <v>203</v>
      </c>
      <c r="D930" s="22" t="n">
        <f aca="false">D925*D929*D926</f>
        <v>55.00416</v>
      </c>
      <c r="E930" s="22" t="n">
        <f aca="false">E925*E929*E926</f>
        <v>145.578648187429</v>
      </c>
      <c r="F930" s="22" t="n">
        <f aca="false">F925*F929*F926</f>
        <v>154.338067297361</v>
      </c>
      <c r="G930" s="22" t="n">
        <f aca="false">G925*G929*G926</f>
        <v>188.840003670751</v>
      </c>
    </row>
    <row r="931" customFormat="false" ht="17.15" hidden="false" customHeight="false" outlineLevel="0" collapsed="false">
      <c r="A931" s="5" t="s">
        <v>618</v>
      </c>
    </row>
    <row r="932" customFormat="false" ht="17.15" hidden="false" customHeight="false" outlineLevel="0" collapsed="false">
      <c r="A932" s="3" t="s">
        <v>619</v>
      </c>
      <c r="B932" s="0" t="s">
        <v>69</v>
      </c>
      <c r="D932" s="18" t="n">
        <f aca="false">1</f>
        <v>1</v>
      </c>
      <c r="E932" s="18" t="n">
        <f aca="false">cx_27</f>
        <v>1.45</v>
      </c>
      <c r="F932" s="18" t="n">
        <f aca="false">cx_28</f>
        <v>1.9</v>
      </c>
      <c r="G932" s="18" t="n">
        <f aca="false">cx_29</f>
        <v>2.3</v>
      </c>
      <c r="K932" s="7" t="s">
        <v>620</v>
      </c>
    </row>
    <row r="933" customFormat="false" ht="17.15" hidden="false" customHeight="false" outlineLevel="0" collapsed="false">
      <c r="A933" s="3" t="s">
        <v>621</v>
      </c>
      <c r="B933" s="0" t="s">
        <v>203</v>
      </c>
      <c r="D933" s="22" t="n">
        <f aca="false">a26_rev*D932*D926</f>
        <v>105.40752</v>
      </c>
      <c r="E933" s="22" t="n">
        <f aca="false">a26_rev*E932*E926</f>
        <v>152.840904</v>
      </c>
      <c r="F933" s="22" t="n">
        <f aca="false">a26_rev*F932*F926</f>
        <v>194.26605936</v>
      </c>
      <c r="G933" s="22" t="n">
        <f aca="false">a26_rev*G932*G926</f>
        <v>227.89105824</v>
      </c>
    </row>
    <row r="934" customFormat="false" ht="17.15" hidden="false" customHeight="false" outlineLevel="0" collapsed="false">
      <c r="A934" s="3" t="s">
        <v>622</v>
      </c>
      <c r="B934" s="0" t="s">
        <v>203</v>
      </c>
      <c r="C934" s="22" t="n">
        <f aca="false">a25_nai</f>
        <v>42.0028</v>
      </c>
      <c r="D934" s="22" t="n">
        <f aca="false">a26_nai</f>
        <v>50.40336</v>
      </c>
      <c r="E934" s="22" t="n">
        <f aca="false">D934*(1+GNLO27)</f>
        <v>47.883192</v>
      </c>
      <c r="F934" s="22" t="n">
        <f aca="false">E934*(1+GNLO28)</f>
        <v>45.4890324</v>
      </c>
      <c r="G934" s="22" t="n">
        <f aca="false">F934*(1+GNLO29)</f>
        <v>43.21458078</v>
      </c>
    </row>
    <row r="935" customFormat="false" ht="17.15" hidden="false" customHeight="false" outlineLevel="0" collapsed="false">
      <c r="A935" s="0" t="s">
        <v>623</v>
      </c>
      <c r="B935" s="0" t="s">
        <v>203</v>
      </c>
      <c r="C935" s="22" t="n">
        <f aca="false">a25_ai</f>
        <v>18.0012</v>
      </c>
      <c r="D935" s="22" t="n">
        <f aca="false">D930</f>
        <v>55.00416</v>
      </c>
      <c r="E935" s="22" t="n">
        <f aca="false">MIN(E930,E933-E934)</f>
        <v>104.957712</v>
      </c>
      <c r="F935" s="22" t="n">
        <f aca="false">MIN(F930,F933-F934)</f>
        <v>148.77702696</v>
      </c>
      <c r="G935" s="22" t="n">
        <f aca="false">MIN(G930,G933-G934)</f>
        <v>184.67647746</v>
      </c>
      <c r="K935" s="3" t="s">
        <v>624</v>
      </c>
    </row>
    <row r="936" customFormat="false" ht="15" hidden="false" customHeight="false" outlineLevel="0" collapsed="false">
      <c r="A936" s="3" t="s">
        <v>625</v>
      </c>
      <c r="E936" s="0" t="str">
        <f aca="false">IF(E930&gt;E933-E934+0.0001,"受限","未受限")</f>
        <v>受限</v>
      </c>
      <c r="F936" s="0" t="str">
        <f aca="false">IF(F930&gt;F933-F934+0.0001,"受限","未受限")</f>
        <v>受限</v>
      </c>
      <c r="G936" s="0" t="str">
        <f aca="false">IF(G930&gt;G933-G934+0.0001,"受限","未受限")</f>
        <v>受限</v>
      </c>
    </row>
    <row r="937" customFormat="false" ht="17.15" hidden="false" customHeight="false" outlineLevel="0" collapsed="false">
      <c r="A937" s="3" t="s">
        <v>499</v>
      </c>
      <c r="B937" s="0" t="s">
        <v>203</v>
      </c>
      <c r="C937" s="22" t="n">
        <f aca="false">C935+C934</f>
        <v>60.004</v>
      </c>
      <c r="D937" s="22" t="n">
        <f aca="false">D935+D934</f>
        <v>105.40752</v>
      </c>
      <c r="E937" s="22" t="n">
        <f aca="false">E935+E934</f>
        <v>152.840904</v>
      </c>
      <c r="F937" s="22" t="n">
        <f aca="false">F935+F934</f>
        <v>194.26605936</v>
      </c>
      <c r="G937" s="22" t="n">
        <f aca="false">G935+G934</f>
        <v>227.89105824</v>
      </c>
      <c r="H937" s="24" t="n">
        <f aca="false">G937*(1+H938)</f>
        <v>257.226313072804</v>
      </c>
      <c r="I937" s="24" t="n">
        <f aca="false">H937*(1+I938)</f>
        <v>278.92655569709</v>
      </c>
      <c r="J937" s="24" t="n">
        <f aca="false">I937*(1+J938)</f>
        <v>290.083617924974</v>
      </c>
      <c r="K937" s="7" t="s">
        <v>626</v>
      </c>
    </row>
    <row r="938" customFormat="false" ht="15" hidden="false" customHeight="false" outlineLevel="0" collapsed="false">
      <c r="A938" s="3" t="s">
        <v>627</v>
      </c>
      <c r="B938" s="0" t="s">
        <v>55</v>
      </c>
      <c r="D938" s="14" t="n">
        <f aca="false">D937/C937-1</f>
        <v>0.756674888340778</v>
      </c>
      <c r="E938" s="14" t="n">
        <f aca="false">E937/D937-1</f>
        <v>0.45</v>
      </c>
      <c r="F938" s="14" t="n">
        <f aca="false">F937/E937-1</f>
        <v>0.271034482758621</v>
      </c>
      <c r="G938" s="14" t="n">
        <f aca="false">G937/F937-1</f>
        <v>0.173087357569181</v>
      </c>
      <c r="H938" s="25" t="n">
        <f aca="false">$G938+(fade_gB-$G938)*1/3</f>
        <v>0.12872490504612</v>
      </c>
      <c r="I938" s="25" t="n">
        <f aca="false">$G938+(fade_gB-$G938)*2/3</f>
        <v>0.0843624525230602</v>
      </c>
      <c r="J938" s="25" t="n">
        <f aca="false">$G938+(fade_gB-$G938)*3/3</f>
        <v>0.04</v>
      </c>
    </row>
    <row r="939" customFormat="false" ht="17.15" hidden="false" customHeight="false" outlineLevel="0" collapsed="false">
      <c r="A939" s="3" t="s">
        <v>628</v>
      </c>
      <c r="B939" s="0" t="s">
        <v>203</v>
      </c>
      <c r="D939" s="22" t="n">
        <f aca="false">D935*(D920+D922)/D923</f>
        <v>39.4735736470588</v>
      </c>
      <c r="E939" s="22" t="n">
        <f aca="false">E935*(E920+E922)/E923</f>
        <v>78.0539946835443</v>
      </c>
      <c r="F939" s="22" t="n">
        <f aca="false">F935*(F920+F922)/F923</f>
        <v>111.427145714812</v>
      </c>
      <c r="G939" s="22" t="n">
        <f aca="false">G935*(G920+G922)/G923</f>
        <v>138.361160756922</v>
      </c>
      <c r="K939" s="7" t="s">
        <v>629</v>
      </c>
    </row>
    <row r="940" customFormat="false" ht="17.15" hidden="false" customHeight="false" outlineLevel="0" collapsed="false">
      <c r="A940" s="3" t="s">
        <v>630</v>
      </c>
      <c r="B940" s="0" t="s">
        <v>203</v>
      </c>
      <c r="D940" s="22" t="n">
        <f aca="false">D935*D921/D923</f>
        <v>15.5305863529412</v>
      </c>
      <c r="E940" s="22" t="n">
        <f aca="false">E935*E921/E923</f>
        <v>26.9037173164557</v>
      </c>
      <c r="F940" s="22" t="n">
        <f aca="false">F935*F921/F923</f>
        <v>37.3498812451883</v>
      </c>
      <c r="G940" s="22" t="n">
        <f aca="false">G935*G921/G923</f>
        <v>46.3153167030779</v>
      </c>
    </row>
    <row r="941" customFormat="false" ht="17.15" hidden="false" customHeight="false" outlineLevel="0" collapsed="false">
      <c r="A941" s="3" t="s">
        <v>631</v>
      </c>
      <c r="B941" s="0" t="s">
        <v>203</v>
      </c>
      <c r="D941" s="22" t="n">
        <f aca="false">srv26*D937-D939</f>
        <v>42.7442919529412</v>
      </c>
      <c r="E941" s="22" t="n">
        <f aca="false">E934*$D941/$D934</f>
        <v>40.6070773552941</v>
      </c>
      <c r="F941" s="22" t="n">
        <f aca="false">F934*$D941/$D934</f>
        <v>38.5767234875294</v>
      </c>
      <c r="G941" s="22" t="n">
        <f aca="false">G934*$D941/$D934</f>
        <v>36.6478873131529</v>
      </c>
      <c r="K941" s="7" t="s">
        <v>632</v>
      </c>
    </row>
    <row r="942" customFormat="false" ht="17.15" hidden="false" customHeight="false" outlineLevel="0" collapsed="false">
      <c r="A942" s="3" t="s">
        <v>633</v>
      </c>
      <c r="B942" s="0" t="s">
        <v>203</v>
      </c>
      <c r="D942" s="22" t="n">
        <f aca="false">net26*D937-D940</f>
        <v>0.28054164705882</v>
      </c>
      <c r="E942" s="22" t="n">
        <f aca="false">E934*$D942/$D934</f>
        <v>0.266514564705879</v>
      </c>
      <c r="F942" s="22" t="n">
        <f aca="false">F934*$D942/$D934</f>
        <v>0.253188836470585</v>
      </c>
      <c r="G942" s="22" t="n">
        <f aca="false">G934*$D942/$D934</f>
        <v>0.240529394647056</v>
      </c>
    </row>
    <row r="943" customFormat="false" ht="17.15" hidden="false" customHeight="false" outlineLevel="0" collapsed="false">
      <c r="A943" s="3" t="s">
        <v>634</v>
      </c>
      <c r="B943" s="0" t="s">
        <v>203</v>
      </c>
      <c r="C943" s="22" t="n">
        <f aca="false">srv25*C937</f>
        <v>48.0032</v>
      </c>
      <c r="D943" s="22" t="n">
        <f aca="false">D939+D941</f>
        <v>82.2178656</v>
      </c>
      <c r="E943" s="22" t="n">
        <f aca="false">E939+E941</f>
        <v>118.661072038838</v>
      </c>
      <c r="F943" s="22" t="n">
        <f aca="false">F939+F941</f>
        <v>150.003869202341</v>
      </c>
      <c r="G943" s="22" t="n">
        <f aca="false">G939+G941</f>
        <v>175.009048070075</v>
      </c>
      <c r="K943" s="3" t="s">
        <v>635</v>
      </c>
    </row>
    <row r="944" customFormat="false" ht="15" hidden="false" customHeight="false" outlineLevel="0" collapsed="false">
      <c r="A944" s="3" t="s">
        <v>636</v>
      </c>
      <c r="B944" s="0" t="s">
        <v>203</v>
      </c>
      <c r="C944" s="22" t="n">
        <f aca="false">net25*C937</f>
        <v>6.0004</v>
      </c>
      <c r="D944" s="22" t="n">
        <f aca="false">D940+D942</f>
        <v>15.811128</v>
      </c>
      <c r="E944" s="22" t="n">
        <f aca="false">E940+E942</f>
        <v>27.1702318811616</v>
      </c>
      <c r="F944" s="22" t="n">
        <f aca="false">F940+F942</f>
        <v>37.6030700816589</v>
      </c>
      <c r="G944" s="22" t="n">
        <f aca="false">G940+G942</f>
        <v>46.555846097725</v>
      </c>
      <c r="K944" s="3" t="s">
        <v>637</v>
      </c>
    </row>
    <row r="945" customFormat="false" ht="15" hidden="false" customHeight="false" outlineLevel="0" collapsed="false">
      <c r="A945" s="3" t="s">
        <v>638</v>
      </c>
      <c r="B945" s="0" t="s">
        <v>203</v>
      </c>
      <c r="C945" s="22" t="n">
        <f aca="false">C937-C943-C944</f>
        <v>6.0004</v>
      </c>
      <c r="D945" s="22" t="n">
        <f aca="false">D937-D943-D944</f>
        <v>7.3785264</v>
      </c>
      <c r="E945" s="22" t="n">
        <f aca="false">E937-E943-E944</f>
        <v>7.00960007999999</v>
      </c>
      <c r="F945" s="22" t="n">
        <f aca="false">F937-F943-F944</f>
        <v>6.65912007599999</v>
      </c>
      <c r="G945" s="22" t="n">
        <f aca="false">G937-G943-G944</f>
        <v>6.32616407220002</v>
      </c>
      <c r="K945" s="3" t="s">
        <v>639</v>
      </c>
    </row>
    <row r="946" customFormat="false" ht="17.15" hidden="false" customHeight="false" outlineLevel="0" collapsed="false">
      <c r="A946" s="3" t="s">
        <v>640</v>
      </c>
      <c r="B946" s="0" t="s">
        <v>203</v>
      </c>
      <c r="C946" s="28" t="n">
        <f aca="false">C943+C944+C945-C937</f>
        <v>0</v>
      </c>
      <c r="D946" s="28" t="n">
        <f aca="false">ROUND(D941+D942+D945-D934,9)</f>
        <v>0</v>
      </c>
      <c r="E946" s="28" t="n">
        <f aca="false">ROUND(E941+E942+E945-E934,9)</f>
        <v>0</v>
      </c>
      <c r="F946" s="28" t="n">
        <f aca="false">ROUND(F941+F942+F945-F934,9)</f>
        <v>0</v>
      </c>
      <c r="G946" s="28" t="n">
        <f aca="false">ROUND(G941+G942+G945-G934,9)</f>
        <v>0</v>
      </c>
    </row>
    <row r="947" customFormat="false" ht="17.15" hidden="false" customHeight="false" outlineLevel="0" collapsed="false">
      <c r="A947" s="0" t="s">
        <v>641</v>
      </c>
      <c r="B947" s="0" t="s">
        <v>55</v>
      </c>
      <c r="C947" s="14" t="n">
        <f aca="false">C935/C937</f>
        <v>0.3</v>
      </c>
      <c r="D947" s="14" t="n">
        <f aca="false">D935/D937</f>
        <v>0.521823869871903</v>
      </c>
      <c r="E947" s="14" t="n">
        <f aca="false">E935/E937</f>
        <v>0.68671219060573</v>
      </c>
      <c r="F947" s="14" t="n">
        <f aca="false">F935/F937</f>
        <v>0.765841585762014</v>
      </c>
      <c r="G947" s="14" t="n">
        <f aca="false">G935/G937</f>
        <v>0.81037175783137</v>
      </c>
    </row>
    <row r="948" customFormat="false" ht="17.15" hidden="false" customHeight="false" outlineLevel="0" collapsed="false">
      <c r="A948" s="3" t="s">
        <v>642</v>
      </c>
      <c r="B948" s="0" t="s">
        <v>55</v>
      </c>
      <c r="D948" s="14" t="n">
        <f aca="false">(D930+D934)/D933</f>
        <v>1</v>
      </c>
      <c r="E948" s="14" t="n">
        <f aca="false">(E930+E934)/E933</f>
        <v>1.2657726768446</v>
      </c>
      <c r="F948" s="14" t="n">
        <f aca="false">(F930+F934)/F933</f>
        <v>1.02862589767704</v>
      </c>
      <c r="G948" s="14" t="n">
        <f aca="false">(G930+G934)/G933</f>
        <v>1.01826980945591</v>
      </c>
      <c r="K948" s="3" t="s">
        <v>643</v>
      </c>
    </row>
    <row r="949" customFormat="false" ht="17.15" hidden="false" customHeight="false" outlineLevel="0" collapsed="false">
      <c r="A949" s="3" t="s">
        <v>569</v>
      </c>
      <c r="B949" s="0" t="s">
        <v>96</v>
      </c>
      <c r="D949" s="21" t="n">
        <f aca="false">D935/fx/D919*1000</f>
        <v>73.4578604462224</v>
      </c>
      <c r="E949" s="21" t="n">
        <f aca="false">E935/fx/E919*1000</f>
        <v>78.7558994064152</v>
      </c>
      <c r="F949" s="21" t="n">
        <f aca="false">F935/fx/F919*1000</f>
        <v>110.084622724913</v>
      </c>
      <c r="G949" s="21" t="n">
        <f aca="false">G935/fx/G919*1000</f>
        <v>112.898825549467</v>
      </c>
    </row>
    <row r="950" customFormat="false" ht="17.15" hidden="false" customHeight="false" outlineLevel="0" collapsed="false">
      <c r="A950" s="5" t="s">
        <v>644</v>
      </c>
    </row>
    <row r="951" customFormat="false" ht="17.15" hidden="false" customHeight="false" outlineLevel="0" collapsed="false">
      <c r="A951" s="3" t="s">
        <v>645</v>
      </c>
      <c r="B951" s="0" t="s">
        <v>55</v>
      </c>
      <c r="D951" s="14" t="n">
        <f aca="false">a26_gp/D937-d_ai*D947</f>
        <v>0.296655205435058</v>
      </c>
      <c r="K951" s="7" t="s">
        <v>646</v>
      </c>
    </row>
    <row r="952" customFormat="false" ht="17.15" hidden="false" customHeight="false" outlineLevel="0" collapsed="false">
      <c r="A952" s="0" t="s">
        <v>647</v>
      </c>
      <c r="B952" s="0" t="s">
        <v>55</v>
      </c>
      <c r="D952" s="14" t="n">
        <f aca="false">D951+d_ai</f>
        <v>0.396655205435058</v>
      </c>
      <c r="E952" s="14" t="n">
        <f aca="false">1-(1-$D$952)/E926+gmu_27</f>
        <v>0.406655205435058</v>
      </c>
      <c r="F952" s="14" t="n">
        <f aca="false">1-(1-$D$952)/F926+gmu_28</f>
        <v>0.392995057149545</v>
      </c>
      <c r="G952" s="14" t="n">
        <f aca="false">1-(1-$D$952)/G926+gmu_29</f>
        <v>0.378143835569211</v>
      </c>
      <c r="K952" s="7" t="s">
        <v>648</v>
      </c>
    </row>
    <row r="953" customFormat="false" ht="15" hidden="false" customHeight="false" outlineLevel="0" collapsed="false">
      <c r="A953" s="3" t="s">
        <v>503</v>
      </c>
      <c r="B953" s="0" t="s">
        <v>203</v>
      </c>
      <c r="C953" s="22" t="n">
        <f aca="false">a25_gp</f>
        <v>19.683</v>
      </c>
      <c r="D953" s="22" t="n">
        <f aca="false">a26_gp</f>
        <v>36.7701055</v>
      </c>
      <c r="E953" s="22" t="n">
        <f aca="false">E935*E952+E934*$D$951</f>
        <v>56.886398095</v>
      </c>
      <c r="F953" s="22" t="n">
        <f aca="false">F935*F952+F934*$D$951</f>
        <v>71.9631944643486</v>
      </c>
      <c r="G953" s="22" t="n">
        <f aca="false">G935*G952+G934*$D$951</f>
        <v>82.6541018652161</v>
      </c>
    </row>
    <row r="954" customFormat="false" ht="15" hidden="false" customHeight="false" outlineLevel="0" collapsed="false">
      <c r="A954" s="3" t="s">
        <v>506</v>
      </c>
      <c r="B954" s="0" t="s">
        <v>55</v>
      </c>
      <c r="C954" s="14" t="n">
        <f aca="false">C953/C937</f>
        <v>0.328028131457903</v>
      </c>
      <c r="D954" s="14" t="n">
        <f aca="false">D953/D937</f>
        <v>0.348837592422248</v>
      </c>
      <c r="E954" s="14" t="n">
        <f aca="false">E953/E937</f>
        <v>0.372193546401688</v>
      </c>
      <c r="F954" s="14" t="n">
        <f aca="false">F953/F937</f>
        <v>0.370436270244158</v>
      </c>
      <c r="G954" s="14" t="n">
        <f aca="false">G953/G937</f>
        <v>0.362691289880142</v>
      </c>
    </row>
    <row r="955" customFormat="false" ht="15" hidden="false" customHeight="false" outlineLevel="0" collapsed="false">
      <c r="A955" s="3" t="s">
        <v>649</v>
      </c>
      <c r="B955" s="0" t="s">
        <v>203</v>
      </c>
      <c r="C955" s="22" t="n">
        <f aca="false">a25_opx</f>
        <v>5.64</v>
      </c>
      <c r="D955" s="22" t="n">
        <f aca="false">a26_opx</f>
        <v>8.4779754</v>
      </c>
      <c r="E955" s="22" t="n">
        <f aca="false">D955*(1+MAX(0,phi*E938))</f>
        <v>10.767028758</v>
      </c>
      <c r="F955" s="22" t="n">
        <f aca="false">E955*(1+MAX(0,phi*F938))</f>
        <v>12.517970400163</v>
      </c>
      <c r="G955" s="22" t="n">
        <f aca="false">F955*(1+MAX(0,phi*G938))</f>
        <v>13.8179918513791</v>
      </c>
    </row>
    <row r="956" customFormat="false" ht="15" hidden="false" customHeight="false" outlineLevel="0" collapsed="false">
      <c r="A956" s="3" t="s">
        <v>508</v>
      </c>
      <c r="B956" s="0" t="s">
        <v>203</v>
      </c>
      <c r="C956" s="22" t="n">
        <f aca="false">C955</f>
        <v>5.64</v>
      </c>
      <c r="D956" s="22" t="n">
        <f aca="false">D955</f>
        <v>8.4779754</v>
      </c>
      <c r="E956" s="22" t="n">
        <f aca="false">E955+0*E937</f>
        <v>10.767028758</v>
      </c>
      <c r="F956" s="22" t="n">
        <f aca="false">F955+0*F937</f>
        <v>12.517970400163</v>
      </c>
      <c r="G956" s="22" t="n">
        <f aca="false">G955+0*G937</f>
        <v>13.8179918513791</v>
      </c>
    </row>
    <row r="957" customFormat="false" ht="15" hidden="false" customHeight="false" outlineLevel="0" collapsed="false">
      <c r="A957" s="3" t="s">
        <v>650</v>
      </c>
      <c r="B957" s="0" t="s">
        <v>203</v>
      </c>
      <c r="C957" s="22" t="n">
        <f aca="false">C953-C956</f>
        <v>14.043</v>
      </c>
      <c r="D957" s="22" t="n">
        <f aca="false">D953-D956</f>
        <v>28.2921301</v>
      </c>
      <c r="E957" s="22" t="n">
        <f aca="false">E953-E956</f>
        <v>46.119369337</v>
      </c>
      <c r="F957" s="22" t="n">
        <f aca="false">F953-F956</f>
        <v>59.4452240641855</v>
      </c>
      <c r="G957" s="22" t="n">
        <f aca="false">G953-G956</f>
        <v>68.836110013837</v>
      </c>
    </row>
    <row r="958" customFormat="false" ht="15" hidden="false" customHeight="false" outlineLevel="0" collapsed="false">
      <c r="A958" s="3" t="s">
        <v>514</v>
      </c>
      <c r="B958" s="0" t="s">
        <v>55</v>
      </c>
      <c r="C958" s="14" t="n">
        <f aca="false">C957/C937</f>
        <v>0.23403439770682</v>
      </c>
      <c r="D958" s="14" t="n">
        <f aca="false">D957/D937</f>
        <v>0.268407131673338</v>
      </c>
      <c r="E958" s="14" t="n">
        <f aca="false">E957/E937</f>
        <v>0.301747556642298</v>
      </c>
      <c r="F958" s="14" t="n">
        <f aca="false">F957/F937</f>
        <v>0.305999021445253</v>
      </c>
      <c r="G958" s="14" t="n">
        <f aca="false">G957/G937</f>
        <v>0.302057090547815</v>
      </c>
    </row>
    <row r="959" customFormat="false" ht="17.15" hidden="false" customHeight="false" outlineLevel="0" collapsed="false">
      <c r="A959" s="3" t="s">
        <v>515</v>
      </c>
      <c r="B959" s="0" t="s">
        <v>203</v>
      </c>
      <c r="E959" s="22" t="n">
        <f aca="false">nop_f</f>
        <v>0</v>
      </c>
      <c r="F959" s="22" t="n">
        <f aca="false">nop_f</f>
        <v>0</v>
      </c>
      <c r="G959" s="22" t="n">
        <f aca="false">nop_f</f>
        <v>0</v>
      </c>
      <c r="K959" s="7" t="s">
        <v>651</v>
      </c>
    </row>
    <row r="960" customFormat="false" ht="15" hidden="false" customHeight="false" outlineLevel="0" collapsed="false">
      <c r="A960" s="3" t="s">
        <v>520</v>
      </c>
      <c r="B960" s="0" t="s">
        <v>203</v>
      </c>
      <c r="C960" s="22" t="n">
        <f aca="false">a25_ni</f>
        <v>9.607</v>
      </c>
      <c r="D960" s="22" t="n">
        <f aca="false">a26_ni</f>
        <v>19.6977289395284</v>
      </c>
      <c r="E960" s="22" t="n">
        <f aca="false">(E957+E959)*nir_f</f>
        <v>31.591767995845</v>
      </c>
      <c r="F960" s="22" t="n">
        <f aca="false">(F957+F959)*nir_f</f>
        <v>40.7199784839671</v>
      </c>
      <c r="G960" s="22" t="n">
        <f aca="false">(G957+G959)*nir_f</f>
        <v>47.1527353594784</v>
      </c>
      <c r="H960" s="24" t="n">
        <f aca="false">H937*H965</f>
        <v>49.6128038404251</v>
      </c>
      <c r="I960" s="24" t="n">
        <f aca="false">I937*I965</f>
        <v>49.8840787329833</v>
      </c>
      <c r="J960" s="24" t="n">
        <f aca="false">J937*J965</f>
        <v>47.8086916496984</v>
      </c>
    </row>
    <row r="961" customFormat="false" ht="17.15" hidden="false" customHeight="false" outlineLevel="0" collapsed="false">
      <c r="A961" s="3" t="s">
        <v>523</v>
      </c>
      <c r="B961" s="0" t="s">
        <v>55</v>
      </c>
      <c r="C961" s="14" t="n">
        <f aca="false">C960/C957</f>
        <v>0.684113081250445</v>
      </c>
      <c r="D961" s="14" t="n">
        <f aca="false">D960/D957</f>
        <v>0.696226437171953</v>
      </c>
      <c r="E961" s="14" t="n">
        <f aca="false">E960/E957</f>
        <v>0.685</v>
      </c>
      <c r="F961" s="14" t="n">
        <f aca="false">F960/F957</f>
        <v>0.685</v>
      </c>
      <c r="G961" s="14" t="n">
        <f aca="false">G960/G957</f>
        <v>0.685</v>
      </c>
    </row>
    <row r="962" customFormat="false" ht="17.15" hidden="false" customHeight="false" outlineLevel="0" collapsed="false">
      <c r="A962" s="3" t="s">
        <v>652</v>
      </c>
      <c r="B962" s="3" t="s">
        <v>233</v>
      </c>
      <c r="C962" s="27" t="n">
        <f aca="false">a25_sh</f>
        <v>0.493425783256292</v>
      </c>
      <c r="D962" s="27" t="n">
        <f aca="false">a26_sh</f>
        <v>0.512980850061958</v>
      </c>
      <c r="E962" s="27" t="n">
        <f aca="false">sh_h2*(1+sh_g)</f>
        <v>0.51889356</v>
      </c>
      <c r="F962" s="27" t="n">
        <f aca="false">E962*(1+sh_g)</f>
        <v>0.5240824956</v>
      </c>
      <c r="G962" s="27" t="n">
        <f aca="false">F962*(1+sh_g)</f>
        <v>0.529323320556</v>
      </c>
      <c r="H962" s="29" t="n">
        <f aca="false">G962*(1+sh_g)</f>
        <v>0.53461655376156</v>
      </c>
      <c r="I962" s="29" t="n">
        <f aca="false">H962*(1+sh_g)</f>
        <v>0.539962719299176</v>
      </c>
      <c r="J962" s="29" t="n">
        <f aca="false">I962*(1+sh_g)</f>
        <v>0.545362346492167</v>
      </c>
      <c r="K962" s="7" t="s">
        <v>653</v>
      </c>
    </row>
    <row r="963" customFormat="false" ht="15" hidden="false" customHeight="false" outlineLevel="0" collapsed="false">
      <c r="A963" s="0" t="s">
        <v>526</v>
      </c>
      <c r="B963" s="0" t="s">
        <v>271</v>
      </c>
      <c r="C963" s="23" t="n">
        <f aca="false">C960/C962</f>
        <v>19.47</v>
      </c>
      <c r="D963" s="23" t="n">
        <f aca="false">D960/D962</f>
        <v>38.3985658278458</v>
      </c>
      <c r="E963" s="23" t="n">
        <f aca="false">E960/E962</f>
        <v>60.8829448487374</v>
      </c>
      <c r="F963" s="23" t="n">
        <f aca="false">F960/F962</f>
        <v>77.6976503238264</v>
      </c>
      <c r="G963" s="23" t="n">
        <f aca="false">G960/G962</f>
        <v>89.0811599042136</v>
      </c>
      <c r="H963" s="30" t="n">
        <f aca="false">H960/H962</f>
        <v>92.8007251016633</v>
      </c>
      <c r="I963" s="30" t="n">
        <f aca="false">I960/I962</f>
        <v>92.384301637951</v>
      </c>
      <c r="J963" s="30" t="n">
        <f aca="false">J960/J962</f>
        <v>87.6640860103551</v>
      </c>
    </row>
    <row r="964" customFormat="false" ht="17.15" hidden="false" customHeight="false" outlineLevel="0" collapsed="false">
      <c r="A964" s="0" t="s">
        <v>654</v>
      </c>
      <c r="B964" s="0" t="s">
        <v>55</v>
      </c>
      <c r="D964" s="14" t="n">
        <f aca="false">D963/C963-1</f>
        <v>0.9721913624985</v>
      </c>
      <c r="E964" s="14" t="n">
        <f aca="false">E963/D963-1</f>
        <v>0.58555257302309</v>
      </c>
      <c r="F964" s="14" t="n">
        <f aca="false">F963/E963-1</f>
        <v>0.276180883117018</v>
      </c>
      <c r="G964" s="14" t="n">
        <f aca="false">G963/F963-1</f>
        <v>0.146510345331465</v>
      </c>
      <c r="H964" s="25" t="n">
        <f aca="false">H963/G963-1</f>
        <v>0.041754790816029</v>
      </c>
      <c r="I964" s="25" t="n">
        <f aca="false">I963/H963-1</f>
        <v>-0.004487286745401</v>
      </c>
      <c r="J964" s="25" t="n">
        <f aca="false">J963/I963-1</f>
        <v>-0.0510932652399562</v>
      </c>
    </row>
    <row r="965" customFormat="false" ht="17.15" hidden="false" customHeight="false" outlineLevel="0" collapsed="false">
      <c r="A965" s="3" t="s">
        <v>655</v>
      </c>
      <c r="B965" s="0" t="s">
        <v>55</v>
      </c>
      <c r="C965" s="14" t="n">
        <f aca="false">C960/C937</f>
        <v>0.160105992933804</v>
      </c>
      <c r="D965" s="14" t="n">
        <f aca="false">D960/D937</f>
        <v>0.186872140996471</v>
      </c>
      <c r="E965" s="14" t="n">
        <f aca="false">E960/E937</f>
        <v>0.206697076299974</v>
      </c>
      <c r="F965" s="14" t="n">
        <f aca="false">F960/F937</f>
        <v>0.209609329689999</v>
      </c>
      <c r="G965" s="14" t="n">
        <f aca="false">G960/G937</f>
        <v>0.206909107025253</v>
      </c>
      <c r="H965" s="25" t="n">
        <f aca="false">$G965+(fade_mB-$G965)*1/3</f>
        <v>0.192876083506989</v>
      </c>
      <c r="I965" s="25" t="n">
        <f aca="false">$G965+(fade_mB-$G965)*2/3</f>
        <v>0.178843059988726</v>
      </c>
      <c r="J965" s="25" t="n">
        <f aca="false">$G965+(fade_mB-$G965)*3/3</f>
        <v>0.164810036470462</v>
      </c>
    </row>
    <row r="968" customFormat="false" ht="17.15" hidden="false" customHeight="false" outlineLevel="0" collapsed="false">
      <c r="A968" s="1" t="s">
        <v>1007</v>
      </c>
    </row>
    <row r="969" customFormat="false" ht="17.15" hidden="false" customHeight="false" outlineLevel="0" collapsed="false">
      <c r="A969" s="4" t="s">
        <v>24</v>
      </c>
      <c r="B969" s="4" t="s">
        <v>25</v>
      </c>
      <c r="C969" s="15" t="s">
        <v>494</v>
      </c>
      <c r="D969" s="15" t="s">
        <v>583</v>
      </c>
      <c r="E969" s="15" t="s">
        <v>584</v>
      </c>
      <c r="F969" s="15" t="s">
        <v>585</v>
      </c>
      <c r="G969" s="15" t="s">
        <v>586</v>
      </c>
      <c r="H969" s="15" t="s">
        <v>587</v>
      </c>
      <c r="I969" s="15" t="s">
        <v>588</v>
      </c>
      <c r="J969" s="15" t="s">
        <v>589</v>
      </c>
      <c r="K969" s="4" t="s">
        <v>458</v>
      </c>
    </row>
    <row r="970" customFormat="false" ht="17.15" hidden="false" customHeight="false" outlineLevel="0" collapsed="false">
      <c r="A970" s="5" t="s">
        <v>605</v>
      </c>
    </row>
    <row r="971" customFormat="false" ht="17.15" hidden="false" customHeight="false" outlineLevel="0" collapsed="false">
      <c r="A971" s="0" t="s">
        <v>606</v>
      </c>
      <c r="B971" s="0" t="s">
        <v>35</v>
      </c>
      <c r="D971" s="23" t="n">
        <f aca="false">itc_26*1</f>
        <v>781.872916666666</v>
      </c>
      <c r="E971" s="23" t="n">
        <f aca="false">itc_27*1*1</f>
        <v>1565.35</v>
      </c>
      <c r="F971" s="23" t="n">
        <f aca="false">itc_28*um28_B*1</f>
        <v>1587.41111111111</v>
      </c>
      <c r="G971" s="23" t="n">
        <f aca="false">itc_29*um29_B*1</f>
        <v>1921.33173611111</v>
      </c>
    </row>
    <row r="972" customFormat="false" ht="17.15" hidden="false" customHeight="false" outlineLevel="0" collapsed="false">
      <c r="A972" s="3" t="s">
        <v>607</v>
      </c>
      <c r="B972" s="0" t="s">
        <v>35</v>
      </c>
      <c r="D972" s="23" t="n">
        <f aca="false">itpg_gb*(1-vr26)+itpg_vr*vr26</f>
        <v>33.41403216</v>
      </c>
      <c r="E972" s="23" t="n">
        <f aca="false">itpg_vr</f>
        <v>37.586352</v>
      </c>
      <c r="F972" s="23" t="n">
        <f aca="false">itpg_vr</f>
        <v>37.586352</v>
      </c>
      <c r="G972" s="23" t="n">
        <f aca="false">itpg_vr</f>
        <v>37.586352</v>
      </c>
    </row>
    <row r="973" customFormat="false" ht="17.15" hidden="false" customHeight="false" outlineLevel="0" collapsed="false">
      <c r="A973" s="3" t="s">
        <v>608</v>
      </c>
      <c r="B973" s="0" t="s">
        <v>549</v>
      </c>
      <c r="D973" s="20" t="n">
        <f aca="false">D971/D972</f>
        <v>23.3995380420639</v>
      </c>
      <c r="E973" s="20" t="n">
        <f aca="false">E971/E972</f>
        <v>41.6467658260637</v>
      </c>
      <c r="F973" s="20" t="n">
        <f aca="false">F971/F972</f>
        <v>42.2337105529984</v>
      </c>
      <c r="G973" s="20" t="n">
        <f aca="false">G971/G972</f>
        <v>51.1178029756948</v>
      </c>
    </row>
    <row r="974" customFormat="false" ht="17.15" hidden="false" customHeight="false" outlineLevel="0" collapsed="false">
      <c r="A974" s="3" t="s">
        <v>553</v>
      </c>
      <c r="B974" s="0" t="s">
        <v>96</v>
      </c>
      <c r="D974" s="21" t="n">
        <f aca="false">vg_cmp26</f>
        <v>280</v>
      </c>
      <c r="E974" s="21" t="n">
        <f aca="false">(vg_cmp26+(vg_cmp27-vg_cmp26)*pgwf)</f>
        <v>420</v>
      </c>
      <c r="F974" s="21" t="n">
        <f aca="false">(vg_cmp26+(vg_cmp28-vg_cmp26)*pgwf)</f>
        <v>462</v>
      </c>
      <c r="G974" s="21" t="n">
        <f aca="false">(vg_cmp26+(vg_cmp29-vg_cmp26)*pgwf)</f>
        <v>504</v>
      </c>
    </row>
    <row r="975" customFormat="false" ht="17.15" hidden="false" customHeight="false" outlineLevel="0" collapsed="false">
      <c r="A975" s="3" t="s">
        <v>555</v>
      </c>
      <c r="B975" s="0" t="s">
        <v>96</v>
      </c>
      <c r="D975" s="21" t="n">
        <f aca="false">vg_sw26</f>
        <v>120</v>
      </c>
      <c r="E975" s="21" t="n">
        <f aca="false">(vg_sw26+(vg_sw27-vg_sw26)*pgwf)</f>
        <v>162</v>
      </c>
      <c r="F975" s="21" t="n">
        <f aca="false">(vg_sw26+(vg_sw28-vg_sw26)*pgwf)</f>
        <v>180</v>
      </c>
      <c r="G975" s="21" t="n">
        <f aca="false">(vg_sw26+(vg_sw29-vg_sw26)*pgwf)</f>
        <v>198</v>
      </c>
    </row>
    <row r="976" customFormat="false" ht="17.15" hidden="false" customHeight="false" outlineLevel="0" collapsed="false">
      <c r="A976" s="3" t="s">
        <v>609</v>
      </c>
      <c r="B976" s="0" t="s">
        <v>96</v>
      </c>
      <c r="D976" s="21" t="n">
        <f aca="false">vg_mid26*w_mid</f>
        <v>25</v>
      </c>
      <c r="E976" s="21" t="n">
        <f aca="false">(vg_mid26+(vg_mid27-vg_mid26)*pgwf)*w_mid</f>
        <v>50</v>
      </c>
      <c r="F976" s="21" t="n">
        <f aca="false">(vg_mid26+(vg_mid28-vg_mid26)*pgwf)*w_mid</f>
        <v>75</v>
      </c>
      <c r="G976" s="21" t="n">
        <f aca="false">(vg_mid26+(vg_mid29-vg_mid26)*pgwf)*w_mid</f>
        <v>87.5</v>
      </c>
    </row>
    <row r="977" customFormat="false" ht="17.15" hidden="false" customHeight="false" outlineLevel="0" collapsed="false">
      <c r="A977" s="3" t="s">
        <v>610</v>
      </c>
      <c r="B977" s="0" t="s">
        <v>96</v>
      </c>
      <c r="D977" s="21" t="n">
        <f aca="false">D974+D975+D976</f>
        <v>425</v>
      </c>
      <c r="E977" s="21" t="n">
        <f aca="false">E974+E975+E976</f>
        <v>632</v>
      </c>
      <c r="F977" s="21" t="n">
        <f aca="false">F974+F975+F976</f>
        <v>717</v>
      </c>
      <c r="G977" s="21" t="n">
        <f aca="false">G974+G975+G976</f>
        <v>789.5</v>
      </c>
    </row>
    <row r="978" customFormat="false" ht="17.15" hidden="false" customHeight="false" outlineLevel="0" collapsed="false">
      <c r="A978" s="3" t="s">
        <v>611</v>
      </c>
      <c r="B978" s="0" t="s">
        <v>35</v>
      </c>
      <c r="D978" s="23" t="n">
        <f aca="false">D973*D977/1000</f>
        <v>9.94480366787715</v>
      </c>
      <c r="E978" s="23" t="n">
        <f aca="false">E973*E977/1000</f>
        <v>26.3207560020722</v>
      </c>
      <c r="F978" s="23" t="n">
        <f aca="false">F973*F977/1000</f>
        <v>30.2815704664998</v>
      </c>
      <c r="G978" s="23" t="n">
        <f aca="false">G973*G977/1000</f>
        <v>40.3575054493111</v>
      </c>
    </row>
    <row r="979" customFormat="false" ht="17.15" hidden="false" customHeight="false" outlineLevel="0" collapsed="false">
      <c r="A979" s="3" t="s">
        <v>612</v>
      </c>
      <c r="B979" s="0" t="s">
        <v>203</v>
      </c>
      <c r="D979" s="22" t="n">
        <f aca="false">D978*fx</f>
        <v>318.233717372069</v>
      </c>
      <c r="E979" s="22" t="n">
        <f aca="false">E978*fx</f>
        <v>842.264192066312</v>
      </c>
      <c r="F979" s="22" t="n">
        <f aca="false">F978*fx</f>
        <v>969.010254927995</v>
      </c>
      <c r="G979" s="22" t="n">
        <f aca="false">G978*fx</f>
        <v>1291.44017437795</v>
      </c>
    </row>
    <row r="980" customFormat="false" ht="17.15" hidden="false" customHeight="false" outlineLevel="0" collapsed="false">
      <c r="A980" s="0" t="s">
        <v>613</v>
      </c>
      <c r="B980" s="0" t="s">
        <v>69</v>
      </c>
      <c r="D980" s="18" t="n">
        <f aca="false">1</f>
        <v>1</v>
      </c>
      <c r="E980" s="18" t="n">
        <f aca="false">pp_27</f>
        <v>1</v>
      </c>
      <c r="F980" s="18" t="n">
        <f aca="false">pp_28</f>
        <v>0.97</v>
      </c>
      <c r="G980" s="18" t="n">
        <f aca="false">pp_29</f>
        <v>0.94</v>
      </c>
    </row>
    <row r="981" customFormat="false" ht="17.15" hidden="false" customHeight="false" outlineLevel="0" collapsed="false">
      <c r="A981" s="3" t="s">
        <v>614</v>
      </c>
      <c r="B981" s="0" t="s">
        <v>55</v>
      </c>
      <c r="D981" s="14" t="n">
        <f aca="false">a26_ai/D979</f>
        <v>0.172842024579347</v>
      </c>
      <c r="K981" s="7" t="s">
        <v>615</v>
      </c>
    </row>
    <row r="982" customFormat="false" ht="17.15" hidden="false" customHeight="false" outlineLevel="0" collapsed="false">
      <c r="A982" s="3" t="s">
        <v>616</v>
      </c>
      <c r="B982" s="0" t="s">
        <v>69</v>
      </c>
      <c r="D982" s="18" t="n">
        <f aca="false">1</f>
        <v>1</v>
      </c>
      <c r="E982" s="18" t="n">
        <f aca="false">rel_27</f>
        <v>1</v>
      </c>
      <c r="F982" s="18" t="n">
        <f aca="false">rel_28</f>
        <v>0.95</v>
      </c>
      <c r="G982" s="18" t="n">
        <f aca="false">rel_29</f>
        <v>0.9</v>
      </c>
    </row>
    <row r="983" customFormat="false" ht="15" hidden="false" customHeight="false" outlineLevel="0" collapsed="false">
      <c r="A983" s="3" t="s">
        <v>565</v>
      </c>
      <c r="B983" s="0" t="s">
        <v>55</v>
      </c>
      <c r="D983" s="14" t="n">
        <f aca="false">$D$981*D982</f>
        <v>0.172842024579347</v>
      </c>
      <c r="E983" s="14" t="n">
        <f aca="false">$D$981*E982</f>
        <v>0.172842024579347</v>
      </c>
      <c r="F983" s="14" t="n">
        <f aca="false">$D$981*F982</f>
        <v>0.164199923350379</v>
      </c>
      <c r="G983" s="14" t="n">
        <f aca="false">$D$981*G982</f>
        <v>0.155557822121412</v>
      </c>
    </row>
    <row r="984" customFormat="false" ht="17.15" hidden="false" customHeight="false" outlineLevel="0" collapsed="false">
      <c r="A984" s="0" t="s">
        <v>617</v>
      </c>
      <c r="B984" s="0" t="s">
        <v>203</v>
      </c>
      <c r="D984" s="22" t="n">
        <f aca="false">D979*D983*D980</f>
        <v>55.00416</v>
      </c>
      <c r="E984" s="22" t="n">
        <f aca="false">E979*E983*E980</f>
        <v>145.578648187429</v>
      </c>
      <c r="F984" s="22" t="n">
        <f aca="false">F979*F983*F980</f>
        <v>154.338067297361</v>
      </c>
      <c r="G984" s="22" t="n">
        <f aca="false">G979*G983*G980</f>
        <v>188.840003670751</v>
      </c>
    </row>
    <row r="985" customFormat="false" ht="17.15" hidden="false" customHeight="false" outlineLevel="0" collapsed="false">
      <c r="A985" s="5" t="s">
        <v>618</v>
      </c>
    </row>
    <row r="986" customFormat="false" ht="17.15" hidden="false" customHeight="false" outlineLevel="0" collapsed="false">
      <c r="A986" s="3" t="s">
        <v>619</v>
      </c>
      <c r="B986" s="0" t="s">
        <v>69</v>
      </c>
      <c r="D986" s="18" t="n">
        <f aca="false">1</f>
        <v>1</v>
      </c>
      <c r="E986" s="18" t="n">
        <f aca="false">cx_27</f>
        <v>1.45</v>
      </c>
      <c r="F986" s="18" t="n">
        <f aca="false">cx_28</f>
        <v>1.9</v>
      </c>
      <c r="G986" s="18" t="n">
        <f aca="false">cx_29</f>
        <v>2.3</v>
      </c>
      <c r="K986" s="7" t="s">
        <v>620</v>
      </c>
    </row>
    <row r="987" customFormat="false" ht="17.15" hidden="false" customHeight="false" outlineLevel="0" collapsed="false">
      <c r="A987" s="3" t="s">
        <v>621</v>
      </c>
      <c r="B987" s="0" t="s">
        <v>203</v>
      </c>
      <c r="D987" s="22" t="n">
        <f aca="false">a26_rev*D986*D980</f>
        <v>105.40752</v>
      </c>
      <c r="E987" s="22" t="n">
        <f aca="false">a26_rev*E986*E980</f>
        <v>152.840904</v>
      </c>
      <c r="F987" s="22" t="n">
        <f aca="false">a26_rev*F986*F980</f>
        <v>194.26605936</v>
      </c>
      <c r="G987" s="22" t="n">
        <f aca="false">a26_rev*G986*G980</f>
        <v>227.89105824</v>
      </c>
    </row>
    <row r="988" customFormat="false" ht="17.15" hidden="false" customHeight="false" outlineLevel="0" collapsed="false">
      <c r="A988" s="3" t="s">
        <v>622</v>
      </c>
      <c r="B988" s="0" t="s">
        <v>203</v>
      </c>
      <c r="C988" s="22" t="n">
        <f aca="false">a25_nai</f>
        <v>42.0028</v>
      </c>
      <c r="D988" s="22" t="n">
        <f aca="false">a26_nai</f>
        <v>50.40336</v>
      </c>
      <c r="E988" s="22" t="n">
        <f aca="false">D988*(1+GNHI27)</f>
        <v>55.443696</v>
      </c>
      <c r="F988" s="22" t="n">
        <f aca="false">E988*(1+GNHI28)</f>
        <v>59.87919168</v>
      </c>
      <c r="G988" s="22" t="n">
        <f aca="false">F988*(1+GNHI29)</f>
        <v>64.6695270144</v>
      </c>
    </row>
    <row r="989" customFormat="false" ht="17.15" hidden="false" customHeight="false" outlineLevel="0" collapsed="false">
      <c r="A989" s="0" t="s">
        <v>623</v>
      </c>
      <c r="B989" s="0" t="s">
        <v>203</v>
      </c>
      <c r="C989" s="22" t="n">
        <f aca="false">a25_ai</f>
        <v>18.0012</v>
      </c>
      <c r="D989" s="22" t="n">
        <f aca="false">D984</f>
        <v>55.00416</v>
      </c>
      <c r="E989" s="22" t="n">
        <f aca="false">MIN(E984,E987-E988)</f>
        <v>97.397208</v>
      </c>
      <c r="F989" s="22" t="n">
        <f aca="false">MIN(F984,F987-F988)</f>
        <v>134.38686768</v>
      </c>
      <c r="G989" s="22" t="n">
        <f aca="false">MIN(G984,G987-G988)</f>
        <v>163.2215312256</v>
      </c>
      <c r="K989" s="3" t="s">
        <v>624</v>
      </c>
    </row>
    <row r="990" customFormat="false" ht="15" hidden="false" customHeight="false" outlineLevel="0" collapsed="false">
      <c r="A990" s="3" t="s">
        <v>625</v>
      </c>
      <c r="E990" s="0" t="str">
        <f aca="false">IF(E984&gt;E987-E988+0.0001,"受限","未受限")</f>
        <v>受限</v>
      </c>
      <c r="F990" s="0" t="str">
        <f aca="false">IF(F984&gt;F987-F988+0.0001,"受限","未受限")</f>
        <v>受限</v>
      </c>
      <c r="G990" s="0" t="str">
        <f aca="false">IF(G984&gt;G987-G988+0.0001,"受限","未受限")</f>
        <v>受限</v>
      </c>
    </row>
    <row r="991" customFormat="false" ht="17.15" hidden="false" customHeight="false" outlineLevel="0" collapsed="false">
      <c r="A991" s="3" t="s">
        <v>499</v>
      </c>
      <c r="B991" s="0" t="s">
        <v>203</v>
      </c>
      <c r="C991" s="22" t="n">
        <f aca="false">C989+C988</f>
        <v>60.004</v>
      </c>
      <c r="D991" s="22" t="n">
        <f aca="false">D989+D988</f>
        <v>105.40752</v>
      </c>
      <c r="E991" s="22" t="n">
        <f aca="false">E989+E988</f>
        <v>152.840904</v>
      </c>
      <c r="F991" s="22" t="n">
        <f aca="false">F989+F988</f>
        <v>194.26605936</v>
      </c>
      <c r="G991" s="22" t="n">
        <f aca="false">G989+G988</f>
        <v>227.89105824</v>
      </c>
      <c r="H991" s="24" t="n">
        <f aca="false">G991*(1+H992)</f>
        <v>257.226313072804</v>
      </c>
      <c r="I991" s="24" t="n">
        <f aca="false">H991*(1+I992)</f>
        <v>278.92655569709</v>
      </c>
      <c r="J991" s="24" t="n">
        <f aca="false">I991*(1+J992)</f>
        <v>290.083617924974</v>
      </c>
      <c r="K991" s="7" t="s">
        <v>626</v>
      </c>
    </row>
    <row r="992" customFormat="false" ht="15" hidden="false" customHeight="false" outlineLevel="0" collapsed="false">
      <c r="A992" s="3" t="s">
        <v>627</v>
      </c>
      <c r="B992" s="0" t="s">
        <v>55</v>
      </c>
      <c r="D992" s="14" t="n">
        <f aca="false">D991/C991-1</f>
        <v>0.756674888340778</v>
      </c>
      <c r="E992" s="14" t="n">
        <f aca="false">E991/D991-1</f>
        <v>0.45</v>
      </c>
      <c r="F992" s="14" t="n">
        <f aca="false">F991/E991-1</f>
        <v>0.271034482758621</v>
      </c>
      <c r="G992" s="14" t="n">
        <f aca="false">G991/F991-1</f>
        <v>0.17308735756918</v>
      </c>
      <c r="H992" s="25" t="n">
        <f aca="false">$G992+(fade_gB-$G992)*1/3</f>
        <v>0.12872490504612</v>
      </c>
      <c r="I992" s="25" t="n">
        <f aca="false">$G992+(fade_gB-$G992)*2/3</f>
        <v>0.0843624525230601</v>
      </c>
      <c r="J992" s="25" t="n">
        <f aca="false">$G992+(fade_gB-$G992)*3/3</f>
        <v>0.04</v>
      </c>
    </row>
    <row r="993" customFormat="false" ht="17.15" hidden="false" customHeight="false" outlineLevel="0" collapsed="false">
      <c r="A993" s="3" t="s">
        <v>628</v>
      </c>
      <c r="B993" s="0" t="s">
        <v>203</v>
      </c>
      <c r="D993" s="22" t="n">
        <f aca="false">D989*(D974+D976)/D977</f>
        <v>39.4735736470588</v>
      </c>
      <c r="E993" s="22" t="n">
        <f aca="false">E989*(E974+E976)/E977</f>
        <v>72.4314679746835</v>
      </c>
      <c r="F993" s="22" t="n">
        <f aca="false">F989*(F974+F976)/F977</f>
        <v>100.649578722678</v>
      </c>
      <c r="G993" s="22" t="n">
        <f aca="false">G989*(G974+G976)/G977</f>
        <v>122.286935680738</v>
      </c>
      <c r="K993" s="7" t="s">
        <v>629</v>
      </c>
    </row>
    <row r="994" customFormat="false" ht="17.15" hidden="false" customHeight="false" outlineLevel="0" collapsed="false">
      <c r="A994" s="3" t="s">
        <v>630</v>
      </c>
      <c r="B994" s="0" t="s">
        <v>203</v>
      </c>
      <c r="D994" s="22" t="n">
        <f aca="false">D989*D975/D977</f>
        <v>15.5305863529412</v>
      </c>
      <c r="E994" s="22" t="n">
        <f aca="false">E989*E975/E977</f>
        <v>24.9657400253165</v>
      </c>
      <c r="F994" s="22" t="n">
        <f aca="false">F989*F975/F977</f>
        <v>33.7372889573222</v>
      </c>
      <c r="G994" s="22" t="n">
        <f aca="false">G989*G975/G977</f>
        <v>40.9345955448623</v>
      </c>
    </row>
    <row r="995" customFormat="false" ht="17.15" hidden="false" customHeight="false" outlineLevel="0" collapsed="false">
      <c r="A995" s="3" t="s">
        <v>631</v>
      </c>
      <c r="B995" s="0" t="s">
        <v>203</v>
      </c>
      <c r="D995" s="22" t="n">
        <f aca="false">srv26*D991-D993</f>
        <v>42.7442919529412</v>
      </c>
      <c r="E995" s="22" t="n">
        <f aca="false">E988*$D995/$D988</f>
        <v>47.0187211482353</v>
      </c>
      <c r="F995" s="22" t="n">
        <f aca="false">F988*$D995/$D988</f>
        <v>50.7802188400941</v>
      </c>
      <c r="G995" s="22" t="n">
        <f aca="false">G988*$D995/$D988</f>
        <v>54.8426363473017</v>
      </c>
      <c r="K995" s="7" t="s">
        <v>632</v>
      </c>
    </row>
    <row r="996" customFormat="false" ht="17.15" hidden="false" customHeight="false" outlineLevel="0" collapsed="false">
      <c r="A996" s="3" t="s">
        <v>633</v>
      </c>
      <c r="B996" s="0" t="s">
        <v>203</v>
      </c>
      <c r="D996" s="22" t="n">
        <f aca="false">net26*D991-D994</f>
        <v>0.28054164705882</v>
      </c>
      <c r="E996" s="22" t="n">
        <f aca="false">E988*$D996/$D988</f>
        <v>0.308595811764702</v>
      </c>
      <c r="F996" s="22" t="n">
        <f aca="false">F988*$D996/$D988</f>
        <v>0.333283476705879</v>
      </c>
      <c r="G996" s="22" t="n">
        <f aca="false">G988*$D996/$D988</f>
        <v>0.359946154842349</v>
      </c>
    </row>
    <row r="997" customFormat="false" ht="17.15" hidden="false" customHeight="false" outlineLevel="0" collapsed="false">
      <c r="A997" s="3" t="s">
        <v>634</v>
      </c>
      <c r="B997" s="0" t="s">
        <v>203</v>
      </c>
      <c r="C997" s="22" t="n">
        <f aca="false">srv25*C991</f>
        <v>48.0032</v>
      </c>
      <c r="D997" s="22" t="n">
        <f aca="false">D993+D995</f>
        <v>82.2178656</v>
      </c>
      <c r="E997" s="22" t="n">
        <f aca="false">E993+E995</f>
        <v>119.450189122919</v>
      </c>
      <c r="F997" s="22" t="n">
        <f aca="false">F993+F995</f>
        <v>151.429797562772</v>
      </c>
      <c r="G997" s="22" t="n">
        <f aca="false">G993+G995</f>
        <v>177.129572028039</v>
      </c>
      <c r="K997" s="3" t="s">
        <v>635</v>
      </c>
    </row>
    <row r="998" customFormat="false" ht="15" hidden="false" customHeight="false" outlineLevel="0" collapsed="false">
      <c r="A998" s="3" t="s">
        <v>636</v>
      </c>
      <c r="B998" s="0" t="s">
        <v>203</v>
      </c>
      <c r="C998" s="22" t="n">
        <f aca="false">net25*C991</f>
        <v>6.0004</v>
      </c>
      <c r="D998" s="22" t="n">
        <f aca="false">D994+D996</f>
        <v>15.811128</v>
      </c>
      <c r="E998" s="22" t="n">
        <f aca="false">E994+E996</f>
        <v>25.2743358370812</v>
      </c>
      <c r="F998" s="22" t="n">
        <f aca="false">F994+F996</f>
        <v>34.0705724340281</v>
      </c>
      <c r="G998" s="22" t="n">
        <f aca="false">G994+G996</f>
        <v>41.2945416997047</v>
      </c>
      <c r="K998" s="3" t="s">
        <v>637</v>
      </c>
    </row>
    <row r="999" customFormat="false" ht="15" hidden="false" customHeight="false" outlineLevel="0" collapsed="false">
      <c r="A999" s="3" t="s">
        <v>638</v>
      </c>
      <c r="B999" s="0" t="s">
        <v>203</v>
      </c>
      <c r="C999" s="22" t="n">
        <f aca="false">C991-C997-C998</f>
        <v>6.0004</v>
      </c>
      <c r="D999" s="22" t="n">
        <f aca="false">D991-D997-D998</f>
        <v>7.3785264</v>
      </c>
      <c r="E999" s="22" t="n">
        <f aca="false">E991-E997-E998</f>
        <v>8.11637904000001</v>
      </c>
      <c r="F999" s="22" t="n">
        <f aca="false">F991-F997-F998</f>
        <v>8.76568936320001</v>
      </c>
      <c r="G999" s="22" t="n">
        <f aca="false">G991-G997-G998</f>
        <v>9.46694451225597</v>
      </c>
      <c r="K999" s="3" t="s">
        <v>639</v>
      </c>
    </row>
    <row r="1000" customFormat="false" ht="17.15" hidden="false" customHeight="false" outlineLevel="0" collapsed="false">
      <c r="A1000" s="3" t="s">
        <v>640</v>
      </c>
      <c r="B1000" s="0" t="s">
        <v>203</v>
      </c>
      <c r="C1000" s="28" t="n">
        <f aca="false">C997+C998+C999-C991</f>
        <v>0</v>
      </c>
      <c r="D1000" s="28" t="n">
        <f aca="false">ROUND(D995+D996+D999-D988,9)</f>
        <v>0</v>
      </c>
      <c r="E1000" s="28" t="n">
        <f aca="false">ROUND(E995+E996+E999-E988,9)</f>
        <v>0</v>
      </c>
      <c r="F1000" s="28" t="n">
        <f aca="false">ROUND(F995+F996+F999-F988,9)</f>
        <v>0</v>
      </c>
      <c r="G1000" s="28" t="n">
        <f aca="false">ROUND(G995+G996+G999-G988,9)</f>
        <v>0</v>
      </c>
    </row>
    <row r="1001" customFormat="false" ht="17.15" hidden="false" customHeight="false" outlineLevel="0" collapsed="false">
      <c r="A1001" s="0" t="s">
        <v>641</v>
      </c>
      <c r="B1001" s="0" t="s">
        <v>55</v>
      </c>
      <c r="C1001" s="14" t="n">
        <f aca="false">C989/C991</f>
        <v>0.3</v>
      </c>
      <c r="D1001" s="14" t="n">
        <f aca="false">D989/D991</f>
        <v>0.521823869871903</v>
      </c>
      <c r="E1001" s="14" t="n">
        <f aca="false">E989/E991</f>
        <v>0.637245694385581</v>
      </c>
      <c r="F1001" s="14" t="n">
        <f aca="false">F989/F991</f>
        <v>0.691767095717754</v>
      </c>
      <c r="G1001" s="14" t="n">
        <f aca="false">G989/G991</f>
        <v>0.716226132285128</v>
      </c>
    </row>
    <row r="1002" customFormat="false" ht="17.15" hidden="false" customHeight="false" outlineLevel="0" collapsed="false">
      <c r="A1002" s="3" t="s">
        <v>642</v>
      </c>
      <c r="B1002" s="0" t="s">
        <v>55</v>
      </c>
      <c r="D1002" s="14" t="n">
        <f aca="false">(D984+D988)/D987</f>
        <v>1</v>
      </c>
      <c r="E1002" s="14" t="n">
        <f aca="false">(E984+E988)/E987</f>
        <v>1.31523917306475</v>
      </c>
      <c r="F1002" s="14" t="n">
        <f aca="false">(F984+F988)/F987</f>
        <v>1.1027003877213</v>
      </c>
      <c r="G1002" s="14" t="n">
        <f aca="false">(G984+G988)/G987</f>
        <v>1.11241543500216</v>
      </c>
      <c r="K1002" s="3" t="s">
        <v>643</v>
      </c>
    </row>
    <row r="1003" customFormat="false" ht="17.15" hidden="false" customHeight="false" outlineLevel="0" collapsed="false">
      <c r="A1003" s="3" t="s">
        <v>569</v>
      </c>
      <c r="B1003" s="0" t="s">
        <v>96</v>
      </c>
      <c r="D1003" s="21" t="n">
        <f aca="false">D989/fx/D973*1000</f>
        <v>73.4578604462224</v>
      </c>
      <c r="E1003" s="21" t="n">
        <f aca="false">E989/fx/E973*1000</f>
        <v>73.0828118253349</v>
      </c>
      <c r="F1003" s="21" t="n">
        <f aca="false">F989/fx/F973*1000</f>
        <v>99.4369085740171</v>
      </c>
      <c r="G1003" s="21" t="n">
        <f aca="false">G989/fx/G973*1000</f>
        <v>99.7827088387432</v>
      </c>
    </row>
    <row r="1004" customFormat="false" ht="17.15" hidden="false" customHeight="false" outlineLevel="0" collapsed="false">
      <c r="A1004" s="5" t="s">
        <v>644</v>
      </c>
    </row>
    <row r="1005" customFormat="false" ht="17.15" hidden="false" customHeight="false" outlineLevel="0" collapsed="false">
      <c r="A1005" s="3" t="s">
        <v>645</v>
      </c>
      <c r="B1005" s="0" t="s">
        <v>55</v>
      </c>
      <c r="D1005" s="14" t="n">
        <f aca="false">a26_gp/D991-d_ai*D1001</f>
        <v>0.296655205435058</v>
      </c>
      <c r="K1005" s="7" t="s">
        <v>646</v>
      </c>
    </row>
    <row r="1006" customFormat="false" ht="17.15" hidden="false" customHeight="false" outlineLevel="0" collapsed="false">
      <c r="A1006" s="0" t="s">
        <v>647</v>
      </c>
      <c r="B1006" s="0" t="s">
        <v>55</v>
      </c>
      <c r="D1006" s="14" t="n">
        <f aca="false">D1005+d_ai</f>
        <v>0.396655205435058</v>
      </c>
      <c r="E1006" s="14" t="n">
        <f aca="false">1-(1-$D$1006)/E980+gmu_27</f>
        <v>0.406655205435058</v>
      </c>
      <c r="F1006" s="14" t="n">
        <f aca="false">1-(1-$D$1006)/F980+gmu_28</f>
        <v>0.392995057149545</v>
      </c>
      <c r="G1006" s="14" t="n">
        <f aca="false">1-(1-$D$1006)/G980+gmu_29</f>
        <v>0.378143835569211</v>
      </c>
      <c r="K1006" s="7" t="s">
        <v>648</v>
      </c>
    </row>
    <row r="1007" customFormat="false" ht="15" hidden="false" customHeight="false" outlineLevel="0" collapsed="false">
      <c r="A1007" s="3" t="s">
        <v>503</v>
      </c>
      <c r="B1007" s="0" t="s">
        <v>203</v>
      </c>
      <c r="C1007" s="22" t="n">
        <f aca="false">a25_gp</f>
        <v>19.683</v>
      </c>
      <c r="D1007" s="22" t="n">
        <f aca="false">a26_gp</f>
        <v>36.7701055</v>
      </c>
      <c r="E1007" s="22" t="n">
        <f aca="false">E989*E1006+E988*$D$1005</f>
        <v>56.054742655</v>
      </c>
      <c r="F1007" s="22" t="n">
        <f aca="false">F989*F1006+F988*$D$1005</f>
        <v>70.5768486531655</v>
      </c>
      <c r="G1007" s="22" t="n">
        <f aca="false">G989*G1006+G988*$D$1005</f>
        <v>80.905767686973</v>
      </c>
    </row>
    <row r="1008" customFormat="false" ht="15" hidden="false" customHeight="false" outlineLevel="0" collapsed="false">
      <c r="A1008" s="3" t="s">
        <v>506</v>
      </c>
      <c r="B1008" s="0" t="s">
        <v>55</v>
      </c>
      <c r="C1008" s="14" t="n">
        <f aca="false">C1007/C991</f>
        <v>0.328028131457903</v>
      </c>
      <c r="D1008" s="14" t="n">
        <f aca="false">D1007/D991</f>
        <v>0.348837592422248</v>
      </c>
      <c r="E1008" s="14" t="n">
        <f aca="false">E1007/E991</f>
        <v>0.366752231817472</v>
      </c>
      <c r="F1008" s="14" t="n">
        <f aca="false">F1007/F991</f>
        <v>0.363299944857467</v>
      </c>
      <c r="G1008" s="14" t="n">
        <f aca="false">G1007/G991</f>
        <v>0.355019491821256</v>
      </c>
    </row>
    <row r="1009" customFormat="false" ht="15" hidden="false" customHeight="false" outlineLevel="0" collapsed="false">
      <c r="A1009" s="3" t="s">
        <v>649</v>
      </c>
      <c r="B1009" s="0" t="s">
        <v>203</v>
      </c>
      <c r="C1009" s="22" t="n">
        <f aca="false">a25_opx</f>
        <v>5.64</v>
      </c>
      <c r="D1009" s="22" t="n">
        <f aca="false">a26_opx</f>
        <v>8.4779754</v>
      </c>
      <c r="E1009" s="22" t="n">
        <f aca="false">D1009*(1+MAX(0,phi*E992))</f>
        <v>10.767028758</v>
      </c>
      <c r="F1009" s="22" t="n">
        <f aca="false">E1009*(1+MAX(0,phi*F992))</f>
        <v>12.517970400163</v>
      </c>
      <c r="G1009" s="22" t="n">
        <f aca="false">F1009*(1+MAX(0,phi*G992))</f>
        <v>13.8179918513791</v>
      </c>
    </row>
    <row r="1010" customFormat="false" ht="15" hidden="false" customHeight="false" outlineLevel="0" collapsed="false">
      <c r="A1010" s="3" t="s">
        <v>508</v>
      </c>
      <c r="B1010" s="0" t="s">
        <v>203</v>
      </c>
      <c r="C1010" s="22" t="n">
        <f aca="false">C1009</f>
        <v>5.64</v>
      </c>
      <c r="D1010" s="22" t="n">
        <f aca="false">D1009</f>
        <v>8.4779754</v>
      </c>
      <c r="E1010" s="22" t="n">
        <f aca="false">E1009+0*E991</f>
        <v>10.767028758</v>
      </c>
      <c r="F1010" s="22" t="n">
        <f aca="false">F1009+0*F991</f>
        <v>12.517970400163</v>
      </c>
      <c r="G1010" s="22" t="n">
        <f aca="false">G1009+0*G991</f>
        <v>13.8179918513791</v>
      </c>
    </row>
    <row r="1011" customFormat="false" ht="15" hidden="false" customHeight="false" outlineLevel="0" collapsed="false">
      <c r="A1011" s="3" t="s">
        <v>650</v>
      </c>
      <c r="B1011" s="0" t="s">
        <v>203</v>
      </c>
      <c r="C1011" s="22" t="n">
        <f aca="false">C1007-C1010</f>
        <v>14.043</v>
      </c>
      <c r="D1011" s="22" t="n">
        <f aca="false">D1007-D1010</f>
        <v>28.2921301</v>
      </c>
      <c r="E1011" s="22" t="n">
        <f aca="false">E1007-E1010</f>
        <v>45.287713897</v>
      </c>
      <c r="F1011" s="22" t="n">
        <f aca="false">F1007-F1010</f>
        <v>58.0588782530025</v>
      </c>
      <c r="G1011" s="22" t="n">
        <f aca="false">G1007-G1010</f>
        <v>67.0877758355939</v>
      </c>
    </row>
    <row r="1012" customFormat="false" ht="15" hidden="false" customHeight="false" outlineLevel="0" collapsed="false">
      <c r="A1012" s="3" t="s">
        <v>514</v>
      </c>
      <c r="B1012" s="0" t="s">
        <v>55</v>
      </c>
      <c r="C1012" s="14" t="n">
        <f aca="false">C1011/C991</f>
        <v>0.23403439770682</v>
      </c>
      <c r="D1012" s="14" t="n">
        <f aca="false">D1011/D991</f>
        <v>0.268407131673338</v>
      </c>
      <c r="E1012" s="14" t="n">
        <f aca="false">E1011/E991</f>
        <v>0.296306242058082</v>
      </c>
      <c r="F1012" s="14" t="n">
        <f aca="false">F1011/F991</f>
        <v>0.298862696058563</v>
      </c>
      <c r="G1012" s="14" t="n">
        <f aca="false">G1011/G991</f>
        <v>0.294385292488929</v>
      </c>
    </row>
    <row r="1013" customFormat="false" ht="17.15" hidden="false" customHeight="false" outlineLevel="0" collapsed="false">
      <c r="A1013" s="3" t="s">
        <v>515</v>
      </c>
      <c r="B1013" s="0" t="s">
        <v>203</v>
      </c>
      <c r="E1013" s="22" t="n">
        <f aca="false">nop_f</f>
        <v>0</v>
      </c>
      <c r="F1013" s="22" t="n">
        <f aca="false">nop_f</f>
        <v>0</v>
      </c>
      <c r="G1013" s="22" t="n">
        <f aca="false">nop_f</f>
        <v>0</v>
      </c>
      <c r="K1013" s="7" t="s">
        <v>651</v>
      </c>
    </row>
    <row r="1014" customFormat="false" ht="15" hidden="false" customHeight="false" outlineLevel="0" collapsed="false">
      <c r="A1014" s="3" t="s">
        <v>520</v>
      </c>
      <c r="B1014" s="0" t="s">
        <v>203</v>
      </c>
      <c r="C1014" s="22" t="n">
        <f aca="false">a25_ni</f>
        <v>9.607</v>
      </c>
      <c r="D1014" s="22" t="n">
        <f aca="false">a26_ni</f>
        <v>19.6977289395284</v>
      </c>
      <c r="E1014" s="22" t="n">
        <f aca="false">(E1011+E1013)*nir_f</f>
        <v>31.022084019445</v>
      </c>
      <c r="F1014" s="22" t="n">
        <f aca="false">(F1011+F1013)*nir_f</f>
        <v>39.7703316033067</v>
      </c>
      <c r="G1014" s="22" t="n">
        <f aca="false">(G1011+G1013)*nir_f</f>
        <v>45.9551264473818</v>
      </c>
      <c r="H1014" s="24" t="n">
        <f aca="false">H991*H1019</f>
        <v>48.7116231700327</v>
      </c>
      <c r="I1014" s="24" t="n">
        <f aca="false">I991*I1019</f>
        <v>49.3954754920267</v>
      </c>
      <c r="J1014" s="24" t="n">
        <f aca="false">J991*J1019</f>
        <v>47.8086916496984</v>
      </c>
    </row>
    <row r="1015" customFormat="false" ht="17.15" hidden="false" customHeight="false" outlineLevel="0" collapsed="false">
      <c r="A1015" s="3" t="s">
        <v>523</v>
      </c>
      <c r="B1015" s="0" t="s">
        <v>55</v>
      </c>
      <c r="C1015" s="14" t="n">
        <f aca="false">C1014/C1011</f>
        <v>0.684113081250445</v>
      </c>
      <c r="D1015" s="14" t="n">
        <f aca="false">D1014/D1011</f>
        <v>0.696226437171953</v>
      </c>
      <c r="E1015" s="14" t="n">
        <f aca="false">E1014/E1011</f>
        <v>0.685</v>
      </c>
      <c r="F1015" s="14" t="n">
        <f aca="false">F1014/F1011</f>
        <v>0.685</v>
      </c>
      <c r="G1015" s="14" t="n">
        <f aca="false">G1014/G1011</f>
        <v>0.685</v>
      </c>
    </row>
    <row r="1016" customFormat="false" ht="17.15" hidden="false" customHeight="false" outlineLevel="0" collapsed="false">
      <c r="A1016" s="3" t="s">
        <v>652</v>
      </c>
      <c r="B1016" s="3" t="s">
        <v>233</v>
      </c>
      <c r="C1016" s="27" t="n">
        <f aca="false">a25_sh</f>
        <v>0.493425783256292</v>
      </c>
      <c r="D1016" s="27" t="n">
        <f aca="false">a26_sh</f>
        <v>0.512980850061958</v>
      </c>
      <c r="E1016" s="27" t="n">
        <f aca="false">sh_h2*(1+sh_g)</f>
        <v>0.51889356</v>
      </c>
      <c r="F1016" s="27" t="n">
        <f aca="false">E1016*(1+sh_g)</f>
        <v>0.5240824956</v>
      </c>
      <c r="G1016" s="27" t="n">
        <f aca="false">F1016*(1+sh_g)</f>
        <v>0.529323320556</v>
      </c>
      <c r="H1016" s="29" t="n">
        <f aca="false">G1016*(1+sh_g)</f>
        <v>0.53461655376156</v>
      </c>
      <c r="I1016" s="29" t="n">
        <f aca="false">H1016*(1+sh_g)</f>
        <v>0.539962719299176</v>
      </c>
      <c r="J1016" s="29" t="n">
        <f aca="false">I1016*(1+sh_g)</f>
        <v>0.545362346492167</v>
      </c>
      <c r="K1016" s="7" t="s">
        <v>653</v>
      </c>
    </row>
    <row r="1017" customFormat="false" ht="15" hidden="false" customHeight="false" outlineLevel="0" collapsed="false">
      <c r="A1017" s="0" t="s">
        <v>526</v>
      </c>
      <c r="B1017" s="0" t="s">
        <v>271</v>
      </c>
      <c r="C1017" s="23" t="n">
        <f aca="false">C1014/C1016</f>
        <v>19.47</v>
      </c>
      <c r="D1017" s="23" t="n">
        <f aca="false">D1014/D1016</f>
        <v>38.3985658278458</v>
      </c>
      <c r="E1017" s="23" t="n">
        <f aca="false">E1014/E1016</f>
        <v>59.7850627004217</v>
      </c>
      <c r="F1017" s="23" t="n">
        <f aca="false">F1014/F1016</f>
        <v>75.8856323903269</v>
      </c>
      <c r="G1017" s="23" t="n">
        <f aca="false">G1014/G1016</f>
        <v>86.818631756316</v>
      </c>
      <c r="H1017" s="30" t="n">
        <f aca="false">H1014/H1016</f>
        <v>91.1150671023894</v>
      </c>
      <c r="I1017" s="30" t="n">
        <f aca="false">I1014/I1016</f>
        <v>91.4794183497293</v>
      </c>
      <c r="J1017" s="30" t="n">
        <f aca="false">J1014/J1016</f>
        <v>87.664086010355</v>
      </c>
    </row>
    <row r="1018" customFormat="false" ht="17.15" hidden="false" customHeight="false" outlineLevel="0" collapsed="false">
      <c r="A1018" s="0" t="s">
        <v>654</v>
      </c>
      <c r="B1018" s="0" t="s">
        <v>55</v>
      </c>
      <c r="D1018" s="14" t="n">
        <f aca="false">D1017/C1017-1</f>
        <v>0.9721913624985</v>
      </c>
      <c r="E1018" s="14" t="n">
        <f aca="false">E1017/D1017-1</f>
        <v>0.556960824226066</v>
      </c>
      <c r="F1018" s="14" t="n">
        <f aca="false">F1017/E1017-1</f>
        <v>0.269307565513211</v>
      </c>
      <c r="G1018" s="14" t="n">
        <f aca="false">G1017/F1017-1</f>
        <v>0.144072059777455</v>
      </c>
      <c r="H1018" s="25" t="n">
        <f aca="false">H1017/G1017-1</f>
        <v>0.0494874804999539</v>
      </c>
      <c r="I1018" s="25" t="n">
        <f aca="false">I1017/H1017-1</f>
        <v>0.00399880347923665</v>
      </c>
      <c r="J1018" s="25" t="n">
        <f aca="false">J1017/I1017-1</f>
        <v>-0.0417070026045437</v>
      </c>
    </row>
    <row r="1019" customFormat="false" ht="17.15" hidden="false" customHeight="false" outlineLevel="0" collapsed="false">
      <c r="A1019" s="3" t="s">
        <v>655</v>
      </c>
      <c r="B1019" s="0" t="s">
        <v>55</v>
      </c>
      <c r="C1019" s="14" t="n">
        <f aca="false">C1014/C991</f>
        <v>0.160105992933804</v>
      </c>
      <c r="D1019" s="14" t="n">
        <f aca="false">D1014/D991</f>
        <v>0.186872140996471</v>
      </c>
      <c r="E1019" s="14" t="n">
        <f aca="false">E1014/E991</f>
        <v>0.202969775809786</v>
      </c>
      <c r="F1019" s="14" t="n">
        <f aca="false">F1014/F991</f>
        <v>0.204720946800116</v>
      </c>
      <c r="G1019" s="14" t="n">
        <f aca="false">G1014/G991</f>
        <v>0.201653925354916</v>
      </c>
      <c r="H1019" s="25" t="n">
        <f aca="false">$G1019+(fade_mB-$G1019)*1/3</f>
        <v>0.189372629060098</v>
      </c>
      <c r="I1019" s="25" t="n">
        <f aca="false">$G1019+(fade_mB-$G1019)*2/3</f>
        <v>0.17709133276528</v>
      </c>
      <c r="J1019" s="25" t="n">
        <f aca="false">$G1019+(fade_mB-$G1019)*3/3</f>
        <v>0.164810036470462</v>
      </c>
    </row>
    <row r="1022" customFormat="false" ht="17.15" hidden="false" customHeight="false" outlineLevel="0" collapsed="false">
      <c r="A1022" s="1" t="s">
        <v>1008</v>
      </c>
    </row>
    <row r="1023" customFormat="false" ht="17.15" hidden="false" customHeight="false" outlineLevel="0" collapsed="false">
      <c r="A1023" s="4" t="s">
        <v>24</v>
      </c>
      <c r="B1023" s="4" t="s">
        <v>25</v>
      </c>
      <c r="C1023" s="15" t="s">
        <v>494</v>
      </c>
      <c r="D1023" s="15" t="s">
        <v>583</v>
      </c>
      <c r="E1023" s="15" t="s">
        <v>584</v>
      </c>
      <c r="F1023" s="15" t="s">
        <v>585</v>
      </c>
      <c r="G1023" s="15" t="s">
        <v>586</v>
      </c>
      <c r="H1023" s="15" t="s">
        <v>587</v>
      </c>
      <c r="I1023" s="15" t="s">
        <v>588</v>
      </c>
      <c r="J1023" s="15" t="s">
        <v>589</v>
      </c>
      <c r="K1023" s="4" t="s">
        <v>458</v>
      </c>
    </row>
    <row r="1024" customFormat="false" ht="17.15" hidden="false" customHeight="false" outlineLevel="0" collapsed="false">
      <c r="A1024" s="5" t="s">
        <v>605</v>
      </c>
    </row>
    <row r="1025" customFormat="false" ht="17.15" hidden="false" customHeight="false" outlineLevel="0" collapsed="false">
      <c r="A1025" s="0" t="s">
        <v>606</v>
      </c>
      <c r="B1025" s="0" t="s">
        <v>35</v>
      </c>
      <c r="D1025" s="23" t="n">
        <f aca="false">itc_26*1</f>
        <v>781.872916666666</v>
      </c>
      <c r="E1025" s="23" t="n">
        <f aca="false">itc_27*1*1</f>
        <v>1565.35</v>
      </c>
      <c r="F1025" s="23" t="n">
        <f aca="false">itc_28*um28_B*1</f>
        <v>1587.41111111111</v>
      </c>
      <c r="G1025" s="23" t="n">
        <f aca="false">itc_29*um29_B*1</f>
        <v>1921.33173611111</v>
      </c>
    </row>
    <row r="1026" customFormat="false" ht="17.15" hidden="false" customHeight="false" outlineLevel="0" collapsed="false">
      <c r="A1026" s="3" t="s">
        <v>607</v>
      </c>
      <c r="B1026" s="0" t="s">
        <v>35</v>
      </c>
      <c r="D1026" s="23" t="n">
        <f aca="false">itpg_gb*(1-vr26)+itpg_vr*vr26</f>
        <v>33.41403216</v>
      </c>
      <c r="E1026" s="23" t="n">
        <f aca="false">itpg_vr</f>
        <v>37.586352</v>
      </c>
      <c r="F1026" s="23" t="n">
        <f aca="false">itpg_vr</f>
        <v>37.586352</v>
      </c>
      <c r="G1026" s="23" t="n">
        <f aca="false">itpg_vr</f>
        <v>37.586352</v>
      </c>
    </row>
    <row r="1027" customFormat="false" ht="17.15" hidden="false" customHeight="false" outlineLevel="0" collapsed="false">
      <c r="A1027" s="3" t="s">
        <v>608</v>
      </c>
      <c r="B1027" s="0" t="s">
        <v>549</v>
      </c>
      <c r="D1027" s="20" t="n">
        <f aca="false">D1025/D1026</f>
        <v>23.3995380420639</v>
      </c>
      <c r="E1027" s="20" t="n">
        <f aca="false">E1025/E1026</f>
        <v>41.6467658260637</v>
      </c>
      <c r="F1027" s="20" t="n">
        <f aca="false">F1025/F1026</f>
        <v>42.2337105529984</v>
      </c>
      <c r="G1027" s="20" t="n">
        <f aca="false">G1025/G1026</f>
        <v>51.1178029756948</v>
      </c>
    </row>
    <row r="1028" customFormat="false" ht="17.15" hidden="false" customHeight="false" outlineLevel="0" collapsed="false">
      <c r="A1028" s="3" t="s">
        <v>553</v>
      </c>
      <c r="B1028" s="0" t="s">
        <v>96</v>
      </c>
      <c r="D1028" s="21" t="n">
        <f aca="false">vg_cmp26</f>
        <v>280</v>
      </c>
      <c r="E1028" s="21" t="n">
        <f aca="false">(vg_cmp26+(vg_cmp27-vg_cmp26)*pgwf)</f>
        <v>420</v>
      </c>
      <c r="F1028" s="21" t="n">
        <f aca="false">(vg_cmp26+(vg_cmp28-vg_cmp26)*pgwf)</f>
        <v>462</v>
      </c>
      <c r="G1028" s="21" t="n">
        <f aca="false">(vg_cmp26+(vg_cmp29-vg_cmp26)*pgwf)</f>
        <v>504</v>
      </c>
    </row>
    <row r="1029" customFormat="false" ht="17.15" hidden="false" customHeight="false" outlineLevel="0" collapsed="false">
      <c r="A1029" s="3" t="s">
        <v>555</v>
      </c>
      <c r="B1029" s="0" t="s">
        <v>96</v>
      </c>
      <c r="D1029" s="21" t="n">
        <f aca="false">vg_sw26</f>
        <v>120</v>
      </c>
      <c r="E1029" s="21" t="n">
        <f aca="false">(vg_sw26+(vg_sw27-vg_sw26)*pgwf)</f>
        <v>162</v>
      </c>
      <c r="F1029" s="21" t="n">
        <f aca="false">(vg_sw26+(vg_sw28-vg_sw26)*pgwf)</f>
        <v>180</v>
      </c>
      <c r="G1029" s="21" t="n">
        <f aca="false">(vg_sw26+(vg_sw29-vg_sw26)*pgwf)</f>
        <v>198</v>
      </c>
    </row>
    <row r="1030" customFormat="false" ht="17.15" hidden="false" customHeight="false" outlineLevel="0" collapsed="false">
      <c r="A1030" s="3" t="s">
        <v>609</v>
      </c>
      <c r="B1030" s="0" t="s">
        <v>96</v>
      </c>
      <c r="D1030" s="21" t="n">
        <f aca="false">vg_mid26*w_mid</f>
        <v>25</v>
      </c>
      <c r="E1030" s="21" t="n">
        <f aca="false">(vg_mid26+(vg_mid27-vg_mid26)*pgwf)*w_mid</f>
        <v>50</v>
      </c>
      <c r="F1030" s="21" t="n">
        <f aca="false">(vg_mid26+(vg_mid28-vg_mid26)*pgwf)*w_mid</f>
        <v>75</v>
      </c>
      <c r="G1030" s="21" t="n">
        <f aca="false">(vg_mid26+(vg_mid29-vg_mid26)*pgwf)*w_mid</f>
        <v>87.5</v>
      </c>
    </row>
    <row r="1031" customFormat="false" ht="17.15" hidden="false" customHeight="false" outlineLevel="0" collapsed="false">
      <c r="A1031" s="3" t="s">
        <v>610</v>
      </c>
      <c r="B1031" s="0" t="s">
        <v>96</v>
      </c>
      <c r="D1031" s="21" t="n">
        <f aca="false">D1028+D1029+D1030</f>
        <v>425</v>
      </c>
      <c r="E1031" s="21" t="n">
        <f aca="false">E1028+E1029+E1030</f>
        <v>632</v>
      </c>
      <c r="F1031" s="21" t="n">
        <f aca="false">F1028+F1029+F1030</f>
        <v>717</v>
      </c>
      <c r="G1031" s="21" t="n">
        <f aca="false">G1028+G1029+G1030</f>
        <v>789.5</v>
      </c>
    </row>
    <row r="1032" customFormat="false" ht="17.15" hidden="false" customHeight="false" outlineLevel="0" collapsed="false">
      <c r="A1032" s="3" t="s">
        <v>611</v>
      </c>
      <c r="B1032" s="0" t="s">
        <v>35</v>
      </c>
      <c r="D1032" s="23" t="n">
        <f aca="false">D1027*D1031/1000</f>
        <v>9.94480366787715</v>
      </c>
      <c r="E1032" s="23" t="n">
        <f aca="false">E1027*E1031/1000</f>
        <v>26.3207560020722</v>
      </c>
      <c r="F1032" s="23" t="n">
        <f aca="false">F1027*F1031/1000</f>
        <v>30.2815704664998</v>
      </c>
      <c r="G1032" s="23" t="n">
        <f aca="false">G1027*G1031/1000</f>
        <v>40.3575054493111</v>
      </c>
    </row>
    <row r="1033" customFormat="false" ht="17.15" hidden="false" customHeight="false" outlineLevel="0" collapsed="false">
      <c r="A1033" s="3" t="s">
        <v>612</v>
      </c>
      <c r="B1033" s="0" t="s">
        <v>203</v>
      </c>
      <c r="D1033" s="22" t="n">
        <f aca="false">D1032*fx</f>
        <v>318.233717372069</v>
      </c>
      <c r="E1033" s="22" t="n">
        <f aca="false">E1032*fx</f>
        <v>842.264192066312</v>
      </c>
      <c r="F1033" s="22" t="n">
        <f aca="false">F1032*fx</f>
        <v>969.010254927995</v>
      </c>
      <c r="G1033" s="22" t="n">
        <f aca="false">G1032*fx</f>
        <v>1291.44017437795</v>
      </c>
    </row>
    <row r="1034" customFormat="false" ht="17.15" hidden="false" customHeight="false" outlineLevel="0" collapsed="false">
      <c r="A1034" s="0" t="s">
        <v>613</v>
      </c>
      <c r="B1034" s="0" t="s">
        <v>69</v>
      </c>
      <c r="D1034" s="18" t="n">
        <f aca="false">1</f>
        <v>1</v>
      </c>
      <c r="E1034" s="18" t="n">
        <f aca="false">pp_27</f>
        <v>1</v>
      </c>
      <c r="F1034" s="18" t="n">
        <f aca="false">pp_28</f>
        <v>0.97</v>
      </c>
      <c r="G1034" s="18" t="n">
        <f aca="false">pp_29</f>
        <v>0.94</v>
      </c>
    </row>
    <row r="1035" customFormat="false" ht="17.15" hidden="false" customHeight="false" outlineLevel="0" collapsed="false">
      <c r="A1035" s="3" t="s">
        <v>614</v>
      </c>
      <c r="B1035" s="0" t="s">
        <v>55</v>
      </c>
      <c r="D1035" s="14" t="n">
        <f aca="false">a26_ai/D1033</f>
        <v>0.172842024579347</v>
      </c>
      <c r="K1035" s="7" t="s">
        <v>615</v>
      </c>
    </row>
    <row r="1036" customFormat="false" ht="17.15" hidden="false" customHeight="false" outlineLevel="0" collapsed="false">
      <c r="A1036" s="3" t="s">
        <v>616</v>
      </c>
      <c r="B1036" s="0" t="s">
        <v>69</v>
      </c>
      <c r="D1036" s="18" t="n">
        <f aca="false">1</f>
        <v>1</v>
      </c>
      <c r="E1036" s="18" t="n">
        <f aca="false">rel_27</f>
        <v>1</v>
      </c>
      <c r="F1036" s="18" t="n">
        <f aca="false">rel_28</f>
        <v>0.95</v>
      </c>
      <c r="G1036" s="18" t="n">
        <f aca="false">rel_29</f>
        <v>0.9</v>
      </c>
    </row>
    <row r="1037" customFormat="false" ht="15" hidden="false" customHeight="false" outlineLevel="0" collapsed="false">
      <c r="A1037" s="3" t="s">
        <v>565</v>
      </c>
      <c r="B1037" s="0" t="s">
        <v>55</v>
      </c>
      <c r="D1037" s="14" t="n">
        <f aca="false">$D$1035*D1036</f>
        <v>0.172842024579347</v>
      </c>
      <c r="E1037" s="14" t="n">
        <f aca="false">$D$1035*E1036</f>
        <v>0.172842024579347</v>
      </c>
      <c r="F1037" s="14" t="n">
        <f aca="false">$D$1035*F1036</f>
        <v>0.164199923350379</v>
      </c>
      <c r="G1037" s="14" t="n">
        <f aca="false">$D$1035*G1036</f>
        <v>0.155557822121412</v>
      </c>
    </row>
    <row r="1038" customFormat="false" ht="17.15" hidden="false" customHeight="false" outlineLevel="0" collapsed="false">
      <c r="A1038" s="0" t="s">
        <v>617</v>
      </c>
      <c r="B1038" s="0" t="s">
        <v>203</v>
      </c>
      <c r="D1038" s="22" t="n">
        <f aca="false">D1033*D1037*D1034</f>
        <v>55.00416</v>
      </c>
      <c r="E1038" s="22" t="n">
        <f aca="false">E1033*E1037*E1034</f>
        <v>145.578648187429</v>
      </c>
      <c r="F1038" s="22" t="n">
        <f aca="false">F1033*F1037*F1034</f>
        <v>154.338067297361</v>
      </c>
      <c r="G1038" s="22" t="n">
        <f aca="false">G1033*G1037*G1034</f>
        <v>188.840003670751</v>
      </c>
    </row>
    <row r="1039" customFormat="false" ht="17.15" hidden="false" customHeight="false" outlineLevel="0" collapsed="false">
      <c r="A1039" s="5" t="s">
        <v>618</v>
      </c>
    </row>
    <row r="1040" customFormat="false" ht="17.15" hidden="false" customHeight="false" outlineLevel="0" collapsed="false">
      <c r="A1040" s="3" t="s">
        <v>619</v>
      </c>
      <c r="B1040" s="0" t="s">
        <v>69</v>
      </c>
      <c r="D1040" s="18" t="n">
        <f aca="false">1</f>
        <v>1</v>
      </c>
      <c r="E1040" s="18" t="n">
        <f aca="false">cx_27</f>
        <v>1.45</v>
      </c>
      <c r="F1040" s="18" t="n">
        <f aca="false">cx_28</f>
        <v>1.9</v>
      </c>
      <c r="G1040" s="18" t="n">
        <f aca="false">cx_29</f>
        <v>2.3</v>
      </c>
      <c r="K1040" s="7" t="s">
        <v>620</v>
      </c>
    </row>
    <row r="1041" customFormat="false" ht="17.15" hidden="false" customHeight="false" outlineLevel="0" collapsed="false">
      <c r="A1041" s="3" t="s">
        <v>621</v>
      </c>
      <c r="B1041" s="0" t="s">
        <v>203</v>
      </c>
      <c r="D1041" s="22" t="n">
        <f aca="false">a26_rev*D1040*D1034</f>
        <v>105.40752</v>
      </c>
      <c r="E1041" s="22" t="n">
        <f aca="false">a26_rev*E1040*E1034</f>
        <v>152.840904</v>
      </c>
      <c r="F1041" s="22" t="n">
        <f aca="false">a26_rev*F1040*F1034</f>
        <v>194.26605936</v>
      </c>
      <c r="G1041" s="22" t="n">
        <f aca="false">a26_rev*G1040*G1034</f>
        <v>227.89105824</v>
      </c>
    </row>
    <row r="1042" customFormat="false" ht="17.15" hidden="false" customHeight="false" outlineLevel="0" collapsed="false">
      <c r="A1042" s="3" t="s">
        <v>622</v>
      </c>
      <c r="B1042" s="0" t="s">
        <v>203</v>
      </c>
      <c r="C1042" s="22" t="n">
        <f aca="false">a25_nai</f>
        <v>42.0028</v>
      </c>
      <c r="D1042" s="22" t="n">
        <f aca="false">a26_nai</f>
        <v>50.40336</v>
      </c>
      <c r="E1042" s="22" t="n">
        <f aca="false">D1042*(1+g_nai27)</f>
        <v>52.923528</v>
      </c>
      <c r="F1042" s="22" t="n">
        <f aca="false">E1042*(1+g_nai28)</f>
        <v>54.51123384</v>
      </c>
      <c r="G1042" s="22" t="n">
        <f aca="false">F1042*(1+g_nai29)</f>
        <v>56.1465708552</v>
      </c>
    </row>
    <row r="1043" customFormat="false" ht="17.15" hidden="false" customHeight="false" outlineLevel="0" collapsed="false">
      <c r="A1043" s="0" t="s">
        <v>623</v>
      </c>
      <c r="B1043" s="0" t="s">
        <v>203</v>
      </c>
      <c r="C1043" s="22" t="n">
        <f aca="false">a25_ai</f>
        <v>18.0012</v>
      </c>
      <c r="D1043" s="22" t="n">
        <f aca="false">D1038</f>
        <v>55.00416</v>
      </c>
      <c r="E1043" s="22" t="n">
        <f aca="false">MIN(E1038,E1041-E1042)</f>
        <v>99.917376</v>
      </c>
      <c r="F1043" s="22" t="n">
        <f aca="false">MIN(F1038,F1041-F1042)</f>
        <v>139.75482552</v>
      </c>
      <c r="G1043" s="22" t="n">
        <f aca="false">MIN(G1038,G1041-G1042)</f>
        <v>171.7444873848</v>
      </c>
      <c r="K1043" s="3" t="s">
        <v>624</v>
      </c>
    </row>
    <row r="1044" customFormat="false" ht="15" hidden="false" customHeight="false" outlineLevel="0" collapsed="false">
      <c r="A1044" s="3" t="s">
        <v>625</v>
      </c>
      <c r="E1044" s="0" t="str">
        <f aca="false">IF(E1038&gt;E1041-E1042+0.0001,"受限","未受限")</f>
        <v>受限</v>
      </c>
      <c r="F1044" s="0" t="str">
        <f aca="false">IF(F1038&gt;F1041-F1042+0.0001,"受限","未受限")</f>
        <v>受限</v>
      </c>
      <c r="G1044" s="0" t="str">
        <f aca="false">IF(G1038&gt;G1041-G1042+0.0001,"受限","未受限")</f>
        <v>受限</v>
      </c>
    </row>
    <row r="1045" customFormat="false" ht="17.15" hidden="false" customHeight="false" outlineLevel="0" collapsed="false">
      <c r="A1045" s="3" t="s">
        <v>499</v>
      </c>
      <c r="B1045" s="0" t="s">
        <v>203</v>
      </c>
      <c r="C1045" s="22" t="n">
        <f aca="false">C1043+C1042</f>
        <v>60.004</v>
      </c>
      <c r="D1045" s="22" t="n">
        <f aca="false">D1043+D1042</f>
        <v>105.40752</v>
      </c>
      <c r="E1045" s="22" t="n">
        <f aca="false">E1043+E1042</f>
        <v>152.840904</v>
      </c>
      <c r="F1045" s="22" t="n">
        <f aca="false">F1043+F1042</f>
        <v>194.26605936</v>
      </c>
      <c r="G1045" s="22" t="n">
        <f aca="false">G1043+G1042</f>
        <v>227.89105824</v>
      </c>
      <c r="H1045" s="24" t="n">
        <f aca="false">G1045*(1+H1046)</f>
        <v>257.226313072804</v>
      </c>
      <c r="I1045" s="24" t="n">
        <f aca="false">H1045*(1+I1046)</f>
        <v>278.92655569709</v>
      </c>
      <c r="J1045" s="24" t="n">
        <f aca="false">I1045*(1+J1046)</f>
        <v>290.083617924974</v>
      </c>
      <c r="K1045" s="7" t="s">
        <v>626</v>
      </c>
    </row>
    <row r="1046" customFormat="false" ht="15" hidden="false" customHeight="false" outlineLevel="0" collapsed="false">
      <c r="A1046" s="3" t="s">
        <v>627</v>
      </c>
      <c r="B1046" s="0" t="s">
        <v>55</v>
      </c>
      <c r="D1046" s="14" t="n">
        <f aca="false">D1045/C1045-1</f>
        <v>0.756674888340778</v>
      </c>
      <c r="E1046" s="14" t="n">
        <f aca="false">E1045/D1045-1</f>
        <v>0.45</v>
      </c>
      <c r="F1046" s="14" t="n">
        <f aca="false">F1045/E1045-1</f>
        <v>0.271034482758621</v>
      </c>
      <c r="G1046" s="14" t="n">
        <f aca="false">G1045/F1045-1</f>
        <v>0.173087357569181</v>
      </c>
      <c r="H1046" s="25" t="n">
        <f aca="false">$G1046+(fade_gB-$G1046)*1/3</f>
        <v>0.12872490504612</v>
      </c>
      <c r="I1046" s="25" t="n">
        <f aca="false">$G1046+(fade_gB-$G1046)*2/3</f>
        <v>0.0843624525230602</v>
      </c>
      <c r="J1046" s="25" t="n">
        <f aca="false">$G1046+(fade_gB-$G1046)*3/3</f>
        <v>0.04</v>
      </c>
    </row>
    <row r="1047" customFormat="false" ht="17.15" hidden="false" customHeight="false" outlineLevel="0" collapsed="false">
      <c r="A1047" s="3" t="s">
        <v>628</v>
      </c>
      <c r="B1047" s="0" t="s">
        <v>203</v>
      </c>
      <c r="D1047" s="22" t="n">
        <f aca="false">D1043*(D1028+D1030)/D1031</f>
        <v>39.4735736470588</v>
      </c>
      <c r="E1047" s="22" t="n">
        <f aca="false">E1043*(E1028+E1030)/E1031</f>
        <v>74.3056435443038</v>
      </c>
      <c r="F1047" s="22" t="n">
        <f aca="false">F1043*(F1028+F1030)/F1031</f>
        <v>104.669932084017</v>
      </c>
      <c r="G1047" s="22" t="n">
        <f aca="false">G1043*(G1028+G1030)/G1031</f>
        <v>128.672405684749</v>
      </c>
      <c r="K1047" s="7" t="s">
        <v>629</v>
      </c>
    </row>
    <row r="1048" customFormat="false" ht="17.15" hidden="false" customHeight="false" outlineLevel="0" collapsed="false">
      <c r="A1048" s="3" t="s">
        <v>630</v>
      </c>
      <c r="B1048" s="0" t="s">
        <v>203</v>
      </c>
      <c r="D1048" s="22" t="n">
        <f aca="false">D1043*D1029/D1031</f>
        <v>15.5305863529412</v>
      </c>
      <c r="E1048" s="22" t="n">
        <f aca="false">E1043*E1029/E1031</f>
        <v>25.6117324556962</v>
      </c>
      <c r="F1048" s="22" t="n">
        <f aca="false">F1043*F1029/F1031</f>
        <v>35.0848934359833</v>
      </c>
      <c r="G1048" s="22" t="n">
        <f aca="false">G1043*G1029/G1031</f>
        <v>43.0720817000512</v>
      </c>
    </row>
    <row r="1049" customFormat="false" ht="17.15" hidden="false" customHeight="false" outlineLevel="0" collapsed="false">
      <c r="A1049" s="3" t="s">
        <v>631</v>
      </c>
      <c r="B1049" s="0" t="s">
        <v>203</v>
      </c>
      <c r="D1049" s="22" t="n">
        <f aca="false">srv26*D1045-D1047</f>
        <v>42.7442919529412</v>
      </c>
      <c r="E1049" s="22" t="n">
        <f aca="false">E1042*$D1049/$D1042</f>
        <v>44.8815065505883</v>
      </c>
      <c r="F1049" s="22" t="n">
        <f aca="false">F1042*$D1049/$D1042</f>
        <v>46.2279517471059</v>
      </c>
      <c r="G1049" s="22" t="n">
        <f aca="false">G1042*$D1049/$D1042</f>
        <v>47.6147902995191</v>
      </c>
      <c r="K1049" s="7" t="s">
        <v>632</v>
      </c>
    </row>
    <row r="1050" customFormat="false" ht="17.15" hidden="false" customHeight="false" outlineLevel="0" collapsed="false">
      <c r="A1050" s="3" t="s">
        <v>633</v>
      </c>
      <c r="B1050" s="0" t="s">
        <v>203</v>
      </c>
      <c r="D1050" s="22" t="n">
        <f aca="false">net26*D1045-D1048</f>
        <v>0.28054164705882</v>
      </c>
      <c r="E1050" s="22" t="n">
        <f aca="false">E1042*$D1050/$D1042</f>
        <v>0.294568729411761</v>
      </c>
      <c r="F1050" s="22" t="n">
        <f aca="false">F1042*$D1050/$D1042</f>
        <v>0.303405791294114</v>
      </c>
      <c r="G1050" s="22" t="n">
        <f aca="false">G1042*$D1050/$D1042</f>
        <v>0.312507965032938</v>
      </c>
    </row>
    <row r="1051" customFormat="false" ht="17.15" hidden="false" customHeight="false" outlineLevel="0" collapsed="false">
      <c r="A1051" s="3" t="s">
        <v>634</v>
      </c>
      <c r="B1051" s="0" t="s">
        <v>203</v>
      </c>
      <c r="C1051" s="22" t="n">
        <f aca="false">srv25*C1045</f>
        <v>48.0032</v>
      </c>
      <c r="D1051" s="22" t="n">
        <f aca="false">D1047+D1049</f>
        <v>82.2178656</v>
      </c>
      <c r="E1051" s="22" t="n">
        <f aca="false">E1047+E1049</f>
        <v>119.187150094892</v>
      </c>
      <c r="F1051" s="22" t="n">
        <f aca="false">F1047+F1049</f>
        <v>150.897883831123</v>
      </c>
      <c r="G1051" s="22" t="n">
        <f aca="false">G1047+G1049</f>
        <v>176.287195984268</v>
      </c>
      <c r="K1051" s="3" t="s">
        <v>635</v>
      </c>
    </row>
    <row r="1052" customFormat="false" ht="15" hidden="false" customHeight="false" outlineLevel="0" collapsed="false">
      <c r="A1052" s="3" t="s">
        <v>636</v>
      </c>
      <c r="B1052" s="0" t="s">
        <v>203</v>
      </c>
      <c r="C1052" s="22" t="n">
        <f aca="false">net25*C1045</f>
        <v>6.0004</v>
      </c>
      <c r="D1052" s="22" t="n">
        <f aca="false">D1048+D1050</f>
        <v>15.811128</v>
      </c>
      <c r="E1052" s="22" t="n">
        <f aca="false">E1048+E1050</f>
        <v>25.906301185108</v>
      </c>
      <c r="F1052" s="22" t="n">
        <f aca="false">F1048+F1050</f>
        <v>35.3882992272774</v>
      </c>
      <c r="G1052" s="22" t="n">
        <f aca="false">G1048+G1050</f>
        <v>43.3845896650841</v>
      </c>
      <c r="K1052" s="3" t="s">
        <v>637</v>
      </c>
    </row>
    <row r="1053" customFormat="false" ht="15" hidden="false" customHeight="false" outlineLevel="0" collapsed="false">
      <c r="A1053" s="3" t="s">
        <v>638</v>
      </c>
      <c r="B1053" s="0" t="s">
        <v>203</v>
      </c>
      <c r="C1053" s="22" t="n">
        <f aca="false">C1045-C1051-C1052</f>
        <v>6.0004</v>
      </c>
      <c r="D1053" s="22" t="n">
        <f aca="false">D1045-D1051-D1052</f>
        <v>7.3785264</v>
      </c>
      <c r="E1053" s="22" t="n">
        <f aca="false">E1045-E1051-E1052</f>
        <v>7.74745271999998</v>
      </c>
      <c r="F1053" s="22" t="n">
        <f aca="false">F1045-F1051-F1052</f>
        <v>7.9798763016</v>
      </c>
      <c r="G1053" s="22" t="n">
        <f aca="false">G1045-G1051-G1052</f>
        <v>8.21927259064798</v>
      </c>
      <c r="K1053" s="3" t="s">
        <v>639</v>
      </c>
    </row>
    <row r="1054" customFormat="false" ht="17.15" hidden="false" customHeight="false" outlineLevel="0" collapsed="false">
      <c r="A1054" s="3" t="s">
        <v>640</v>
      </c>
      <c r="B1054" s="0" t="s">
        <v>203</v>
      </c>
      <c r="C1054" s="28" t="n">
        <f aca="false">C1051+C1052+C1053-C1045</f>
        <v>0</v>
      </c>
      <c r="D1054" s="28" t="n">
        <f aca="false">ROUND(D1049+D1050+D1053-D1042,9)</f>
        <v>0</v>
      </c>
      <c r="E1054" s="28" t="n">
        <f aca="false">ROUND(E1049+E1050+E1053-E1042,9)</f>
        <v>0</v>
      </c>
      <c r="F1054" s="28" t="n">
        <f aca="false">ROUND(F1049+F1050+F1053-F1042,9)</f>
        <v>0</v>
      </c>
      <c r="G1054" s="28" t="n">
        <f aca="false">ROUND(G1049+G1050+G1053-G1042,9)</f>
        <v>0</v>
      </c>
    </row>
    <row r="1055" customFormat="false" ht="17.15" hidden="false" customHeight="false" outlineLevel="0" collapsed="false">
      <c r="A1055" s="0" t="s">
        <v>641</v>
      </c>
      <c r="B1055" s="0" t="s">
        <v>55</v>
      </c>
      <c r="C1055" s="14" t="n">
        <f aca="false">C1043/C1045</f>
        <v>0.3</v>
      </c>
      <c r="D1055" s="14" t="n">
        <f aca="false">D1043/D1045</f>
        <v>0.521823869871903</v>
      </c>
      <c r="E1055" s="14" t="n">
        <f aca="false">E1043/E1045</f>
        <v>0.653734526458964</v>
      </c>
      <c r="F1055" s="14" t="n">
        <f aca="false">F1043/F1045</f>
        <v>0.71939908587437</v>
      </c>
      <c r="G1055" s="14" t="n">
        <f aca="false">G1043/G1045</f>
        <v>0.753625388864226</v>
      </c>
    </row>
    <row r="1056" customFormat="false" ht="17.15" hidden="false" customHeight="false" outlineLevel="0" collapsed="false">
      <c r="A1056" s="3" t="s">
        <v>642</v>
      </c>
      <c r="B1056" s="0" t="s">
        <v>55</v>
      </c>
      <c r="D1056" s="14" t="n">
        <f aca="false">(D1038+D1042)/D1041</f>
        <v>1</v>
      </c>
      <c r="E1056" s="14" t="n">
        <f aca="false">(E1038+E1042)/E1041</f>
        <v>1.29875034099137</v>
      </c>
      <c r="F1056" s="14" t="n">
        <f aca="false">(F1038+F1042)/F1041</f>
        <v>1.07506839756468</v>
      </c>
      <c r="G1056" s="14" t="n">
        <f aca="false">(G1038+G1042)/G1041</f>
        <v>1.07501617842306</v>
      </c>
      <c r="K1056" s="3" t="s">
        <v>643</v>
      </c>
    </row>
    <row r="1057" customFormat="false" ht="17.15" hidden="false" customHeight="false" outlineLevel="0" collapsed="false">
      <c r="A1057" s="3" t="s">
        <v>569</v>
      </c>
      <c r="B1057" s="0" t="s">
        <v>96</v>
      </c>
      <c r="D1057" s="21" t="n">
        <f aca="false">D1043/fx/D1027*1000</f>
        <v>73.4578604462224</v>
      </c>
      <c r="E1057" s="21" t="n">
        <f aca="false">E1043/fx/E1027*1000</f>
        <v>74.9738410190283</v>
      </c>
      <c r="F1057" s="21" t="n">
        <f aca="false">F1043/fx/F1027*1000</f>
        <v>103.408822959553</v>
      </c>
      <c r="G1057" s="21" t="n">
        <f aca="false">G1043/fx/G1027*1000</f>
        <v>104.993073222002</v>
      </c>
    </row>
    <row r="1058" customFormat="false" ht="17.15" hidden="false" customHeight="false" outlineLevel="0" collapsed="false">
      <c r="A1058" s="5" t="s">
        <v>644</v>
      </c>
    </row>
    <row r="1059" customFormat="false" ht="17.15" hidden="false" customHeight="false" outlineLevel="0" collapsed="false">
      <c r="A1059" s="3" t="s">
        <v>645</v>
      </c>
      <c r="B1059" s="0" t="s">
        <v>55</v>
      </c>
      <c r="D1059" s="14" t="n">
        <f aca="false">a26_gp/D1045-d_ai*D1055</f>
        <v>0.296655205435058</v>
      </c>
      <c r="K1059" s="7" t="s">
        <v>646</v>
      </c>
    </row>
    <row r="1060" customFormat="false" ht="17.15" hidden="false" customHeight="false" outlineLevel="0" collapsed="false">
      <c r="A1060" s="0" t="s">
        <v>647</v>
      </c>
      <c r="B1060" s="0" t="s">
        <v>55</v>
      </c>
      <c r="D1060" s="14" t="n">
        <f aca="false">D1059+d_ai</f>
        <v>0.396655205435058</v>
      </c>
      <c r="E1060" s="14" t="n">
        <f aca="false">1-(1-$D$1060)/E1034+gmu_27</f>
        <v>0.406655205435058</v>
      </c>
      <c r="F1060" s="14" t="n">
        <f aca="false">1-(1-$D$1060)/F1034+gmu_28</f>
        <v>0.392995057149545</v>
      </c>
      <c r="G1060" s="14" t="n">
        <f aca="false">1-(1-$D$1060)/G1034+gmu_29</f>
        <v>0.378143835569211</v>
      </c>
      <c r="K1060" s="7" t="s">
        <v>648</v>
      </c>
    </row>
    <row r="1061" customFormat="false" ht="15" hidden="false" customHeight="false" outlineLevel="0" collapsed="false">
      <c r="A1061" s="3" t="s">
        <v>503</v>
      </c>
      <c r="B1061" s="0" t="s">
        <v>203</v>
      </c>
      <c r="C1061" s="22" t="n">
        <f aca="false">a25_gp</f>
        <v>19.683</v>
      </c>
      <c r="D1061" s="22" t="n">
        <f aca="false">a26_gp</f>
        <v>36.7701055</v>
      </c>
      <c r="E1061" s="22" t="n">
        <f aca="false">E1043*E1060+E1042*$D$1059</f>
        <v>56.331961135</v>
      </c>
      <c r="F1061" s="22" t="n">
        <f aca="false">F1043*F1060+F1042*$D$1059</f>
        <v>71.0939969154807</v>
      </c>
      <c r="G1061" s="22" t="n">
        <f aca="false">G1043*G1060+G1042*$D$1059</f>
        <v>81.6002917090796</v>
      </c>
    </row>
    <row r="1062" customFormat="false" ht="15" hidden="false" customHeight="false" outlineLevel="0" collapsed="false">
      <c r="A1062" s="3" t="s">
        <v>506</v>
      </c>
      <c r="B1062" s="0" t="s">
        <v>55</v>
      </c>
      <c r="C1062" s="14" t="n">
        <f aca="false">C1061/C1045</f>
        <v>0.328028131457903</v>
      </c>
      <c r="D1062" s="14" t="n">
        <f aca="false">D1061/D1045</f>
        <v>0.348837592422248</v>
      </c>
      <c r="E1062" s="14" t="n">
        <f aca="false">E1061/E1045</f>
        <v>0.368566003345544</v>
      </c>
      <c r="F1062" s="14" t="n">
        <f aca="false">F1061/F1045</f>
        <v>0.365962006691732</v>
      </c>
      <c r="G1062" s="14" t="n">
        <f aca="false">G1061/G1045</f>
        <v>0.358067106007922</v>
      </c>
    </row>
    <row r="1063" customFormat="false" ht="15" hidden="false" customHeight="false" outlineLevel="0" collapsed="false">
      <c r="A1063" s="3" t="s">
        <v>649</v>
      </c>
      <c r="B1063" s="0" t="s">
        <v>203</v>
      </c>
      <c r="C1063" s="22" t="n">
        <f aca="false">a25_opx</f>
        <v>5.64</v>
      </c>
      <c r="D1063" s="22" t="n">
        <f aca="false">a26_opx</f>
        <v>8.4779754</v>
      </c>
      <c r="E1063" s="22" t="n">
        <f aca="false">D1063*(1+MAX(0,phi_hi*E1046))</f>
        <v>12.29306433</v>
      </c>
      <c r="F1063" s="22" t="n">
        <f aca="false">E1063*(1+MAX(0,phi_hi*F1046))</f>
        <v>15.6249086622</v>
      </c>
      <c r="G1063" s="22" t="n">
        <f aca="false">F1063*(1+MAX(0,phi_hi*G1046))</f>
        <v>18.3293828148</v>
      </c>
    </row>
    <row r="1064" customFormat="false" ht="15" hidden="false" customHeight="false" outlineLevel="0" collapsed="false">
      <c r="A1064" s="3" t="s">
        <v>508</v>
      </c>
      <c r="B1064" s="0" t="s">
        <v>203</v>
      </c>
      <c r="C1064" s="22" t="n">
        <f aca="false">C1063</f>
        <v>5.64</v>
      </c>
      <c r="D1064" s="22" t="n">
        <f aca="false">D1063</f>
        <v>8.4779754</v>
      </c>
      <c r="E1064" s="22" t="n">
        <f aca="false">E1063+0*E1045</f>
        <v>12.29306433</v>
      </c>
      <c r="F1064" s="22" t="n">
        <f aca="false">F1063+0*F1045</f>
        <v>15.6249086622</v>
      </c>
      <c r="G1064" s="22" t="n">
        <f aca="false">G1063+0*G1045</f>
        <v>18.3293828148</v>
      </c>
    </row>
    <row r="1065" customFormat="false" ht="15" hidden="false" customHeight="false" outlineLevel="0" collapsed="false">
      <c r="A1065" s="3" t="s">
        <v>650</v>
      </c>
      <c r="B1065" s="0" t="s">
        <v>203</v>
      </c>
      <c r="C1065" s="22" t="n">
        <f aca="false">C1061-C1064</f>
        <v>14.043</v>
      </c>
      <c r="D1065" s="22" t="n">
        <f aca="false">D1061-D1064</f>
        <v>28.2921301</v>
      </c>
      <c r="E1065" s="22" t="n">
        <f aca="false">E1061-E1064</f>
        <v>44.038896805</v>
      </c>
      <c r="F1065" s="22" t="n">
        <f aca="false">F1061-F1064</f>
        <v>55.4690882532807</v>
      </c>
      <c r="G1065" s="22" t="n">
        <f aca="false">G1061-G1064</f>
        <v>63.2709088942796</v>
      </c>
    </row>
    <row r="1066" customFormat="false" ht="15" hidden="false" customHeight="false" outlineLevel="0" collapsed="false">
      <c r="A1066" s="3" t="s">
        <v>514</v>
      </c>
      <c r="B1066" s="0" t="s">
        <v>55</v>
      </c>
      <c r="C1066" s="14" t="n">
        <f aca="false">C1065/C1045</f>
        <v>0.23403439770682</v>
      </c>
      <c r="D1066" s="14" t="n">
        <f aca="false">D1065/D1045</f>
        <v>0.268407131673338</v>
      </c>
      <c r="E1066" s="14" t="n">
        <f aca="false">E1065/E1045</f>
        <v>0.288135542596634</v>
      </c>
      <c r="F1066" s="14" t="n">
        <f aca="false">F1065/F1045</f>
        <v>0.285531545942822</v>
      </c>
      <c r="G1066" s="14" t="n">
        <f aca="false">G1065/G1045</f>
        <v>0.277636645259012</v>
      </c>
    </row>
    <row r="1067" customFormat="false" ht="17.15" hidden="false" customHeight="false" outlineLevel="0" collapsed="false">
      <c r="A1067" s="3" t="s">
        <v>515</v>
      </c>
      <c r="B1067" s="0" t="s">
        <v>203</v>
      </c>
      <c r="E1067" s="22" t="n">
        <f aca="false">nop_f</f>
        <v>0</v>
      </c>
      <c r="F1067" s="22" t="n">
        <f aca="false">nop_f</f>
        <v>0</v>
      </c>
      <c r="G1067" s="22" t="n">
        <f aca="false">nop_f</f>
        <v>0</v>
      </c>
      <c r="K1067" s="7" t="s">
        <v>651</v>
      </c>
    </row>
    <row r="1068" customFormat="false" ht="15" hidden="false" customHeight="false" outlineLevel="0" collapsed="false">
      <c r="A1068" s="3" t="s">
        <v>520</v>
      </c>
      <c r="B1068" s="0" t="s">
        <v>203</v>
      </c>
      <c r="C1068" s="22" t="n">
        <f aca="false">a25_ni</f>
        <v>9.607</v>
      </c>
      <c r="D1068" s="22" t="n">
        <f aca="false">a26_ni</f>
        <v>19.6977289395284</v>
      </c>
      <c r="E1068" s="22" t="n">
        <f aca="false">(E1065+E1067)*nir_f</f>
        <v>30.166644311425</v>
      </c>
      <c r="F1068" s="22" t="n">
        <f aca="false">(F1065+F1067)*nir_f</f>
        <v>37.9963254534973</v>
      </c>
      <c r="G1068" s="22" t="n">
        <f aca="false">(G1065+G1067)*nir_f</f>
        <v>43.3405725925815</v>
      </c>
      <c r="H1068" s="24" t="n">
        <f aca="false">H1045*H1073</f>
        <v>46.7442151357011</v>
      </c>
      <c r="I1068" s="24" t="n">
        <f aca="false">I1045*I1073</f>
        <v>48.3287837914161</v>
      </c>
      <c r="J1068" s="24" t="n">
        <f aca="false">J1045*J1073</f>
        <v>47.8086916496984</v>
      </c>
    </row>
    <row r="1069" customFormat="false" ht="17.15" hidden="false" customHeight="false" outlineLevel="0" collapsed="false">
      <c r="A1069" s="3" t="s">
        <v>523</v>
      </c>
      <c r="B1069" s="0" t="s">
        <v>55</v>
      </c>
      <c r="C1069" s="14" t="n">
        <f aca="false">C1068/C1065</f>
        <v>0.684113081250445</v>
      </c>
      <c r="D1069" s="14" t="n">
        <f aca="false">D1068/D1065</f>
        <v>0.696226437171953</v>
      </c>
      <c r="E1069" s="14" t="n">
        <f aca="false">E1068/E1065</f>
        <v>0.685</v>
      </c>
      <c r="F1069" s="14" t="n">
        <f aca="false">F1068/F1065</f>
        <v>0.685</v>
      </c>
      <c r="G1069" s="14" t="n">
        <f aca="false">G1068/G1065</f>
        <v>0.685</v>
      </c>
    </row>
    <row r="1070" customFormat="false" ht="17.15" hidden="false" customHeight="false" outlineLevel="0" collapsed="false">
      <c r="A1070" s="3" t="s">
        <v>652</v>
      </c>
      <c r="B1070" s="3" t="s">
        <v>233</v>
      </c>
      <c r="C1070" s="27" t="n">
        <f aca="false">a25_sh</f>
        <v>0.493425783256292</v>
      </c>
      <c r="D1070" s="27" t="n">
        <f aca="false">a26_sh</f>
        <v>0.512980850061958</v>
      </c>
      <c r="E1070" s="27" t="n">
        <f aca="false">sh_h2*(1+sh_g)</f>
        <v>0.51889356</v>
      </c>
      <c r="F1070" s="27" t="n">
        <f aca="false">E1070*(1+sh_g)</f>
        <v>0.5240824956</v>
      </c>
      <c r="G1070" s="27" t="n">
        <f aca="false">F1070*(1+sh_g)</f>
        <v>0.529323320556</v>
      </c>
      <c r="H1070" s="29" t="n">
        <f aca="false">G1070*(1+sh_g)</f>
        <v>0.53461655376156</v>
      </c>
      <c r="I1070" s="29" t="n">
        <f aca="false">H1070*(1+sh_g)</f>
        <v>0.539962719299176</v>
      </c>
      <c r="J1070" s="29" t="n">
        <f aca="false">I1070*(1+sh_g)</f>
        <v>0.545362346492167</v>
      </c>
      <c r="K1070" s="7" t="s">
        <v>653</v>
      </c>
    </row>
    <row r="1071" customFormat="false" ht="15" hidden="false" customHeight="false" outlineLevel="0" collapsed="false">
      <c r="A1071" s="0" t="s">
        <v>526</v>
      </c>
      <c r="B1071" s="0" t="s">
        <v>271</v>
      </c>
      <c r="C1071" s="23" t="n">
        <f aca="false">C1068/C1070</f>
        <v>19.47</v>
      </c>
      <c r="D1071" s="23" t="n">
        <f aca="false">D1068/D1070</f>
        <v>38.3985658278458</v>
      </c>
      <c r="E1071" s="23" t="n">
        <f aca="false">E1068/E1070</f>
        <v>58.1364785321772</v>
      </c>
      <c r="F1071" s="23" t="n">
        <f aca="false">F1068/F1070</f>
        <v>72.5006573821873</v>
      </c>
      <c r="G1071" s="23" t="n">
        <f aca="false">G1068/G1070</f>
        <v>81.8792048441333</v>
      </c>
      <c r="H1071" s="30" t="n">
        <f aca="false">H1068/H1070</f>
        <v>87.4350313450061</v>
      </c>
      <c r="I1071" s="30" t="n">
        <f aca="false">I1068/I1070</f>
        <v>89.5039269639626</v>
      </c>
      <c r="J1071" s="30" t="n">
        <f aca="false">J1068/J1070</f>
        <v>87.6640860103551</v>
      </c>
    </row>
    <row r="1072" customFormat="false" ht="17.15" hidden="false" customHeight="false" outlineLevel="0" collapsed="false">
      <c r="A1072" s="0" t="s">
        <v>654</v>
      </c>
      <c r="B1072" s="0" t="s">
        <v>55</v>
      </c>
      <c r="D1072" s="14" t="n">
        <f aca="false">D1071/C1071-1</f>
        <v>0.9721913624985</v>
      </c>
      <c r="E1072" s="14" t="n">
        <f aca="false">E1071/D1071-1</f>
        <v>0.514027341354971</v>
      </c>
      <c r="F1072" s="14" t="n">
        <f aca="false">F1071/E1071-1</f>
        <v>0.2470768648648</v>
      </c>
      <c r="G1072" s="14" t="n">
        <f aca="false">G1071/F1071-1</f>
        <v>0.129358102403223</v>
      </c>
      <c r="H1072" s="25" t="n">
        <f aca="false">H1071/G1071-1</f>
        <v>0.0678539381452108</v>
      </c>
      <c r="I1072" s="25" t="n">
        <f aca="false">I1071/H1071-1</f>
        <v>0.0236620904359599</v>
      </c>
      <c r="J1072" s="25" t="n">
        <f aca="false">J1071/I1071-1</f>
        <v>-0.0205559802347932</v>
      </c>
    </row>
    <row r="1073" customFormat="false" ht="17.15" hidden="false" customHeight="false" outlineLevel="0" collapsed="false">
      <c r="A1073" s="3" t="s">
        <v>655</v>
      </c>
      <c r="B1073" s="0" t="s">
        <v>55</v>
      </c>
      <c r="C1073" s="14" t="n">
        <f aca="false">C1068/C1045</f>
        <v>0.160105992933804</v>
      </c>
      <c r="D1073" s="14" t="n">
        <f aca="false">D1068/D1045</f>
        <v>0.186872140996471</v>
      </c>
      <c r="E1073" s="14" t="n">
        <f aca="false">E1068/E1045</f>
        <v>0.197372846678694</v>
      </c>
      <c r="F1073" s="14" t="n">
        <f aca="false">F1068/F1045</f>
        <v>0.195589108970833</v>
      </c>
      <c r="G1073" s="14" t="n">
        <f aca="false">G1068/G1045</f>
        <v>0.190181102002423</v>
      </c>
      <c r="H1073" s="25" t="n">
        <f aca="false">$G1073+(fade_mB-$G1073)*1/3</f>
        <v>0.181724080158436</v>
      </c>
      <c r="I1073" s="25" t="n">
        <f aca="false">$G1073+(fade_mB-$G1073)*2/3</f>
        <v>0.173267058314449</v>
      </c>
      <c r="J1073" s="25" t="n">
        <f aca="false">$G1073+(fade_mB-$G1073)*3/3</f>
        <v>0.164810036470462</v>
      </c>
    </row>
    <row r="1076" customFormat="false" ht="17.15" hidden="false" customHeight="false" outlineLevel="0" collapsed="false">
      <c r="A1076" s="1" t="s">
        <v>1009</v>
      </c>
    </row>
    <row r="1077" customFormat="false" ht="17.15" hidden="false" customHeight="false" outlineLevel="0" collapsed="false">
      <c r="A1077" s="4" t="s">
        <v>24</v>
      </c>
      <c r="B1077" s="4" t="s">
        <v>25</v>
      </c>
      <c r="C1077" s="15" t="s">
        <v>494</v>
      </c>
      <c r="D1077" s="15" t="s">
        <v>583</v>
      </c>
      <c r="E1077" s="15" t="s">
        <v>584</v>
      </c>
      <c r="F1077" s="15" t="s">
        <v>585</v>
      </c>
      <c r="G1077" s="15" t="s">
        <v>586</v>
      </c>
      <c r="H1077" s="15" t="s">
        <v>587</v>
      </c>
      <c r="I1077" s="15" t="s">
        <v>588</v>
      </c>
      <c r="J1077" s="15" t="s">
        <v>589</v>
      </c>
      <c r="K1077" s="4" t="s">
        <v>458</v>
      </c>
    </row>
    <row r="1078" customFormat="false" ht="17.15" hidden="false" customHeight="false" outlineLevel="0" collapsed="false">
      <c r="A1078" s="5" t="s">
        <v>605</v>
      </c>
    </row>
    <row r="1079" customFormat="false" ht="17.15" hidden="false" customHeight="false" outlineLevel="0" collapsed="false">
      <c r="A1079" s="0" t="s">
        <v>606</v>
      </c>
      <c r="B1079" s="0" t="s">
        <v>35</v>
      </c>
      <c r="D1079" s="23" t="n">
        <f aca="false">itc_26*1</f>
        <v>781.872916666666</v>
      </c>
      <c r="E1079" s="23" t="n">
        <f aca="false">itc_27*1*1</f>
        <v>1565.35</v>
      </c>
      <c r="F1079" s="23" t="n">
        <f aca="false">itc_28*um28_B*1</f>
        <v>1587.41111111111</v>
      </c>
      <c r="G1079" s="23" t="n">
        <f aca="false">itc_29*um29_B*1</f>
        <v>1921.33173611111</v>
      </c>
    </row>
    <row r="1080" customFormat="false" ht="17.15" hidden="false" customHeight="false" outlineLevel="0" collapsed="false">
      <c r="A1080" s="3" t="s">
        <v>607</v>
      </c>
      <c r="B1080" s="0" t="s">
        <v>35</v>
      </c>
      <c r="D1080" s="23" t="n">
        <f aca="false">itpg_gb*(1-vr26)+itpg_vr*vr26</f>
        <v>33.41403216</v>
      </c>
      <c r="E1080" s="23" t="n">
        <f aca="false">itpg_vr</f>
        <v>37.586352</v>
      </c>
      <c r="F1080" s="23" t="n">
        <f aca="false">itpg_vr</f>
        <v>37.586352</v>
      </c>
      <c r="G1080" s="23" t="n">
        <f aca="false">itpg_vr</f>
        <v>37.586352</v>
      </c>
    </row>
    <row r="1081" customFormat="false" ht="17.15" hidden="false" customHeight="false" outlineLevel="0" collapsed="false">
      <c r="A1081" s="3" t="s">
        <v>608</v>
      </c>
      <c r="B1081" s="0" t="s">
        <v>549</v>
      </c>
      <c r="D1081" s="20" t="n">
        <f aca="false">D1079/D1080</f>
        <v>23.3995380420639</v>
      </c>
      <c r="E1081" s="20" t="n">
        <f aca="false">E1079/E1080</f>
        <v>41.6467658260637</v>
      </c>
      <c r="F1081" s="20" t="n">
        <f aca="false">F1079/F1080</f>
        <v>42.2337105529984</v>
      </c>
      <c r="G1081" s="20" t="n">
        <f aca="false">G1079/G1080</f>
        <v>51.1178029756948</v>
      </c>
    </row>
    <row r="1082" customFormat="false" ht="17.15" hidden="false" customHeight="false" outlineLevel="0" collapsed="false">
      <c r="A1082" s="3" t="s">
        <v>553</v>
      </c>
      <c r="B1082" s="0" t="s">
        <v>96</v>
      </c>
      <c r="D1082" s="21" t="n">
        <f aca="false">vg_cmp26</f>
        <v>280</v>
      </c>
      <c r="E1082" s="21" t="n">
        <f aca="false">(vg_cmp26+(vg_cmp27-vg_cmp26)*pgwf)</f>
        <v>420</v>
      </c>
      <c r="F1082" s="21" t="n">
        <f aca="false">(vg_cmp26+(vg_cmp28-vg_cmp26)*pgwf)</f>
        <v>462</v>
      </c>
      <c r="G1082" s="21" t="n">
        <f aca="false">(vg_cmp26+(vg_cmp29-vg_cmp26)*pgwf)</f>
        <v>504</v>
      </c>
    </row>
    <row r="1083" customFormat="false" ht="17.15" hidden="false" customHeight="false" outlineLevel="0" collapsed="false">
      <c r="A1083" s="3" t="s">
        <v>555</v>
      </c>
      <c r="B1083" s="0" t="s">
        <v>96</v>
      </c>
      <c r="D1083" s="21" t="n">
        <f aca="false">vg_sw26</f>
        <v>120</v>
      </c>
      <c r="E1083" s="21" t="n">
        <f aca="false">(vg_sw26+(vg_sw27-vg_sw26)*pgwf)</f>
        <v>162</v>
      </c>
      <c r="F1083" s="21" t="n">
        <f aca="false">(vg_sw26+(vg_sw28-vg_sw26)*pgwf)</f>
        <v>180</v>
      </c>
      <c r="G1083" s="21" t="n">
        <f aca="false">(vg_sw26+(vg_sw29-vg_sw26)*pgwf)</f>
        <v>198</v>
      </c>
    </row>
    <row r="1084" customFormat="false" ht="17.15" hidden="false" customHeight="false" outlineLevel="0" collapsed="false">
      <c r="A1084" s="3" t="s">
        <v>609</v>
      </c>
      <c r="B1084" s="0" t="s">
        <v>96</v>
      </c>
      <c r="D1084" s="21" t="n">
        <f aca="false">vg_mid26*w_mid</f>
        <v>25</v>
      </c>
      <c r="E1084" s="21" t="n">
        <f aca="false">(vg_mid26+(vg_mid27-vg_mid26)*pgwf)*w_mid</f>
        <v>50</v>
      </c>
      <c r="F1084" s="21" t="n">
        <f aca="false">(vg_mid26+(vg_mid28-vg_mid26)*pgwf)*w_mid</f>
        <v>75</v>
      </c>
      <c r="G1084" s="21" t="n">
        <f aca="false">(vg_mid26+(vg_mid29-vg_mid26)*pgwf)*w_mid</f>
        <v>87.5</v>
      </c>
    </row>
    <row r="1085" customFormat="false" ht="17.15" hidden="false" customHeight="false" outlineLevel="0" collapsed="false">
      <c r="A1085" s="3" t="s">
        <v>610</v>
      </c>
      <c r="B1085" s="0" t="s">
        <v>96</v>
      </c>
      <c r="D1085" s="21" t="n">
        <f aca="false">D1082+D1083+D1084</f>
        <v>425</v>
      </c>
      <c r="E1085" s="21" t="n">
        <f aca="false">E1082+E1083+E1084</f>
        <v>632</v>
      </c>
      <c r="F1085" s="21" t="n">
        <f aca="false">F1082+F1083+F1084</f>
        <v>717</v>
      </c>
      <c r="G1085" s="21" t="n">
        <f aca="false">G1082+G1083+G1084</f>
        <v>789.5</v>
      </c>
    </row>
    <row r="1086" customFormat="false" ht="17.15" hidden="false" customHeight="false" outlineLevel="0" collapsed="false">
      <c r="A1086" s="3" t="s">
        <v>611</v>
      </c>
      <c r="B1086" s="0" t="s">
        <v>35</v>
      </c>
      <c r="D1086" s="23" t="n">
        <f aca="false">D1081*D1085/1000</f>
        <v>9.94480366787715</v>
      </c>
      <c r="E1086" s="23" t="n">
        <f aca="false">E1081*E1085/1000</f>
        <v>26.3207560020722</v>
      </c>
      <c r="F1086" s="23" t="n">
        <f aca="false">F1081*F1085/1000</f>
        <v>30.2815704664998</v>
      </c>
      <c r="G1086" s="23" t="n">
        <f aca="false">G1081*G1085/1000</f>
        <v>40.3575054493111</v>
      </c>
    </row>
    <row r="1087" customFormat="false" ht="17.15" hidden="false" customHeight="false" outlineLevel="0" collapsed="false">
      <c r="A1087" s="3" t="s">
        <v>612</v>
      </c>
      <c r="B1087" s="0" t="s">
        <v>203</v>
      </c>
      <c r="D1087" s="22" t="n">
        <f aca="false">D1086*fx</f>
        <v>318.233717372069</v>
      </c>
      <c r="E1087" s="22" t="n">
        <f aca="false">E1086*fx</f>
        <v>842.264192066312</v>
      </c>
      <c r="F1087" s="22" t="n">
        <f aca="false">F1086*fx</f>
        <v>969.010254927995</v>
      </c>
      <c r="G1087" s="22" t="n">
        <f aca="false">G1086*fx</f>
        <v>1291.44017437795</v>
      </c>
    </row>
    <row r="1088" customFormat="false" ht="17.15" hidden="false" customHeight="false" outlineLevel="0" collapsed="false">
      <c r="A1088" s="0" t="s">
        <v>613</v>
      </c>
      <c r="B1088" s="0" t="s">
        <v>69</v>
      </c>
      <c r="D1088" s="18" t="n">
        <f aca="false">1</f>
        <v>1</v>
      </c>
      <c r="E1088" s="18" t="n">
        <f aca="false">pp_27</f>
        <v>1</v>
      </c>
      <c r="F1088" s="18" t="n">
        <f aca="false">pp_28</f>
        <v>0.97</v>
      </c>
      <c r="G1088" s="18" t="n">
        <f aca="false">pp_29</f>
        <v>0.94</v>
      </c>
    </row>
    <row r="1089" customFormat="false" ht="17.15" hidden="false" customHeight="false" outlineLevel="0" collapsed="false">
      <c r="A1089" s="3" t="s">
        <v>614</v>
      </c>
      <c r="B1089" s="0" t="s">
        <v>55</v>
      </c>
      <c r="D1089" s="14" t="n">
        <f aca="false">a26_ai/D1087</f>
        <v>0.172842024579347</v>
      </c>
      <c r="K1089" s="7" t="s">
        <v>615</v>
      </c>
    </row>
    <row r="1090" customFormat="false" ht="17.15" hidden="false" customHeight="false" outlineLevel="0" collapsed="false">
      <c r="A1090" s="3" t="s">
        <v>616</v>
      </c>
      <c r="B1090" s="0" t="s">
        <v>69</v>
      </c>
      <c r="D1090" s="18" t="n">
        <f aca="false">1</f>
        <v>1</v>
      </c>
      <c r="E1090" s="18" t="n">
        <f aca="false">rel_27</f>
        <v>1</v>
      </c>
      <c r="F1090" s="18" t="n">
        <f aca="false">rel_28</f>
        <v>0.95</v>
      </c>
      <c r="G1090" s="18" t="n">
        <f aca="false">rel_29</f>
        <v>0.9</v>
      </c>
    </row>
    <row r="1091" customFormat="false" ht="15" hidden="false" customHeight="false" outlineLevel="0" collapsed="false">
      <c r="A1091" s="3" t="s">
        <v>565</v>
      </c>
      <c r="B1091" s="0" t="s">
        <v>55</v>
      </c>
      <c r="D1091" s="14" t="n">
        <f aca="false">$D$1089*D1090</f>
        <v>0.172842024579347</v>
      </c>
      <c r="E1091" s="14" t="n">
        <f aca="false">$D$1089*E1090</f>
        <v>0.172842024579347</v>
      </c>
      <c r="F1091" s="14" t="n">
        <f aca="false">$D$1089*F1090</f>
        <v>0.164199923350379</v>
      </c>
      <c r="G1091" s="14" t="n">
        <f aca="false">$D$1089*G1090</f>
        <v>0.155557822121412</v>
      </c>
    </row>
    <row r="1092" customFormat="false" ht="17.15" hidden="false" customHeight="false" outlineLevel="0" collapsed="false">
      <c r="A1092" s="0" t="s">
        <v>617</v>
      </c>
      <c r="B1092" s="0" t="s">
        <v>203</v>
      </c>
      <c r="D1092" s="22" t="n">
        <f aca="false">D1087*D1091*D1088</f>
        <v>55.00416</v>
      </c>
      <c r="E1092" s="22" t="n">
        <f aca="false">E1087*E1091*E1088</f>
        <v>145.578648187429</v>
      </c>
      <c r="F1092" s="22" t="n">
        <f aca="false">F1087*F1091*F1088</f>
        <v>154.338067297361</v>
      </c>
      <c r="G1092" s="22" t="n">
        <f aca="false">G1087*G1091*G1088</f>
        <v>188.840003670751</v>
      </c>
    </row>
    <row r="1093" customFormat="false" ht="17.15" hidden="false" customHeight="false" outlineLevel="0" collapsed="false">
      <c r="A1093" s="5" t="s">
        <v>618</v>
      </c>
    </row>
    <row r="1094" customFormat="false" ht="17.15" hidden="false" customHeight="false" outlineLevel="0" collapsed="false">
      <c r="A1094" s="3" t="s">
        <v>619</v>
      </c>
      <c r="B1094" s="0" t="s">
        <v>69</v>
      </c>
      <c r="D1094" s="18" t="n">
        <f aca="false">1</f>
        <v>1</v>
      </c>
      <c r="E1094" s="18" t="n">
        <f aca="false">cx_27</f>
        <v>1.45</v>
      </c>
      <c r="F1094" s="18" t="n">
        <f aca="false">cx_28</f>
        <v>1.9</v>
      </c>
      <c r="G1094" s="18" t="n">
        <f aca="false">cx_29</f>
        <v>2.3</v>
      </c>
      <c r="K1094" s="7" t="s">
        <v>620</v>
      </c>
    </row>
    <row r="1095" customFormat="false" ht="17.15" hidden="false" customHeight="false" outlineLevel="0" collapsed="false">
      <c r="A1095" s="3" t="s">
        <v>621</v>
      </c>
      <c r="B1095" s="0" t="s">
        <v>203</v>
      </c>
      <c r="D1095" s="22" t="n">
        <f aca="false">a26_rev*D1094*D1088</f>
        <v>105.40752</v>
      </c>
      <c r="E1095" s="22" t="n">
        <f aca="false">a26_rev*E1094*E1088</f>
        <v>152.840904</v>
      </c>
      <c r="F1095" s="22" t="n">
        <f aca="false">a26_rev*F1094*F1088</f>
        <v>194.26605936</v>
      </c>
      <c r="G1095" s="22" t="n">
        <f aca="false">a26_rev*G1094*G1088</f>
        <v>227.89105824</v>
      </c>
    </row>
    <row r="1096" customFormat="false" ht="17.15" hidden="false" customHeight="false" outlineLevel="0" collapsed="false">
      <c r="A1096" s="3" t="s">
        <v>622</v>
      </c>
      <c r="B1096" s="0" t="s">
        <v>203</v>
      </c>
      <c r="C1096" s="22" t="n">
        <f aca="false">a25_nai</f>
        <v>42.0028</v>
      </c>
      <c r="D1096" s="22" t="n">
        <f aca="false">a26_nai</f>
        <v>50.40336</v>
      </c>
      <c r="E1096" s="22" t="n">
        <f aca="false">D1096*(1+g_nai27)</f>
        <v>52.923528</v>
      </c>
      <c r="F1096" s="22" t="n">
        <f aca="false">E1096*(1+g_nai28)</f>
        <v>54.51123384</v>
      </c>
      <c r="G1096" s="22" t="n">
        <f aca="false">F1096*(1+g_nai29)</f>
        <v>56.1465708552</v>
      </c>
    </row>
    <row r="1097" customFormat="false" ht="17.15" hidden="false" customHeight="false" outlineLevel="0" collapsed="false">
      <c r="A1097" s="0" t="s">
        <v>623</v>
      </c>
      <c r="B1097" s="0" t="s">
        <v>203</v>
      </c>
      <c r="C1097" s="22" t="n">
        <f aca="false">a25_ai</f>
        <v>18.0012</v>
      </c>
      <c r="D1097" s="22" t="n">
        <f aca="false">D1092</f>
        <v>55.00416</v>
      </c>
      <c r="E1097" s="22" t="n">
        <f aca="false">MIN(E1092,E1095-E1096)</f>
        <v>99.917376</v>
      </c>
      <c r="F1097" s="22" t="n">
        <f aca="false">MIN(F1092,F1095-F1096)</f>
        <v>139.75482552</v>
      </c>
      <c r="G1097" s="22" t="n">
        <f aca="false">MIN(G1092,G1095-G1096)</f>
        <v>171.7444873848</v>
      </c>
      <c r="K1097" s="3" t="s">
        <v>624</v>
      </c>
    </row>
    <row r="1098" customFormat="false" ht="15" hidden="false" customHeight="false" outlineLevel="0" collapsed="false">
      <c r="A1098" s="3" t="s">
        <v>625</v>
      </c>
      <c r="E1098" s="0" t="str">
        <f aca="false">IF(E1092&gt;E1095-E1096+0.0001,"受限","未受限")</f>
        <v>受限</v>
      </c>
      <c r="F1098" s="0" t="str">
        <f aca="false">IF(F1092&gt;F1095-F1096+0.0001,"受限","未受限")</f>
        <v>受限</v>
      </c>
      <c r="G1098" s="0" t="str">
        <f aca="false">IF(G1092&gt;G1095-G1096+0.0001,"受限","未受限")</f>
        <v>受限</v>
      </c>
    </row>
    <row r="1099" customFormat="false" ht="17.15" hidden="false" customHeight="false" outlineLevel="0" collapsed="false">
      <c r="A1099" s="3" t="s">
        <v>499</v>
      </c>
      <c r="B1099" s="0" t="s">
        <v>203</v>
      </c>
      <c r="C1099" s="22" t="n">
        <f aca="false">C1097+C1096</f>
        <v>60.004</v>
      </c>
      <c r="D1099" s="22" t="n">
        <f aca="false">D1097+D1096</f>
        <v>105.40752</v>
      </c>
      <c r="E1099" s="22" t="n">
        <f aca="false">E1097+E1096</f>
        <v>152.840904</v>
      </c>
      <c r="F1099" s="22" t="n">
        <f aca="false">F1097+F1096</f>
        <v>194.26605936</v>
      </c>
      <c r="G1099" s="22" t="n">
        <f aca="false">G1097+G1096</f>
        <v>227.89105824</v>
      </c>
      <c r="H1099" s="24" t="n">
        <f aca="false">G1099*(1+H1100)</f>
        <v>257.226313072804</v>
      </c>
      <c r="I1099" s="24" t="n">
        <f aca="false">H1099*(1+I1100)</f>
        <v>278.92655569709</v>
      </c>
      <c r="J1099" s="24" t="n">
        <f aca="false">I1099*(1+J1100)</f>
        <v>290.083617924974</v>
      </c>
      <c r="K1099" s="7" t="s">
        <v>626</v>
      </c>
    </row>
    <row r="1100" customFormat="false" ht="15" hidden="false" customHeight="false" outlineLevel="0" collapsed="false">
      <c r="A1100" s="3" t="s">
        <v>627</v>
      </c>
      <c r="B1100" s="0" t="s">
        <v>55</v>
      </c>
      <c r="D1100" s="14" t="n">
        <f aca="false">D1099/C1099-1</f>
        <v>0.756674888340778</v>
      </c>
      <c r="E1100" s="14" t="n">
        <f aca="false">E1099/D1099-1</f>
        <v>0.45</v>
      </c>
      <c r="F1100" s="14" t="n">
        <f aca="false">F1099/E1099-1</f>
        <v>0.271034482758621</v>
      </c>
      <c r="G1100" s="14" t="n">
        <f aca="false">G1099/F1099-1</f>
        <v>0.173087357569181</v>
      </c>
      <c r="H1100" s="25" t="n">
        <f aca="false">$G1100+(fade_gB-$G1100)*1/3</f>
        <v>0.12872490504612</v>
      </c>
      <c r="I1100" s="25" t="n">
        <f aca="false">$G1100+(fade_gB-$G1100)*2/3</f>
        <v>0.0843624525230602</v>
      </c>
      <c r="J1100" s="25" t="n">
        <f aca="false">$G1100+(fade_gB-$G1100)*3/3</f>
        <v>0.04</v>
      </c>
    </row>
    <row r="1101" customFormat="false" ht="17.15" hidden="false" customHeight="false" outlineLevel="0" collapsed="false">
      <c r="A1101" s="3" t="s">
        <v>628</v>
      </c>
      <c r="B1101" s="0" t="s">
        <v>203</v>
      </c>
      <c r="D1101" s="22" t="n">
        <f aca="false">D1097*(D1082+D1084)/D1085</f>
        <v>39.4735736470588</v>
      </c>
      <c r="E1101" s="22" t="n">
        <f aca="false">E1097*(E1082+E1084)/E1085</f>
        <v>74.3056435443038</v>
      </c>
      <c r="F1101" s="22" t="n">
        <f aca="false">F1097*(F1082+F1084)/F1085</f>
        <v>104.669932084017</v>
      </c>
      <c r="G1101" s="22" t="n">
        <f aca="false">G1097*(G1082+G1084)/G1085</f>
        <v>128.672405684749</v>
      </c>
      <c r="K1101" s="7" t="s">
        <v>629</v>
      </c>
    </row>
    <row r="1102" customFormat="false" ht="17.15" hidden="false" customHeight="false" outlineLevel="0" collapsed="false">
      <c r="A1102" s="3" t="s">
        <v>630</v>
      </c>
      <c r="B1102" s="0" t="s">
        <v>203</v>
      </c>
      <c r="D1102" s="22" t="n">
        <f aca="false">D1097*D1083/D1085</f>
        <v>15.5305863529412</v>
      </c>
      <c r="E1102" s="22" t="n">
        <f aca="false">E1097*E1083/E1085</f>
        <v>25.6117324556962</v>
      </c>
      <c r="F1102" s="22" t="n">
        <f aca="false">F1097*F1083/F1085</f>
        <v>35.0848934359833</v>
      </c>
      <c r="G1102" s="22" t="n">
        <f aca="false">G1097*G1083/G1085</f>
        <v>43.0720817000512</v>
      </c>
    </row>
    <row r="1103" customFormat="false" ht="17.15" hidden="false" customHeight="false" outlineLevel="0" collapsed="false">
      <c r="A1103" s="3" t="s">
        <v>631</v>
      </c>
      <c r="B1103" s="0" t="s">
        <v>203</v>
      </c>
      <c r="D1103" s="22" t="n">
        <f aca="false">srv26*D1099-D1101</f>
        <v>42.7442919529412</v>
      </c>
      <c r="E1103" s="22" t="n">
        <f aca="false">E1096*$D1103/$D1096</f>
        <v>44.8815065505883</v>
      </c>
      <c r="F1103" s="22" t="n">
        <f aca="false">F1096*$D1103/$D1096</f>
        <v>46.2279517471059</v>
      </c>
      <c r="G1103" s="22" t="n">
        <f aca="false">G1096*$D1103/$D1096</f>
        <v>47.6147902995191</v>
      </c>
      <c r="K1103" s="7" t="s">
        <v>632</v>
      </c>
    </row>
    <row r="1104" customFormat="false" ht="17.15" hidden="false" customHeight="false" outlineLevel="0" collapsed="false">
      <c r="A1104" s="3" t="s">
        <v>633</v>
      </c>
      <c r="B1104" s="0" t="s">
        <v>203</v>
      </c>
      <c r="D1104" s="22" t="n">
        <f aca="false">net26*D1099-D1102</f>
        <v>0.28054164705882</v>
      </c>
      <c r="E1104" s="22" t="n">
        <f aca="false">E1096*$D1104/$D1096</f>
        <v>0.294568729411761</v>
      </c>
      <c r="F1104" s="22" t="n">
        <f aca="false">F1096*$D1104/$D1096</f>
        <v>0.303405791294114</v>
      </c>
      <c r="G1104" s="22" t="n">
        <f aca="false">G1096*$D1104/$D1096</f>
        <v>0.312507965032938</v>
      </c>
    </row>
    <row r="1105" customFormat="false" ht="17.15" hidden="false" customHeight="false" outlineLevel="0" collapsed="false">
      <c r="A1105" s="3" t="s">
        <v>634</v>
      </c>
      <c r="B1105" s="0" t="s">
        <v>203</v>
      </c>
      <c r="C1105" s="22" t="n">
        <f aca="false">srv25*C1099</f>
        <v>48.0032</v>
      </c>
      <c r="D1105" s="22" t="n">
        <f aca="false">D1101+D1103</f>
        <v>82.2178656</v>
      </c>
      <c r="E1105" s="22" t="n">
        <f aca="false">E1101+E1103</f>
        <v>119.187150094892</v>
      </c>
      <c r="F1105" s="22" t="n">
        <f aca="false">F1101+F1103</f>
        <v>150.897883831123</v>
      </c>
      <c r="G1105" s="22" t="n">
        <f aca="false">G1101+G1103</f>
        <v>176.287195984268</v>
      </c>
      <c r="K1105" s="3" t="s">
        <v>635</v>
      </c>
    </row>
    <row r="1106" customFormat="false" ht="15" hidden="false" customHeight="false" outlineLevel="0" collapsed="false">
      <c r="A1106" s="3" t="s">
        <v>636</v>
      </c>
      <c r="B1106" s="0" t="s">
        <v>203</v>
      </c>
      <c r="C1106" s="22" t="n">
        <f aca="false">net25*C1099</f>
        <v>6.0004</v>
      </c>
      <c r="D1106" s="22" t="n">
        <f aca="false">D1102+D1104</f>
        <v>15.811128</v>
      </c>
      <c r="E1106" s="22" t="n">
        <f aca="false">E1102+E1104</f>
        <v>25.906301185108</v>
      </c>
      <c r="F1106" s="22" t="n">
        <f aca="false">F1102+F1104</f>
        <v>35.3882992272774</v>
      </c>
      <c r="G1106" s="22" t="n">
        <f aca="false">G1102+G1104</f>
        <v>43.3845896650841</v>
      </c>
      <c r="K1106" s="3" t="s">
        <v>637</v>
      </c>
    </row>
    <row r="1107" customFormat="false" ht="15" hidden="false" customHeight="false" outlineLevel="0" collapsed="false">
      <c r="A1107" s="3" t="s">
        <v>638</v>
      </c>
      <c r="B1107" s="0" t="s">
        <v>203</v>
      </c>
      <c r="C1107" s="22" t="n">
        <f aca="false">C1099-C1105-C1106</f>
        <v>6.0004</v>
      </c>
      <c r="D1107" s="22" t="n">
        <f aca="false">D1099-D1105-D1106</f>
        <v>7.3785264</v>
      </c>
      <c r="E1107" s="22" t="n">
        <f aca="false">E1099-E1105-E1106</f>
        <v>7.74745271999998</v>
      </c>
      <c r="F1107" s="22" t="n">
        <f aca="false">F1099-F1105-F1106</f>
        <v>7.9798763016</v>
      </c>
      <c r="G1107" s="22" t="n">
        <f aca="false">G1099-G1105-G1106</f>
        <v>8.21927259064798</v>
      </c>
      <c r="K1107" s="3" t="s">
        <v>639</v>
      </c>
    </row>
    <row r="1108" customFormat="false" ht="17.15" hidden="false" customHeight="false" outlineLevel="0" collapsed="false">
      <c r="A1108" s="3" t="s">
        <v>640</v>
      </c>
      <c r="B1108" s="0" t="s">
        <v>203</v>
      </c>
      <c r="C1108" s="28" t="n">
        <f aca="false">C1105+C1106+C1107-C1099</f>
        <v>0</v>
      </c>
      <c r="D1108" s="28" t="n">
        <f aca="false">ROUND(D1103+D1104+D1107-D1096,9)</f>
        <v>0</v>
      </c>
      <c r="E1108" s="28" t="n">
        <f aca="false">ROUND(E1103+E1104+E1107-E1096,9)</f>
        <v>0</v>
      </c>
      <c r="F1108" s="28" t="n">
        <f aca="false">ROUND(F1103+F1104+F1107-F1096,9)</f>
        <v>0</v>
      </c>
      <c r="G1108" s="28" t="n">
        <f aca="false">ROUND(G1103+G1104+G1107-G1096,9)</f>
        <v>0</v>
      </c>
    </row>
    <row r="1109" customFormat="false" ht="17.15" hidden="false" customHeight="false" outlineLevel="0" collapsed="false">
      <c r="A1109" s="0" t="s">
        <v>641</v>
      </c>
      <c r="B1109" s="0" t="s">
        <v>55</v>
      </c>
      <c r="C1109" s="14" t="n">
        <f aca="false">C1097/C1099</f>
        <v>0.3</v>
      </c>
      <c r="D1109" s="14" t="n">
        <f aca="false">D1097/D1099</f>
        <v>0.521823869871903</v>
      </c>
      <c r="E1109" s="14" t="n">
        <f aca="false">E1097/E1099</f>
        <v>0.653734526458964</v>
      </c>
      <c r="F1109" s="14" t="n">
        <f aca="false">F1097/F1099</f>
        <v>0.71939908587437</v>
      </c>
      <c r="G1109" s="14" t="n">
        <f aca="false">G1097/G1099</f>
        <v>0.753625388864226</v>
      </c>
    </row>
    <row r="1110" customFormat="false" ht="17.15" hidden="false" customHeight="false" outlineLevel="0" collapsed="false">
      <c r="A1110" s="3" t="s">
        <v>642</v>
      </c>
      <c r="B1110" s="0" t="s">
        <v>55</v>
      </c>
      <c r="D1110" s="14" t="n">
        <f aca="false">(D1092+D1096)/D1095</f>
        <v>1</v>
      </c>
      <c r="E1110" s="14" t="n">
        <f aca="false">(E1092+E1096)/E1095</f>
        <v>1.29875034099137</v>
      </c>
      <c r="F1110" s="14" t="n">
        <f aca="false">(F1092+F1096)/F1095</f>
        <v>1.07506839756468</v>
      </c>
      <c r="G1110" s="14" t="n">
        <f aca="false">(G1092+G1096)/G1095</f>
        <v>1.07501617842306</v>
      </c>
      <c r="K1110" s="3" t="s">
        <v>643</v>
      </c>
    </row>
    <row r="1111" customFormat="false" ht="17.15" hidden="false" customHeight="false" outlineLevel="0" collapsed="false">
      <c r="A1111" s="3" t="s">
        <v>569</v>
      </c>
      <c r="B1111" s="0" t="s">
        <v>96</v>
      </c>
      <c r="D1111" s="21" t="n">
        <f aca="false">D1097/fx/D1081*1000</f>
        <v>73.4578604462224</v>
      </c>
      <c r="E1111" s="21" t="n">
        <f aca="false">E1097/fx/E1081*1000</f>
        <v>74.9738410190283</v>
      </c>
      <c r="F1111" s="21" t="n">
        <f aca="false">F1097/fx/F1081*1000</f>
        <v>103.408822959553</v>
      </c>
      <c r="G1111" s="21" t="n">
        <f aca="false">G1097/fx/G1081*1000</f>
        <v>104.993073222002</v>
      </c>
    </row>
    <row r="1112" customFormat="false" ht="17.15" hidden="false" customHeight="false" outlineLevel="0" collapsed="false">
      <c r="A1112" s="5" t="s">
        <v>644</v>
      </c>
    </row>
    <row r="1113" customFormat="false" ht="17.15" hidden="false" customHeight="false" outlineLevel="0" collapsed="false">
      <c r="A1113" s="3" t="s">
        <v>645</v>
      </c>
      <c r="B1113" s="0" t="s">
        <v>55</v>
      </c>
      <c r="D1113" s="14" t="n">
        <f aca="false">a26_gp/D1099-d_ai*D1109</f>
        <v>0.296655205435058</v>
      </c>
      <c r="K1113" s="7" t="s">
        <v>646</v>
      </c>
    </row>
    <row r="1114" customFormat="false" ht="17.15" hidden="false" customHeight="false" outlineLevel="0" collapsed="false">
      <c r="A1114" s="0" t="s">
        <v>647</v>
      </c>
      <c r="B1114" s="0" t="s">
        <v>55</v>
      </c>
      <c r="D1114" s="14" t="n">
        <f aca="false">D1113+d_ai</f>
        <v>0.396655205435058</v>
      </c>
      <c r="E1114" s="14" t="n">
        <f aca="false">1-(1-$D$1114)/E1088+gmu_27</f>
        <v>0.406655205435058</v>
      </c>
      <c r="F1114" s="14" t="n">
        <f aca="false">1-(1-$D$1114)/F1088+gmu_28</f>
        <v>0.392995057149545</v>
      </c>
      <c r="G1114" s="14" t="n">
        <f aca="false">1-(1-$D$1114)/G1088+gmu_29</f>
        <v>0.378143835569211</v>
      </c>
      <c r="K1114" s="7" t="s">
        <v>648</v>
      </c>
    </row>
    <row r="1115" customFormat="false" ht="15" hidden="false" customHeight="false" outlineLevel="0" collapsed="false">
      <c r="A1115" s="3" t="s">
        <v>503</v>
      </c>
      <c r="B1115" s="0" t="s">
        <v>203</v>
      </c>
      <c r="C1115" s="22" t="n">
        <f aca="false">a25_gp</f>
        <v>19.683</v>
      </c>
      <c r="D1115" s="22" t="n">
        <f aca="false">a26_gp</f>
        <v>36.7701055</v>
      </c>
      <c r="E1115" s="22" t="n">
        <f aca="false">E1097*E1114+E1096*$D$1113</f>
        <v>56.331961135</v>
      </c>
      <c r="F1115" s="22" t="n">
        <f aca="false">F1097*F1114+F1096*$D$1113</f>
        <v>71.0939969154807</v>
      </c>
      <c r="G1115" s="22" t="n">
        <f aca="false">G1097*G1114+G1096*$D$1113</f>
        <v>81.6002917090796</v>
      </c>
    </row>
    <row r="1116" customFormat="false" ht="15" hidden="false" customHeight="false" outlineLevel="0" collapsed="false">
      <c r="A1116" s="3" t="s">
        <v>506</v>
      </c>
      <c r="B1116" s="0" t="s">
        <v>55</v>
      </c>
      <c r="C1116" s="14" t="n">
        <f aca="false">C1115/C1099</f>
        <v>0.328028131457903</v>
      </c>
      <c r="D1116" s="14" t="n">
        <f aca="false">D1115/D1099</f>
        <v>0.348837592422248</v>
      </c>
      <c r="E1116" s="14" t="n">
        <f aca="false">E1115/E1099</f>
        <v>0.368566003345544</v>
      </c>
      <c r="F1116" s="14" t="n">
        <f aca="false">F1115/F1099</f>
        <v>0.365962006691732</v>
      </c>
      <c r="G1116" s="14" t="n">
        <f aca="false">G1115/G1099</f>
        <v>0.358067106007922</v>
      </c>
    </row>
    <row r="1117" customFormat="false" ht="15" hidden="false" customHeight="false" outlineLevel="0" collapsed="false">
      <c r="A1117" s="3" t="s">
        <v>649</v>
      </c>
      <c r="B1117" s="0" t="s">
        <v>203</v>
      </c>
      <c r="C1117" s="22" t="n">
        <f aca="false">a25_opx</f>
        <v>5.64</v>
      </c>
      <c r="D1117" s="22" t="n">
        <f aca="false">a26_opx</f>
        <v>8.4779754</v>
      </c>
      <c r="E1117" s="22" t="n">
        <f aca="false">D1117*(1+MAX(0,phi*E1100))</f>
        <v>10.767028758</v>
      </c>
      <c r="F1117" s="22" t="n">
        <f aca="false">E1117*(1+MAX(0,phi*F1100))</f>
        <v>12.517970400163</v>
      </c>
      <c r="G1117" s="22" t="n">
        <f aca="false">F1117*(1+MAX(0,phi*G1100))</f>
        <v>13.8179918513791</v>
      </c>
    </row>
    <row r="1118" customFormat="false" ht="15" hidden="false" customHeight="false" outlineLevel="0" collapsed="false">
      <c r="A1118" s="3" t="s">
        <v>508</v>
      </c>
      <c r="B1118" s="0" t="s">
        <v>203</v>
      </c>
      <c r="C1118" s="22" t="n">
        <f aca="false">C1117</f>
        <v>5.64</v>
      </c>
      <c r="D1118" s="22" t="n">
        <f aca="false">D1117</f>
        <v>8.4779754</v>
      </c>
      <c r="E1118" s="22" t="n">
        <f aca="false">E1117+0*E1099</f>
        <v>10.767028758</v>
      </c>
      <c r="F1118" s="22" t="n">
        <f aca="false">F1117+0*F1099</f>
        <v>12.517970400163</v>
      </c>
      <c r="G1118" s="22" t="n">
        <f aca="false">G1117+0*G1099</f>
        <v>13.8179918513791</v>
      </c>
    </row>
    <row r="1119" customFormat="false" ht="15" hidden="false" customHeight="false" outlineLevel="0" collapsed="false">
      <c r="A1119" s="3" t="s">
        <v>650</v>
      </c>
      <c r="B1119" s="0" t="s">
        <v>203</v>
      </c>
      <c r="C1119" s="22" t="n">
        <f aca="false">C1115-C1118</f>
        <v>14.043</v>
      </c>
      <c r="D1119" s="22" t="n">
        <f aca="false">D1115-D1118</f>
        <v>28.2921301</v>
      </c>
      <c r="E1119" s="22" t="n">
        <f aca="false">E1115-E1118</f>
        <v>45.564932377</v>
      </c>
      <c r="F1119" s="22" t="n">
        <f aca="false">F1115-F1118</f>
        <v>58.5760265153177</v>
      </c>
      <c r="G1119" s="22" t="n">
        <f aca="false">G1115-G1118</f>
        <v>67.7822998577005</v>
      </c>
    </row>
    <row r="1120" customFormat="false" ht="15" hidden="false" customHeight="false" outlineLevel="0" collapsed="false">
      <c r="A1120" s="3" t="s">
        <v>514</v>
      </c>
      <c r="B1120" s="0" t="s">
        <v>55</v>
      </c>
      <c r="C1120" s="14" t="n">
        <f aca="false">C1119/C1099</f>
        <v>0.23403439770682</v>
      </c>
      <c r="D1120" s="14" t="n">
        <f aca="false">D1119/D1099</f>
        <v>0.268407131673338</v>
      </c>
      <c r="E1120" s="14" t="n">
        <f aca="false">E1119/E1099</f>
        <v>0.298120013586154</v>
      </c>
      <c r="F1120" s="14" t="n">
        <f aca="false">F1119/F1099</f>
        <v>0.301524757892828</v>
      </c>
      <c r="G1120" s="14" t="n">
        <f aca="false">G1119/G1099</f>
        <v>0.297432906675595</v>
      </c>
    </row>
    <row r="1121" customFormat="false" ht="17.15" hidden="false" customHeight="false" outlineLevel="0" collapsed="false">
      <c r="A1121" s="3" t="s">
        <v>515</v>
      </c>
      <c r="B1121" s="0" t="s">
        <v>203</v>
      </c>
      <c r="E1121" s="22" t="n">
        <f aca="false">nop_f</f>
        <v>0</v>
      </c>
      <c r="F1121" s="22" t="n">
        <f aca="false">nop_f</f>
        <v>0</v>
      </c>
      <c r="G1121" s="22" t="n">
        <f aca="false">nop_f</f>
        <v>0</v>
      </c>
      <c r="K1121" s="7" t="s">
        <v>651</v>
      </c>
    </row>
    <row r="1122" customFormat="false" ht="15" hidden="false" customHeight="false" outlineLevel="0" collapsed="false">
      <c r="A1122" s="3" t="s">
        <v>520</v>
      </c>
      <c r="B1122" s="0" t="s">
        <v>203</v>
      </c>
      <c r="C1122" s="22" t="n">
        <f aca="false">a25_ni</f>
        <v>9.607</v>
      </c>
      <c r="D1122" s="22" t="n">
        <f aca="false">a26_ni</f>
        <v>19.6977289395284</v>
      </c>
      <c r="E1122" s="22" t="n">
        <f aca="false">(E1119+E1121)*nir_f_lo</f>
        <v>29.61720604505</v>
      </c>
      <c r="F1122" s="22" t="n">
        <f aca="false">(F1119+F1121)*nir_f_lo</f>
        <v>38.0744172349565</v>
      </c>
      <c r="G1122" s="22" t="n">
        <f aca="false">(G1119+G1121)*nir_f_lo</f>
        <v>44.0584949075053</v>
      </c>
      <c r="H1122" s="24" t="n">
        <f aca="false">H1099*H1127</f>
        <v>47.284439666863</v>
      </c>
      <c r="I1122" s="24" t="n">
        <f aca="false">I1099*I1127</f>
        <v>48.621683390178</v>
      </c>
      <c r="J1122" s="24" t="n">
        <f aca="false">J1099*J1127</f>
        <v>47.8086916496984</v>
      </c>
    </row>
    <row r="1123" customFormat="false" ht="17.15" hidden="false" customHeight="false" outlineLevel="0" collapsed="false">
      <c r="A1123" s="3" t="s">
        <v>523</v>
      </c>
      <c r="B1123" s="0" t="s">
        <v>55</v>
      </c>
      <c r="C1123" s="14" t="n">
        <f aca="false">C1122/C1119</f>
        <v>0.684113081250445</v>
      </c>
      <c r="D1123" s="14" t="n">
        <f aca="false">D1122/D1119</f>
        <v>0.696226437171953</v>
      </c>
      <c r="E1123" s="14" t="n">
        <f aca="false">E1122/E1119</f>
        <v>0.65</v>
      </c>
      <c r="F1123" s="14" t="n">
        <f aca="false">F1122/F1119</f>
        <v>0.65</v>
      </c>
      <c r="G1123" s="14" t="n">
        <f aca="false">G1122/G1119</f>
        <v>0.65</v>
      </c>
    </row>
    <row r="1124" customFormat="false" ht="17.15" hidden="false" customHeight="false" outlineLevel="0" collapsed="false">
      <c r="A1124" s="3" t="s">
        <v>652</v>
      </c>
      <c r="B1124" s="3" t="s">
        <v>233</v>
      </c>
      <c r="C1124" s="27" t="n">
        <f aca="false">a25_sh</f>
        <v>0.493425783256292</v>
      </c>
      <c r="D1124" s="27" t="n">
        <f aca="false">a26_sh</f>
        <v>0.512980850061958</v>
      </c>
      <c r="E1124" s="27" t="n">
        <f aca="false">sh_h2*(1+sh_g)</f>
        <v>0.51889356</v>
      </c>
      <c r="F1124" s="27" t="n">
        <f aca="false">E1124*(1+sh_g)</f>
        <v>0.5240824956</v>
      </c>
      <c r="G1124" s="27" t="n">
        <f aca="false">F1124*(1+sh_g)</f>
        <v>0.529323320556</v>
      </c>
      <c r="H1124" s="29" t="n">
        <f aca="false">G1124*(1+sh_g)</f>
        <v>0.53461655376156</v>
      </c>
      <c r="I1124" s="29" t="n">
        <f aca="false">H1124*(1+sh_g)</f>
        <v>0.539962719299176</v>
      </c>
      <c r="J1124" s="29" t="n">
        <f aca="false">I1124*(1+sh_g)</f>
        <v>0.545362346492167</v>
      </c>
      <c r="K1124" s="7" t="s">
        <v>653</v>
      </c>
    </row>
    <row r="1125" customFormat="false" ht="15" hidden="false" customHeight="false" outlineLevel="0" collapsed="false">
      <c r="A1125" s="0" t="s">
        <v>526</v>
      </c>
      <c r="B1125" s="0" t="s">
        <v>271</v>
      </c>
      <c r="C1125" s="23" t="n">
        <f aca="false">C1122/C1124</f>
        <v>19.47</v>
      </c>
      <c r="D1125" s="23" t="n">
        <f aca="false">D1122/D1124</f>
        <v>38.3985658278458</v>
      </c>
      <c r="E1125" s="23" t="n">
        <f aca="false">E1122/E1124</f>
        <v>57.0776134609379</v>
      </c>
      <c r="F1125" s="23" t="n">
        <f aca="false">F1122/F1124</f>
        <v>72.6496640407093</v>
      </c>
      <c r="G1125" s="23" t="n">
        <f aca="false">G1122/G1124</f>
        <v>83.2355069132915</v>
      </c>
      <c r="H1125" s="30" t="n">
        <f aca="false">H1122/H1124</f>
        <v>88.4455210639661</v>
      </c>
      <c r="I1125" s="30" t="n">
        <f aca="false">I1122/I1124</f>
        <v>90.046371077775</v>
      </c>
      <c r="J1125" s="30" t="n">
        <f aca="false">J1122/J1124</f>
        <v>87.6640860103551</v>
      </c>
    </row>
    <row r="1126" customFormat="false" ht="17.15" hidden="false" customHeight="false" outlineLevel="0" collapsed="false">
      <c r="A1126" s="0" t="s">
        <v>654</v>
      </c>
      <c r="B1126" s="0" t="s">
        <v>55</v>
      </c>
      <c r="D1126" s="14" t="n">
        <f aca="false">D1125/C1125-1</f>
        <v>0.9721913624985</v>
      </c>
      <c r="E1126" s="14" t="n">
        <f aca="false">E1125/D1125-1</f>
        <v>0.486451700223306</v>
      </c>
      <c r="F1126" s="14" t="n">
        <f aca="false">F1125/E1125-1</f>
        <v>0.272822384040782</v>
      </c>
      <c r="G1126" s="14" t="n">
        <f aca="false">G1125/F1125-1</f>
        <v>0.145710830357735</v>
      </c>
      <c r="H1126" s="25" t="n">
        <f aca="false">H1125/G1125-1</f>
        <v>0.0625936495599417</v>
      </c>
      <c r="I1126" s="25" t="n">
        <f aca="false">I1125/H1125-1</f>
        <v>0.0180998426438239</v>
      </c>
      <c r="J1126" s="25" t="n">
        <f aca="false">J1125/I1125-1</f>
        <v>-0.0264562029419516</v>
      </c>
    </row>
    <row r="1127" customFormat="false" ht="17.15" hidden="false" customHeight="false" outlineLevel="0" collapsed="false">
      <c r="A1127" s="3" t="s">
        <v>655</v>
      </c>
      <c r="B1127" s="0" t="s">
        <v>55</v>
      </c>
      <c r="C1127" s="14" t="n">
        <f aca="false">C1122/C1099</f>
        <v>0.160105992933804</v>
      </c>
      <c r="D1127" s="14" t="n">
        <f aca="false">D1122/D1099</f>
        <v>0.186872140996471</v>
      </c>
      <c r="E1127" s="14" t="n">
        <f aca="false">E1122/E1099</f>
        <v>0.193778008831</v>
      </c>
      <c r="F1127" s="14" t="n">
        <f aca="false">F1122/F1099</f>
        <v>0.195991092630338</v>
      </c>
      <c r="G1127" s="14" t="n">
        <f aca="false">G1122/G1099</f>
        <v>0.193331389339137</v>
      </c>
      <c r="H1127" s="25" t="n">
        <f aca="false">$G1127+(fade_mB-$G1127)*1/3</f>
        <v>0.183824271716245</v>
      </c>
      <c r="I1127" s="25" t="n">
        <f aca="false">$G1127+(fade_mB-$G1127)*2/3</f>
        <v>0.174317154093353</v>
      </c>
      <c r="J1127" s="25" t="n">
        <f aca="false">$G1127+(fade_mB-$G1127)*3/3</f>
        <v>0.164810036470462</v>
      </c>
    </row>
    <row r="1130" customFormat="false" ht="17.15" hidden="false" customHeight="false" outlineLevel="0" collapsed="false">
      <c r="A1130" s="1" t="s">
        <v>1010</v>
      </c>
    </row>
    <row r="1131" customFormat="false" ht="17.15" hidden="false" customHeight="false" outlineLevel="0" collapsed="false">
      <c r="A1131" s="4" t="s">
        <v>24</v>
      </c>
      <c r="B1131" s="4" t="s">
        <v>25</v>
      </c>
      <c r="C1131" s="15" t="s">
        <v>494</v>
      </c>
      <c r="D1131" s="15" t="s">
        <v>583</v>
      </c>
      <c r="E1131" s="15" t="s">
        <v>584</v>
      </c>
      <c r="F1131" s="15" t="s">
        <v>585</v>
      </c>
      <c r="G1131" s="15" t="s">
        <v>586</v>
      </c>
      <c r="H1131" s="15" t="s">
        <v>587</v>
      </c>
      <c r="I1131" s="15" t="s">
        <v>588</v>
      </c>
      <c r="J1131" s="15" t="s">
        <v>589</v>
      </c>
      <c r="K1131" s="4" t="s">
        <v>458</v>
      </c>
    </row>
    <row r="1132" customFormat="false" ht="17.15" hidden="false" customHeight="false" outlineLevel="0" collapsed="false">
      <c r="A1132" s="5" t="s">
        <v>605</v>
      </c>
    </row>
    <row r="1133" customFormat="false" ht="17.15" hidden="false" customHeight="false" outlineLevel="0" collapsed="false">
      <c r="A1133" s="0" t="s">
        <v>606</v>
      </c>
      <c r="B1133" s="0" t="s">
        <v>35</v>
      </c>
      <c r="D1133" s="23" t="n">
        <f aca="false">itc_26*1</f>
        <v>781.872916666666</v>
      </c>
      <c r="E1133" s="23" t="n">
        <f aca="false">itc_27*1*1</f>
        <v>1565.35</v>
      </c>
      <c r="F1133" s="23" t="n">
        <f aca="false">itc_28*um28_B*1</f>
        <v>1587.41111111111</v>
      </c>
      <c r="G1133" s="23" t="n">
        <f aca="false">itc_29*um29_B*1</f>
        <v>1921.33173611111</v>
      </c>
    </row>
    <row r="1134" customFormat="false" ht="17.15" hidden="false" customHeight="false" outlineLevel="0" collapsed="false">
      <c r="A1134" s="3" t="s">
        <v>607</v>
      </c>
      <c r="B1134" s="0" t="s">
        <v>35</v>
      </c>
      <c r="D1134" s="23" t="n">
        <f aca="false">itpg_gb*(1-vr26)+itpg_vr*vr26</f>
        <v>33.41403216</v>
      </c>
      <c r="E1134" s="23" t="n">
        <f aca="false">itpg_vr</f>
        <v>37.586352</v>
      </c>
      <c r="F1134" s="23" t="n">
        <f aca="false">itpg_vr</f>
        <v>37.586352</v>
      </c>
      <c r="G1134" s="23" t="n">
        <f aca="false">itpg_vr</f>
        <v>37.586352</v>
      </c>
    </row>
    <row r="1135" customFormat="false" ht="17.15" hidden="false" customHeight="false" outlineLevel="0" collapsed="false">
      <c r="A1135" s="3" t="s">
        <v>608</v>
      </c>
      <c r="B1135" s="0" t="s">
        <v>549</v>
      </c>
      <c r="D1135" s="20" t="n">
        <f aca="false">D1133/D1134</f>
        <v>23.3995380420639</v>
      </c>
      <c r="E1135" s="20" t="n">
        <f aca="false">E1133/E1134</f>
        <v>41.6467658260637</v>
      </c>
      <c r="F1135" s="20" t="n">
        <f aca="false">F1133/F1134</f>
        <v>42.2337105529984</v>
      </c>
      <c r="G1135" s="20" t="n">
        <f aca="false">G1133/G1134</f>
        <v>51.1178029756948</v>
      </c>
    </row>
    <row r="1136" customFormat="false" ht="17.15" hidden="false" customHeight="false" outlineLevel="0" collapsed="false">
      <c r="A1136" s="3" t="s">
        <v>553</v>
      </c>
      <c r="B1136" s="0" t="s">
        <v>96</v>
      </c>
      <c r="D1136" s="21" t="n">
        <f aca="false">vg_cmp26</f>
        <v>280</v>
      </c>
      <c r="E1136" s="21" t="n">
        <f aca="false">(vg_cmp26+(vg_cmp27-vg_cmp26)*pgwf)</f>
        <v>420</v>
      </c>
      <c r="F1136" s="21" t="n">
        <f aca="false">(vg_cmp26+(vg_cmp28-vg_cmp26)*pgwf)</f>
        <v>462</v>
      </c>
      <c r="G1136" s="21" t="n">
        <f aca="false">(vg_cmp26+(vg_cmp29-vg_cmp26)*pgwf)</f>
        <v>504</v>
      </c>
    </row>
    <row r="1137" customFormat="false" ht="17.15" hidden="false" customHeight="false" outlineLevel="0" collapsed="false">
      <c r="A1137" s="3" t="s">
        <v>555</v>
      </c>
      <c r="B1137" s="0" t="s">
        <v>96</v>
      </c>
      <c r="D1137" s="21" t="n">
        <f aca="false">vg_sw26</f>
        <v>120</v>
      </c>
      <c r="E1137" s="21" t="n">
        <f aca="false">(vg_sw26+(vg_sw27-vg_sw26)*pgwf)</f>
        <v>162</v>
      </c>
      <c r="F1137" s="21" t="n">
        <f aca="false">(vg_sw26+(vg_sw28-vg_sw26)*pgwf)</f>
        <v>180</v>
      </c>
      <c r="G1137" s="21" t="n">
        <f aca="false">(vg_sw26+(vg_sw29-vg_sw26)*pgwf)</f>
        <v>198</v>
      </c>
    </row>
    <row r="1138" customFormat="false" ht="17.15" hidden="false" customHeight="false" outlineLevel="0" collapsed="false">
      <c r="A1138" s="3" t="s">
        <v>609</v>
      </c>
      <c r="B1138" s="0" t="s">
        <v>96</v>
      </c>
      <c r="D1138" s="21" t="n">
        <f aca="false">vg_mid26*w_mid</f>
        <v>25</v>
      </c>
      <c r="E1138" s="21" t="n">
        <f aca="false">(vg_mid26+(vg_mid27-vg_mid26)*pgwf)*w_mid</f>
        <v>50</v>
      </c>
      <c r="F1138" s="21" t="n">
        <f aca="false">(vg_mid26+(vg_mid28-vg_mid26)*pgwf)*w_mid</f>
        <v>75</v>
      </c>
      <c r="G1138" s="21" t="n">
        <f aca="false">(vg_mid26+(vg_mid29-vg_mid26)*pgwf)*w_mid</f>
        <v>87.5</v>
      </c>
    </row>
    <row r="1139" customFormat="false" ht="17.15" hidden="false" customHeight="false" outlineLevel="0" collapsed="false">
      <c r="A1139" s="3" t="s">
        <v>610</v>
      </c>
      <c r="B1139" s="0" t="s">
        <v>96</v>
      </c>
      <c r="D1139" s="21" t="n">
        <f aca="false">D1136+D1137+D1138</f>
        <v>425</v>
      </c>
      <c r="E1139" s="21" t="n">
        <f aca="false">E1136+E1137+E1138</f>
        <v>632</v>
      </c>
      <c r="F1139" s="21" t="n">
        <f aca="false">F1136+F1137+F1138</f>
        <v>717</v>
      </c>
      <c r="G1139" s="21" t="n">
        <f aca="false">G1136+G1137+G1138</f>
        <v>789.5</v>
      </c>
    </row>
    <row r="1140" customFormat="false" ht="17.15" hidden="false" customHeight="false" outlineLevel="0" collapsed="false">
      <c r="A1140" s="3" t="s">
        <v>611</v>
      </c>
      <c r="B1140" s="0" t="s">
        <v>35</v>
      </c>
      <c r="D1140" s="23" t="n">
        <f aca="false">D1135*D1139/1000</f>
        <v>9.94480366787715</v>
      </c>
      <c r="E1140" s="23" t="n">
        <f aca="false">E1135*E1139/1000</f>
        <v>26.3207560020722</v>
      </c>
      <c r="F1140" s="23" t="n">
        <f aca="false">F1135*F1139/1000</f>
        <v>30.2815704664998</v>
      </c>
      <c r="G1140" s="23" t="n">
        <f aca="false">G1135*G1139/1000</f>
        <v>40.3575054493111</v>
      </c>
    </row>
    <row r="1141" customFormat="false" ht="17.15" hidden="false" customHeight="false" outlineLevel="0" collapsed="false">
      <c r="A1141" s="3" t="s">
        <v>612</v>
      </c>
      <c r="B1141" s="0" t="s">
        <v>203</v>
      </c>
      <c r="D1141" s="22" t="n">
        <f aca="false">D1140*fx</f>
        <v>318.233717372069</v>
      </c>
      <c r="E1141" s="22" t="n">
        <f aca="false">E1140*fx</f>
        <v>842.264192066312</v>
      </c>
      <c r="F1141" s="22" t="n">
        <f aca="false">F1140*fx</f>
        <v>969.010254927995</v>
      </c>
      <c r="G1141" s="22" t="n">
        <f aca="false">G1140*fx</f>
        <v>1291.44017437795</v>
      </c>
    </row>
    <row r="1142" customFormat="false" ht="17.15" hidden="false" customHeight="false" outlineLevel="0" collapsed="false">
      <c r="A1142" s="0" t="s">
        <v>613</v>
      </c>
      <c r="B1142" s="0" t="s">
        <v>69</v>
      </c>
      <c r="D1142" s="18" t="n">
        <f aca="false">1</f>
        <v>1</v>
      </c>
      <c r="E1142" s="18" t="n">
        <f aca="false">pp_27</f>
        <v>1</v>
      </c>
      <c r="F1142" s="18" t="n">
        <f aca="false">pp_28</f>
        <v>0.97</v>
      </c>
      <c r="G1142" s="18" t="n">
        <f aca="false">pp_29</f>
        <v>0.94</v>
      </c>
    </row>
    <row r="1143" customFormat="false" ht="17.15" hidden="false" customHeight="false" outlineLevel="0" collapsed="false">
      <c r="A1143" s="3" t="s">
        <v>614</v>
      </c>
      <c r="B1143" s="0" t="s">
        <v>55</v>
      </c>
      <c r="D1143" s="14" t="n">
        <f aca="false">a26_ai/D1141</f>
        <v>0.172842024579347</v>
      </c>
      <c r="K1143" s="7" t="s">
        <v>615</v>
      </c>
    </row>
    <row r="1144" customFormat="false" ht="17.15" hidden="false" customHeight="false" outlineLevel="0" collapsed="false">
      <c r="A1144" s="3" t="s">
        <v>616</v>
      </c>
      <c r="B1144" s="0" t="s">
        <v>69</v>
      </c>
      <c r="D1144" s="18" t="n">
        <f aca="false">1</f>
        <v>1</v>
      </c>
      <c r="E1144" s="18" t="n">
        <f aca="false">rel_27</f>
        <v>1</v>
      </c>
      <c r="F1144" s="18" t="n">
        <f aca="false">rel_28</f>
        <v>0.95</v>
      </c>
      <c r="G1144" s="18" t="n">
        <f aca="false">rel_29</f>
        <v>0.9</v>
      </c>
    </row>
    <row r="1145" customFormat="false" ht="15" hidden="false" customHeight="false" outlineLevel="0" collapsed="false">
      <c r="A1145" s="3" t="s">
        <v>565</v>
      </c>
      <c r="B1145" s="0" t="s">
        <v>55</v>
      </c>
      <c r="D1145" s="14" t="n">
        <f aca="false">$D$1143*D1144</f>
        <v>0.172842024579347</v>
      </c>
      <c r="E1145" s="14" t="n">
        <f aca="false">$D$1143*E1144</f>
        <v>0.172842024579347</v>
      </c>
      <c r="F1145" s="14" t="n">
        <f aca="false">$D$1143*F1144</f>
        <v>0.164199923350379</v>
      </c>
      <c r="G1145" s="14" t="n">
        <f aca="false">$D$1143*G1144</f>
        <v>0.155557822121412</v>
      </c>
    </row>
    <row r="1146" customFormat="false" ht="17.15" hidden="false" customHeight="false" outlineLevel="0" collapsed="false">
      <c r="A1146" s="0" t="s">
        <v>617</v>
      </c>
      <c r="B1146" s="0" t="s">
        <v>203</v>
      </c>
      <c r="D1146" s="22" t="n">
        <f aca="false">D1141*D1145*D1142</f>
        <v>55.00416</v>
      </c>
      <c r="E1146" s="22" t="n">
        <f aca="false">E1141*E1145*E1142</f>
        <v>145.578648187429</v>
      </c>
      <c r="F1146" s="22" t="n">
        <f aca="false">F1141*F1145*F1142</f>
        <v>154.338067297361</v>
      </c>
      <c r="G1146" s="22" t="n">
        <f aca="false">G1141*G1145*G1142</f>
        <v>188.840003670751</v>
      </c>
    </row>
    <row r="1147" customFormat="false" ht="17.15" hidden="false" customHeight="false" outlineLevel="0" collapsed="false">
      <c r="A1147" s="5" t="s">
        <v>618</v>
      </c>
    </row>
    <row r="1148" customFormat="false" ht="17.15" hidden="false" customHeight="false" outlineLevel="0" collapsed="false">
      <c r="A1148" s="3" t="s">
        <v>619</v>
      </c>
      <c r="B1148" s="0" t="s">
        <v>69</v>
      </c>
      <c r="D1148" s="18" t="n">
        <f aca="false">1</f>
        <v>1</v>
      </c>
      <c r="E1148" s="18" t="n">
        <f aca="false">cx_27</f>
        <v>1.45</v>
      </c>
      <c r="F1148" s="18" t="n">
        <f aca="false">cx_28</f>
        <v>1.9</v>
      </c>
      <c r="G1148" s="18" t="n">
        <f aca="false">cx_29</f>
        <v>2.3</v>
      </c>
      <c r="K1148" s="7" t="s">
        <v>620</v>
      </c>
    </row>
    <row r="1149" customFormat="false" ht="17.15" hidden="false" customHeight="false" outlineLevel="0" collapsed="false">
      <c r="A1149" s="3" t="s">
        <v>621</v>
      </c>
      <c r="B1149" s="0" t="s">
        <v>203</v>
      </c>
      <c r="D1149" s="22" t="n">
        <f aca="false">a26_rev*D1148*D1142</f>
        <v>105.40752</v>
      </c>
      <c r="E1149" s="22" t="n">
        <f aca="false">a26_rev*E1148*E1142</f>
        <v>152.840904</v>
      </c>
      <c r="F1149" s="22" t="n">
        <f aca="false">a26_rev*F1148*F1142</f>
        <v>194.26605936</v>
      </c>
      <c r="G1149" s="22" t="n">
        <f aca="false">a26_rev*G1148*G1142</f>
        <v>227.89105824</v>
      </c>
    </row>
    <row r="1150" customFormat="false" ht="17.15" hidden="false" customHeight="false" outlineLevel="0" collapsed="false">
      <c r="A1150" s="3" t="s">
        <v>622</v>
      </c>
      <c r="B1150" s="0" t="s">
        <v>203</v>
      </c>
      <c r="C1150" s="22" t="n">
        <f aca="false">a25_nai</f>
        <v>42.0028</v>
      </c>
      <c r="D1150" s="22" t="n">
        <f aca="false">a26_nai</f>
        <v>50.40336</v>
      </c>
      <c r="E1150" s="22" t="n">
        <f aca="false">D1150*(1+g_nai27)</f>
        <v>52.923528</v>
      </c>
      <c r="F1150" s="22" t="n">
        <f aca="false">E1150*(1+g_nai28)</f>
        <v>54.51123384</v>
      </c>
      <c r="G1150" s="22" t="n">
        <f aca="false">F1150*(1+g_nai29)</f>
        <v>56.1465708552</v>
      </c>
    </row>
    <row r="1151" customFormat="false" ht="17.15" hidden="false" customHeight="false" outlineLevel="0" collapsed="false">
      <c r="A1151" s="0" t="s">
        <v>623</v>
      </c>
      <c r="B1151" s="0" t="s">
        <v>203</v>
      </c>
      <c r="C1151" s="22" t="n">
        <f aca="false">a25_ai</f>
        <v>18.0012</v>
      </c>
      <c r="D1151" s="22" t="n">
        <f aca="false">D1146</f>
        <v>55.00416</v>
      </c>
      <c r="E1151" s="22" t="n">
        <f aca="false">MIN(E1146,E1149-E1150)</f>
        <v>99.917376</v>
      </c>
      <c r="F1151" s="22" t="n">
        <f aca="false">MIN(F1146,F1149-F1150)</f>
        <v>139.75482552</v>
      </c>
      <c r="G1151" s="22" t="n">
        <f aca="false">MIN(G1146,G1149-G1150)</f>
        <v>171.7444873848</v>
      </c>
      <c r="K1151" s="3" t="s">
        <v>624</v>
      </c>
    </row>
    <row r="1152" customFormat="false" ht="15" hidden="false" customHeight="false" outlineLevel="0" collapsed="false">
      <c r="A1152" s="3" t="s">
        <v>625</v>
      </c>
      <c r="E1152" s="0" t="str">
        <f aca="false">IF(E1146&gt;E1149-E1150+0.0001,"受限","未受限")</f>
        <v>受限</v>
      </c>
      <c r="F1152" s="0" t="str">
        <f aca="false">IF(F1146&gt;F1149-F1150+0.0001,"受限","未受限")</f>
        <v>受限</v>
      </c>
      <c r="G1152" s="0" t="str">
        <f aca="false">IF(G1146&gt;G1149-G1150+0.0001,"受限","未受限")</f>
        <v>受限</v>
      </c>
    </row>
    <row r="1153" customFormat="false" ht="17.15" hidden="false" customHeight="false" outlineLevel="0" collapsed="false">
      <c r="A1153" s="3" t="s">
        <v>499</v>
      </c>
      <c r="B1153" s="0" t="s">
        <v>203</v>
      </c>
      <c r="C1153" s="22" t="n">
        <f aca="false">C1151+C1150</f>
        <v>60.004</v>
      </c>
      <c r="D1153" s="22" t="n">
        <f aca="false">D1151+D1150</f>
        <v>105.40752</v>
      </c>
      <c r="E1153" s="22" t="n">
        <f aca="false">E1151+E1150</f>
        <v>152.840904</v>
      </c>
      <c r="F1153" s="22" t="n">
        <f aca="false">F1151+F1150</f>
        <v>194.26605936</v>
      </c>
      <c r="G1153" s="22" t="n">
        <f aca="false">G1151+G1150</f>
        <v>227.89105824</v>
      </c>
      <c r="H1153" s="24" t="n">
        <f aca="false">G1153*(1+H1154)</f>
        <v>257.226313072804</v>
      </c>
      <c r="I1153" s="24" t="n">
        <f aca="false">H1153*(1+I1154)</f>
        <v>278.92655569709</v>
      </c>
      <c r="J1153" s="24" t="n">
        <f aca="false">I1153*(1+J1154)</f>
        <v>290.083617924974</v>
      </c>
      <c r="K1153" s="7" t="s">
        <v>626</v>
      </c>
    </row>
    <row r="1154" customFormat="false" ht="15" hidden="false" customHeight="false" outlineLevel="0" collapsed="false">
      <c r="A1154" s="3" t="s">
        <v>627</v>
      </c>
      <c r="B1154" s="0" t="s">
        <v>55</v>
      </c>
      <c r="D1154" s="14" t="n">
        <f aca="false">D1153/C1153-1</f>
        <v>0.756674888340778</v>
      </c>
      <c r="E1154" s="14" t="n">
        <f aca="false">E1153/D1153-1</f>
        <v>0.45</v>
      </c>
      <c r="F1154" s="14" t="n">
        <f aca="false">F1153/E1153-1</f>
        <v>0.271034482758621</v>
      </c>
      <c r="G1154" s="14" t="n">
        <f aca="false">G1153/F1153-1</f>
        <v>0.173087357569181</v>
      </c>
      <c r="H1154" s="25" t="n">
        <f aca="false">$G1154+(fade_gB-$G1154)*1/3</f>
        <v>0.12872490504612</v>
      </c>
      <c r="I1154" s="25" t="n">
        <f aca="false">$G1154+(fade_gB-$G1154)*2/3</f>
        <v>0.0843624525230602</v>
      </c>
      <c r="J1154" s="25" t="n">
        <f aca="false">$G1154+(fade_gB-$G1154)*3/3</f>
        <v>0.04</v>
      </c>
    </row>
    <row r="1155" customFormat="false" ht="17.15" hidden="false" customHeight="false" outlineLevel="0" collapsed="false">
      <c r="A1155" s="3" t="s">
        <v>628</v>
      </c>
      <c r="B1155" s="0" t="s">
        <v>203</v>
      </c>
      <c r="D1155" s="22" t="n">
        <f aca="false">D1151*(D1136+D1138)/D1139</f>
        <v>39.4735736470588</v>
      </c>
      <c r="E1155" s="22" t="n">
        <f aca="false">E1151*(E1136+E1138)/E1139</f>
        <v>74.3056435443038</v>
      </c>
      <c r="F1155" s="22" t="n">
        <f aca="false">F1151*(F1136+F1138)/F1139</f>
        <v>104.669932084017</v>
      </c>
      <c r="G1155" s="22" t="n">
        <f aca="false">G1151*(G1136+G1138)/G1139</f>
        <v>128.672405684749</v>
      </c>
      <c r="K1155" s="7" t="s">
        <v>629</v>
      </c>
    </row>
    <row r="1156" customFormat="false" ht="17.15" hidden="false" customHeight="false" outlineLevel="0" collapsed="false">
      <c r="A1156" s="3" t="s">
        <v>630</v>
      </c>
      <c r="B1156" s="0" t="s">
        <v>203</v>
      </c>
      <c r="D1156" s="22" t="n">
        <f aca="false">D1151*D1137/D1139</f>
        <v>15.5305863529412</v>
      </c>
      <c r="E1156" s="22" t="n">
        <f aca="false">E1151*E1137/E1139</f>
        <v>25.6117324556962</v>
      </c>
      <c r="F1156" s="22" t="n">
        <f aca="false">F1151*F1137/F1139</f>
        <v>35.0848934359833</v>
      </c>
      <c r="G1156" s="22" t="n">
        <f aca="false">G1151*G1137/G1139</f>
        <v>43.0720817000512</v>
      </c>
    </row>
    <row r="1157" customFormat="false" ht="17.15" hidden="false" customHeight="false" outlineLevel="0" collapsed="false">
      <c r="A1157" s="3" t="s">
        <v>631</v>
      </c>
      <c r="B1157" s="0" t="s">
        <v>203</v>
      </c>
      <c r="D1157" s="22" t="n">
        <f aca="false">srv26*D1153-D1155</f>
        <v>42.7442919529412</v>
      </c>
      <c r="E1157" s="22" t="n">
        <f aca="false">E1150*$D1157/$D1150</f>
        <v>44.8815065505883</v>
      </c>
      <c r="F1157" s="22" t="n">
        <f aca="false">F1150*$D1157/$D1150</f>
        <v>46.2279517471059</v>
      </c>
      <c r="G1157" s="22" t="n">
        <f aca="false">G1150*$D1157/$D1150</f>
        <v>47.6147902995191</v>
      </c>
      <c r="K1157" s="7" t="s">
        <v>632</v>
      </c>
    </row>
    <row r="1158" customFormat="false" ht="17.15" hidden="false" customHeight="false" outlineLevel="0" collapsed="false">
      <c r="A1158" s="3" t="s">
        <v>633</v>
      </c>
      <c r="B1158" s="0" t="s">
        <v>203</v>
      </c>
      <c r="D1158" s="22" t="n">
        <f aca="false">net26*D1153-D1156</f>
        <v>0.28054164705882</v>
      </c>
      <c r="E1158" s="22" t="n">
        <f aca="false">E1150*$D1158/$D1150</f>
        <v>0.294568729411761</v>
      </c>
      <c r="F1158" s="22" t="n">
        <f aca="false">F1150*$D1158/$D1150</f>
        <v>0.303405791294114</v>
      </c>
      <c r="G1158" s="22" t="n">
        <f aca="false">G1150*$D1158/$D1150</f>
        <v>0.312507965032938</v>
      </c>
    </row>
    <row r="1159" customFormat="false" ht="17.15" hidden="false" customHeight="false" outlineLevel="0" collapsed="false">
      <c r="A1159" s="3" t="s">
        <v>634</v>
      </c>
      <c r="B1159" s="0" t="s">
        <v>203</v>
      </c>
      <c r="C1159" s="22" t="n">
        <f aca="false">srv25*C1153</f>
        <v>48.0032</v>
      </c>
      <c r="D1159" s="22" t="n">
        <f aca="false">D1155+D1157</f>
        <v>82.2178656</v>
      </c>
      <c r="E1159" s="22" t="n">
        <f aca="false">E1155+E1157</f>
        <v>119.187150094892</v>
      </c>
      <c r="F1159" s="22" t="n">
        <f aca="false">F1155+F1157</f>
        <v>150.897883831123</v>
      </c>
      <c r="G1159" s="22" t="n">
        <f aca="false">G1155+G1157</f>
        <v>176.287195984268</v>
      </c>
      <c r="K1159" s="3" t="s">
        <v>635</v>
      </c>
    </row>
    <row r="1160" customFormat="false" ht="15" hidden="false" customHeight="false" outlineLevel="0" collapsed="false">
      <c r="A1160" s="3" t="s">
        <v>636</v>
      </c>
      <c r="B1160" s="0" t="s">
        <v>203</v>
      </c>
      <c r="C1160" s="22" t="n">
        <f aca="false">net25*C1153</f>
        <v>6.0004</v>
      </c>
      <c r="D1160" s="22" t="n">
        <f aca="false">D1156+D1158</f>
        <v>15.811128</v>
      </c>
      <c r="E1160" s="22" t="n">
        <f aca="false">E1156+E1158</f>
        <v>25.906301185108</v>
      </c>
      <c r="F1160" s="22" t="n">
        <f aca="false">F1156+F1158</f>
        <v>35.3882992272774</v>
      </c>
      <c r="G1160" s="22" t="n">
        <f aca="false">G1156+G1158</f>
        <v>43.3845896650841</v>
      </c>
      <c r="K1160" s="3" t="s">
        <v>637</v>
      </c>
    </row>
    <row r="1161" customFormat="false" ht="15" hidden="false" customHeight="false" outlineLevel="0" collapsed="false">
      <c r="A1161" s="3" t="s">
        <v>638</v>
      </c>
      <c r="B1161" s="0" t="s">
        <v>203</v>
      </c>
      <c r="C1161" s="22" t="n">
        <f aca="false">C1153-C1159-C1160</f>
        <v>6.0004</v>
      </c>
      <c r="D1161" s="22" t="n">
        <f aca="false">D1153-D1159-D1160</f>
        <v>7.3785264</v>
      </c>
      <c r="E1161" s="22" t="n">
        <f aca="false">E1153-E1159-E1160</f>
        <v>7.74745271999998</v>
      </c>
      <c r="F1161" s="22" t="n">
        <f aca="false">F1153-F1159-F1160</f>
        <v>7.9798763016</v>
      </c>
      <c r="G1161" s="22" t="n">
        <f aca="false">G1153-G1159-G1160</f>
        <v>8.21927259064798</v>
      </c>
      <c r="K1161" s="3" t="s">
        <v>639</v>
      </c>
    </row>
    <row r="1162" customFormat="false" ht="17.15" hidden="false" customHeight="false" outlineLevel="0" collapsed="false">
      <c r="A1162" s="3" t="s">
        <v>640</v>
      </c>
      <c r="B1162" s="0" t="s">
        <v>203</v>
      </c>
      <c r="C1162" s="28" t="n">
        <f aca="false">C1159+C1160+C1161-C1153</f>
        <v>0</v>
      </c>
      <c r="D1162" s="28" t="n">
        <f aca="false">ROUND(D1157+D1158+D1161-D1150,9)</f>
        <v>0</v>
      </c>
      <c r="E1162" s="28" t="n">
        <f aca="false">ROUND(E1157+E1158+E1161-E1150,9)</f>
        <v>0</v>
      </c>
      <c r="F1162" s="28" t="n">
        <f aca="false">ROUND(F1157+F1158+F1161-F1150,9)</f>
        <v>0</v>
      </c>
      <c r="G1162" s="28" t="n">
        <f aca="false">ROUND(G1157+G1158+G1161-G1150,9)</f>
        <v>0</v>
      </c>
    </row>
    <row r="1163" customFormat="false" ht="17.15" hidden="false" customHeight="false" outlineLevel="0" collapsed="false">
      <c r="A1163" s="0" t="s">
        <v>641</v>
      </c>
      <c r="B1163" s="0" t="s">
        <v>55</v>
      </c>
      <c r="C1163" s="14" t="n">
        <f aca="false">C1151/C1153</f>
        <v>0.3</v>
      </c>
      <c r="D1163" s="14" t="n">
        <f aca="false">D1151/D1153</f>
        <v>0.521823869871903</v>
      </c>
      <c r="E1163" s="14" t="n">
        <f aca="false">E1151/E1153</f>
        <v>0.653734526458964</v>
      </c>
      <c r="F1163" s="14" t="n">
        <f aca="false">F1151/F1153</f>
        <v>0.71939908587437</v>
      </c>
      <c r="G1163" s="14" t="n">
        <f aca="false">G1151/G1153</f>
        <v>0.753625388864226</v>
      </c>
    </row>
    <row r="1164" customFormat="false" ht="17.15" hidden="false" customHeight="false" outlineLevel="0" collapsed="false">
      <c r="A1164" s="3" t="s">
        <v>642</v>
      </c>
      <c r="B1164" s="0" t="s">
        <v>55</v>
      </c>
      <c r="D1164" s="14" t="n">
        <f aca="false">(D1146+D1150)/D1149</f>
        <v>1</v>
      </c>
      <c r="E1164" s="14" t="n">
        <f aca="false">(E1146+E1150)/E1149</f>
        <v>1.29875034099137</v>
      </c>
      <c r="F1164" s="14" t="n">
        <f aca="false">(F1146+F1150)/F1149</f>
        <v>1.07506839756468</v>
      </c>
      <c r="G1164" s="14" t="n">
        <f aca="false">(G1146+G1150)/G1149</f>
        <v>1.07501617842306</v>
      </c>
      <c r="K1164" s="3" t="s">
        <v>643</v>
      </c>
    </row>
    <row r="1165" customFormat="false" ht="17.15" hidden="false" customHeight="false" outlineLevel="0" collapsed="false">
      <c r="A1165" s="3" t="s">
        <v>569</v>
      </c>
      <c r="B1165" s="0" t="s">
        <v>96</v>
      </c>
      <c r="D1165" s="21" t="n">
        <f aca="false">D1151/fx/D1135*1000</f>
        <v>73.4578604462224</v>
      </c>
      <c r="E1165" s="21" t="n">
        <f aca="false">E1151/fx/E1135*1000</f>
        <v>74.9738410190283</v>
      </c>
      <c r="F1165" s="21" t="n">
        <f aca="false">F1151/fx/F1135*1000</f>
        <v>103.408822959553</v>
      </c>
      <c r="G1165" s="21" t="n">
        <f aca="false">G1151/fx/G1135*1000</f>
        <v>104.993073222002</v>
      </c>
    </row>
    <row r="1166" customFormat="false" ht="17.15" hidden="false" customHeight="false" outlineLevel="0" collapsed="false">
      <c r="A1166" s="5" t="s">
        <v>644</v>
      </c>
    </row>
    <row r="1167" customFormat="false" ht="17.15" hidden="false" customHeight="false" outlineLevel="0" collapsed="false">
      <c r="A1167" s="3" t="s">
        <v>645</v>
      </c>
      <c r="B1167" s="0" t="s">
        <v>55</v>
      </c>
      <c r="D1167" s="14" t="n">
        <f aca="false">a26_gp/D1153-d_ai*D1163</f>
        <v>0.296655205435058</v>
      </c>
      <c r="K1167" s="7" t="s">
        <v>646</v>
      </c>
    </row>
    <row r="1168" customFormat="false" ht="17.15" hidden="false" customHeight="false" outlineLevel="0" collapsed="false">
      <c r="A1168" s="0" t="s">
        <v>647</v>
      </c>
      <c r="B1168" s="0" t="s">
        <v>55</v>
      </c>
      <c r="D1168" s="14" t="n">
        <f aca="false">D1167+d_ai</f>
        <v>0.396655205435058</v>
      </c>
      <c r="E1168" s="14" t="n">
        <f aca="false">1-(1-$D$1168)/E1142+gmu_27</f>
        <v>0.406655205435058</v>
      </c>
      <c r="F1168" s="14" t="n">
        <f aca="false">1-(1-$D$1168)/F1142+gmu_28</f>
        <v>0.392995057149545</v>
      </c>
      <c r="G1168" s="14" t="n">
        <f aca="false">1-(1-$D$1168)/G1142+gmu_29</f>
        <v>0.378143835569211</v>
      </c>
      <c r="K1168" s="7" t="s">
        <v>648</v>
      </c>
    </row>
    <row r="1169" customFormat="false" ht="15" hidden="false" customHeight="false" outlineLevel="0" collapsed="false">
      <c r="A1169" s="3" t="s">
        <v>503</v>
      </c>
      <c r="B1169" s="0" t="s">
        <v>203</v>
      </c>
      <c r="C1169" s="22" t="n">
        <f aca="false">a25_gp</f>
        <v>19.683</v>
      </c>
      <c r="D1169" s="22" t="n">
        <f aca="false">a26_gp</f>
        <v>36.7701055</v>
      </c>
      <c r="E1169" s="22" t="n">
        <f aca="false">E1151*E1168+E1150*$D$1167</f>
        <v>56.331961135</v>
      </c>
      <c r="F1169" s="22" t="n">
        <f aca="false">F1151*F1168+F1150*$D$1167</f>
        <v>71.0939969154807</v>
      </c>
      <c r="G1169" s="22" t="n">
        <f aca="false">G1151*G1168+G1150*$D$1167</f>
        <v>81.6002917090796</v>
      </c>
    </row>
    <row r="1170" customFormat="false" ht="15" hidden="false" customHeight="false" outlineLevel="0" collapsed="false">
      <c r="A1170" s="3" t="s">
        <v>506</v>
      </c>
      <c r="B1170" s="0" t="s">
        <v>55</v>
      </c>
      <c r="C1170" s="14" t="n">
        <f aca="false">C1169/C1153</f>
        <v>0.328028131457903</v>
      </c>
      <c r="D1170" s="14" t="n">
        <f aca="false">D1169/D1153</f>
        <v>0.348837592422248</v>
      </c>
      <c r="E1170" s="14" t="n">
        <f aca="false">E1169/E1153</f>
        <v>0.368566003345544</v>
      </c>
      <c r="F1170" s="14" t="n">
        <f aca="false">F1169/F1153</f>
        <v>0.365962006691732</v>
      </c>
      <c r="G1170" s="14" t="n">
        <f aca="false">G1169/G1153</f>
        <v>0.358067106007922</v>
      </c>
    </row>
    <row r="1171" customFormat="false" ht="15" hidden="false" customHeight="false" outlineLevel="0" collapsed="false">
      <c r="A1171" s="3" t="s">
        <v>649</v>
      </c>
      <c r="B1171" s="0" t="s">
        <v>203</v>
      </c>
      <c r="C1171" s="22" t="n">
        <f aca="false">a25_opx</f>
        <v>5.64</v>
      </c>
      <c r="D1171" s="22" t="n">
        <f aca="false">a26_opx</f>
        <v>8.4779754</v>
      </c>
      <c r="E1171" s="22" t="n">
        <f aca="false">D1171*(1+MAX(0,phi*E1154))</f>
        <v>10.767028758</v>
      </c>
      <c r="F1171" s="22" t="n">
        <f aca="false">E1171*(1+MAX(0,phi*F1154))</f>
        <v>12.517970400163</v>
      </c>
      <c r="G1171" s="22" t="n">
        <f aca="false">F1171*(1+MAX(0,phi*G1154))</f>
        <v>13.8179918513791</v>
      </c>
    </row>
    <row r="1172" customFormat="false" ht="15" hidden="false" customHeight="false" outlineLevel="0" collapsed="false">
      <c r="A1172" s="3" t="s">
        <v>508</v>
      </c>
      <c r="B1172" s="0" t="s">
        <v>203</v>
      </c>
      <c r="C1172" s="22" t="n">
        <f aca="false">C1171</f>
        <v>5.64</v>
      </c>
      <c r="D1172" s="22" t="n">
        <f aca="false">D1171</f>
        <v>8.4779754</v>
      </c>
      <c r="E1172" s="22" t="n">
        <f aca="false">E1171+0*E1153</f>
        <v>10.767028758</v>
      </c>
      <c r="F1172" s="22" t="n">
        <f aca="false">F1171+0*F1153</f>
        <v>12.517970400163</v>
      </c>
      <c r="G1172" s="22" t="n">
        <f aca="false">G1171+0*G1153</f>
        <v>13.8179918513791</v>
      </c>
    </row>
    <row r="1173" customFormat="false" ht="15" hidden="false" customHeight="false" outlineLevel="0" collapsed="false">
      <c r="A1173" s="3" t="s">
        <v>650</v>
      </c>
      <c r="B1173" s="0" t="s">
        <v>203</v>
      </c>
      <c r="C1173" s="22" t="n">
        <f aca="false">C1169-C1172</f>
        <v>14.043</v>
      </c>
      <c r="D1173" s="22" t="n">
        <f aca="false">D1169-D1172</f>
        <v>28.2921301</v>
      </c>
      <c r="E1173" s="22" t="n">
        <f aca="false">E1169-E1172</f>
        <v>45.564932377</v>
      </c>
      <c r="F1173" s="22" t="n">
        <f aca="false">F1169-F1172</f>
        <v>58.5760265153177</v>
      </c>
      <c r="G1173" s="22" t="n">
        <f aca="false">G1169-G1172</f>
        <v>67.7822998577005</v>
      </c>
    </row>
    <row r="1174" customFormat="false" ht="15" hidden="false" customHeight="false" outlineLevel="0" collapsed="false">
      <c r="A1174" s="3" t="s">
        <v>514</v>
      </c>
      <c r="B1174" s="0" t="s">
        <v>55</v>
      </c>
      <c r="C1174" s="14" t="n">
        <f aca="false">C1173/C1153</f>
        <v>0.23403439770682</v>
      </c>
      <c r="D1174" s="14" t="n">
        <f aca="false">D1173/D1153</f>
        <v>0.268407131673338</v>
      </c>
      <c r="E1174" s="14" t="n">
        <f aca="false">E1173/E1153</f>
        <v>0.298120013586154</v>
      </c>
      <c r="F1174" s="14" t="n">
        <f aca="false">F1173/F1153</f>
        <v>0.301524757892828</v>
      </c>
      <c r="G1174" s="14" t="n">
        <f aca="false">G1173/G1153</f>
        <v>0.297432906675595</v>
      </c>
    </row>
    <row r="1175" customFormat="false" ht="17.15" hidden="false" customHeight="false" outlineLevel="0" collapsed="false">
      <c r="A1175" s="3" t="s">
        <v>515</v>
      </c>
      <c r="B1175" s="0" t="s">
        <v>203</v>
      </c>
      <c r="E1175" s="22" t="n">
        <f aca="false">nop_f</f>
        <v>0</v>
      </c>
      <c r="F1175" s="22" t="n">
        <f aca="false">nop_f</f>
        <v>0</v>
      </c>
      <c r="G1175" s="22" t="n">
        <f aca="false">nop_f</f>
        <v>0</v>
      </c>
      <c r="K1175" s="7" t="s">
        <v>651</v>
      </c>
    </row>
    <row r="1176" customFormat="false" ht="15" hidden="false" customHeight="false" outlineLevel="0" collapsed="false">
      <c r="A1176" s="3" t="s">
        <v>520</v>
      </c>
      <c r="B1176" s="0" t="s">
        <v>203</v>
      </c>
      <c r="C1176" s="22" t="n">
        <f aca="false">a25_ni</f>
        <v>9.607</v>
      </c>
      <c r="D1176" s="22" t="n">
        <f aca="false">a26_ni</f>
        <v>19.6977289395284</v>
      </c>
      <c r="E1176" s="22" t="n">
        <f aca="false">(E1173+E1175)*nir_f_hi</f>
        <v>34.17369928275</v>
      </c>
      <c r="F1176" s="22" t="n">
        <f aca="false">(F1173+F1175)*nir_f_hi</f>
        <v>43.9320198864883</v>
      </c>
      <c r="G1176" s="22" t="n">
        <f aca="false">(G1173+G1175)*nir_f_hi</f>
        <v>50.8367248932754</v>
      </c>
      <c r="H1176" s="24" t="n">
        <f aca="false">H1153*H1181</f>
        <v>52.3849443315757</v>
      </c>
      <c r="I1176" s="24" t="n">
        <f aca="false">I1153*I1181</f>
        <v>51.3870812638446</v>
      </c>
      <c r="J1176" s="24" t="n">
        <f aca="false">J1153*J1181</f>
        <v>47.8086916496984</v>
      </c>
    </row>
    <row r="1177" customFormat="false" ht="17.15" hidden="false" customHeight="false" outlineLevel="0" collapsed="false">
      <c r="A1177" s="3" t="s">
        <v>523</v>
      </c>
      <c r="B1177" s="0" t="s">
        <v>55</v>
      </c>
      <c r="C1177" s="14" t="n">
        <f aca="false">C1176/C1173</f>
        <v>0.684113081250445</v>
      </c>
      <c r="D1177" s="14" t="n">
        <f aca="false">D1176/D1173</f>
        <v>0.696226437171953</v>
      </c>
      <c r="E1177" s="14" t="n">
        <f aca="false">E1176/E1173</f>
        <v>0.75</v>
      </c>
      <c r="F1177" s="14" t="n">
        <f aca="false">F1176/F1173</f>
        <v>0.75</v>
      </c>
      <c r="G1177" s="14" t="n">
        <f aca="false">G1176/G1173</f>
        <v>0.75</v>
      </c>
    </row>
    <row r="1178" customFormat="false" ht="17.15" hidden="false" customHeight="false" outlineLevel="0" collapsed="false">
      <c r="A1178" s="3" t="s">
        <v>652</v>
      </c>
      <c r="B1178" s="3" t="s">
        <v>233</v>
      </c>
      <c r="C1178" s="27" t="n">
        <f aca="false">a25_sh</f>
        <v>0.493425783256292</v>
      </c>
      <c r="D1178" s="27" t="n">
        <f aca="false">a26_sh</f>
        <v>0.512980850061958</v>
      </c>
      <c r="E1178" s="27" t="n">
        <f aca="false">sh_h2*(1+sh_g)</f>
        <v>0.51889356</v>
      </c>
      <c r="F1178" s="27" t="n">
        <f aca="false">E1178*(1+sh_g)</f>
        <v>0.5240824956</v>
      </c>
      <c r="G1178" s="27" t="n">
        <f aca="false">F1178*(1+sh_g)</f>
        <v>0.529323320556</v>
      </c>
      <c r="H1178" s="29" t="n">
        <f aca="false">G1178*(1+sh_g)</f>
        <v>0.53461655376156</v>
      </c>
      <c r="I1178" s="29" t="n">
        <f aca="false">H1178*(1+sh_g)</f>
        <v>0.539962719299176</v>
      </c>
      <c r="J1178" s="29" t="n">
        <f aca="false">I1178*(1+sh_g)</f>
        <v>0.545362346492167</v>
      </c>
      <c r="K1178" s="7" t="s">
        <v>653</v>
      </c>
    </row>
    <row r="1179" customFormat="false" ht="15" hidden="false" customHeight="false" outlineLevel="0" collapsed="false">
      <c r="A1179" s="0" t="s">
        <v>526</v>
      </c>
      <c r="B1179" s="0" t="s">
        <v>271</v>
      </c>
      <c r="C1179" s="23" t="n">
        <f aca="false">C1176/C1178</f>
        <v>19.47</v>
      </c>
      <c r="D1179" s="23" t="n">
        <f aca="false">D1176/D1178</f>
        <v>38.3985658278458</v>
      </c>
      <c r="E1179" s="23" t="n">
        <f aca="false">E1176/E1178</f>
        <v>65.8587847626207</v>
      </c>
      <c r="F1179" s="23" t="n">
        <f aca="false">F1176/F1178</f>
        <v>83.8265354315876</v>
      </c>
      <c r="G1179" s="23" t="n">
        <f aca="false">G1176/G1178</f>
        <v>96.0409695153363</v>
      </c>
      <c r="H1179" s="30" t="n">
        <f aca="false">H1176/H1178</f>
        <v>97.9860125224247</v>
      </c>
      <c r="I1179" s="30" t="n">
        <f aca="false">I1176/I1178</f>
        <v>95.1678318283539</v>
      </c>
      <c r="J1179" s="30" t="n">
        <f aca="false">J1176/J1178</f>
        <v>87.6640860103551</v>
      </c>
    </row>
    <row r="1180" customFormat="false" ht="17.15" hidden="false" customHeight="false" outlineLevel="0" collapsed="false">
      <c r="A1180" s="0" t="s">
        <v>654</v>
      </c>
      <c r="B1180" s="0" t="s">
        <v>55</v>
      </c>
      <c r="D1180" s="14" t="n">
        <f aca="false">D1179/C1179-1</f>
        <v>0.9721913624985</v>
      </c>
      <c r="E1180" s="14" t="n">
        <f aca="false">E1179/D1179-1</f>
        <v>0.715136577180738</v>
      </c>
      <c r="F1180" s="14" t="n">
        <f aca="false">F1179/E1179-1</f>
        <v>0.272822384040783</v>
      </c>
      <c r="G1180" s="14" t="n">
        <f aca="false">G1179/F1179-1</f>
        <v>0.145710830357735</v>
      </c>
      <c r="H1180" s="25" t="n">
        <f aca="false">H1179/G1179-1</f>
        <v>0.020252221701883</v>
      </c>
      <c r="I1180" s="25" t="n">
        <f aca="false">I1179/H1179-1</f>
        <v>-0.0287610509043407</v>
      </c>
      <c r="J1180" s="25" t="n">
        <f aca="false">J1179/I1179-1</f>
        <v>-0.0788475020796177</v>
      </c>
    </row>
    <row r="1181" customFormat="false" ht="17.15" hidden="false" customHeight="false" outlineLevel="0" collapsed="false">
      <c r="A1181" s="3" t="s">
        <v>655</v>
      </c>
      <c r="B1181" s="0" t="s">
        <v>55</v>
      </c>
      <c r="C1181" s="14" t="n">
        <f aca="false">C1176/C1153</f>
        <v>0.160105992933804</v>
      </c>
      <c r="D1181" s="14" t="n">
        <f aca="false">D1176/D1153</f>
        <v>0.186872140996471</v>
      </c>
      <c r="E1181" s="14" t="n">
        <f aca="false">E1176/E1153</f>
        <v>0.223590010189615</v>
      </c>
      <c r="F1181" s="14" t="n">
        <f aca="false">F1176/F1153</f>
        <v>0.226143568419621</v>
      </c>
      <c r="G1181" s="14" t="n">
        <f aca="false">G1176/G1153</f>
        <v>0.223074680006696</v>
      </c>
      <c r="H1181" s="25" t="n">
        <f aca="false">$G1181+(fade_mB-$G1181)*1/3</f>
        <v>0.203653132161285</v>
      </c>
      <c r="I1181" s="25" t="n">
        <f aca="false">$G1181+(fade_mB-$G1181)*2/3</f>
        <v>0.184231584315873</v>
      </c>
      <c r="J1181" s="25" t="n">
        <f aca="false">$G1181+(fade_mB-$G1181)*3/3</f>
        <v>0.164810036470462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1011</v>
      </c>
    </row>
    <row r="2" customFormat="false" ht="17.15" hidden="false" customHeight="false" outlineLevel="0" collapsed="false">
      <c r="A2" s="3" t="s">
        <v>1012</v>
      </c>
      <c r="B2" s="0" t="s">
        <v>1013</v>
      </c>
    </row>
    <row r="3" customFormat="false" ht="17.15" hidden="false" customHeight="false" outlineLevel="0" collapsed="false">
      <c r="A3" s="3" t="s">
        <v>1014</v>
      </c>
      <c r="B3" s="0" t="s">
        <v>1015</v>
      </c>
    </row>
    <row r="4" customFormat="false" ht="17.15" hidden="false" customHeight="false" outlineLevel="0" collapsed="false">
      <c r="A4" s="3" t="s">
        <v>1016</v>
      </c>
      <c r="B4" s="0" t="s">
        <v>1017</v>
      </c>
    </row>
    <row r="5" customFormat="false" ht="17.15" hidden="false" customHeight="false" outlineLevel="0" collapsed="false">
      <c r="A5" s="3" t="s">
        <v>1018</v>
      </c>
      <c r="B5" s="0" t="s">
        <v>1019</v>
      </c>
    </row>
    <row r="6" customFormat="false" ht="17.15" hidden="false" customHeight="false" outlineLevel="0" collapsed="false">
      <c r="A6" s="3" t="s">
        <v>1020</v>
      </c>
      <c r="B6" s="0" t="s">
        <v>1021</v>
      </c>
    </row>
    <row r="7" customFormat="false" ht="17.15" hidden="false" customHeight="false" outlineLevel="0" collapsed="false">
      <c r="A7" s="3" t="s">
        <v>1022</v>
      </c>
      <c r="B7" s="0" t="s">
        <v>1023</v>
      </c>
    </row>
    <row r="8" customFormat="false" ht="17.15" hidden="false" customHeight="false" outlineLevel="0" collapsed="false">
      <c r="A8" s="3" t="s">
        <v>1024</v>
      </c>
      <c r="B8" s="0" t="s">
        <v>1025</v>
      </c>
    </row>
    <row r="9" customFormat="false" ht="17.15" hidden="false" customHeight="false" outlineLevel="0" collapsed="false">
      <c r="A9" s="3" t="s">
        <v>1026</v>
      </c>
      <c r="B9" s="0" t="s">
        <v>1027</v>
      </c>
    </row>
    <row r="10" customFormat="false" ht="17.15" hidden="false" customHeight="false" outlineLevel="0" collapsed="false">
      <c r="A10" s="3" t="s">
        <v>1028</v>
      </c>
      <c r="B10" s="0" t="s">
        <v>1029</v>
      </c>
    </row>
    <row r="11" customFormat="false" ht="17.15" hidden="false" customHeight="false" outlineLevel="0" collapsed="false">
      <c r="A11" s="3" t="s">
        <v>1030</v>
      </c>
      <c r="B11" s="0" t="s">
        <v>1031</v>
      </c>
    </row>
    <row r="12" customFormat="false" ht="17.15" hidden="false" customHeight="false" outlineLevel="0" collapsed="false">
      <c r="A12" s="3" t="s">
        <v>1032</v>
      </c>
      <c r="B12" s="0" t="s">
        <v>1033</v>
      </c>
    </row>
    <row r="13" customFormat="false" ht="17.15" hidden="false" customHeight="false" outlineLevel="0" collapsed="false">
      <c r="A13" s="3" t="s">
        <v>1034</v>
      </c>
      <c r="B13" s="0" t="s">
        <v>292</v>
      </c>
    </row>
    <row r="14" customFormat="false" ht="17.15" hidden="false" customHeight="false" outlineLevel="0" collapsed="false">
      <c r="A14" s="3" t="s">
        <v>1035</v>
      </c>
      <c r="B14" s="0" t="s">
        <v>340</v>
      </c>
    </row>
    <row r="15" customFormat="false" ht="17.15" hidden="false" customHeight="false" outlineLevel="0" collapsed="false">
      <c r="A15" s="3" t="s">
        <v>1036</v>
      </c>
      <c r="B15" s="0" t="s">
        <v>1037</v>
      </c>
    </row>
    <row r="16" customFormat="false" ht="17.15" hidden="false" customHeight="false" outlineLevel="0" collapsed="false">
      <c r="A16" s="3" t="s">
        <v>1038</v>
      </c>
      <c r="B16" s="0" t="s">
        <v>272</v>
      </c>
    </row>
    <row r="17" customFormat="false" ht="17.15" hidden="false" customHeight="false" outlineLevel="0" collapsed="false">
      <c r="A17" s="3" t="s">
        <v>1039</v>
      </c>
      <c r="B17" s="0" t="s">
        <v>1040</v>
      </c>
    </row>
    <row r="18" customFormat="false" ht="17.15" hidden="false" customHeight="false" outlineLevel="0" collapsed="false">
      <c r="A18" s="3" t="s">
        <v>1041</v>
      </c>
      <c r="B18" s="0" t="s">
        <v>1042</v>
      </c>
    </row>
    <row r="19" customFormat="false" ht="17.15" hidden="false" customHeight="false" outlineLevel="0" collapsed="false">
      <c r="A19" s="3" t="s">
        <v>1043</v>
      </c>
      <c r="B19" s="0" t="s">
        <v>1044</v>
      </c>
    </row>
    <row r="20" customFormat="false" ht="17.15" hidden="false" customHeight="false" outlineLevel="0" collapsed="false">
      <c r="A20" s="3" t="s">
        <v>1045</v>
      </c>
    </row>
    <row r="21" customFormat="false" ht="17.15" hidden="false" customHeight="false" outlineLevel="0" collapsed="false">
      <c r="A21" s="3" t="s">
        <v>1046</v>
      </c>
      <c r="B21" s="3" t="s">
        <v>1047</v>
      </c>
    </row>
    <row r="22" customFormat="false" ht="17.15" hidden="false" customHeight="false" outlineLevel="0" collapsed="false">
      <c r="A22" s="3" t="s">
        <v>1048</v>
      </c>
      <c r="B22" s="3" t="s">
        <v>1047</v>
      </c>
    </row>
    <row r="23" customFormat="false" ht="15" hidden="false" customHeight="false" outlineLevel="0" collapsed="false">
      <c r="A23" s="0" t="s">
        <v>1049</v>
      </c>
      <c r="B23" s="3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2026-10-30T21:47:29Z</dcterms:created>
  <dc:creator>openpyxl</dc:creator>
  <dc:description/>
  <dc:language>en-US</dc:language>
  <cp:lastModifiedBy/>
  <dcterms:modified xsi:type="dcterms:W3CDTF">2026-10-30T21:47:30Z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